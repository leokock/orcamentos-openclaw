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LN Construtora\04. Custo\03.6 Custo - Orçamento Preliminar\R01\"/>
    </mc:Choice>
  </mc:AlternateContent>
  <xr:revisionPtr revIDLastSave="0" documentId="13_ncr:1_{3EA1CE88-934F-4A27-9F57-C36194334651}" xr6:coauthVersionLast="47" xr6:coauthVersionMax="47" xr10:uidLastSave="{00000000-0000-0000-0000-000000000000}"/>
  <bookViews>
    <workbookView xWindow="20370" yWindow="-120" windowWidth="15600" windowHeight="11040" tabRatio="776" firstSheet="2" activeTab="5" xr2:uid="{00000000-000D-0000-FFFF-FFFF00000000}"/>
  </bookViews>
  <sheets>
    <sheet name="GER_EXECUTIVO" sheetId="13" r:id="rId1"/>
    <sheet name="Planilha1" sheetId="16" r:id="rId2"/>
    <sheet name="ANÁLISE_CUSTOS" sheetId="1" r:id="rId3"/>
    <sheet name="AREAS PRIVATIVAS" sheetId="8" r:id="rId4"/>
    <sheet name="CÁLCULO_MÉDIAS" sheetId="5" r:id="rId5"/>
    <sheet name="Versões" sheetId="15" r:id="rId6"/>
  </sheets>
  <externalReferences>
    <externalReference r:id="rId7"/>
    <externalReference r:id="rId8"/>
  </externalReferenc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4" roundtripDataSignature="AMtx7mi6xe1SFltZWVqnyhpgiyWbNfDL2Q==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7" i="1" s="1"/>
  <c r="B11" i="1"/>
  <c r="B12" i="1"/>
  <c r="B13" i="1"/>
  <c r="B14" i="1"/>
  <c r="B15" i="1"/>
  <c r="B16" i="1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B21" i="15" l="1"/>
  <c r="G2" i="13"/>
  <c r="D2" i="13" l="1"/>
  <c r="B27" i="8" l="1"/>
  <c r="V25" i="5" l="1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H16" i="5"/>
  <c r="H11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10" i="5"/>
  <c r="A9" i="1"/>
  <c r="D9" i="1"/>
  <c r="A14" i="1"/>
  <c r="A13" i="1"/>
  <c r="A6" i="1"/>
  <c r="A7" i="1"/>
  <c r="A8" i="1"/>
  <c r="A5" i="1" l="1"/>
  <c r="A4" i="1"/>
  <c r="D5" i="1" l="1"/>
  <c r="S26" i="5" l="1"/>
  <c r="T31" i="5"/>
  <c r="T33" i="5"/>
  <c r="F5" i="15"/>
  <c r="F4" i="15"/>
  <c r="F3" i="15"/>
  <c r="F21" i="15" l="1"/>
  <c r="G3" i="15"/>
  <c r="T26" i="5"/>
  <c r="C21" i="15"/>
  <c r="E21" i="15"/>
  <c r="D21" i="15"/>
  <c r="G21" i="15" l="1"/>
  <c r="C3" i="8"/>
  <c r="F3" i="8" s="1"/>
  <c r="D3" i="8" l="1"/>
  <c r="D5" i="8" l="1"/>
  <c r="D4" i="8"/>
  <c r="D8" i="8"/>
  <c r="D6" i="8"/>
  <c r="D7" i="8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10" i="5"/>
  <c r="N10" i="5" l="1"/>
  <c r="N11" i="5"/>
  <c r="Q26" i="5" l="1"/>
  <c r="O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M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V33" i="5"/>
  <c r="V31" i="5"/>
  <c r="R26" i="5" l="1"/>
  <c r="V26" i="5"/>
  <c r="P26" i="5"/>
  <c r="N26" i="5"/>
  <c r="L11" i="5"/>
  <c r="L12" i="5"/>
  <c r="L13" i="5"/>
  <c r="L14" i="5"/>
  <c r="L15" i="5"/>
  <c r="L16" i="5"/>
  <c r="L17" i="5"/>
  <c r="L18" i="5"/>
  <c r="L19" i="5"/>
  <c r="L20" i="5"/>
  <c r="L21" i="5"/>
  <c r="L33" i="5" s="1"/>
  <c r="L22" i="5"/>
  <c r="L31" i="5" s="1"/>
  <c r="L23" i="5"/>
  <c r="L24" i="5"/>
  <c r="L25" i="5"/>
  <c r="L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10" i="5"/>
  <c r="F33" i="5"/>
  <c r="F31" i="5"/>
  <c r="D33" i="5"/>
  <c r="D31" i="5"/>
  <c r="D1" i="5" l="1"/>
  <c r="D6" i="1" l="1"/>
  <c r="D7" i="1"/>
  <c r="D8" i="1"/>
  <c r="D10" i="1"/>
  <c r="D11" i="1"/>
  <c r="D12" i="1"/>
  <c r="D13" i="1"/>
  <c r="D14" i="1"/>
  <c r="D15" i="1"/>
  <c r="D16" i="1"/>
  <c r="D4" i="1"/>
  <c r="D3" i="1"/>
  <c r="G10" i="5"/>
  <c r="H10" i="5" s="1"/>
  <c r="G25" i="5"/>
  <c r="H25" i="5" s="1"/>
  <c r="G24" i="5"/>
  <c r="H24" i="5" s="1"/>
  <c r="G23" i="5"/>
  <c r="H23" i="5" s="1"/>
  <c r="G22" i="5"/>
  <c r="G21" i="5"/>
  <c r="G20" i="5"/>
  <c r="H20" i="5" s="1"/>
  <c r="G19" i="5"/>
  <c r="H19" i="5" s="1"/>
  <c r="G18" i="5"/>
  <c r="H18" i="5" s="1"/>
  <c r="G17" i="5"/>
  <c r="H17" i="5" s="1"/>
  <c r="G15" i="5"/>
  <c r="H15" i="5" s="1"/>
  <c r="G14" i="5"/>
  <c r="H14" i="5" s="1"/>
  <c r="G13" i="5"/>
  <c r="H13" i="5" s="1"/>
  <c r="G12" i="5"/>
  <c r="H12" i="5" s="1"/>
  <c r="H21" i="5" l="1"/>
  <c r="H33" i="5" s="1"/>
  <c r="H22" i="5"/>
  <c r="H31" i="5" s="1"/>
  <c r="C26" i="5"/>
  <c r="Y26" i="5" l="1"/>
  <c r="X26" i="5"/>
  <c r="K26" i="5" l="1"/>
  <c r="L26" i="5" l="1"/>
  <c r="U26" i="5" l="1"/>
  <c r="D17" i="1" l="1"/>
  <c r="I26" i="5" l="1"/>
  <c r="J26" i="5" l="1"/>
  <c r="E26" i="5" l="1"/>
  <c r="G26" i="5"/>
  <c r="H26" i="5" l="1"/>
  <c r="F26" i="5"/>
  <c r="D26" i="5"/>
  <c r="C5" i="1" l="1"/>
  <c r="C9" i="1"/>
  <c r="C6" i="1"/>
  <c r="C11" i="1"/>
  <c r="C13" i="1"/>
  <c r="C16" i="1" l="1"/>
  <c r="C15" i="1"/>
  <c r="C7" i="1"/>
  <c r="D12" i="13"/>
  <c r="D6" i="13"/>
  <c r="D11" i="13"/>
  <c r="D18" i="13" l="1"/>
  <c r="D15" i="13"/>
  <c r="C14" i="1"/>
  <c r="C12" i="1"/>
  <c r="C10" i="1"/>
  <c r="D8" i="13"/>
  <c r="C8" i="1"/>
  <c r="D3" i="13"/>
  <c r="C3" i="1"/>
  <c r="D14" i="13"/>
  <c r="D5" i="13"/>
  <c r="D17" i="13"/>
  <c r="D9" i="13"/>
  <c r="C4" i="1" l="1"/>
  <c r="D10" i="13"/>
  <c r="B20" i="13" l="1"/>
  <c r="D27" i="8" s="1"/>
  <c r="D11" i="8" s="1"/>
  <c r="D4" i="13"/>
  <c r="D16" i="13"/>
  <c r="D7" i="13"/>
  <c r="D19" i="13"/>
  <c r="D13" i="13"/>
  <c r="D12" i="8" l="1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C3" i="13"/>
  <c r="C12" i="13"/>
  <c r="C7" i="13"/>
  <c r="C15" i="13"/>
  <c r="C4" i="13"/>
  <c r="C2" i="13"/>
  <c r="C8" i="13"/>
  <c r="C11" i="13"/>
  <c r="C14" i="13"/>
  <c r="C6" i="13"/>
  <c r="C5" i="13"/>
  <c r="C9" i="13"/>
  <c r="C19" i="13"/>
  <c r="C17" i="13"/>
  <c r="C16" i="13"/>
  <c r="C10" i="13"/>
  <c r="C13" i="13"/>
  <c r="C18" i="13"/>
  <c r="C17" i="1"/>
  <c r="D20" i="13"/>
  <c r="D21" i="13" s="1"/>
  <c r="C20" i="13" l="1"/>
</calcChain>
</file>

<file path=xl/sharedStrings.xml><?xml version="1.0" encoding="utf-8"?>
<sst xmlns="http://schemas.openxmlformats.org/spreadsheetml/2006/main" count="223" uniqueCount="93">
  <si>
    <t>ETAPA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</si>
  <si>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</si>
  <si>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</si>
  <si>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</si>
  <si>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</si>
  <si>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</si>
  <si>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</si>
  <si>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</si>
  <si>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</si>
  <si>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</si>
  <si>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</si>
  <si>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</si>
  <si>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</si>
  <si>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</si>
  <si>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</si>
  <si>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</si>
  <si>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</si>
  <si>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</si>
  <si>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</si>
  <si>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</si>
  <si>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</si>
  <si>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</si>
  <si>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</si>
  <si>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</si>
  <si>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</si>
  <si>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</si>
  <si>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</si>
  <si>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</si>
  <si>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</si>
  <si>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CUB/SC</t>
  </si>
  <si>
    <t>M2</t>
  </si>
  <si>
    <t>PAVIMENTOS</t>
  </si>
  <si>
    <t>m²</t>
  </si>
  <si>
    <t>DOM</t>
  </si>
  <si>
    <t>M VILLAGE</t>
  </si>
  <si>
    <t>LIBERATO</t>
  </si>
  <si>
    <t>PAESSAGGIO</t>
  </si>
  <si>
    <t>LOUÇAS E METAIS</t>
  </si>
  <si>
    <t>Rótulos de Linha</t>
  </si>
  <si>
    <t>Total Geral</t>
  </si>
  <si>
    <t>Soma de %</t>
  </si>
  <si>
    <t>LA VIE - MG3</t>
  </si>
  <si>
    <t>MAIORI</t>
  </si>
  <si>
    <t>REVESTIMENTOS INTERNOS DE PISO E PAREDE</t>
  </si>
  <si>
    <t>NM</t>
  </si>
  <si>
    <t>CANTO GRANDE</t>
  </si>
  <si>
    <t>OPUS</t>
  </si>
  <si>
    <t>VALOR TOTAL</t>
  </si>
  <si>
    <t>VALOR POR UNIDADE 01</t>
  </si>
  <si>
    <t>VALOR POR UNIDADE 02</t>
  </si>
  <si>
    <t>ÁREA (m²)</t>
  </si>
  <si>
    <t>VALOR POR ÁREA PRIVATIVA (R$/m²)</t>
  </si>
  <si>
    <t>DESCRIÇÃO</t>
  </si>
  <si>
    <t>OBRAS DE REFERÊNCIA</t>
  </si>
  <si>
    <t>PISOS E PAVIMENTAÇÕES</t>
  </si>
  <si>
    <t>RAVELLO</t>
  </si>
  <si>
    <t>VALOR SEM IMPREVISTOS</t>
  </si>
  <si>
    <t>VALOR POR UNIDADE 03</t>
  </si>
  <si>
    <t>VALOR POR UNIDADE 04</t>
  </si>
  <si>
    <t>VALOR POR UNIDADE 05</t>
  </si>
  <si>
    <t>IMPREVISTOS</t>
  </si>
  <si>
    <t>CLIMATIZAÇÃO, EXAUSTÃO MECÂNICA E PRESSURIZAÇÃO</t>
  </si>
  <si>
    <t>SISTEMAS DE PINTURA INTERNA</t>
  </si>
  <si>
    <t>R00</t>
  </si>
  <si>
    <t>R01</t>
  </si>
  <si>
    <t>VALOR</t>
  </si>
  <si>
    <t>DIFERENÇA</t>
  </si>
  <si>
    <t>Observação</t>
  </si>
  <si>
    <t>PORTO RUBY</t>
  </si>
  <si>
    <t>ACABAMENTOS INTERNOS EM PAREDE</t>
  </si>
  <si>
    <t>REVESTIMENTOS INTERNOS DE TETO</t>
  </si>
  <si>
    <t xml:space="preserve">APARTAMENTO 01 </t>
  </si>
  <si>
    <t xml:space="preserve">APARTAMENTO 02 </t>
  </si>
  <si>
    <t xml:space="preserve">COBERTURA INFERIOR 01 </t>
  </si>
  <si>
    <t xml:space="preserve">COBERTURA INFERIOR 02 </t>
  </si>
  <si>
    <t xml:space="preserve">COBERTURA SUPERIOR 01 </t>
  </si>
  <si>
    <t xml:space="preserve">COBERTURA SUPERIOR 02 </t>
  </si>
  <si>
    <t xml:space="preserve">COBERTURA TERRAÇO 01 </t>
  </si>
  <si>
    <t xml:space="preserve">COBERTURA TERRAÇO 02 </t>
  </si>
  <si>
    <t xml:space="preserve">DUPLEX DIFERENCIADO INFERIOR 01 </t>
  </si>
  <si>
    <t xml:space="preserve">DUPLEX DIFERENCIADO INFERIOR 02 </t>
  </si>
  <si>
    <t xml:space="preserve">DUPLEX DIFERENCIADO SUPERIOR 01 </t>
  </si>
  <si>
    <t xml:space="preserve">DUPLEX DIFERENCIADO SUPERIOR 02 </t>
  </si>
  <si>
    <t xml:space="preserve">DUPLEX INFERIOR 01 </t>
  </si>
  <si>
    <t xml:space="preserve">DUPLEX SUPERIOR 01 </t>
  </si>
  <si>
    <t xml:space="preserve">DUPLEX SUPERIOR 02 </t>
  </si>
  <si>
    <t>QUANTIDADE</t>
  </si>
  <si>
    <t>1,13 CUB</t>
  </si>
  <si>
    <t>Alteração das áreas conforme e-mail encaminhado no dia 22/01/2025</t>
  </si>
  <si>
    <t>Revisão de quantitativos conforme alinhado na reunião de apresentação</t>
  </si>
  <si>
    <t>Revisão de quantitativos e preços conforme alinhado na reunião de apresentação</t>
  </si>
  <si>
    <t xml:space="preserve">Retirada de estação de tratamento de lodo ativado, inserção de barramento blindado, conforme alinhado em reunião. </t>
  </si>
  <si>
    <t>Entrega de monocomando nos chuveiros das áreas privativas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</si>
</sst>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* #.##0.00_-;\-* #.##0.00_-;_-* &quot;-&quot;??_-;_-@_-"/>
    <numFmt numFmtId="166" formatCode="#,##0.0000"/>
    <numFmt numFmtId="167" formatCode="_-* #,##0_-;\-* #,##0_-;_-* &quot;-&quot;??_-;_-@"/>
    <numFmt numFmtId="168" formatCode="_-* #,##0.0000_-;\-* #,##0.0000_-;_-* &quot;-&quot;??_-;_-@_-"/>
    <numFmt numFmtId="169" formatCode="_(&quot;R$&quot;* #,##0.00_);_(&quot;R$&quot;* \(#,##0.00\);_(&quot;R$&quot;* &quot;-&quot;??_);_(@_)"/>
  </numFmts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rgb="FF010000"/>
      <name val="Poppins"/>
    </font>
    <font>
      <sz val="8"/>
      <name val="Calibri"/>
      <family val="2"/>
      <scheme val="minor"/>
    </font>
    <font>
      <sz val="8"/>
      <color rgb="FF3B3B3B"/>
      <name val="Tahoma"/>
      <family val="2"/>
    </font>
    <font>
      <sz val="10"/>
      <name val="Poppins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FF"/>
        <bgColor indexed="8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/>
      <right style="thin">
        <color rgb="FF646464"/>
      </right>
      <top style="hair">
        <color rgb="FF000000"/>
      </top>
      <bottom style="medium">
        <color indexed="64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44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" fillId="0" borderId="4"/>
    <xf numFmtId="9" fontId="5" fillId="0" borderId="4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4"/>
    <xf numFmtId="43" fontId="1" fillId="0" borderId="4" applyFont="0" applyFill="0" applyBorder="0" applyAlignment="0" applyProtection="0"/>
    <xf numFmtId="44" fontId="1" fillId="0" borderId="4" applyFont="0" applyFill="0" applyBorder="0" applyAlignment="0" applyProtection="0"/>
    <xf numFmtId="0" fontId="25" fillId="8" borderId="4" applyNumberFormat="0" applyFont="0" applyFill="0" applyBorder="0" applyAlignment="0" applyProtection="0">
      <alignment horizontal="left" vertical="top" wrapText="1"/>
    </xf>
    <xf numFmtId="169" fontId="27" fillId="0" borderId="4" applyFont="0" applyFill="0" applyBorder="0" applyAlignment="0" applyProtection="0"/>
  </cellStyleXfs>
  <cellXfs count="157">
    <xf numFmtId="0" fontId="0" fillId="0" borderId="0" xfId="0"/>
    <xf numFmtId="0" fontId="10" fillId="0" borderId="0" xfId="0" applyFont="1"/>
    <xf numFmtId="0" fontId="10" fillId="3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0" fillId="0" borderId="0" xfId="0" applyNumberFormat="1" applyFont="1"/>
    <xf numFmtId="0" fontId="11" fillId="0" borderId="0" xfId="0" applyFont="1" applyAlignment="1">
      <alignment vertical="center"/>
    </xf>
    <xf numFmtId="10" fontId="10" fillId="3" borderId="2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4" fontId="12" fillId="0" borderId="0" xfId="0" applyNumberFormat="1" applyFont="1"/>
    <xf numFmtId="0" fontId="0" fillId="0" borderId="4" xfId="0" applyBorder="1"/>
    <xf numFmtId="44" fontId="0" fillId="0" borderId="7" xfId="1" applyFont="1" applyBorder="1"/>
    <xf numFmtId="0" fontId="15" fillId="0" borderId="0" xfId="0" applyFont="1"/>
    <xf numFmtId="44" fontId="0" fillId="0" borderId="7" xfId="1" applyFont="1" applyFill="1" applyBorder="1"/>
    <xf numFmtId="0" fontId="6" fillId="0" borderId="0" xfId="0" applyFont="1"/>
    <xf numFmtId="165" fontId="11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vertical="center"/>
    </xf>
    <xf numFmtId="164" fontId="13" fillId="0" borderId="4" xfId="0" applyNumberFormat="1" applyFont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44" fontId="0" fillId="0" borderId="19" xfId="1" applyFont="1" applyBorder="1"/>
    <xf numFmtId="44" fontId="0" fillId="0" borderId="19" xfId="1" applyFont="1" applyFill="1" applyBorder="1"/>
    <xf numFmtId="44" fontId="0" fillId="0" borderId="23" xfId="1" applyFont="1" applyBorder="1"/>
    <xf numFmtId="44" fontId="0" fillId="0" borderId="24" xfId="1" applyFont="1" applyBorder="1"/>
    <xf numFmtId="44" fontId="4" fillId="0" borderId="24" xfId="1" applyFont="1" applyBorder="1"/>
    <xf numFmtId="0" fontId="0" fillId="0" borderId="10" xfId="0" applyBorder="1"/>
    <xf numFmtId="0" fontId="7" fillId="7" borderId="14" xfId="0" applyFont="1" applyFill="1" applyBorder="1" applyAlignment="1">
      <alignment horizontal="left" vertical="center"/>
    </xf>
    <xf numFmtId="44" fontId="18" fillId="5" borderId="21" xfId="0" applyNumberFormat="1" applyFont="1" applyFill="1" applyBorder="1"/>
    <xf numFmtId="44" fontId="18" fillId="5" borderId="21" xfId="0" applyNumberFormat="1" applyFont="1" applyFill="1" applyBorder="1" applyAlignment="1">
      <alignment horizontal="center"/>
    </xf>
    <xf numFmtId="44" fontId="18" fillId="5" borderId="26" xfId="0" applyNumberFormat="1" applyFont="1" applyFill="1" applyBorder="1" applyAlignment="1">
      <alignment horizontal="center"/>
    </xf>
    <xf numFmtId="44" fontId="18" fillId="5" borderId="22" xfId="0" applyNumberFormat="1" applyFont="1" applyFill="1" applyBorder="1" applyAlignment="1">
      <alignment horizontal="center"/>
    </xf>
    <xf numFmtId="0" fontId="18" fillId="5" borderId="5" xfId="0" applyFont="1" applyFill="1" applyBorder="1"/>
    <xf numFmtId="0" fontId="18" fillId="5" borderId="9" xfId="0" applyFont="1" applyFill="1" applyBorder="1"/>
    <xf numFmtId="43" fontId="0" fillId="0" borderId="0" xfId="2" applyFont="1"/>
    <xf numFmtId="43" fontId="18" fillId="5" borderId="11" xfId="2" applyFont="1" applyFill="1" applyBorder="1" applyAlignment="1">
      <alignment horizontal="center"/>
    </xf>
    <xf numFmtId="43" fontId="10" fillId="0" borderId="0" xfId="2" applyFont="1" applyAlignment="1">
      <alignment horizontal="center"/>
    </xf>
    <xf numFmtId="43" fontId="10" fillId="0" borderId="0" xfId="2" applyFont="1"/>
    <xf numFmtId="10" fontId="10" fillId="4" borderId="28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/>
    </xf>
    <xf numFmtId="9" fontId="7" fillId="2" borderId="11" xfId="0" applyNumberFormat="1" applyFont="1" applyFill="1" applyBorder="1" applyAlignment="1">
      <alignment horizontal="center" vertical="center"/>
    </xf>
    <xf numFmtId="17" fontId="7" fillId="2" borderId="11" xfId="0" applyNumberFormat="1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left" vertical="center"/>
    </xf>
    <xf numFmtId="164" fontId="10" fillId="4" borderId="28" xfId="0" applyNumberFormat="1" applyFont="1" applyFill="1" applyBorder="1" applyAlignment="1">
      <alignment horizontal="center" vertical="center"/>
    </xf>
    <xf numFmtId="44" fontId="0" fillId="6" borderId="20" xfId="1" applyFont="1" applyFill="1" applyBorder="1"/>
    <xf numFmtId="44" fontId="0" fillId="6" borderId="25" xfId="1" applyFont="1" applyFill="1" applyBorder="1"/>
    <xf numFmtId="44" fontId="18" fillId="6" borderId="21" xfId="0" applyNumberFormat="1" applyFont="1" applyFill="1" applyBorder="1"/>
    <xf numFmtId="43" fontId="7" fillId="2" borderId="6" xfId="2" applyFont="1" applyFill="1" applyBorder="1" applyAlignment="1">
      <alignment horizontal="center" vertical="center"/>
    </xf>
    <xf numFmtId="43" fontId="7" fillId="2" borderId="8" xfId="2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right"/>
    </xf>
    <xf numFmtId="164" fontId="7" fillId="2" borderId="13" xfId="0" applyNumberFormat="1" applyFont="1" applyFill="1" applyBorder="1" applyAlignment="1">
      <alignment horizontal="center"/>
    </xf>
    <xf numFmtId="43" fontId="8" fillId="2" borderId="10" xfId="2" applyFont="1" applyFill="1" applyBorder="1" applyAlignment="1">
      <alignment horizontal="center"/>
    </xf>
    <xf numFmtId="44" fontId="6" fillId="0" borderId="19" xfId="1" applyFont="1" applyBorder="1"/>
    <xf numFmtId="44" fontId="20" fillId="0" borderId="24" xfId="1" applyFont="1" applyBorder="1"/>
    <xf numFmtId="17" fontId="0" fillId="0" borderId="6" xfId="0" applyNumberFormat="1" applyBorder="1"/>
    <xf numFmtId="2" fontId="0" fillId="0" borderId="11" xfId="2" applyNumberFormat="1" applyFont="1" applyBorder="1" applyAlignment="1">
      <alignment horizontal="center"/>
    </xf>
    <xf numFmtId="0" fontId="17" fillId="3" borderId="18" xfId="0" applyFont="1" applyFill="1" applyBorder="1" applyAlignment="1">
      <alignment horizontal="left" vertical="center"/>
    </xf>
    <xf numFmtId="44" fontId="20" fillId="0" borderId="7" xfId="1" applyFont="1" applyBorder="1"/>
    <xf numFmtId="0" fontId="18" fillId="5" borderId="4" xfId="0" applyFont="1" applyFill="1" applyBorder="1"/>
    <xf numFmtId="0" fontId="2" fillId="0" borderId="0" xfId="0" applyFont="1"/>
    <xf numFmtId="43" fontId="18" fillId="5" borderId="21" xfId="2" applyFont="1" applyFill="1" applyBorder="1" applyAlignment="1">
      <alignment horizontal="center" vertical="center"/>
    </xf>
    <xf numFmtId="43" fontId="11" fillId="0" borderId="16" xfId="0" applyNumberFormat="1" applyFont="1" applyBorder="1" applyAlignment="1">
      <alignment vertical="center"/>
    </xf>
    <xf numFmtId="44" fontId="22" fillId="6" borderId="21" xfId="0" applyNumberFormat="1" applyFont="1" applyFill="1" applyBorder="1"/>
    <xf numFmtId="17" fontId="3" fillId="0" borderId="6" xfId="0" applyNumberFormat="1" applyFont="1" applyBorder="1"/>
    <xf numFmtId="43" fontId="11" fillId="0" borderId="0" xfId="0" applyNumberFormat="1" applyFont="1" applyAlignment="1">
      <alignment vertical="center"/>
    </xf>
    <xf numFmtId="164" fontId="17" fillId="3" borderId="2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0" borderId="0" xfId="5" applyNumberFormat="1" applyFont="1"/>
    <xf numFmtId="43" fontId="23" fillId="0" borderId="31" xfId="2" applyFont="1" applyFill="1" applyBorder="1" applyAlignment="1">
      <alignment vertical="top" wrapText="1"/>
    </xf>
    <xf numFmtId="2" fontId="11" fillId="0" borderId="0" xfId="0" applyNumberFormat="1" applyFont="1" applyAlignment="1">
      <alignment vertical="center"/>
    </xf>
    <xf numFmtId="164" fontId="7" fillId="2" borderId="11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44" fontId="7" fillId="2" borderId="11" xfId="0" applyNumberFormat="1" applyFont="1" applyFill="1" applyBorder="1" applyAlignment="1">
      <alignment horizontal="left" vertical="center"/>
    </xf>
    <xf numFmtId="44" fontId="7" fillId="2" borderId="11" xfId="1" applyFont="1" applyFill="1" applyBorder="1" applyAlignment="1">
      <alignment horizontal="center" vertical="center"/>
    </xf>
    <xf numFmtId="167" fontId="7" fillId="2" borderId="11" xfId="0" applyNumberFormat="1" applyFont="1" applyFill="1" applyBorder="1" applyAlignment="1">
      <alignment horizontal="right" vertical="center"/>
    </xf>
    <xf numFmtId="44" fontId="17" fillId="4" borderId="28" xfId="1" applyFont="1" applyFill="1" applyBorder="1" applyAlignment="1">
      <alignment horizontal="left" vertical="center"/>
    </xf>
    <xf numFmtId="44" fontId="7" fillId="2" borderId="13" xfId="1" applyFont="1" applyFill="1" applyBorder="1" applyAlignment="1">
      <alignment horizontal="right"/>
    </xf>
    <xf numFmtId="44" fontId="10" fillId="4" borderId="3" xfId="1" applyFont="1" applyFill="1" applyBorder="1" applyAlignment="1">
      <alignment horizontal="right" vertical="center"/>
    </xf>
    <xf numFmtId="44" fontId="10" fillId="3" borderId="3" xfId="1" applyFont="1" applyFill="1" applyBorder="1" applyAlignment="1">
      <alignment horizontal="right" vertical="center"/>
    </xf>
    <xf numFmtId="44" fontId="7" fillId="2" borderId="11" xfId="1" applyFont="1" applyFill="1" applyBorder="1" applyAlignment="1">
      <alignment horizontal="right" vertical="center"/>
    </xf>
    <xf numFmtId="4" fontId="10" fillId="4" borderId="32" xfId="0" applyNumberFormat="1" applyFont="1" applyFill="1" applyBorder="1" applyAlignment="1">
      <alignment horizontal="center" vertical="center"/>
    </xf>
    <xf numFmtId="4" fontId="10" fillId="3" borderId="33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left" vertical="center"/>
    </xf>
    <xf numFmtId="44" fontId="10" fillId="4" borderId="30" xfId="1" applyFont="1" applyFill="1" applyBorder="1" applyAlignment="1">
      <alignment vertical="center"/>
    </xf>
    <xf numFmtId="164" fontId="17" fillId="4" borderId="28" xfId="0" applyNumberFormat="1" applyFont="1" applyFill="1" applyBorder="1" applyAlignment="1">
      <alignment horizontal="center" vertical="center"/>
    </xf>
    <xf numFmtId="44" fontId="17" fillId="3" borderId="2" xfId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20" fillId="0" borderId="0" xfId="0" applyFont="1"/>
    <xf numFmtId="44" fontId="0" fillId="0" borderId="0" xfId="0" applyNumberFormat="1"/>
    <xf numFmtId="0" fontId="17" fillId="4" borderId="27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43" fontId="11" fillId="0" borderId="4" xfId="0" applyNumberFormat="1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44" fontId="17" fillId="4" borderId="2" xfId="0" applyNumberFormat="1" applyFont="1" applyFill="1" applyBorder="1" applyAlignment="1">
      <alignment horizontal="left" vertical="center"/>
    </xf>
    <xf numFmtId="44" fontId="17" fillId="3" borderId="2" xfId="0" applyNumberFormat="1" applyFont="1" applyFill="1" applyBorder="1" applyAlignment="1">
      <alignment horizontal="left" vertical="center"/>
    </xf>
    <xf numFmtId="0" fontId="1" fillId="0" borderId="4" xfId="6"/>
    <xf numFmtId="0" fontId="10" fillId="0" borderId="4" xfId="6" applyFont="1"/>
    <xf numFmtId="4" fontId="1" fillId="0" borderId="4" xfId="6" applyNumberFormat="1" applyAlignment="1">
      <alignment vertical="top"/>
    </xf>
    <xf numFmtId="44" fontId="7" fillId="2" borderId="13" xfId="8" applyFont="1" applyFill="1" applyBorder="1" applyAlignment="1">
      <alignment horizontal="right"/>
    </xf>
    <xf numFmtId="0" fontId="7" fillId="2" borderId="9" xfId="6" applyFont="1" applyFill="1" applyBorder="1" applyAlignment="1">
      <alignment horizontal="right"/>
    </xf>
    <xf numFmtId="44" fontId="17" fillId="4" borderId="28" xfId="8" applyFont="1" applyFill="1" applyBorder="1" applyAlignment="1">
      <alignment horizontal="left" vertical="center"/>
    </xf>
    <xf numFmtId="44" fontId="10" fillId="3" borderId="2" xfId="8" applyFont="1" applyFill="1" applyBorder="1" applyAlignment="1">
      <alignment horizontal="left" vertical="center"/>
    </xf>
    <xf numFmtId="0" fontId="7" fillId="2" borderId="11" xfId="6" applyFont="1" applyFill="1" applyBorder="1" applyAlignment="1">
      <alignment horizontal="center" vertical="center" wrapText="1"/>
    </xf>
    <xf numFmtId="164" fontId="7" fillId="2" borderId="11" xfId="6" applyNumberFormat="1" applyFont="1" applyFill="1" applyBorder="1" applyAlignment="1">
      <alignment horizontal="center" vertical="center" wrapText="1"/>
    </xf>
    <xf numFmtId="0" fontId="1" fillId="0" borderId="0" xfId="0" applyFont="1"/>
    <xf numFmtId="44" fontId="10" fillId="3" borderId="34" xfId="1" applyFont="1" applyFill="1" applyBorder="1" applyAlignment="1">
      <alignment horizontal="center" vertical="center"/>
    </xf>
    <xf numFmtId="44" fontId="10" fillId="4" borderId="35" xfId="1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left" vertical="center"/>
    </xf>
    <xf numFmtId="4" fontId="10" fillId="3" borderId="37" xfId="0" applyNumberFormat="1" applyFont="1" applyFill="1" applyBorder="1" applyAlignment="1">
      <alignment horizontal="center" vertical="center"/>
    </xf>
    <xf numFmtId="44" fontId="10" fillId="3" borderId="38" xfId="1" applyFont="1" applyFill="1" applyBorder="1" applyAlignment="1">
      <alignment horizontal="center" vertical="center"/>
    </xf>
    <xf numFmtId="44" fontId="17" fillId="3" borderId="2" xfId="1" applyFont="1" applyFill="1" applyBorder="1" applyAlignment="1">
      <alignment horizontal="center" vertical="center"/>
    </xf>
    <xf numFmtId="44" fontId="10" fillId="4" borderId="28" xfId="1" applyFont="1" applyFill="1" applyBorder="1" applyAlignment="1">
      <alignment horizontal="center" vertical="center"/>
    </xf>
    <xf numFmtId="44" fontId="7" fillId="2" borderId="13" xfId="1" applyFont="1" applyFill="1" applyBorder="1" applyAlignment="1">
      <alignment horizontal="center"/>
    </xf>
    <xf numFmtId="168" fontId="11" fillId="0" borderId="0" xfId="0" applyNumberFormat="1" applyFont="1" applyAlignment="1">
      <alignment vertical="center"/>
    </xf>
    <xf numFmtId="44" fontId="26" fillId="3" borderId="2" xfId="1" applyFont="1" applyFill="1" applyBorder="1" applyAlignment="1">
      <alignment horizontal="left" vertical="center"/>
    </xf>
    <xf numFmtId="44" fontId="26" fillId="4" borderId="28" xfId="1" applyFont="1" applyFill="1" applyBorder="1" applyAlignment="1">
      <alignment horizontal="left" vertical="center"/>
    </xf>
    <xf numFmtId="44" fontId="26" fillId="3" borderId="2" xfId="1" applyFont="1" applyFill="1" applyBorder="1" applyAlignment="1">
      <alignment horizontal="left" vertical="center" wrapText="1"/>
    </xf>
    <xf numFmtId="44" fontId="26" fillId="4" borderId="28" xfId="1" applyFont="1" applyFill="1" applyBorder="1" applyAlignment="1">
      <alignment horizontal="left" vertical="center" wrapText="1"/>
    </xf>
    <xf numFmtId="0" fontId="17" fillId="4" borderId="29" xfId="0" applyFont="1" applyFill="1" applyBorder="1" applyAlignment="1">
      <alignment horizontal="left" vertical="center"/>
    </xf>
    <xf numFmtId="0" fontId="7" fillId="2" borderId="40" xfId="0" applyFont="1" applyFill="1" applyBorder="1" applyAlignment="1">
      <alignment horizontal="left" vertical="center"/>
    </xf>
    <xf numFmtId="0" fontId="10" fillId="4" borderId="32" xfId="0" applyFont="1" applyFill="1" applyBorder="1" applyAlignment="1">
      <alignment horizontal="left" vertical="center"/>
    </xf>
    <xf numFmtId="0" fontId="10" fillId="3" borderId="33" xfId="0" applyFont="1" applyFill="1" applyBorder="1" applyAlignment="1">
      <alignment horizontal="left" vertical="center"/>
    </xf>
    <xf numFmtId="0" fontId="10" fillId="3" borderId="37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center" vertical="center"/>
    </xf>
    <xf numFmtId="44" fontId="7" fillId="2" borderId="17" xfId="1" applyFont="1" applyFill="1" applyBorder="1" applyAlignment="1">
      <alignment horizontal="center" vertical="center"/>
    </xf>
    <xf numFmtId="4" fontId="7" fillId="2" borderId="16" xfId="0" applyNumberFormat="1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left" vertical="center"/>
    </xf>
    <xf numFmtId="0" fontId="17" fillId="3" borderId="33" xfId="0" applyFont="1" applyFill="1" applyBorder="1" applyAlignment="1">
      <alignment horizontal="left" vertical="center"/>
    </xf>
    <xf numFmtId="44" fontId="26" fillId="3" borderId="39" xfId="1" applyFont="1" applyFill="1" applyBorder="1" applyAlignment="1">
      <alignment vertical="center" wrapText="1"/>
    </xf>
    <xf numFmtId="0" fontId="8" fillId="2" borderId="4" xfId="6" applyFont="1" applyFill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7" xfId="0" applyFont="1" applyBorder="1"/>
    <xf numFmtId="0" fontId="8" fillId="2" borderId="12" xfId="0" applyFont="1" applyFill="1" applyBorder="1" applyAlignment="1">
      <alignment horizontal="center" vertical="center"/>
    </xf>
    <xf numFmtId="0" fontId="9" fillId="0" borderId="12" xfId="0" applyFont="1" applyBorder="1"/>
    <xf numFmtId="0" fontId="7" fillId="2" borderId="26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43" fontId="7" fillId="2" borderId="11" xfId="2" applyFont="1" applyFill="1" applyBorder="1" applyAlignment="1">
      <alignment horizontal="center" vertical="center"/>
    </xf>
    <xf numFmtId="0" fontId="7" fillId="2" borderId="5" xfId="6" applyFont="1" applyFill="1" applyBorder="1" applyAlignment="1">
      <alignment horizontal="center" vertical="center"/>
    </xf>
    <xf numFmtId="0" fontId="9" fillId="0" borderId="7" xfId="6" applyFont="1" applyBorder="1"/>
    <xf numFmtId="0" fontId="8" fillId="2" borderId="12" xfId="6" applyFont="1" applyFill="1" applyBorder="1" applyAlignment="1">
      <alignment horizontal="center" vertical="center"/>
    </xf>
    <xf numFmtId="0" fontId="9" fillId="0" borderId="12" xfId="6" applyFont="1" applyBorder="1"/>
    <xf numFmtId="0" fontId="8" fillId="2" borderId="41" xfId="6" applyFont="1" applyFill="1" applyBorder="1" applyAlignment="1">
      <alignment horizontal="center" vertical="center"/>
    </xf>
    <xf numFmtId="0" fontId="8" fillId="2" borderId="20" xfId="6" applyFont="1" applyFill="1" applyBorder="1" applyAlignment="1">
      <alignment horizontal="center" vertical="center"/>
    </xf>
    <xf numFmtId="44" fontId="17" fillId="4" borderId="28" xfId="1" applyFont="1" applyFill="1" applyBorder="1" applyAlignment="1">
      <alignment horizontal="center" vertical="center"/>
    </xf>
  </cellXfs>
  <cellStyles count="11">
    <cellStyle name="Moeda" xfId="1" builtinId="4"/>
    <cellStyle name="Moeda 2" xfId="8" xr:uid="{CF4063DA-F34A-4EC1-AC81-A10222858759}"/>
    <cellStyle name="Moeda 9" xfId="10" xr:uid="{CD23C284-957F-47B6-B32D-D0FD6361F7F6}"/>
    <cellStyle name="Normal" xfId="0" builtinId="0"/>
    <cellStyle name="Normal 2" xfId="3" xr:uid="{89934119-66BE-4554-8D7F-F4FDAB4F0E33}"/>
    <cellStyle name="Normal 3" xfId="6" xr:uid="{41D1A416-C263-4E10-B875-91F62D28F932}"/>
    <cellStyle name="Normal 4" xfId="9" xr:uid="{E2C836DC-9082-4DA5-AA95-056F0A8F4292}"/>
    <cellStyle name="Porcentagem" xfId="5" builtinId="5"/>
    <cellStyle name="Porcentagem 2" xfId="4" xr:uid="{910739D4-B953-4402-8BEC-DCBA788BEB45}"/>
    <cellStyle name="Vírgula" xfId="2" builtinId="3"/>
    <cellStyle name="Vírgula 2" xfId="7" xr:uid="{CCEA5633-8A3B-4655-8136-403E2E673EC2}"/>
  </cellStyles>
  <dxfs count="0"/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CLN%20Construtora\04.%20Custo\03.6%20Custo%20-%20Or&#231;amento%20Preliminar\R01\CTN_CLN_PBY%20-%20Or&#231;amento%20-%20R01.xlsx" TargetMode="External"/><Relationship Id="rId1" Type="http://schemas.openxmlformats.org/officeDocument/2006/relationships/externalLinkPath" Target="CTN_CLN_PBY%20-%20Or&#231;amento%20-%20R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LN%20Construtora/04.%20Custo/03.6%20Custo%20-%20Or&#231;amento%20Preliminar/Valida&#231;&#227;o%20final/CTN_CLN_PBY%20-%20Or&#231;a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 "/>
      <sheetName val="Ger_Tec e Adm"/>
      <sheetName val="Ger_Executivo"/>
      <sheetName val="EPCs"/>
      <sheetName val="CANTEIRO"/>
      <sheetName val="Controle Tec"/>
      <sheetName val="EQUIPAMENTOS"/>
      <sheetName val="Estacas"/>
      <sheetName val="Fundação Rasa"/>
      <sheetName val="Infraestrutura"/>
      <sheetName val="Supraestrutura"/>
      <sheetName val="ARQUITETURA"/>
      <sheetName val="INTERFONIA "/>
      <sheetName val="LOUÇAS E METAIS-PAV"/>
      <sheetName val="LOUÇAS E METAIS"/>
      <sheetName val="MOBILIÁRIO"/>
      <sheetName val="Quantitativo aço"/>
      <sheetName val="ESCADAS"/>
      <sheetName val="Tijolos refratários"/>
      <sheetName val="INTERFONIA"/>
      <sheetName val="PISCINA"/>
      <sheetName val="PORTÕES"/>
      <sheetName val="Piso Arm.Térreo"/>
      <sheetName val="Pilares"/>
      <sheetName val="Vigas - T1 "/>
      <sheetName val="Lajes - T1 "/>
      <sheetName val="Escada - T1"/>
      <sheetName val="Indices de Bloco"/>
      <sheetName val="Resumo Esquadrias - T1"/>
    </sheetNames>
    <sheetDataSet>
      <sheetData sheetId="0">
        <row r="9">
          <cell r="E9">
            <v>12972.67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ra "/>
      <sheetName val="Ger_Tec e Adm"/>
      <sheetName val="Ger_Executivo"/>
      <sheetName val="ARQUITETURA"/>
      <sheetName val="ESTIMADO INSTALAÇÕES"/>
      <sheetName val="Indiretos"/>
      <sheetName val="EPCs"/>
      <sheetName val="CANTEIRO"/>
      <sheetName val="Controle Tecnologico (2)"/>
      <sheetName val="Indiretos - equipamentos"/>
      <sheetName val="Estacas"/>
      <sheetName val="Fundação Rasa"/>
      <sheetName val="Infraestrutura"/>
      <sheetName val="Supraestrutura"/>
      <sheetName val="INTERFONIA "/>
      <sheetName val="MO Infra"/>
      <sheetName val="Cotações"/>
      <sheetName val="MOBILIÁRIO"/>
      <sheetName val="ESQUADRIAS"/>
      <sheetName val="LOUÇAS E METAIS-PAV"/>
      <sheetName val="LOUÇAS E METAIS"/>
      <sheetName val="Controle Tecnologico"/>
      <sheetName val="Arm. Cortina"/>
      <sheetName val="Cortina"/>
      <sheetName val="Tabela de Aço"/>
      <sheetName val="Quantitativo aço"/>
      <sheetName val="Escadas (2)"/>
      <sheetName val="ESCADAS"/>
      <sheetName val="Tijolos refratários"/>
      <sheetName val="INTERFONIA"/>
      <sheetName val="PISCINA"/>
      <sheetName val="PORTÕES"/>
      <sheetName val="Piso Arm.Térreo"/>
      <sheetName val="Pilares"/>
      <sheetName val="Vigas - T1 "/>
      <sheetName val="Lajes - T1 "/>
      <sheetName val="Escada - T1"/>
      <sheetName val="Indices de Bloco"/>
      <sheetName val="Resumo Esquadrias - T1"/>
    </sheetNames>
    <sheetDataSet>
      <sheetData sheetId="0">
        <row r="34">
          <cell r="C34">
            <v>4523591.5732937399</v>
          </cell>
        </row>
        <row r="58">
          <cell r="C58">
            <v>1373678.4744230499</v>
          </cell>
        </row>
        <row r="59">
          <cell r="C59">
            <v>952819.64630000014</v>
          </cell>
        </row>
        <row r="60">
          <cell r="C60">
            <v>838832.72909792827</v>
          </cell>
        </row>
        <row r="61">
          <cell r="C61">
            <v>1910451.8082332197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677.467636574074" createdVersion="7" refreshedVersion="7" minRefreshableVersion="3" recordCount="19" xr:uid="{583522CE-19C3-4117-B21F-6FC630442B71}">
  <cacheSource type="worksheet">
    <worksheetSource ref="A1:D20" sheet="GER_EXECUTIVO"/>
  </cacheSource>
  <cacheFields count="4">
    <cacheField name="ETAPA" numFmtId="0">
      <sharedItems count="19">
        <s v="GERENCIAMENTO TÉCNICO E ADMINISTRATIVO"/>
        <s v="MOVIMENTAÇÃO DE TERRA"/>
        <s v="INFRAESTRUTURA"/>
        <s v="SUPRAESTRUTURA"/>
        <s v="ALVENARIA"/>
        <s v="INSTALAÇÕES ELÉTRICAS, HIDRÁULICAS, GLP E PREVENTIVAS"/>
        <s v="EQUIPAMENTOS E SISTEMAS ESPECIAIS"/>
        <s v="CLIMATIZAÇÃO, EXAUSTÃO MECÂNICA E PRESSURIZAÇÃO"/>
        <s v="IMPERMEABILIZAÇÃO"/>
        <s v="ACABAMENTOS INTERNOS EM PAREDE"/>
        <s v="REVESTIMENTOS INTERNOS DE TETO"/>
        <s v="PISOS E PAVIMENTAÇÕES"/>
        <s v="SISTEMAS DE PINTURA INTERNA"/>
        <s v="ESQUADRIAS, VIDROS E FERRAGENS"/>
        <s v="LOUÇAS E METAIS"/>
        <s v="REVESTIMENTOS E ACABAMENTOS DE FACHADA"/>
        <s v="SERVIÇOS COMPLEMENTARES"/>
        <s v="IMPREVISTOS"/>
        <s v="TOTAL"/>
      </sharedItems>
    </cacheField>
    <cacheField name="VALOR ORÇADO" numFmtId="44">
      <sharedItems containsSemiMixedTypes="0" containsString="0" containsNumber="1" minValue="192234.68202663233" maxValue="41512051.37037044"/>
    </cacheField>
    <cacheField name="%" numFmtId="0">
      <sharedItems containsSemiMixedTypes="0" containsString="0" containsNumber="1" minValue="4.6308162492745752E-3" maxValue="0.99999999999999978"/>
    </cacheField>
    <cacheField name="VALOR / m²" numFmtId="44">
      <sharedItems containsSemiMixedTypes="0" containsString="0" containsNumber="1" minValue="16.028907031320966" maxValue="3461.35673896193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523591.5732937399"/>
    <n v="0.10897056213710725"/>
    <n v="377.18598960174603"/>
  </r>
  <r>
    <x v="1"/>
    <n v="192234.68202663233"/>
    <n v="4.6308162492745752E-3"/>
    <n v="16.028907031320966"/>
  </r>
  <r>
    <x v="2"/>
    <n v="2357339.9020264638"/>
    <n v="5.6786880537275354E-2"/>
    <n v="196.55965163232418"/>
  </r>
  <r>
    <x v="3"/>
    <n v="9215681.7582319994"/>
    <n v="0.22200015306421994"/>
    <n v="768.42172585941796"/>
  </r>
  <r>
    <x v="4"/>
    <n v="1758803.9943805642"/>
    <n v="4.236851555921721E-2"/>
    <n v="146.65254685070994"/>
  </r>
  <r>
    <x v="5"/>
    <n v="3873512.8960791035"/>
    <n v="9.3310563275219263E-2"/>
    <n v="322.98114700901385"/>
  </r>
  <r>
    <x v="6"/>
    <n v="1413762.427971561"/>
    <n v="3.4056674659557903E-2"/>
    <n v="117.88230033949479"/>
  </r>
  <r>
    <x v="7"/>
    <n v="723400"/>
    <n v="1.7426264810327649E-2"/>
    <n v="60.318519136162763"/>
  </r>
  <r>
    <x v="8"/>
    <n v="438426.64471566217"/>
    <n v="1.0561430482054971E-2"/>
    <n v="36.556878572138928"/>
  </r>
  <r>
    <x v="9"/>
    <n v="2326498.1207230501"/>
    <n v="5.6043920835567446E-2"/>
    <n v="193.98800306204038"/>
  </r>
  <r>
    <x v="10"/>
    <n v="819178.46854399994"/>
    <n v="1.973350970385181E-2"/>
    <n v="68.304716796798132"/>
  </r>
  <r>
    <x v="11"/>
    <n v="2749284.5373311481"/>
    <n v="6.6228587761227142E-2"/>
    <n v="229.24076855925523"/>
  </r>
  <r>
    <x v="12"/>
    <n v="1614903.9692634668"/>
    <n v="3.8902051716387047E-2"/>
    <n v="134.65387886796188"/>
  </r>
  <r>
    <x v="13"/>
    <n v="4068208.6400170005"/>
    <n v="9.8000665004975326E-2"/>
    <n v="339.21526223772207"/>
  </r>
  <r>
    <x v="14"/>
    <n v="385107.49151919998"/>
    <n v="9.2770046000201657E-3"/>
    <n v="32.111022389660633"/>
  </r>
  <r>
    <x v="15"/>
    <n v="2206429.7573399995"/>
    <n v="5.3151547189374905E-2"/>
    <n v="183.97646605019591"/>
  </r>
  <r>
    <x v="16"/>
    <n v="2120422.589317116"/>
    <n v="5.107968696605017E-2"/>
    <n v="176.80501870400366"/>
  </r>
  <r>
    <x v="17"/>
    <n v="725263.91758973943"/>
    <n v="1.7471165448292018E-2"/>
    <n v="60.473936261964433"/>
  </r>
  <r>
    <x v="18"/>
    <n v="41512051.37037044"/>
    <n v="0.99999999999999978"/>
    <n v="3461.35673896193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B5E08-571E-45AB-8282-0E79A15D905A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4:B44" firstHeaderRow="1" firstDataRow="1" firstDataCol="1"/>
  <pivotFields count="4">
    <pivotField axis="axisRow" showAll="0" sortType="descending">
      <items count="20">
        <item x="9"/>
        <item x="4"/>
        <item x="7"/>
        <item x="6"/>
        <item x="13"/>
        <item x="0"/>
        <item x="8"/>
        <item x="17"/>
        <item x="2"/>
        <item x="5"/>
        <item x="14"/>
        <item x="1"/>
        <item x="11"/>
        <item x="15"/>
        <item x="10"/>
        <item x="16"/>
        <item x="12"/>
        <item x="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dataField="1" showAll="0"/>
    <pivotField numFmtId="44" showAll="0"/>
  </pivotFields>
  <rowFields count="1">
    <field x="0"/>
  </rowFields>
  <rowItems count="20">
    <i>
      <x v="18"/>
    </i>
    <i>
      <x v="17"/>
    </i>
    <i>
      <x v="5"/>
    </i>
    <i>
      <x v="4"/>
    </i>
    <i>
      <x v="9"/>
    </i>
    <i>
      <x v="12"/>
    </i>
    <i>
      <x v="8"/>
    </i>
    <i>
      <x/>
    </i>
    <i>
      <x v="13"/>
    </i>
    <i>
      <x v="15"/>
    </i>
    <i>
      <x v="1"/>
    </i>
    <i>
      <x v="16"/>
    </i>
    <i>
      <x v="3"/>
    </i>
    <i>
      <x v="14"/>
    </i>
    <i>
      <x v="7"/>
    </i>
    <i>
      <x v="2"/>
    </i>
    <i>
      <x v="6"/>
    </i>
    <i>
      <x v="10"/>
    </i>
    <i>
      <x v="11"/>
    </i>
    <i t="grand">
      <x/>
    </i>
  </rowItems>
  <colItems count="1">
    <i/>
  </colItems>
  <dataFields count="1">
    <dataField name="Soma de %" fld="2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EEB2-F28C-4F65-84B7-AE9110E64746}">
  <dimension ref="A1:M981"/>
  <sheetViews>
    <sheetView topLeftCell="A5" zoomScale="82" zoomScaleNormal="82" workbookViewId="0">
      <selection activeCell="B3" sqref="B3:B18"/>
    </sheetView>
  </sheetViews>
  <sheetFormatPr defaultColWidth="14.42578125" defaultRowHeight="15" customHeight="1" x14ac:dyDescent="0.25"/>
  <cols>
    <col min="1" max="1" width="56.5703125" bestFit="1" customWidth="1"/>
    <col min="2" max="2" width="21.140625" bestFit="1" customWidth="1"/>
    <col min="3" max="3" width="15.28515625" style="18" customWidth="1"/>
    <col min="4" max="4" width="20.85546875" style="18" customWidth="1"/>
    <col min="5" max="5" width="55.7109375" bestFit="1" customWidth="1"/>
    <col min="6" max="6" width="26.5703125" customWidth="1"/>
    <col min="7" max="7" width="18.7109375" customWidth="1"/>
    <col min="8" max="8" width="3.85546875" bestFit="1" customWidth="1"/>
    <col min="9" max="19" width="55.7109375" bestFit="1" customWidth="1"/>
    <col min="20" max="20" width="10.7109375" bestFit="1" customWidth="1"/>
  </cols>
  <sheetData>
    <row r="1" spans="1:13" ht="22.5" customHeight="1" thickBot="1" x14ac:dyDescent="0.3">
      <c r="A1" s="41" t="s">
        <v>0</v>
      </c>
      <c r="B1" s="42" t="s">
        <v>14</v>
      </c>
      <c r="C1" s="42" t="s">
        <v>15</v>
      </c>
      <c r="D1" s="42" t="s">
        <v>1</v>
      </c>
      <c r="E1" s="6"/>
      <c r="F1" s="6"/>
      <c r="G1" s="6"/>
      <c r="H1" s="6"/>
      <c r="I1" s="6"/>
      <c r="J1" s="6"/>
      <c r="K1" s="6"/>
      <c r="L1" s="6"/>
      <c r="M1" s="6"/>
    </row>
    <row r="2" spans="1:13" ht="22.5" customHeight="1" thickBot="1" x14ac:dyDescent="0.3">
      <c r="A2" s="99" t="s">
        <v>16</v>
      </c>
      <c r="B2" s="104">
        <v>4776159.3952975795</v>
      </c>
      <c r="C2" s="40">
        <f t="shared" ref="C2:C19" si="0">B2/B$20</f>
        <v>0.11229681986923711</v>
      </c>
      <c r="D2" s="84">
        <f>B2/GER_EXECUTIVO!G$2</f>
        <v>368.17088504506626</v>
      </c>
      <c r="E2" s="6"/>
      <c r="F2" s="21" t="s">
        <v>22</v>
      </c>
      <c r="G2" s="64">
        <f>'[1]Obra '!$E$9</f>
        <v>12972.67</v>
      </c>
      <c r="H2" s="22" t="s">
        <v>32</v>
      </c>
      <c r="I2" s="6"/>
      <c r="J2" s="6"/>
      <c r="K2" s="6"/>
      <c r="L2" s="6"/>
      <c r="M2" s="6"/>
    </row>
    <row r="3" spans="1:13" ht="22.5" customHeight="1" x14ac:dyDescent="0.25">
      <c r="A3" s="100" t="s">
        <v>2</v>
      </c>
      <c r="B3" s="105">
        <v>309995.08732088114</v>
      </c>
      <c r="C3" s="7">
        <f t="shared" si="0"/>
        <v>7.2885889268049613E-3</v>
      </c>
      <c r="D3" s="85">
        <f>B3/GER_EXECUTIVO!G$2</f>
        <v>23.896012719114964</v>
      </c>
      <c r="E3" s="6"/>
      <c r="F3" s="101"/>
      <c r="G3" s="102"/>
      <c r="H3" s="103"/>
      <c r="I3" s="6"/>
      <c r="J3" s="6"/>
      <c r="K3" s="6"/>
      <c r="L3" s="6"/>
      <c r="M3" s="6"/>
    </row>
    <row r="4" spans="1:13" ht="19.5" customHeight="1" x14ac:dyDescent="0.25">
      <c r="A4" s="99" t="s">
        <v>3</v>
      </c>
      <c r="B4" s="104">
        <v>2385378.0276102116</v>
      </c>
      <c r="C4" s="40">
        <f t="shared" si="0"/>
        <v>5.6084888404334822E-2</v>
      </c>
      <c r="D4" s="84">
        <f>B4/GER_EXECUTIVO!G$2</f>
        <v>183.87718392668677</v>
      </c>
      <c r="E4" s="6"/>
      <c r="F4" s="8"/>
      <c r="G4" s="6"/>
      <c r="H4" s="6"/>
      <c r="I4" s="6"/>
      <c r="J4" s="6"/>
      <c r="K4" s="6"/>
      <c r="L4" s="6"/>
      <c r="M4" s="6"/>
    </row>
    <row r="5" spans="1:13" ht="19.5" customHeight="1" x14ac:dyDescent="0.25">
      <c r="A5" s="100" t="s">
        <v>4</v>
      </c>
      <c r="B5" s="105">
        <v>9440921.1862320006</v>
      </c>
      <c r="C5" s="7">
        <f t="shared" si="0"/>
        <v>0.22197446485847533</v>
      </c>
      <c r="D5" s="85">
        <f>B5/GER_EXECUTIVO!G$2</f>
        <v>727.75467087592608</v>
      </c>
      <c r="E5" s="6"/>
      <c r="F5" s="8"/>
      <c r="G5" s="6"/>
      <c r="H5" s="74"/>
      <c r="I5" s="75"/>
      <c r="J5" s="6"/>
      <c r="K5" s="6"/>
      <c r="L5" s="6"/>
      <c r="M5" s="6"/>
    </row>
    <row r="6" spans="1:13" ht="19.5" customHeight="1" x14ac:dyDescent="0.25">
      <c r="A6" s="99" t="s">
        <v>5</v>
      </c>
      <c r="B6" s="104">
        <v>1758803.9943805642</v>
      </c>
      <c r="C6" s="40">
        <f t="shared" si="0"/>
        <v>4.1352911198212459E-2</v>
      </c>
      <c r="D6" s="84">
        <f>B6/GER_EXECUTIVO!G$2</f>
        <v>135.57764086965631</v>
      </c>
      <c r="E6" s="6"/>
      <c r="F6" s="6"/>
      <c r="G6" s="6"/>
      <c r="H6" s="74"/>
      <c r="I6" s="75"/>
      <c r="J6" s="6"/>
      <c r="K6" s="6"/>
      <c r="L6" s="6"/>
      <c r="M6" s="6"/>
    </row>
    <row r="7" spans="1:13" ht="19.5" customHeight="1" x14ac:dyDescent="0.25">
      <c r="A7" s="100" t="s">
        <v>6</v>
      </c>
      <c r="B7" s="105">
        <v>3847706.2360791042</v>
      </c>
      <c r="C7" s="7">
        <f t="shared" si="0"/>
        <v>9.0467075811609163E-2</v>
      </c>
      <c r="D7" s="85">
        <f>B7/GER_EXECUTIVO!G$2</f>
        <v>296.60094923243281</v>
      </c>
      <c r="E7" s="6"/>
      <c r="F7" s="10"/>
      <c r="G7" s="6"/>
      <c r="H7" s="74"/>
      <c r="I7" s="75"/>
      <c r="J7" s="6"/>
      <c r="K7" s="6"/>
      <c r="L7" s="6"/>
      <c r="M7" s="6"/>
    </row>
    <row r="8" spans="1:13" ht="19.5" customHeight="1" x14ac:dyDescent="0.25">
      <c r="A8" s="99" t="s">
        <v>20</v>
      </c>
      <c r="B8" s="104">
        <v>1413762.427971561</v>
      </c>
      <c r="C8" s="40">
        <f t="shared" si="0"/>
        <v>3.324031121493299E-2</v>
      </c>
      <c r="D8" s="84">
        <f>B8/GER_EXECUTIVO!G$2</f>
        <v>108.98006562809051</v>
      </c>
      <c r="E8" s="17"/>
      <c r="F8" s="11"/>
      <c r="G8" s="6"/>
      <c r="H8" s="6"/>
      <c r="I8" s="6"/>
      <c r="J8" s="6"/>
      <c r="K8" s="6"/>
      <c r="L8" s="6"/>
      <c r="M8" s="6"/>
    </row>
    <row r="9" spans="1:13" ht="19.5" customHeight="1" x14ac:dyDescent="0.25">
      <c r="A9" s="100" t="s">
        <v>61</v>
      </c>
      <c r="B9" s="105">
        <v>723400</v>
      </c>
      <c r="C9" s="7">
        <f t="shared" si="0"/>
        <v>1.7008544474748363E-2</v>
      </c>
      <c r="D9" s="85">
        <f>B9/GER_EXECUTIVO!G$2</f>
        <v>55.763385640735486</v>
      </c>
      <c r="E9" s="6"/>
      <c r="F9" s="10"/>
      <c r="G9" s="19"/>
      <c r="H9" s="6"/>
      <c r="I9" s="6"/>
      <c r="J9" s="6"/>
      <c r="K9" s="6"/>
      <c r="L9" s="6"/>
      <c r="M9" s="6"/>
    </row>
    <row r="10" spans="1:13" ht="19.5" customHeight="1" x14ac:dyDescent="0.25">
      <c r="A10" s="99" t="s">
        <v>7</v>
      </c>
      <c r="B10" s="104">
        <v>447005.69859066204</v>
      </c>
      <c r="C10" s="40">
        <f t="shared" si="0"/>
        <v>1.0509975539045115E-2</v>
      </c>
      <c r="D10" s="84">
        <f>B10/GER_EXECUTIVO!G$2</f>
        <v>34.457493992421149</v>
      </c>
      <c r="E10" s="6"/>
      <c r="F10" s="9"/>
      <c r="G10" s="6"/>
      <c r="H10" s="6"/>
      <c r="I10" s="6"/>
      <c r="J10" s="6"/>
      <c r="K10" s="6"/>
      <c r="L10" s="6"/>
      <c r="M10" s="6"/>
    </row>
    <row r="11" spans="1:13" ht="19.5" customHeight="1" x14ac:dyDescent="0.25">
      <c r="A11" s="100" t="s">
        <v>69</v>
      </c>
      <c r="B11" s="105">
        <v>2326498.1207230501</v>
      </c>
      <c r="C11" s="7">
        <f t="shared" si="0"/>
        <v>5.4700506990235667E-2</v>
      </c>
      <c r="D11" s="85">
        <f>B11/GER_EXECUTIVO!G$2</f>
        <v>179.33841843838238</v>
      </c>
      <c r="E11" s="6"/>
      <c r="F11" s="9"/>
      <c r="G11" s="6"/>
      <c r="H11" s="6"/>
      <c r="I11" s="6"/>
      <c r="J11" s="6"/>
      <c r="K11" s="6"/>
      <c r="L11" s="6"/>
      <c r="M11" s="6"/>
    </row>
    <row r="12" spans="1:13" ht="19.5" customHeight="1" x14ac:dyDescent="0.25">
      <c r="A12" s="99" t="s">
        <v>70</v>
      </c>
      <c r="B12" s="104">
        <v>819178.46854399994</v>
      </c>
      <c r="C12" s="40">
        <f t="shared" si="0"/>
        <v>1.9260483017676078E-2</v>
      </c>
      <c r="D12" s="84">
        <f>B12/GER_EXECUTIVO!G$2</f>
        <v>63.146481683724318</v>
      </c>
      <c r="E12" s="6"/>
      <c r="F12" s="6"/>
      <c r="G12" s="20"/>
      <c r="H12" s="6"/>
      <c r="I12" s="6"/>
      <c r="J12" s="6"/>
      <c r="K12" s="6"/>
      <c r="L12" s="6"/>
      <c r="M12" s="6"/>
    </row>
    <row r="13" spans="1:13" ht="19.5" customHeight="1" x14ac:dyDescent="0.25">
      <c r="A13" s="100" t="s">
        <v>54</v>
      </c>
      <c r="B13" s="105">
        <v>2749284.5373311481</v>
      </c>
      <c r="C13" s="7">
        <f t="shared" si="0"/>
        <v>6.4641039987468632E-2</v>
      </c>
      <c r="D13" s="85">
        <f>B13/GER_EXECUTIVO!G$2</f>
        <v>211.92896584366579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ht="19.5" customHeight="1" x14ac:dyDescent="0.25">
      <c r="A14" s="99" t="s">
        <v>62</v>
      </c>
      <c r="B14" s="104">
        <v>1614903.9692634668</v>
      </c>
      <c r="C14" s="40">
        <f t="shared" si="0"/>
        <v>3.7969541033543455E-2</v>
      </c>
      <c r="D14" s="84">
        <f>B14/GER_EXECUTIVO!G$2</f>
        <v>124.48508820955645</v>
      </c>
      <c r="E14" s="6"/>
      <c r="F14" s="67"/>
      <c r="G14" s="6"/>
      <c r="H14" s="6"/>
      <c r="I14" s="6"/>
      <c r="J14" s="6"/>
      <c r="K14" s="6"/>
      <c r="L14" s="6"/>
      <c r="M14" s="6"/>
    </row>
    <row r="15" spans="1:13" ht="19.5" customHeight="1" x14ac:dyDescent="0.25">
      <c r="A15" s="100" t="s">
        <v>10</v>
      </c>
      <c r="B15" s="105">
        <v>4068208.6400170005</v>
      </c>
      <c r="C15" s="7">
        <f t="shared" si="0"/>
        <v>9.5651517260553917E-2</v>
      </c>
      <c r="D15" s="85">
        <f>B15/GER_EXECUTIVO!G$2</f>
        <v>313.59840649742887</v>
      </c>
      <c r="E15" s="6"/>
      <c r="F15" s="67"/>
      <c r="G15" s="6"/>
      <c r="H15" s="6"/>
      <c r="I15" s="6"/>
      <c r="J15" s="6"/>
      <c r="K15" s="6"/>
      <c r="L15" s="6"/>
      <c r="M15" s="6"/>
    </row>
    <row r="16" spans="1:13" ht="19.5" customHeight="1" x14ac:dyDescent="0.25">
      <c r="A16" s="99" t="s">
        <v>37</v>
      </c>
      <c r="B16" s="104">
        <v>415789.4515192</v>
      </c>
      <c r="C16" s="40">
        <f t="shared" si="0"/>
        <v>9.7760207054126916E-3</v>
      </c>
      <c r="D16" s="84">
        <f>B16/GER_EXECUTIVO!G$2</f>
        <v>32.051185416664417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ht="19.5" customHeight="1" x14ac:dyDescent="0.25">
      <c r="A17" s="100" t="s">
        <v>11</v>
      </c>
      <c r="B17" s="105">
        <v>2453734.2412399999</v>
      </c>
      <c r="C17" s="7">
        <f t="shared" si="0"/>
        <v>5.7692076266717539E-2</v>
      </c>
      <c r="D17" s="85">
        <f>B17/GER_EXECUTIVO!G$2</f>
        <v>189.14643178620901</v>
      </c>
      <c r="E17" s="6"/>
      <c r="F17" s="67"/>
      <c r="G17" s="6"/>
      <c r="H17" s="6"/>
      <c r="I17" s="6"/>
      <c r="J17" s="6"/>
      <c r="K17" s="6"/>
      <c r="L17" s="6"/>
      <c r="M17" s="6"/>
    </row>
    <row r="18" spans="1:13" ht="19.5" customHeight="1" x14ac:dyDescent="0.25">
      <c r="A18" s="99" t="s">
        <v>12</v>
      </c>
      <c r="B18" s="104">
        <v>2240532.589317116</v>
      </c>
      <c r="C18" s="40">
        <f t="shared" si="0"/>
        <v>5.2679289732545306E-2</v>
      </c>
      <c r="D18" s="84">
        <f>B18/GER_EXECUTIVO!G$2</f>
        <v>172.71175396561509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ht="19.5" customHeight="1" x14ac:dyDescent="0.25">
      <c r="A19" s="100" t="s">
        <v>60</v>
      </c>
      <c r="B19" s="105">
        <v>740302.05352279928</v>
      </c>
      <c r="C19" s="7">
        <f t="shared" si="0"/>
        <v>1.7405944708446329E-2</v>
      </c>
      <c r="D19" s="85">
        <f>B19/GER_EXECUTIVO!G$2</f>
        <v>57.066282694526208</v>
      </c>
      <c r="E19" s="6"/>
      <c r="F19" s="6"/>
      <c r="G19" s="6"/>
      <c r="H19" s="6"/>
      <c r="I19" s="6"/>
      <c r="J19" s="6"/>
      <c r="K19" s="6"/>
      <c r="L19" s="6"/>
      <c r="M19" s="6"/>
    </row>
    <row r="20" spans="1:13" ht="19.5" customHeight="1" x14ac:dyDescent="0.25">
      <c r="A20" s="41" t="s">
        <v>13</v>
      </c>
      <c r="B20" s="79">
        <f>SUM(B2:B19)</f>
        <v>42531564.124960348</v>
      </c>
      <c r="C20" s="43">
        <f>SUM(C2:C19)</f>
        <v>0.99999999999999989</v>
      </c>
      <c r="D20" s="86">
        <f>SUM(D2:D19)</f>
        <v>3278.5513024659035</v>
      </c>
      <c r="E20" s="9"/>
      <c r="F20" s="67"/>
      <c r="G20" s="6"/>
      <c r="H20" s="6"/>
      <c r="I20" s="6"/>
      <c r="J20" s="6"/>
      <c r="K20" s="6"/>
      <c r="L20" s="6"/>
      <c r="M20" s="6"/>
    </row>
    <row r="21" spans="1:13" ht="19.5" customHeight="1" x14ac:dyDescent="0.25">
      <c r="A21" s="41" t="s">
        <v>29</v>
      </c>
      <c r="B21" s="80">
        <v>2868.91</v>
      </c>
      <c r="C21" s="44">
        <v>45627</v>
      </c>
      <c r="D21" s="81" t="str">
        <f>ROUND(D20/B21,2)&amp;" CUB"</f>
        <v>1,14 CUB</v>
      </c>
      <c r="E21" s="9"/>
      <c r="F21" s="6"/>
      <c r="G21" s="6"/>
      <c r="H21" s="6"/>
      <c r="I21" s="6"/>
      <c r="J21" s="6"/>
      <c r="K21" s="6"/>
      <c r="L21" s="6"/>
      <c r="M21" s="6"/>
    </row>
    <row r="22" spans="1:13" ht="19.5" x14ac:dyDescent="0.25">
      <c r="C22" s="10"/>
      <c r="D22" s="10"/>
      <c r="E22" s="6"/>
      <c r="F22" s="9"/>
      <c r="G22" s="6"/>
      <c r="H22" s="6"/>
      <c r="I22" s="6"/>
      <c r="J22" s="6"/>
      <c r="K22" s="6"/>
      <c r="L22" s="6"/>
      <c r="M22" s="6"/>
    </row>
    <row r="23" spans="1:13" ht="22.5" customHeight="1" x14ac:dyDescent="0.25">
      <c r="A23" s="6"/>
      <c r="B23" s="9"/>
      <c r="C23" s="10"/>
      <c r="D23" s="10"/>
      <c r="E23" s="6"/>
      <c r="F23" s="67"/>
      <c r="G23" s="67"/>
      <c r="H23" s="6"/>
      <c r="I23" s="6"/>
      <c r="J23" s="6"/>
      <c r="K23" s="6"/>
      <c r="L23" s="6"/>
      <c r="M23" s="6"/>
    </row>
    <row r="24" spans="1:13" x14ac:dyDescent="0.25">
      <c r="A24" s="70" t="s">
        <v>38</v>
      </c>
      <c r="B24" t="s">
        <v>40</v>
      </c>
      <c r="C24"/>
      <c r="D24"/>
    </row>
    <row r="25" spans="1:13" x14ac:dyDescent="0.25">
      <c r="A25" s="71" t="s">
        <v>13</v>
      </c>
      <c r="B25" s="72">
        <v>0.99999999999999978</v>
      </c>
      <c r="C25"/>
      <c r="D25"/>
    </row>
    <row r="26" spans="1:13" ht="19.5" x14ac:dyDescent="0.25">
      <c r="A26" s="71" t="s">
        <v>4</v>
      </c>
      <c r="B26" s="72">
        <v>0.22200015306421994</v>
      </c>
      <c r="C26"/>
      <c r="D26" s="10"/>
      <c r="E26" s="6"/>
      <c r="F26" s="6"/>
      <c r="G26" s="6"/>
      <c r="H26" s="6"/>
      <c r="I26" s="6"/>
      <c r="J26" s="6"/>
      <c r="K26" s="6"/>
      <c r="L26" s="6"/>
      <c r="M26" s="6"/>
    </row>
    <row r="27" spans="1:13" ht="19.5" x14ac:dyDescent="0.25">
      <c r="A27" s="71" t="s">
        <v>16</v>
      </c>
      <c r="B27" s="72">
        <v>0.10897056213710725</v>
      </c>
      <c r="C27"/>
      <c r="D27" s="10"/>
      <c r="E27" s="6"/>
      <c r="F27" s="6"/>
      <c r="G27" s="6"/>
      <c r="H27" s="6"/>
      <c r="I27" s="6"/>
      <c r="J27" s="6"/>
      <c r="K27" s="6"/>
      <c r="L27" s="6"/>
      <c r="M27" s="6"/>
    </row>
    <row r="28" spans="1:13" ht="19.5" x14ac:dyDescent="0.25">
      <c r="A28" s="71" t="s">
        <v>10</v>
      </c>
      <c r="B28" s="72">
        <v>9.8000665004975326E-2</v>
      </c>
      <c r="C28"/>
      <c r="D28" s="10"/>
      <c r="E28" s="6"/>
      <c r="F28" s="6"/>
      <c r="G28" s="6"/>
      <c r="H28" s="6"/>
      <c r="I28" s="6"/>
      <c r="J28" s="6"/>
      <c r="K28" s="6"/>
      <c r="L28" s="6"/>
      <c r="M28" s="6"/>
    </row>
    <row r="29" spans="1:13" ht="19.5" x14ac:dyDescent="0.25">
      <c r="A29" s="71" t="s">
        <v>6</v>
      </c>
      <c r="B29" s="72">
        <v>9.3310563275219263E-2</v>
      </c>
      <c r="C29"/>
      <c r="D29" s="10"/>
      <c r="E29" s="6"/>
      <c r="F29" s="6"/>
      <c r="G29" s="6"/>
      <c r="H29" s="6"/>
      <c r="I29" s="6"/>
      <c r="J29" s="6"/>
      <c r="K29" s="6"/>
      <c r="L29" s="6"/>
      <c r="M29" s="6"/>
    </row>
    <row r="30" spans="1:13" ht="19.5" x14ac:dyDescent="0.25">
      <c r="A30" s="71" t="s">
        <v>54</v>
      </c>
      <c r="B30" s="72">
        <v>6.6228587761227142E-2</v>
      </c>
      <c r="C30"/>
      <c r="D30" s="10"/>
      <c r="E30" s="6"/>
      <c r="F30" s="6"/>
      <c r="G30" s="6"/>
      <c r="H30" s="6"/>
      <c r="I30" s="6"/>
      <c r="J30" s="6"/>
      <c r="K30" s="6"/>
      <c r="L30" s="6"/>
      <c r="M30" s="6"/>
    </row>
    <row r="31" spans="1:13" ht="19.5" x14ac:dyDescent="0.25">
      <c r="A31" s="71" t="s">
        <v>3</v>
      </c>
      <c r="B31" s="72">
        <v>5.6786880537275354E-2</v>
      </c>
      <c r="C31"/>
      <c r="D31" s="10"/>
      <c r="E31" s="6"/>
      <c r="F31" s="6"/>
      <c r="G31" s="6"/>
      <c r="H31" s="6"/>
      <c r="I31" s="6"/>
      <c r="J31" s="6"/>
      <c r="K31" s="6"/>
      <c r="L31" s="6"/>
      <c r="M31" s="6"/>
    </row>
    <row r="32" spans="1:13" ht="19.5" x14ac:dyDescent="0.25">
      <c r="A32" s="71" t="s">
        <v>69</v>
      </c>
      <c r="B32" s="72">
        <v>5.6043920835567446E-2</v>
      </c>
      <c r="C32"/>
      <c r="D32" s="10"/>
      <c r="E32" s="6"/>
      <c r="F32" s="6"/>
      <c r="G32" s="6"/>
      <c r="H32" s="6"/>
      <c r="I32" s="6"/>
      <c r="J32" s="6"/>
      <c r="K32" s="6"/>
      <c r="L32" s="6"/>
      <c r="M32" s="6"/>
    </row>
    <row r="33" spans="1:13" ht="19.5" x14ac:dyDescent="0.25">
      <c r="A33" s="71" t="s">
        <v>11</v>
      </c>
      <c r="B33" s="72">
        <v>5.3151547189374905E-2</v>
      </c>
      <c r="C33"/>
      <c r="D33" s="10"/>
      <c r="E33" s="6"/>
      <c r="F33" s="6"/>
      <c r="G33" s="6"/>
      <c r="H33" s="6"/>
      <c r="I33" s="6"/>
      <c r="J33" s="6"/>
      <c r="K33" s="6"/>
      <c r="L33" s="6"/>
      <c r="M33" s="6"/>
    </row>
    <row r="34" spans="1:13" ht="19.5" x14ac:dyDescent="0.25">
      <c r="A34" s="71" t="s">
        <v>12</v>
      </c>
      <c r="B34" s="72">
        <v>5.107968696605017E-2</v>
      </c>
      <c r="C34"/>
      <c r="D34" s="10"/>
      <c r="E34" s="6"/>
      <c r="F34" s="6"/>
      <c r="G34" s="6"/>
      <c r="H34" s="6"/>
      <c r="I34" s="6"/>
      <c r="J34" s="6"/>
      <c r="K34" s="6"/>
      <c r="L34" s="6"/>
      <c r="M34" s="6"/>
    </row>
    <row r="35" spans="1:13" ht="19.5" x14ac:dyDescent="0.25">
      <c r="A35" s="71" t="s">
        <v>5</v>
      </c>
      <c r="B35" s="72">
        <v>4.236851555921721E-2</v>
      </c>
      <c r="C35"/>
      <c r="D35" s="10"/>
      <c r="E35" s="6"/>
      <c r="F35" s="6"/>
      <c r="G35" s="6"/>
      <c r="H35" s="6"/>
      <c r="I35" s="6"/>
      <c r="J35" s="6"/>
      <c r="K35" s="6"/>
      <c r="L35" s="6"/>
      <c r="M35" s="6"/>
    </row>
    <row r="36" spans="1:13" ht="19.5" x14ac:dyDescent="0.25">
      <c r="A36" s="71" t="s">
        <v>62</v>
      </c>
      <c r="B36" s="72">
        <v>3.8902051716387047E-2</v>
      </c>
      <c r="C36"/>
      <c r="D36" s="10"/>
      <c r="E36" s="6"/>
      <c r="F36" s="6"/>
      <c r="G36" s="6"/>
      <c r="H36" s="6"/>
      <c r="I36" s="6"/>
      <c r="J36" s="6"/>
      <c r="K36" s="6"/>
      <c r="L36" s="6"/>
      <c r="M36" s="6"/>
    </row>
    <row r="37" spans="1:13" ht="19.5" x14ac:dyDescent="0.25">
      <c r="A37" s="71" t="s">
        <v>20</v>
      </c>
      <c r="B37" s="72">
        <v>3.4056674659557903E-2</v>
      </c>
      <c r="C37"/>
      <c r="D37" s="10"/>
      <c r="E37" s="6"/>
      <c r="F37" s="6"/>
      <c r="G37" s="6"/>
      <c r="H37" s="6"/>
      <c r="I37" s="6"/>
      <c r="J37" s="6"/>
      <c r="K37" s="6"/>
      <c r="L37" s="6"/>
      <c r="M37" s="6"/>
    </row>
    <row r="38" spans="1:13" ht="19.5" x14ac:dyDescent="0.25">
      <c r="A38" s="71" t="s">
        <v>70</v>
      </c>
      <c r="B38" s="72">
        <v>1.973350970385181E-2</v>
      </c>
      <c r="C38"/>
      <c r="D38" s="10"/>
      <c r="E38" s="6"/>
      <c r="F38" s="6"/>
      <c r="G38" s="6"/>
      <c r="H38" s="6"/>
      <c r="I38" s="6"/>
      <c r="J38" s="6"/>
      <c r="K38" s="6"/>
      <c r="L38" s="6"/>
      <c r="M38" s="6"/>
    </row>
    <row r="39" spans="1:13" ht="19.5" x14ac:dyDescent="0.25">
      <c r="A39" s="71" t="s">
        <v>60</v>
      </c>
      <c r="B39" s="72">
        <v>1.7471165448292018E-2</v>
      </c>
      <c r="C39"/>
      <c r="D39" s="10"/>
      <c r="E39" s="6"/>
      <c r="F39" s="6"/>
      <c r="G39" s="6"/>
      <c r="H39" s="6"/>
      <c r="I39" s="6"/>
      <c r="J39" s="6"/>
      <c r="K39" s="6"/>
      <c r="L39" s="6"/>
      <c r="M39" s="6"/>
    </row>
    <row r="40" spans="1:13" ht="19.5" customHeight="1" x14ac:dyDescent="0.25">
      <c r="A40" s="71" t="s">
        <v>61</v>
      </c>
      <c r="B40" s="72">
        <v>1.7426264810327649E-2</v>
      </c>
      <c r="C40"/>
      <c r="D40" s="10"/>
      <c r="E40" s="6"/>
      <c r="F40" s="6"/>
      <c r="G40" s="6"/>
      <c r="H40" s="6"/>
      <c r="I40" s="6"/>
      <c r="J40" s="6"/>
      <c r="K40" s="6"/>
      <c r="L40" s="6"/>
      <c r="M40" s="6"/>
    </row>
    <row r="41" spans="1:13" ht="19.5" customHeight="1" x14ac:dyDescent="0.25">
      <c r="A41" s="71" t="s">
        <v>7</v>
      </c>
      <c r="B41" s="72">
        <v>1.0561430482054971E-2</v>
      </c>
      <c r="C41"/>
      <c r="D41" s="10"/>
      <c r="E41" s="6"/>
      <c r="F41" s="6"/>
      <c r="G41" s="6"/>
      <c r="H41" s="6"/>
      <c r="I41" s="6"/>
      <c r="J41" s="6"/>
      <c r="K41" s="6"/>
      <c r="L41" s="6"/>
      <c r="M41" s="6"/>
    </row>
    <row r="42" spans="1:13" ht="19.5" customHeight="1" x14ac:dyDescent="0.25">
      <c r="A42" s="71" t="s">
        <v>37</v>
      </c>
      <c r="B42" s="72">
        <v>9.2770046000201657E-3</v>
      </c>
      <c r="C42" s="10"/>
      <c r="D42" s="10"/>
      <c r="E42" s="6"/>
      <c r="F42" s="6"/>
      <c r="G42" s="6"/>
      <c r="H42" s="6"/>
      <c r="I42" s="6"/>
      <c r="J42" s="6"/>
      <c r="K42" s="6"/>
      <c r="L42" s="6"/>
      <c r="M42" s="6"/>
    </row>
    <row r="43" spans="1:13" ht="19.5" customHeight="1" x14ac:dyDescent="0.25">
      <c r="A43" s="71" t="s">
        <v>2</v>
      </c>
      <c r="B43" s="72">
        <v>4.6308162492745752E-3</v>
      </c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</row>
    <row r="44" spans="1:13" ht="19.5" customHeight="1" x14ac:dyDescent="0.25">
      <c r="A44" s="71" t="s">
        <v>39</v>
      </c>
      <c r="B44" s="72">
        <v>1.9999999999999998</v>
      </c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</row>
    <row r="45" spans="1:13" ht="19.5" customHeight="1" x14ac:dyDescent="0.25">
      <c r="A45" s="6"/>
      <c r="B45" s="6"/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</row>
    <row r="46" spans="1:13" ht="19.5" customHeight="1" x14ac:dyDescent="0.25">
      <c r="A46" s="6"/>
      <c r="B46" s="6"/>
      <c r="C46" s="10"/>
      <c r="D46" s="10"/>
      <c r="E46" s="6"/>
      <c r="F46" s="6"/>
      <c r="G46" s="6"/>
      <c r="H46" s="6"/>
      <c r="I46" s="6"/>
      <c r="J46" s="6"/>
      <c r="K46" s="6"/>
      <c r="L46" s="6"/>
      <c r="M46" s="6"/>
    </row>
    <row r="47" spans="1:13" ht="19.5" customHeight="1" x14ac:dyDescent="0.25">
      <c r="A47" s="6"/>
      <c r="B47" s="6"/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</row>
    <row r="48" spans="1:13" ht="19.5" customHeight="1" x14ac:dyDescent="0.25">
      <c r="A48" s="6"/>
      <c r="B48" s="6"/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</row>
    <row r="49" spans="1:13" ht="19.5" customHeight="1" x14ac:dyDescent="0.25">
      <c r="A49" s="6"/>
      <c r="B49" s="6"/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</row>
    <row r="50" spans="1:13" ht="19.5" customHeight="1" x14ac:dyDescent="0.25">
      <c r="A50" s="6"/>
      <c r="B50" s="6"/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</row>
    <row r="51" spans="1:13" ht="19.5" customHeight="1" x14ac:dyDescent="0.25">
      <c r="A51" s="6"/>
      <c r="B51" s="6"/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</row>
    <row r="52" spans="1:13" ht="19.5" customHeight="1" x14ac:dyDescent="0.25">
      <c r="A52" s="6"/>
      <c r="B52" s="6"/>
      <c r="C52" s="10"/>
      <c r="D52" s="10"/>
      <c r="E52" s="6"/>
      <c r="F52" s="6"/>
      <c r="G52" s="6"/>
      <c r="H52" s="6"/>
      <c r="I52" s="6"/>
      <c r="J52" s="6"/>
      <c r="K52" s="6"/>
      <c r="L52" s="6"/>
      <c r="M52" s="6"/>
    </row>
    <row r="53" spans="1:13" ht="19.5" customHeight="1" x14ac:dyDescent="0.25">
      <c r="A53" s="6"/>
      <c r="B53" s="6"/>
      <c r="C53" s="10"/>
      <c r="D53" s="10"/>
      <c r="E53" s="6"/>
      <c r="F53" s="6"/>
      <c r="G53" s="6"/>
      <c r="H53" s="6"/>
      <c r="I53" s="6"/>
      <c r="J53" s="6"/>
      <c r="K53" s="6"/>
      <c r="L53" s="6"/>
      <c r="M53" s="6"/>
    </row>
    <row r="54" spans="1:13" ht="19.5" customHeight="1" x14ac:dyDescent="0.25">
      <c r="A54" s="6"/>
      <c r="B54" s="6"/>
      <c r="C54" s="10"/>
      <c r="D54" s="10"/>
      <c r="E54" s="6"/>
      <c r="F54" s="6"/>
      <c r="G54" s="6"/>
      <c r="H54" s="6"/>
      <c r="I54" s="6"/>
      <c r="J54" s="6"/>
      <c r="K54" s="6"/>
      <c r="L54" s="6"/>
      <c r="M54" s="6"/>
    </row>
    <row r="55" spans="1:13" ht="19.5" customHeight="1" x14ac:dyDescent="0.25">
      <c r="A55" s="6"/>
      <c r="B55" s="6"/>
      <c r="C55" s="10"/>
      <c r="D55" s="10"/>
      <c r="E55" s="6"/>
      <c r="F55" s="6"/>
      <c r="G55" s="6"/>
      <c r="H55" s="6"/>
      <c r="I55" s="6"/>
      <c r="J55" s="6"/>
      <c r="K55" s="6"/>
      <c r="L55" s="6"/>
      <c r="M55" s="6"/>
    </row>
    <row r="56" spans="1:13" ht="19.5" customHeight="1" x14ac:dyDescent="0.25">
      <c r="A56" s="6"/>
      <c r="B56" s="6"/>
      <c r="C56" s="10"/>
      <c r="D56" s="10"/>
      <c r="E56" s="6"/>
      <c r="F56" s="6"/>
      <c r="G56" s="6"/>
      <c r="H56" s="6"/>
      <c r="I56" s="6"/>
      <c r="J56" s="6"/>
      <c r="K56" s="6"/>
      <c r="L56" s="6"/>
      <c r="M56" s="6"/>
    </row>
    <row r="57" spans="1:13" ht="19.5" customHeight="1" x14ac:dyDescent="0.25">
      <c r="A57" s="6"/>
      <c r="B57" s="6"/>
      <c r="C57" s="10"/>
      <c r="D57" s="10"/>
      <c r="E57" s="6"/>
      <c r="F57" s="6"/>
      <c r="G57" s="6"/>
      <c r="H57" s="6"/>
      <c r="I57" s="6"/>
      <c r="J57" s="6"/>
      <c r="K57" s="6"/>
      <c r="L57" s="6"/>
      <c r="M57" s="6"/>
    </row>
    <row r="58" spans="1:13" ht="19.5" customHeight="1" x14ac:dyDescent="0.25">
      <c r="A58" s="6"/>
      <c r="B58" s="6"/>
      <c r="C58" s="10"/>
      <c r="D58" s="10"/>
      <c r="E58" s="6"/>
      <c r="F58" s="6"/>
      <c r="G58" s="6"/>
      <c r="H58" s="6"/>
      <c r="I58" s="6"/>
      <c r="J58" s="6"/>
      <c r="K58" s="6"/>
      <c r="L58" s="6"/>
      <c r="M58" s="6"/>
    </row>
    <row r="59" spans="1:13" ht="19.5" customHeight="1" x14ac:dyDescent="0.25">
      <c r="A59" s="6"/>
      <c r="B59" s="6"/>
      <c r="C59" s="10"/>
      <c r="D59" s="10"/>
      <c r="E59" s="6"/>
      <c r="F59" s="6"/>
      <c r="G59" s="6"/>
      <c r="H59" s="6"/>
      <c r="I59" s="6"/>
      <c r="J59" s="6"/>
      <c r="K59" s="6"/>
      <c r="L59" s="6"/>
      <c r="M59" s="6"/>
    </row>
    <row r="60" spans="1:13" ht="19.5" customHeight="1" x14ac:dyDescent="0.25">
      <c r="A60" s="6"/>
      <c r="B60" s="6"/>
      <c r="C60" s="10"/>
      <c r="D60" s="10"/>
      <c r="E60" s="6"/>
      <c r="F60" s="6"/>
      <c r="G60" s="6"/>
      <c r="H60" s="6"/>
      <c r="I60" s="6"/>
      <c r="J60" s="6"/>
      <c r="K60" s="6"/>
      <c r="L60" s="6"/>
      <c r="M60" s="6"/>
    </row>
    <row r="61" spans="1:13" ht="19.5" customHeight="1" x14ac:dyDescent="0.25">
      <c r="A61" s="6"/>
      <c r="B61" s="6"/>
      <c r="C61" s="10"/>
      <c r="D61" s="10"/>
      <c r="E61" s="6"/>
      <c r="F61" s="6"/>
      <c r="G61" s="6"/>
      <c r="H61" s="6"/>
      <c r="I61" s="6"/>
      <c r="J61" s="6"/>
      <c r="K61" s="6"/>
      <c r="L61" s="6"/>
      <c r="M61" s="6"/>
    </row>
    <row r="62" spans="1:13" ht="19.5" customHeight="1" x14ac:dyDescent="0.25">
      <c r="A62" s="6"/>
      <c r="B62" s="6"/>
      <c r="C62" s="10"/>
      <c r="D62" s="10"/>
      <c r="E62" s="6"/>
      <c r="F62" s="6"/>
      <c r="G62" s="6"/>
      <c r="H62" s="6"/>
      <c r="I62" s="6"/>
      <c r="J62" s="6"/>
      <c r="K62" s="6"/>
      <c r="L62" s="6"/>
      <c r="M62" s="6"/>
    </row>
    <row r="63" spans="1:13" ht="19.5" customHeight="1" x14ac:dyDescent="0.25">
      <c r="A63" s="6"/>
      <c r="B63" s="6"/>
      <c r="C63" s="10"/>
      <c r="D63" s="10"/>
      <c r="E63" s="6"/>
      <c r="F63" s="6"/>
      <c r="G63" s="6"/>
      <c r="H63" s="6"/>
      <c r="I63" s="6"/>
      <c r="J63" s="6"/>
      <c r="K63" s="6"/>
      <c r="L63" s="6"/>
      <c r="M63" s="6"/>
    </row>
    <row r="64" spans="1:13" ht="19.5" customHeight="1" x14ac:dyDescent="0.25">
      <c r="A64" s="6"/>
      <c r="B64" s="6"/>
      <c r="C64" s="10"/>
      <c r="D64" s="10"/>
      <c r="E64" s="6"/>
      <c r="F64" s="6"/>
      <c r="G64" s="6"/>
      <c r="H64" s="6"/>
      <c r="I64" s="6"/>
      <c r="J64" s="6"/>
      <c r="K64" s="6"/>
      <c r="L64" s="6"/>
      <c r="M64" s="6"/>
    </row>
    <row r="65" spans="1:13" ht="19.5" customHeight="1" x14ac:dyDescent="0.25">
      <c r="A65" s="6"/>
      <c r="B65" s="6"/>
      <c r="C65" s="10"/>
      <c r="D65" s="10"/>
      <c r="E65" s="6"/>
      <c r="F65" s="6"/>
      <c r="G65" s="6"/>
      <c r="H65" s="6"/>
      <c r="I65" s="6"/>
      <c r="J65" s="6"/>
      <c r="K65" s="6"/>
      <c r="L65" s="6"/>
      <c r="M65" s="6"/>
    </row>
    <row r="66" spans="1:13" ht="19.5" customHeight="1" x14ac:dyDescent="0.25">
      <c r="A66" s="6"/>
      <c r="B66" s="6"/>
      <c r="C66" s="10"/>
      <c r="D66" s="10"/>
      <c r="E66" s="6"/>
      <c r="F66" s="6"/>
      <c r="G66" s="6"/>
      <c r="H66" s="6"/>
      <c r="I66" s="6"/>
      <c r="J66" s="6"/>
      <c r="K66" s="6"/>
      <c r="L66" s="6"/>
      <c r="M66" s="6"/>
    </row>
    <row r="67" spans="1:13" ht="19.5" customHeight="1" x14ac:dyDescent="0.25">
      <c r="A67" s="6"/>
      <c r="B67" s="6"/>
      <c r="C67" s="10"/>
      <c r="D67" s="10"/>
      <c r="E67" s="6"/>
      <c r="F67" s="6"/>
      <c r="G67" s="6"/>
      <c r="H67" s="6"/>
      <c r="I67" s="6"/>
      <c r="J67" s="6"/>
      <c r="K67" s="6"/>
      <c r="L67" s="6"/>
      <c r="M67" s="6"/>
    </row>
    <row r="68" spans="1:13" ht="19.5" customHeight="1" x14ac:dyDescent="0.25">
      <c r="A68" s="6"/>
      <c r="B68" s="6"/>
      <c r="C68" s="10"/>
      <c r="D68" s="10"/>
      <c r="E68" s="6"/>
      <c r="F68" s="6"/>
      <c r="G68" s="6"/>
      <c r="H68" s="6"/>
      <c r="I68" s="6"/>
      <c r="J68" s="6"/>
      <c r="K68" s="6"/>
      <c r="L68" s="6"/>
      <c r="M68" s="6"/>
    </row>
    <row r="69" spans="1:13" ht="19.5" customHeight="1" x14ac:dyDescent="0.25">
      <c r="A69" s="6"/>
      <c r="B69" s="6"/>
      <c r="C69" s="10"/>
      <c r="D69" s="10"/>
      <c r="E69" s="6"/>
      <c r="F69" s="6"/>
      <c r="G69" s="6"/>
      <c r="H69" s="6"/>
      <c r="I69" s="6"/>
      <c r="J69" s="6"/>
      <c r="K69" s="6"/>
      <c r="L69" s="6"/>
      <c r="M69" s="6"/>
    </row>
    <row r="70" spans="1:13" ht="19.5" customHeight="1" x14ac:dyDescent="0.25">
      <c r="A70" s="6"/>
      <c r="B70" s="6"/>
      <c r="C70" s="10"/>
      <c r="D70" s="10"/>
      <c r="E70" s="6"/>
      <c r="F70" s="6"/>
      <c r="G70" s="6"/>
      <c r="H70" s="6"/>
      <c r="I70" s="6"/>
      <c r="J70" s="6"/>
      <c r="K70" s="6"/>
      <c r="L70" s="6"/>
      <c r="M70" s="6"/>
    </row>
    <row r="71" spans="1:13" ht="19.5" customHeight="1" x14ac:dyDescent="0.25">
      <c r="A71" s="6"/>
      <c r="B71" s="6"/>
      <c r="C71" s="10"/>
      <c r="D71" s="10"/>
      <c r="E71" s="6"/>
      <c r="F71" s="6"/>
      <c r="G71" s="6"/>
      <c r="H71" s="6"/>
      <c r="I71" s="6"/>
      <c r="J71" s="6"/>
      <c r="K71" s="6"/>
      <c r="L71" s="6"/>
      <c r="M71" s="6"/>
    </row>
    <row r="72" spans="1:13" ht="19.5" customHeight="1" x14ac:dyDescent="0.25">
      <c r="A72" s="6"/>
      <c r="B72" s="6"/>
      <c r="C72" s="10"/>
      <c r="D72" s="10"/>
      <c r="E72" s="6"/>
      <c r="F72" s="6"/>
      <c r="G72" s="6"/>
      <c r="H72" s="6"/>
      <c r="I72" s="6"/>
      <c r="J72" s="6"/>
      <c r="K72" s="6"/>
      <c r="L72" s="6"/>
      <c r="M72" s="6"/>
    </row>
    <row r="73" spans="1:13" ht="19.5" customHeight="1" x14ac:dyDescent="0.25">
      <c r="A73" s="6"/>
      <c r="B73" s="6"/>
      <c r="C73" s="10"/>
      <c r="D73" s="10"/>
      <c r="E73" s="6"/>
      <c r="F73" s="6"/>
      <c r="G73" s="6"/>
      <c r="H73" s="6"/>
      <c r="I73" s="6"/>
      <c r="J73" s="6"/>
      <c r="K73" s="6"/>
      <c r="L73" s="6"/>
      <c r="M73" s="6"/>
    </row>
    <row r="74" spans="1:13" ht="19.5" customHeight="1" x14ac:dyDescent="0.25">
      <c r="A74" s="6"/>
      <c r="B74" s="6"/>
      <c r="C74" s="10"/>
      <c r="D74" s="10"/>
      <c r="E74" s="6"/>
      <c r="F74" s="6"/>
      <c r="G74" s="6"/>
      <c r="H74" s="6"/>
      <c r="I74" s="6"/>
      <c r="J74" s="6"/>
      <c r="K74" s="6"/>
      <c r="L74" s="6"/>
      <c r="M74" s="6"/>
    </row>
    <row r="75" spans="1:13" ht="19.5" customHeight="1" x14ac:dyDescent="0.25">
      <c r="A75" s="6"/>
      <c r="B75" s="6"/>
      <c r="C75" s="10"/>
      <c r="D75" s="10"/>
      <c r="E75" s="6"/>
      <c r="F75" s="6"/>
      <c r="G75" s="6"/>
      <c r="H75" s="6"/>
      <c r="I75" s="6"/>
      <c r="J75" s="6"/>
      <c r="K75" s="6"/>
      <c r="L75" s="6"/>
      <c r="M75" s="6"/>
    </row>
    <row r="76" spans="1:13" ht="19.5" customHeight="1" x14ac:dyDescent="0.25">
      <c r="A76" s="6"/>
      <c r="B76" s="6"/>
      <c r="C76" s="10"/>
      <c r="D76" s="10"/>
      <c r="E76" s="6"/>
      <c r="F76" s="6"/>
      <c r="G76" s="6"/>
      <c r="H76" s="6"/>
      <c r="I76" s="6"/>
      <c r="J76" s="6"/>
      <c r="K76" s="6"/>
      <c r="L76" s="6"/>
      <c r="M76" s="6"/>
    </row>
    <row r="77" spans="1:13" ht="19.5" customHeight="1" x14ac:dyDescent="0.25">
      <c r="A77" s="6"/>
      <c r="B77" s="6"/>
      <c r="C77" s="10"/>
      <c r="D77" s="10"/>
      <c r="E77" s="6"/>
      <c r="F77" s="6"/>
      <c r="G77" s="6"/>
      <c r="H77" s="6"/>
      <c r="I77" s="6"/>
      <c r="J77" s="6"/>
      <c r="K77" s="6"/>
      <c r="L77" s="6"/>
      <c r="M77" s="6"/>
    </row>
    <row r="78" spans="1:13" ht="19.5" customHeight="1" x14ac:dyDescent="0.25">
      <c r="A78" s="6"/>
      <c r="B78" s="6"/>
      <c r="C78" s="10"/>
      <c r="D78" s="10"/>
      <c r="E78" s="6"/>
      <c r="F78" s="6"/>
      <c r="G78" s="6"/>
      <c r="H78" s="6"/>
      <c r="I78" s="6"/>
      <c r="J78" s="6"/>
      <c r="K78" s="6"/>
      <c r="L78" s="6"/>
      <c r="M78" s="6"/>
    </row>
    <row r="79" spans="1:13" ht="19.5" customHeight="1" x14ac:dyDescent="0.25">
      <c r="A79" s="6"/>
      <c r="B79" s="6"/>
      <c r="C79" s="10"/>
      <c r="D79" s="10"/>
      <c r="E79" s="6"/>
      <c r="F79" s="6"/>
      <c r="G79" s="6"/>
      <c r="H79" s="6"/>
      <c r="I79" s="6"/>
      <c r="J79" s="6"/>
      <c r="K79" s="6"/>
      <c r="L79" s="6"/>
      <c r="M79" s="6"/>
    </row>
    <row r="80" spans="1:13" ht="19.5" customHeight="1" x14ac:dyDescent="0.25">
      <c r="A80" s="6"/>
      <c r="B80" s="6"/>
      <c r="C80" s="10"/>
      <c r="D80" s="10"/>
      <c r="E80" s="6"/>
      <c r="F80" s="6"/>
      <c r="G80" s="6"/>
      <c r="H80" s="6"/>
      <c r="I80" s="6"/>
      <c r="J80" s="6"/>
      <c r="K80" s="6"/>
      <c r="L80" s="6"/>
      <c r="M80" s="6"/>
    </row>
    <row r="81" spans="1:13" ht="19.5" customHeight="1" x14ac:dyDescent="0.25">
      <c r="A81" s="6"/>
      <c r="B81" s="6"/>
      <c r="C81" s="10"/>
      <c r="D81" s="10"/>
      <c r="E81" s="6"/>
      <c r="F81" s="6"/>
      <c r="G81" s="6"/>
      <c r="H81" s="6"/>
      <c r="I81" s="6"/>
      <c r="J81" s="6"/>
      <c r="K81" s="6"/>
      <c r="L81" s="6"/>
      <c r="M81" s="6"/>
    </row>
    <row r="82" spans="1:13" ht="19.5" customHeight="1" x14ac:dyDescent="0.25">
      <c r="A82" s="6"/>
      <c r="B82" s="6"/>
      <c r="C82" s="10"/>
      <c r="D82" s="10"/>
      <c r="E82" s="6"/>
      <c r="F82" s="6"/>
      <c r="G82" s="6"/>
      <c r="H82" s="6"/>
      <c r="I82" s="6"/>
      <c r="J82" s="6"/>
      <c r="K82" s="6"/>
      <c r="L82" s="6"/>
      <c r="M82" s="6"/>
    </row>
    <row r="83" spans="1:13" ht="19.5" customHeight="1" x14ac:dyDescent="0.25">
      <c r="A83" s="6"/>
      <c r="B83" s="6"/>
      <c r="C83" s="10"/>
      <c r="D83" s="10"/>
      <c r="E83" s="6"/>
      <c r="F83" s="6"/>
      <c r="G83" s="6"/>
      <c r="H83" s="6"/>
      <c r="I83" s="6"/>
      <c r="J83" s="6"/>
      <c r="K83" s="6"/>
      <c r="L83" s="6"/>
      <c r="M83" s="6"/>
    </row>
    <row r="84" spans="1:13" ht="19.5" customHeight="1" x14ac:dyDescent="0.25">
      <c r="A84" s="6"/>
      <c r="B84" s="6"/>
      <c r="C84" s="10"/>
      <c r="D84" s="10"/>
      <c r="E84" s="6"/>
      <c r="F84" s="6"/>
      <c r="G84" s="6"/>
      <c r="H84" s="6"/>
      <c r="I84" s="6"/>
      <c r="J84" s="6"/>
      <c r="K84" s="6"/>
      <c r="L84" s="6"/>
      <c r="M84" s="6"/>
    </row>
    <row r="85" spans="1:13" ht="19.5" customHeight="1" x14ac:dyDescent="0.25">
      <c r="A85" s="6"/>
      <c r="B85" s="6"/>
      <c r="C85" s="10"/>
      <c r="D85" s="10"/>
      <c r="E85" s="6"/>
      <c r="F85" s="6"/>
      <c r="G85" s="6"/>
      <c r="H85" s="6"/>
      <c r="I85" s="6"/>
      <c r="J85" s="6"/>
      <c r="K85" s="6"/>
      <c r="L85" s="6"/>
      <c r="M85" s="6"/>
    </row>
    <row r="86" spans="1:13" ht="19.5" customHeight="1" x14ac:dyDescent="0.25">
      <c r="A86" s="6"/>
      <c r="B86" s="6"/>
      <c r="C86" s="10"/>
      <c r="D86" s="10"/>
      <c r="E86" s="6"/>
      <c r="F86" s="6"/>
      <c r="G86" s="6"/>
      <c r="H86" s="6"/>
      <c r="I86" s="6"/>
      <c r="J86" s="6"/>
      <c r="K86" s="6"/>
      <c r="L86" s="6"/>
      <c r="M86" s="6"/>
    </row>
    <row r="87" spans="1:13" ht="19.5" customHeight="1" x14ac:dyDescent="0.25">
      <c r="A87" s="6"/>
      <c r="B87" s="6"/>
      <c r="C87" s="10"/>
      <c r="D87" s="10"/>
      <c r="E87" s="6"/>
      <c r="F87" s="6"/>
      <c r="G87" s="6"/>
      <c r="H87" s="6"/>
      <c r="I87" s="6"/>
      <c r="J87" s="6"/>
      <c r="K87" s="6"/>
      <c r="L87" s="6"/>
      <c r="M87" s="6"/>
    </row>
    <row r="88" spans="1:13" ht="19.5" customHeight="1" x14ac:dyDescent="0.25">
      <c r="A88" s="6"/>
      <c r="B88" s="6"/>
      <c r="C88" s="10"/>
      <c r="D88" s="10"/>
      <c r="E88" s="6"/>
      <c r="F88" s="6"/>
      <c r="G88" s="6"/>
      <c r="H88" s="6"/>
      <c r="I88" s="6"/>
      <c r="J88" s="6"/>
      <c r="K88" s="6"/>
      <c r="L88" s="6"/>
      <c r="M88" s="6"/>
    </row>
    <row r="89" spans="1:13" ht="19.5" customHeight="1" x14ac:dyDescent="0.25">
      <c r="A89" s="6"/>
      <c r="B89" s="6"/>
      <c r="C89" s="10"/>
      <c r="D89" s="10"/>
      <c r="E89" s="6"/>
      <c r="F89" s="6"/>
      <c r="G89" s="6"/>
      <c r="H89" s="6"/>
      <c r="I89" s="6"/>
      <c r="J89" s="6"/>
      <c r="K89" s="6"/>
      <c r="L89" s="6"/>
      <c r="M89" s="6"/>
    </row>
    <row r="90" spans="1:13" ht="19.5" customHeight="1" x14ac:dyDescent="0.25">
      <c r="A90" s="6"/>
      <c r="B90" s="6"/>
      <c r="C90" s="10"/>
      <c r="D90" s="10"/>
      <c r="E90" s="6"/>
      <c r="F90" s="6"/>
      <c r="G90" s="6"/>
      <c r="H90" s="6"/>
      <c r="I90" s="6"/>
      <c r="J90" s="6"/>
      <c r="K90" s="6"/>
      <c r="L90" s="6"/>
      <c r="M90" s="6"/>
    </row>
    <row r="91" spans="1:13" ht="19.5" customHeight="1" x14ac:dyDescent="0.25">
      <c r="A91" s="6"/>
      <c r="B91" s="6"/>
      <c r="C91" s="10"/>
      <c r="D91" s="10"/>
      <c r="E91" s="6"/>
      <c r="F91" s="6"/>
      <c r="G91" s="6"/>
      <c r="H91" s="6"/>
      <c r="I91" s="6"/>
      <c r="J91" s="6"/>
      <c r="K91" s="6"/>
      <c r="L91" s="6"/>
      <c r="M91" s="6"/>
    </row>
    <row r="92" spans="1:13" ht="19.5" customHeight="1" x14ac:dyDescent="0.25">
      <c r="A92" s="6"/>
      <c r="B92" s="6"/>
      <c r="C92" s="10"/>
      <c r="D92" s="10"/>
      <c r="E92" s="6"/>
      <c r="F92" s="6"/>
      <c r="G92" s="6"/>
      <c r="H92" s="6"/>
      <c r="I92" s="6"/>
      <c r="J92" s="6"/>
      <c r="K92" s="6"/>
      <c r="L92" s="6"/>
      <c r="M92" s="6"/>
    </row>
    <row r="93" spans="1:13" ht="19.5" customHeight="1" x14ac:dyDescent="0.25">
      <c r="A93" s="6"/>
      <c r="B93" s="6"/>
      <c r="C93" s="10"/>
      <c r="D93" s="10"/>
      <c r="E93" s="6"/>
      <c r="F93" s="6"/>
      <c r="G93" s="6"/>
      <c r="H93" s="6"/>
      <c r="I93" s="6"/>
      <c r="J93" s="6"/>
      <c r="K93" s="6"/>
      <c r="L93" s="6"/>
      <c r="M93" s="6"/>
    </row>
    <row r="94" spans="1:13" ht="19.5" customHeight="1" x14ac:dyDescent="0.25">
      <c r="A94" s="6"/>
      <c r="B94" s="6"/>
      <c r="C94" s="10"/>
      <c r="D94" s="10"/>
      <c r="E94" s="6"/>
      <c r="F94" s="6"/>
      <c r="G94" s="6"/>
      <c r="H94" s="6"/>
      <c r="I94" s="6"/>
      <c r="J94" s="6"/>
      <c r="K94" s="6"/>
      <c r="L94" s="6"/>
      <c r="M94" s="6"/>
    </row>
    <row r="95" spans="1:13" ht="19.5" customHeight="1" x14ac:dyDescent="0.25">
      <c r="A95" s="6"/>
      <c r="B95" s="6"/>
      <c r="C95" s="10"/>
      <c r="D95" s="10"/>
      <c r="E95" s="6"/>
      <c r="F95" s="6"/>
      <c r="G95" s="6"/>
      <c r="H95" s="6"/>
      <c r="I95" s="6"/>
      <c r="J95" s="6"/>
      <c r="K95" s="6"/>
      <c r="L95" s="6"/>
      <c r="M95" s="6"/>
    </row>
    <row r="96" spans="1:13" ht="19.5" customHeight="1" x14ac:dyDescent="0.25">
      <c r="A96" s="6"/>
      <c r="B96" s="6"/>
      <c r="C96" s="10"/>
      <c r="D96" s="10"/>
      <c r="E96" s="6"/>
      <c r="F96" s="6"/>
      <c r="G96" s="6"/>
      <c r="H96" s="6"/>
      <c r="I96" s="6"/>
      <c r="J96" s="6"/>
      <c r="K96" s="6"/>
      <c r="L96" s="6"/>
      <c r="M96" s="6"/>
    </row>
    <row r="97" spans="1:13" ht="19.5" customHeight="1" x14ac:dyDescent="0.25">
      <c r="A97" s="6"/>
      <c r="B97" s="6"/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</row>
    <row r="98" spans="1:13" ht="19.5" customHeight="1" x14ac:dyDescent="0.25">
      <c r="A98" s="6"/>
      <c r="B98" s="6"/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</row>
    <row r="99" spans="1:13" ht="19.5" customHeight="1" x14ac:dyDescent="0.25">
      <c r="A99" s="6"/>
      <c r="B99" s="6"/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</row>
    <row r="100" spans="1:13" ht="19.5" customHeight="1" x14ac:dyDescent="0.25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9.5" customHeight="1" x14ac:dyDescent="0.25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</row>
    <row r="167" spans="1:13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</row>
    <row r="445" spans="1:13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</row>
    <row r="446" spans="1:13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</row>
    <row r="447" spans="1:13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</row>
    <row r="448" spans="1:13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</row>
    <row r="449" spans="1:13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</row>
    <row r="450" spans="1:13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</row>
    <row r="451" spans="1:13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</row>
    <row r="452" spans="1:13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</row>
    <row r="454" spans="1:13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</row>
    <row r="456" spans="1:13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</row>
    <row r="457" spans="1:13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</row>
    <row r="458" spans="1:13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</row>
    <row r="459" spans="1:13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</row>
    <row r="460" spans="1:13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</row>
    <row r="461" spans="1:13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</row>
    <row r="462" spans="1:13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</row>
    <row r="463" spans="1:13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</row>
    <row r="464" spans="1:13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</row>
    <row r="465" spans="1:13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</row>
    <row r="569" spans="1:13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</row>
    <row r="571" spans="1:13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</row>
    <row r="582" spans="1:13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</row>
    <row r="678" spans="1:13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19.5" customHeight="1" x14ac:dyDescent="0.25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</row>
    <row r="906" spans="1:13" ht="19.5" customHeight="1" x14ac:dyDescent="0.25">
      <c r="A906" s="6"/>
      <c r="B906" s="6"/>
      <c r="C906" s="10"/>
      <c r="D906" s="10"/>
      <c r="E906" s="6"/>
      <c r="F906" s="6"/>
      <c r="G906" s="6"/>
      <c r="H906" s="6"/>
      <c r="I906" s="6"/>
      <c r="J906" s="6"/>
      <c r="K906" s="6"/>
      <c r="L906" s="6"/>
      <c r="M906" s="6"/>
    </row>
    <row r="907" spans="1:13" ht="19.5" customHeight="1" x14ac:dyDescent="0.25">
      <c r="A907" s="6"/>
      <c r="B907" s="6"/>
      <c r="C907" s="10"/>
      <c r="D907" s="10"/>
      <c r="E907" s="6"/>
      <c r="F907" s="6"/>
      <c r="G907" s="6"/>
      <c r="H907" s="6"/>
      <c r="I907" s="6"/>
      <c r="J907" s="6"/>
      <c r="K907" s="6"/>
      <c r="L907" s="6"/>
      <c r="M907" s="6"/>
    </row>
    <row r="908" spans="1:13" ht="19.5" customHeight="1" x14ac:dyDescent="0.25">
      <c r="A908" s="6"/>
      <c r="B908" s="6"/>
      <c r="C908" s="10"/>
      <c r="D908" s="10"/>
      <c r="E908" s="6"/>
      <c r="F908" s="6"/>
      <c r="G908" s="6"/>
      <c r="H908" s="6"/>
      <c r="I908" s="6"/>
      <c r="J908" s="6"/>
      <c r="K908" s="6"/>
      <c r="L908" s="6"/>
      <c r="M908" s="6"/>
    </row>
    <row r="909" spans="1:13" ht="19.5" customHeight="1" x14ac:dyDescent="0.25">
      <c r="A909" s="6"/>
      <c r="B909" s="6"/>
      <c r="C909" s="10"/>
      <c r="D909" s="10"/>
      <c r="E909" s="6"/>
      <c r="F909" s="6"/>
      <c r="G909" s="6"/>
      <c r="H909" s="6"/>
      <c r="I909" s="6"/>
      <c r="J909" s="6"/>
      <c r="K909" s="6"/>
      <c r="L909" s="6"/>
      <c r="M909" s="6"/>
    </row>
    <row r="910" spans="1:13" ht="19.5" customHeight="1" x14ac:dyDescent="0.25">
      <c r="A910" s="6"/>
      <c r="B910" s="6"/>
      <c r="C910" s="10"/>
      <c r="D910" s="10"/>
      <c r="E910" s="6"/>
      <c r="F910" s="6"/>
      <c r="G910" s="6"/>
      <c r="H910" s="6"/>
      <c r="I910" s="6"/>
      <c r="J910" s="6"/>
      <c r="K910" s="6"/>
      <c r="L910" s="6"/>
      <c r="M910" s="6"/>
    </row>
    <row r="911" spans="1:13" ht="19.5" customHeight="1" x14ac:dyDescent="0.25">
      <c r="A911" s="6"/>
      <c r="B911" s="6"/>
      <c r="C911" s="10"/>
      <c r="D911" s="10"/>
      <c r="E911" s="6"/>
      <c r="F911" s="6"/>
      <c r="G911" s="6"/>
      <c r="H911" s="6"/>
      <c r="I911" s="6"/>
      <c r="J911" s="6"/>
      <c r="K911" s="6"/>
      <c r="L911" s="6"/>
      <c r="M911" s="6"/>
    </row>
    <row r="912" spans="1:13" ht="19.5" customHeight="1" x14ac:dyDescent="0.25">
      <c r="A912" s="6"/>
      <c r="B912" s="6"/>
      <c r="C912" s="10"/>
      <c r="D912" s="10"/>
      <c r="E912" s="6"/>
      <c r="F912" s="6"/>
      <c r="G912" s="6"/>
      <c r="H912" s="6"/>
      <c r="I912" s="6"/>
      <c r="J912" s="6"/>
      <c r="K912" s="6"/>
      <c r="L912" s="6"/>
      <c r="M912" s="6"/>
    </row>
    <row r="913" spans="1:13" ht="19.5" customHeight="1" x14ac:dyDescent="0.25">
      <c r="A913" s="6"/>
      <c r="B913" s="6"/>
      <c r="C913" s="10"/>
      <c r="D913" s="10"/>
      <c r="E913" s="6"/>
      <c r="F913" s="6"/>
      <c r="G913" s="6"/>
      <c r="H913" s="6"/>
      <c r="I913" s="6"/>
      <c r="J913" s="6"/>
      <c r="K913" s="6"/>
      <c r="L913" s="6"/>
      <c r="M913" s="6"/>
    </row>
    <row r="914" spans="1:13" ht="19.5" customHeight="1" x14ac:dyDescent="0.25">
      <c r="A914" s="6"/>
      <c r="B914" s="6"/>
      <c r="C914" s="10"/>
      <c r="D914" s="10"/>
      <c r="E914" s="6"/>
      <c r="F914" s="6"/>
      <c r="G914" s="6"/>
      <c r="H914" s="6"/>
      <c r="I914" s="6"/>
      <c r="J914" s="6"/>
      <c r="K914" s="6"/>
      <c r="L914" s="6"/>
      <c r="M914" s="6"/>
    </row>
    <row r="915" spans="1:13" ht="19.5" customHeight="1" x14ac:dyDescent="0.25">
      <c r="A915" s="6"/>
      <c r="B915" s="6"/>
      <c r="C915" s="10"/>
      <c r="D915" s="10"/>
      <c r="E915" s="6"/>
      <c r="F915" s="6"/>
      <c r="G915" s="6"/>
      <c r="H915" s="6"/>
      <c r="I915" s="6"/>
      <c r="J915" s="6"/>
      <c r="K915" s="6"/>
      <c r="L915" s="6"/>
      <c r="M915" s="6"/>
    </row>
    <row r="916" spans="1:13" ht="19.5" customHeight="1" x14ac:dyDescent="0.25">
      <c r="A916" s="6"/>
      <c r="B916" s="6"/>
      <c r="C916" s="10"/>
      <c r="D916" s="10"/>
      <c r="E916" s="6"/>
      <c r="F916" s="6"/>
      <c r="G916" s="6"/>
      <c r="H916" s="6"/>
      <c r="I916" s="6"/>
      <c r="J916" s="6"/>
      <c r="K916" s="6"/>
      <c r="L916" s="6"/>
      <c r="M916" s="6"/>
    </row>
    <row r="917" spans="1:13" ht="19.5" customHeight="1" x14ac:dyDescent="0.25">
      <c r="A917" s="6"/>
      <c r="B917" s="6"/>
      <c r="C917" s="10"/>
      <c r="D917" s="10"/>
      <c r="E917" s="6"/>
      <c r="F917" s="6"/>
      <c r="G917" s="6"/>
      <c r="H917" s="6"/>
      <c r="I917" s="6"/>
      <c r="J917" s="6"/>
      <c r="K917" s="6"/>
      <c r="L917" s="6"/>
      <c r="M917" s="6"/>
    </row>
    <row r="918" spans="1:13" ht="19.5" customHeight="1" x14ac:dyDescent="0.25">
      <c r="A918" s="6"/>
      <c r="B918" s="6"/>
      <c r="C918" s="10"/>
      <c r="D918" s="10"/>
      <c r="E918" s="6"/>
      <c r="F918" s="6"/>
      <c r="G918" s="6"/>
      <c r="H918" s="6"/>
      <c r="I918" s="6"/>
      <c r="J918" s="6"/>
      <c r="K918" s="6"/>
      <c r="L918" s="6"/>
      <c r="M918" s="6"/>
    </row>
    <row r="919" spans="1:13" ht="19.5" customHeight="1" x14ac:dyDescent="0.25">
      <c r="A919" s="6"/>
      <c r="B919" s="6"/>
      <c r="C919" s="10"/>
      <c r="D919" s="10"/>
      <c r="E919" s="6"/>
      <c r="F919" s="6"/>
      <c r="G919" s="6"/>
      <c r="H919" s="6"/>
      <c r="I919" s="6"/>
      <c r="J919" s="6"/>
      <c r="K919" s="6"/>
      <c r="L919" s="6"/>
      <c r="M919" s="6"/>
    </row>
    <row r="920" spans="1:13" ht="19.5" customHeight="1" x14ac:dyDescent="0.25">
      <c r="A920" s="6"/>
      <c r="B920" s="6"/>
      <c r="C920" s="10"/>
      <c r="D920" s="10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19.5" customHeight="1" x14ac:dyDescent="0.25">
      <c r="A921" s="6"/>
      <c r="B921" s="6"/>
      <c r="C921" s="10"/>
      <c r="D921" s="10"/>
      <c r="E921" s="6"/>
      <c r="F921" s="6"/>
      <c r="G921" s="6"/>
      <c r="H921" s="6"/>
      <c r="I921" s="6"/>
      <c r="J921" s="6"/>
      <c r="K921" s="6"/>
      <c r="L921" s="6"/>
      <c r="M921" s="6"/>
    </row>
    <row r="922" spans="1:13" ht="19.5" customHeight="1" x14ac:dyDescent="0.25">
      <c r="A922" s="6"/>
      <c r="B922" s="6"/>
      <c r="C922" s="10"/>
      <c r="D922" s="10"/>
      <c r="E922" s="6"/>
      <c r="F922" s="6"/>
      <c r="G922" s="6"/>
      <c r="H922" s="6"/>
      <c r="I922" s="6"/>
      <c r="J922" s="6"/>
      <c r="K922" s="6"/>
      <c r="L922" s="6"/>
      <c r="M922" s="6"/>
    </row>
    <row r="923" spans="1:13" ht="19.5" customHeight="1" x14ac:dyDescent="0.25">
      <c r="A923" s="6"/>
      <c r="B923" s="6"/>
      <c r="C923" s="10"/>
      <c r="D923" s="10"/>
      <c r="E923" s="6"/>
      <c r="F923" s="6"/>
      <c r="G923" s="6"/>
      <c r="H923" s="6"/>
      <c r="I923" s="6"/>
      <c r="J923" s="6"/>
      <c r="K923" s="6"/>
      <c r="L923" s="6"/>
      <c r="M923" s="6"/>
    </row>
    <row r="924" spans="1:13" ht="19.5" customHeight="1" x14ac:dyDescent="0.25">
      <c r="A924" s="6"/>
      <c r="B924" s="6"/>
      <c r="C924" s="10"/>
      <c r="D924" s="10"/>
      <c r="E924" s="6"/>
      <c r="F924" s="6"/>
      <c r="G924" s="6"/>
      <c r="H924" s="6"/>
      <c r="I924" s="6"/>
      <c r="J924" s="6"/>
      <c r="K924" s="6"/>
      <c r="L924" s="6"/>
      <c r="M924" s="6"/>
    </row>
    <row r="925" spans="1:13" ht="19.5" customHeight="1" x14ac:dyDescent="0.25">
      <c r="A925" s="6"/>
      <c r="B925" s="6"/>
      <c r="C925" s="10"/>
      <c r="D925" s="10"/>
      <c r="E925" s="6"/>
      <c r="F925" s="6"/>
      <c r="G925" s="6"/>
      <c r="H925" s="6"/>
      <c r="I925" s="6"/>
      <c r="J925" s="6"/>
      <c r="K925" s="6"/>
      <c r="L925" s="6"/>
      <c r="M925" s="6"/>
    </row>
    <row r="926" spans="1:13" ht="19.5" customHeight="1" x14ac:dyDescent="0.25">
      <c r="A926" s="6"/>
      <c r="B926" s="6"/>
      <c r="C926" s="10"/>
      <c r="D926" s="10"/>
      <c r="E926" s="6"/>
      <c r="F926" s="6"/>
      <c r="G926" s="6"/>
      <c r="H926" s="6"/>
      <c r="I926" s="6"/>
      <c r="J926" s="6"/>
      <c r="K926" s="6"/>
      <c r="L926" s="6"/>
      <c r="M926" s="6"/>
    </row>
    <row r="927" spans="1:13" ht="19.5" customHeight="1" x14ac:dyDescent="0.25">
      <c r="A927" s="6"/>
      <c r="B927" s="6"/>
      <c r="C927" s="10"/>
      <c r="D927" s="10"/>
      <c r="E927" s="6"/>
      <c r="F927" s="6"/>
      <c r="G927" s="6"/>
      <c r="H927" s="6"/>
      <c r="I927" s="6"/>
      <c r="J927" s="6"/>
      <c r="K927" s="6"/>
      <c r="L927" s="6"/>
      <c r="M927" s="6"/>
    </row>
    <row r="928" spans="1:13" ht="19.5" customHeight="1" x14ac:dyDescent="0.25">
      <c r="A928" s="6"/>
      <c r="B928" s="6"/>
      <c r="C928" s="10"/>
      <c r="D928" s="10"/>
      <c r="E928" s="6"/>
      <c r="F928" s="6"/>
      <c r="G928" s="6"/>
      <c r="H928" s="6"/>
      <c r="I928" s="6"/>
      <c r="J928" s="6"/>
      <c r="K928" s="6"/>
      <c r="L928" s="6"/>
      <c r="M928" s="6"/>
    </row>
    <row r="929" spans="1:13" ht="19.5" customHeight="1" x14ac:dyDescent="0.25">
      <c r="A929" s="6"/>
      <c r="B929" s="6"/>
      <c r="C929" s="10"/>
      <c r="D929" s="10"/>
      <c r="E929" s="6"/>
      <c r="F929" s="6"/>
      <c r="G929" s="6"/>
      <c r="H929" s="6"/>
      <c r="I929" s="6"/>
      <c r="J929" s="6"/>
      <c r="K929" s="6"/>
      <c r="L929" s="6"/>
      <c r="M929" s="6"/>
    </row>
    <row r="930" spans="1:13" ht="19.5" customHeight="1" x14ac:dyDescent="0.25">
      <c r="A930" s="6"/>
      <c r="B930" s="6"/>
      <c r="C930" s="10"/>
      <c r="D930" s="10"/>
      <c r="E930" s="6"/>
      <c r="F930" s="6"/>
      <c r="G930" s="6"/>
      <c r="H930" s="6"/>
      <c r="I930" s="6"/>
      <c r="J930" s="6"/>
      <c r="K930" s="6"/>
      <c r="L930" s="6"/>
      <c r="M930" s="6"/>
    </row>
    <row r="931" spans="1:13" ht="19.5" customHeight="1" x14ac:dyDescent="0.25">
      <c r="A931" s="6"/>
      <c r="B931" s="6"/>
      <c r="C931" s="10"/>
      <c r="D931" s="10"/>
      <c r="E931" s="6"/>
      <c r="F931" s="6"/>
      <c r="G931" s="6"/>
      <c r="H931" s="6"/>
      <c r="I931" s="6"/>
      <c r="J931" s="6"/>
      <c r="K931" s="6"/>
      <c r="L931" s="6"/>
      <c r="M931" s="6"/>
    </row>
    <row r="932" spans="1:13" ht="19.5" customHeight="1" x14ac:dyDescent="0.25">
      <c r="A932" s="6"/>
      <c r="B932" s="6"/>
      <c r="C932" s="10"/>
      <c r="D932" s="10"/>
      <c r="E932" s="6"/>
      <c r="F932" s="6"/>
      <c r="G932" s="6"/>
      <c r="H932" s="6"/>
      <c r="I932" s="6"/>
      <c r="J932" s="6"/>
      <c r="K932" s="6"/>
      <c r="L932" s="6"/>
      <c r="M932" s="6"/>
    </row>
    <row r="933" spans="1:13" ht="19.5" customHeight="1" x14ac:dyDescent="0.25">
      <c r="A933" s="6"/>
      <c r="B933" s="6"/>
      <c r="C933" s="10"/>
      <c r="D933" s="10"/>
      <c r="E933" s="6"/>
      <c r="F933" s="6"/>
      <c r="G933" s="6"/>
      <c r="H933" s="6"/>
      <c r="I933" s="6"/>
      <c r="J933" s="6"/>
      <c r="K933" s="6"/>
      <c r="L933" s="6"/>
      <c r="M933" s="6"/>
    </row>
    <row r="934" spans="1:13" ht="19.5" customHeight="1" x14ac:dyDescent="0.25">
      <c r="A934" s="6"/>
      <c r="B934" s="6"/>
      <c r="C934" s="10"/>
      <c r="D934" s="10"/>
      <c r="E934" s="6"/>
      <c r="F934" s="6"/>
      <c r="G934" s="6"/>
      <c r="H934" s="6"/>
      <c r="I934" s="6"/>
      <c r="J934" s="6"/>
      <c r="K934" s="6"/>
      <c r="L934" s="6"/>
      <c r="M934" s="6"/>
    </row>
    <row r="935" spans="1:13" ht="19.5" customHeight="1" x14ac:dyDescent="0.25">
      <c r="A935" s="6"/>
      <c r="B935" s="6"/>
      <c r="C935" s="10"/>
      <c r="D935" s="10"/>
      <c r="E935" s="6"/>
      <c r="F935" s="6"/>
      <c r="G935" s="6"/>
      <c r="H935" s="6"/>
      <c r="I935" s="6"/>
      <c r="J935" s="6"/>
      <c r="K935" s="6"/>
      <c r="L935" s="6"/>
      <c r="M935" s="6"/>
    </row>
    <row r="936" spans="1:13" ht="19.5" customHeight="1" x14ac:dyDescent="0.25">
      <c r="A936" s="6"/>
      <c r="B936" s="6"/>
      <c r="C936" s="10"/>
      <c r="D936" s="10"/>
      <c r="E936" s="6"/>
      <c r="F936" s="6"/>
      <c r="G936" s="6"/>
      <c r="H936" s="6"/>
      <c r="I936" s="6"/>
      <c r="J936" s="6"/>
      <c r="K936" s="6"/>
      <c r="L936" s="6"/>
      <c r="M936" s="6"/>
    </row>
    <row r="937" spans="1:13" ht="19.5" customHeight="1" x14ac:dyDescent="0.25">
      <c r="A937" s="6"/>
      <c r="B937" s="6"/>
      <c r="C937" s="10"/>
      <c r="D937" s="10"/>
      <c r="E937" s="6"/>
      <c r="F937" s="6"/>
      <c r="G937" s="6"/>
      <c r="H937" s="6"/>
      <c r="I937" s="6"/>
      <c r="J937" s="6"/>
      <c r="K937" s="6"/>
      <c r="L937" s="6"/>
      <c r="M937" s="6"/>
    </row>
    <row r="938" spans="1:13" ht="19.5" customHeight="1" x14ac:dyDescent="0.25">
      <c r="A938" s="6"/>
      <c r="B938" s="6"/>
      <c r="C938" s="10"/>
      <c r="D938" s="10"/>
      <c r="E938" s="6"/>
      <c r="F938" s="6"/>
      <c r="G938" s="6"/>
      <c r="H938" s="6"/>
      <c r="I938" s="6"/>
      <c r="J938" s="6"/>
      <c r="K938" s="6"/>
      <c r="L938" s="6"/>
      <c r="M938" s="6"/>
    </row>
    <row r="939" spans="1:13" ht="19.5" customHeight="1" x14ac:dyDescent="0.25">
      <c r="A939" s="6"/>
      <c r="B939" s="6"/>
      <c r="C939" s="10"/>
      <c r="D939" s="10"/>
      <c r="E939" s="6"/>
      <c r="F939" s="6"/>
      <c r="G939" s="6"/>
      <c r="H939" s="6"/>
      <c r="I939" s="6"/>
      <c r="J939" s="6"/>
      <c r="K939" s="6"/>
      <c r="L939" s="6"/>
      <c r="M939" s="6"/>
    </row>
    <row r="940" spans="1:13" ht="19.5" customHeight="1" x14ac:dyDescent="0.25">
      <c r="A940" s="6"/>
      <c r="B940" s="6"/>
      <c r="C940" s="10"/>
      <c r="D940" s="10"/>
      <c r="E940" s="6"/>
      <c r="F940" s="6"/>
      <c r="G940" s="6"/>
      <c r="H940" s="6"/>
      <c r="I940" s="6"/>
      <c r="J940" s="6"/>
      <c r="K940" s="6"/>
      <c r="L940" s="6"/>
      <c r="M940" s="6"/>
    </row>
    <row r="941" spans="1:13" ht="19.5" customHeight="1" x14ac:dyDescent="0.25">
      <c r="A941" s="6"/>
      <c r="B941" s="6"/>
      <c r="C941" s="10"/>
      <c r="D941" s="10"/>
      <c r="E941" s="6"/>
      <c r="F941" s="6"/>
      <c r="G941" s="6"/>
      <c r="H941" s="6"/>
      <c r="I941" s="6"/>
      <c r="J941" s="6"/>
      <c r="K941" s="6"/>
      <c r="L941" s="6"/>
      <c r="M941" s="6"/>
    </row>
    <row r="942" spans="1:13" ht="19.5" customHeight="1" x14ac:dyDescent="0.25">
      <c r="A942" s="6"/>
      <c r="B942" s="6"/>
      <c r="C942" s="10"/>
      <c r="D942" s="10"/>
      <c r="E942" s="6"/>
      <c r="F942" s="6"/>
      <c r="G942" s="6"/>
      <c r="H942" s="6"/>
      <c r="I942" s="6"/>
      <c r="J942" s="6"/>
      <c r="K942" s="6"/>
      <c r="L942" s="6"/>
      <c r="M942" s="6"/>
    </row>
    <row r="943" spans="1:13" ht="19.5" customHeight="1" x14ac:dyDescent="0.25">
      <c r="A943" s="6"/>
      <c r="B943" s="6"/>
      <c r="C943" s="10"/>
      <c r="D943" s="10"/>
      <c r="E943" s="6"/>
      <c r="F943" s="6"/>
      <c r="G943" s="6"/>
      <c r="H943" s="6"/>
      <c r="I943" s="6"/>
      <c r="J943" s="6"/>
      <c r="K943" s="6"/>
      <c r="L943" s="6"/>
      <c r="M943" s="6"/>
    </row>
    <row r="944" spans="1:13" ht="19.5" customHeight="1" x14ac:dyDescent="0.25">
      <c r="A944" s="6"/>
      <c r="B944" s="6"/>
      <c r="C944" s="10"/>
      <c r="D944" s="10"/>
      <c r="E944" s="6"/>
      <c r="F944" s="6"/>
      <c r="G944" s="6"/>
      <c r="H944" s="6"/>
      <c r="I944" s="6"/>
      <c r="J944" s="6"/>
      <c r="K944" s="6"/>
      <c r="L944" s="6"/>
      <c r="M944" s="6"/>
    </row>
    <row r="945" spans="1:13" ht="19.5" customHeight="1" x14ac:dyDescent="0.25">
      <c r="A945" s="6"/>
      <c r="B945" s="6"/>
      <c r="C945" s="10"/>
      <c r="D945" s="10"/>
      <c r="E945" s="6"/>
      <c r="F945" s="6"/>
      <c r="G945" s="6"/>
      <c r="H945" s="6"/>
      <c r="I945" s="6"/>
      <c r="J945" s="6"/>
      <c r="K945" s="6"/>
      <c r="L945" s="6"/>
      <c r="M945" s="6"/>
    </row>
    <row r="946" spans="1:13" ht="19.5" customHeight="1" x14ac:dyDescent="0.25">
      <c r="A946" s="6"/>
      <c r="B946" s="6"/>
      <c r="C946" s="10"/>
      <c r="D946" s="10"/>
      <c r="E946" s="6"/>
      <c r="F946" s="6"/>
      <c r="G946" s="6"/>
      <c r="H946" s="6"/>
      <c r="I946" s="6"/>
      <c r="J946" s="6"/>
      <c r="K946" s="6"/>
      <c r="L946" s="6"/>
      <c r="M946" s="6"/>
    </row>
    <row r="947" spans="1:13" ht="19.5" customHeight="1" x14ac:dyDescent="0.25">
      <c r="A947" s="6"/>
      <c r="B947" s="6"/>
      <c r="C947" s="10"/>
      <c r="D947" s="10"/>
      <c r="E947" s="6"/>
      <c r="F947" s="6"/>
      <c r="G947" s="6"/>
      <c r="H947" s="6"/>
      <c r="I947" s="6"/>
      <c r="J947" s="6"/>
      <c r="K947" s="6"/>
      <c r="L947" s="6"/>
      <c r="M947" s="6"/>
    </row>
    <row r="948" spans="1:13" ht="19.5" customHeight="1" x14ac:dyDescent="0.25">
      <c r="A948" s="6"/>
      <c r="B948" s="6"/>
      <c r="C948" s="10"/>
      <c r="D948" s="10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19.5" customHeight="1" x14ac:dyDescent="0.25">
      <c r="A949" s="6"/>
      <c r="B949" s="6"/>
      <c r="C949" s="10"/>
      <c r="D949" s="10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19.5" customHeight="1" x14ac:dyDescent="0.25">
      <c r="A950" s="6"/>
      <c r="B950" s="6"/>
      <c r="C950" s="10"/>
      <c r="D950" s="10"/>
      <c r="E950" s="6"/>
      <c r="F950" s="6"/>
      <c r="G950" s="6"/>
      <c r="H950" s="6"/>
      <c r="I950" s="6"/>
      <c r="J950" s="6"/>
      <c r="K950" s="6"/>
      <c r="L950" s="6"/>
      <c r="M950" s="6"/>
    </row>
    <row r="951" spans="1:13" ht="19.5" customHeight="1" x14ac:dyDescent="0.25">
      <c r="A951" s="6"/>
      <c r="B951" s="6"/>
      <c r="C951" s="10"/>
      <c r="D951" s="10"/>
      <c r="E951" s="6"/>
      <c r="F951" s="6"/>
      <c r="G951" s="6"/>
      <c r="H951" s="6"/>
      <c r="I951" s="6"/>
      <c r="J951" s="6"/>
      <c r="K951" s="6"/>
      <c r="L951" s="6"/>
      <c r="M951" s="6"/>
    </row>
    <row r="952" spans="1:13" ht="19.5" customHeight="1" x14ac:dyDescent="0.25">
      <c r="A952" s="6"/>
      <c r="B952" s="6"/>
      <c r="C952" s="10"/>
      <c r="D952" s="10"/>
      <c r="E952" s="6"/>
      <c r="F952" s="6"/>
      <c r="G952" s="6"/>
      <c r="H952" s="6"/>
      <c r="I952" s="6"/>
      <c r="J952" s="6"/>
      <c r="K952" s="6"/>
      <c r="L952" s="6"/>
      <c r="M952" s="6"/>
    </row>
    <row r="953" spans="1:13" ht="19.5" customHeight="1" x14ac:dyDescent="0.25">
      <c r="A953" s="6"/>
      <c r="B953" s="6"/>
      <c r="C953" s="10"/>
      <c r="D953" s="10"/>
      <c r="E953" s="6"/>
      <c r="F953" s="6"/>
      <c r="G953" s="6"/>
      <c r="H953" s="6"/>
      <c r="I953" s="6"/>
      <c r="J953" s="6"/>
      <c r="K953" s="6"/>
      <c r="L953" s="6"/>
      <c r="M953" s="6"/>
    </row>
    <row r="954" spans="1:13" ht="19.5" customHeight="1" x14ac:dyDescent="0.25">
      <c r="A954" s="6"/>
      <c r="B954" s="6"/>
      <c r="C954" s="10"/>
      <c r="D954" s="10"/>
      <c r="E954" s="6"/>
      <c r="F954" s="6"/>
      <c r="G954" s="6"/>
      <c r="H954" s="6"/>
      <c r="I954" s="6"/>
      <c r="J954" s="6"/>
      <c r="K954" s="6"/>
      <c r="L954" s="6"/>
      <c r="M954" s="6"/>
    </row>
    <row r="955" spans="1:13" ht="19.5" customHeight="1" x14ac:dyDescent="0.25">
      <c r="A955" s="6"/>
      <c r="B955" s="6"/>
      <c r="C955" s="10"/>
      <c r="D955" s="10"/>
      <c r="E955" s="6"/>
      <c r="F955" s="6"/>
      <c r="G955" s="6"/>
      <c r="H955" s="6"/>
      <c r="I955" s="6"/>
      <c r="J955" s="6"/>
      <c r="K955" s="6"/>
      <c r="L955" s="6"/>
      <c r="M955" s="6"/>
    </row>
    <row r="956" spans="1:13" ht="19.5" customHeight="1" x14ac:dyDescent="0.25">
      <c r="A956" s="6"/>
      <c r="B956" s="6"/>
      <c r="C956" s="10"/>
      <c r="D956" s="10"/>
      <c r="E956" s="6"/>
      <c r="F956" s="6"/>
      <c r="G956" s="6"/>
      <c r="H956" s="6"/>
      <c r="I956" s="6"/>
      <c r="J956" s="6"/>
      <c r="K956" s="6"/>
      <c r="L956" s="6"/>
      <c r="M956" s="6"/>
    </row>
    <row r="957" spans="1:13" ht="19.5" customHeight="1" x14ac:dyDescent="0.25">
      <c r="A957" s="6"/>
      <c r="B957" s="6"/>
      <c r="C957" s="10"/>
      <c r="D957" s="10"/>
      <c r="E957" s="6"/>
      <c r="F957" s="6"/>
      <c r="G957" s="6"/>
      <c r="H957" s="6"/>
      <c r="I957" s="6"/>
      <c r="J957" s="6"/>
      <c r="K957" s="6"/>
      <c r="L957" s="6"/>
      <c r="M957" s="6"/>
    </row>
    <row r="958" spans="1:13" ht="19.5" customHeight="1" x14ac:dyDescent="0.25">
      <c r="A958" s="6"/>
      <c r="B958" s="6"/>
      <c r="C958" s="10"/>
      <c r="D958" s="10"/>
      <c r="E958" s="6"/>
      <c r="F958" s="6"/>
      <c r="G958" s="6"/>
      <c r="H958" s="6"/>
      <c r="I958" s="6"/>
      <c r="J958" s="6"/>
      <c r="K958" s="6"/>
      <c r="L958" s="6"/>
      <c r="M958" s="6"/>
    </row>
    <row r="959" spans="1:13" ht="19.5" customHeight="1" x14ac:dyDescent="0.25">
      <c r="A959" s="6"/>
      <c r="B959" s="6"/>
      <c r="C959" s="10"/>
      <c r="D959" s="10"/>
      <c r="E959" s="6"/>
      <c r="F959" s="6"/>
      <c r="G959" s="6"/>
      <c r="H959" s="6"/>
      <c r="I959" s="6"/>
      <c r="J959" s="6"/>
      <c r="K959" s="6"/>
      <c r="L959" s="6"/>
      <c r="M959" s="6"/>
    </row>
    <row r="960" spans="1:13" ht="19.5" customHeight="1" x14ac:dyDescent="0.25">
      <c r="A960" s="6"/>
      <c r="B960" s="6"/>
      <c r="C960" s="10"/>
      <c r="D960" s="10"/>
      <c r="E960" s="6"/>
      <c r="F960" s="6"/>
      <c r="G960" s="6"/>
      <c r="H960" s="6"/>
      <c r="I960" s="6"/>
      <c r="J960" s="6"/>
      <c r="K960" s="6"/>
      <c r="L960" s="6"/>
      <c r="M960" s="6"/>
    </row>
    <row r="961" spans="1:13" ht="19.5" customHeight="1" x14ac:dyDescent="0.25">
      <c r="A961" s="6"/>
      <c r="B961" s="6"/>
      <c r="C961" s="10"/>
      <c r="D961" s="10"/>
      <c r="E961" s="6"/>
      <c r="F961" s="6"/>
      <c r="G961" s="6"/>
      <c r="H961" s="6"/>
      <c r="I961" s="6"/>
      <c r="J961" s="6"/>
      <c r="K961" s="6"/>
      <c r="L961" s="6"/>
      <c r="M961" s="6"/>
    </row>
    <row r="962" spans="1:13" ht="19.5" customHeight="1" x14ac:dyDescent="0.25">
      <c r="A962" s="6"/>
      <c r="B962" s="6"/>
      <c r="C962" s="10"/>
      <c r="D962" s="10"/>
      <c r="E962" s="6"/>
      <c r="F962" s="6"/>
      <c r="G962" s="6"/>
      <c r="H962" s="6"/>
      <c r="I962" s="6"/>
      <c r="J962" s="6"/>
      <c r="K962" s="6"/>
      <c r="L962" s="6"/>
      <c r="M962" s="6"/>
    </row>
    <row r="963" spans="1:13" ht="19.5" customHeight="1" x14ac:dyDescent="0.25">
      <c r="A963" s="6"/>
      <c r="B963" s="6"/>
      <c r="C963" s="10"/>
      <c r="D963" s="10"/>
      <c r="E963" s="6"/>
      <c r="F963" s="6"/>
      <c r="G963" s="6"/>
      <c r="H963" s="6"/>
      <c r="I963" s="6"/>
      <c r="J963" s="6"/>
      <c r="K963" s="6"/>
      <c r="L963" s="6"/>
      <c r="M963" s="6"/>
    </row>
    <row r="964" spans="1:13" ht="19.5" customHeight="1" x14ac:dyDescent="0.25">
      <c r="A964" s="6"/>
      <c r="B964" s="6"/>
      <c r="C964" s="10"/>
      <c r="D964" s="10"/>
      <c r="E964" s="6"/>
      <c r="F964" s="6"/>
      <c r="G964" s="6"/>
      <c r="H964" s="6"/>
      <c r="I964" s="6"/>
      <c r="J964" s="6"/>
      <c r="K964" s="6"/>
      <c r="L964" s="6"/>
      <c r="M964" s="6"/>
    </row>
    <row r="965" spans="1:13" ht="19.5" customHeight="1" x14ac:dyDescent="0.25">
      <c r="A965" s="6"/>
      <c r="B965" s="6"/>
      <c r="C965" s="10"/>
      <c r="D965" s="10"/>
      <c r="E965" s="6"/>
      <c r="F965" s="6"/>
      <c r="G965" s="6"/>
      <c r="H965" s="6"/>
      <c r="I965" s="6"/>
      <c r="J965" s="6"/>
      <c r="K965" s="6"/>
      <c r="L965" s="6"/>
      <c r="M965" s="6"/>
    </row>
    <row r="966" spans="1:13" ht="19.5" customHeight="1" x14ac:dyDescent="0.25">
      <c r="A966" s="6"/>
      <c r="B966" s="6"/>
      <c r="C966" s="10"/>
      <c r="D966" s="10"/>
      <c r="E966" s="6"/>
      <c r="F966" s="6"/>
      <c r="G966" s="6"/>
      <c r="H966" s="6"/>
      <c r="I966" s="6"/>
      <c r="J966" s="6"/>
      <c r="K966" s="6"/>
      <c r="L966" s="6"/>
      <c r="M966" s="6"/>
    </row>
    <row r="967" spans="1:13" ht="19.5" customHeight="1" x14ac:dyDescent="0.25">
      <c r="A967" s="6"/>
      <c r="B967" s="6"/>
      <c r="C967" s="10"/>
      <c r="D967" s="10"/>
      <c r="E967" s="6"/>
      <c r="F967" s="6"/>
      <c r="G967" s="6"/>
      <c r="H967" s="6"/>
      <c r="I967" s="6"/>
      <c r="J967" s="6"/>
      <c r="K967" s="6"/>
      <c r="L967" s="6"/>
      <c r="M967" s="6"/>
    </row>
    <row r="968" spans="1:13" ht="19.5" customHeight="1" x14ac:dyDescent="0.25">
      <c r="A968" s="6"/>
      <c r="B968" s="6"/>
      <c r="C968" s="10"/>
      <c r="D968" s="10"/>
      <c r="E968" s="6"/>
      <c r="F968" s="6"/>
      <c r="G968" s="6"/>
      <c r="H968" s="6"/>
      <c r="I968" s="6"/>
      <c r="J968" s="6"/>
      <c r="K968" s="6"/>
      <c r="L968" s="6"/>
      <c r="M968" s="6"/>
    </row>
    <row r="969" spans="1:13" ht="19.5" customHeight="1" x14ac:dyDescent="0.25">
      <c r="A969" s="6"/>
      <c r="B969" s="6"/>
      <c r="C969" s="10"/>
      <c r="D969" s="10"/>
      <c r="E969" s="6"/>
      <c r="F969" s="6"/>
      <c r="G969" s="6"/>
      <c r="H969" s="6"/>
      <c r="I969" s="6"/>
      <c r="J969" s="6"/>
      <c r="K969" s="6"/>
      <c r="L969" s="6"/>
      <c r="M969" s="6"/>
    </row>
    <row r="970" spans="1:13" ht="19.5" customHeight="1" x14ac:dyDescent="0.25">
      <c r="A970" s="6"/>
      <c r="B970" s="6"/>
      <c r="C970" s="10"/>
      <c r="D970" s="10"/>
      <c r="E970" s="6"/>
      <c r="F970" s="6"/>
      <c r="G970" s="6"/>
      <c r="H970" s="6"/>
      <c r="I970" s="6"/>
      <c r="J970" s="6"/>
      <c r="K970" s="6"/>
      <c r="L970" s="6"/>
      <c r="M970" s="6"/>
    </row>
    <row r="971" spans="1:13" ht="19.5" customHeight="1" x14ac:dyDescent="0.25">
      <c r="A971" s="6"/>
      <c r="B971" s="6"/>
      <c r="C971" s="10"/>
      <c r="D971" s="10"/>
      <c r="E971" s="6"/>
      <c r="F971" s="6"/>
      <c r="G971" s="6"/>
      <c r="H971" s="6"/>
      <c r="I971" s="6"/>
      <c r="J971" s="6"/>
      <c r="K971" s="6"/>
      <c r="L971" s="6"/>
      <c r="M971" s="6"/>
    </row>
    <row r="972" spans="1:13" ht="19.5" customHeight="1" x14ac:dyDescent="0.25">
      <c r="A972" s="6"/>
      <c r="B972" s="6"/>
      <c r="C972" s="10"/>
      <c r="D972" s="10"/>
      <c r="E972" s="6"/>
      <c r="F972" s="6"/>
      <c r="G972" s="6"/>
      <c r="H972" s="6"/>
      <c r="I972" s="6"/>
      <c r="J972" s="6"/>
      <c r="K972" s="6"/>
      <c r="L972" s="6"/>
      <c r="M972" s="6"/>
    </row>
    <row r="973" spans="1:13" ht="19.5" customHeight="1" x14ac:dyDescent="0.25">
      <c r="A973" s="6"/>
      <c r="B973" s="6"/>
      <c r="C973" s="10"/>
      <c r="D973" s="10"/>
      <c r="E973" s="6"/>
      <c r="F973" s="6"/>
      <c r="G973" s="6"/>
      <c r="H973" s="6"/>
      <c r="I973" s="6"/>
      <c r="J973" s="6"/>
      <c r="K973" s="6"/>
      <c r="L973" s="6"/>
      <c r="M973" s="6"/>
    </row>
    <row r="974" spans="1:13" ht="19.5" customHeight="1" x14ac:dyDescent="0.25">
      <c r="A974" s="6"/>
      <c r="B974" s="6"/>
      <c r="C974" s="10"/>
      <c r="D974" s="10"/>
      <c r="E974" s="6"/>
      <c r="F974" s="6"/>
      <c r="G974" s="6"/>
      <c r="H974" s="6"/>
      <c r="I974" s="6"/>
      <c r="J974" s="6"/>
      <c r="K974" s="6"/>
      <c r="L974" s="6"/>
      <c r="M974" s="6"/>
    </row>
    <row r="975" spans="1:13" ht="19.5" customHeight="1" x14ac:dyDescent="0.25">
      <c r="A975" s="6"/>
      <c r="B975" s="6"/>
      <c r="C975" s="10"/>
      <c r="D975" s="10"/>
      <c r="E975" s="6"/>
      <c r="F975" s="6"/>
      <c r="G975" s="6"/>
      <c r="H975" s="6"/>
      <c r="I975" s="6"/>
      <c r="J975" s="6"/>
      <c r="K975" s="6"/>
      <c r="L975" s="6"/>
      <c r="M975" s="6"/>
    </row>
    <row r="976" spans="1:13" ht="19.5" customHeight="1" x14ac:dyDescent="0.25">
      <c r="A976" s="6"/>
      <c r="B976" s="6"/>
      <c r="C976" s="10"/>
      <c r="D976" s="10"/>
      <c r="E976" s="6"/>
      <c r="F976" s="6"/>
      <c r="G976" s="6"/>
      <c r="H976" s="6"/>
      <c r="I976" s="6"/>
      <c r="J976" s="6"/>
      <c r="K976" s="6"/>
      <c r="L976" s="6"/>
      <c r="M976" s="6"/>
    </row>
    <row r="977" spans="1:13" ht="19.5" customHeight="1" x14ac:dyDescent="0.25">
      <c r="A977" s="6"/>
      <c r="B977" s="6"/>
      <c r="C977" s="10"/>
      <c r="D977" s="10"/>
      <c r="E977" s="6"/>
      <c r="F977" s="6"/>
      <c r="G977" s="6"/>
      <c r="H977" s="6"/>
      <c r="I977" s="6"/>
      <c r="J977" s="6"/>
      <c r="K977" s="6"/>
      <c r="L977" s="6"/>
      <c r="M977" s="6"/>
    </row>
    <row r="978" spans="1:13" ht="19.5" customHeight="1" x14ac:dyDescent="0.25">
      <c r="A978" s="6"/>
      <c r="B978" s="6"/>
      <c r="C978" s="10"/>
      <c r="D978" s="10"/>
      <c r="E978" s="6"/>
      <c r="F978" s="6"/>
      <c r="G978" s="6"/>
      <c r="H978" s="6"/>
      <c r="I978" s="6"/>
      <c r="J978" s="6"/>
      <c r="K978" s="6"/>
      <c r="L978" s="6"/>
      <c r="M978" s="6"/>
    </row>
    <row r="979" spans="1:13" ht="19.5" customHeight="1" x14ac:dyDescent="0.25">
      <c r="A979" s="6"/>
      <c r="B979" s="6"/>
      <c r="C979" s="10"/>
      <c r="D979" s="10"/>
      <c r="E979" s="6"/>
      <c r="F979" s="6"/>
      <c r="G979" s="6"/>
      <c r="H979" s="6"/>
      <c r="I979" s="6"/>
      <c r="J979" s="6"/>
      <c r="K979" s="6"/>
      <c r="L979" s="6"/>
      <c r="M979" s="6"/>
    </row>
    <row r="980" spans="1:13" ht="19.5" customHeight="1" x14ac:dyDescent="0.25">
      <c r="A980" s="6"/>
      <c r="B980" s="6"/>
      <c r="C980" s="10"/>
      <c r="D980" s="10"/>
      <c r="E980" s="6"/>
      <c r="F980" s="6"/>
      <c r="G980" s="6"/>
      <c r="H980" s="6"/>
      <c r="I980" s="6"/>
      <c r="J980" s="6"/>
      <c r="K980" s="6"/>
      <c r="L980" s="6"/>
      <c r="M980" s="6"/>
    </row>
    <row r="981" spans="1:13" ht="19.5" customHeight="1" x14ac:dyDescent="0.25">
      <c r="A981" s="6"/>
      <c r="B981" s="6"/>
      <c r="C981" s="10"/>
      <c r="D981" s="10"/>
      <c r="E981" s="6"/>
      <c r="F981" s="6"/>
      <c r="G981" s="6"/>
      <c r="H981" s="6"/>
      <c r="I981" s="6"/>
      <c r="J981" s="6"/>
      <c r="K981" s="6"/>
      <c r="L981" s="6"/>
      <c r="M981" s="6"/>
    </row>
  </sheetData>
  <pageMargins left="0.511811024" right="0.511811024" top="0.78740157499999996" bottom="0.78740157499999996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9EBD-724E-4EED-8369-CEBC3EECA928}">
  <dimension ref="A3:F23"/>
  <sheetViews>
    <sheetView topLeftCell="B1" workbookViewId="0">
      <selection activeCell="C5" sqref="C5"/>
    </sheetView>
  </sheetViews>
  <sheetFormatPr defaultRowHeight="15" x14ac:dyDescent="0.25"/>
  <cols>
    <col min="1" max="1" width="63.85546875" bestFit="1" customWidth="1"/>
    <col min="2" max="3" width="63.85546875" customWidth="1"/>
    <col min="4" max="4" width="17.5703125" customWidth="1"/>
    <col min="5" max="5" width="22.5703125" bestFit="1" customWidth="1"/>
    <col min="6" max="6" width="16.7109375" bestFit="1" customWidth="1"/>
  </cols>
  <sheetData>
    <row r="3" spans="1:6" ht="21.75" x14ac:dyDescent="0.25">
      <c r="A3" s="41" t="s">
        <v>0</v>
      </c>
      <c r="B3" s="41"/>
      <c r="C3" s="42" t="s">
        <v>14</v>
      </c>
      <c r="D3" s="41"/>
      <c r="E3" s="42" t="s">
        <v>14</v>
      </c>
      <c r="F3" s="42" t="s">
        <v>1</v>
      </c>
    </row>
    <row r="4" spans="1:6" ht="21.75" x14ac:dyDescent="0.25">
      <c r="A4" s="99" t="s">
        <v>16</v>
      </c>
      <c r="B4" s="138"/>
      <c r="C4" s="138"/>
      <c r="D4" s="138"/>
      <c r="E4" s="104">
        <v>4657196.6901758872</v>
      </c>
      <c r="F4" s="84">
        <v>359.0006290282484</v>
      </c>
    </row>
    <row r="5" spans="1:6" ht="21.75" x14ac:dyDescent="0.25">
      <c r="A5" s="100" t="s">
        <v>2</v>
      </c>
      <c r="B5" s="139"/>
      <c r="C5" s="139"/>
      <c r="D5" s="139"/>
      <c r="E5" s="105">
        <v>239452.48062663237</v>
      </c>
      <c r="F5" s="85">
        <v>18.458226458133321</v>
      </c>
    </row>
    <row r="6" spans="1:6" ht="21.75" x14ac:dyDescent="0.25">
      <c r="A6" s="99" t="s">
        <v>3</v>
      </c>
      <c r="B6" s="138"/>
      <c r="C6" s="138"/>
      <c r="D6" s="138"/>
      <c r="E6" s="104">
        <v>2349044.0170264635</v>
      </c>
      <c r="F6" s="84">
        <v>181.07637186689121</v>
      </c>
    </row>
    <row r="7" spans="1:6" ht="21.75" x14ac:dyDescent="0.25">
      <c r="A7" s="100" t="s">
        <v>4</v>
      </c>
      <c r="B7" s="139"/>
      <c r="C7" s="139"/>
      <c r="D7" s="139"/>
      <c r="E7" s="105">
        <v>9440921.1862320006</v>
      </c>
      <c r="F7" s="85">
        <v>727.75467087592608</v>
      </c>
    </row>
    <row r="8" spans="1:6" ht="21.75" x14ac:dyDescent="0.25">
      <c r="A8" s="99" t="s">
        <v>5</v>
      </c>
      <c r="B8" s="138"/>
      <c r="C8" s="138"/>
      <c r="D8" s="138"/>
      <c r="E8" s="104">
        <v>1758803.9943805642</v>
      </c>
      <c r="F8" s="84">
        <v>135.57764086965631</v>
      </c>
    </row>
    <row r="9" spans="1:6" ht="21.75" x14ac:dyDescent="0.25">
      <c r="A9" s="100" t="s">
        <v>6</v>
      </c>
      <c r="B9" s="139"/>
      <c r="C9" s="139"/>
      <c r="D9" s="139"/>
      <c r="E9" s="105">
        <v>4133556.7899351716</v>
      </c>
      <c r="F9" s="85">
        <v>318.63577736388669</v>
      </c>
    </row>
    <row r="10" spans="1:6" ht="21.75" x14ac:dyDescent="0.25">
      <c r="A10" s="99" t="s">
        <v>20</v>
      </c>
      <c r="B10" s="138"/>
      <c r="C10" s="138"/>
      <c r="D10" s="138"/>
      <c r="E10" s="104">
        <v>1413762.427971561</v>
      </c>
      <c r="F10" s="84">
        <v>108.98006562809051</v>
      </c>
    </row>
    <row r="11" spans="1:6" ht="21.75" x14ac:dyDescent="0.25">
      <c r="A11" s="100" t="s">
        <v>61</v>
      </c>
      <c r="B11" s="139"/>
      <c r="C11" s="139"/>
      <c r="D11" s="139"/>
      <c r="E11" s="105">
        <v>723400</v>
      </c>
      <c r="F11" s="85">
        <v>55.763385640735486</v>
      </c>
    </row>
    <row r="12" spans="1:6" ht="21.75" x14ac:dyDescent="0.25">
      <c r="A12" s="99" t="s">
        <v>7</v>
      </c>
      <c r="B12" s="138"/>
      <c r="C12" s="138"/>
      <c r="D12" s="138"/>
      <c r="E12" s="104">
        <v>438426.64471566217</v>
      </c>
      <c r="F12" s="84">
        <v>33.796176478370462</v>
      </c>
    </row>
    <row r="13" spans="1:6" ht="21.75" x14ac:dyDescent="0.25">
      <c r="A13" s="100" t="s">
        <v>69</v>
      </c>
      <c r="B13" s="139"/>
      <c r="C13" s="139"/>
      <c r="D13" s="139"/>
      <c r="E13" s="105">
        <v>2326498.1207230501</v>
      </c>
      <c r="F13" s="85">
        <v>179.33841843838238</v>
      </c>
    </row>
    <row r="14" spans="1:6" ht="21.75" x14ac:dyDescent="0.25">
      <c r="A14" s="99" t="s">
        <v>70</v>
      </c>
      <c r="B14" s="138"/>
      <c r="C14" s="138"/>
      <c r="D14" s="138"/>
      <c r="E14" s="104">
        <v>819178.46854399994</v>
      </c>
      <c r="F14" s="84">
        <v>63.146481683724318</v>
      </c>
    </row>
    <row r="15" spans="1:6" ht="21.75" x14ac:dyDescent="0.25">
      <c r="A15" s="100" t="s">
        <v>54</v>
      </c>
      <c r="B15" s="139"/>
      <c r="C15" s="139"/>
      <c r="D15" s="139"/>
      <c r="E15" s="105">
        <v>2749284.5373311481</v>
      </c>
      <c r="F15" s="85">
        <v>211.92896584366579</v>
      </c>
    </row>
    <row r="16" spans="1:6" ht="21.75" x14ac:dyDescent="0.25">
      <c r="A16" s="99" t="s">
        <v>62</v>
      </c>
      <c r="B16" s="138"/>
      <c r="C16" s="138"/>
      <c r="D16" s="138"/>
      <c r="E16" s="104">
        <v>1614903.9692634668</v>
      </c>
      <c r="F16" s="84">
        <v>124.48508820955645</v>
      </c>
    </row>
    <row r="17" spans="1:6" ht="21.75" x14ac:dyDescent="0.25">
      <c r="A17" s="100" t="s">
        <v>10</v>
      </c>
      <c r="B17" s="139"/>
      <c r="C17" s="139"/>
      <c r="D17" s="139"/>
      <c r="E17" s="105">
        <v>4068208.6400170005</v>
      </c>
      <c r="F17" s="85">
        <v>313.59840649742887</v>
      </c>
    </row>
    <row r="18" spans="1:6" ht="21.75" x14ac:dyDescent="0.25">
      <c r="A18" s="99" t="s">
        <v>37</v>
      </c>
      <c r="B18" s="138"/>
      <c r="C18" s="138"/>
      <c r="D18" s="138"/>
      <c r="E18" s="104">
        <v>390985.51151919999</v>
      </c>
      <c r="F18" s="84">
        <v>30.139170388146773</v>
      </c>
    </row>
    <row r="19" spans="1:6" ht="21.75" x14ac:dyDescent="0.25">
      <c r="A19" s="100" t="s">
        <v>11</v>
      </c>
      <c r="B19" s="139"/>
      <c r="C19" s="139"/>
      <c r="D19" s="139"/>
      <c r="E19" s="105">
        <v>2206429.7573399995</v>
      </c>
      <c r="F19" s="85">
        <v>170.08293260678022</v>
      </c>
    </row>
    <row r="20" spans="1:6" ht="21.75" x14ac:dyDescent="0.25">
      <c r="A20" s="99" t="s">
        <v>12</v>
      </c>
      <c r="B20" s="138"/>
      <c r="C20" s="138"/>
      <c r="D20" s="138"/>
      <c r="E20" s="104">
        <v>2154221.2043171162</v>
      </c>
      <c r="F20" s="84">
        <v>166.05842932234583</v>
      </c>
    </row>
    <row r="21" spans="1:6" ht="21.75" x14ac:dyDescent="0.25">
      <c r="A21" s="100" t="s">
        <v>60</v>
      </c>
      <c r="B21" s="139"/>
      <c r="C21" s="139"/>
      <c r="D21" s="139"/>
      <c r="E21" s="105">
        <v>736541.55499886081</v>
      </c>
      <c r="F21" s="85">
        <v>56.776404163434421</v>
      </c>
    </row>
    <row r="22" spans="1:6" ht="21.75" x14ac:dyDescent="0.25">
      <c r="A22" s="41" t="s">
        <v>13</v>
      </c>
      <c r="B22" s="41"/>
      <c r="C22" s="41"/>
      <c r="D22" s="41"/>
      <c r="E22" s="79">
        <v>42220815.995117784</v>
      </c>
      <c r="F22" s="86">
        <v>3254.597241363404</v>
      </c>
    </row>
    <row r="23" spans="1:6" ht="21.75" x14ac:dyDescent="0.25">
      <c r="A23" s="41" t="s">
        <v>29</v>
      </c>
      <c r="B23" s="41"/>
      <c r="C23" s="41"/>
      <c r="D23" s="41"/>
      <c r="E23" s="80">
        <v>2868.91</v>
      </c>
      <c r="F23" s="81" t="s">
        <v>87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8"/>
  <sheetViews>
    <sheetView zoomScale="85" zoomScaleNormal="85" workbookViewId="0">
      <selection activeCell="D17" sqref="A1:D17"/>
    </sheetView>
  </sheetViews>
  <sheetFormatPr defaultColWidth="14.42578125" defaultRowHeight="15" customHeight="1" x14ac:dyDescent="0.25"/>
  <cols>
    <col min="1" max="1" width="66.28515625" customWidth="1"/>
    <col min="2" max="2" width="24.7109375" customWidth="1"/>
    <col min="3" max="3" width="16.85546875" customWidth="1"/>
    <col min="4" max="4" width="24.140625" style="36" customWidth="1"/>
    <col min="5" max="5" width="75.42578125" bestFit="1" customWidth="1"/>
  </cols>
  <sheetData>
    <row r="1" spans="1:5" ht="16.5" customHeight="1" x14ac:dyDescent="0.6">
      <c r="A1" s="142" t="s">
        <v>0</v>
      </c>
      <c r="B1" s="144" t="s">
        <v>68</v>
      </c>
      <c r="C1" s="145"/>
      <c r="D1" s="50" t="s">
        <v>53</v>
      </c>
      <c r="E1" s="1"/>
    </row>
    <row r="2" spans="1:5" ht="43.5" x14ac:dyDescent="0.6">
      <c r="A2" s="143"/>
      <c r="B2" s="76" t="s">
        <v>56</v>
      </c>
      <c r="C2" s="42" t="s">
        <v>1</v>
      </c>
      <c r="D2" s="51" t="s">
        <v>1</v>
      </c>
      <c r="E2" s="1"/>
    </row>
    <row r="3" spans="1:5" ht="19.5" customHeight="1" x14ac:dyDescent="0.6">
      <c r="A3" s="45" t="s">
        <v>2</v>
      </c>
      <c r="B3" s="82">
        <f>GER_EXECUTIVO!B3</f>
        <v>309995.08732088114</v>
      </c>
      <c r="C3" s="82">
        <f>B3/GER_EXECUTIVO!$G$2</f>
        <v>23.896012719114964</v>
      </c>
      <c r="D3" s="46" t="str">
        <f>FIXED(CÁLCULO_MÉDIAS!X11,2,FALSE)&amp;" "&amp;"-"&amp;FIXED(CÁLCULO_MÉDIAS!Y11,2,FALSE)</f>
        <v>10,00 -22,00</v>
      </c>
      <c r="E3" s="1"/>
    </row>
    <row r="4" spans="1:5" ht="18.75" customHeight="1" x14ac:dyDescent="0.25">
      <c r="A4" s="59" t="str">
        <f>GER_EXECUTIVO!A4</f>
        <v>INFRAESTRUTURA</v>
      </c>
      <c r="B4" s="95">
        <f>GER_EXECUTIVO!B4</f>
        <v>2385378.0276102116</v>
      </c>
      <c r="C4" s="95">
        <f>B4/GER_EXECUTIVO!$G$2</f>
        <v>183.87718392668677</v>
      </c>
      <c r="D4" s="68" t="str">
        <f>FIXED(CÁLCULO_MÉDIAS!X12,2,FALSE)&amp;" "&amp;"-"&amp;FIXED(CÁLCULO_MÉDIAS!Y12,2,FALSE)</f>
        <v>175,00 -210,00</v>
      </c>
      <c r="E4" s="4"/>
    </row>
    <row r="5" spans="1:5" ht="18.75" customHeight="1" x14ac:dyDescent="0.25">
      <c r="A5" s="129" t="str">
        <f>GER_EXECUTIVO!A5</f>
        <v>SUPRAESTRUTURA</v>
      </c>
      <c r="B5" s="82">
        <f>GER_EXECUTIVO!B5</f>
        <v>9440921.1862320006</v>
      </c>
      <c r="C5" s="82">
        <f>B5/GER_EXECUTIVO!$G$2</f>
        <v>727.75467087592608</v>
      </c>
      <c r="D5" s="94" t="str">
        <f>FIXED(CÁLCULO_MÉDIAS!X13,2,FALSE)&amp;" "&amp;"-"&amp;FIXED(CÁLCULO_MÉDIAS!Y13,2,FALSE)</f>
        <v>690,00 -790,00</v>
      </c>
      <c r="E5" s="115"/>
    </row>
    <row r="6" spans="1:5" ht="19.5" customHeight="1" x14ac:dyDescent="0.25">
      <c r="A6" s="59" t="str">
        <f>GER_EXECUTIVO!A6</f>
        <v>ALVENARIA</v>
      </c>
      <c r="B6" s="95">
        <f>GER_EXECUTIVO!B6</f>
        <v>1758803.9943805642</v>
      </c>
      <c r="C6" s="95">
        <f>B6/GER_EXECUTIVO!$G$2</f>
        <v>135.57764086965631</v>
      </c>
      <c r="D6" s="68" t="str">
        <f>FIXED(CÁLCULO_MÉDIAS!X14,2,FALSE)&amp;" "&amp;"-"&amp;FIXED(CÁLCULO_MÉDIAS!Y14,2,FALSE)</f>
        <v>120,00 -160,00</v>
      </c>
      <c r="E6" s="3"/>
    </row>
    <row r="7" spans="1:5" ht="19.5" customHeight="1" x14ac:dyDescent="0.25">
      <c r="A7" s="129" t="str">
        <f>GER_EXECUTIVO!A7</f>
        <v>INSTALAÇÕES ELÉTRICAS, HIDRÁULICAS, GLP E PREVENTIVAS</v>
      </c>
      <c r="B7" s="82">
        <f>GER_EXECUTIVO!B7+GER_EXECUTIVO!B16</f>
        <v>4263495.6875983039</v>
      </c>
      <c r="C7" s="82">
        <f>B7/GER_EXECUTIVO!$G$2</f>
        <v>328.65213464909721</v>
      </c>
      <c r="D7" s="94" t="str">
        <f>FIXED(CÁLCULO_MÉDIAS!X15,2,FALSE)&amp;" "&amp;"-"&amp;FIXED(CÁLCULO_MÉDIAS!Y15,2,FALSE)</f>
        <v>290,00 -360,00</v>
      </c>
      <c r="E7" s="3"/>
    </row>
    <row r="8" spans="1:5" ht="19.5" customHeight="1" x14ac:dyDescent="0.25">
      <c r="A8" s="59" t="str">
        <f>GER_EXECUTIVO!A8</f>
        <v>EQUIPAMENTOS E SISTEMAS ESPECIAIS</v>
      </c>
      <c r="B8" s="95">
        <f>GER_EXECUTIVO!B8+GER_EXECUTIVO!B9</f>
        <v>2137162.427971561</v>
      </c>
      <c r="C8" s="95">
        <f>B8/GER_EXECUTIVO!$G$2</f>
        <v>164.74345126882599</v>
      </c>
      <c r="D8" s="68" t="str">
        <f>FIXED(CÁLCULO_MÉDIAS!X16,2,FALSE)&amp;" "&amp;"-"&amp;FIXED(CÁLCULO_MÉDIAS!Y16,2,FALSE)</f>
        <v>125,00 -230,00</v>
      </c>
      <c r="E8" s="3"/>
    </row>
    <row r="9" spans="1:5" ht="19.5" customHeight="1" x14ac:dyDescent="0.25">
      <c r="A9" s="129" t="str">
        <f>GER_EXECUTIVO!A10</f>
        <v>IMPERMEABILIZAÇÃO</v>
      </c>
      <c r="B9" s="82">
        <f>GER_EXECUTIVO!B10</f>
        <v>447005.69859066204</v>
      </c>
      <c r="C9" s="82">
        <f>B9/GER_EXECUTIVO!$G$2</f>
        <v>34.457493992421149</v>
      </c>
      <c r="D9" s="46" t="str">
        <f>FIXED(CÁLCULO_MÉDIAS!X17,2,FALSE)&amp;" "&amp;"-"&amp;FIXED(CÁLCULO_MÉDIAS!Y17,2,FALSE)</f>
        <v>45,00 -65,00</v>
      </c>
      <c r="E9" s="3"/>
    </row>
    <row r="10" spans="1:5" ht="19.5" customHeight="1" x14ac:dyDescent="0.25">
      <c r="A10" s="59" t="s">
        <v>43</v>
      </c>
      <c r="B10" s="95">
        <f>'[2]Obra '!$C$58+'[2]Obra '!$C$60</f>
        <v>2212511.2035209783</v>
      </c>
      <c r="C10" s="95">
        <f>B10/GER_EXECUTIVO!$G$2</f>
        <v>170.55172169807591</v>
      </c>
      <c r="D10" s="68" t="str">
        <f>FIXED(CÁLCULO_MÉDIAS!X18,2,FALSE)&amp;" "&amp;"-"&amp;FIXED(CÁLCULO_MÉDIAS!Y18,2,FALSE)</f>
        <v>150,00 -200,00</v>
      </c>
      <c r="E10" s="3"/>
    </row>
    <row r="11" spans="1:5" ht="21.75" x14ac:dyDescent="0.25">
      <c r="A11" s="45" t="s">
        <v>18</v>
      </c>
      <c r="B11" s="82">
        <f>GER_EXECUTIVO!B12</f>
        <v>819178.46854399994</v>
      </c>
      <c r="C11" s="82">
        <f>B11/GER_EXECUTIVO!$G$2</f>
        <v>63.146481683724318</v>
      </c>
      <c r="D11" s="94" t="str">
        <f>FIXED(CÁLCULO_MÉDIAS!X19,2,FALSE)&amp;" "&amp;"-"&amp;FIXED(CÁLCULO_MÉDIAS!Y19,2,FALSE)</f>
        <v>50,00 -80,00</v>
      </c>
      <c r="E11" s="3"/>
    </row>
    <row r="12" spans="1:5" s="97" customFormat="1" ht="19.5" customHeight="1" x14ac:dyDescent="0.25">
      <c r="A12" s="59" t="s">
        <v>8</v>
      </c>
      <c r="B12" s="95">
        <f>'[2]Obra '!$C$59+'[2]Obra '!$C$61</f>
        <v>2863271.4545332198</v>
      </c>
      <c r="C12" s="95">
        <f>B12/GER_EXECUTIVO!$G$2</f>
        <v>220.71566258397229</v>
      </c>
      <c r="D12" s="68" t="str">
        <f>FIXED(CÁLCULO_MÉDIAS!X20,2,FALSE)&amp;" "&amp;"-"&amp;FIXED(CÁLCULO_MÉDIAS!Y20,2,FALSE)</f>
        <v>180,00 -220,00</v>
      </c>
      <c r="E12" s="96"/>
    </row>
    <row r="13" spans="1:5" ht="19.5" customHeight="1" x14ac:dyDescent="0.25">
      <c r="A13" s="45" t="str">
        <f>GER_EXECUTIVO!A14</f>
        <v>SISTEMAS DE PINTURA INTERNA</v>
      </c>
      <c r="B13" s="82">
        <f>GER_EXECUTIVO!B14</f>
        <v>1614903.9692634668</v>
      </c>
      <c r="C13" s="82">
        <f>B13/GER_EXECUTIVO!$G$2</f>
        <v>124.48508820955645</v>
      </c>
      <c r="D13" s="46" t="str">
        <f>FIXED(CÁLCULO_MÉDIAS!X21,2,FALSE)&amp;" "&amp;"-"&amp;FIXED(CÁLCULO_MÉDIAS!Y21,2,FALSE)</f>
        <v>120,00 -145,00</v>
      </c>
      <c r="E13" s="3"/>
    </row>
    <row r="14" spans="1:5" ht="19.5" customHeight="1" x14ac:dyDescent="0.25">
      <c r="A14" s="59" t="str">
        <f>GER_EXECUTIVO!A15</f>
        <v>ESQUADRIAS, VIDROS E FERRAGENS</v>
      </c>
      <c r="B14" s="95">
        <f>GER_EXECUTIVO!B15</f>
        <v>4068208.6400170005</v>
      </c>
      <c r="C14" s="95">
        <f>B14/GER_EXECUTIVO!$G$2</f>
        <v>313.59840649742887</v>
      </c>
      <c r="D14" s="68" t="str">
        <f>FIXED(CÁLCULO_MÉDIAS!X22,2,FALSE)&amp;" "&amp;"-"&amp;FIXED(CÁLCULO_MÉDIAS!Y22,2,FALSE)</f>
        <v>260,00 -340,00</v>
      </c>
      <c r="E14" s="3"/>
    </row>
    <row r="15" spans="1:5" ht="19.5" customHeight="1" x14ac:dyDescent="0.25">
      <c r="A15" s="45" t="s">
        <v>11</v>
      </c>
      <c r="B15" s="82">
        <f>GER_EXECUTIVO!B17</f>
        <v>2453734.2412399999</v>
      </c>
      <c r="C15" s="82">
        <f>B15/GER_EXECUTIVO!$G$2</f>
        <v>189.14643178620901</v>
      </c>
      <c r="D15" s="46" t="str">
        <f>FIXED(CÁLCULO_MÉDIAS!X24,2,FALSE)&amp;" "&amp;"-"&amp;FIXED(CÁLCULO_MÉDIAS!Y24,2,FALSE)</f>
        <v>110,00 -170,00</v>
      </c>
      <c r="E15" s="3"/>
    </row>
    <row r="16" spans="1:5" ht="19.5" customHeight="1" x14ac:dyDescent="0.25">
      <c r="A16" s="59" t="s">
        <v>12</v>
      </c>
      <c r="B16" s="95">
        <f>GER_EXECUTIVO!B18</f>
        <v>2240532.589317116</v>
      </c>
      <c r="C16" s="95">
        <f>B16/GER_EXECUTIVO!$G$2</f>
        <v>172.71175396561509</v>
      </c>
      <c r="D16" s="68" t="str">
        <f>FIXED(CÁLCULO_MÉDIAS!X25,2,FALSE)&amp;" "&amp;"-"&amp;FIXED(CÁLCULO_MÉDIAS!Y25,2,FALSE)</f>
        <v>120,00 -180,00</v>
      </c>
      <c r="E16" s="3"/>
    </row>
    <row r="17" spans="1:10" ht="19.5" customHeight="1" thickBot="1" x14ac:dyDescent="0.65">
      <c r="A17" s="52" t="s">
        <v>13</v>
      </c>
      <c r="B17" s="83">
        <f>SUM(B3:B16)</f>
        <v>37015102.676139958</v>
      </c>
      <c r="C17" s="53">
        <f t="shared" ref="C17" si="0">SUM(C3:C16)</f>
        <v>2853.3141347263104</v>
      </c>
      <c r="D17" s="54" t="str">
        <f>FIXED(CÁLCULO_MÉDIAS!X26,2,FALSE)&amp;" "&amp;"-"&amp;FIXED(CÁLCULO_MÉDIAS!Y26,2,FALSE)</f>
        <v>2.450,00 -3.187,00</v>
      </c>
      <c r="E17" s="3"/>
    </row>
    <row r="18" spans="1:10" ht="21.75" customHeight="1" x14ac:dyDescent="0.6">
      <c r="A18" s="1"/>
      <c r="B18" s="5"/>
      <c r="C18" s="1"/>
      <c r="D18" s="38"/>
      <c r="E18" s="1"/>
    </row>
    <row r="19" spans="1:10" ht="21.75" customHeight="1" x14ac:dyDescent="0.6">
      <c r="A19" s="1"/>
      <c r="B19" s="5"/>
      <c r="C19" s="1"/>
      <c r="D19" s="38"/>
      <c r="E19" s="1"/>
    </row>
    <row r="20" spans="1:10" ht="21.75" customHeight="1" x14ac:dyDescent="0.6">
      <c r="A20" s="1"/>
      <c r="B20" s="5"/>
      <c r="C20" s="1"/>
      <c r="D20" s="38"/>
      <c r="E20" s="1"/>
    </row>
    <row r="21" spans="1:10" ht="21.75" customHeight="1" x14ac:dyDescent="0.6">
      <c r="A21" s="1"/>
      <c r="B21" s="5"/>
      <c r="C21" s="1"/>
      <c r="D21" s="38"/>
      <c r="E21" s="1"/>
    </row>
    <row r="22" spans="1:10" ht="21.75" customHeight="1" x14ac:dyDescent="0.6">
      <c r="A22" s="1"/>
      <c r="B22" s="5"/>
      <c r="C22" s="1"/>
      <c r="D22" s="38"/>
      <c r="E22" s="1"/>
    </row>
    <row r="23" spans="1:10" ht="21.75" customHeight="1" x14ac:dyDescent="0.6">
      <c r="A23" s="1"/>
      <c r="B23" s="5"/>
      <c r="C23" s="1"/>
      <c r="D23" s="38"/>
      <c r="E23" s="1"/>
    </row>
    <row r="24" spans="1:10" ht="21.75" customHeight="1" x14ac:dyDescent="0.6">
      <c r="A24" s="1"/>
      <c r="B24" s="5"/>
      <c r="C24" s="1"/>
      <c r="D24" s="38"/>
      <c r="E24" s="1"/>
    </row>
    <row r="25" spans="1:10" ht="21.75" customHeight="1" x14ac:dyDescent="0.6">
      <c r="A25" s="1"/>
      <c r="B25" s="5"/>
      <c r="C25" s="1"/>
      <c r="D25" s="38"/>
      <c r="E25" s="1"/>
    </row>
    <row r="26" spans="1:10" ht="21.75" customHeight="1" x14ac:dyDescent="0.6">
      <c r="A26" s="1"/>
      <c r="B26" s="5"/>
      <c r="C26" s="1"/>
      <c r="D26" s="38"/>
      <c r="E26" s="77"/>
      <c r="F26" s="77"/>
    </row>
    <row r="27" spans="1:10" ht="21.75" customHeight="1" x14ac:dyDescent="0.6">
      <c r="A27" s="1"/>
      <c r="B27" s="5"/>
      <c r="C27" s="1"/>
      <c r="D27" s="39"/>
      <c r="G27" s="78"/>
      <c r="H27" s="78"/>
      <c r="I27" s="77"/>
      <c r="J27" s="77"/>
    </row>
    <row r="28" spans="1:10" ht="21.75" customHeight="1" x14ac:dyDescent="0.6">
      <c r="A28" s="1"/>
      <c r="B28" s="5"/>
      <c r="C28" s="5"/>
      <c r="D28" s="39"/>
      <c r="G28" s="78"/>
      <c r="H28" s="78"/>
      <c r="I28" s="77"/>
      <c r="J28" s="77"/>
    </row>
    <row r="29" spans="1:10" ht="21.75" customHeight="1" x14ac:dyDescent="0.6">
      <c r="A29" s="1"/>
      <c r="B29" s="5"/>
      <c r="C29" s="5"/>
      <c r="D29" s="39"/>
      <c r="G29" s="78"/>
      <c r="H29" s="78"/>
      <c r="I29" s="77"/>
      <c r="J29" s="77"/>
    </row>
    <row r="30" spans="1:10" ht="21.75" customHeight="1" x14ac:dyDescent="0.6">
      <c r="A30" s="1"/>
      <c r="B30" s="5"/>
      <c r="C30" s="5"/>
      <c r="D30" s="39"/>
      <c r="G30" s="78"/>
      <c r="H30" s="78"/>
      <c r="I30" s="77"/>
      <c r="J30" s="77"/>
    </row>
    <row r="31" spans="1:10" ht="21.75" customHeight="1" x14ac:dyDescent="0.6">
      <c r="A31" s="1"/>
      <c r="B31" s="5"/>
      <c r="C31" s="5"/>
      <c r="D31" s="39"/>
      <c r="G31" s="78"/>
      <c r="H31" s="78"/>
      <c r="I31" s="77"/>
      <c r="J31" s="77"/>
    </row>
    <row r="32" spans="1:10" ht="21.75" customHeight="1" x14ac:dyDescent="0.6">
      <c r="A32" s="1"/>
      <c r="B32" s="5"/>
      <c r="C32" s="1"/>
      <c r="D32" s="38"/>
      <c r="E32" s="1"/>
    </row>
    <row r="33" spans="1:5" ht="21.75" customHeight="1" x14ac:dyDescent="0.6">
      <c r="A33" s="1"/>
      <c r="B33" s="5"/>
      <c r="C33" s="1"/>
      <c r="D33" s="38"/>
      <c r="E33" s="1"/>
    </row>
    <row r="34" spans="1:5" ht="21.75" customHeight="1" x14ac:dyDescent="0.6">
      <c r="A34" s="1"/>
      <c r="B34" s="5"/>
      <c r="C34" s="1"/>
      <c r="D34" s="38"/>
      <c r="E34" s="1"/>
    </row>
    <row r="35" spans="1:5" ht="21.75" customHeight="1" x14ac:dyDescent="0.6">
      <c r="A35" s="1"/>
      <c r="B35" s="5"/>
      <c r="C35" s="1"/>
      <c r="D35" s="38"/>
      <c r="E35" s="1"/>
    </row>
    <row r="36" spans="1:5" ht="21.75" customHeight="1" x14ac:dyDescent="0.6">
      <c r="A36" s="1"/>
      <c r="B36" s="5"/>
      <c r="C36" s="1"/>
      <c r="D36" s="38"/>
      <c r="E36" s="1"/>
    </row>
    <row r="37" spans="1:5" ht="21.75" customHeight="1" x14ac:dyDescent="0.6">
      <c r="A37" s="1"/>
      <c r="B37" s="5"/>
      <c r="C37" s="1"/>
      <c r="D37" s="38"/>
      <c r="E37" s="1"/>
    </row>
    <row r="38" spans="1:5" ht="21.75" customHeight="1" x14ac:dyDescent="0.6">
      <c r="A38" s="1"/>
      <c r="B38" s="5"/>
      <c r="C38" s="1"/>
      <c r="D38" s="38"/>
      <c r="E38" s="1"/>
    </row>
    <row r="39" spans="1:5" ht="21.75" customHeight="1" x14ac:dyDescent="0.6">
      <c r="A39" s="1"/>
      <c r="B39" s="5"/>
      <c r="C39" s="1"/>
      <c r="D39" s="38"/>
      <c r="E39" s="1"/>
    </row>
    <row r="40" spans="1:5" ht="21.75" customHeight="1" x14ac:dyDescent="0.6">
      <c r="A40" s="1"/>
      <c r="B40" s="5"/>
      <c r="C40" s="1"/>
      <c r="D40" s="38"/>
      <c r="E40" s="1"/>
    </row>
    <row r="41" spans="1:5" ht="21.75" customHeight="1" x14ac:dyDescent="0.6">
      <c r="A41" s="1"/>
      <c r="B41" s="5"/>
      <c r="C41" s="1"/>
      <c r="D41" s="38"/>
      <c r="E41" s="1"/>
    </row>
    <row r="42" spans="1:5" ht="21.75" customHeight="1" x14ac:dyDescent="0.6">
      <c r="A42" s="1"/>
      <c r="B42" s="5"/>
      <c r="C42" s="1"/>
      <c r="D42" s="38"/>
      <c r="E42" s="1"/>
    </row>
    <row r="43" spans="1:5" ht="21.75" customHeight="1" x14ac:dyDescent="0.6">
      <c r="A43" s="1"/>
      <c r="B43" s="5"/>
      <c r="C43" s="1"/>
      <c r="D43" s="38"/>
      <c r="E43" s="1"/>
    </row>
    <row r="44" spans="1:5" ht="21.75" customHeight="1" x14ac:dyDescent="0.6">
      <c r="A44" s="1"/>
      <c r="B44" s="5"/>
      <c r="C44" s="1"/>
      <c r="D44" s="38"/>
      <c r="E44" s="1"/>
    </row>
    <row r="45" spans="1:5" ht="21.75" customHeight="1" x14ac:dyDescent="0.6">
      <c r="A45" s="1"/>
      <c r="B45" s="5"/>
      <c r="C45" s="1"/>
      <c r="D45" s="38"/>
      <c r="E45" s="1"/>
    </row>
    <row r="46" spans="1:5" ht="21.75" customHeight="1" x14ac:dyDescent="0.6">
      <c r="A46" s="1"/>
      <c r="B46" s="5"/>
      <c r="C46" s="1"/>
      <c r="D46" s="38"/>
      <c r="E46" s="1"/>
    </row>
    <row r="47" spans="1:5" ht="21.75" customHeight="1" x14ac:dyDescent="0.6">
      <c r="A47" s="1"/>
      <c r="B47" s="5"/>
      <c r="C47" s="1"/>
      <c r="D47" s="38"/>
      <c r="E47" s="1"/>
    </row>
    <row r="48" spans="1:5" ht="21.75" customHeight="1" x14ac:dyDescent="0.6">
      <c r="A48" s="1"/>
      <c r="B48" s="5"/>
      <c r="C48" s="1"/>
      <c r="D48" s="38"/>
      <c r="E48" s="1"/>
    </row>
    <row r="49" spans="1:5" ht="21.75" customHeight="1" x14ac:dyDescent="0.6">
      <c r="A49" s="1"/>
      <c r="B49" s="5"/>
      <c r="C49" s="1"/>
      <c r="D49" s="38"/>
      <c r="E49" s="1"/>
    </row>
    <row r="50" spans="1:5" ht="21.75" customHeight="1" x14ac:dyDescent="0.6">
      <c r="A50" s="1"/>
      <c r="B50" s="5"/>
      <c r="C50" s="1"/>
      <c r="D50" s="38"/>
      <c r="E50" s="1"/>
    </row>
    <row r="51" spans="1:5" ht="21.75" customHeight="1" x14ac:dyDescent="0.6">
      <c r="A51" s="1"/>
      <c r="B51" s="5"/>
      <c r="C51" s="1"/>
      <c r="D51" s="38"/>
      <c r="E51" s="1"/>
    </row>
    <row r="52" spans="1:5" ht="21.75" customHeight="1" x14ac:dyDescent="0.6">
      <c r="A52" s="1"/>
      <c r="B52" s="5"/>
      <c r="C52" s="1"/>
      <c r="D52" s="38"/>
      <c r="E52" s="1"/>
    </row>
    <row r="53" spans="1:5" ht="21.75" customHeight="1" x14ac:dyDescent="0.6">
      <c r="A53" s="1"/>
      <c r="B53" s="5"/>
      <c r="C53" s="1"/>
      <c r="D53" s="38"/>
      <c r="E53" s="1"/>
    </row>
    <row r="54" spans="1:5" ht="21.75" customHeight="1" x14ac:dyDescent="0.6">
      <c r="A54" s="1"/>
      <c r="B54" s="5"/>
      <c r="C54" s="1"/>
      <c r="D54" s="38"/>
      <c r="E54" s="1"/>
    </row>
    <row r="55" spans="1:5" ht="21.75" customHeight="1" x14ac:dyDescent="0.6">
      <c r="A55" s="1"/>
      <c r="B55" s="5"/>
      <c r="C55" s="1"/>
      <c r="D55" s="38"/>
      <c r="E55" s="1"/>
    </row>
    <row r="56" spans="1:5" ht="21.75" customHeight="1" x14ac:dyDescent="0.6">
      <c r="A56" s="1"/>
      <c r="B56" s="5"/>
      <c r="C56" s="1"/>
      <c r="D56" s="38"/>
      <c r="E56" s="1"/>
    </row>
    <row r="57" spans="1:5" ht="21.75" customHeight="1" x14ac:dyDescent="0.6">
      <c r="A57" s="1"/>
      <c r="B57" s="5"/>
      <c r="C57" s="1"/>
      <c r="D57" s="38"/>
      <c r="E57" s="1"/>
    </row>
    <row r="58" spans="1:5" ht="21.75" customHeight="1" x14ac:dyDescent="0.6">
      <c r="A58" s="1"/>
      <c r="B58" s="5"/>
      <c r="C58" s="1"/>
      <c r="D58" s="38"/>
      <c r="E58" s="1"/>
    </row>
    <row r="59" spans="1:5" ht="21.75" customHeight="1" x14ac:dyDescent="0.6">
      <c r="A59" s="1"/>
      <c r="B59" s="5"/>
      <c r="C59" s="1"/>
      <c r="D59" s="38"/>
      <c r="E59" s="1"/>
    </row>
    <row r="60" spans="1:5" ht="21.75" customHeight="1" x14ac:dyDescent="0.6">
      <c r="A60" s="1"/>
      <c r="B60" s="5"/>
      <c r="C60" s="1"/>
      <c r="D60" s="38"/>
      <c r="E60" s="1"/>
    </row>
    <row r="61" spans="1:5" ht="21.75" customHeight="1" x14ac:dyDescent="0.6">
      <c r="A61" s="1"/>
      <c r="B61" s="5"/>
      <c r="C61" s="1"/>
      <c r="D61" s="38"/>
      <c r="E61" s="1"/>
    </row>
    <row r="62" spans="1:5" ht="21.75" customHeight="1" x14ac:dyDescent="0.6">
      <c r="A62" s="1"/>
      <c r="B62" s="5"/>
      <c r="C62" s="1"/>
      <c r="D62" s="38"/>
      <c r="E62" s="1"/>
    </row>
    <row r="63" spans="1:5" ht="21.75" customHeight="1" x14ac:dyDescent="0.6">
      <c r="A63" s="1"/>
      <c r="B63" s="5"/>
      <c r="C63" s="1"/>
      <c r="D63" s="38"/>
      <c r="E63" s="1"/>
    </row>
    <row r="64" spans="1:5" ht="21.75" customHeight="1" x14ac:dyDescent="0.6">
      <c r="A64" s="1"/>
      <c r="B64" s="5"/>
      <c r="C64" s="1"/>
      <c r="D64" s="38"/>
      <c r="E64" s="1"/>
    </row>
    <row r="65" spans="1:5" ht="21.75" customHeight="1" x14ac:dyDescent="0.6">
      <c r="A65" s="1"/>
      <c r="B65" s="5"/>
      <c r="C65" s="1"/>
      <c r="D65" s="38"/>
      <c r="E65" s="1"/>
    </row>
    <row r="66" spans="1:5" ht="21.75" customHeight="1" x14ac:dyDescent="0.6">
      <c r="A66" s="1"/>
      <c r="B66" s="5"/>
      <c r="C66" s="1"/>
      <c r="D66" s="38"/>
      <c r="E66" s="1"/>
    </row>
    <row r="67" spans="1:5" ht="21.75" customHeight="1" x14ac:dyDescent="0.6">
      <c r="A67" s="1"/>
      <c r="B67" s="5"/>
      <c r="C67" s="1"/>
      <c r="D67" s="38"/>
      <c r="E67" s="1"/>
    </row>
    <row r="68" spans="1:5" ht="21.75" customHeight="1" x14ac:dyDescent="0.6">
      <c r="A68" s="1"/>
      <c r="B68" s="5"/>
      <c r="C68" s="1"/>
      <c r="D68" s="38"/>
      <c r="E68" s="1"/>
    </row>
    <row r="69" spans="1:5" ht="21.75" customHeight="1" x14ac:dyDescent="0.6">
      <c r="A69" s="1"/>
      <c r="B69" s="5"/>
      <c r="C69" s="1"/>
      <c r="D69" s="38"/>
      <c r="E69" s="1"/>
    </row>
    <row r="70" spans="1:5" ht="21.75" customHeight="1" x14ac:dyDescent="0.6">
      <c r="A70" s="1"/>
      <c r="B70" s="5"/>
      <c r="C70" s="1"/>
      <c r="D70" s="38"/>
      <c r="E70" s="1"/>
    </row>
    <row r="71" spans="1:5" ht="21.75" customHeight="1" x14ac:dyDescent="0.6">
      <c r="A71" s="1"/>
      <c r="B71" s="5"/>
      <c r="C71" s="1"/>
      <c r="D71" s="38"/>
      <c r="E71" s="1"/>
    </row>
    <row r="72" spans="1:5" ht="21.75" customHeight="1" x14ac:dyDescent="0.6">
      <c r="A72" s="1"/>
      <c r="B72" s="5"/>
      <c r="C72" s="1"/>
      <c r="D72" s="38"/>
      <c r="E72" s="1"/>
    </row>
    <row r="73" spans="1:5" ht="21.75" customHeight="1" x14ac:dyDescent="0.6">
      <c r="A73" s="1"/>
      <c r="B73" s="5"/>
      <c r="C73" s="1"/>
      <c r="D73" s="38"/>
      <c r="E73" s="1"/>
    </row>
    <row r="74" spans="1:5" ht="21.75" customHeight="1" x14ac:dyDescent="0.6">
      <c r="A74" s="1"/>
      <c r="B74" s="5"/>
      <c r="C74" s="1"/>
      <c r="D74" s="38"/>
      <c r="E74" s="1"/>
    </row>
    <row r="75" spans="1:5" ht="21.75" customHeight="1" x14ac:dyDescent="0.6">
      <c r="A75" s="1"/>
      <c r="B75" s="5"/>
      <c r="C75" s="1"/>
      <c r="D75" s="38"/>
      <c r="E75" s="1"/>
    </row>
    <row r="76" spans="1:5" ht="21.75" customHeight="1" x14ac:dyDescent="0.6">
      <c r="A76" s="1"/>
      <c r="B76" s="5"/>
      <c r="C76" s="1"/>
      <c r="D76" s="38"/>
      <c r="E76" s="1"/>
    </row>
    <row r="77" spans="1:5" ht="21.75" customHeight="1" x14ac:dyDescent="0.6">
      <c r="A77" s="1"/>
      <c r="B77" s="5"/>
      <c r="C77" s="1"/>
      <c r="D77" s="38"/>
      <c r="E77" s="1"/>
    </row>
    <row r="78" spans="1:5" ht="21.75" customHeight="1" x14ac:dyDescent="0.6">
      <c r="A78" s="1"/>
      <c r="B78" s="5"/>
      <c r="C78" s="1"/>
      <c r="D78" s="38"/>
      <c r="E78" s="1"/>
    </row>
    <row r="79" spans="1:5" ht="21.75" customHeight="1" x14ac:dyDescent="0.6">
      <c r="A79" s="1"/>
      <c r="B79" s="5"/>
      <c r="C79" s="1"/>
      <c r="D79" s="38"/>
      <c r="E79" s="1"/>
    </row>
    <row r="80" spans="1:5" ht="21.75" customHeight="1" x14ac:dyDescent="0.6">
      <c r="A80" s="1"/>
      <c r="B80" s="5"/>
      <c r="C80" s="1"/>
      <c r="D80" s="38"/>
      <c r="E80" s="1"/>
    </row>
    <row r="81" spans="1:5" ht="21.75" customHeight="1" x14ac:dyDescent="0.6">
      <c r="A81" s="1"/>
      <c r="B81" s="5"/>
      <c r="C81" s="1"/>
      <c r="D81" s="38"/>
      <c r="E81" s="1"/>
    </row>
    <row r="82" spans="1:5" ht="21.75" customHeight="1" x14ac:dyDescent="0.6">
      <c r="A82" s="1"/>
      <c r="B82" s="5"/>
      <c r="C82" s="1"/>
      <c r="D82" s="38"/>
      <c r="E82" s="1"/>
    </row>
    <row r="83" spans="1:5" ht="21.75" customHeight="1" x14ac:dyDescent="0.6">
      <c r="A83" s="1"/>
      <c r="B83" s="5"/>
      <c r="C83" s="1"/>
      <c r="D83" s="38"/>
      <c r="E83" s="1"/>
    </row>
    <row r="84" spans="1:5" ht="21.75" customHeight="1" x14ac:dyDescent="0.6">
      <c r="A84" s="1"/>
      <c r="B84" s="5"/>
      <c r="C84" s="1"/>
      <c r="D84" s="38"/>
      <c r="E84" s="1"/>
    </row>
    <row r="85" spans="1:5" ht="21.75" customHeight="1" x14ac:dyDescent="0.6">
      <c r="A85" s="1"/>
      <c r="B85" s="5"/>
      <c r="C85" s="1"/>
      <c r="D85" s="38"/>
      <c r="E85" s="1"/>
    </row>
    <row r="86" spans="1:5" ht="21.75" customHeight="1" x14ac:dyDescent="0.6">
      <c r="A86" s="1"/>
      <c r="B86" s="5"/>
      <c r="C86" s="1"/>
      <c r="D86" s="38"/>
      <c r="E86" s="1"/>
    </row>
    <row r="87" spans="1:5" ht="21.75" customHeight="1" x14ac:dyDescent="0.6">
      <c r="A87" s="1"/>
      <c r="B87" s="5"/>
      <c r="C87" s="1"/>
      <c r="D87" s="38"/>
      <c r="E87" s="1"/>
    </row>
    <row r="88" spans="1:5" ht="21.75" customHeight="1" x14ac:dyDescent="0.6">
      <c r="A88" s="1"/>
      <c r="B88" s="5"/>
      <c r="C88" s="1"/>
      <c r="D88" s="38"/>
      <c r="E88" s="1"/>
    </row>
    <row r="89" spans="1:5" ht="21.75" customHeight="1" x14ac:dyDescent="0.6">
      <c r="A89" s="1"/>
      <c r="B89" s="5"/>
      <c r="C89" s="1"/>
      <c r="D89" s="38"/>
      <c r="E89" s="1"/>
    </row>
    <row r="90" spans="1:5" ht="21.75" customHeight="1" x14ac:dyDescent="0.6">
      <c r="A90" s="1"/>
      <c r="B90" s="5"/>
      <c r="C90" s="1"/>
      <c r="D90" s="38"/>
      <c r="E90" s="1"/>
    </row>
    <row r="91" spans="1:5" ht="21.75" customHeight="1" x14ac:dyDescent="0.6">
      <c r="A91" s="1"/>
      <c r="B91" s="5"/>
      <c r="C91" s="1"/>
      <c r="D91" s="38"/>
      <c r="E91" s="1"/>
    </row>
    <row r="92" spans="1:5" ht="21.75" customHeight="1" x14ac:dyDescent="0.6">
      <c r="A92" s="1"/>
      <c r="B92" s="5"/>
      <c r="C92" s="1"/>
      <c r="D92" s="38"/>
      <c r="E92" s="1"/>
    </row>
    <row r="93" spans="1:5" ht="21.75" customHeight="1" x14ac:dyDescent="0.6">
      <c r="A93" s="1"/>
      <c r="B93" s="5"/>
      <c r="C93" s="1"/>
      <c r="D93" s="38"/>
      <c r="E93" s="1"/>
    </row>
    <row r="94" spans="1:5" ht="21.75" customHeight="1" x14ac:dyDescent="0.6">
      <c r="A94" s="1"/>
      <c r="B94" s="5"/>
      <c r="C94" s="1"/>
      <c r="D94" s="38"/>
      <c r="E94" s="1"/>
    </row>
    <row r="95" spans="1:5" ht="21.75" customHeight="1" x14ac:dyDescent="0.6">
      <c r="A95" s="1"/>
      <c r="B95" s="5"/>
      <c r="C95" s="1"/>
      <c r="D95" s="38"/>
      <c r="E95" s="1"/>
    </row>
    <row r="96" spans="1:5" ht="21.75" customHeight="1" x14ac:dyDescent="0.6">
      <c r="A96" s="1"/>
      <c r="B96" s="5"/>
      <c r="C96" s="1"/>
      <c r="D96" s="38"/>
      <c r="E96" s="1"/>
    </row>
    <row r="97" spans="1:5" ht="21.75" customHeight="1" x14ac:dyDescent="0.6">
      <c r="A97" s="1"/>
      <c r="B97" s="5"/>
      <c r="C97" s="1"/>
      <c r="D97" s="38"/>
      <c r="E97" s="1"/>
    </row>
    <row r="98" spans="1:5" ht="21.75" customHeight="1" x14ac:dyDescent="0.6">
      <c r="A98" s="1"/>
      <c r="B98" s="5"/>
      <c r="C98" s="1"/>
      <c r="D98" s="38"/>
      <c r="E98" s="1"/>
    </row>
    <row r="99" spans="1:5" ht="21.75" customHeight="1" x14ac:dyDescent="0.6">
      <c r="A99" s="1"/>
      <c r="B99" s="5"/>
      <c r="C99" s="1"/>
      <c r="D99" s="38"/>
      <c r="E99" s="1"/>
    </row>
    <row r="100" spans="1:5" ht="21.75" customHeight="1" x14ac:dyDescent="0.6">
      <c r="A100" s="1"/>
      <c r="B100" s="5"/>
      <c r="C100" s="1"/>
      <c r="D100" s="38"/>
      <c r="E100" s="1"/>
    </row>
    <row r="101" spans="1:5" ht="21.75" customHeight="1" x14ac:dyDescent="0.6">
      <c r="A101" s="1"/>
      <c r="B101" s="5"/>
      <c r="C101" s="1"/>
      <c r="D101" s="38"/>
      <c r="E101" s="1"/>
    </row>
    <row r="102" spans="1:5" ht="21.75" customHeight="1" x14ac:dyDescent="0.6">
      <c r="A102" s="1"/>
      <c r="B102" s="5"/>
      <c r="C102" s="1"/>
      <c r="D102" s="38"/>
      <c r="E102" s="1"/>
    </row>
    <row r="103" spans="1:5" ht="21.75" customHeight="1" x14ac:dyDescent="0.6">
      <c r="A103" s="1"/>
      <c r="B103" s="5"/>
      <c r="C103" s="1"/>
      <c r="D103" s="38"/>
      <c r="E103" s="1"/>
    </row>
    <row r="104" spans="1:5" ht="21.75" customHeight="1" x14ac:dyDescent="0.6">
      <c r="A104" s="1"/>
      <c r="B104" s="5"/>
      <c r="C104" s="1"/>
      <c r="D104" s="38"/>
      <c r="E104" s="1"/>
    </row>
    <row r="105" spans="1:5" ht="21.75" customHeight="1" x14ac:dyDescent="0.6">
      <c r="A105" s="1"/>
      <c r="B105" s="5"/>
      <c r="C105" s="1"/>
      <c r="D105" s="38"/>
      <c r="E105" s="1"/>
    </row>
    <row r="106" spans="1:5" ht="21.75" customHeight="1" x14ac:dyDescent="0.6">
      <c r="A106" s="1"/>
      <c r="B106" s="5"/>
      <c r="C106" s="1"/>
      <c r="D106" s="38"/>
      <c r="E106" s="1"/>
    </row>
    <row r="107" spans="1:5" ht="21.75" customHeight="1" x14ac:dyDescent="0.6">
      <c r="A107" s="1"/>
      <c r="B107" s="5"/>
      <c r="C107" s="1"/>
      <c r="D107" s="38"/>
      <c r="E107" s="1"/>
    </row>
    <row r="108" spans="1:5" ht="21.75" customHeight="1" x14ac:dyDescent="0.6">
      <c r="A108" s="1"/>
      <c r="B108" s="5"/>
      <c r="C108" s="1"/>
      <c r="D108" s="38"/>
      <c r="E108" s="1"/>
    </row>
    <row r="109" spans="1:5" ht="21.75" customHeight="1" x14ac:dyDescent="0.6">
      <c r="A109" s="1"/>
      <c r="B109" s="5"/>
      <c r="C109" s="1"/>
      <c r="D109" s="38"/>
      <c r="E109" s="1"/>
    </row>
    <row r="110" spans="1:5" ht="21.75" customHeight="1" x14ac:dyDescent="0.6">
      <c r="A110" s="1"/>
      <c r="B110" s="5"/>
      <c r="C110" s="1"/>
      <c r="D110" s="38"/>
      <c r="E110" s="1"/>
    </row>
    <row r="111" spans="1:5" ht="21.75" customHeight="1" x14ac:dyDescent="0.6">
      <c r="A111" s="1"/>
      <c r="B111" s="5"/>
      <c r="C111" s="1"/>
      <c r="D111" s="38"/>
      <c r="E111" s="1"/>
    </row>
    <row r="112" spans="1:5" ht="21.75" customHeight="1" x14ac:dyDescent="0.6">
      <c r="A112" s="1"/>
      <c r="B112" s="5"/>
      <c r="C112" s="1"/>
      <c r="D112" s="38"/>
      <c r="E112" s="1"/>
    </row>
    <row r="113" spans="1:5" ht="21.75" customHeight="1" x14ac:dyDescent="0.6">
      <c r="A113" s="1"/>
      <c r="B113" s="5"/>
      <c r="C113" s="1"/>
      <c r="D113" s="38"/>
      <c r="E113" s="1"/>
    </row>
    <row r="114" spans="1:5" ht="21.75" customHeight="1" x14ac:dyDescent="0.6">
      <c r="A114" s="1"/>
      <c r="B114" s="5"/>
      <c r="C114" s="1"/>
      <c r="D114" s="38"/>
      <c r="E114" s="1"/>
    </row>
    <row r="115" spans="1:5" ht="21.75" customHeight="1" x14ac:dyDescent="0.6">
      <c r="A115" s="1"/>
      <c r="B115" s="5"/>
      <c r="C115" s="1"/>
      <c r="D115" s="38"/>
      <c r="E115" s="1"/>
    </row>
    <row r="116" spans="1:5" ht="21.75" customHeight="1" x14ac:dyDescent="0.6">
      <c r="A116" s="1"/>
      <c r="B116" s="5"/>
      <c r="C116" s="1"/>
      <c r="D116" s="38"/>
      <c r="E116" s="1"/>
    </row>
    <row r="117" spans="1:5" ht="21.75" customHeight="1" x14ac:dyDescent="0.6">
      <c r="A117" s="1"/>
      <c r="B117" s="5"/>
      <c r="C117" s="1"/>
      <c r="D117" s="38"/>
      <c r="E117" s="1"/>
    </row>
    <row r="118" spans="1:5" ht="21.75" customHeight="1" x14ac:dyDescent="0.6">
      <c r="A118" s="1"/>
      <c r="B118" s="5"/>
      <c r="C118" s="1"/>
      <c r="D118" s="38"/>
      <c r="E118" s="1"/>
    </row>
    <row r="119" spans="1:5" ht="21.75" customHeight="1" x14ac:dyDescent="0.6">
      <c r="A119" s="1"/>
      <c r="B119" s="5"/>
      <c r="C119" s="1"/>
      <c r="D119" s="38"/>
      <c r="E119" s="1"/>
    </row>
    <row r="120" spans="1:5" ht="21.75" customHeight="1" x14ac:dyDescent="0.6">
      <c r="A120" s="1"/>
      <c r="B120" s="5"/>
      <c r="C120" s="1"/>
      <c r="D120" s="38"/>
      <c r="E120" s="1"/>
    </row>
    <row r="121" spans="1:5" ht="21.75" customHeight="1" x14ac:dyDescent="0.6">
      <c r="A121" s="1"/>
      <c r="B121" s="5"/>
      <c r="C121" s="1"/>
      <c r="D121" s="38"/>
      <c r="E121" s="1"/>
    </row>
    <row r="122" spans="1:5" ht="21.75" customHeight="1" x14ac:dyDescent="0.6">
      <c r="A122" s="1"/>
      <c r="B122" s="5"/>
      <c r="C122" s="1"/>
      <c r="D122" s="38"/>
      <c r="E122" s="1"/>
    </row>
    <row r="123" spans="1:5" ht="21.75" customHeight="1" x14ac:dyDescent="0.6">
      <c r="A123" s="1"/>
      <c r="B123" s="5"/>
      <c r="C123" s="1"/>
      <c r="D123" s="38"/>
      <c r="E123" s="1"/>
    </row>
    <row r="124" spans="1:5" ht="21.75" customHeight="1" x14ac:dyDescent="0.6">
      <c r="A124" s="1"/>
      <c r="B124" s="5"/>
      <c r="C124" s="1"/>
      <c r="D124" s="38"/>
      <c r="E124" s="1"/>
    </row>
    <row r="125" spans="1:5" ht="21.75" customHeight="1" x14ac:dyDescent="0.6">
      <c r="A125" s="1"/>
      <c r="B125" s="5"/>
      <c r="C125" s="1"/>
      <c r="D125" s="38"/>
      <c r="E125" s="1"/>
    </row>
    <row r="126" spans="1:5" ht="21.75" customHeight="1" x14ac:dyDescent="0.6">
      <c r="A126" s="1"/>
      <c r="B126" s="5"/>
      <c r="C126" s="1"/>
      <c r="D126" s="38"/>
      <c r="E126" s="1"/>
    </row>
    <row r="127" spans="1:5" ht="21.75" customHeight="1" x14ac:dyDescent="0.6">
      <c r="A127" s="1"/>
      <c r="B127" s="5"/>
      <c r="C127" s="1"/>
      <c r="D127" s="38"/>
      <c r="E127" s="1"/>
    </row>
    <row r="128" spans="1:5" ht="21.75" customHeight="1" x14ac:dyDescent="0.6">
      <c r="A128" s="1"/>
      <c r="B128" s="5"/>
      <c r="C128" s="1"/>
      <c r="D128" s="38"/>
      <c r="E128" s="1"/>
    </row>
    <row r="129" spans="1:5" ht="21.75" customHeight="1" x14ac:dyDescent="0.6">
      <c r="A129" s="1"/>
      <c r="B129" s="5"/>
      <c r="C129" s="1"/>
      <c r="D129" s="38"/>
      <c r="E129" s="1"/>
    </row>
    <row r="130" spans="1:5" ht="21.75" customHeight="1" x14ac:dyDescent="0.6">
      <c r="A130" s="1"/>
      <c r="B130" s="5"/>
      <c r="C130" s="1"/>
      <c r="D130" s="38"/>
      <c r="E130" s="1"/>
    </row>
    <row r="131" spans="1:5" ht="21.75" customHeight="1" x14ac:dyDescent="0.6">
      <c r="A131" s="1"/>
      <c r="B131" s="5"/>
      <c r="C131" s="1"/>
      <c r="D131" s="38"/>
      <c r="E131" s="1"/>
    </row>
    <row r="132" spans="1:5" ht="21.75" customHeight="1" x14ac:dyDescent="0.6">
      <c r="A132" s="1"/>
      <c r="B132" s="5"/>
      <c r="C132" s="1"/>
      <c r="D132" s="38"/>
      <c r="E132" s="1"/>
    </row>
    <row r="133" spans="1:5" ht="21.75" customHeight="1" x14ac:dyDescent="0.6">
      <c r="A133" s="1"/>
      <c r="B133" s="5"/>
      <c r="C133" s="1"/>
      <c r="D133" s="38"/>
      <c r="E133" s="1"/>
    </row>
    <row r="134" spans="1:5" ht="21.75" customHeight="1" x14ac:dyDescent="0.6">
      <c r="A134" s="1"/>
      <c r="B134" s="5"/>
      <c r="C134" s="1"/>
      <c r="D134" s="38"/>
      <c r="E134" s="1"/>
    </row>
    <row r="135" spans="1:5" ht="21.75" customHeight="1" x14ac:dyDescent="0.6">
      <c r="A135" s="1"/>
      <c r="B135" s="5"/>
      <c r="C135" s="1"/>
      <c r="D135" s="38"/>
      <c r="E135" s="1"/>
    </row>
    <row r="136" spans="1:5" ht="21.75" customHeight="1" x14ac:dyDescent="0.6">
      <c r="A136" s="1"/>
      <c r="B136" s="5"/>
      <c r="C136" s="1"/>
      <c r="D136" s="38"/>
      <c r="E136" s="1"/>
    </row>
    <row r="137" spans="1:5" ht="21.75" customHeight="1" x14ac:dyDescent="0.6">
      <c r="A137" s="1"/>
      <c r="B137" s="5"/>
      <c r="C137" s="1"/>
      <c r="D137" s="38"/>
      <c r="E137" s="1"/>
    </row>
    <row r="138" spans="1:5" ht="21.75" customHeight="1" x14ac:dyDescent="0.6">
      <c r="A138" s="1"/>
      <c r="B138" s="5"/>
      <c r="C138" s="1"/>
      <c r="D138" s="38"/>
      <c r="E138" s="1"/>
    </row>
    <row r="139" spans="1:5" ht="21.75" customHeight="1" x14ac:dyDescent="0.6">
      <c r="A139" s="1"/>
      <c r="B139" s="5"/>
      <c r="C139" s="1"/>
      <c r="D139" s="38"/>
      <c r="E139" s="1"/>
    </row>
    <row r="140" spans="1:5" ht="21.75" customHeight="1" x14ac:dyDescent="0.6">
      <c r="A140" s="1"/>
      <c r="B140" s="5"/>
      <c r="C140" s="1"/>
      <c r="D140" s="38"/>
      <c r="E140" s="1"/>
    </row>
    <row r="141" spans="1:5" ht="21.75" customHeight="1" x14ac:dyDescent="0.6">
      <c r="A141" s="1"/>
      <c r="B141" s="5"/>
      <c r="C141" s="1"/>
      <c r="D141" s="38"/>
      <c r="E141" s="1"/>
    </row>
    <row r="142" spans="1:5" ht="21.75" customHeight="1" x14ac:dyDescent="0.6">
      <c r="A142" s="1"/>
      <c r="B142" s="5"/>
      <c r="C142" s="1"/>
      <c r="D142" s="38"/>
      <c r="E142" s="1"/>
    </row>
    <row r="143" spans="1:5" ht="21.75" customHeight="1" x14ac:dyDescent="0.6">
      <c r="A143" s="1"/>
      <c r="B143" s="5"/>
      <c r="C143" s="1"/>
      <c r="D143" s="38"/>
      <c r="E143" s="1"/>
    </row>
    <row r="144" spans="1:5" ht="21.75" customHeight="1" x14ac:dyDescent="0.6">
      <c r="A144" s="1"/>
      <c r="B144" s="5"/>
      <c r="C144" s="1"/>
      <c r="D144" s="38"/>
      <c r="E144" s="1"/>
    </row>
    <row r="145" spans="1:5" ht="21.75" customHeight="1" x14ac:dyDescent="0.6">
      <c r="A145" s="1"/>
      <c r="B145" s="5"/>
      <c r="C145" s="1"/>
      <c r="D145" s="38"/>
      <c r="E145" s="1"/>
    </row>
    <row r="146" spans="1:5" ht="21.75" customHeight="1" x14ac:dyDescent="0.6">
      <c r="A146" s="1"/>
      <c r="B146" s="5"/>
      <c r="C146" s="1"/>
      <c r="D146" s="38"/>
      <c r="E146" s="1"/>
    </row>
    <row r="147" spans="1:5" ht="21.75" customHeight="1" x14ac:dyDescent="0.6">
      <c r="A147" s="1"/>
      <c r="B147" s="5"/>
      <c r="C147" s="1"/>
      <c r="D147" s="38"/>
      <c r="E147" s="1"/>
    </row>
    <row r="148" spans="1:5" ht="21.75" customHeight="1" x14ac:dyDescent="0.6">
      <c r="A148" s="1"/>
      <c r="B148" s="5"/>
      <c r="C148" s="1"/>
      <c r="D148" s="38"/>
      <c r="E148" s="1"/>
    </row>
    <row r="149" spans="1:5" ht="21.75" customHeight="1" x14ac:dyDescent="0.6">
      <c r="A149" s="1"/>
      <c r="B149" s="5"/>
      <c r="C149" s="1"/>
      <c r="D149" s="38"/>
      <c r="E149" s="1"/>
    </row>
    <row r="150" spans="1:5" ht="21.75" customHeight="1" x14ac:dyDescent="0.6">
      <c r="A150" s="1"/>
      <c r="B150" s="5"/>
      <c r="C150" s="1"/>
      <c r="D150" s="38"/>
      <c r="E150" s="1"/>
    </row>
    <row r="151" spans="1:5" ht="21.75" customHeight="1" x14ac:dyDescent="0.6">
      <c r="A151" s="1"/>
      <c r="B151" s="5"/>
      <c r="C151" s="1"/>
      <c r="D151" s="38"/>
      <c r="E151" s="1"/>
    </row>
    <row r="152" spans="1:5" ht="21.75" customHeight="1" x14ac:dyDescent="0.6">
      <c r="A152" s="1"/>
      <c r="B152" s="5"/>
      <c r="C152" s="1"/>
      <c r="D152" s="38"/>
      <c r="E152" s="1"/>
    </row>
    <row r="153" spans="1:5" ht="21.75" customHeight="1" x14ac:dyDescent="0.6">
      <c r="A153" s="1"/>
      <c r="B153" s="5"/>
      <c r="C153" s="1"/>
      <c r="D153" s="38"/>
      <c r="E153" s="1"/>
    </row>
    <row r="154" spans="1:5" ht="21.75" customHeight="1" x14ac:dyDescent="0.6">
      <c r="A154" s="1"/>
      <c r="B154" s="5"/>
      <c r="C154" s="1"/>
      <c r="D154" s="38"/>
      <c r="E154" s="1"/>
    </row>
    <row r="155" spans="1:5" ht="21.75" customHeight="1" x14ac:dyDescent="0.6">
      <c r="A155" s="1"/>
      <c r="B155" s="5"/>
      <c r="C155" s="1"/>
      <c r="D155" s="38"/>
      <c r="E155" s="1"/>
    </row>
    <row r="156" spans="1:5" ht="21.75" customHeight="1" x14ac:dyDescent="0.6">
      <c r="A156" s="1"/>
      <c r="B156" s="5"/>
      <c r="C156" s="1"/>
      <c r="D156" s="38"/>
      <c r="E156" s="1"/>
    </row>
    <row r="157" spans="1:5" ht="21.75" customHeight="1" x14ac:dyDescent="0.6">
      <c r="A157" s="1"/>
      <c r="B157" s="5"/>
      <c r="C157" s="1"/>
      <c r="D157" s="38"/>
      <c r="E157" s="1"/>
    </row>
    <row r="158" spans="1:5" ht="21.75" customHeight="1" x14ac:dyDescent="0.6">
      <c r="A158" s="1"/>
      <c r="B158" s="5"/>
      <c r="C158" s="1"/>
      <c r="D158" s="38"/>
      <c r="E158" s="1"/>
    </row>
    <row r="159" spans="1:5" ht="21.75" customHeight="1" x14ac:dyDescent="0.6">
      <c r="A159" s="1"/>
      <c r="B159" s="5"/>
      <c r="C159" s="1"/>
      <c r="D159" s="38"/>
      <c r="E159" s="1"/>
    </row>
    <row r="160" spans="1:5" ht="21.75" customHeight="1" x14ac:dyDescent="0.6">
      <c r="A160" s="1"/>
      <c r="B160" s="5"/>
      <c r="C160" s="1"/>
      <c r="D160" s="38"/>
      <c r="E160" s="1"/>
    </row>
    <row r="161" spans="1:5" ht="21.75" customHeight="1" x14ac:dyDescent="0.6">
      <c r="A161" s="1"/>
      <c r="B161" s="5"/>
      <c r="C161" s="1"/>
      <c r="D161" s="38"/>
      <c r="E161" s="1"/>
    </row>
    <row r="162" spans="1:5" ht="21.75" customHeight="1" x14ac:dyDescent="0.6">
      <c r="A162" s="1"/>
      <c r="B162" s="5"/>
      <c r="C162" s="1"/>
      <c r="D162" s="38"/>
      <c r="E162" s="1"/>
    </row>
    <row r="163" spans="1:5" ht="21.75" customHeight="1" x14ac:dyDescent="0.6">
      <c r="A163" s="1"/>
      <c r="B163" s="5"/>
      <c r="C163" s="1"/>
      <c r="D163" s="38"/>
      <c r="E163" s="1"/>
    </row>
    <row r="164" spans="1:5" ht="21.75" customHeight="1" x14ac:dyDescent="0.6">
      <c r="A164" s="1"/>
      <c r="B164" s="5"/>
      <c r="C164" s="1"/>
      <c r="D164" s="38"/>
      <c r="E164" s="1"/>
    </row>
    <row r="165" spans="1:5" ht="21.75" customHeight="1" x14ac:dyDescent="0.6">
      <c r="A165" s="1"/>
      <c r="B165" s="5"/>
      <c r="C165" s="1"/>
      <c r="D165" s="38"/>
      <c r="E165" s="1"/>
    </row>
    <row r="166" spans="1:5" ht="21.75" customHeight="1" x14ac:dyDescent="0.6">
      <c r="A166" s="1"/>
      <c r="B166" s="5"/>
      <c r="C166" s="1"/>
      <c r="D166" s="38"/>
      <c r="E166" s="1"/>
    </row>
    <row r="167" spans="1:5" ht="21.75" customHeight="1" x14ac:dyDescent="0.6">
      <c r="A167" s="1"/>
      <c r="B167" s="5"/>
      <c r="C167" s="1"/>
      <c r="D167" s="38"/>
      <c r="E167" s="1"/>
    </row>
    <row r="168" spans="1:5" ht="21.75" customHeight="1" x14ac:dyDescent="0.6">
      <c r="A168" s="1"/>
      <c r="B168" s="5"/>
      <c r="C168" s="1"/>
      <c r="D168" s="38"/>
      <c r="E168" s="1"/>
    </row>
    <row r="169" spans="1:5" ht="21.75" customHeight="1" x14ac:dyDescent="0.6">
      <c r="A169" s="1"/>
      <c r="B169" s="5"/>
      <c r="C169" s="1"/>
      <c r="D169" s="38"/>
      <c r="E169" s="1"/>
    </row>
    <row r="170" spans="1:5" ht="21.75" customHeight="1" x14ac:dyDescent="0.6">
      <c r="A170" s="1"/>
      <c r="B170" s="5"/>
      <c r="C170" s="1"/>
      <c r="D170" s="38"/>
      <c r="E170" s="1"/>
    </row>
    <row r="171" spans="1:5" ht="21.75" customHeight="1" x14ac:dyDescent="0.6">
      <c r="A171" s="1"/>
      <c r="B171" s="5"/>
      <c r="C171" s="1"/>
      <c r="D171" s="38"/>
      <c r="E171" s="1"/>
    </row>
    <row r="172" spans="1:5" ht="21.75" customHeight="1" x14ac:dyDescent="0.6">
      <c r="A172" s="1"/>
      <c r="B172" s="5"/>
      <c r="C172" s="1"/>
      <c r="D172" s="38"/>
      <c r="E172" s="1"/>
    </row>
    <row r="173" spans="1:5" ht="21.75" customHeight="1" x14ac:dyDescent="0.6">
      <c r="A173" s="1"/>
      <c r="B173" s="5"/>
      <c r="C173" s="1"/>
      <c r="D173" s="38"/>
      <c r="E173" s="1"/>
    </row>
    <row r="174" spans="1:5" ht="21.75" customHeight="1" x14ac:dyDescent="0.6">
      <c r="A174" s="1"/>
      <c r="B174" s="5"/>
      <c r="C174" s="1"/>
      <c r="D174" s="38"/>
      <c r="E174" s="1"/>
    </row>
    <row r="175" spans="1:5" ht="21.75" customHeight="1" x14ac:dyDescent="0.6">
      <c r="A175" s="1"/>
      <c r="B175" s="5"/>
      <c r="C175" s="1"/>
      <c r="D175" s="38"/>
      <c r="E175" s="1"/>
    </row>
    <row r="176" spans="1:5" ht="21.75" customHeight="1" x14ac:dyDescent="0.6">
      <c r="A176" s="1"/>
      <c r="B176" s="5"/>
      <c r="C176" s="1"/>
      <c r="D176" s="38"/>
      <c r="E176" s="1"/>
    </row>
    <row r="177" spans="1:5" ht="21.75" customHeight="1" x14ac:dyDescent="0.6">
      <c r="A177" s="1"/>
      <c r="B177" s="5"/>
      <c r="C177" s="1"/>
      <c r="D177" s="38"/>
      <c r="E177" s="1"/>
    </row>
    <row r="178" spans="1:5" ht="21.75" customHeight="1" x14ac:dyDescent="0.6">
      <c r="A178" s="1"/>
      <c r="B178" s="5"/>
      <c r="C178" s="1"/>
      <c r="D178" s="38"/>
      <c r="E178" s="1"/>
    </row>
    <row r="179" spans="1:5" ht="21.75" customHeight="1" x14ac:dyDescent="0.6">
      <c r="A179" s="1"/>
      <c r="B179" s="5"/>
      <c r="C179" s="1"/>
      <c r="D179" s="38"/>
      <c r="E179" s="1"/>
    </row>
    <row r="180" spans="1:5" ht="21.75" customHeight="1" x14ac:dyDescent="0.6">
      <c r="A180" s="1"/>
      <c r="B180" s="5"/>
      <c r="C180" s="1"/>
      <c r="D180" s="38"/>
      <c r="E180" s="1"/>
    </row>
    <row r="181" spans="1:5" ht="21.75" customHeight="1" x14ac:dyDescent="0.6">
      <c r="A181" s="1"/>
      <c r="B181" s="5"/>
      <c r="C181" s="1"/>
      <c r="D181" s="38"/>
      <c r="E181" s="1"/>
    </row>
    <row r="182" spans="1:5" ht="21.75" customHeight="1" x14ac:dyDescent="0.6">
      <c r="A182" s="1"/>
      <c r="B182" s="5"/>
      <c r="C182" s="1"/>
      <c r="D182" s="38"/>
      <c r="E182" s="1"/>
    </row>
    <row r="183" spans="1:5" ht="21.75" customHeight="1" x14ac:dyDescent="0.6">
      <c r="A183" s="1"/>
      <c r="B183" s="5"/>
      <c r="C183" s="1"/>
      <c r="D183" s="38"/>
      <c r="E183" s="1"/>
    </row>
    <row r="184" spans="1:5" ht="21.75" customHeight="1" x14ac:dyDescent="0.6">
      <c r="A184" s="1"/>
      <c r="B184" s="5"/>
      <c r="C184" s="1"/>
      <c r="D184" s="38"/>
      <c r="E184" s="1"/>
    </row>
    <row r="185" spans="1:5" ht="21.75" customHeight="1" x14ac:dyDescent="0.6">
      <c r="A185" s="1"/>
      <c r="B185" s="5"/>
      <c r="C185" s="1"/>
      <c r="D185" s="38"/>
      <c r="E185" s="1"/>
    </row>
    <row r="186" spans="1:5" ht="21.75" customHeight="1" x14ac:dyDescent="0.6">
      <c r="A186" s="1"/>
      <c r="B186" s="5"/>
      <c r="C186" s="1"/>
      <c r="D186" s="38"/>
      <c r="E186" s="1"/>
    </row>
    <row r="187" spans="1:5" ht="21.75" customHeight="1" x14ac:dyDescent="0.6">
      <c r="A187" s="1"/>
      <c r="B187" s="5"/>
      <c r="C187" s="1"/>
      <c r="D187" s="38"/>
      <c r="E187" s="1"/>
    </row>
    <row r="188" spans="1:5" ht="21.75" customHeight="1" x14ac:dyDescent="0.6">
      <c r="A188" s="1"/>
      <c r="B188" s="5"/>
      <c r="C188" s="1"/>
      <c r="D188" s="38"/>
      <c r="E188" s="1"/>
    </row>
    <row r="189" spans="1:5" ht="21.75" customHeight="1" x14ac:dyDescent="0.6">
      <c r="A189" s="1"/>
      <c r="B189" s="5"/>
      <c r="C189" s="1"/>
      <c r="D189" s="38"/>
      <c r="E189" s="1"/>
    </row>
    <row r="190" spans="1:5" ht="21.75" customHeight="1" x14ac:dyDescent="0.6">
      <c r="A190" s="1"/>
      <c r="B190" s="5"/>
      <c r="C190" s="1"/>
      <c r="D190" s="38"/>
      <c r="E190" s="1"/>
    </row>
    <row r="191" spans="1:5" ht="21.75" customHeight="1" x14ac:dyDescent="0.6">
      <c r="A191" s="1"/>
      <c r="B191" s="5"/>
      <c r="C191" s="1"/>
      <c r="D191" s="38"/>
      <c r="E191" s="1"/>
    </row>
    <row r="192" spans="1:5" ht="21.75" customHeight="1" x14ac:dyDescent="0.6">
      <c r="A192" s="1"/>
      <c r="B192" s="5"/>
      <c r="C192" s="1"/>
      <c r="D192" s="38"/>
      <c r="E192" s="1"/>
    </row>
    <row r="193" spans="1:5" ht="21.75" customHeight="1" x14ac:dyDescent="0.6">
      <c r="A193" s="1"/>
      <c r="B193" s="5"/>
      <c r="C193" s="1"/>
      <c r="D193" s="38"/>
      <c r="E193" s="1"/>
    </row>
    <row r="194" spans="1:5" ht="21.75" customHeight="1" x14ac:dyDescent="0.6">
      <c r="A194" s="1"/>
      <c r="B194" s="5"/>
      <c r="C194" s="1"/>
      <c r="D194" s="38"/>
      <c r="E194" s="1"/>
    </row>
    <row r="195" spans="1:5" ht="21.75" customHeight="1" x14ac:dyDescent="0.6">
      <c r="A195" s="1"/>
      <c r="B195" s="5"/>
      <c r="C195" s="1"/>
      <c r="D195" s="38"/>
      <c r="E195" s="1"/>
    </row>
    <row r="196" spans="1:5" ht="21.75" customHeight="1" x14ac:dyDescent="0.6">
      <c r="A196" s="1"/>
      <c r="B196" s="5"/>
      <c r="C196" s="1"/>
      <c r="D196" s="38"/>
      <c r="E196" s="1"/>
    </row>
    <row r="197" spans="1:5" ht="21.75" customHeight="1" x14ac:dyDescent="0.6">
      <c r="A197" s="1"/>
      <c r="B197" s="5"/>
      <c r="C197" s="1"/>
      <c r="D197" s="38"/>
      <c r="E197" s="1"/>
    </row>
    <row r="198" spans="1:5" ht="21.75" customHeight="1" x14ac:dyDescent="0.6">
      <c r="A198" s="1"/>
      <c r="B198" s="5"/>
      <c r="C198" s="1"/>
      <c r="D198" s="38"/>
      <c r="E198" s="1"/>
    </row>
    <row r="199" spans="1:5" ht="21.75" customHeight="1" x14ac:dyDescent="0.6">
      <c r="A199" s="1"/>
      <c r="B199" s="5"/>
      <c r="C199" s="1"/>
      <c r="D199" s="38"/>
      <c r="E199" s="1"/>
    </row>
    <row r="200" spans="1:5" ht="21.75" customHeight="1" x14ac:dyDescent="0.6">
      <c r="A200" s="1"/>
      <c r="B200" s="5"/>
      <c r="C200" s="1"/>
      <c r="D200" s="38"/>
      <c r="E200" s="1"/>
    </row>
    <row r="201" spans="1:5" ht="21.75" customHeight="1" x14ac:dyDescent="0.6">
      <c r="A201" s="1"/>
      <c r="B201" s="5"/>
      <c r="C201" s="1"/>
      <c r="D201" s="38"/>
      <c r="E201" s="1"/>
    </row>
    <row r="202" spans="1:5" ht="21.75" customHeight="1" x14ac:dyDescent="0.6">
      <c r="A202" s="1"/>
      <c r="B202" s="5"/>
      <c r="C202" s="1"/>
      <c r="D202" s="38"/>
      <c r="E202" s="1"/>
    </row>
    <row r="203" spans="1:5" ht="21.75" customHeight="1" x14ac:dyDescent="0.6">
      <c r="A203" s="1"/>
      <c r="B203" s="5"/>
      <c r="C203" s="1"/>
      <c r="D203" s="38"/>
      <c r="E203" s="1"/>
    </row>
    <row r="204" spans="1:5" ht="21.75" customHeight="1" x14ac:dyDescent="0.6">
      <c r="A204" s="1"/>
      <c r="B204" s="5"/>
      <c r="C204" s="1"/>
      <c r="D204" s="38"/>
      <c r="E204" s="1"/>
    </row>
    <row r="205" spans="1:5" ht="21.75" customHeight="1" x14ac:dyDescent="0.6">
      <c r="A205" s="1"/>
      <c r="B205" s="5"/>
      <c r="C205" s="1"/>
      <c r="D205" s="38"/>
      <c r="E205" s="1"/>
    </row>
    <row r="206" spans="1:5" ht="21.75" customHeight="1" x14ac:dyDescent="0.6">
      <c r="A206" s="1"/>
      <c r="B206" s="5"/>
      <c r="C206" s="1"/>
      <c r="D206" s="38"/>
      <c r="E206" s="1"/>
    </row>
    <row r="207" spans="1:5" ht="21.75" customHeight="1" x14ac:dyDescent="0.6">
      <c r="A207" s="1"/>
      <c r="B207" s="5"/>
      <c r="C207" s="1"/>
      <c r="D207" s="38"/>
      <c r="E207" s="1"/>
    </row>
    <row r="208" spans="1:5" ht="21.75" customHeight="1" x14ac:dyDescent="0.6">
      <c r="A208" s="1"/>
      <c r="B208" s="5"/>
      <c r="C208" s="1"/>
      <c r="D208" s="38"/>
      <c r="E208" s="1"/>
    </row>
    <row r="209" spans="1:5" ht="21.75" customHeight="1" x14ac:dyDescent="0.6">
      <c r="A209" s="1"/>
      <c r="B209" s="5"/>
      <c r="C209" s="1"/>
      <c r="D209" s="38"/>
      <c r="E209" s="1"/>
    </row>
    <row r="210" spans="1:5" ht="21.75" customHeight="1" x14ac:dyDescent="0.6">
      <c r="A210" s="1"/>
      <c r="B210" s="5"/>
      <c r="C210" s="1"/>
      <c r="D210" s="38"/>
      <c r="E210" s="1"/>
    </row>
    <row r="211" spans="1:5" ht="21.75" customHeight="1" x14ac:dyDescent="0.6">
      <c r="A211" s="1"/>
      <c r="B211" s="5"/>
      <c r="C211" s="1"/>
      <c r="D211" s="38"/>
      <c r="E211" s="1"/>
    </row>
    <row r="212" spans="1:5" ht="21.75" customHeight="1" x14ac:dyDescent="0.6">
      <c r="A212" s="1"/>
      <c r="B212" s="5"/>
      <c r="C212" s="1"/>
      <c r="D212" s="38"/>
      <c r="E212" s="1"/>
    </row>
    <row r="213" spans="1:5" ht="21.75" customHeight="1" x14ac:dyDescent="0.6">
      <c r="A213" s="1"/>
      <c r="B213" s="5"/>
      <c r="C213" s="1"/>
      <c r="D213" s="38"/>
      <c r="E213" s="1"/>
    </row>
    <row r="214" spans="1:5" ht="21.75" customHeight="1" x14ac:dyDescent="0.6">
      <c r="A214" s="1"/>
      <c r="B214" s="5"/>
      <c r="C214" s="1"/>
      <c r="D214" s="38"/>
      <c r="E214" s="1"/>
    </row>
    <row r="215" spans="1:5" ht="21.75" customHeight="1" x14ac:dyDescent="0.6">
      <c r="A215" s="1"/>
      <c r="B215" s="5"/>
      <c r="C215" s="1"/>
      <c r="D215" s="38"/>
      <c r="E215" s="1"/>
    </row>
    <row r="216" spans="1:5" ht="21.75" customHeight="1" x14ac:dyDescent="0.6">
      <c r="A216" s="1"/>
      <c r="B216" s="5"/>
      <c r="C216" s="1"/>
      <c r="D216" s="38"/>
      <c r="E216" s="1"/>
    </row>
    <row r="217" spans="1:5" ht="21.75" customHeight="1" x14ac:dyDescent="0.6">
      <c r="A217" s="1"/>
      <c r="B217" s="5"/>
      <c r="C217" s="1"/>
      <c r="D217" s="38"/>
      <c r="E217" s="1"/>
    </row>
    <row r="218" spans="1:5" ht="21.75" customHeight="1" x14ac:dyDescent="0.6">
      <c r="A218" s="1"/>
      <c r="B218" s="5"/>
      <c r="C218" s="1"/>
      <c r="D218" s="38"/>
      <c r="E218" s="1"/>
    </row>
    <row r="219" spans="1:5" ht="21.75" customHeight="1" x14ac:dyDescent="0.6">
      <c r="A219" s="1"/>
      <c r="B219" s="5"/>
      <c r="C219" s="1"/>
      <c r="D219" s="38"/>
      <c r="E219" s="1"/>
    </row>
    <row r="220" spans="1:5" ht="21.75" customHeight="1" x14ac:dyDescent="0.6">
      <c r="A220" s="1"/>
      <c r="B220" s="5"/>
      <c r="C220" s="1"/>
      <c r="D220" s="38"/>
      <c r="E220" s="1"/>
    </row>
    <row r="221" spans="1:5" ht="21.75" customHeight="1" x14ac:dyDescent="0.6">
      <c r="A221" s="1"/>
      <c r="B221" s="5"/>
      <c r="C221" s="1"/>
      <c r="D221" s="38"/>
      <c r="E221" s="1"/>
    </row>
    <row r="222" spans="1:5" ht="21.75" customHeight="1" x14ac:dyDescent="0.6">
      <c r="A222" s="1"/>
      <c r="B222" s="5"/>
      <c r="C222" s="1"/>
      <c r="D222" s="38"/>
      <c r="E222" s="1"/>
    </row>
    <row r="223" spans="1:5" ht="21.75" customHeight="1" x14ac:dyDescent="0.6">
      <c r="A223" s="1"/>
      <c r="B223" s="5"/>
      <c r="C223" s="1"/>
      <c r="D223" s="38"/>
      <c r="E223" s="1"/>
    </row>
    <row r="224" spans="1:5" ht="21.75" customHeight="1" x14ac:dyDescent="0.6">
      <c r="A224" s="1"/>
      <c r="B224" s="5"/>
      <c r="C224" s="1"/>
      <c r="D224" s="38"/>
      <c r="E224" s="1"/>
    </row>
    <row r="225" spans="1:5" ht="21.75" customHeight="1" x14ac:dyDescent="0.6">
      <c r="A225" s="1"/>
      <c r="B225" s="5"/>
      <c r="C225" s="1"/>
      <c r="D225" s="38"/>
      <c r="E225" s="1"/>
    </row>
    <row r="226" spans="1:5" ht="21.75" customHeight="1" x14ac:dyDescent="0.6">
      <c r="A226" s="1"/>
      <c r="B226" s="5"/>
      <c r="C226" s="1"/>
      <c r="D226" s="38"/>
      <c r="E226" s="1"/>
    </row>
    <row r="227" spans="1:5" ht="21.75" customHeight="1" x14ac:dyDescent="0.6">
      <c r="A227" s="1"/>
      <c r="B227" s="5"/>
      <c r="C227" s="1"/>
      <c r="D227" s="38"/>
      <c r="E227" s="1"/>
    </row>
    <row r="228" spans="1:5" ht="21.75" customHeight="1" x14ac:dyDescent="0.6">
      <c r="A228" s="1"/>
      <c r="B228" s="5"/>
      <c r="C228" s="1"/>
      <c r="D228" s="38"/>
      <c r="E228" s="1"/>
    </row>
    <row r="229" spans="1:5" ht="21.75" customHeight="1" x14ac:dyDescent="0.6">
      <c r="A229" s="1"/>
      <c r="B229" s="5"/>
      <c r="C229" s="1"/>
      <c r="D229" s="38"/>
      <c r="E229" s="1"/>
    </row>
    <row r="230" spans="1:5" ht="21.75" customHeight="1" x14ac:dyDescent="0.6">
      <c r="A230" s="1"/>
      <c r="B230" s="5"/>
      <c r="C230" s="1"/>
      <c r="D230" s="38"/>
      <c r="E230" s="1"/>
    </row>
    <row r="231" spans="1:5" ht="21.75" customHeight="1" x14ac:dyDescent="0.6">
      <c r="A231" s="1"/>
      <c r="B231" s="5"/>
      <c r="C231" s="1"/>
      <c r="D231" s="38"/>
      <c r="E231" s="1"/>
    </row>
    <row r="232" spans="1:5" ht="21.75" customHeight="1" x14ac:dyDescent="0.6">
      <c r="A232" s="1"/>
      <c r="B232" s="5"/>
      <c r="C232" s="1"/>
      <c r="D232" s="38"/>
      <c r="E232" s="1"/>
    </row>
    <row r="233" spans="1:5" ht="21.75" customHeight="1" x14ac:dyDescent="0.6">
      <c r="A233" s="1"/>
      <c r="B233" s="5"/>
      <c r="C233" s="1"/>
      <c r="D233" s="38"/>
      <c r="E233" s="1"/>
    </row>
    <row r="234" spans="1:5" ht="21.75" customHeight="1" x14ac:dyDescent="0.6">
      <c r="A234" s="1"/>
      <c r="B234" s="5"/>
      <c r="C234" s="1"/>
      <c r="D234" s="38"/>
      <c r="E234" s="1"/>
    </row>
    <row r="235" spans="1:5" ht="21.75" customHeight="1" x14ac:dyDescent="0.6">
      <c r="A235" s="1"/>
      <c r="B235" s="5"/>
      <c r="C235" s="1"/>
      <c r="D235" s="38"/>
      <c r="E235" s="1"/>
    </row>
    <row r="236" spans="1:5" ht="21.75" customHeight="1" x14ac:dyDescent="0.6">
      <c r="A236" s="1"/>
      <c r="B236" s="5"/>
      <c r="C236" s="1"/>
      <c r="D236" s="38"/>
      <c r="E236" s="1"/>
    </row>
    <row r="237" spans="1:5" ht="21.75" customHeight="1" x14ac:dyDescent="0.6">
      <c r="A237" s="1"/>
      <c r="B237" s="5"/>
      <c r="C237" s="1"/>
      <c r="D237" s="38"/>
      <c r="E237" s="1"/>
    </row>
    <row r="238" spans="1:5" ht="21.75" customHeight="1" x14ac:dyDescent="0.6">
      <c r="A238" s="1"/>
      <c r="B238" s="5"/>
      <c r="C238" s="1"/>
      <c r="D238" s="38"/>
      <c r="E238" s="1"/>
    </row>
    <row r="239" spans="1:5" ht="21.75" customHeight="1" x14ac:dyDescent="0.6">
      <c r="A239" s="1"/>
      <c r="B239" s="5"/>
      <c r="C239" s="1"/>
      <c r="D239" s="38"/>
      <c r="E239" s="1"/>
    </row>
    <row r="240" spans="1:5" ht="21.75" customHeight="1" x14ac:dyDescent="0.6">
      <c r="A240" s="1"/>
      <c r="B240" s="5"/>
      <c r="C240" s="1"/>
      <c r="D240" s="38"/>
      <c r="E240" s="1"/>
    </row>
    <row r="241" spans="1:5" ht="21.75" customHeight="1" x14ac:dyDescent="0.6">
      <c r="A241" s="1"/>
      <c r="B241" s="5"/>
      <c r="C241" s="1"/>
      <c r="D241" s="38"/>
      <c r="E241" s="1"/>
    </row>
    <row r="242" spans="1:5" ht="21.75" customHeight="1" x14ac:dyDescent="0.6">
      <c r="A242" s="1"/>
      <c r="B242" s="5"/>
      <c r="C242" s="1"/>
      <c r="D242" s="38"/>
      <c r="E242" s="1"/>
    </row>
    <row r="243" spans="1:5" ht="21.75" customHeight="1" x14ac:dyDescent="0.6">
      <c r="A243" s="1"/>
      <c r="B243" s="5"/>
      <c r="C243" s="1"/>
      <c r="D243" s="38"/>
      <c r="E243" s="1"/>
    </row>
    <row r="244" spans="1:5" ht="21.75" customHeight="1" x14ac:dyDescent="0.6">
      <c r="A244" s="1"/>
      <c r="B244" s="5"/>
      <c r="C244" s="1"/>
      <c r="D244" s="38"/>
      <c r="E244" s="1"/>
    </row>
    <row r="245" spans="1:5" ht="21.75" customHeight="1" x14ac:dyDescent="0.6">
      <c r="A245" s="1"/>
      <c r="B245" s="5"/>
      <c r="C245" s="1"/>
      <c r="D245" s="38"/>
      <c r="E245" s="1"/>
    </row>
    <row r="246" spans="1:5" ht="21.75" customHeight="1" x14ac:dyDescent="0.6">
      <c r="A246" s="1"/>
      <c r="B246" s="5"/>
      <c r="C246" s="1"/>
      <c r="D246" s="38"/>
      <c r="E246" s="1"/>
    </row>
    <row r="247" spans="1:5" ht="21.75" customHeight="1" x14ac:dyDescent="0.6">
      <c r="A247" s="1"/>
      <c r="B247" s="5"/>
      <c r="C247" s="1"/>
      <c r="D247" s="38"/>
      <c r="E247" s="1"/>
    </row>
    <row r="248" spans="1:5" ht="21.75" customHeight="1" x14ac:dyDescent="0.6">
      <c r="A248" s="1"/>
      <c r="B248" s="5"/>
      <c r="C248" s="1"/>
      <c r="D248" s="38"/>
      <c r="E248" s="1"/>
    </row>
    <row r="249" spans="1:5" ht="21.75" customHeight="1" x14ac:dyDescent="0.6">
      <c r="A249" s="1"/>
      <c r="B249" s="5"/>
      <c r="C249" s="1"/>
      <c r="D249" s="38"/>
      <c r="E249" s="1"/>
    </row>
    <row r="250" spans="1:5" ht="21.75" customHeight="1" x14ac:dyDescent="0.6">
      <c r="A250" s="1"/>
      <c r="B250" s="5"/>
      <c r="C250" s="1"/>
      <c r="D250" s="38"/>
      <c r="E250" s="1"/>
    </row>
    <row r="251" spans="1:5" ht="21.75" customHeight="1" x14ac:dyDescent="0.6">
      <c r="A251" s="1"/>
      <c r="B251" s="5"/>
      <c r="C251" s="1"/>
      <c r="D251" s="38"/>
      <c r="E251" s="1"/>
    </row>
    <row r="252" spans="1:5" ht="21.75" customHeight="1" x14ac:dyDescent="0.6">
      <c r="A252" s="1"/>
      <c r="B252" s="5"/>
      <c r="C252" s="1"/>
      <c r="D252" s="38"/>
      <c r="E252" s="1"/>
    </row>
    <row r="253" spans="1:5" ht="21.75" customHeight="1" x14ac:dyDescent="0.6">
      <c r="A253" s="1"/>
      <c r="B253" s="5"/>
      <c r="C253" s="1"/>
      <c r="D253" s="38"/>
      <c r="E253" s="1"/>
    </row>
    <row r="254" spans="1:5" ht="21.75" customHeight="1" x14ac:dyDescent="0.6">
      <c r="A254" s="1"/>
      <c r="B254" s="5"/>
      <c r="C254" s="1"/>
      <c r="D254" s="38"/>
      <c r="E254" s="1"/>
    </row>
    <row r="255" spans="1:5" ht="21.75" customHeight="1" x14ac:dyDescent="0.6">
      <c r="A255" s="1"/>
      <c r="B255" s="5"/>
      <c r="C255" s="1"/>
      <c r="D255" s="38"/>
      <c r="E255" s="1"/>
    </row>
    <row r="256" spans="1:5" ht="21.75" customHeight="1" x14ac:dyDescent="0.6">
      <c r="A256" s="1"/>
      <c r="B256" s="5"/>
      <c r="C256" s="1"/>
      <c r="D256" s="38"/>
      <c r="E256" s="1"/>
    </row>
    <row r="257" spans="1:5" ht="21.75" customHeight="1" x14ac:dyDescent="0.6">
      <c r="A257" s="1"/>
      <c r="B257" s="5"/>
      <c r="C257" s="1"/>
      <c r="D257" s="38"/>
      <c r="E257" s="1"/>
    </row>
    <row r="258" spans="1:5" ht="21.75" customHeight="1" x14ac:dyDescent="0.6">
      <c r="A258" s="1"/>
      <c r="B258" s="5"/>
      <c r="C258" s="1"/>
      <c r="D258" s="38"/>
      <c r="E258" s="1"/>
    </row>
    <row r="259" spans="1:5" ht="21.75" customHeight="1" x14ac:dyDescent="0.6">
      <c r="A259" s="1"/>
      <c r="B259" s="5"/>
      <c r="C259" s="1"/>
      <c r="D259" s="38"/>
      <c r="E259" s="1"/>
    </row>
    <row r="260" spans="1:5" ht="21.75" customHeight="1" x14ac:dyDescent="0.6">
      <c r="A260" s="1"/>
      <c r="B260" s="5"/>
      <c r="C260" s="1"/>
      <c r="D260" s="38"/>
      <c r="E260" s="1"/>
    </row>
    <row r="261" spans="1:5" ht="21.75" customHeight="1" x14ac:dyDescent="0.6">
      <c r="A261" s="1"/>
      <c r="B261" s="5"/>
      <c r="C261" s="1"/>
      <c r="D261" s="38"/>
      <c r="E261" s="1"/>
    </row>
    <row r="262" spans="1:5" ht="21.75" customHeight="1" x14ac:dyDescent="0.6">
      <c r="A262" s="1"/>
      <c r="B262" s="5"/>
      <c r="C262" s="1"/>
      <c r="D262" s="38"/>
      <c r="E262" s="1"/>
    </row>
    <row r="263" spans="1:5" ht="21.75" customHeight="1" x14ac:dyDescent="0.6">
      <c r="A263" s="1"/>
      <c r="B263" s="5"/>
      <c r="C263" s="1"/>
      <c r="D263" s="38"/>
      <c r="E263" s="1"/>
    </row>
    <row r="264" spans="1:5" ht="21.75" customHeight="1" x14ac:dyDescent="0.6">
      <c r="A264" s="1"/>
      <c r="B264" s="5"/>
      <c r="C264" s="1"/>
      <c r="D264" s="38"/>
      <c r="E264" s="1"/>
    </row>
    <row r="265" spans="1:5" ht="21.75" customHeight="1" x14ac:dyDescent="0.6">
      <c r="A265" s="1"/>
      <c r="B265" s="5"/>
      <c r="C265" s="1"/>
      <c r="D265" s="38"/>
      <c r="E265" s="1"/>
    </row>
    <row r="266" spans="1:5" ht="21.75" customHeight="1" x14ac:dyDescent="0.6">
      <c r="A266" s="1"/>
      <c r="B266" s="5"/>
      <c r="C266" s="1"/>
      <c r="D266" s="38"/>
      <c r="E266" s="1"/>
    </row>
    <row r="267" spans="1:5" ht="21.75" customHeight="1" x14ac:dyDescent="0.6">
      <c r="A267" s="1"/>
      <c r="B267" s="5"/>
      <c r="C267" s="1"/>
      <c r="D267" s="38"/>
      <c r="E267" s="1"/>
    </row>
    <row r="268" spans="1:5" ht="21.75" customHeight="1" x14ac:dyDescent="0.6">
      <c r="A268" s="1"/>
      <c r="B268" s="5"/>
      <c r="C268" s="1"/>
      <c r="D268" s="38"/>
      <c r="E268" s="1"/>
    </row>
    <row r="269" spans="1:5" ht="21.75" customHeight="1" x14ac:dyDescent="0.6">
      <c r="A269" s="1"/>
      <c r="B269" s="5"/>
      <c r="C269" s="1"/>
      <c r="D269" s="38"/>
      <c r="E269" s="1"/>
    </row>
    <row r="270" spans="1:5" ht="21.75" customHeight="1" x14ac:dyDescent="0.6">
      <c r="A270" s="1"/>
      <c r="B270" s="5"/>
      <c r="C270" s="1"/>
      <c r="D270" s="38"/>
      <c r="E270" s="1"/>
    </row>
    <row r="271" spans="1:5" ht="21.75" customHeight="1" x14ac:dyDescent="0.6">
      <c r="A271" s="1"/>
      <c r="B271" s="5"/>
      <c r="C271" s="1"/>
      <c r="D271" s="38"/>
      <c r="E271" s="1"/>
    </row>
    <row r="272" spans="1:5" ht="21.75" customHeight="1" x14ac:dyDescent="0.6">
      <c r="A272" s="1"/>
      <c r="B272" s="5"/>
      <c r="C272" s="1"/>
      <c r="D272" s="38"/>
      <c r="E272" s="1"/>
    </row>
    <row r="273" spans="1:5" ht="21.75" customHeight="1" x14ac:dyDescent="0.6">
      <c r="A273" s="1"/>
      <c r="B273" s="5"/>
      <c r="C273" s="1"/>
      <c r="D273" s="38"/>
      <c r="E273" s="1"/>
    </row>
    <row r="274" spans="1:5" ht="21.75" customHeight="1" x14ac:dyDescent="0.6">
      <c r="A274" s="1"/>
      <c r="B274" s="5"/>
      <c r="C274" s="1"/>
      <c r="D274" s="38"/>
      <c r="E274" s="1"/>
    </row>
    <row r="275" spans="1:5" ht="21.75" customHeight="1" x14ac:dyDescent="0.6">
      <c r="A275" s="1"/>
      <c r="B275" s="5"/>
      <c r="C275" s="1"/>
      <c r="D275" s="38"/>
      <c r="E275" s="1"/>
    </row>
    <row r="276" spans="1:5" ht="21.75" customHeight="1" x14ac:dyDescent="0.6">
      <c r="A276" s="1"/>
      <c r="B276" s="5"/>
      <c r="C276" s="1"/>
      <c r="D276" s="38"/>
      <c r="E276" s="1"/>
    </row>
    <row r="277" spans="1:5" ht="21.75" customHeight="1" x14ac:dyDescent="0.6">
      <c r="A277" s="1"/>
      <c r="B277" s="5"/>
      <c r="C277" s="1"/>
      <c r="D277" s="38"/>
      <c r="E277" s="1"/>
    </row>
    <row r="278" spans="1:5" ht="21.75" customHeight="1" x14ac:dyDescent="0.6">
      <c r="A278" s="1"/>
      <c r="B278" s="5"/>
      <c r="C278" s="1"/>
      <c r="D278" s="38"/>
      <c r="E278" s="1"/>
    </row>
    <row r="279" spans="1:5" ht="21.75" customHeight="1" x14ac:dyDescent="0.6">
      <c r="A279" s="1"/>
      <c r="B279" s="5"/>
      <c r="C279" s="1"/>
      <c r="D279" s="38"/>
      <c r="E279" s="1"/>
    </row>
    <row r="280" spans="1:5" ht="21.75" customHeight="1" x14ac:dyDescent="0.6">
      <c r="A280" s="1"/>
      <c r="B280" s="5"/>
      <c r="C280" s="1"/>
      <c r="D280" s="38"/>
      <c r="E280" s="1"/>
    </row>
    <row r="281" spans="1:5" ht="21.75" customHeight="1" x14ac:dyDescent="0.6">
      <c r="A281" s="1"/>
      <c r="B281" s="5"/>
      <c r="C281" s="1"/>
      <c r="D281" s="38"/>
      <c r="E281" s="1"/>
    </row>
    <row r="282" spans="1:5" ht="21.75" customHeight="1" x14ac:dyDescent="0.6">
      <c r="A282" s="1"/>
      <c r="B282" s="5"/>
      <c r="C282" s="1"/>
      <c r="D282" s="38"/>
      <c r="E282" s="1"/>
    </row>
    <row r="283" spans="1:5" ht="21.75" customHeight="1" x14ac:dyDescent="0.6">
      <c r="A283" s="1"/>
      <c r="B283" s="5"/>
      <c r="C283" s="1"/>
      <c r="D283" s="38"/>
      <c r="E283" s="1"/>
    </row>
    <row r="284" spans="1:5" ht="21.75" customHeight="1" x14ac:dyDescent="0.6">
      <c r="A284" s="1"/>
      <c r="B284" s="5"/>
      <c r="C284" s="1"/>
      <c r="D284" s="38"/>
      <c r="E284" s="1"/>
    </row>
    <row r="285" spans="1:5" ht="21.75" customHeight="1" x14ac:dyDescent="0.6">
      <c r="A285" s="1"/>
      <c r="B285" s="5"/>
      <c r="C285" s="1"/>
      <c r="D285" s="38"/>
      <c r="E285" s="1"/>
    </row>
    <row r="286" spans="1:5" ht="21.75" customHeight="1" x14ac:dyDescent="0.6">
      <c r="A286" s="1"/>
      <c r="B286" s="5"/>
      <c r="C286" s="1"/>
      <c r="D286" s="38"/>
      <c r="E286" s="1"/>
    </row>
    <row r="287" spans="1:5" ht="21.75" customHeight="1" x14ac:dyDescent="0.6">
      <c r="A287" s="1"/>
      <c r="B287" s="5"/>
      <c r="C287" s="1"/>
      <c r="D287" s="38"/>
      <c r="E287" s="1"/>
    </row>
    <row r="288" spans="1:5" ht="21.75" customHeight="1" x14ac:dyDescent="0.6">
      <c r="A288" s="1"/>
      <c r="B288" s="5"/>
      <c r="C288" s="1"/>
      <c r="D288" s="38"/>
      <c r="E288" s="1"/>
    </row>
    <row r="289" spans="1:5" ht="21.75" customHeight="1" x14ac:dyDescent="0.6">
      <c r="A289" s="1"/>
      <c r="B289" s="5"/>
      <c r="C289" s="1"/>
      <c r="D289" s="38"/>
      <c r="E289" s="1"/>
    </row>
    <row r="290" spans="1:5" ht="21.75" customHeight="1" x14ac:dyDescent="0.6">
      <c r="A290" s="1"/>
      <c r="B290" s="5"/>
      <c r="C290" s="1"/>
      <c r="D290" s="38"/>
      <c r="E290" s="1"/>
    </row>
    <row r="291" spans="1:5" ht="21.75" customHeight="1" x14ac:dyDescent="0.6">
      <c r="A291" s="1"/>
      <c r="B291" s="5"/>
      <c r="C291" s="1"/>
      <c r="D291" s="38"/>
      <c r="E291" s="1"/>
    </row>
    <row r="292" spans="1:5" ht="21.75" customHeight="1" x14ac:dyDescent="0.6">
      <c r="A292" s="1"/>
      <c r="B292" s="5"/>
      <c r="C292" s="1"/>
      <c r="D292" s="38"/>
      <c r="E292" s="1"/>
    </row>
    <row r="293" spans="1:5" ht="21.75" customHeight="1" x14ac:dyDescent="0.6">
      <c r="A293" s="1"/>
      <c r="B293" s="5"/>
      <c r="C293" s="1"/>
      <c r="D293" s="38"/>
      <c r="E293" s="1"/>
    </row>
    <row r="294" spans="1:5" ht="21.75" customHeight="1" x14ac:dyDescent="0.6">
      <c r="A294" s="1"/>
      <c r="B294" s="5"/>
      <c r="C294" s="1"/>
      <c r="D294" s="38"/>
      <c r="E294" s="1"/>
    </row>
    <row r="295" spans="1:5" ht="21.75" customHeight="1" x14ac:dyDescent="0.6">
      <c r="A295" s="1"/>
      <c r="B295" s="5"/>
      <c r="C295" s="1"/>
      <c r="D295" s="38"/>
      <c r="E295" s="1"/>
    </row>
    <row r="296" spans="1:5" ht="21.75" customHeight="1" x14ac:dyDescent="0.6">
      <c r="A296" s="1"/>
      <c r="B296" s="5"/>
      <c r="C296" s="1"/>
      <c r="D296" s="38"/>
      <c r="E296" s="1"/>
    </row>
    <row r="297" spans="1:5" ht="21.75" customHeight="1" x14ac:dyDescent="0.6">
      <c r="A297" s="1"/>
      <c r="B297" s="5"/>
      <c r="C297" s="1"/>
      <c r="D297" s="38"/>
      <c r="E297" s="1"/>
    </row>
    <row r="298" spans="1:5" ht="21.75" customHeight="1" x14ac:dyDescent="0.6">
      <c r="A298" s="1"/>
      <c r="B298" s="5"/>
      <c r="C298" s="1"/>
      <c r="D298" s="38"/>
      <c r="E298" s="1"/>
    </row>
    <row r="299" spans="1:5" ht="21.75" customHeight="1" x14ac:dyDescent="0.6">
      <c r="A299" s="1"/>
      <c r="B299" s="5"/>
      <c r="C299" s="1"/>
      <c r="D299" s="38"/>
      <c r="E299" s="1"/>
    </row>
    <row r="300" spans="1:5" ht="21.75" customHeight="1" x14ac:dyDescent="0.6">
      <c r="A300" s="1"/>
      <c r="B300" s="5"/>
      <c r="C300" s="1"/>
      <c r="D300" s="38"/>
      <c r="E300" s="1"/>
    </row>
    <row r="301" spans="1:5" ht="21.75" customHeight="1" x14ac:dyDescent="0.6">
      <c r="A301" s="1"/>
      <c r="B301" s="5"/>
      <c r="C301" s="1"/>
      <c r="D301" s="38"/>
      <c r="E301" s="1"/>
    </row>
    <row r="302" spans="1:5" ht="21.75" customHeight="1" x14ac:dyDescent="0.6">
      <c r="A302" s="1"/>
      <c r="B302" s="5"/>
      <c r="C302" s="1"/>
      <c r="D302" s="38"/>
      <c r="E302" s="1"/>
    </row>
    <row r="303" spans="1:5" ht="21.75" customHeight="1" x14ac:dyDescent="0.6">
      <c r="A303" s="1"/>
      <c r="B303" s="5"/>
      <c r="C303" s="1"/>
      <c r="D303" s="38"/>
      <c r="E303" s="1"/>
    </row>
    <row r="304" spans="1:5" ht="21.75" customHeight="1" x14ac:dyDescent="0.6">
      <c r="A304" s="1"/>
      <c r="B304" s="5"/>
      <c r="C304" s="1"/>
      <c r="D304" s="38"/>
      <c r="E304" s="1"/>
    </row>
    <row r="305" spans="1:5" ht="21.75" customHeight="1" x14ac:dyDescent="0.6">
      <c r="A305" s="1"/>
      <c r="B305" s="5"/>
      <c r="C305" s="1"/>
      <c r="D305" s="38"/>
      <c r="E305" s="1"/>
    </row>
    <row r="306" spans="1:5" ht="21.75" customHeight="1" x14ac:dyDescent="0.6">
      <c r="A306" s="1"/>
      <c r="B306" s="5"/>
      <c r="C306" s="1"/>
      <c r="D306" s="38"/>
      <c r="E306" s="1"/>
    </row>
    <row r="307" spans="1:5" ht="21.75" customHeight="1" x14ac:dyDescent="0.6">
      <c r="A307" s="1"/>
      <c r="B307" s="5"/>
      <c r="C307" s="1"/>
      <c r="D307" s="38"/>
      <c r="E307" s="1"/>
    </row>
    <row r="308" spans="1:5" ht="21.75" customHeight="1" x14ac:dyDescent="0.6">
      <c r="A308" s="1"/>
      <c r="B308" s="5"/>
      <c r="C308" s="1"/>
      <c r="D308" s="38"/>
      <c r="E308" s="1"/>
    </row>
    <row r="309" spans="1:5" ht="21.75" customHeight="1" x14ac:dyDescent="0.6">
      <c r="A309" s="1"/>
      <c r="B309" s="5"/>
      <c r="C309" s="1"/>
      <c r="D309" s="38"/>
      <c r="E309" s="1"/>
    </row>
    <row r="310" spans="1:5" ht="21.75" customHeight="1" x14ac:dyDescent="0.6">
      <c r="A310" s="1"/>
      <c r="B310" s="5"/>
      <c r="C310" s="1"/>
      <c r="D310" s="38"/>
      <c r="E310" s="1"/>
    </row>
    <row r="311" spans="1:5" ht="21.75" customHeight="1" x14ac:dyDescent="0.6">
      <c r="A311" s="1"/>
      <c r="B311" s="5"/>
      <c r="C311" s="1"/>
      <c r="D311" s="38"/>
      <c r="E311" s="1"/>
    </row>
    <row r="312" spans="1:5" ht="21.75" customHeight="1" x14ac:dyDescent="0.6">
      <c r="A312" s="1"/>
      <c r="B312" s="5"/>
      <c r="C312" s="1"/>
      <c r="D312" s="38"/>
      <c r="E312" s="1"/>
    </row>
    <row r="313" spans="1:5" ht="21.75" customHeight="1" x14ac:dyDescent="0.6">
      <c r="A313" s="1"/>
      <c r="B313" s="5"/>
      <c r="C313" s="1"/>
      <c r="D313" s="38"/>
      <c r="E313" s="1"/>
    </row>
    <row r="314" spans="1:5" ht="21.75" customHeight="1" x14ac:dyDescent="0.6">
      <c r="A314" s="1"/>
      <c r="B314" s="5"/>
      <c r="C314" s="1"/>
      <c r="D314" s="38"/>
      <c r="E314" s="1"/>
    </row>
    <row r="315" spans="1:5" ht="21.75" customHeight="1" x14ac:dyDescent="0.6">
      <c r="A315" s="1"/>
      <c r="B315" s="5"/>
      <c r="C315" s="1"/>
      <c r="D315" s="38"/>
      <c r="E315" s="1"/>
    </row>
    <row r="316" spans="1:5" ht="21.75" customHeight="1" x14ac:dyDescent="0.6">
      <c r="A316" s="1"/>
      <c r="B316" s="5"/>
      <c r="C316" s="1"/>
      <c r="D316" s="38"/>
      <c r="E316" s="1"/>
    </row>
    <row r="317" spans="1:5" ht="21.75" customHeight="1" x14ac:dyDescent="0.6">
      <c r="A317" s="1"/>
      <c r="B317" s="5"/>
      <c r="C317" s="1"/>
      <c r="D317" s="38"/>
      <c r="E317" s="1"/>
    </row>
    <row r="318" spans="1:5" ht="21.75" customHeight="1" x14ac:dyDescent="0.6">
      <c r="A318" s="1"/>
      <c r="B318" s="5"/>
      <c r="C318" s="1"/>
      <c r="D318" s="38"/>
      <c r="E318" s="1"/>
    </row>
    <row r="319" spans="1:5" ht="21.75" customHeight="1" x14ac:dyDescent="0.6">
      <c r="A319" s="1"/>
      <c r="B319" s="5"/>
      <c r="C319" s="1"/>
      <c r="D319" s="38"/>
      <c r="E319" s="1"/>
    </row>
    <row r="320" spans="1:5" ht="21.75" customHeight="1" x14ac:dyDescent="0.6">
      <c r="A320" s="1"/>
      <c r="B320" s="5"/>
      <c r="C320" s="1"/>
      <c r="D320" s="38"/>
      <c r="E320" s="1"/>
    </row>
    <row r="321" spans="1:5" ht="21.75" customHeight="1" x14ac:dyDescent="0.6">
      <c r="A321" s="1"/>
      <c r="B321" s="5"/>
      <c r="C321" s="1"/>
      <c r="D321" s="38"/>
      <c r="E321" s="1"/>
    </row>
    <row r="322" spans="1:5" ht="21.75" customHeight="1" x14ac:dyDescent="0.6">
      <c r="A322" s="1"/>
      <c r="B322" s="5"/>
      <c r="C322" s="1"/>
      <c r="D322" s="38"/>
      <c r="E322" s="1"/>
    </row>
    <row r="323" spans="1:5" ht="21.75" customHeight="1" x14ac:dyDescent="0.6">
      <c r="A323" s="1"/>
      <c r="B323" s="5"/>
      <c r="C323" s="1"/>
      <c r="D323" s="38"/>
      <c r="E323" s="1"/>
    </row>
    <row r="324" spans="1:5" ht="21.75" customHeight="1" x14ac:dyDescent="0.6">
      <c r="A324" s="1"/>
      <c r="B324" s="5"/>
      <c r="C324" s="1"/>
      <c r="D324" s="38"/>
      <c r="E324" s="1"/>
    </row>
    <row r="325" spans="1:5" ht="21.75" customHeight="1" x14ac:dyDescent="0.6">
      <c r="A325" s="1"/>
      <c r="B325" s="5"/>
      <c r="C325" s="1"/>
      <c r="D325" s="38"/>
      <c r="E325" s="1"/>
    </row>
    <row r="326" spans="1:5" ht="21.75" customHeight="1" x14ac:dyDescent="0.6">
      <c r="A326" s="1"/>
      <c r="B326" s="5"/>
      <c r="C326" s="1"/>
      <c r="D326" s="38"/>
      <c r="E326" s="1"/>
    </row>
    <row r="327" spans="1:5" ht="21.75" customHeight="1" x14ac:dyDescent="0.6">
      <c r="A327" s="1"/>
      <c r="B327" s="5"/>
      <c r="C327" s="1"/>
      <c r="D327" s="38"/>
      <c r="E327" s="1"/>
    </row>
    <row r="328" spans="1:5" ht="21.75" customHeight="1" x14ac:dyDescent="0.6">
      <c r="A328" s="1"/>
      <c r="B328" s="5"/>
      <c r="C328" s="1"/>
      <c r="D328" s="38"/>
      <c r="E328" s="1"/>
    </row>
    <row r="329" spans="1:5" ht="21.75" customHeight="1" x14ac:dyDescent="0.6">
      <c r="A329" s="1"/>
      <c r="B329" s="5"/>
      <c r="C329" s="1"/>
      <c r="D329" s="38"/>
      <c r="E329" s="1"/>
    </row>
    <row r="330" spans="1:5" ht="21.75" customHeight="1" x14ac:dyDescent="0.6">
      <c r="A330" s="1"/>
      <c r="B330" s="5"/>
      <c r="C330" s="1"/>
      <c r="D330" s="38"/>
      <c r="E330" s="1"/>
    </row>
    <row r="331" spans="1:5" ht="21.75" customHeight="1" x14ac:dyDescent="0.6">
      <c r="A331" s="1"/>
      <c r="B331" s="5"/>
      <c r="C331" s="1"/>
      <c r="D331" s="38"/>
      <c r="E331" s="1"/>
    </row>
    <row r="332" spans="1:5" ht="21.75" customHeight="1" x14ac:dyDescent="0.6">
      <c r="A332" s="1"/>
      <c r="B332" s="5"/>
      <c r="C332" s="1"/>
      <c r="D332" s="38"/>
      <c r="E332" s="1"/>
    </row>
    <row r="333" spans="1:5" ht="21.75" customHeight="1" x14ac:dyDescent="0.6">
      <c r="A333" s="1"/>
      <c r="B333" s="5"/>
      <c r="C333" s="1"/>
      <c r="D333" s="38"/>
      <c r="E333" s="1"/>
    </row>
    <row r="334" spans="1:5" ht="21.75" customHeight="1" x14ac:dyDescent="0.6">
      <c r="A334" s="1"/>
      <c r="B334" s="5"/>
      <c r="C334" s="1"/>
      <c r="D334" s="38"/>
      <c r="E334" s="1"/>
    </row>
    <row r="335" spans="1:5" ht="21.75" customHeight="1" x14ac:dyDescent="0.6">
      <c r="A335" s="1"/>
      <c r="B335" s="5"/>
      <c r="C335" s="1"/>
      <c r="D335" s="38"/>
      <c r="E335" s="1"/>
    </row>
    <row r="336" spans="1:5" ht="21.75" customHeight="1" x14ac:dyDescent="0.6">
      <c r="A336" s="1"/>
      <c r="B336" s="5"/>
      <c r="C336" s="1"/>
      <c r="D336" s="38"/>
      <c r="E336" s="1"/>
    </row>
    <row r="337" spans="1:5" ht="21.75" customHeight="1" x14ac:dyDescent="0.6">
      <c r="A337" s="1"/>
      <c r="B337" s="5"/>
      <c r="C337" s="1"/>
      <c r="D337" s="38"/>
      <c r="E337" s="1"/>
    </row>
    <row r="338" spans="1:5" ht="21.75" customHeight="1" x14ac:dyDescent="0.6">
      <c r="A338" s="1"/>
      <c r="B338" s="5"/>
      <c r="C338" s="1"/>
      <c r="D338" s="38"/>
      <c r="E338" s="1"/>
    </row>
    <row r="339" spans="1:5" ht="21.75" customHeight="1" x14ac:dyDescent="0.6">
      <c r="A339" s="1"/>
      <c r="B339" s="5"/>
      <c r="C339" s="1"/>
      <c r="D339" s="38"/>
      <c r="E339" s="1"/>
    </row>
    <row r="340" spans="1:5" ht="21.75" customHeight="1" x14ac:dyDescent="0.6">
      <c r="A340" s="1"/>
      <c r="B340" s="5"/>
      <c r="C340" s="1"/>
      <c r="D340" s="38"/>
      <c r="E340" s="1"/>
    </row>
    <row r="341" spans="1:5" ht="21.75" customHeight="1" x14ac:dyDescent="0.6">
      <c r="A341" s="1"/>
      <c r="B341" s="5"/>
      <c r="C341" s="1"/>
      <c r="D341" s="38"/>
      <c r="E341" s="1"/>
    </row>
    <row r="342" spans="1:5" ht="21.75" customHeight="1" x14ac:dyDescent="0.6">
      <c r="A342" s="1"/>
      <c r="B342" s="5"/>
      <c r="C342" s="1"/>
      <c r="D342" s="38"/>
      <c r="E342" s="1"/>
    </row>
    <row r="343" spans="1:5" ht="21.75" customHeight="1" x14ac:dyDescent="0.6">
      <c r="A343" s="1"/>
      <c r="B343" s="5"/>
      <c r="C343" s="1"/>
      <c r="D343" s="38"/>
      <c r="E343" s="1"/>
    </row>
    <row r="344" spans="1:5" ht="21.75" customHeight="1" x14ac:dyDescent="0.6">
      <c r="A344" s="1"/>
      <c r="B344" s="5"/>
      <c r="C344" s="1"/>
      <c r="D344" s="38"/>
      <c r="E344" s="1"/>
    </row>
    <row r="345" spans="1:5" ht="21.75" customHeight="1" x14ac:dyDescent="0.6">
      <c r="A345" s="1"/>
      <c r="B345" s="5"/>
      <c r="C345" s="1"/>
      <c r="D345" s="38"/>
      <c r="E345" s="1"/>
    </row>
    <row r="346" spans="1:5" ht="21.75" customHeight="1" x14ac:dyDescent="0.6">
      <c r="A346" s="1"/>
      <c r="B346" s="5"/>
      <c r="C346" s="1"/>
      <c r="D346" s="38"/>
      <c r="E346" s="1"/>
    </row>
    <row r="347" spans="1:5" ht="21.75" customHeight="1" x14ac:dyDescent="0.6">
      <c r="A347" s="1"/>
      <c r="B347" s="5"/>
      <c r="C347" s="1"/>
      <c r="D347" s="38"/>
      <c r="E347" s="1"/>
    </row>
    <row r="348" spans="1:5" ht="21.75" customHeight="1" x14ac:dyDescent="0.6">
      <c r="A348" s="1"/>
      <c r="B348" s="5"/>
      <c r="C348" s="1"/>
      <c r="D348" s="38"/>
      <c r="E348" s="1"/>
    </row>
    <row r="349" spans="1:5" ht="21.75" customHeight="1" x14ac:dyDescent="0.6">
      <c r="A349" s="1"/>
      <c r="B349" s="5"/>
      <c r="C349" s="1"/>
      <c r="D349" s="38"/>
      <c r="E349" s="1"/>
    </row>
    <row r="350" spans="1:5" ht="21.75" customHeight="1" x14ac:dyDescent="0.6">
      <c r="A350" s="1"/>
      <c r="B350" s="5"/>
      <c r="C350" s="1"/>
      <c r="D350" s="38"/>
      <c r="E350" s="1"/>
    </row>
    <row r="351" spans="1:5" ht="21.75" customHeight="1" x14ac:dyDescent="0.6">
      <c r="A351" s="1"/>
      <c r="B351" s="5"/>
      <c r="C351" s="1"/>
      <c r="D351" s="38"/>
      <c r="E351" s="1"/>
    </row>
    <row r="352" spans="1:5" ht="21.75" customHeight="1" x14ac:dyDescent="0.6">
      <c r="A352" s="1"/>
      <c r="B352" s="5"/>
      <c r="C352" s="1"/>
      <c r="D352" s="38"/>
      <c r="E352" s="1"/>
    </row>
    <row r="353" spans="1:5" ht="21.75" customHeight="1" x14ac:dyDescent="0.6">
      <c r="A353" s="1"/>
      <c r="B353" s="5"/>
      <c r="C353" s="1"/>
      <c r="D353" s="38"/>
      <c r="E353" s="1"/>
    </row>
    <row r="354" spans="1:5" ht="21.75" customHeight="1" x14ac:dyDescent="0.6">
      <c r="A354" s="1"/>
      <c r="B354" s="5"/>
      <c r="C354" s="1"/>
      <c r="D354" s="38"/>
      <c r="E354" s="1"/>
    </row>
    <row r="355" spans="1:5" ht="21.75" customHeight="1" x14ac:dyDescent="0.6">
      <c r="A355" s="1"/>
      <c r="B355" s="5"/>
      <c r="C355" s="1"/>
      <c r="D355" s="38"/>
      <c r="E355" s="1"/>
    </row>
    <row r="356" spans="1:5" ht="21.75" customHeight="1" x14ac:dyDescent="0.6">
      <c r="A356" s="1"/>
      <c r="B356" s="5"/>
      <c r="C356" s="1"/>
      <c r="D356" s="38"/>
      <c r="E356" s="1"/>
    </row>
    <row r="357" spans="1:5" ht="21.75" customHeight="1" x14ac:dyDescent="0.6">
      <c r="A357" s="1"/>
      <c r="B357" s="5"/>
      <c r="C357" s="1"/>
      <c r="D357" s="38"/>
      <c r="E357" s="1"/>
    </row>
    <row r="358" spans="1:5" ht="21.75" customHeight="1" x14ac:dyDescent="0.6">
      <c r="A358" s="1"/>
      <c r="B358" s="5"/>
      <c r="C358" s="1"/>
      <c r="D358" s="38"/>
      <c r="E358" s="1"/>
    </row>
    <row r="359" spans="1:5" ht="21.75" customHeight="1" x14ac:dyDescent="0.6">
      <c r="A359" s="1"/>
      <c r="B359" s="5"/>
      <c r="C359" s="1"/>
      <c r="D359" s="38"/>
      <c r="E359" s="1"/>
    </row>
    <row r="360" spans="1:5" ht="21.75" customHeight="1" x14ac:dyDescent="0.6">
      <c r="A360" s="1"/>
      <c r="B360" s="5"/>
      <c r="C360" s="1"/>
      <c r="D360" s="38"/>
      <c r="E360" s="1"/>
    </row>
    <row r="361" spans="1:5" ht="21.75" customHeight="1" x14ac:dyDescent="0.6">
      <c r="A361" s="1"/>
      <c r="B361" s="5"/>
      <c r="C361" s="1"/>
      <c r="D361" s="38"/>
      <c r="E361" s="1"/>
    </row>
    <row r="362" spans="1:5" ht="21.75" customHeight="1" x14ac:dyDescent="0.6">
      <c r="A362" s="1"/>
      <c r="B362" s="5"/>
      <c r="C362" s="1"/>
      <c r="D362" s="38"/>
      <c r="E362" s="1"/>
    </row>
    <row r="363" spans="1:5" ht="21.75" customHeight="1" x14ac:dyDescent="0.6">
      <c r="A363" s="1"/>
      <c r="B363" s="5"/>
      <c r="C363" s="1"/>
      <c r="D363" s="38"/>
      <c r="E363" s="1"/>
    </row>
    <row r="364" spans="1:5" ht="21.75" customHeight="1" x14ac:dyDescent="0.6">
      <c r="A364" s="1"/>
      <c r="B364" s="5"/>
      <c r="C364" s="1"/>
      <c r="D364" s="38"/>
      <c r="E364" s="1"/>
    </row>
    <row r="365" spans="1:5" ht="21.75" customHeight="1" x14ac:dyDescent="0.6">
      <c r="A365" s="1"/>
      <c r="B365" s="5"/>
      <c r="C365" s="1"/>
      <c r="D365" s="38"/>
      <c r="E365" s="1"/>
    </row>
    <row r="366" spans="1:5" ht="21.75" customHeight="1" x14ac:dyDescent="0.6">
      <c r="A366" s="1"/>
      <c r="B366" s="5"/>
      <c r="C366" s="1"/>
      <c r="D366" s="38"/>
      <c r="E366" s="1"/>
    </row>
    <row r="367" spans="1:5" ht="21.75" customHeight="1" x14ac:dyDescent="0.6">
      <c r="A367" s="1"/>
      <c r="B367" s="5"/>
      <c r="C367" s="1"/>
      <c r="D367" s="38"/>
      <c r="E367" s="1"/>
    </row>
    <row r="368" spans="1:5" ht="21.75" customHeight="1" x14ac:dyDescent="0.6">
      <c r="A368" s="1"/>
      <c r="B368" s="5"/>
      <c r="C368" s="1"/>
      <c r="D368" s="38"/>
      <c r="E368" s="1"/>
    </row>
    <row r="369" spans="1:5" ht="21.75" customHeight="1" x14ac:dyDescent="0.6">
      <c r="A369" s="1"/>
      <c r="B369" s="5"/>
      <c r="C369" s="1"/>
      <c r="D369" s="38"/>
      <c r="E369" s="1"/>
    </row>
    <row r="370" spans="1:5" ht="21.75" customHeight="1" x14ac:dyDescent="0.6">
      <c r="A370" s="1"/>
      <c r="B370" s="5"/>
      <c r="C370" s="1"/>
      <c r="D370" s="38"/>
      <c r="E370" s="1"/>
    </row>
    <row r="371" spans="1:5" ht="21.75" customHeight="1" x14ac:dyDescent="0.6">
      <c r="A371" s="1"/>
      <c r="B371" s="5"/>
      <c r="C371" s="1"/>
      <c r="D371" s="38"/>
      <c r="E371" s="1"/>
    </row>
    <row r="372" spans="1:5" ht="21.75" customHeight="1" x14ac:dyDescent="0.6">
      <c r="A372" s="1"/>
      <c r="B372" s="5"/>
      <c r="C372" s="1"/>
      <c r="D372" s="38"/>
      <c r="E372" s="1"/>
    </row>
    <row r="373" spans="1:5" ht="21.75" customHeight="1" x14ac:dyDescent="0.6">
      <c r="A373" s="1"/>
      <c r="B373" s="5"/>
      <c r="C373" s="1"/>
      <c r="D373" s="38"/>
      <c r="E373" s="1"/>
    </row>
    <row r="374" spans="1:5" ht="21.75" customHeight="1" x14ac:dyDescent="0.6">
      <c r="A374" s="1"/>
      <c r="B374" s="5"/>
      <c r="C374" s="1"/>
      <c r="D374" s="38"/>
      <c r="E374" s="1"/>
    </row>
    <row r="375" spans="1:5" ht="21.75" customHeight="1" x14ac:dyDescent="0.6">
      <c r="A375" s="1"/>
      <c r="B375" s="5"/>
      <c r="C375" s="1"/>
      <c r="D375" s="38"/>
      <c r="E375" s="1"/>
    </row>
    <row r="376" spans="1:5" ht="21.75" customHeight="1" x14ac:dyDescent="0.6">
      <c r="A376" s="1"/>
      <c r="B376" s="5"/>
      <c r="C376" s="1"/>
      <c r="D376" s="38"/>
      <c r="E376" s="1"/>
    </row>
    <row r="377" spans="1:5" ht="21.75" customHeight="1" x14ac:dyDescent="0.6">
      <c r="A377" s="1"/>
      <c r="B377" s="5"/>
      <c r="C377" s="1"/>
      <c r="D377" s="38"/>
      <c r="E377" s="1"/>
    </row>
    <row r="378" spans="1:5" ht="21.75" customHeight="1" x14ac:dyDescent="0.6">
      <c r="A378" s="1"/>
      <c r="B378" s="5"/>
      <c r="C378" s="1"/>
      <c r="D378" s="38"/>
      <c r="E378" s="1"/>
    </row>
    <row r="379" spans="1:5" ht="21.75" customHeight="1" x14ac:dyDescent="0.6">
      <c r="A379" s="1"/>
      <c r="B379" s="5"/>
      <c r="C379" s="1"/>
      <c r="D379" s="38"/>
      <c r="E379" s="1"/>
    </row>
    <row r="380" spans="1:5" ht="21.75" customHeight="1" x14ac:dyDescent="0.6">
      <c r="A380" s="1"/>
      <c r="B380" s="5"/>
      <c r="C380" s="1"/>
      <c r="D380" s="38"/>
      <c r="E380" s="1"/>
    </row>
    <row r="381" spans="1:5" ht="21.75" customHeight="1" x14ac:dyDescent="0.6">
      <c r="A381" s="1"/>
      <c r="B381" s="5"/>
      <c r="C381" s="1"/>
      <c r="D381" s="38"/>
      <c r="E381" s="1"/>
    </row>
    <row r="382" spans="1:5" ht="21.75" customHeight="1" x14ac:dyDescent="0.6">
      <c r="A382" s="1"/>
      <c r="B382" s="5"/>
      <c r="C382" s="1"/>
      <c r="D382" s="38"/>
      <c r="E382" s="1"/>
    </row>
    <row r="383" spans="1:5" ht="21.75" customHeight="1" x14ac:dyDescent="0.6">
      <c r="A383" s="1"/>
      <c r="B383" s="5"/>
      <c r="C383" s="1"/>
      <c r="D383" s="38"/>
      <c r="E383" s="1"/>
    </row>
    <row r="384" spans="1:5" ht="21.75" customHeight="1" x14ac:dyDescent="0.6">
      <c r="A384" s="1"/>
      <c r="B384" s="5"/>
      <c r="C384" s="1"/>
      <c r="D384" s="38"/>
      <c r="E384" s="1"/>
    </row>
    <row r="385" spans="1:5" ht="21.75" customHeight="1" x14ac:dyDescent="0.6">
      <c r="A385" s="1"/>
      <c r="B385" s="5"/>
      <c r="C385" s="1"/>
      <c r="D385" s="38"/>
      <c r="E385" s="1"/>
    </row>
    <row r="386" spans="1:5" ht="21.75" customHeight="1" x14ac:dyDescent="0.6">
      <c r="A386" s="1"/>
      <c r="B386" s="5"/>
      <c r="C386" s="1"/>
      <c r="D386" s="38"/>
      <c r="E386" s="1"/>
    </row>
    <row r="387" spans="1:5" ht="21.75" customHeight="1" x14ac:dyDescent="0.6">
      <c r="A387" s="1"/>
      <c r="B387" s="5"/>
      <c r="C387" s="1"/>
      <c r="D387" s="38"/>
      <c r="E387" s="1"/>
    </row>
    <row r="388" spans="1:5" ht="21.75" customHeight="1" x14ac:dyDescent="0.6">
      <c r="A388" s="1"/>
      <c r="B388" s="5"/>
      <c r="C388" s="1"/>
      <c r="D388" s="38"/>
      <c r="E388" s="1"/>
    </row>
    <row r="389" spans="1:5" ht="21.75" customHeight="1" x14ac:dyDescent="0.6">
      <c r="A389" s="1"/>
      <c r="B389" s="5"/>
      <c r="C389" s="1"/>
      <c r="D389" s="38"/>
      <c r="E389" s="1"/>
    </row>
    <row r="390" spans="1:5" ht="21.75" customHeight="1" x14ac:dyDescent="0.6">
      <c r="A390" s="1"/>
      <c r="B390" s="5"/>
      <c r="C390" s="1"/>
      <c r="D390" s="38"/>
      <c r="E390" s="1"/>
    </row>
    <row r="391" spans="1:5" ht="21.75" customHeight="1" x14ac:dyDescent="0.6">
      <c r="A391" s="1"/>
      <c r="B391" s="5"/>
      <c r="C391" s="1"/>
      <c r="D391" s="38"/>
      <c r="E391" s="1"/>
    </row>
    <row r="392" spans="1:5" ht="21.75" customHeight="1" x14ac:dyDescent="0.6">
      <c r="A392" s="1"/>
      <c r="B392" s="5"/>
      <c r="C392" s="1"/>
      <c r="D392" s="38"/>
      <c r="E392" s="1"/>
    </row>
    <row r="393" spans="1:5" ht="21.75" customHeight="1" x14ac:dyDescent="0.6">
      <c r="A393" s="1"/>
      <c r="B393" s="5"/>
      <c r="C393" s="1"/>
      <c r="D393" s="38"/>
      <c r="E393" s="1"/>
    </row>
    <row r="394" spans="1:5" ht="21.75" customHeight="1" x14ac:dyDescent="0.6">
      <c r="A394" s="1"/>
      <c r="B394" s="5"/>
      <c r="C394" s="1"/>
      <c r="D394" s="38"/>
      <c r="E394" s="1"/>
    </row>
    <row r="395" spans="1:5" ht="21.75" customHeight="1" x14ac:dyDescent="0.6">
      <c r="A395" s="1"/>
      <c r="B395" s="5"/>
      <c r="C395" s="1"/>
      <c r="D395" s="38"/>
      <c r="E395" s="1"/>
    </row>
    <row r="396" spans="1:5" ht="21.75" customHeight="1" x14ac:dyDescent="0.6">
      <c r="A396" s="1"/>
      <c r="B396" s="5"/>
      <c r="C396" s="1"/>
      <c r="D396" s="38"/>
      <c r="E396" s="1"/>
    </row>
    <row r="397" spans="1:5" ht="21.75" customHeight="1" x14ac:dyDescent="0.6">
      <c r="A397" s="1"/>
      <c r="B397" s="5"/>
      <c r="C397" s="1"/>
      <c r="D397" s="38"/>
      <c r="E397" s="1"/>
    </row>
    <row r="398" spans="1:5" ht="21.75" customHeight="1" x14ac:dyDescent="0.6">
      <c r="A398" s="1"/>
      <c r="B398" s="5"/>
      <c r="C398" s="1"/>
      <c r="D398" s="38"/>
      <c r="E398" s="1"/>
    </row>
    <row r="399" spans="1:5" ht="21.75" customHeight="1" x14ac:dyDescent="0.6">
      <c r="A399" s="1"/>
      <c r="B399" s="5"/>
      <c r="C399" s="1"/>
      <c r="D399" s="38"/>
      <c r="E399" s="1"/>
    </row>
    <row r="400" spans="1:5" ht="21.75" customHeight="1" x14ac:dyDescent="0.6">
      <c r="A400" s="1"/>
      <c r="B400" s="5"/>
      <c r="C400" s="1"/>
      <c r="D400" s="38"/>
      <c r="E400" s="1"/>
    </row>
    <row r="401" spans="1:5" ht="21.75" customHeight="1" x14ac:dyDescent="0.6">
      <c r="A401" s="1"/>
      <c r="B401" s="5"/>
      <c r="C401" s="1"/>
      <c r="D401" s="38"/>
      <c r="E401" s="1"/>
    </row>
    <row r="402" spans="1:5" ht="21.75" customHeight="1" x14ac:dyDescent="0.6">
      <c r="A402" s="1"/>
      <c r="B402" s="5"/>
      <c r="C402" s="1"/>
      <c r="D402" s="38"/>
      <c r="E402" s="1"/>
    </row>
    <row r="403" spans="1:5" ht="21.75" customHeight="1" x14ac:dyDescent="0.6">
      <c r="A403" s="1"/>
      <c r="B403" s="5"/>
      <c r="C403" s="1"/>
      <c r="D403" s="38"/>
      <c r="E403" s="1"/>
    </row>
    <row r="404" spans="1:5" ht="21.75" customHeight="1" x14ac:dyDescent="0.6">
      <c r="A404" s="1"/>
      <c r="B404" s="5"/>
      <c r="C404" s="1"/>
      <c r="D404" s="38"/>
      <c r="E404" s="1"/>
    </row>
    <row r="405" spans="1:5" ht="21.75" customHeight="1" x14ac:dyDescent="0.6">
      <c r="A405" s="1"/>
      <c r="B405" s="5"/>
      <c r="C405" s="1"/>
      <c r="D405" s="38"/>
      <c r="E405" s="1"/>
    </row>
    <row r="406" spans="1:5" ht="21.75" customHeight="1" x14ac:dyDescent="0.6">
      <c r="A406" s="1"/>
      <c r="B406" s="5"/>
      <c r="C406" s="1"/>
      <c r="D406" s="38"/>
      <c r="E406" s="1"/>
    </row>
    <row r="407" spans="1:5" ht="21.75" customHeight="1" x14ac:dyDescent="0.6">
      <c r="A407" s="1"/>
      <c r="B407" s="5"/>
      <c r="C407" s="1"/>
      <c r="D407" s="38"/>
      <c r="E407" s="1"/>
    </row>
    <row r="408" spans="1:5" ht="21.75" customHeight="1" x14ac:dyDescent="0.6">
      <c r="A408" s="1"/>
      <c r="B408" s="5"/>
      <c r="C408" s="1"/>
      <c r="D408" s="38"/>
      <c r="E408" s="1"/>
    </row>
    <row r="409" spans="1:5" ht="21.75" customHeight="1" x14ac:dyDescent="0.6">
      <c r="A409" s="1"/>
      <c r="B409" s="5"/>
      <c r="C409" s="1"/>
      <c r="D409" s="38"/>
      <c r="E409" s="1"/>
    </row>
    <row r="410" spans="1:5" ht="21.75" customHeight="1" x14ac:dyDescent="0.6">
      <c r="A410" s="1"/>
      <c r="B410" s="5"/>
      <c r="C410" s="1"/>
      <c r="D410" s="38"/>
      <c r="E410" s="1"/>
    </row>
    <row r="411" spans="1:5" ht="21.75" customHeight="1" x14ac:dyDescent="0.6">
      <c r="A411" s="1"/>
      <c r="B411" s="5"/>
      <c r="C411" s="1"/>
      <c r="D411" s="38"/>
      <c r="E411" s="1"/>
    </row>
    <row r="412" spans="1:5" ht="21.75" customHeight="1" x14ac:dyDescent="0.6">
      <c r="A412" s="1"/>
      <c r="B412" s="5"/>
      <c r="C412" s="1"/>
      <c r="D412" s="38"/>
      <c r="E412" s="1"/>
    </row>
    <row r="413" spans="1:5" ht="21.75" customHeight="1" x14ac:dyDescent="0.6">
      <c r="A413" s="1"/>
      <c r="B413" s="5"/>
      <c r="C413" s="1"/>
      <c r="D413" s="38"/>
      <c r="E413" s="1"/>
    </row>
    <row r="414" spans="1:5" ht="21.75" customHeight="1" x14ac:dyDescent="0.6">
      <c r="A414" s="1"/>
      <c r="B414" s="5"/>
      <c r="C414" s="1"/>
      <c r="D414" s="38"/>
      <c r="E414" s="1"/>
    </row>
    <row r="415" spans="1:5" ht="21.75" customHeight="1" x14ac:dyDescent="0.6">
      <c r="A415" s="1"/>
      <c r="B415" s="5"/>
      <c r="C415" s="1"/>
      <c r="D415" s="38"/>
      <c r="E415" s="1"/>
    </row>
    <row r="416" spans="1:5" ht="21.75" customHeight="1" x14ac:dyDescent="0.6">
      <c r="A416" s="1"/>
      <c r="B416" s="5"/>
      <c r="C416" s="1"/>
      <c r="D416" s="38"/>
      <c r="E416" s="1"/>
    </row>
    <row r="417" spans="1:5" ht="21.75" customHeight="1" x14ac:dyDescent="0.6">
      <c r="A417" s="1"/>
      <c r="B417" s="5"/>
      <c r="C417" s="1"/>
      <c r="D417" s="38"/>
      <c r="E417" s="1"/>
    </row>
    <row r="418" spans="1:5" ht="21.75" customHeight="1" x14ac:dyDescent="0.6">
      <c r="A418" s="1"/>
      <c r="B418" s="5"/>
      <c r="C418" s="1"/>
      <c r="D418" s="38"/>
      <c r="E418" s="1"/>
    </row>
    <row r="419" spans="1:5" ht="21.75" customHeight="1" x14ac:dyDescent="0.6">
      <c r="A419" s="1"/>
      <c r="B419" s="5"/>
      <c r="C419" s="1"/>
      <c r="D419" s="38"/>
      <c r="E419" s="1"/>
    </row>
    <row r="420" spans="1:5" ht="21.75" customHeight="1" x14ac:dyDescent="0.6">
      <c r="A420" s="1"/>
      <c r="B420" s="5"/>
      <c r="C420" s="1"/>
      <c r="D420" s="38"/>
      <c r="E420" s="1"/>
    </row>
    <row r="421" spans="1:5" ht="21.75" customHeight="1" x14ac:dyDescent="0.6">
      <c r="A421" s="1"/>
      <c r="B421" s="5"/>
      <c r="C421" s="1"/>
      <c r="D421" s="38"/>
      <c r="E421" s="1"/>
    </row>
    <row r="422" spans="1:5" ht="21.75" customHeight="1" x14ac:dyDescent="0.6">
      <c r="A422" s="1"/>
      <c r="B422" s="5"/>
      <c r="C422" s="1"/>
      <c r="D422" s="38"/>
      <c r="E422" s="1"/>
    </row>
    <row r="423" spans="1:5" ht="21.75" customHeight="1" x14ac:dyDescent="0.6">
      <c r="A423" s="1"/>
      <c r="B423" s="5"/>
      <c r="C423" s="1"/>
      <c r="D423" s="38"/>
      <c r="E423" s="1"/>
    </row>
    <row r="424" spans="1:5" ht="21.75" customHeight="1" x14ac:dyDescent="0.6">
      <c r="A424" s="1"/>
      <c r="B424" s="5"/>
      <c r="C424" s="1"/>
      <c r="D424" s="38"/>
      <c r="E424" s="1"/>
    </row>
    <row r="425" spans="1:5" ht="21.75" customHeight="1" x14ac:dyDescent="0.6">
      <c r="A425" s="1"/>
      <c r="B425" s="5"/>
      <c r="C425" s="1"/>
      <c r="D425" s="38"/>
      <c r="E425" s="1"/>
    </row>
    <row r="426" spans="1:5" ht="21.75" customHeight="1" x14ac:dyDescent="0.6">
      <c r="A426" s="1"/>
      <c r="B426" s="5"/>
      <c r="C426" s="1"/>
      <c r="D426" s="38"/>
      <c r="E426" s="1"/>
    </row>
    <row r="427" spans="1:5" ht="21.75" customHeight="1" x14ac:dyDescent="0.6">
      <c r="A427" s="1"/>
      <c r="B427" s="5"/>
      <c r="C427" s="1"/>
      <c r="D427" s="38"/>
      <c r="E427" s="1"/>
    </row>
    <row r="428" spans="1:5" ht="21.75" customHeight="1" x14ac:dyDescent="0.6">
      <c r="A428" s="1"/>
      <c r="B428" s="5"/>
      <c r="C428" s="1"/>
      <c r="D428" s="38"/>
      <c r="E428" s="1"/>
    </row>
    <row r="429" spans="1:5" ht="21.75" customHeight="1" x14ac:dyDescent="0.6">
      <c r="A429" s="1"/>
      <c r="B429" s="5"/>
      <c r="C429" s="1"/>
      <c r="D429" s="38"/>
      <c r="E429" s="1"/>
    </row>
    <row r="430" spans="1:5" ht="21.75" customHeight="1" x14ac:dyDescent="0.6">
      <c r="A430" s="1"/>
      <c r="B430" s="5"/>
      <c r="C430" s="1"/>
      <c r="D430" s="38"/>
      <c r="E430" s="1"/>
    </row>
    <row r="431" spans="1:5" ht="21.75" customHeight="1" x14ac:dyDescent="0.6">
      <c r="A431" s="1"/>
      <c r="B431" s="5"/>
      <c r="C431" s="1"/>
      <c r="D431" s="38"/>
      <c r="E431" s="1"/>
    </row>
    <row r="432" spans="1:5" ht="21.75" customHeight="1" x14ac:dyDescent="0.6">
      <c r="A432" s="1"/>
      <c r="B432" s="5"/>
      <c r="C432" s="1"/>
      <c r="D432" s="38"/>
      <c r="E432" s="1"/>
    </row>
    <row r="433" spans="1:5" ht="21.75" customHeight="1" x14ac:dyDescent="0.6">
      <c r="A433" s="1"/>
      <c r="B433" s="5"/>
      <c r="C433" s="1"/>
      <c r="D433" s="38"/>
      <c r="E433" s="1"/>
    </row>
    <row r="434" spans="1:5" ht="21.75" customHeight="1" x14ac:dyDescent="0.6">
      <c r="A434" s="1"/>
      <c r="B434" s="5"/>
      <c r="C434" s="1"/>
      <c r="D434" s="38"/>
      <c r="E434" s="1"/>
    </row>
    <row r="435" spans="1:5" ht="21.75" customHeight="1" x14ac:dyDescent="0.6">
      <c r="A435" s="1"/>
      <c r="B435" s="5"/>
      <c r="C435" s="1"/>
      <c r="D435" s="38"/>
      <c r="E435" s="1"/>
    </row>
    <row r="436" spans="1:5" ht="21.75" customHeight="1" x14ac:dyDescent="0.6">
      <c r="A436" s="1"/>
      <c r="B436" s="5"/>
      <c r="C436" s="1"/>
      <c r="D436" s="38"/>
      <c r="E436" s="1"/>
    </row>
    <row r="437" spans="1:5" ht="21.75" customHeight="1" x14ac:dyDescent="0.6">
      <c r="A437" s="1"/>
      <c r="B437" s="5"/>
      <c r="C437" s="1"/>
      <c r="D437" s="38"/>
      <c r="E437" s="1"/>
    </row>
    <row r="438" spans="1:5" ht="21.75" customHeight="1" x14ac:dyDescent="0.6">
      <c r="A438" s="1"/>
      <c r="B438" s="5"/>
      <c r="C438" s="1"/>
      <c r="D438" s="38"/>
      <c r="E438" s="1"/>
    </row>
    <row r="439" spans="1:5" ht="21.75" customHeight="1" x14ac:dyDescent="0.6">
      <c r="A439" s="1"/>
      <c r="B439" s="5"/>
      <c r="C439" s="1"/>
      <c r="D439" s="38"/>
      <c r="E439" s="1"/>
    </row>
    <row r="440" spans="1:5" ht="21.75" customHeight="1" x14ac:dyDescent="0.6">
      <c r="A440" s="1"/>
      <c r="B440" s="5"/>
      <c r="C440" s="1"/>
      <c r="D440" s="38"/>
      <c r="E440" s="1"/>
    </row>
    <row r="441" spans="1:5" ht="21.75" customHeight="1" x14ac:dyDescent="0.6">
      <c r="A441" s="1"/>
      <c r="B441" s="5"/>
      <c r="C441" s="1"/>
      <c r="D441" s="38"/>
      <c r="E441" s="1"/>
    </row>
    <row r="442" spans="1:5" ht="21.75" customHeight="1" x14ac:dyDescent="0.6">
      <c r="A442" s="1"/>
      <c r="B442" s="5"/>
      <c r="C442" s="1"/>
      <c r="D442" s="38"/>
      <c r="E442" s="1"/>
    </row>
    <row r="443" spans="1:5" ht="21.75" customHeight="1" x14ac:dyDescent="0.6">
      <c r="A443" s="1"/>
      <c r="B443" s="5"/>
      <c r="C443" s="1"/>
      <c r="D443" s="38"/>
      <c r="E443" s="1"/>
    </row>
    <row r="444" spans="1:5" ht="21.75" customHeight="1" x14ac:dyDescent="0.6">
      <c r="A444" s="1"/>
      <c r="B444" s="5"/>
      <c r="C444" s="1"/>
      <c r="D444" s="38"/>
      <c r="E444" s="1"/>
    </row>
    <row r="445" spans="1:5" ht="21.75" customHeight="1" x14ac:dyDescent="0.6">
      <c r="A445" s="1"/>
      <c r="B445" s="5"/>
      <c r="C445" s="1"/>
      <c r="D445" s="38"/>
      <c r="E445" s="1"/>
    </row>
    <row r="446" spans="1:5" ht="21.75" customHeight="1" x14ac:dyDescent="0.6">
      <c r="A446" s="1"/>
      <c r="B446" s="5"/>
      <c r="C446" s="1"/>
      <c r="D446" s="38"/>
      <c r="E446" s="1"/>
    </row>
    <row r="447" spans="1:5" ht="21.75" customHeight="1" x14ac:dyDescent="0.6">
      <c r="A447" s="1"/>
      <c r="B447" s="5"/>
      <c r="C447" s="1"/>
      <c r="D447" s="38"/>
      <c r="E447" s="1"/>
    </row>
    <row r="448" spans="1:5" ht="21.75" customHeight="1" x14ac:dyDescent="0.6">
      <c r="A448" s="1"/>
      <c r="B448" s="5"/>
      <c r="C448" s="1"/>
      <c r="D448" s="38"/>
      <c r="E448" s="1"/>
    </row>
    <row r="449" spans="1:5" ht="21.75" customHeight="1" x14ac:dyDescent="0.6">
      <c r="A449" s="1"/>
      <c r="B449" s="5"/>
      <c r="C449" s="1"/>
      <c r="D449" s="38"/>
      <c r="E449" s="1"/>
    </row>
    <row r="450" spans="1:5" ht="21.75" customHeight="1" x14ac:dyDescent="0.6">
      <c r="A450" s="1"/>
      <c r="B450" s="5"/>
      <c r="C450" s="1"/>
      <c r="D450" s="38"/>
      <c r="E450" s="1"/>
    </row>
    <row r="451" spans="1:5" ht="21.75" customHeight="1" x14ac:dyDescent="0.6">
      <c r="A451" s="1"/>
      <c r="B451" s="5"/>
      <c r="C451" s="1"/>
      <c r="D451" s="38"/>
      <c r="E451" s="1"/>
    </row>
    <row r="452" spans="1:5" ht="21.75" customHeight="1" x14ac:dyDescent="0.6">
      <c r="A452" s="1"/>
      <c r="B452" s="5"/>
      <c r="C452" s="1"/>
      <c r="D452" s="38"/>
      <c r="E452" s="1"/>
    </row>
    <row r="453" spans="1:5" ht="21.75" customHeight="1" x14ac:dyDescent="0.6">
      <c r="A453" s="1"/>
      <c r="B453" s="5"/>
      <c r="C453" s="1"/>
      <c r="D453" s="38"/>
      <c r="E453" s="1"/>
    </row>
    <row r="454" spans="1:5" ht="21.75" customHeight="1" x14ac:dyDescent="0.6">
      <c r="A454" s="1"/>
      <c r="B454" s="5"/>
      <c r="C454" s="1"/>
      <c r="D454" s="38"/>
      <c r="E454" s="1"/>
    </row>
    <row r="455" spans="1:5" ht="21.75" customHeight="1" x14ac:dyDescent="0.6">
      <c r="A455" s="1"/>
      <c r="B455" s="5"/>
      <c r="C455" s="1"/>
      <c r="D455" s="38"/>
      <c r="E455" s="1"/>
    </row>
    <row r="456" spans="1:5" ht="21.75" customHeight="1" x14ac:dyDescent="0.6">
      <c r="A456" s="1"/>
      <c r="B456" s="5"/>
      <c r="C456" s="1"/>
      <c r="D456" s="38"/>
      <c r="E456" s="1"/>
    </row>
    <row r="457" spans="1:5" ht="21.75" customHeight="1" x14ac:dyDescent="0.6">
      <c r="A457" s="1"/>
      <c r="B457" s="5"/>
      <c r="C457" s="1"/>
      <c r="D457" s="38"/>
      <c r="E457" s="1"/>
    </row>
    <row r="458" spans="1:5" ht="21.75" customHeight="1" x14ac:dyDescent="0.6">
      <c r="A458" s="1"/>
      <c r="B458" s="5"/>
      <c r="C458" s="1"/>
      <c r="D458" s="38"/>
      <c r="E458" s="1"/>
    </row>
    <row r="459" spans="1:5" ht="21.75" customHeight="1" x14ac:dyDescent="0.6">
      <c r="A459" s="1"/>
      <c r="B459" s="5"/>
      <c r="C459" s="1"/>
      <c r="D459" s="38"/>
      <c r="E459" s="1"/>
    </row>
    <row r="460" spans="1:5" ht="21.75" customHeight="1" x14ac:dyDescent="0.6">
      <c r="A460" s="1"/>
      <c r="B460" s="5"/>
      <c r="C460" s="1"/>
      <c r="D460" s="38"/>
      <c r="E460" s="1"/>
    </row>
    <row r="461" spans="1:5" ht="21.75" customHeight="1" x14ac:dyDescent="0.6">
      <c r="A461" s="1"/>
      <c r="B461" s="5"/>
      <c r="C461" s="1"/>
      <c r="D461" s="38"/>
      <c r="E461" s="1"/>
    </row>
    <row r="462" spans="1:5" ht="21.75" customHeight="1" x14ac:dyDescent="0.6">
      <c r="A462" s="1"/>
      <c r="B462" s="5"/>
      <c r="C462" s="1"/>
      <c r="D462" s="38"/>
      <c r="E462" s="1"/>
    </row>
    <row r="463" spans="1:5" ht="21.75" customHeight="1" x14ac:dyDescent="0.6">
      <c r="A463" s="1"/>
      <c r="B463" s="5"/>
      <c r="C463" s="1"/>
      <c r="D463" s="38"/>
      <c r="E463" s="1"/>
    </row>
    <row r="464" spans="1:5" ht="21.75" customHeight="1" x14ac:dyDescent="0.6">
      <c r="A464" s="1"/>
      <c r="B464" s="5"/>
      <c r="C464" s="1"/>
      <c r="D464" s="38"/>
      <c r="E464" s="1"/>
    </row>
    <row r="465" spans="1:5" ht="21.75" customHeight="1" x14ac:dyDescent="0.6">
      <c r="A465" s="1"/>
      <c r="B465" s="5"/>
      <c r="C465" s="1"/>
      <c r="D465" s="38"/>
      <c r="E465" s="1"/>
    </row>
    <row r="466" spans="1:5" ht="21.75" customHeight="1" x14ac:dyDescent="0.6">
      <c r="A466" s="1"/>
      <c r="B466" s="5"/>
      <c r="C466" s="1"/>
      <c r="D466" s="38"/>
      <c r="E466" s="1"/>
    </row>
    <row r="467" spans="1:5" ht="21.75" customHeight="1" x14ac:dyDescent="0.6">
      <c r="A467" s="1"/>
      <c r="B467" s="5"/>
      <c r="C467" s="1"/>
      <c r="D467" s="38"/>
      <c r="E467" s="1"/>
    </row>
    <row r="468" spans="1:5" ht="21.75" customHeight="1" x14ac:dyDescent="0.6">
      <c r="A468" s="1"/>
      <c r="B468" s="5"/>
      <c r="C468" s="1"/>
      <c r="D468" s="38"/>
      <c r="E468" s="1"/>
    </row>
    <row r="469" spans="1:5" ht="21.75" customHeight="1" x14ac:dyDescent="0.6">
      <c r="A469" s="1"/>
      <c r="B469" s="5"/>
      <c r="C469" s="1"/>
      <c r="D469" s="38"/>
      <c r="E469" s="1"/>
    </row>
    <row r="470" spans="1:5" ht="21.75" customHeight="1" x14ac:dyDescent="0.6">
      <c r="A470" s="1"/>
      <c r="B470" s="5"/>
      <c r="C470" s="1"/>
      <c r="D470" s="38"/>
      <c r="E470" s="1"/>
    </row>
    <row r="471" spans="1:5" ht="21.75" customHeight="1" x14ac:dyDescent="0.6">
      <c r="A471" s="1"/>
      <c r="B471" s="5"/>
      <c r="C471" s="1"/>
      <c r="D471" s="38"/>
      <c r="E471" s="1"/>
    </row>
    <row r="472" spans="1:5" ht="21.75" customHeight="1" x14ac:dyDescent="0.6">
      <c r="A472" s="1"/>
      <c r="B472" s="5"/>
      <c r="C472" s="1"/>
      <c r="D472" s="38"/>
      <c r="E472" s="1"/>
    </row>
    <row r="473" spans="1:5" ht="21.75" customHeight="1" x14ac:dyDescent="0.6">
      <c r="A473" s="1"/>
      <c r="B473" s="5"/>
      <c r="C473" s="1"/>
      <c r="D473" s="38"/>
      <c r="E473" s="1"/>
    </row>
    <row r="474" spans="1:5" ht="21.75" customHeight="1" x14ac:dyDescent="0.6">
      <c r="A474" s="1"/>
      <c r="B474" s="5"/>
      <c r="C474" s="1"/>
      <c r="D474" s="38"/>
      <c r="E474" s="1"/>
    </row>
    <row r="475" spans="1:5" ht="21.75" customHeight="1" x14ac:dyDescent="0.6">
      <c r="A475" s="1"/>
      <c r="B475" s="5"/>
      <c r="C475" s="1"/>
      <c r="D475" s="38"/>
      <c r="E475" s="1"/>
    </row>
    <row r="476" spans="1:5" ht="21.75" customHeight="1" x14ac:dyDescent="0.6">
      <c r="A476" s="1"/>
      <c r="B476" s="5"/>
      <c r="C476" s="1"/>
      <c r="D476" s="38"/>
      <c r="E476" s="1"/>
    </row>
    <row r="477" spans="1:5" ht="21.75" customHeight="1" x14ac:dyDescent="0.6">
      <c r="A477" s="1"/>
      <c r="B477" s="5"/>
      <c r="C477" s="1"/>
      <c r="D477" s="38"/>
      <c r="E477" s="1"/>
    </row>
    <row r="478" spans="1:5" ht="21.75" customHeight="1" x14ac:dyDescent="0.6">
      <c r="A478" s="1"/>
      <c r="B478" s="5"/>
      <c r="C478" s="1"/>
      <c r="D478" s="38"/>
      <c r="E478" s="1"/>
    </row>
    <row r="479" spans="1:5" ht="21.75" customHeight="1" x14ac:dyDescent="0.6">
      <c r="A479" s="1"/>
      <c r="B479" s="5"/>
      <c r="C479" s="1"/>
      <c r="D479" s="38"/>
      <c r="E479" s="1"/>
    </row>
    <row r="480" spans="1:5" ht="21.75" customHeight="1" x14ac:dyDescent="0.6">
      <c r="A480" s="1"/>
      <c r="B480" s="5"/>
      <c r="C480" s="1"/>
      <c r="D480" s="38"/>
      <c r="E480" s="1"/>
    </row>
    <row r="481" spans="1:5" ht="21.75" customHeight="1" x14ac:dyDescent="0.6">
      <c r="A481" s="1"/>
      <c r="B481" s="5"/>
      <c r="C481" s="1"/>
      <c r="D481" s="38"/>
      <c r="E481" s="1"/>
    </row>
    <row r="482" spans="1:5" ht="21.75" customHeight="1" x14ac:dyDescent="0.6">
      <c r="A482" s="1"/>
      <c r="B482" s="5"/>
      <c r="C482" s="1"/>
      <c r="D482" s="38"/>
      <c r="E482" s="1"/>
    </row>
    <row r="483" spans="1:5" ht="21.75" customHeight="1" x14ac:dyDescent="0.6">
      <c r="A483" s="1"/>
      <c r="B483" s="5"/>
      <c r="C483" s="1"/>
      <c r="D483" s="38"/>
      <c r="E483" s="1"/>
    </row>
    <row r="484" spans="1:5" ht="21.75" customHeight="1" x14ac:dyDescent="0.6">
      <c r="A484" s="1"/>
      <c r="B484" s="5"/>
      <c r="C484" s="1"/>
      <c r="D484" s="38"/>
      <c r="E484" s="1"/>
    </row>
    <row r="485" spans="1:5" ht="21.75" customHeight="1" x14ac:dyDescent="0.6">
      <c r="A485" s="1"/>
      <c r="B485" s="5"/>
      <c r="C485" s="1"/>
      <c r="D485" s="38"/>
      <c r="E485" s="1"/>
    </row>
    <row r="486" spans="1:5" ht="21.75" customHeight="1" x14ac:dyDescent="0.6">
      <c r="A486" s="1"/>
      <c r="B486" s="5"/>
      <c r="C486" s="1"/>
      <c r="D486" s="38"/>
      <c r="E486" s="1"/>
    </row>
    <row r="487" spans="1:5" ht="21.75" customHeight="1" x14ac:dyDescent="0.6">
      <c r="A487" s="1"/>
      <c r="B487" s="5"/>
      <c r="C487" s="1"/>
      <c r="D487" s="38"/>
      <c r="E487" s="1"/>
    </row>
    <row r="488" spans="1:5" ht="21.75" customHeight="1" x14ac:dyDescent="0.6">
      <c r="A488" s="1"/>
      <c r="B488" s="5"/>
      <c r="C488" s="1"/>
      <c r="D488" s="38"/>
      <c r="E488" s="1"/>
    </row>
    <row r="489" spans="1:5" ht="21.75" customHeight="1" x14ac:dyDescent="0.6">
      <c r="A489" s="1"/>
      <c r="B489" s="5"/>
      <c r="C489" s="1"/>
      <c r="D489" s="38"/>
      <c r="E489" s="1"/>
    </row>
    <row r="490" spans="1:5" ht="21.75" customHeight="1" x14ac:dyDescent="0.6">
      <c r="A490" s="1"/>
      <c r="B490" s="5"/>
      <c r="C490" s="1"/>
      <c r="D490" s="38"/>
      <c r="E490" s="1"/>
    </row>
    <row r="491" spans="1:5" ht="21.75" customHeight="1" x14ac:dyDescent="0.6">
      <c r="A491" s="1"/>
      <c r="B491" s="5"/>
      <c r="C491" s="1"/>
      <c r="D491" s="38"/>
      <c r="E491" s="1"/>
    </row>
    <row r="492" spans="1:5" ht="21.75" customHeight="1" x14ac:dyDescent="0.6">
      <c r="A492" s="1"/>
      <c r="B492" s="5"/>
      <c r="C492" s="1"/>
      <c r="D492" s="38"/>
      <c r="E492" s="1"/>
    </row>
    <row r="493" spans="1:5" ht="21.75" customHeight="1" x14ac:dyDescent="0.6">
      <c r="A493" s="1"/>
      <c r="B493" s="5"/>
      <c r="C493" s="1"/>
      <c r="D493" s="38"/>
      <c r="E493" s="1"/>
    </row>
    <row r="494" spans="1:5" ht="21.75" customHeight="1" x14ac:dyDescent="0.6">
      <c r="A494" s="1"/>
      <c r="B494" s="5"/>
      <c r="C494" s="1"/>
      <c r="D494" s="38"/>
      <c r="E494" s="1"/>
    </row>
    <row r="495" spans="1:5" ht="21.75" customHeight="1" x14ac:dyDescent="0.6">
      <c r="A495" s="1"/>
      <c r="B495" s="5"/>
      <c r="C495" s="1"/>
      <c r="D495" s="38"/>
      <c r="E495" s="1"/>
    </row>
    <row r="496" spans="1:5" ht="21.75" customHeight="1" x14ac:dyDescent="0.6">
      <c r="A496" s="1"/>
      <c r="B496" s="5"/>
      <c r="C496" s="1"/>
      <c r="D496" s="38"/>
      <c r="E496" s="1"/>
    </row>
    <row r="497" spans="1:5" ht="21.75" customHeight="1" x14ac:dyDescent="0.6">
      <c r="A497" s="1"/>
      <c r="B497" s="5"/>
      <c r="C497" s="1"/>
      <c r="D497" s="38"/>
      <c r="E497" s="1"/>
    </row>
    <row r="498" spans="1:5" ht="21.75" customHeight="1" x14ac:dyDescent="0.6">
      <c r="A498" s="1"/>
      <c r="B498" s="5"/>
      <c r="C498" s="1"/>
      <c r="D498" s="38"/>
      <c r="E498" s="1"/>
    </row>
    <row r="499" spans="1:5" ht="21.75" customHeight="1" x14ac:dyDescent="0.6">
      <c r="A499" s="1"/>
      <c r="B499" s="5"/>
      <c r="C499" s="1"/>
      <c r="D499" s="38"/>
      <c r="E499" s="1"/>
    </row>
    <row r="500" spans="1:5" ht="21.75" customHeight="1" x14ac:dyDescent="0.6">
      <c r="A500" s="1"/>
      <c r="B500" s="5"/>
      <c r="C500" s="1"/>
      <c r="D500" s="38"/>
      <c r="E500" s="1"/>
    </row>
    <row r="501" spans="1:5" ht="21.75" customHeight="1" x14ac:dyDescent="0.6">
      <c r="A501" s="1"/>
      <c r="B501" s="5"/>
      <c r="C501" s="1"/>
      <c r="D501" s="38"/>
      <c r="E501" s="1"/>
    </row>
    <row r="502" spans="1:5" ht="21.75" customHeight="1" x14ac:dyDescent="0.6">
      <c r="A502" s="1"/>
      <c r="B502" s="5"/>
      <c r="C502" s="1"/>
      <c r="D502" s="38"/>
      <c r="E502" s="1"/>
    </row>
    <row r="503" spans="1:5" ht="21.75" customHeight="1" x14ac:dyDescent="0.6">
      <c r="A503" s="1"/>
      <c r="B503" s="5"/>
      <c r="C503" s="1"/>
      <c r="D503" s="38"/>
      <c r="E503" s="1"/>
    </row>
    <row r="504" spans="1:5" ht="21.75" customHeight="1" x14ac:dyDescent="0.6">
      <c r="A504" s="1"/>
      <c r="B504" s="5"/>
      <c r="C504" s="1"/>
      <c r="D504" s="38"/>
      <c r="E504" s="1"/>
    </row>
    <row r="505" spans="1:5" ht="21.75" customHeight="1" x14ac:dyDescent="0.6">
      <c r="A505" s="1"/>
      <c r="B505" s="5"/>
      <c r="C505" s="1"/>
      <c r="D505" s="38"/>
      <c r="E505" s="1"/>
    </row>
    <row r="506" spans="1:5" ht="21.75" customHeight="1" x14ac:dyDescent="0.6">
      <c r="A506" s="1"/>
      <c r="B506" s="5"/>
      <c r="C506" s="1"/>
      <c r="D506" s="38"/>
      <c r="E506" s="1"/>
    </row>
    <row r="507" spans="1:5" ht="21.75" customHeight="1" x14ac:dyDescent="0.6">
      <c r="A507" s="1"/>
      <c r="B507" s="5"/>
      <c r="C507" s="1"/>
      <c r="D507" s="38"/>
      <c r="E507" s="1"/>
    </row>
    <row r="508" spans="1:5" ht="21.75" customHeight="1" x14ac:dyDescent="0.6">
      <c r="A508" s="1"/>
      <c r="B508" s="5"/>
      <c r="C508" s="1"/>
      <c r="D508" s="38"/>
      <c r="E508" s="1"/>
    </row>
    <row r="509" spans="1:5" ht="21.75" customHeight="1" x14ac:dyDescent="0.6">
      <c r="A509" s="1"/>
      <c r="B509" s="5"/>
      <c r="C509" s="1"/>
      <c r="D509" s="38"/>
      <c r="E509" s="1"/>
    </row>
    <row r="510" spans="1:5" ht="21.75" customHeight="1" x14ac:dyDescent="0.6">
      <c r="A510" s="1"/>
      <c r="B510" s="5"/>
      <c r="C510" s="1"/>
      <c r="D510" s="38"/>
      <c r="E510" s="1"/>
    </row>
    <row r="511" spans="1:5" ht="21.75" customHeight="1" x14ac:dyDescent="0.6">
      <c r="A511" s="1"/>
      <c r="B511" s="5"/>
      <c r="C511" s="1"/>
      <c r="D511" s="38"/>
      <c r="E511" s="1"/>
    </row>
    <row r="512" spans="1:5" ht="21.75" customHeight="1" x14ac:dyDescent="0.6">
      <c r="A512" s="1"/>
      <c r="B512" s="5"/>
      <c r="C512" s="1"/>
      <c r="D512" s="38"/>
      <c r="E512" s="1"/>
    </row>
    <row r="513" spans="1:5" ht="21.75" customHeight="1" x14ac:dyDescent="0.6">
      <c r="A513" s="1"/>
      <c r="B513" s="5"/>
      <c r="C513" s="1"/>
      <c r="D513" s="38"/>
      <c r="E513" s="1"/>
    </row>
    <row r="514" spans="1:5" ht="21.75" customHeight="1" x14ac:dyDescent="0.6">
      <c r="A514" s="1"/>
      <c r="B514" s="5"/>
      <c r="C514" s="1"/>
      <c r="D514" s="38"/>
      <c r="E514" s="1"/>
    </row>
    <row r="515" spans="1:5" ht="21.75" customHeight="1" x14ac:dyDescent="0.6">
      <c r="A515" s="1"/>
      <c r="B515" s="5"/>
      <c r="C515" s="1"/>
      <c r="D515" s="38"/>
      <c r="E515" s="1"/>
    </row>
    <row r="516" spans="1:5" ht="21.75" customHeight="1" x14ac:dyDescent="0.6">
      <c r="A516" s="1"/>
      <c r="B516" s="5"/>
      <c r="C516" s="1"/>
      <c r="D516" s="38"/>
      <c r="E516" s="1"/>
    </row>
    <row r="517" spans="1:5" ht="21.75" customHeight="1" x14ac:dyDescent="0.6">
      <c r="A517" s="1"/>
      <c r="B517" s="5"/>
      <c r="C517" s="1"/>
      <c r="D517" s="38"/>
      <c r="E517" s="1"/>
    </row>
    <row r="518" spans="1:5" ht="21.75" customHeight="1" x14ac:dyDescent="0.6">
      <c r="A518" s="1"/>
      <c r="B518" s="5"/>
      <c r="C518" s="1"/>
      <c r="D518" s="38"/>
      <c r="E518" s="1"/>
    </row>
    <row r="519" spans="1:5" ht="21.75" customHeight="1" x14ac:dyDescent="0.6">
      <c r="A519" s="1"/>
      <c r="B519" s="5"/>
      <c r="C519" s="1"/>
      <c r="D519" s="38"/>
      <c r="E519" s="1"/>
    </row>
    <row r="520" spans="1:5" ht="21.75" customHeight="1" x14ac:dyDescent="0.6">
      <c r="A520" s="1"/>
      <c r="B520" s="5"/>
      <c r="C520" s="1"/>
      <c r="D520" s="38"/>
      <c r="E520" s="1"/>
    </row>
    <row r="521" spans="1:5" ht="21.75" customHeight="1" x14ac:dyDescent="0.6">
      <c r="A521" s="1"/>
      <c r="B521" s="5"/>
      <c r="C521" s="1"/>
      <c r="D521" s="38"/>
      <c r="E521" s="1"/>
    </row>
    <row r="522" spans="1:5" ht="21.75" customHeight="1" x14ac:dyDescent="0.6">
      <c r="A522" s="1"/>
      <c r="B522" s="5"/>
      <c r="C522" s="1"/>
      <c r="D522" s="38"/>
      <c r="E522" s="1"/>
    </row>
    <row r="523" spans="1:5" ht="21.75" customHeight="1" x14ac:dyDescent="0.6">
      <c r="A523" s="1"/>
      <c r="B523" s="5"/>
      <c r="C523" s="1"/>
      <c r="D523" s="38"/>
      <c r="E523" s="1"/>
    </row>
    <row r="524" spans="1:5" ht="21.75" customHeight="1" x14ac:dyDescent="0.6">
      <c r="A524" s="1"/>
      <c r="B524" s="5"/>
      <c r="C524" s="1"/>
      <c r="D524" s="38"/>
      <c r="E524" s="1"/>
    </row>
    <row r="525" spans="1:5" ht="21.75" customHeight="1" x14ac:dyDescent="0.6">
      <c r="A525" s="1"/>
      <c r="B525" s="5"/>
      <c r="C525" s="1"/>
      <c r="D525" s="38"/>
      <c r="E525" s="1"/>
    </row>
    <row r="526" spans="1:5" ht="21.75" customHeight="1" x14ac:dyDescent="0.6">
      <c r="A526" s="1"/>
      <c r="B526" s="5"/>
      <c r="C526" s="1"/>
      <c r="D526" s="38"/>
      <c r="E526" s="1"/>
    </row>
    <row r="527" spans="1:5" ht="21.75" customHeight="1" x14ac:dyDescent="0.6">
      <c r="A527" s="1"/>
      <c r="B527" s="5"/>
      <c r="C527" s="1"/>
      <c r="D527" s="38"/>
      <c r="E527" s="1"/>
    </row>
    <row r="528" spans="1:5" ht="21.75" customHeight="1" x14ac:dyDescent="0.6">
      <c r="A528" s="1"/>
      <c r="B528" s="5"/>
      <c r="C528" s="1"/>
      <c r="D528" s="38"/>
      <c r="E528" s="1"/>
    </row>
    <row r="529" spans="1:5" ht="21.75" customHeight="1" x14ac:dyDescent="0.6">
      <c r="A529" s="1"/>
      <c r="B529" s="5"/>
      <c r="C529" s="1"/>
      <c r="D529" s="38"/>
      <c r="E529" s="1"/>
    </row>
    <row r="530" spans="1:5" ht="21.75" customHeight="1" x14ac:dyDescent="0.6">
      <c r="A530" s="1"/>
      <c r="B530" s="5"/>
      <c r="C530" s="1"/>
      <c r="D530" s="38"/>
      <c r="E530" s="1"/>
    </row>
    <row r="531" spans="1:5" ht="21.75" customHeight="1" x14ac:dyDescent="0.6">
      <c r="A531" s="1"/>
      <c r="B531" s="5"/>
      <c r="C531" s="1"/>
      <c r="D531" s="38"/>
      <c r="E531" s="1"/>
    </row>
    <row r="532" spans="1:5" ht="21.75" customHeight="1" x14ac:dyDescent="0.6">
      <c r="A532" s="1"/>
      <c r="B532" s="5"/>
      <c r="C532" s="1"/>
      <c r="D532" s="38"/>
      <c r="E532" s="1"/>
    </row>
    <row r="533" spans="1:5" ht="21.75" customHeight="1" x14ac:dyDescent="0.6">
      <c r="A533" s="1"/>
      <c r="B533" s="5"/>
      <c r="C533" s="1"/>
      <c r="D533" s="38"/>
      <c r="E533" s="1"/>
    </row>
    <row r="534" spans="1:5" ht="21.75" customHeight="1" x14ac:dyDescent="0.6">
      <c r="A534" s="1"/>
      <c r="B534" s="5"/>
      <c r="C534" s="1"/>
      <c r="D534" s="38"/>
      <c r="E534" s="1"/>
    </row>
    <row r="535" spans="1:5" ht="21.75" customHeight="1" x14ac:dyDescent="0.6">
      <c r="A535" s="1"/>
      <c r="B535" s="5"/>
      <c r="C535" s="1"/>
      <c r="D535" s="38"/>
      <c r="E535" s="1"/>
    </row>
    <row r="536" spans="1:5" ht="21.75" customHeight="1" x14ac:dyDescent="0.6">
      <c r="A536" s="1"/>
      <c r="B536" s="5"/>
      <c r="C536" s="1"/>
      <c r="D536" s="38"/>
      <c r="E536" s="1"/>
    </row>
    <row r="537" spans="1:5" ht="21.75" customHeight="1" x14ac:dyDescent="0.6">
      <c r="A537" s="1"/>
      <c r="B537" s="5"/>
      <c r="C537" s="1"/>
      <c r="D537" s="38"/>
      <c r="E537" s="1"/>
    </row>
    <row r="538" spans="1:5" ht="21.75" customHeight="1" x14ac:dyDescent="0.6">
      <c r="A538" s="1"/>
      <c r="B538" s="5"/>
      <c r="C538" s="1"/>
      <c r="D538" s="38"/>
      <c r="E538" s="1"/>
    </row>
    <row r="539" spans="1:5" ht="21.75" customHeight="1" x14ac:dyDescent="0.6">
      <c r="A539" s="1"/>
      <c r="B539" s="5"/>
      <c r="C539" s="1"/>
      <c r="D539" s="38"/>
      <c r="E539" s="1"/>
    </row>
    <row r="540" spans="1:5" ht="21.75" customHeight="1" x14ac:dyDescent="0.6">
      <c r="A540" s="1"/>
      <c r="B540" s="5"/>
      <c r="C540" s="1"/>
      <c r="D540" s="38"/>
      <c r="E540" s="1"/>
    </row>
    <row r="541" spans="1:5" ht="21.75" customHeight="1" x14ac:dyDescent="0.6">
      <c r="A541" s="1"/>
      <c r="B541" s="5"/>
      <c r="C541" s="1"/>
      <c r="D541" s="38"/>
      <c r="E541" s="1"/>
    </row>
    <row r="542" spans="1:5" ht="21.75" customHeight="1" x14ac:dyDescent="0.6">
      <c r="A542" s="1"/>
      <c r="B542" s="5"/>
      <c r="C542" s="1"/>
      <c r="D542" s="38"/>
      <c r="E542" s="1"/>
    </row>
    <row r="543" spans="1:5" ht="21.75" customHeight="1" x14ac:dyDescent="0.6">
      <c r="A543" s="1"/>
      <c r="B543" s="5"/>
      <c r="C543" s="1"/>
      <c r="D543" s="38"/>
      <c r="E543" s="1"/>
    </row>
    <row r="544" spans="1:5" ht="21.75" customHeight="1" x14ac:dyDescent="0.6">
      <c r="A544" s="1"/>
      <c r="B544" s="5"/>
      <c r="C544" s="1"/>
      <c r="D544" s="38"/>
      <c r="E544" s="1"/>
    </row>
    <row r="545" spans="1:5" ht="21.75" customHeight="1" x14ac:dyDescent="0.6">
      <c r="A545" s="1"/>
      <c r="B545" s="5"/>
      <c r="C545" s="1"/>
      <c r="D545" s="38"/>
      <c r="E545" s="1"/>
    </row>
    <row r="546" spans="1:5" ht="21.75" customHeight="1" x14ac:dyDescent="0.6">
      <c r="A546" s="1"/>
      <c r="B546" s="5"/>
      <c r="C546" s="1"/>
      <c r="D546" s="38"/>
      <c r="E546" s="1"/>
    </row>
    <row r="547" spans="1:5" ht="21.75" customHeight="1" x14ac:dyDescent="0.6">
      <c r="A547" s="1"/>
      <c r="B547" s="5"/>
      <c r="C547" s="1"/>
      <c r="D547" s="38"/>
      <c r="E547" s="1"/>
    </row>
    <row r="548" spans="1:5" ht="21.75" customHeight="1" x14ac:dyDescent="0.6">
      <c r="A548" s="1"/>
      <c r="B548" s="5"/>
      <c r="C548" s="1"/>
      <c r="D548" s="38"/>
      <c r="E548" s="1"/>
    </row>
    <row r="549" spans="1:5" ht="21.75" customHeight="1" x14ac:dyDescent="0.6">
      <c r="A549" s="1"/>
      <c r="B549" s="5"/>
      <c r="C549" s="1"/>
      <c r="D549" s="38"/>
      <c r="E549" s="1"/>
    </row>
    <row r="550" spans="1:5" ht="21.75" customHeight="1" x14ac:dyDescent="0.6">
      <c r="A550" s="1"/>
      <c r="B550" s="5"/>
      <c r="C550" s="1"/>
      <c r="D550" s="38"/>
      <c r="E550" s="1"/>
    </row>
    <row r="551" spans="1:5" ht="21.75" customHeight="1" x14ac:dyDescent="0.6">
      <c r="A551" s="1"/>
      <c r="B551" s="5"/>
      <c r="C551" s="1"/>
      <c r="D551" s="38"/>
      <c r="E551" s="1"/>
    </row>
    <row r="552" spans="1:5" ht="21.75" customHeight="1" x14ac:dyDescent="0.6">
      <c r="A552" s="1"/>
      <c r="B552" s="5"/>
      <c r="C552" s="1"/>
      <c r="D552" s="38"/>
      <c r="E552" s="1"/>
    </row>
    <row r="553" spans="1:5" ht="21.75" customHeight="1" x14ac:dyDescent="0.6">
      <c r="A553" s="1"/>
      <c r="B553" s="5"/>
      <c r="C553" s="1"/>
      <c r="D553" s="38"/>
      <c r="E553" s="1"/>
    </row>
    <row r="554" spans="1:5" ht="21.75" customHeight="1" x14ac:dyDescent="0.6">
      <c r="A554" s="1"/>
      <c r="B554" s="5"/>
      <c r="C554" s="1"/>
      <c r="D554" s="38"/>
      <c r="E554" s="1"/>
    </row>
    <row r="555" spans="1:5" ht="21.75" customHeight="1" x14ac:dyDescent="0.6">
      <c r="A555" s="1"/>
      <c r="B555" s="5"/>
      <c r="C555" s="1"/>
      <c r="D555" s="38"/>
      <c r="E555" s="1"/>
    </row>
    <row r="556" spans="1:5" ht="21.75" customHeight="1" x14ac:dyDescent="0.6">
      <c r="A556" s="1"/>
      <c r="B556" s="5"/>
      <c r="C556" s="1"/>
      <c r="D556" s="38"/>
      <c r="E556" s="1"/>
    </row>
    <row r="557" spans="1:5" ht="21.75" customHeight="1" x14ac:dyDescent="0.6">
      <c r="A557" s="1"/>
      <c r="B557" s="5"/>
      <c r="C557" s="1"/>
      <c r="D557" s="38"/>
      <c r="E557" s="1"/>
    </row>
    <row r="558" spans="1:5" ht="21.75" customHeight="1" x14ac:dyDescent="0.6">
      <c r="A558" s="1"/>
      <c r="B558" s="5"/>
      <c r="C558" s="1"/>
      <c r="D558" s="38"/>
      <c r="E558" s="1"/>
    </row>
    <row r="559" spans="1:5" ht="21.75" customHeight="1" x14ac:dyDescent="0.6">
      <c r="A559" s="1"/>
      <c r="B559" s="5"/>
      <c r="C559" s="1"/>
      <c r="D559" s="38"/>
      <c r="E559" s="1"/>
    </row>
    <row r="560" spans="1:5" ht="21.75" customHeight="1" x14ac:dyDescent="0.6">
      <c r="A560" s="1"/>
      <c r="B560" s="5"/>
      <c r="C560" s="1"/>
      <c r="D560" s="38"/>
      <c r="E560" s="1"/>
    </row>
    <row r="561" spans="1:5" ht="21.75" customHeight="1" x14ac:dyDescent="0.6">
      <c r="A561" s="1"/>
      <c r="B561" s="5"/>
      <c r="C561" s="1"/>
      <c r="D561" s="38"/>
      <c r="E561" s="1"/>
    </row>
    <row r="562" spans="1:5" ht="21.75" customHeight="1" x14ac:dyDescent="0.6">
      <c r="A562" s="1"/>
      <c r="B562" s="5"/>
      <c r="C562" s="1"/>
      <c r="D562" s="38"/>
      <c r="E562" s="1"/>
    </row>
    <row r="563" spans="1:5" ht="21.75" customHeight="1" x14ac:dyDescent="0.6">
      <c r="A563" s="1"/>
      <c r="B563" s="5"/>
      <c r="C563" s="1"/>
      <c r="D563" s="38"/>
      <c r="E563" s="1"/>
    </row>
    <row r="564" spans="1:5" ht="21.75" customHeight="1" x14ac:dyDescent="0.6">
      <c r="A564" s="1"/>
      <c r="B564" s="5"/>
      <c r="C564" s="1"/>
      <c r="D564" s="38"/>
      <c r="E564" s="1"/>
    </row>
    <row r="565" spans="1:5" ht="21.75" customHeight="1" x14ac:dyDescent="0.6">
      <c r="A565" s="1"/>
      <c r="B565" s="5"/>
      <c r="C565" s="1"/>
      <c r="D565" s="38"/>
      <c r="E565" s="1"/>
    </row>
    <row r="566" spans="1:5" ht="21.75" customHeight="1" x14ac:dyDescent="0.6">
      <c r="A566" s="1"/>
      <c r="B566" s="5"/>
      <c r="C566" s="1"/>
      <c r="D566" s="38"/>
      <c r="E566" s="1"/>
    </row>
    <row r="567" spans="1:5" ht="21.75" customHeight="1" x14ac:dyDescent="0.6">
      <c r="A567" s="1"/>
      <c r="B567" s="5"/>
      <c r="C567" s="1"/>
      <c r="D567" s="38"/>
      <c r="E567" s="1"/>
    </row>
    <row r="568" spans="1:5" ht="21.75" customHeight="1" x14ac:dyDescent="0.6">
      <c r="A568" s="1"/>
      <c r="B568" s="5"/>
      <c r="C568" s="1"/>
      <c r="D568" s="38"/>
      <c r="E568" s="1"/>
    </row>
    <row r="569" spans="1:5" ht="21.75" customHeight="1" x14ac:dyDescent="0.6">
      <c r="A569" s="1"/>
      <c r="B569" s="5"/>
      <c r="C569" s="1"/>
      <c r="D569" s="38"/>
      <c r="E569" s="1"/>
    </row>
    <row r="570" spans="1:5" ht="21.75" customHeight="1" x14ac:dyDescent="0.6">
      <c r="A570" s="1"/>
      <c r="B570" s="5"/>
      <c r="C570" s="1"/>
      <c r="D570" s="38"/>
      <c r="E570" s="1"/>
    </row>
    <row r="571" spans="1:5" ht="21.75" customHeight="1" x14ac:dyDescent="0.6">
      <c r="A571" s="1"/>
      <c r="B571" s="5"/>
      <c r="C571" s="1"/>
      <c r="D571" s="38"/>
      <c r="E571" s="1"/>
    </row>
    <row r="572" spans="1:5" ht="21.75" customHeight="1" x14ac:dyDescent="0.6">
      <c r="A572" s="1"/>
      <c r="B572" s="5"/>
      <c r="C572" s="1"/>
      <c r="D572" s="38"/>
      <c r="E572" s="1"/>
    </row>
    <row r="573" spans="1:5" ht="21.75" customHeight="1" x14ac:dyDescent="0.6">
      <c r="A573" s="1"/>
      <c r="B573" s="5"/>
      <c r="C573" s="1"/>
      <c r="D573" s="38"/>
      <c r="E573" s="1"/>
    </row>
    <row r="574" spans="1:5" ht="21.75" customHeight="1" x14ac:dyDescent="0.6">
      <c r="A574" s="1"/>
      <c r="B574" s="5"/>
      <c r="C574" s="1"/>
      <c r="D574" s="38"/>
      <c r="E574" s="1"/>
    </row>
    <row r="575" spans="1:5" ht="21.75" customHeight="1" x14ac:dyDescent="0.6">
      <c r="A575" s="1"/>
      <c r="B575" s="5"/>
      <c r="C575" s="1"/>
      <c r="D575" s="38"/>
      <c r="E575" s="1"/>
    </row>
    <row r="576" spans="1:5" ht="21.75" customHeight="1" x14ac:dyDescent="0.6">
      <c r="A576" s="1"/>
      <c r="B576" s="5"/>
      <c r="C576" s="1"/>
      <c r="D576" s="38"/>
      <c r="E576" s="1"/>
    </row>
    <row r="577" spans="1:5" ht="21.75" customHeight="1" x14ac:dyDescent="0.6">
      <c r="A577" s="1"/>
      <c r="B577" s="5"/>
      <c r="C577" s="1"/>
      <c r="D577" s="38"/>
      <c r="E577" s="1"/>
    </row>
    <row r="578" spans="1:5" ht="21.75" customHeight="1" x14ac:dyDescent="0.6">
      <c r="A578" s="1"/>
      <c r="B578" s="5"/>
      <c r="C578" s="1"/>
      <c r="D578" s="38"/>
      <c r="E578" s="1"/>
    </row>
    <row r="579" spans="1:5" ht="21.75" customHeight="1" x14ac:dyDescent="0.6">
      <c r="A579" s="1"/>
      <c r="B579" s="5"/>
      <c r="C579" s="1"/>
      <c r="D579" s="38"/>
      <c r="E579" s="1"/>
    </row>
    <row r="580" spans="1:5" ht="21.75" customHeight="1" x14ac:dyDescent="0.6">
      <c r="A580" s="1"/>
      <c r="B580" s="5"/>
      <c r="C580" s="1"/>
      <c r="D580" s="38"/>
      <c r="E580" s="1"/>
    </row>
    <row r="581" spans="1:5" ht="21.75" customHeight="1" x14ac:dyDescent="0.6">
      <c r="A581" s="1"/>
      <c r="B581" s="5"/>
      <c r="C581" s="1"/>
      <c r="D581" s="38"/>
      <c r="E581" s="1"/>
    </row>
    <row r="582" spans="1:5" ht="21.75" customHeight="1" x14ac:dyDescent="0.6">
      <c r="A582" s="1"/>
      <c r="B582" s="5"/>
      <c r="C582" s="1"/>
      <c r="D582" s="38"/>
      <c r="E582" s="1"/>
    </row>
    <row r="583" spans="1:5" ht="21.75" customHeight="1" x14ac:dyDescent="0.6">
      <c r="A583" s="1"/>
      <c r="B583" s="5"/>
      <c r="C583" s="1"/>
      <c r="D583" s="38"/>
      <c r="E583" s="1"/>
    </row>
    <row r="584" spans="1:5" ht="21.75" customHeight="1" x14ac:dyDescent="0.6">
      <c r="A584" s="1"/>
      <c r="B584" s="5"/>
      <c r="C584" s="1"/>
      <c r="D584" s="38"/>
      <c r="E584" s="1"/>
    </row>
    <row r="585" spans="1:5" ht="21.75" customHeight="1" x14ac:dyDescent="0.6">
      <c r="A585" s="1"/>
      <c r="B585" s="5"/>
      <c r="C585" s="1"/>
      <c r="D585" s="38"/>
      <c r="E585" s="1"/>
    </row>
    <row r="586" spans="1:5" ht="21.75" customHeight="1" x14ac:dyDescent="0.6">
      <c r="A586" s="1"/>
      <c r="B586" s="5"/>
      <c r="C586" s="1"/>
      <c r="D586" s="38"/>
      <c r="E586" s="1"/>
    </row>
    <row r="587" spans="1:5" ht="21.75" customHeight="1" x14ac:dyDescent="0.6">
      <c r="A587" s="1"/>
      <c r="B587" s="5"/>
      <c r="C587" s="1"/>
      <c r="D587" s="38"/>
      <c r="E587" s="1"/>
    </row>
    <row r="588" spans="1:5" ht="21.75" customHeight="1" x14ac:dyDescent="0.6">
      <c r="A588" s="1"/>
      <c r="B588" s="5"/>
      <c r="C588" s="1"/>
      <c r="D588" s="38"/>
      <c r="E588" s="1"/>
    </row>
    <row r="589" spans="1:5" ht="21.75" customHeight="1" x14ac:dyDescent="0.6">
      <c r="A589" s="1"/>
      <c r="B589" s="5"/>
      <c r="C589" s="1"/>
      <c r="D589" s="38"/>
      <c r="E589" s="1"/>
    </row>
    <row r="590" spans="1:5" ht="21.75" customHeight="1" x14ac:dyDescent="0.6">
      <c r="A590" s="1"/>
      <c r="B590" s="5"/>
      <c r="C590" s="1"/>
      <c r="D590" s="38"/>
      <c r="E590" s="1"/>
    </row>
    <row r="591" spans="1:5" ht="21.75" customHeight="1" x14ac:dyDescent="0.6">
      <c r="A591" s="1"/>
      <c r="B591" s="5"/>
      <c r="C591" s="1"/>
      <c r="D591" s="38"/>
      <c r="E591" s="1"/>
    </row>
    <row r="592" spans="1:5" ht="21.75" customHeight="1" x14ac:dyDescent="0.6">
      <c r="A592" s="1"/>
      <c r="B592" s="5"/>
      <c r="C592" s="1"/>
      <c r="D592" s="38"/>
      <c r="E592" s="1"/>
    </row>
    <row r="593" spans="1:5" ht="21.75" customHeight="1" x14ac:dyDescent="0.6">
      <c r="A593" s="1"/>
      <c r="B593" s="5"/>
      <c r="C593" s="1"/>
      <c r="D593" s="38"/>
      <c r="E593" s="1"/>
    </row>
    <row r="594" spans="1:5" ht="21.75" customHeight="1" x14ac:dyDescent="0.6">
      <c r="A594" s="1"/>
      <c r="B594" s="5"/>
      <c r="C594" s="1"/>
      <c r="D594" s="38"/>
      <c r="E594" s="1"/>
    </row>
    <row r="595" spans="1:5" ht="21.75" customHeight="1" x14ac:dyDescent="0.6">
      <c r="A595" s="1"/>
      <c r="B595" s="5"/>
      <c r="C595" s="1"/>
      <c r="D595" s="38"/>
      <c r="E595" s="1"/>
    </row>
    <row r="596" spans="1:5" ht="21.75" customHeight="1" x14ac:dyDescent="0.6">
      <c r="A596" s="1"/>
      <c r="B596" s="5"/>
      <c r="C596" s="1"/>
      <c r="D596" s="38"/>
      <c r="E596" s="1"/>
    </row>
    <row r="597" spans="1:5" ht="21.75" customHeight="1" x14ac:dyDescent="0.6">
      <c r="A597" s="1"/>
      <c r="B597" s="5"/>
      <c r="C597" s="1"/>
      <c r="D597" s="38"/>
      <c r="E597" s="1"/>
    </row>
    <row r="598" spans="1:5" ht="21.75" customHeight="1" x14ac:dyDescent="0.6">
      <c r="A598" s="1"/>
      <c r="B598" s="5"/>
      <c r="C598" s="1"/>
      <c r="D598" s="38"/>
      <c r="E598" s="1"/>
    </row>
    <row r="599" spans="1:5" ht="21.75" customHeight="1" x14ac:dyDescent="0.6">
      <c r="A599" s="1"/>
      <c r="B599" s="5"/>
      <c r="C599" s="1"/>
      <c r="D599" s="38"/>
      <c r="E599" s="1"/>
    </row>
    <row r="600" spans="1:5" ht="21.75" customHeight="1" x14ac:dyDescent="0.6">
      <c r="A600" s="1"/>
      <c r="B600" s="5"/>
      <c r="C600" s="1"/>
      <c r="D600" s="38"/>
      <c r="E600" s="1"/>
    </row>
    <row r="601" spans="1:5" ht="21.75" customHeight="1" x14ac:dyDescent="0.6">
      <c r="A601" s="1"/>
      <c r="B601" s="5"/>
      <c r="C601" s="1"/>
      <c r="D601" s="38"/>
      <c r="E601" s="1"/>
    </row>
    <row r="602" spans="1:5" ht="21.75" customHeight="1" x14ac:dyDescent="0.6">
      <c r="A602" s="1"/>
      <c r="B602" s="5"/>
      <c r="C602" s="1"/>
      <c r="D602" s="38"/>
      <c r="E602" s="1"/>
    </row>
    <row r="603" spans="1:5" ht="21.75" customHeight="1" x14ac:dyDescent="0.6">
      <c r="A603" s="1"/>
      <c r="B603" s="5"/>
      <c r="C603" s="1"/>
      <c r="D603" s="38"/>
      <c r="E603" s="1"/>
    </row>
    <row r="604" spans="1:5" ht="21.75" customHeight="1" x14ac:dyDescent="0.6">
      <c r="A604" s="1"/>
      <c r="B604" s="5"/>
      <c r="C604" s="1"/>
      <c r="D604" s="38"/>
      <c r="E604" s="1"/>
    </row>
    <row r="605" spans="1:5" ht="21.75" customHeight="1" x14ac:dyDescent="0.6">
      <c r="A605" s="1"/>
      <c r="B605" s="5"/>
      <c r="C605" s="1"/>
      <c r="D605" s="38"/>
      <c r="E605" s="1"/>
    </row>
    <row r="606" spans="1:5" ht="21.75" customHeight="1" x14ac:dyDescent="0.6">
      <c r="A606" s="1"/>
      <c r="B606" s="5"/>
      <c r="C606" s="1"/>
      <c r="D606" s="38"/>
      <c r="E606" s="1"/>
    </row>
    <row r="607" spans="1:5" ht="21.75" customHeight="1" x14ac:dyDescent="0.6">
      <c r="A607" s="1"/>
      <c r="B607" s="5"/>
      <c r="C607" s="1"/>
      <c r="D607" s="38"/>
      <c r="E607" s="1"/>
    </row>
    <row r="608" spans="1:5" ht="21.75" customHeight="1" x14ac:dyDescent="0.6">
      <c r="A608" s="1"/>
      <c r="B608" s="5"/>
      <c r="C608" s="1"/>
      <c r="D608" s="38"/>
      <c r="E608" s="1"/>
    </row>
    <row r="609" spans="1:5" ht="21.75" customHeight="1" x14ac:dyDescent="0.6">
      <c r="A609" s="1"/>
      <c r="B609" s="5"/>
      <c r="C609" s="1"/>
      <c r="D609" s="38"/>
      <c r="E609" s="1"/>
    </row>
    <row r="610" spans="1:5" ht="21.75" customHeight="1" x14ac:dyDescent="0.6">
      <c r="A610" s="1"/>
      <c r="B610" s="5"/>
      <c r="C610" s="1"/>
      <c r="D610" s="38"/>
      <c r="E610" s="1"/>
    </row>
    <row r="611" spans="1:5" ht="21.75" customHeight="1" x14ac:dyDescent="0.6">
      <c r="A611" s="1"/>
      <c r="B611" s="5"/>
      <c r="C611" s="1"/>
      <c r="D611" s="38"/>
      <c r="E611" s="1"/>
    </row>
    <row r="612" spans="1:5" ht="21.75" customHeight="1" x14ac:dyDescent="0.6">
      <c r="A612" s="1"/>
      <c r="B612" s="5"/>
      <c r="C612" s="1"/>
      <c r="D612" s="38"/>
      <c r="E612" s="1"/>
    </row>
    <row r="613" spans="1:5" ht="21.75" customHeight="1" x14ac:dyDescent="0.6">
      <c r="A613" s="1"/>
      <c r="B613" s="5"/>
      <c r="C613" s="1"/>
      <c r="D613" s="38"/>
      <c r="E613" s="1"/>
    </row>
    <row r="614" spans="1:5" ht="21.75" customHeight="1" x14ac:dyDescent="0.6">
      <c r="A614" s="1"/>
      <c r="B614" s="5"/>
      <c r="C614" s="1"/>
      <c r="D614" s="38"/>
      <c r="E614" s="1"/>
    </row>
    <row r="615" spans="1:5" ht="21.75" customHeight="1" x14ac:dyDescent="0.6">
      <c r="A615" s="1"/>
      <c r="B615" s="5"/>
      <c r="C615" s="1"/>
      <c r="D615" s="38"/>
      <c r="E615" s="1"/>
    </row>
    <row r="616" spans="1:5" ht="21.75" customHeight="1" x14ac:dyDescent="0.6">
      <c r="A616" s="1"/>
      <c r="B616" s="5"/>
      <c r="C616" s="1"/>
      <c r="D616" s="38"/>
      <c r="E616" s="1"/>
    </row>
    <row r="617" spans="1:5" ht="21.75" customHeight="1" x14ac:dyDescent="0.6">
      <c r="A617" s="1"/>
      <c r="B617" s="5"/>
      <c r="C617" s="1"/>
      <c r="D617" s="38"/>
      <c r="E617" s="1"/>
    </row>
    <row r="618" spans="1:5" ht="21.75" customHeight="1" x14ac:dyDescent="0.6">
      <c r="A618" s="1"/>
      <c r="B618" s="5"/>
      <c r="C618" s="1"/>
      <c r="D618" s="38"/>
      <c r="E618" s="1"/>
    </row>
    <row r="619" spans="1:5" ht="21.75" customHeight="1" x14ac:dyDescent="0.6">
      <c r="A619" s="1"/>
      <c r="B619" s="5"/>
      <c r="C619" s="1"/>
      <c r="D619" s="38"/>
      <c r="E619" s="1"/>
    </row>
    <row r="620" spans="1:5" ht="21.75" customHeight="1" x14ac:dyDescent="0.6">
      <c r="A620" s="1"/>
      <c r="B620" s="5"/>
      <c r="C620" s="1"/>
      <c r="D620" s="38"/>
      <c r="E620" s="1"/>
    </row>
    <row r="621" spans="1:5" ht="21.75" customHeight="1" x14ac:dyDescent="0.6">
      <c r="A621" s="1"/>
      <c r="B621" s="5"/>
      <c r="C621" s="1"/>
      <c r="D621" s="38"/>
      <c r="E621" s="1"/>
    </row>
    <row r="622" spans="1:5" ht="21.75" customHeight="1" x14ac:dyDescent="0.6">
      <c r="A622" s="1"/>
      <c r="B622" s="5"/>
      <c r="C622" s="1"/>
      <c r="D622" s="38"/>
      <c r="E622" s="1"/>
    </row>
    <row r="623" spans="1:5" ht="21.75" customHeight="1" x14ac:dyDescent="0.6">
      <c r="A623" s="1"/>
      <c r="B623" s="5"/>
      <c r="C623" s="1"/>
      <c r="D623" s="38"/>
      <c r="E623" s="1"/>
    </row>
    <row r="624" spans="1:5" ht="21.75" customHeight="1" x14ac:dyDescent="0.6">
      <c r="A624" s="1"/>
      <c r="B624" s="5"/>
      <c r="C624" s="1"/>
      <c r="D624" s="38"/>
      <c r="E624" s="1"/>
    </row>
    <row r="625" spans="1:5" ht="21.75" customHeight="1" x14ac:dyDescent="0.6">
      <c r="A625" s="1"/>
      <c r="B625" s="5"/>
      <c r="C625" s="1"/>
      <c r="D625" s="38"/>
      <c r="E625" s="1"/>
    </row>
    <row r="626" spans="1:5" ht="21.75" customHeight="1" x14ac:dyDescent="0.6">
      <c r="A626" s="1"/>
      <c r="B626" s="5"/>
      <c r="C626" s="1"/>
      <c r="D626" s="38"/>
      <c r="E626" s="1"/>
    </row>
    <row r="627" spans="1:5" ht="21.75" customHeight="1" x14ac:dyDescent="0.6">
      <c r="A627" s="1"/>
      <c r="B627" s="5"/>
      <c r="C627" s="1"/>
      <c r="D627" s="38"/>
      <c r="E627" s="1"/>
    </row>
    <row r="628" spans="1:5" ht="21.75" customHeight="1" x14ac:dyDescent="0.6">
      <c r="A628" s="1"/>
      <c r="B628" s="5"/>
      <c r="C628" s="1"/>
      <c r="D628" s="38"/>
      <c r="E628" s="1"/>
    </row>
    <row r="629" spans="1:5" ht="21.75" customHeight="1" x14ac:dyDescent="0.6">
      <c r="A629" s="1"/>
      <c r="B629" s="5"/>
      <c r="C629" s="1"/>
      <c r="D629" s="38"/>
      <c r="E629" s="1"/>
    </row>
    <row r="630" spans="1:5" ht="21.75" customHeight="1" x14ac:dyDescent="0.6">
      <c r="A630" s="1"/>
      <c r="B630" s="5"/>
      <c r="C630" s="1"/>
      <c r="D630" s="38"/>
      <c r="E630" s="1"/>
    </row>
    <row r="631" spans="1:5" ht="21.75" customHeight="1" x14ac:dyDescent="0.6">
      <c r="A631" s="1"/>
      <c r="B631" s="5"/>
      <c r="C631" s="1"/>
      <c r="D631" s="38"/>
      <c r="E631" s="1"/>
    </row>
    <row r="632" spans="1:5" ht="21.75" customHeight="1" x14ac:dyDescent="0.6">
      <c r="A632" s="1"/>
      <c r="B632" s="5"/>
      <c r="C632" s="1"/>
      <c r="D632" s="38"/>
      <c r="E632" s="1"/>
    </row>
    <row r="633" spans="1:5" ht="21.75" customHeight="1" x14ac:dyDescent="0.6">
      <c r="A633" s="1"/>
      <c r="B633" s="5"/>
      <c r="C633" s="1"/>
      <c r="D633" s="38"/>
      <c r="E633" s="1"/>
    </row>
    <row r="634" spans="1:5" ht="21.75" customHeight="1" x14ac:dyDescent="0.6">
      <c r="A634" s="1"/>
      <c r="B634" s="5"/>
      <c r="C634" s="1"/>
      <c r="D634" s="38"/>
      <c r="E634" s="1"/>
    </row>
    <row r="635" spans="1:5" ht="21.75" customHeight="1" x14ac:dyDescent="0.6">
      <c r="A635" s="1"/>
      <c r="B635" s="5"/>
      <c r="C635" s="1"/>
      <c r="D635" s="38"/>
      <c r="E635" s="1"/>
    </row>
    <row r="636" spans="1:5" ht="21.75" customHeight="1" x14ac:dyDescent="0.6">
      <c r="A636" s="1"/>
      <c r="B636" s="5"/>
      <c r="C636" s="1"/>
      <c r="D636" s="38"/>
      <c r="E636" s="1"/>
    </row>
    <row r="637" spans="1:5" ht="21.75" customHeight="1" x14ac:dyDescent="0.6">
      <c r="A637" s="1"/>
      <c r="B637" s="5"/>
      <c r="C637" s="1"/>
      <c r="D637" s="38"/>
      <c r="E637" s="1"/>
    </row>
    <row r="638" spans="1:5" ht="21.75" customHeight="1" x14ac:dyDescent="0.6">
      <c r="A638" s="1"/>
      <c r="B638" s="5"/>
      <c r="C638" s="1"/>
      <c r="D638" s="38"/>
      <c r="E638" s="1"/>
    </row>
    <row r="639" spans="1:5" ht="21.75" customHeight="1" x14ac:dyDescent="0.6">
      <c r="A639" s="1"/>
      <c r="B639" s="5"/>
      <c r="C639" s="1"/>
      <c r="D639" s="38"/>
      <c r="E639" s="1"/>
    </row>
    <row r="640" spans="1:5" ht="21.75" customHeight="1" x14ac:dyDescent="0.6">
      <c r="A640" s="1"/>
      <c r="B640" s="5"/>
      <c r="C640" s="1"/>
      <c r="D640" s="38"/>
      <c r="E640" s="1"/>
    </row>
    <row r="641" spans="1:5" ht="21.75" customHeight="1" x14ac:dyDescent="0.6">
      <c r="A641" s="1"/>
      <c r="B641" s="5"/>
      <c r="C641" s="1"/>
      <c r="D641" s="38"/>
      <c r="E641" s="1"/>
    </row>
    <row r="642" spans="1:5" ht="21.75" customHeight="1" x14ac:dyDescent="0.6">
      <c r="A642" s="1"/>
      <c r="B642" s="5"/>
      <c r="C642" s="1"/>
      <c r="D642" s="38"/>
      <c r="E642" s="1"/>
    </row>
    <row r="643" spans="1:5" ht="21.75" customHeight="1" x14ac:dyDescent="0.6">
      <c r="A643" s="1"/>
      <c r="B643" s="5"/>
      <c r="C643" s="1"/>
      <c r="D643" s="38"/>
      <c r="E643" s="1"/>
    </row>
    <row r="644" spans="1:5" ht="21.75" customHeight="1" x14ac:dyDescent="0.6">
      <c r="A644" s="1"/>
      <c r="B644" s="5"/>
      <c r="C644" s="1"/>
      <c r="D644" s="38"/>
      <c r="E644" s="1"/>
    </row>
    <row r="645" spans="1:5" ht="21.75" customHeight="1" x14ac:dyDescent="0.6">
      <c r="A645" s="1"/>
      <c r="B645" s="5"/>
      <c r="C645" s="1"/>
      <c r="D645" s="38"/>
      <c r="E645" s="1"/>
    </row>
    <row r="646" spans="1:5" ht="21.75" customHeight="1" x14ac:dyDescent="0.6">
      <c r="A646" s="1"/>
      <c r="B646" s="5"/>
      <c r="C646" s="1"/>
      <c r="D646" s="38"/>
      <c r="E646" s="1"/>
    </row>
    <row r="647" spans="1:5" ht="21.75" customHeight="1" x14ac:dyDescent="0.6">
      <c r="A647" s="1"/>
      <c r="B647" s="5"/>
      <c r="C647" s="1"/>
      <c r="D647" s="38"/>
      <c r="E647" s="1"/>
    </row>
    <row r="648" spans="1:5" ht="21.75" customHeight="1" x14ac:dyDescent="0.6">
      <c r="A648" s="1"/>
      <c r="B648" s="5"/>
      <c r="C648" s="1"/>
      <c r="D648" s="38"/>
      <c r="E648" s="1"/>
    </row>
    <row r="649" spans="1:5" ht="21.75" customHeight="1" x14ac:dyDescent="0.6">
      <c r="A649" s="1"/>
      <c r="B649" s="5"/>
      <c r="C649" s="1"/>
      <c r="D649" s="38"/>
      <c r="E649" s="1"/>
    </row>
    <row r="650" spans="1:5" ht="21.75" customHeight="1" x14ac:dyDescent="0.6">
      <c r="A650" s="1"/>
      <c r="B650" s="5"/>
      <c r="C650" s="1"/>
      <c r="D650" s="38"/>
      <c r="E650" s="1"/>
    </row>
    <row r="651" spans="1:5" ht="21.75" customHeight="1" x14ac:dyDescent="0.6">
      <c r="A651" s="1"/>
      <c r="B651" s="5"/>
      <c r="C651" s="1"/>
      <c r="D651" s="38"/>
      <c r="E651" s="1"/>
    </row>
    <row r="652" spans="1:5" ht="21.75" customHeight="1" x14ac:dyDescent="0.6">
      <c r="A652" s="1"/>
      <c r="B652" s="5"/>
      <c r="C652" s="1"/>
      <c r="D652" s="38"/>
      <c r="E652" s="1"/>
    </row>
    <row r="653" spans="1:5" ht="21.75" customHeight="1" x14ac:dyDescent="0.6">
      <c r="A653" s="1"/>
      <c r="B653" s="5"/>
      <c r="C653" s="1"/>
      <c r="D653" s="38"/>
      <c r="E653" s="1"/>
    </row>
    <row r="654" spans="1:5" ht="21.75" customHeight="1" x14ac:dyDescent="0.6">
      <c r="A654" s="1"/>
      <c r="B654" s="5"/>
      <c r="C654" s="1"/>
      <c r="D654" s="38"/>
      <c r="E654" s="1"/>
    </row>
    <row r="655" spans="1:5" ht="21.75" customHeight="1" x14ac:dyDescent="0.6">
      <c r="A655" s="1"/>
      <c r="B655" s="5"/>
      <c r="C655" s="1"/>
      <c r="D655" s="38"/>
      <c r="E655" s="1"/>
    </row>
    <row r="656" spans="1:5" ht="21.75" customHeight="1" x14ac:dyDescent="0.6">
      <c r="A656" s="1"/>
      <c r="B656" s="5"/>
      <c r="C656" s="1"/>
      <c r="D656" s="38"/>
      <c r="E656" s="1"/>
    </row>
    <row r="657" spans="1:5" ht="21.75" customHeight="1" x14ac:dyDescent="0.6">
      <c r="A657" s="1"/>
      <c r="B657" s="5"/>
      <c r="C657" s="1"/>
      <c r="D657" s="38"/>
      <c r="E657" s="1"/>
    </row>
    <row r="658" spans="1:5" ht="21.75" customHeight="1" x14ac:dyDescent="0.6">
      <c r="A658" s="1"/>
      <c r="B658" s="5"/>
      <c r="C658" s="1"/>
      <c r="D658" s="38"/>
      <c r="E658" s="1"/>
    </row>
    <row r="659" spans="1:5" ht="21.75" customHeight="1" x14ac:dyDescent="0.6">
      <c r="A659" s="1"/>
      <c r="B659" s="5"/>
      <c r="C659" s="1"/>
      <c r="D659" s="38"/>
      <c r="E659" s="1"/>
    </row>
    <row r="660" spans="1:5" ht="21.75" customHeight="1" x14ac:dyDescent="0.6">
      <c r="A660" s="1"/>
      <c r="B660" s="5"/>
      <c r="C660" s="1"/>
      <c r="D660" s="38"/>
      <c r="E660" s="1"/>
    </row>
    <row r="661" spans="1:5" ht="21.75" customHeight="1" x14ac:dyDescent="0.6">
      <c r="A661" s="1"/>
      <c r="B661" s="5"/>
      <c r="C661" s="1"/>
      <c r="D661" s="38"/>
      <c r="E661" s="1"/>
    </row>
    <row r="662" spans="1:5" ht="21.75" customHeight="1" x14ac:dyDescent="0.6">
      <c r="A662" s="1"/>
      <c r="B662" s="5"/>
      <c r="C662" s="1"/>
      <c r="D662" s="38"/>
      <c r="E662" s="1"/>
    </row>
    <row r="663" spans="1:5" ht="21.75" customHeight="1" x14ac:dyDescent="0.6">
      <c r="A663" s="1"/>
      <c r="B663" s="5"/>
      <c r="C663" s="1"/>
      <c r="D663" s="38"/>
      <c r="E663" s="1"/>
    </row>
    <row r="664" spans="1:5" ht="21.75" customHeight="1" x14ac:dyDescent="0.6">
      <c r="A664" s="1"/>
      <c r="B664" s="5"/>
      <c r="C664" s="1"/>
      <c r="D664" s="38"/>
      <c r="E664" s="1"/>
    </row>
    <row r="665" spans="1:5" ht="21.75" customHeight="1" x14ac:dyDescent="0.6">
      <c r="A665" s="1"/>
      <c r="B665" s="5"/>
      <c r="C665" s="1"/>
      <c r="D665" s="38"/>
      <c r="E665" s="1"/>
    </row>
    <row r="666" spans="1:5" ht="21.75" customHeight="1" x14ac:dyDescent="0.6">
      <c r="A666" s="1"/>
      <c r="B666" s="5"/>
      <c r="C666" s="1"/>
      <c r="D666" s="38"/>
      <c r="E666" s="1"/>
    </row>
    <row r="667" spans="1:5" ht="21.75" customHeight="1" x14ac:dyDescent="0.6">
      <c r="A667" s="1"/>
      <c r="B667" s="5"/>
      <c r="C667" s="1"/>
      <c r="D667" s="38"/>
      <c r="E667" s="1"/>
    </row>
    <row r="668" spans="1:5" ht="21.75" customHeight="1" x14ac:dyDescent="0.6">
      <c r="A668" s="1"/>
      <c r="B668" s="5"/>
      <c r="C668" s="1"/>
      <c r="D668" s="38"/>
      <c r="E668" s="1"/>
    </row>
    <row r="669" spans="1:5" ht="21.75" customHeight="1" x14ac:dyDescent="0.6">
      <c r="A669" s="1"/>
      <c r="B669" s="5"/>
      <c r="C669" s="1"/>
      <c r="D669" s="38"/>
      <c r="E669" s="1"/>
    </row>
    <row r="670" spans="1:5" ht="21.75" customHeight="1" x14ac:dyDescent="0.6">
      <c r="A670" s="1"/>
      <c r="B670" s="5"/>
      <c r="C670" s="1"/>
      <c r="D670" s="38"/>
      <c r="E670" s="1"/>
    </row>
    <row r="671" spans="1:5" ht="21.75" customHeight="1" x14ac:dyDescent="0.6">
      <c r="A671" s="1"/>
      <c r="B671" s="5"/>
      <c r="C671" s="1"/>
      <c r="D671" s="38"/>
      <c r="E671" s="1"/>
    </row>
    <row r="672" spans="1:5" ht="21.75" customHeight="1" x14ac:dyDescent="0.6">
      <c r="A672" s="1"/>
      <c r="B672" s="5"/>
      <c r="C672" s="1"/>
      <c r="D672" s="38"/>
      <c r="E672" s="1"/>
    </row>
    <row r="673" spans="1:5" ht="21.75" customHeight="1" x14ac:dyDescent="0.6">
      <c r="A673" s="1"/>
      <c r="B673" s="5"/>
      <c r="C673" s="1"/>
      <c r="D673" s="38"/>
      <c r="E673" s="1"/>
    </row>
    <row r="674" spans="1:5" ht="21.75" customHeight="1" x14ac:dyDescent="0.6">
      <c r="A674" s="1"/>
      <c r="B674" s="5"/>
      <c r="C674" s="1"/>
      <c r="D674" s="38"/>
      <c r="E674" s="1"/>
    </row>
    <row r="675" spans="1:5" ht="21.75" customHeight="1" x14ac:dyDescent="0.6">
      <c r="A675" s="1"/>
      <c r="B675" s="5"/>
      <c r="C675" s="1"/>
      <c r="D675" s="38"/>
      <c r="E675" s="1"/>
    </row>
    <row r="676" spans="1:5" ht="21.75" customHeight="1" x14ac:dyDescent="0.6">
      <c r="A676" s="1"/>
      <c r="B676" s="5"/>
      <c r="C676" s="1"/>
      <c r="D676" s="38"/>
      <c r="E676" s="1"/>
    </row>
    <row r="677" spans="1:5" ht="21.75" customHeight="1" x14ac:dyDescent="0.6">
      <c r="A677" s="1"/>
      <c r="B677" s="5"/>
      <c r="C677" s="1"/>
      <c r="D677" s="38"/>
      <c r="E677" s="1"/>
    </row>
    <row r="678" spans="1:5" ht="21.75" customHeight="1" x14ac:dyDescent="0.6">
      <c r="A678" s="1"/>
      <c r="B678" s="5"/>
      <c r="C678" s="1"/>
      <c r="D678" s="38"/>
      <c r="E678" s="1"/>
    </row>
    <row r="679" spans="1:5" ht="21.75" customHeight="1" x14ac:dyDescent="0.6">
      <c r="A679" s="1"/>
      <c r="B679" s="5"/>
      <c r="C679" s="1"/>
      <c r="D679" s="38"/>
      <c r="E679" s="1"/>
    </row>
    <row r="680" spans="1:5" ht="21.75" customHeight="1" x14ac:dyDescent="0.6">
      <c r="A680" s="1"/>
      <c r="B680" s="5"/>
      <c r="C680" s="1"/>
      <c r="D680" s="38"/>
      <c r="E680" s="1"/>
    </row>
    <row r="681" spans="1:5" ht="21.75" customHeight="1" x14ac:dyDescent="0.6">
      <c r="A681" s="1"/>
      <c r="B681" s="5"/>
      <c r="C681" s="1"/>
      <c r="D681" s="38"/>
      <c r="E681" s="1"/>
    </row>
    <row r="682" spans="1:5" ht="21.75" customHeight="1" x14ac:dyDescent="0.6">
      <c r="A682" s="1"/>
      <c r="B682" s="5"/>
      <c r="C682" s="1"/>
      <c r="D682" s="38"/>
      <c r="E682" s="1"/>
    </row>
    <row r="683" spans="1:5" ht="21.75" customHeight="1" x14ac:dyDescent="0.6">
      <c r="A683" s="1"/>
      <c r="B683" s="5"/>
      <c r="C683" s="1"/>
      <c r="D683" s="38"/>
      <c r="E683" s="1"/>
    </row>
    <row r="684" spans="1:5" ht="21.75" customHeight="1" x14ac:dyDescent="0.6">
      <c r="A684" s="1"/>
      <c r="B684" s="5"/>
      <c r="C684" s="1"/>
      <c r="D684" s="38"/>
      <c r="E684" s="1"/>
    </row>
    <row r="685" spans="1:5" ht="21.75" customHeight="1" x14ac:dyDescent="0.6">
      <c r="A685" s="1"/>
      <c r="B685" s="5"/>
      <c r="C685" s="1"/>
      <c r="D685" s="38"/>
      <c r="E685" s="1"/>
    </row>
    <row r="686" spans="1:5" ht="21.75" customHeight="1" x14ac:dyDescent="0.6">
      <c r="A686" s="1"/>
      <c r="B686" s="5"/>
      <c r="C686" s="1"/>
      <c r="D686" s="38"/>
      <c r="E686" s="1"/>
    </row>
    <row r="687" spans="1:5" ht="21.75" customHeight="1" x14ac:dyDescent="0.6">
      <c r="A687" s="1"/>
      <c r="B687" s="5"/>
      <c r="C687" s="1"/>
      <c r="D687" s="38"/>
      <c r="E687" s="1"/>
    </row>
    <row r="688" spans="1:5" ht="21.75" customHeight="1" x14ac:dyDescent="0.6">
      <c r="A688" s="1"/>
      <c r="B688" s="5"/>
      <c r="C688" s="1"/>
      <c r="D688" s="38"/>
      <c r="E688" s="1"/>
    </row>
    <row r="689" spans="1:5" ht="21.75" customHeight="1" x14ac:dyDescent="0.6">
      <c r="A689" s="1"/>
      <c r="B689" s="5"/>
      <c r="C689" s="1"/>
      <c r="D689" s="38"/>
      <c r="E689" s="1"/>
    </row>
    <row r="690" spans="1:5" ht="21.75" customHeight="1" x14ac:dyDescent="0.6">
      <c r="A690" s="1"/>
      <c r="B690" s="5"/>
      <c r="C690" s="1"/>
      <c r="D690" s="38"/>
      <c r="E690" s="1"/>
    </row>
    <row r="691" spans="1:5" ht="21.75" customHeight="1" x14ac:dyDescent="0.6">
      <c r="A691" s="1"/>
      <c r="B691" s="5"/>
      <c r="C691" s="1"/>
      <c r="D691" s="38"/>
      <c r="E691" s="1"/>
    </row>
    <row r="692" spans="1:5" ht="21.75" customHeight="1" x14ac:dyDescent="0.6">
      <c r="A692" s="1"/>
      <c r="B692" s="5"/>
      <c r="C692" s="1"/>
      <c r="D692" s="38"/>
      <c r="E692" s="1"/>
    </row>
    <row r="693" spans="1:5" ht="21.75" customHeight="1" x14ac:dyDescent="0.6">
      <c r="A693" s="1"/>
      <c r="B693" s="5"/>
      <c r="C693" s="1"/>
      <c r="D693" s="38"/>
      <c r="E693" s="1"/>
    </row>
    <row r="694" spans="1:5" ht="21.75" customHeight="1" x14ac:dyDescent="0.6">
      <c r="A694" s="1"/>
      <c r="B694" s="5"/>
      <c r="C694" s="1"/>
      <c r="D694" s="38"/>
      <c r="E694" s="1"/>
    </row>
    <row r="695" spans="1:5" ht="21.75" customHeight="1" x14ac:dyDescent="0.6">
      <c r="A695" s="1"/>
      <c r="B695" s="5"/>
      <c r="C695" s="1"/>
      <c r="D695" s="38"/>
      <c r="E695" s="1"/>
    </row>
    <row r="696" spans="1:5" ht="21.75" customHeight="1" x14ac:dyDescent="0.6">
      <c r="A696" s="1"/>
      <c r="B696" s="5"/>
      <c r="C696" s="1"/>
      <c r="D696" s="38"/>
      <c r="E696" s="1"/>
    </row>
    <row r="697" spans="1:5" ht="21.75" customHeight="1" x14ac:dyDescent="0.6">
      <c r="A697" s="1"/>
      <c r="B697" s="5"/>
      <c r="C697" s="1"/>
      <c r="D697" s="38"/>
      <c r="E697" s="1"/>
    </row>
    <row r="698" spans="1:5" ht="21.75" customHeight="1" x14ac:dyDescent="0.6">
      <c r="A698" s="1"/>
      <c r="B698" s="5"/>
      <c r="C698" s="1"/>
      <c r="D698" s="38"/>
      <c r="E698" s="1"/>
    </row>
    <row r="699" spans="1:5" ht="21.75" customHeight="1" x14ac:dyDescent="0.6">
      <c r="A699" s="1"/>
      <c r="B699" s="5"/>
      <c r="C699" s="1"/>
      <c r="D699" s="38"/>
      <c r="E699" s="1"/>
    </row>
    <row r="700" spans="1:5" ht="21.75" customHeight="1" x14ac:dyDescent="0.6">
      <c r="A700" s="1"/>
      <c r="B700" s="5"/>
      <c r="C700" s="1"/>
      <c r="D700" s="38"/>
      <c r="E700" s="1"/>
    </row>
    <row r="701" spans="1:5" ht="21.75" customHeight="1" x14ac:dyDescent="0.6">
      <c r="A701" s="1"/>
      <c r="B701" s="5"/>
      <c r="C701" s="1"/>
      <c r="D701" s="38"/>
      <c r="E701" s="1"/>
    </row>
    <row r="702" spans="1:5" ht="21.75" customHeight="1" x14ac:dyDescent="0.6">
      <c r="A702" s="1"/>
      <c r="B702" s="5"/>
      <c r="C702" s="1"/>
      <c r="D702" s="38"/>
      <c r="E702" s="1"/>
    </row>
    <row r="703" spans="1:5" ht="21.75" customHeight="1" x14ac:dyDescent="0.6">
      <c r="A703" s="1"/>
      <c r="B703" s="5"/>
      <c r="C703" s="1"/>
      <c r="D703" s="38"/>
      <c r="E703" s="1"/>
    </row>
    <row r="704" spans="1:5" ht="21.75" customHeight="1" x14ac:dyDescent="0.6">
      <c r="A704" s="1"/>
      <c r="B704" s="5"/>
      <c r="C704" s="1"/>
      <c r="D704" s="38"/>
      <c r="E704" s="1"/>
    </row>
    <row r="705" spans="1:5" ht="21.75" customHeight="1" x14ac:dyDescent="0.6">
      <c r="A705" s="1"/>
      <c r="B705" s="5"/>
      <c r="C705" s="1"/>
      <c r="D705" s="38"/>
      <c r="E705" s="1"/>
    </row>
    <row r="706" spans="1:5" ht="21.75" customHeight="1" x14ac:dyDescent="0.6">
      <c r="A706" s="1"/>
      <c r="B706" s="5"/>
      <c r="C706" s="1"/>
      <c r="D706" s="38"/>
      <c r="E706" s="1"/>
    </row>
    <row r="707" spans="1:5" ht="21.75" customHeight="1" x14ac:dyDescent="0.6">
      <c r="A707" s="1"/>
      <c r="B707" s="5"/>
      <c r="C707" s="1"/>
      <c r="D707" s="38"/>
      <c r="E707" s="1"/>
    </row>
    <row r="708" spans="1:5" ht="21.75" customHeight="1" x14ac:dyDescent="0.6">
      <c r="A708" s="1"/>
      <c r="B708" s="5"/>
      <c r="C708" s="1"/>
      <c r="D708" s="38"/>
      <c r="E708" s="1"/>
    </row>
    <row r="709" spans="1:5" ht="21.75" customHeight="1" x14ac:dyDescent="0.6">
      <c r="A709" s="1"/>
      <c r="B709" s="5"/>
      <c r="C709" s="1"/>
      <c r="D709" s="38"/>
      <c r="E709" s="1"/>
    </row>
    <row r="710" spans="1:5" ht="21.75" customHeight="1" x14ac:dyDescent="0.6">
      <c r="A710" s="1"/>
      <c r="B710" s="5"/>
      <c r="C710" s="1"/>
      <c r="D710" s="38"/>
      <c r="E710" s="1"/>
    </row>
    <row r="711" spans="1:5" ht="21.75" customHeight="1" x14ac:dyDescent="0.6">
      <c r="A711" s="1"/>
      <c r="B711" s="5"/>
      <c r="C711" s="1"/>
      <c r="D711" s="38"/>
      <c r="E711" s="1"/>
    </row>
    <row r="712" spans="1:5" ht="21.75" customHeight="1" x14ac:dyDescent="0.6">
      <c r="A712" s="1"/>
      <c r="B712" s="5"/>
      <c r="C712" s="1"/>
      <c r="D712" s="38"/>
      <c r="E712" s="1"/>
    </row>
    <row r="713" spans="1:5" ht="21.75" customHeight="1" x14ac:dyDescent="0.6">
      <c r="A713" s="1"/>
      <c r="B713" s="5"/>
      <c r="C713" s="1"/>
      <c r="D713" s="38"/>
      <c r="E713" s="1"/>
    </row>
    <row r="714" spans="1:5" ht="21.75" customHeight="1" x14ac:dyDescent="0.6">
      <c r="A714" s="1"/>
      <c r="B714" s="5"/>
      <c r="C714" s="1"/>
      <c r="D714" s="38"/>
      <c r="E714" s="1"/>
    </row>
    <row r="715" spans="1:5" ht="21.75" customHeight="1" x14ac:dyDescent="0.6">
      <c r="A715" s="1"/>
      <c r="B715" s="5"/>
      <c r="C715" s="1"/>
      <c r="D715" s="38"/>
      <c r="E715" s="1"/>
    </row>
    <row r="716" spans="1:5" ht="21.75" customHeight="1" x14ac:dyDescent="0.6">
      <c r="A716" s="1"/>
      <c r="B716" s="5"/>
      <c r="C716" s="1"/>
      <c r="D716" s="38"/>
      <c r="E716" s="1"/>
    </row>
    <row r="717" spans="1:5" ht="21.75" customHeight="1" x14ac:dyDescent="0.6">
      <c r="A717" s="1"/>
      <c r="B717" s="5"/>
      <c r="C717" s="1"/>
      <c r="D717" s="38"/>
      <c r="E717" s="1"/>
    </row>
    <row r="718" spans="1:5" ht="21.75" customHeight="1" x14ac:dyDescent="0.6">
      <c r="A718" s="1"/>
      <c r="B718" s="5"/>
      <c r="C718" s="1"/>
      <c r="D718" s="38"/>
      <c r="E718" s="1"/>
    </row>
    <row r="719" spans="1:5" ht="21.75" customHeight="1" x14ac:dyDescent="0.6">
      <c r="A719" s="1"/>
      <c r="B719" s="5"/>
      <c r="C719" s="1"/>
      <c r="D719" s="38"/>
      <c r="E719" s="1"/>
    </row>
    <row r="720" spans="1:5" ht="21.75" customHeight="1" x14ac:dyDescent="0.6">
      <c r="A720" s="1"/>
      <c r="B720" s="5"/>
      <c r="C720" s="1"/>
      <c r="D720" s="38"/>
      <c r="E720" s="1"/>
    </row>
    <row r="721" spans="1:5" ht="21.75" customHeight="1" x14ac:dyDescent="0.6">
      <c r="A721" s="1"/>
      <c r="B721" s="5"/>
      <c r="C721" s="1"/>
      <c r="D721" s="38"/>
      <c r="E721" s="1"/>
    </row>
    <row r="722" spans="1:5" ht="21.75" customHeight="1" x14ac:dyDescent="0.6">
      <c r="A722" s="1"/>
      <c r="B722" s="5"/>
      <c r="C722" s="1"/>
      <c r="D722" s="38"/>
      <c r="E722" s="1"/>
    </row>
    <row r="723" spans="1:5" ht="21.75" customHeight="1" x14ac:dyDescent="0.6">
      <c r="A723" s="1"/>
      <c r="B723" s="5"/>
      <c r="C723" s="1"/>
      <c r="D723" s="38"/>
      <c r="E723" s="1"/>
    </row>
    <row r="724" spans="1:5" ht="21.75" customHeight="1" x14ac:dyDescent="0.6">
      <c r="A724" s="1"/>
      <c r="B724" s="5"/>
      <c r="C724" s="1"/>
      <c r="D724" s="38"/>
      <c r="E724" s="1"/>
    </row>
    <row r="725" spans="1:5" ht="21.75" customHeight="1" x14ac:dyDescent="0.6">
      <c r="A725" s="1"/>
      <c r="B725" s="5"/>
      <c r="C725" s="1"/>
      <c r="D725" s="38"/>
      <c r="E725" s="1"/>
    </row>
    <row r="726" spans="1:5" ht="21.75" customHeight="1" x14ac:dyDescent="0.6">
      <c r="A726" s="1"/>
      <c r="B726" s="5"/>
      <c r="C726" s="1"/>
      <c r="D726" s="38"/>
      <c r="E726" s="1"/>
    </row>
    <row r="727" spans="1:5" ht="21.75" customHeight="1" x14ac:dyDescent="0.6">
      <c r="A727" s="1"/>
      <c r="B727" s="5"/>
      <c r="C727" s="1"/>
      <c r="D727" s="38"/>
      <c r="E727" s="1"/>
    </row>
    <row r="728" spans="1:5" ht="21.75" customHeight="1" x14ac:dyDescent="0.6">
      <c r="A728" s="1"/>
      <c r="B728" s="5"/>
      <c r="C728" s="1"/>
      <c r="D728" s="38"/>
      <c r="E728" s="1"/>
    </row>
    <row r="729" spans="1:5" ht="21.75" customHeight="1" x14ac:dyDescent="0.6">
      <c r="A729" s="1"/>
      <c r="B729" s="5"/>
      <c r="C729" s="1"/>
      <c r="D729" s="38"/>
      <c r="E729" s="1"/>
    </row>
    <row r="730" spans="1:5" ht="21.75" customHeight="1" x14ac:dyDescent="0.6">
      <c r="A730" s="1"/>
      <c r="B730" s="5"/>
      <c r="C730" s="1"/>
      <c r="D730" s="38"/>
      <c r="E730" s="1"/>
    </row>
    <row r="731" spans="1:5" ht="21.75" customHeight="1" x14ac:dyDescent="0.6">
      <c r="A731" s="1"/>
      <c r="B731" s="5"/>
      <c r="C731" s="1"/>
      <c r="D731" s="38"/>
      <c r="E731" s="1"/>
    </row>
    <row r="732" spans="1:5" ht="21.75" customHeight="1" x14ac:dyDescent="0.6">
      <c r="A732" s="1"/>
      <c r="B732" s="5"/>
      <c r="C732" s="1"/>
      <c r="D732" s="38"/>
      <c r="E732" s="1"/>
    </row>
    <row r="733" spans="1:5" ht="21.75" customHeight="1" x14ac:dyDescent="0.6">
      <c r="A733" s="1"/>
      <c r="B733" s="5"/>
      <c r="C733" s="1"/>
      <c r="D733" s="38"/>
      <c r="E733" s="1"/>
    </row>
    <row r="734" spans="1:5" ht="21.75" customHeight="1" x14ac:dyDescent="0.6">
      <c r="A734" s="1"/>
      <c r="B734" s="5"/>
      <c r="C734" s="1"/>
      <c r="D734" s="38"/>
      <c r="E734" s="1"/>
    </row>
    <row r="735" spans="1:5" ht="21.75" customHeight="1" x14ac:dyDescent="0.6">
      <c r="A735" s="1"/>
      <c r="B735" s="5"/>
      <c r="C735" s="1"/>
      <c r="D735" s="38"/>
      <c r="E735" s="1"/>
    </row>
    <row r="736" spans="1:5" ht="21.75" customHeight="1" x14ac:dyDescent="0.6">
      <c r="A736" s="1"/>
      <c r="B736" s="5"/>
      <c r="C736" s="1"/>
      <c r="D736" s="38"/>
      <c r="E736" s="1"/>
    </row>
    <row r="737" spans="1:5" ht="21.75" customHeight="1" x14ac:dyDescent="0.6">
      <c r="A737" s="1"/>
      <c r="B737" s="5"/>
      <c r="C737" s="1"/>
      <c r="D737" s="38"/>
      <c r="E737" s="1"/>
    </row>
    <row r="738" spans="1:5" ht="21.75" customHeight="1" x14ac:dyDescent="0.6">
      <c r="A738" s="1"/>
      <c r="B738" s="5"/>
      <c r="C738" s="1"/>
      <c r="D738" s="38"/>
      <c r="E738" s="1"/>
    </row>
    <row r="739" spans="1:5" ht="21.75" customHeight="1" x14ac:dyDescent="0.6">
      <c r="A739" s="1"/>
      <c r="B739" s="5"/>
      <c r="C739" s="1"/>
      <c r="D739" s="38"/>
      <c r="E739" s="1"/>
    </row>
    <row r="740" spans="1:5" ht="21.75" customHeight="1" x14ac:dyDescent="0.6">
      <c r="A740" s="1"/>
      <c r="B740" s="5"/>
      <c r="C740" s="1"/>
      <c r="D740" s="38"/>
      <c r="E740" s="1"/>
    </row>
    <row r="741" spans="1:5" ht="21.75" customHeight="1" x14ac:dyDescent="0.6">
      <c r="A741" s="1"/>
      <c r="B741" s="5"/>
      <c r="C741" s="1"/>
      <c r="D741" s="38"/>
      <c r="E741" s="1"/>
    </row>
    <row r="742" spans="1:5" ht="21.75" customHeight="1" x14ac:dyDescent="0.6">
      <c r="A742" s="1"/>
      <c r="B742" s="5"/>
      <c r="C742" s="1"/>
      <c r="D742" s="38"/>
      <c r="E742" s="1"/>
    </row>
    <row r="743" spans="1:5" ht="21.75" customHeight="1" x14ac:dyDescent="0.6">
      <c r="A743" s="1"/>
      <c r="B743" s="5"/>
      <c r="C743" s="1"/>
      <c r="D743" s="38"/>
      <c r="E743" s="1"/>
    </row>
    <row r="744" spans="1:5" ht="21.75" customHeight="1" x14ac:dyDescent="0.6">
      <c r="A744" s="1"/>
      <c r="B744" s="5"/>
      <c r="C744" s="1"/>
      <c r="D744" s="38"/>
      <c r="E744" s="1"/>
    </row>
    <row r="745" spans="1:5" ht="21.75" customHeight="1" x14ac:dyDescent="0.6">
      <c r="A745" s="1"/>
      <c r="B745" s="5"/>
      <c r="C745" s="1"/>
      <c r="D745" s="38"/>
      <c r="E745" s="1"/>
    </row>
    <row r="746" spans="1:5" ht="21.75" customHeight="1" x14ac:dyDescent="0.6">
      <c r="A746" s="1"/>
      <c r="B746" s="5"/>
      <c r="C746" s="1"/>
      <c r="D746" s="38"/>
      <c r="E746" s="1"/>
    </row>
    <row r="747" spans="1:5" ht="21.75" customHeight="1" x14ac:dyDescent="0.6">
      <c r="A747" s="1"/>
      <c r="B747" s="5"/>
      <c r="C747" s="1"/>
      <c r="D747" s="38"/>
      <c r="E747" s="1"/>
    </row>
    <row r="748" spans="1:5" ht="21.75" customHeight="1" x14ac:dyDescent="0.6">
      <c r="A748" s="1"/>
      <c r="B748" s="5"/>
      <c r="C748" s="1"/>
      <c r="D748" s="38"/>
      <c r="E748" s="1"/>
    </row>
    <row r="749" spans="1:5" ht="21.75" customHeight="1" x14ac:dyDescent="0.6">
      <c r="A749" s="1"/>
      <c r="B749" s="5"/>
      <c r="C749" s="1"/>
      <c r="D749" s="38"/>
      <c r="E749" s="1"/>
    </row>
    <row r="750" spans="1:5" ht="21.75" customHeight="1" x14ac:dyDescent="0.6">
      <c r="A750" s="1"/>
      <c r="B750" s="5"/>
      <c r="C750" s="1"/>
      <c r="D750" s="38"/>
      <c r="E750" s="1"/>
    </row>
    <row r="751" spans="1:5" ht="21.75" customHeight="1" x14ac:dyDescent="0.6">
      <c r="A751" s="1"/>
      <c r="B751" s="5"/>
      <c r="C751" s="1"/>
      <c r="D751" s="38"/>
      <c r="E751" s="1"/>
    </row>
    <row r="752" spans="1:5" ht="21.75" customHeight="1" x14ac:dyDescent="0.6">
      <c r="A752" s="1"/>
      <c r="B752" s="5"/>
      <c r="C752" s="1"/>
      <c r="D752" s="38"/>
      <c r="E752" s="1"/>
    </row>
    <row r="753" spans="1:5" ht="21.75" customHeight="1" x14ac:dyDescent="0.6">
      <c r="A753" s="1"/>
      <c r="B753" s="5"/>
      <c r="C753" s="1"/>
      <c r="D753" s="38"/>
      <c r="E753" s="1"/>
    </row>
    <row r="754" spans="1:5" ht="21.75" customHeight="1" x14ac:dyDescent="0.6">
      <c r="A754" s="1"/>
      <c r="B754" s="5"/>
      <c r="C754" s="1"/>
      <c r="D754" s="38"/>
      <c r="E754" s="1"/>
    </row>
    <row r="755" spans="1:5" ht="21.75" customHeight="1" x14ac:dyDescent="0.6">
      <c r="A755" s="1"/>
      <c r="B755" s="5"/>
      <c r="C755" s="1"/>
      <c r="D755" s="38"/>
      <c r="E755" s="1"/>
    </row>
    <row r="756" spans="1:5" ht="21.75" customHeight="1" x14ac:dyDescent="0.6">
      <c r="A756" s="1"/>
      <c r="B756" s="5"/>
      <c r="C756" s="1"/>
      <c r="D756" s="38"/>
      <c r="E756" s="1"/>
    </row>
    <row r="757" spans="1:5" ht="21.75" customHeight="1" x14ac:dyDescent="0.6">
      <c r="A757" s="1"/>
      <c r="B757" s="5"/>
      <c r="C757" s="1"/>
      <c r="D757" s="38"/>
      <c r="E757" s="1"/>
    </row>
    <row r="758" spans="1:5" ht="21.75" customHeight="1" x14ac:dyDescent="0.6">
      <c r="A758" s="1"/>
      <c r="B758" s="5"/>
      <c r="C758" s="1"/>
      <c r="D758" s="38"/>
      <c r="E758" s="1"/>
    </row>
    <row r="759" spans="1:5" ht="21.75" customHeight="1" x14ac:dyDescent="0.6">
      <c r="A759" s="1"/>
      <c r="B759" s="5"/>
      <c r="C759" s="1"/>
      <c r="D759" s="38"/>
      <c r="E759" s="1"/>
    </row>
    <row r="760" spans="1:5" ht="21.75" customHeight="1" x14ac:dyDescent="0.6">
      <c r="A760" s="1"/>
      <c r="B760" s="5"/>
      <c r="C760" s="1"/>
      <c r="D760" s="38"/>
      <c r="E760" s="1"/>
    </row>
    <row r="761" spans="1:5" ht="21.75" customHeight="1" x14ac:dyDescent="0.6">
      <c r="A761" s="1"/>
      <c r="B761" s="5"/>
      <c r="C761" s="1"/>
      <c r="D761" s="38"/>
      <c r="E761" s="1"/>
    </row>
    <row r="762" spans="1:5" ht="21.75" customHeight="1" x14ac:dyDescent="0.6">
      <c r="A762" s="1"/>
      <c r="B762" s="5"/>
      <c r="C762" s="1"/>
      <c r="D762" s="38"/>
      <c r="E762" s="1"/>
    </row>
    <row r="763" spans="1:5" ht="21.75" customHeight="1" x14ac:dyDescent="0.6">
      <c r="A763" s="1"/>
      <c r="B763" s="5"/>
      <c r="C763" s="1"/>
      <c r="D763" s="38"/>
      <c r="E763" s="1"/>
    </row>
    <row r="764" spans="1:5" ht="21.75" customHeight="1" x14ac:dyDescent="0.6">
      <c r="A764" s="1"/>
      <c r="B764" s="5"/>
      <c r="C764" s="1"/>
      <c r="D764" s="38"/>
      <c r="E764" s="1"/>
    </row>
    <row r="765" spans="1:5" ht="21.75" customHeight="1" x14ac:dyDescent="0.6">
      <c r="A765" s="1"/>
      <c r="B765" s="5"/>
      <c r="C765" s="1"/>
      <c r="D765" s="38"/>
      <c r="E765" s="1"/>
    </row>
    <row r="766" spans="1:5" ht="21.75" customHeight="1" x14ac:dyDescent="0.6">
      <c r="A766" s="1"/>
      <c r="B766" s="5"/>
      <c r="C766" s="1"/>
      <c r="D766" s="38"/>
      <c r="E766" s="1"/>
    </row>
    <row r="767" spans="1:5" ht="21.75" customHeight="1" x14ac:dyDescent="0.6">
      <c r="A767" s="1"/>
      <c r="B767" s="5"/>
      <c r="C767" s="1"/>
      <c r="D767" s="38"/>
      <c r="E767" s="1"/>
    </row>
    <row r="768" spans="1:5" ht="21.75" customHeight="1" x14ac:dyDescent="0.6">
      <c r="A768" s="1"/>
      <c r="B768" s="5"/>
      <c r="C768" s="1"/>
      <c r="D768" s="38"/>
      <c r="E768" s="1"/>
    </row>
    <row r="769" spans="1:5" ht="21.75" customHeight="1" x14ac:dyDescent="0.6">
      <c r="A769" s="1"/>
      <c r="B769" s="5"/>
      <c r="C769" s="1"/>
      <c r="D769" s="38"/>
      <c r="E769" s="1"/>
    </row>
    <row r="770" spans="1:5" ht="21.75" customHeight="1" x14ac:dyDescent="0.6">
      <c r="A770" s="1"/>
      <c r="B770" s="5"/>
      <c r="C770" s="1"/>
      <c r="D770" s="38"/>
      <c r="E770" s="1"/>
    </row>
    <row r="771" spans="1:5" ht="21.75" customHeight="1" x14ac:dyDescent="0.6">
      <c r="A771" s="1"/>
      <c r="B771" s="5"/>
      <c r="C771" s="1"/>
      <c r="D771" s="38"/>
      <c r="E771" s="1"/>
    </row>
    <row r="772" spans="1:5" ht="21.75" customHeight="1" x14ac:dyDescent="0.6">
      <c r="A772" s="1"/>
      <c r="B772" s="5"/>
      <c r="C772" s="1"/>
      <c r="D772" s="38"/>
      <c r="E772" s="1"/>
    </row>
    <row r="773" spans="1:5" ht="21.75" customHeight="1" x14ac:dyDescent="0.6">
      <c r="A773" s="1"/>
      <c r="B773" s="5"/>
      <c r="C773" s="1"/>
      <c r="D773" s="38"/>
      <c r="E773" s="1"/>
    </row>
    <row r="774" spans="1:5" ht="21.75" customHeight="1" x14ac:dyDescent="0.6">
      <c r="A774" s="1"/>
      <c r="B774" s="5"/>
      <c r="C774" s="1"/>
      <c r="D774" s="38"/>
      <c r="E774" s="1"/>
    </row>
    <row r="775" spans="1:5" ht="21.75" customHeight="1" x14ac:dyDescent="0.6">
      <c r="A775" s="1"/>
      <c r="B775" s="5"/>
      <c r="C775" s="1"/>
      <c r="D775" s="38"/>
      <c r="E775" s="1"/>
    </row>
    <row r="776" spans="1:5" ht="21.75" customHeight="1" x14ac:dyDescent="0.6">
      <c r="A776" s="1"/>
      <c r="B776" s="5"/>
      <c r="C776" s="1"/>
      <c r="D776" s="38"/>
      <c r="E776" s="1"/>
    </row>
    <row r="777" spans="1:5" ht="21.75" customHeight="1" x14ac:dyDescent="0.6">
      <c r="A777" s="1"/>
      <c r="B777" s="5"/>
      <c r="C777" s="1"/>
      <c r="D777" s="38"/>
      <c r="E777" s="1"/>
    </row>
    <row r="778" spans="1:5" ht="21.75" customHeight="1" x14ac:dyDescent="0.6">
      <c r="A778" s="1"/>
      <c r="B778" s="5"/>
      <c r="C778" s="1"/>
      <c r="D778" s="38"/>
      <c r="E778" s="1"/>
    </row>
    <row r="779" spans="1:5" ht="21.75" customHeight="1" x14ac:dyDescent="0.6">
      <c r="A779" s="1"/>
      <c r="B779" s="5"/>
      <c r="C779" s="1"/>
      <c r="D779" s="38"/>
      <c r="E779" s="1"/>
    </row>
    <row r="780" spans="1:5" ht="21.75" customHeight="1" x14ac:dyDescent="0.6">
      <c r="A780" s="1"/>
      <c r="B780" s="5"/>
      <c r="C780" s="1"/>
      <c r="D780" s="38"/>
      <c r="E780" s="1"/>
    </row>
    <row r="781" spans="1:5" ht="21.75" customHeight="1" x14ac:dyDescent="0.6">
      <c r="A781" s="1"/>
      <c r="B781" s="5"/>
      <c r="C781" s="1"/>
      <c r="D781" s="38"/>
      <c r="E781" s="1"/>
    </row>
    <row r="782" spans="1:5" ht="21.75" customHeight="1" x14ac:dyDescent="0.6">
      <c r="A782" s="1"/>
      <c r="B782" s="5"/>
      <c r="C782" s="1"/>
      <c r="D782" s="38"/>
      <c r="E782" s="1"/>
    </row>
    <row r="783" spans="1:5" ht="21.75" customHeight="1" x14ac:dyDescent="0.6">
      <c r="A783" s="1"/>
      <c r="B783" s="5"/>
      <c r="C783" s="1"/>
      <c r="D783" s="38"/>
      <c r="E783" s="1"/>
    </row>
    <row r="784" spans="1:5" ht="21.75" customHeight="1" x14ac:dyDescent="0.6">
      <c r="A784" s="1"/>
      <c r="B784" s="5"/>
      <c r="C784" s="1"/>
      <c r="D784" s="38"/>
      <c r="E784" s="1"/>
    </row>
    <row r="785" spans="1:5" ht="21.75" customHeight="1" x14ac:dyDescent="0.6">
      <c r="A785" s="1"/>
      <c r="B785" s="5"/>
      <c r="C785" s="1"/>
      <c r="D785" s="38"/>
      <c r="E785" s="1"/>
    </row>
    <row r="786" spans="1:5" ht="21.75" customHeight="1" x14ac:dyDescent="0.6">
      <c r="A786" s="1"/>
      <c r="B786" s="5"/>
      <c r="C786" s="1"/>
      <c r="D786" s="38"/>
      <c r="E786" s="1"/>
    </row>
    <row r="787" spans="1:5" ht="21.75" customHeight="1" x14ac:dyDescent="0.6">
      <c r="A787" s="1"/>
      <c r="B787" s="5"/>
      <c r="C787" s="1"/>
      <c r="D787" s="38"/>
      <c r="E787" s="1"/>
    </row>
    <row r="788" spans="1:5" ht="21.75" customHeight="1" x14ac:dyDescent="0.6">
      <c r="A788" s="1"/>
      <c r="B788" s="5"/>
      <c r="C788" s="1"/>
      <c r="D788" s="38"/>
      <c r="E788" s="1"/>
    </row>
    <row r="789" spans="1:5" ht="21.75" customHeight="1" x14ac:dyDescent="0.6">
      <c r="A789" s="1"/>
      <c r="B789" s="5"/>
      <c r="C789" s="1"/>
      <c r="D789" s="38"/>
      <c r="E789" s="1"/>
    </row>
    <row r="790" spans="1:5" ht="21.75" customHeight="1" x14ac:dyDescent="0.6">
      <c r="A790" s="1"/>
      <c r="B790" s="5"/>
      <c r="C790" s="1"/>
      <c r="D790" s="38"/>
      <c r="E790" s="1"/>
    </row>
    <row r="791" spans="1:5" ht="21.75" customHeight="1" x14ac:dyDescent="0.6">
      <c r="A791" s="1"/>
      <c r="B791" s="5"/>
      <c r="C791" s="1"/>
      <c r="D791" s="38"/>
      <c r="E791" s="1"/>
    </row>
    <row r="792" spans="1:5" ht="21.75" customHeight="1" x14ac:dyDescent="0.6">
      <c r="A792" s="1"/>
      <c r="B792" s="5"/>
      <c r="C792" s="1"/>
      <c r="D792" s="38"/>
      <c r="E792" s="1"/>
    </row>
    <row r="793" spans="1:5" ht="21.75" customHeight="1" x14ac:dyDescent="0.6">
      <c r="A793" s="1"/>
      <c r="B793" s="5"/>
      <c r="C793" s="1"/>
      <c r="D793" s="38"/>
      <c r="E793" s="1"/>
    </row>
    <row r="794" spans="1:5" ht="21.75" customHeight="1" x14ac:dyDescent="0.6">
      <c r="A794" s="1"/>
      <c r="B794" s="5"/>
      <c r="C794" s="1"/>
      <c r="D794" s="38"/>
      <c r="E794" s="1"/>
    </row>
    <row r="795" spans="1:5" ht="21.75" customHeight="1" x14ac:dyDescent="0.6">
      <c r="A795" s="1"/>
      <c r="B795" s="5"/>
      <c r="C795" s="1"/>
      <c r="D795" s="38"/>
      <c r="E795" s="1"/>
    </row>
    <row r="796" spans="1:5" ht="21.75" customHeight="1" x14ac:dyDescent="0.6">
      <c r="A796" s="1"/>
      <c r="B796" s="5"/>
      <c r="C796" s="1"/>
      <c r="D796" s="38"/>
      <c r="E796" s="1"/>
    </row>
    <row r="797" spans="1:5" ht="21.75" customHeight="1" x14ac:dyDescent="0.6">
      <c r="A797" s="1"/>
      <c r="B797" s="5"/>
      <c r="C797" s="1"/>
      <c r="D797" s="38"/>
      <c r="E797" s="1"/>
    </row>
    <row r="798" spans="1:5" ht="21.75" customHeight="1" x14ac:dyDescent="0.6">
      <c r="A798" s="1"/>
      <c r="B798" s="5"/>
      <c r="C798" s="1"/>
      <c r="D798" s="38"/>
      <c r="E798" s="1"/>
    </row>
    <row r="799" spans="1:5" ht="21.75" customHeight="1" x14ac:dyDescent="0.6">
      <c r="A799" s="1"/>
      <c r="B799" s="5"/>
      <c r="C799" s="1"/>
      <c r="D799" s="38"/>
      <c r="E799" s="1"/>
    </row>
    <row r="800" spans="1:5" ht="21.75" customHeight="1" x14ac:dyDescent="0.6">
      <c r="A800" s="1"/>
      <c r="B800" s="5"/>
      <c r="C800" s="1"/>
      <c r="D800" s="38"/>
      <c r="E800" s="1"/>
    </row>
    <row r="801" spans="1:5" ht="21.75" customHeight="1" x14ac:dyDescent="0.6">
      <c r="A801" s="1"/>
      <c r="B801" s="5"/>
      <c r="C801" s="1"/>
      <c r="D801" s="38"/>
      <c r="E801" s="1"/>
    </row>
    <row r="802" spans="1:5" ht="21.75" customHeight="1" x14ac:dyDescent="0.6">
      <c r="A802" s="1"/>
      <c r="B802" s="5"/>
      <c r="C802" s="1"/>
      <c r="D802" s="38"/>
      <c r="E802" s="1"/>
    </row>
    <row r="803" spans="1:5" ht="21.75" customHeight="1" x14ac:dyDescent="0.6">
      <c r="A803" s="1"/>
      <c r="B803" s="5"/>
      <c r="C803" s="1"/>
      <c r="D803" s="38"/>
      <c r="E803" s="1"/>
    </row>
    <row r="804" spans="1:5" ht="21.75" customHeight="1" x14ac:dyDescent="0.6">
      <c r="A804" s="1"/>
      <c r="B804" s="5"/>
      <c r="C804" s="1"/>
      <c r="D804" s="38"/>
      <c r="E804" s="1"/>
    </row>
    <row r="805" spans="1:5" ht="21.75" customHeight="1" x14ac:dyDescent="0.6">
      <c r="A805" s="1"/>
      <c r="B805" s="5"/>
      <c r="C805" s="1"/>
      <c r="D805" s="38"/>
      <c r="E805" s="1"/>
    </row>
    <row r="806" spans="1:5" ht="21.75" customHeight="1" x14ac:dyDescent="0.6">
      <c r="A806" s="1"/>
      <c r="B806" s="5"/>
      <c r="C806" s="1"/>
      <c r="D806" s="38"/>
      <c r="E806" s="1"/>
    </row>
    <row r="807" spans="1:5" ht="21.75" customHeight="1" x14ac:dyDescent="0.6">
      <c r="A807" s="1"/>
      <c r="B807" s="5"/>
      <c r="C807" s="1"/>
      <c r="D807" s="38"/>
      <c r="E807" s="1"/>
    </row>
    <row r="808" spans="1:5" ht="21.75" customHeight="1" x14ac:dyDescent="0.6">
      <c r="A808" s="1"/>
      <c r="B808" s="5"/>
      <c r="C808" s="1"/>
      <c r="D808" s="38"/>
      <c r="E808" s="1"/>
    </row>
    <row r="809" spans="1:5" ht="21.75" customHeight="1" x14ac:dyDescent="0.6">
      <c r="A809" s="1"/>
      <c r="B809" s="5"/>
      <c r="C809" s="1"/>
      <c r="D809" s="38"/>
      <c r="E809" s="1"/>
    </row>
    <row r="810" spans="1:5" ht="21.75" customHeight="1" x14ac:dyDescent="0.6">
      <c r="A810" s="1"/>
      <c r="B810" s="5"/>
      <c r="C810" s="1"/>
      <c r="D810" s="38"/>
      <c r="E810" s="1"/>
    </row>
    <row r="811" spans="1:5" ht="21.75" customHeight="1" x14ac:dyDescent="0.6">
      <c r="A811" s="1"/>
      <c r="B811" s="5"/>
      <c r="C811" s="1"/>
      <c r="D811" s="38"/>
      <c r="E811" s="1"/>
    </row>
    <row r="812" spans="1:5" ht="21.75" customHeight="1" x14ac:dyDescent="0.6">
      <c r="A812" s="1"/>
      <c r="B812" s="5"/>
      <c r="C812" s="1"/>
      <c r="D812" s="38"/>
      <c r="E812" s="1"/>
    </row>
    <row r="813" spans="1:5" ht="21.75" customHeight="1" x14ac:dyDescent="0.6">
      <c r="A813" s="1"/>
      <c r="B813" s="5"/>
      <c r="C813" s="1"/>
      <c r="D813" s="38"/>
      <c r="E813" s="1"/>
    </row>
    <row r="814" spans="1:5" ht="21.75" customHeight="1" x14ac:dyDescent="0.6">
      <c r="A814" s="1"/>
      <c r="B814" s="5"/>
      <c r="C814" s="1"/>
      <c r="D814" s="38"/>
      <c r="E814" s="1"/>
    </row>
    <row r="815" spans="1:5" ht="21.75" customHeight="1" x14ac:dyDescent="0.6">
      <c r="A815" s="1"/>
      <c r="B815" s="5"/>
      <c r="C815" s="1"/>
      <c r="D815" s="38"/>
      <c r="E815" s="1"/>
    </row>
    <row r="816" spans="1:5" ht="21.75" customHeight="1" x14ac:dyDescent="0.6">
      <c r="A816" s="1"/>
      <c r="B816" s="5"/>
      <c r="C816" s="1"/>
      <c r="D816" s="38"/>
      <c r="E816" s="1"/>
    </row>
    <row r="817" spans="1:5" ht="21.75" customHeight="1" x14ac:dyDescent="0.6">
      <c r="A817" s="1"/>
      <c r="B817" s="5"/>
      <c r="C817" s="1"/>
      <c r="D817" s="38"/>
      <c r="E817" s="1"/>
    </row>
    <row r="818" spans="1:5" ht="21.75" customHeight="1" x14ac:dyDescent="0.6">
      <c r="A818" s="1"/>
      <c r="B818" s="5"/>
      <c r="C818" s="1"/>
      <c r="D818" s="38"/>
      <c r="E818" s="1"/>
    </row>
    <row r="819" spans="1:5" ht="21.75" customHeight="1" x14ac:dyDescent="0.6">
      <c r="A819" s="1"/>
      <c r="B819" s="5"/>
      <c r="C819" s="1"/>
      <c r="D819" s="38"/>
      <c r="E819" s="1"/>
    </row>
    <row r="820" spans="1:5" ht="21.75" customHeight="1" x14ac:dyDescent="0.6">
      <c r="A820" s="1"/>
      <c r="B820" s="5"/>
      <c r="C820" s="1"/>
      <c r="D820" s="38"/>
      <c r="E820" s="1"/>
    </row>
    <row r="821" spans="1:5" ht="21.75" customHeight="1" x14ac:dyDescent="0.6">
      <c r="A821" s="1"/>
      <c r="B821" s="5"/>
      <c r="C821" s="1"/>
      <c r="D821" s="38"/>
      <c r="E821" s="1"/>
    </row>
    <row r="822" spans="1:5" ht="21.75" customHeight="1" x14ac:dyDescent="0.6">
      <c r="A822" s="1"/>
      <c r="B822" s="5"/>
      <c r="C822" s="1"/>
      <c r="D822" s="38"/>
      <c r="E822" s="1"/>
    </row>
    <row r="823" spans="1:5" ht="21.75" customHeight="1" x14ac:dyDescent="0.6">
      <c r="A823" s="1"/>
      <c r="B823" s="5"/>
      <c r="C823" s="1"/>
      <c r="D823" s="38"/>
      <c r="E823" s="1"/>
    </row>
    <row r="824" spans="1:5" ht="21.75" customHeight="1" x14ac:dyDescent="0.6">
      <c r="A824" s="1"/>
      <c r="B824" s="5"/>
      <c r="C824" s="1"/>
      <c r="D824" s="38"/>
      <c r="E824" s="1"/>
    </row>
    <row r="825" spans="1:5" ht="21.75" customHeight="1" x14ac:dyDescent="0.6">
      <c r="A825" s="1"/>
      <c r="B825" s="5"/>
      <c r="C825" s="1"/>
      <c r="D825" s="38"/>
      <c r="E825" s="1"/>
    </row>
    <row r="826" spans="1:5" ht="21.75" customHeight="1" x14ac:dyDescent="0.6">
      <c r="A826" s="1"/>
      <c r="B826" s="5"/>
      <c r="C826" s="1"/>
      <c r="D826" s="38"/>
      <c r="E826" s="1"/>
    </row>
    <row r="827" spans="1:5" ht="21.75" customHeight="1" x14ac:dyDescent="0.6">
      <c r="A827" s="1"/>
      <c r="B827" s="5"/>
      <c r="C827" s="1"/>
      <c r="D827" s="38"/>
      <c r="E827" s="1"/>
    </row>
    <row r="828" spans="1:5" ht="21.75" customHeight="1" x14ac:dyDescent="0.6">
      <c r="A828" s="1"/>
      <c r="B828" s="5"/>
      <c r="C828" s="1"/>
      <c r="D828" s="38"/>
      <c r="E828" s="1"/>
    </row>
    <row r="829" spans="1:5" ht="21.75" customHeight="1" x14ac:dyDescent="0.6">
      <c r="A829" s="1"/>
      <c r="B829" s="5"/>
      <c r="C829" s="1"/>
      <c r="D829" s="38"/>
      <c r="E829" s="1"/>
    </row>
    <row r="830" spans="1:5" ht="21.75" customHeight="1" x14ac:dyDescent="0.6">
      <c r="A830" s="1"/>
      <c r="B830" s="5"/>
      <c r="C830" s="1"/>
      <c r="D830" s="38"/>
      <c r="E830" s="1"/>
    </row>
    <row r="831" spans="1:5" ht="21.75" customHeight="1" x14ac:dyDescent="0.6">
      <c r="A831" s="1"/>
      <c r="B831" s="5"/>
      <c r="C831" s="1"/>
      <c r="D831" s="38"/>
      <c r="E831" s="1"/>
    </row>
    <row r="832" spans="1:5" ht="21.75" customHeight="1" x14ac:dyDescent="0.6">
      <c r="A832" s="1"/>
      <c r="B832" s="5"/>
      <c r="C832" s="1"/>
      <c r="D832" s="38"/>
      <c r="E832" s="1"/>
    </row>
    <row r="833" spans="1:5" ht="21.75" customHeight="1" x14ac:dyDescent="0.6">
      <c r="A833" s="1"/>
      <c r="B833" s="5"/>
      <c r="C833" s="1"/>
      <c r="D833" s="38"/>
      <c r="E833" s="1"/>
    </row>
    <row r="834" spans="1:5" ht="21.75" customHeight="1" x14ac:dyDescent="0.6">
      <c r="A834" s="1"/>
      <c r="B834" s="5"/>
      <c r="C834" s="1"/>
      <c r="D834" s="38"/>
      <c r="E834" s="1"/>
    </row>
    <row r="835" spans="1:5" ht="21.75" customHeight="1" x14ac:dyDescent="0.6">
      <c r="A835" s="1"/>
      <c r="B835" s="5"/>
      <c r="C835" s="1"/>
      <c r="D835" s="38"/>
      <c r="E835" s="1"/>
    </row>
    <row r="836" spans="1:5" ht="21.75" customHeight="1" x14ac:dyDescent="0.6">
      <c r="A836" s="1"/>
      <c r="B836" s="5"/>
      <c r="C836" s="1"/>
      <c r="D836" s="38"/>
      <c r="E836" s="1"/>
    </row>
    <row r="837" spans="1:5" ht="21.75" customHeight="1" x14ac:dyDescent="0.6">
      <c r="A837" s="1"/>
      <c r="B837" s="5"/>
      <c r="C837" s="1"/>
      <c r="D837" s="38"/>
      <c r="E837" s="1"/>
    </row>
    <row r="838" spans="1:5" ht="21.75" customHeight="1" x14ac:dyDescent="0.6">
      <c r="A838" s="1"/>
      <c r="B838" s="5"/>
      <c r="C838" s="1"/>
      <c r="D838" s="38"/>
      <c r="E838" s="1"/>
    </row>
    <row r="839" spans="1:5" ht="21.75" customHeight="1" x14ac:dyDescent="0.6">
      <c r="A839" s="1"/>
      <c r="B839" s="5"/>
      <c r="C839" s="1"/>
      <c r="D839" s="38"/>
      <c r="E839" s="1"/>
    </row>
    <row r="840" spans="1:5" ht="21.75" customHeight="1" x14ac:dyDescent="0.6">
      <c r="A840" s="1"/>
      <c r="B840" s="5"/>
      <c r="C840" s="1"/>
      <c r="D840" s="38"/>
      <c r="E840" s="1"/>
    </row>
    <row r="841" spans="1:5" ht="21.75" customHeight="1" x14ac:dyDescent="0.6">
      <c r="A841" s="1"/>
      <c r="B841" s="5"/>
      <c r="C841" s="1"/>
      <c r="D841" s="38"/>
      <c r="E841" s="1"/>
    </row>
    <row r="842" spans="1:5" ht="21.75" customHeight="1" x14ac:dyDescent="0.6">
      <c r="A842" s="1"/>
      <c r="B842" s="5"/>
      <c r="C842" s="1"/>
      <c r="D842" s="38"/>
      <c r="E842" s="1"/>
    </row>
    <row r="843" spans="1:5" ht="21.75" customHeight="1" x14ac:dyDescent="0.6">
      <c r="A843" s="1"/>
      <c r="B843" s="5"/>
      <c r="C843" s="1"/>
      <c r="D843" s="38"/>
      <c r="E843" s="1"/>
    </row>
    <row r="844" spans="1:5" ht="21.75" customHeight="1" x14ac:dyDescent="0.6">
      <c r="A844" s="1"/>
      <c r="B844" s="5"/>
      <c r="C844" s="1"/>
      <c r="D844" s="38"/>
      <c r="E844" s="1"/>
    </row>
    <row r="845" spans="1:5" ht="21.75" customHeight="1" x14ac:dyDescent="0.6">
      <c r="A845" s="1"/>
      <c r="B845" s="5"/>
      <c r="C845" s="1"/>
      <c r="D845" s="38"/>
      <c r="E845" s="1"/>
    </row>
    <row r="846" spans="1:5" ht="21.75" customHeight="1" x14ac:dyDescent="0.6">
      <c r="A846" s="1"/>
      <c r="B846" s="5"/>
      <c r="C846" s="1"/>
      <c r="D846" s="38"/>
      <c r="E846" s="1"/>
    </row>
    <row r="847" spans="1:5" ht="21.75" customHeight="1" x14ac:dyDescent="0.6">
      <c r="A847" s="1"/>
      <c r="B847" s="5"/>
      <c r="C847" s="1"/>
      <c r="D847" s="38"/>
      <c r="E847" s="1"/>
    </row>
    <row r="848" spans="1:5" ht="21.75" customHeight="1" x14ac:dyDescent="0.6">
      <c r="A848" s="1"/>
      <c r="B848" s="5"/>
      <c r="C848" s="1"/>
      <c r="D848" s="38"/>
      <c r="E848" s="1"/>
    </row>
    <row r="849" spans="1:5" ht="21.75" customHeight="1" x14ac:dyDescent="0.6">
      <c r="A849" s="1"/>
      <c r="B849" s="5"/>
      <c r="C849" s="1"/>
      <c r="D849" s="38"/>
      <c r="E849" s="1"/>
    </row>
    <row r="850" spans="1:5" ht="21.75" customHeight="1" x14ac:dyDescent="0.6">
      <c r="A850" s="1"/>
      <c r="B850" s="5"/>
      <c r="C850" s="1"/>
      <c r="D850" s="38"/>
      <c r="E850" s="1"/>
    </row>
    <row r="851" spans="1:5" ht="21.75" customHeight="1" x14ac:dyDescent="0.6">
      <c r="A851" s="1"/>
      <c r="B851" s="5"/>
      <c r="C851" s="1"/>
      <c r="D851" s="38"/>
      <c r="E851" s="1"/>
    </row>
    <row r="852" spans="1:5" ht="21.75" customHeight="1" x14ac:dyDescent="0.6">
      <c r="A852" s="1"/>
      <c r="B852" s="5"/>
      <c r="C852" s="1"/>
      <c r="D852" s="38"/>
      <c r="E852" s="1"/>
    </row>
    <row r="853" spans="1:5" ht="21.75" customHeight="1" x14ac:dyDescent="0.6">
      <c r="A853" s="1"/>
      <c r="B853" s="5"/>
      <c r="C853" s="1"/>
      <c r="D853" s="38"/>
      <c r="E853" s="1"/>
    </row>
    <row r="854" spans="1:5" ht="21.75" customHeight="1" x14ac:dyDescent="0.6">
      <c r="A854" s="1"/>
      <c r="B854" s="5"/>
      <c r="C854" s="1"/>
      <c r="D854" s="38"/>
      <c r="E854" s="1"/>
    </row>
    <row r="855" spans="1:5" ht="21.75" customHeight="1" x14ac:dyDescent="0.6">
      <c r="A855" s="1"/>
      <c r="B855" s="5"/>
      <c r="C855" s="1"/>
      <c r="D855" s="38"/>
      <c r="E855" s="1"/>
    </row>
    <row r="856" spans="1:5" ht="21.75" customHeight="1" x14ac:dyDescent="0.6">
      <c r="A856" s="1"/>
      <c r="B856" s="5"/>
      <c r="C856" s="1"/>
      <c r="D856" s="38"/>
      <c r="E856" s="1"/>
    </row>
    <row r="857" spans="1:5" ht="21.75" customHeight="1" x14ac:dyDescent="0.6">
      <c r="A857" s="1"/>
      <c r="B857" s="5"/>
      <c r="C857" s="1"/>
      <c r="D857" s="38"/>
      <c r="E857" s="1"/>
    </row>
    <row r="858" spans="1:5" ht="21.75" customHeight="1" x14ac:dyDescent="0.6">
      <c r="A858" s="1"/>
      <c r="B858" s="5"/>
      <c r="C858" s="1"/>
      <c r="D858" s="38"/>
      <c r="E858" s="1"/>
    </row>
    <row r="859" spans="1:5" ht="21.75" customHeight="1" x14ac:dyDescent="0.6">
      <c r="A859" s="1"/>
      <c r="B859" s="5"/>
      <c r="C859" s="1"/>
      <c r="D859" s="38"/>
      <c r="E859" s="1"/>
    </row>
    <row r="860" spans="1:5" ht="21.75" customHeight="1" x14ac:dyDescent="0.6">
      <c r="A860" s="1"/>
      <c r="B860" s="5"/>
      <c r="C860" s="1"/>
      <c r="D860" s="38"/>
      <c r="E860" s="1"/>
    </row>
    <row r="861" spans="1:5" ht="21.75" customHeight="1" x14ac:dyDescent="0.6">
      <c r="A861" s="1"/>
      <c r="B861" s="5"/>
      <c r="C861" s="1"/>
      <c r="D861" s="38"/>
      <c r="E861" s="1"/>
    </row>
    <row r="862" spans="1:5" ht="21.75" customHeight="1" x14ac:dyDescent="0.6">
      <c r="A862" s="1"/>
      <c r="B862" s="5"/>
      <c r="C862" s="1"/>
      <c r="D862" s="38"/>
      <c r="E862" s="1"/>
    </row>
    <row r="863" spans="1:5" ht="21.75" customHeight="1" x14ac:dyDescent="0.6">
      <c r="A863" s="1"/>
      <c r="B863" s="5"/>
      <c r="C863" s="1"/>
      <c r="D863" s="38"/>
      <c r="E863" s="1"/>
    </row>
    <row r="864" spans="1:5" ht="21.75" customHeight="1" x14ac:dyDescent="0.6">
      <c r="A864" s="1"/>
      <c r="B864" s="5"/>
      <c r="C864" s="1"/>
      <c r="D864" s="38"/>
      <c r="E864" s="1"/>
    </row>
    <row r="865" spans="1:5" ht="21.75" customHeight="1" x14ac:dyDescent="0.6">
      <c r="A865" s="1"/>
      <c r="B865" s="5"/>
      <c r="C865" s="1"/>
      <c r="D865" s="38"/>
      <c r="E865" s="1"/>
    </row>
    <row r="866" spans="1:5" ht="21.75" customHeight="1" x14ac:dyDescent="0.6">
      <c r="A866" s="1"/>
      <c r="B866" s="5"/>
      <c r="C866" s="1"/>
      <c r="D866" s="38"/>
      <c r="E866" s="1"/>
    </row>
    <row r="867" spans="1:5" ht="21.75" customHeight="1" x14ac:dyDescent="0.6">
      <c r="A867" s="1"/>
      <c r="B867" s="5"/>
      <c r="C867" s="1"/>
      <c r="D867" s="38"/>
      <c r="E867" s="1"/>
    </row>
    <row r="868" spans="1:5" ht="21.75" customHeight="1" x14ac:dyDescent="0.6">
      <c r="A868" s="1"/>
      <c r="B868" s="5"/>
      <c r="C868" s="1"/>
      <c r="D868" s="38"/>
      <c r="E868" s="1"/>
    </row>
    <row r="869" spans="1:5" ht="21.75" customHeight="1" x14ac:dyDescent="0.6">
      <c r="A869" s="1"/>
      <c r="B869" s="5"/>
      <c r="C869" s="1"/>
      <c r="D869" s="38"/>
      <c r="E869" s="1"/>
    </row>
    <row r="870" spans="1:5" ht="21.75" customHeight="1" x14ac:dyDescent="0.6">
      <c r="A870" s="1"/>
      <c r="B870" s="5"/>
      <c r="C870" s="1"/>
      <c r="D870" s="38"/>
      <c r="E870" s="1"/>
    </row>
    <row r="871" spans="1:5" ht="21.75" customHeight="1" x14ac:dyDescent="0.6">
      <c r="A871" s="1"/>
      <c r="B871" s="5"/>
      <c r="C871" s="1"/>
      <c r="D871" s="38"/>
      <c r="E871" s="1"/>
    </row>
    <row r="872" spans="1:5" ht="21.75" customHeight="1" x14ac:dyDescent="0.6">
      <c r="A872" s="1"/>
      <c r="B872" s="5"/>
      <c r="C872" s="1"/>
      <c r="D872" s="38"/>
      <c r="E872" s="1"/>
    </row>
    <row r="873" spans="1:5" ht="21.75" customHeight="1" x14ac:dyDescent="0.6">
      <c r="A873" s="1"/>
      <c r="B873" s="5"/>
      <c r="C873" s="1"/>
      <c r="D873" s="38"/>
      <c r="E873" s="1"/>
    </row>
    <row r="874" spans="1:5" ht="21.75" customHeight="1" x14ac:dyDescent="0.6">
      <c r="A874" s="1"/>
      <c r="B874" s="5"/>
      <c r="C874" s="1"/>
      <c r="D874" s="38"/>
      <c r="E874" s="1"/>
    </row>
    <row r="875" spans="1:5" ht="21.75" customHeight="1" x14ac:dyDescent="0.6">
      <c r="A875" s="1"/>
      <c r="B875" s="5"/>
      <c r="C875" s="1"/>
      <c r="D875" s="38"/>
      <c r="E875" s="1"/>
    </row>
    <row r="876" spans="1:5" ht="21.75" customHeight="1" x14ac:dyDescent="0.6">
      <c r="A876" s="1"/>
      <c r="B876" s="5"/>
      <c r="C876" s="1"/>
      <c r="D876" s="38"/>
      <c r="E876" s="1"/>
    </row>
    <row r="877" spans="1:5" ht="21.75" customHeight="1" x14ac:dyDescent="0.6">
      <c r="A877" s="1"/>
      <c r="B877" s="5"/>
      <c r="C877" s="1"/>
      <c r="D877" s="38"/>
      <c r="E877" s="1"/>
    </row>
    <row r="878" spans="1:5" ht="21.75" customHeight="1" x14ac:dyDescent="0.6">
      <c r="A878" s="1"/>
      <c r="B878" s="5"/>
      <c r="C878" s="1"/>
      <c r="D878" s="38"/>
      <c r="E878" s="1"/>
    </row>
    <row r="879" spans="1:5" ht="21.75" customHeight="1" x14ac:dyDescent="0.6">
      <c r="A879" s="1"/>
      <c r="B879" s="5"/>
      <c r="C879" s="1"/>
      <c r="D879" s="38"/>
      <c r="E879" s="1"/>
    </row>
    <row r="880" spans="1:5" ht="21.75" customHeight="1" x14ac:dyDescent="0.6">
      <c r="A880" s="1"/>
      <c r="B880" s="5"/>
      <c r="C880" s="1"/>
      <c r="D880" s="38"/>
      <c r="E880" s="1"/>
    </row>
    <row r="881" spans="1:5" ht="21.75" customHeight="1" x14ac:dyDescent="0.6">
      <c r="A881" s="1"/>
      <c r="B881" s="5"/>
      <c r="C881" s="1"/>
      <c r="D881" s="38"/>
      <c r="E881" s="1"/>
    </row>
    <row r="882" spans="1:5" ht="21.75" customHeight="1" x14ac:dyDescent="0.6">
      <c r="A882" s="1"/>
      <c r="B882" s="5"/>
      <c r="C882" s="1"/>
      <c r="D882" s="38"/>
      <c r="E882" s="1"/>
    </row>
    <row r="883" spans="1:5" ht="21.75" customHeight="1" x14ac:dyDescent="0.6">
      <c r="A883" s="1"/>
      <c r="B883" s="5"/>
      <c r="C883" s="1"/>
      <c r="D883" s="38"/>
      <c r="E883" s="1"/>
    </row>
    <row r="884" spans="1:5" ht="21.75" customHeight="1" x14ac:dyDescent="0.6">
      <c r="A884" s="1"/>
      <c r="B884" s="5"/>
      <c r="C884" s="1"/>
      <c r="D884" s="38"/>
      <c r="E884" s="1"/>
    </row>
    <row r="885" spans="1:5" ht="21.75" customHeight="1" x14ac:dyDescent="0.6">
      <c r="A885" s="1"/>
      <c r="B885" s="5"/>
      <c r="C885" s="1"/>
      <c r="D885" s="38"/>
      <c r="E885" s="1"/>
    </row>
    <row r="886" spans="1:5" ht="21.75" customHeight="1" x14ac:dyDescent="0.6">
      <c r="A886" s="1"/>
      <c r="B886" s="5"/>
      <c r="C886" s="1"/>
      <c r="D886" s="38"/>
      <c r="E886" s="1"/>
    </row>
    <row r="887" spans="1:5" ht="21.75" customHeight="1" x14ac:dyDescent="0.6">
      <c r="A887" s="1"/>
      <c r="B887" s="5"/>
      <c r="C887" s="1"/>
      <c r="D887" s="38"/>
      <c r="E887" s="1"/>
    </row>
    <row r="888" spans="1:5" ht="21.75" customHeight="1" x14ac:dyDescent="0.6">
      <c r="A888" s="1"/>
      <c r="B888" s="5"/>
      <c r="C888" s="1"/>
      <c r="D888" s="38"/>
      <c r="E888" s="1"/>
    </row>
    <row r="889" spans="1:5" ht="21.75" customHeight="1" x14ac:dyDescent="0.6">
      <c r="A889" s="1"/>
      <c r="B889" s="5"/>
      <c r="C889" s="1"/>
      <c r="D889" s="38"/>
      <c r="E889" s="1"/>
    </row>
    <row r="890" spans="1:5" ht="21.75" customHeight="1" x14ac:dyDescent="0.6">
      <c r="A890" s="1"/>
      <c r="B890" s="5"/>
      <c r="C890" s="1"/>
      <c r="D890" s="38"/>
      <c r="E890" s="1"/>
    </row>
    <row r="891" spans="1:5" ht="21.75" customHeight="1" x14ac:dyDescent="0.6">
      <c r="A891" s="1"/>
      <c r="B891" s="5"/>
      <c r="C891" s="1"/>
      <c r="D891" s="38"/>
      <c r="E891" s="1"/>
    </row>
    <row r="892" spans="1:5" ht="21.75" customHeight="1" x14ac:dyDescent="0.6">
      <c r="A892" s="1"/>
      <c r="B892" s="5"/>
      <c r="C892" s="1"/>
      <c r="D892" s="38"/>
      <c r="E892" s="1"/>
    </row>
    <row r="893" spans="1:5" ht="21.75" customHeight="1" x14ac:dyDescent="0.6">
      <c r="A893" s="1"/>
      <c r="B893" s="5"/>
      <c r="C893" s="1"/>
      <c r="D893" s="38"/>
      <c r="E893" s="1"/>
    </row>
    <row r="894" spans="1:5" ht="21.75" customHeight="1" x14ac:dyDescent="0.6">
      <c r="A894" s="1"/>
      <c r="B894" s="5"/>
      <c r="C894" s="1"/>
      <c r="D894" s="38"/>
      <c r="E894" s="1"/>
    </row>
    <row r="895" spans="1:5" ht="21.75" customHeight="1" x14ac:dyDescent="0.6">
      <c r="A895" s="1"/>
      <c r="B895" s="5"/>
      <c r="C895" s="1"/>
      <c r="D895" s="38"/>
      <c r="E895" s="1"/>
    </row>
    <row r="896" spans="1:5" ht="21.75" customHeight="1" x14ac:dyDescent="0.6">
      <c r="A896" s="1"/>
      <c r="B896" s="5"/>
      <c r="C896" s="1"/>
      <c r="D896" s="38"/>
      <c r="E896" s="1"/>
    </row>
    <row r="897" spans="1:5" ht="21.75" customHeight="1" x14ac:dyDescent="0.6">
      <c r="A897" s="1"/>
      <c r="B897" s="5"/>
      <c r="C897" s="1"/>
      <c r="D897" s="38"/>
      <c r="E897" s="1"/>
    </row>
    <row r="898" spans="1:5" ht="21.75" customHeight="1" x14ac:dyDescent="0.6">
      <c r="A898" s="1"/>
      <c r="B898" s="5"/>
      <c r="C898" s="1"/>
      <c r="D898" s="38"/>
      <c r="E898" s="1"/>
    </row>
    <row r="899" spans="1:5" ht="21.75" customHeight="1" x14ac:dyDescent="0.6">
      <c r="A899" s="1"/>
      <c r="B899" s="5"/>
      <c r="C899" s="1"/>
      <c r="D899" s="38"/>
      <c r="E899" s="1"/>
    </row>
    <row r="900" spans="1:5" ht="21.75" customHeight="1" x14ac:dyDescent="0.6">
      <c r="A900" s="1"/>
      <c r="B900" s="5"/>
      <c r="C900" s="1"/>
      <c r="D900" s="38"/>
      <c r="E900" s="1"/>
    </row>
    <row r="901" spans="1:5" ht="21.75" customHeight="1" x14ac:dyDescent="0.6">
      <c r="A901" s="1"/>
      <c r="B901" s="5"/>
      <c r="C901" s="1"/>
      <c r="D901" s="38"/>
      <c r="E901" s="1"/>
    </row>
    <row r="902" spans="1:5" ht="21.75" customHeight="1" x14ac:dyDescent="0.6">
      <c r="A902" s="1"/>
      <c r="B902" s="5"/>
      <c r="C902" s="1"/>
      <c r="D902" s="38"/>
      <c r="E902" s="1"/>
    </row>
    <row r="903" spans="1:5" ht="21.75" customHeight="1" x14ac:dyDescent="0.6">
      <c r="A903" s="1"/>
      <c r="B903" s="5"/>
      <c r="C903" s="1"/>
      <c r="D903" s="38"/>
      <c r="E903" s="1"/>
    </row>
    <row r="904" spans="1:5" ht="21.75" customHeight="1" x14ac:dyDescent="0.6">
      <c r="A904" s="1"/>
      <c r="B904" s="5"/>
      <c r="C904" s="1"/>
      <c r="D904" s="38"/>
      <c r="E904" s="1"/>
    </row>
    <row r="905" spans="1:5" ht="21.75" customHeight="1" x14ac:dyDescent="0.6">
      <c r="A905" s="1"/>
      <c r="B905" s="5"/>
      <c r="C905" s="1"/>
      <c r="D905" s="38"/>
      <c r="E905" s="1"/>
    </row>
    <row r="906" spans="1:5" ht="21.75" customHeight="1" x14ac:dyDescent="0.6">
      <c r="A906" s="1"/>
      <c r="B906" s="5"/>
      <c r="C906" s="1"/>
      <c r="D906" s="38"/>
      <c r="E906" s="1"/>
    </row>
    <row r="907" spans="1:5" ht="21.75" customHeight="1" x14ac:dyDescent="0.6">
      <c r="A907" s="1"/>
      <c r="B907" s="5"/>
      <c r="C907" s="1"/>
      <c r="D907" s="38"/>
      <c r="E907" s="1"/>
    </row>
    <row r="908" spans="1:5" ht="21.75" customHeight="1" x14ac:dyDescent="0.6">
      <c r="A908" s="1"/>
      <c r="B908" s="5"/>
      <c r="C908" s="1"/>
      <c r="D908" s="38"/>
      <c r="E908" s="1"/>
    </row>
    <row r="909" spans="1:5" ht="21.75" customHeight="1" x14ac:dyDescent="0.6">
      <c r="A909" s="1"/>
      <c r="B909" s="5"/>
      <c r="C909" s="1"/>
      <c r="D909" s="38"/>
      <c r="E909" s="1"/>
    </row>
    <row r="910" spans="1:5" ht="21.75" customHeight="1" x14ac:dyDescent="0.6">
      <c r="A910" s="1"/>
      <c r="B910" s="5"/>
      <c r="C910" s="1"/>
      <c r="D910" s="38"/>
      <c r="E910" s="1"/>
    </row>
    <row r="911" spans="1:5" ht="21.75" customHeight="1" x14ac:dyDescent="0.6">
      <c r="A911" s="1"/>
      <c r="B911" s="5"/>
      <c r="C911" s="1"/>
      <c r="D911" s="38"/>
      <c r="E911" s="1"/>
    </row>
    <row r="912" spans="1:5" ht="21.75" customHeight="1" x14ac:dyDescent="0.6">
      <c r="A912" s="1"/>
      <c r="B912" s="5"/>
      <c r="C912" s="1"/>
      <c r="D912" s="38"/>
      <c r="E912" s="1"/>
    </row>
    <row r="913" spans="1:5" ht="21.75" customHeight="1" x14ac:dyDescent="0.6">
      <c r="A913" s="1"/>
      <c r="B913" s="5"/>
      <c r="C913" s="1"/>
      <c r="D913" s="38"/>
      <c r="E913" s="1"/>
    </row>
    <row r="914" spans="1:5" ht="21.75" customHeight="1" x14ac:dyDescent="0.6">
      <c r="A914" s="1"/>
      <c r="B914" s="5"/>
      <c r="C914" s="1"/>
      <c r="D914" s="38"/>
      <c r="E914" s="1"/>
    </row>
    <row r="915" spans="1:5" ht="21.75" customHeight="1" x14ac:dyDescent="0.6">
      <c r="A915" s="1"/>
      <c r="B915" s="5"/>
      <c r="C915" s="1"/>
      <c r="D915" s="38"/>
      <c r="E915" s="1"/>
    </row>
    <row r="916" spans="1:5" ht="21.75" customHeight="1" x14ac:dyDescent="0.6">
      <c r="A916" s="1"/>
      <c r="B916" s="5"/>
      <c r="C916" s="1"/>
      <c r="D916" s="38"/>
      <c r="E916" s="1"/>
    </row>
    <row r="917" spans="1:5" ht="21.75" customHeight="1" x14ac:dyDescent="0.6">
      <c r="A917" s="1"/>
      <c r="B917" s="5"/>
      <c r="C917" s="1"/>
      <c r="D917" s="38"/>
      <c r="E917" s="1"/>
    </row>
    <row r="918" spans="1:5" ht="21.75" customHeight="1" x14ac:dyDescent="0.6">
      <c r="A918" s="1"/>
      <c r="B918" s="5"/>
      <c r="C918" s="1"/>
      <c r="D918" s="38"/>
      <c r="E918" s="1"/>
    </row>
    <row r="919" spans="1:5" ht="21.75" customHeight="1" x14ac:dyDescent="0.6">
      <c r="A919" s="1"/>
      <c r="B919" s="5"/>
      <c r="C919" s="1"/>
      <c r="D919" s="38"/>
      <c r="E919" s="1"/>
    </row>
    <row r="920" spans="1:5" ht="21.75" customHeight="1" x14ac:dyDescent="0.6">
      <c r="A920" s="1"/>
      <c r="B920" s="5"/>
      <c r="C920" s="1"/>
      <c r="D920" s="38"/>
      <c r="E920" s="1"/>
    </row>
    <row r="921" spans="1:5" ht="21.75" customHeight="1" x14ac:dyDescent="0.6">
      <c r="A921" s="1"/>
      <c r="B921" s="5"/>
      <c r="C921" s="1"/>
      <c r="D921" s="38"/>
      <c r="E921" s="1"/>
    </row>
    <row r="922" spans="1:5" ht="21.75" customHeight="1" x14ac:dyDescent="0.6">
      <c r="A922" s="1"/>
      <c r="B922" s="5"/>
      <c r="C922" s="1"/>
      <c r="D922" s="38"/>
      <c r="E922" s="1"/>
    </row>
    <row r="923" spans="1:5" ht="21.75" customHeight="1" x14ac:dyDescent="0.6">
      <c r="A923" s="1"/>
      <c r="B923" s="5"/>
      <c r="C923" s="1"/>
      <c r="D923" s="38"/>
      <c r="E923" s="1"/>
    </row>
    <row r="924" spans="1:5" ht="21.75" customHeight="1" x14ac:dyDescent="0.6">
      <c r="A924" s="1"/>
      <c r="B924" s="5"/>
      <c r="C924" s="1"/>
      <c r="D924" s="38"/>
      <c r="E924" s="1"/>
    </row>
    <row r="925" spans="1:5" ht="21.75" customHeight="1" x14ac:dyDescent="0.6">
      <c r="A925" s="1"/>
      <c r="B925" s="5"/>
      <c r="C925" s="1"/>
      <c r="D925" s="38"/>
      <c r="E925" s="1"/>
    </row>
    <row r="926" spans="1:5" ht="21.75" customHeight="1" x14ac:dyDescent="0.6">
      <c r="A926" s="1"/>
      <c r="B926" s="5"/>
      <c r="C926" s="1"/>
      <c r="D926" s="38"/>
      <c r="E926" s="1"/>
    </row>
    <row r="927" spans="1:5" ht="21.75" customHeight="1" x14ac:dyDescent="0.6">
      <c r="A927" s="1"/>
      <c r="B927" s="5"/>
      <c r="C927" s="1"/>
      <c r="D927" s="38"/>
      <c r="E927" s="1"/>
    </row>
    <row r="928" spans="1:5" ht="21.75" customHeight="1" x14ac:dyDescent="0.6">
      <c r="A928" s="1"/>
      <c r="B928" s="5"/>
      <c r="C928" s="1"/>
      <c r="D928" s="38"/>
      <c r="E928" s="1"/>
    </row>
    <row r="929" spans="1:5" ht="21.75" customHeight="1" x14ac:dyDescent="0.6">
      <c r="A929" s="1"/>
      <c r="B929" s="5"/>
      <c r="C929" s="1"/>
      <c r="D929" s="38"/>
      <c r="E929" s="1"/>
    </row>
    <row r="930" spans="1:5" ht="21.75" customHeight="1" x14ac:dyDescent="0.6">
      <c r="A930" s="1"/>
      <c r="B930" s="5"/>
      <c r="C930" s="1"/>
      <c r="D930" s="38"/>
      <c r="E930" s="1"/>
    </row>
    <row r="931" spans="1:5" ht="21.75" customHeight="1" x14ac:dyDescent="0.6">
      <c r="A931" s="1"/>
      <c r="B931" s="5"/>
      <c r="C931" s="1"/>
      <c r="D931" s="38"/>
      <c r="E931" s="1"/>
    </row>
    <row r="932" spans="1:5" ht="21.75" customHeight="1" x14ac:dyDescent="0.6">
      <c r="A932" s="1"/>
      <c r="B932" s="5"/>
      <c r="C932" s="1"/>
      <c r="D932" s="38"/>
      <c r="E932" s="1"/>
    </row>
    <row r="933" spans="1:5" ht="21.75" customHeight="1" x14ac:dyDescent="0.6">
      <c r="A933" s="1"/>
      <c r="B933" s="5"/>
      <c r="C933" s="1"/>
      <c r="D933" s="38"/>
      <c r="E933" s="1"/>
    </row>
    <row r="934" spans="1:5" ht="21.75" customHeight="1" x14ac:dyDescent="0.6">
      <c r="A934" s="1"/>
      <c r="B934" s="5"/>
      <c r="C934" s="1"/>
      <c r="D934" s="38"/>
      <c r="E934" s="1"/>
    </row>
    <row r="935" spans="1:5" ht="21.75" customHeight="1" x14ac:dyDescent="0.6">
      <c r="A935" s="1"/>
      <c r="B935" s="5"/>
      <c r="C935" s="1"/>
      <c r="D935" s="38"/>
      <c r="E935" s="1"/>
    </row>
    <row r="936" spans="1:5" ht="21.75" customHeight="1" x14ac:dyDescent="0.6">
      <c r="A936" s="1"/>
      <c r="B936" s="5"/>
      <c r="C936" s="1"/>
      <c r="D936" s="38"/>
      <c r="E936" s="1"/>
    </row>
    <row r="937" spans="1:5" ht="21.75" customHeight="1" x14ac:dyDescent="0.6">
      <c r="A937" s="1"/>
      <c r="B937" s="5"/>
      <c r="C937" s="1"/>
      <c r="D937" s="38"/>
      <c r="E937" s="1"/>
    </row>
    <row r="938" spans="1:5" ht="21.75" customHeight="1" x14ac:dyDescent="0.6">
      <c r="A938" s="1"/>
      <c r="B938" s="5"/>
      <c r="C938" s="1"/>
      <c r="D938" s="38"/>
      <c r="E938" s="1"/>
    </row>
    <row r="939" spans="1:5" ht="21.75" customHeight="1" x14ac:dyDescent="0.6">
      <c r="A939" s="1"/>
      <c r="B939" s="5"/>
      <c r="C939" s="1"/>
      <c r="D939" s="38"/>
      <c r="E939" s="1"/>
    </row>
    <row r="940" spans="1:5" ht="21.75" customHeight="1" x14ac:dyDescent="0.6">
      <c r="A940" s="1"/>
      <c r="B940" s="5"/>
      <c r="C940" s="1"/>
      <c r="D940" s="38"/>
      <c r="E940" s="1"/>
    </row>
    <row r="941" spans="1:5" ht="21.75" customHeight="1" x14ac:dyDescent="0.6">
      <c r="A941" s="1"/>
      <c r="B941" s="5"/>
      <c r="C941" s="1"/>
      <c r="D941" s="38"/>
      <c r="E941" s="1"/>
    </row>
    <row r="942" spans="1:5" ht="21.75" customHeight="1" x14ac:dyDescent="0.6">
      <c r="A942" s="1"/>
      <c r="B942" s="5"/>
      <c r="C942" s="1"/>
      <c r="D942" s="38"/>
      <c r="E942" s="1"/>
    </row>
    <row r="943" spans="1:5" ht="21.75" customHeight="1" x14ac:dyDescent="0.6">
      <c r="A943" s="1"/>
      <c r="B943" s="5"/>
      <c r="C943" s="1"/>
      <c r="D943" s="38"/>
      <c r="E943" s="1"/>
    </row>
    <row r="944" spans="1:5" ht="21.75" customHeight="1" x14ac:dyDescent="0.6">
      <c r="A944" s="1"/>
      <c r="B944" s="5"/>
      <c r="C944" s="1"/>
      <c r="D944" s="38"/>
      <c r="E944" s="1"/>
    </row>
    <row r="945" spans="1:5" ht="21.75" customHeight="1" x14ac:dyDescent="0.6">
      <c r="A945" s="1"/>
      <c r="B945" s="5"/>
      <c r="C945" s="1"/>
      <c r="D945" s="38"/>
      <c r="E945" s="1"/>
    </row>
    <row r="946" spans="1:5" ht="21.75" customHeight="1" x14ac:dyDescent="0.6">
      <c r="A946" s="1"/>
      <c r="B946" s="5"/>
      <c r="C946" s="1"/>
      <c r="D946" s="38"/>
      <c r="E946" s="1"/>
    </row>
    <row r="947" spans="1:5" ht="21.75" customHeight="1" x14ac:dyDescent="0.6">
      <c r="A947" s="1"/>
      <c r="B947" s="5"/>
      <c r="C947" s="1"/>
      <c r="D947" s="38"/>
      <c r="E947" s="1"/>
    </row>
    <row r="948" spans="1:5" ht="21.75" customHeight="1" x14ac:dyDescent="0.6">
      <c r="A948" s="1"/>
      <c r="B948" s="5"/>
      <c r="C948" s="1"/>
      <c r="D948" s="38"/>
      <c r="E948" s="1"/>
    </row>
    <row r="949" spans="1:5" ht="21.75" customHeight="1" x14ac:dyDescent="0.6">
      <c r="A949" s="1"/>
      <c r="B949" s="5"/>
      <c r="C949" s="1"/>
      <c r="D949" s="38"/>
      <c r="E949" s="1"/>
    </row>
    <row r="950" spans="1:5" ht="21.75" customHeight="1" x14ac:dyDescent="0.6">
      <c r="A950" s="1"/>
      <c r="B950" s="5"/>
      <c r="C950" s="1"/>
      <c r="D950" s="38"/>
      <c r="E950" s="1"/>
    </row>
    <row r="951" spans="1:5" ht="21.75" customHeight="1" x14ac:dyDescent="0.6">
      <c r="A951" s="1"/>
      <c r="B951" s="5"/>
      <c r="C951" s="1"/>
      <c r="D951" s="38"/>
      <c r="E951" s="1"/>
    </row>
    <row r="952" spans="1:5" ht="21.75" customHeight="1" x14ac:dyDescent="0.6">
      <c r="A952" s="1"/>
      <c r="B952" s="5"/>
      <c r="C952" s="1"/>
      <c r="D952" s="38"/>
      <c r="E952" s="1"/>
    </row>
    <row r="953" spans="1:5" ht="21.75" customHeight="1" x14ac:dyDescent="0.6">
      <c r="A953" s="1"/>
      <c r="B953" s="5"/>
      <c r="C953" s="1"/>
      <c r="D953" s="38"/>
      <c r="E953" s="1"/>
    </row>
    <row r="954" spans="1:5" ht="21.75" customHeight="1" x14ac:dyDescent="0.6">
      <c r="A954" s="1"/>
      <c r="B954" s="5"/>
      <c r="C954" s="1"/>
      <c r="D954" s="38"/>
      <c r="E954" s="1"/>
    </row>
    <row r="955" spans="1:5" ht="21.75" customHeight="1" x14ac:dyDescent="0.6">
      <c r="A955" s="1"/>
      <c r="B955" s="5"/>
      <c r="C955" s="1"/>
      <c r="D955" s="38"/>
      <c r="E955" s="1"/>
    </row>
    <row r="956" spans="1:5" ht="21.75" customHeight="1" x14ac:dyDescent="0.6">
      <c r="A956" s="1"/>
      <c r="B956" s="5"/>
      <c r="C956" s="1"/>
      <c r="D956" s="38"/>
      <c r="E956" s="1"/>
    </row>
    <row r="957" spans="1:5" ht="21.75" customHeight="1" x14ac:dyDescent="0.6">
      <c r="A957" s="1"/>
      <c r="B957" s="5"/>
      <c r="C957" s="1"/>
      <c r="D957" s="38"/>
      <c r="E957" s="1"/>
    </row>
    <row r="958" spans="1:5" ht="21.75" customHeight="1" x14ac:dyDescent="0.6">
      <c r="A958" s="1"/>
      <c r="B958" s="5"/>
      <c r="C958" s="1"/>
      <c r="E958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AC39-609C-4B8F-B31B-E3A08EF53EB4}">
  <dimension ref="A1:O980"/>
  <sheetViews>
    <sheetView topLeftCell="A13" zoomScale="85" zoomScaleNormal="85" workbookViewId="0">
      <selection activeCell="A10" sqref="A10:D27"/>
    </sheetView>
  </sheetViews>
  <sheetFormatPr defaultColWidth="14.42578125" defaultRowHeight="15" customHeight="1" x14ac:dyDescent="0.25"/>
  <cols>
    <col min="1" max="1" width="64.42578125" customWidth="1"/>
    <col min="2" max="2" width="15.5703125" bestFit="1" customWidth="1"/>
    <col min="3" max="3" width="21.7109375" customWidth="1"/>
    <col min="4" max="4" width="25.140625" style="18" customWidth="1"/>
    <col min="5" max="5" width="17.85546875" style="18" customWidth="1"/>
    <col min="6" max="6" width="17.7109375" customWidth="1"/>
    <col min="7" max="15" width="9.140625" customWidth="1"/>
  </cols>
  <sheetData>
    <row r="1" spans="1:15" ht="15" customHeight="1" thickBot="1" x14ac:dyDescent="0.3"/>
    <row r="2" spans="1:15" ht="22.5" customHeight="1" x14ac:dyDescent="0.25">
      <c r="A2" s="89" t="s">
        <v>52</v>
      </c>
      <c r="B2" s="130"/>
      <c r="C2" s="90" t="s">
        <v>50</v>
      </c>
      <c r="D2" s="91" t="s">
        <v>47</v>
      </c>
      <c r="F2" s="6"/>
      <c r="G2" s="6"/>
      <c r="H2" s="6"/>
      <c r="I2" s="6"/>
      <c r="J2" s="6"/>
      <c r="K2" s="6"/>
      <c r="L2" s="6"/>
    </row>
    <row r="3" spans="1:15" ht="15" customHeight="1" x14ac:dyDescent="0.25">
      <c r="A3" s="45" t="s">
        <v>51</v>
      </c>
      <c r="B3" s="131"/>
      <c r="C3" s="87">
        <f>(C4+C7+C5+C6+C8)*15</f>
        <v>6651.9</v>
      </c>
      <c r="D3" s="93" t="e">
        <f>#REF!/'AREAS PRIVATIVAS'!C3</f>
        <v>#REF!</v>
      </c>
      <c r="F3" s="124" t="e">
        <f>C3/#REF!</f>
        <v>#REF!</v>
      </c>
      <c r="G3" s="6"/>
      <c r="H3" s="6"/>
      <c r="I3" s="6"/>
      <c r="J3" s="6"/>
      <c r="K3" s="6"/>
      <c r="L3" s="6"/>
    </row>
    <row r="4" spans="1:15" ht="19.5" customHeight="1" x14ac:dyDescent="0.25">
      <c r="A4" s="92" t="s">
        <v>48</v>
      </c>
      <c r="B4" s="132"/>
      <c r="C4" s="88">
        <v>106.11</v>
      </c>
      <c r="D4" s="116" t="e">
        <f>$D$3*C4</f>
        <v>#REF!</v>
      </c>
      <c r="F4" s="6"/>
      <c r="G4" s="6"/>
      <c r="H4" s="6"/>
      <c r="I4" s="6"/>
      <c r="J4" s="6"/>
      <c r="K4" s="6"/>
      <c r="L4" s="6"/>
    </row>
    <row r="5" spans="1:15" ht="15" customHeight="1" x14ac:dyDescent="0.25">
      <c r="A5" s="45" t="s">
        <v>49</v>
      </c>
      <c r="B5" s="131"/>
      <c r="C5" s="87">
        <v>96.64</v>
      </c>
      <c r="D5" s="117" t="e">
        <f t="shared" ref="D5:D8" si="0">$D$3*C5</f>
        <v>#REF!</v>
      </c>
      <c r="F5" s="6"/>
      <c r="G5" s="6"/>
      <c r="H5" s="6"/>
      <c r="I5" s="6"/>
      <c r="J5" s="6"/>
      <c r="K5" s="6"/>
      <c r="L5" s="6"/>
    </row>
    <row r="6" spans="1:15" ht="19.5" customHeight="1" x14ac:dyDescent="0.25">
      <c r="A6" s="92" t="s">
        <v>57</v>
      </c>
      <c r="B6" s="132"/>
      <c r="C6" s="88">
        <v>82.98</v>
      </c>
      <c r="D6" s="116" t="e">
        <f t="shared" si="0"/>
        <v>#REF!</v>
      </c>
      <c r="F6" s="6"/>
      <c r="G6" s="6"/>
      <c r="H6" s="6"/>
      <c r="I6" s="6"/>
      <c r="J6" s="6"/>
      <c r="K6" s="6"/>
      <c r="L6" s="6"/>
    </row>
    <row r="7" spans="1:15" ht="15" customHeight="1" x14ac:dyDescent="0.25">
      <c r="A7" s="45" t="s">
        <v>58</v>
      </c>
      <c r="B7" s="131"/>
      <c r="C7" s="87">
        <v>78.099999999999994</v>
      </c>
      <c r="D7" s="117" t="e">
        <f t="shared" si="0"/>
        <v>#REF!</v>
      </c>
      <c r="F7" s="6"/>
      <c r="G7" s="6"/>
      <c r="H7" s="6"/>
      <c r="I7" s="6"/>
      <c r="J7" s="6"/>
      <c r="K7" s="6"/>
      <c r="L7" s="6"/>
    </row>
    <row r="8" spans="1:15" ht="19.5" customHeight="1" thickBot="1" x14ac:dyDescent="0.3">
      <c r="A8" s="118" t="s">
        <v>59</v>
      </c>
      <c r="B8" s="133"/>
      <c r="C8" s="119">
        <v>79.63</v>
      </c>
      <c r="D8" s="120" t="e">
        <f t="shared" si="0"/>
        <v>#REF!</v>
      </c>
      <c r="E8" s="10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19.5" customHeight="1" thickBot="1" x14ac:dyDescent="0.3">
      <c r="A9" s="6"/>
      <c r="B9" s="6"/>
      <c r="C9" s="6"/>
      <c r="D9" s="10"/>
      <c r="E9" s="10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9.5" customHeight="1" x14ac:dyDescent="0.25">
      <c r="A10" s="89" t="s">
        <v>52</v>
      </c>
      <c r="B10" s="90" t="s">
        <v>86</v>
      </c>
      <c r="C10" s="90" t="s">
        <v>50</v>
      </c>
      <c r="D10" s="91" t="s">
        <v>47</v>
      </c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t="19.5" customHeight="1" x14ac:dyDescent="0.25">
      <c r="A11" s="92" t="s">
        <v>71</v>
      </c>
      <c r="B11" s="88">
        <v>18</v>
      </c>
      <c r="C11" s="88">
        <v>115.08</v>
      </c>
      <c r="D11" s="116">
        <f>$D$27*C11</f>
        <v>850442.09829937678</v>
      </c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ht="19.5" customHeight="1" x14ac:dyDescent="0.25">
      <c r="A12" s="45" t="s">
        <v>72</v>
      </c>
      <c r="B12" s="87">
        <v>18</v>
      </c>
      <c r="C12" s="87">
        <v>115.06</v>
      </c>
      <c r="D12" s="117">
        <f t="shared" ref="D12:D26" si="1">$D$27*C12</f>
        <v>850294.29814325937</v>
      </c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19.5" customHeight="1" x14ac:dyDescent="0.25">
      <c r="A13" s="92" t="s">
        <v>73</v>
      </c>
      <c r="B13" s="88">
        <v>1</v>
      </c>
      <c r="C13" s="88">
        <v>114.75</v>
      </c>
      <c r="D13" s="116">
        <f t="shared" si="1"/>
        <v>848003.3957234401</v>
      </c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19.5" customHeight="1" x14ac:dyDescent="0.25">
      <c r="A14" s="45" t="s">
        <v>74</v>
      </c>
      <c r="B14" s="87">
        <v>1</v>
      </c>
      <c r="C14" s="87">
        <v>115.45</v>
      </c>
      <c r="D14" s="117">
        <f t="shared" si="1"/>
        <v>853176.40118754818</v>
      </c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19.5" customHeight="1" x14ac:dyDescent="0.25">
      <c r="A15" s="92" t="s">
        <v>75</v>
      </c>
      <c r="B15" s="88">
        <v>1</v>
      </c>
      <c r="C15" s="88">
        <v>106.39</v>
      </c>
      <c r="D15" s="116">
        <f t="shared" si="1"/>
        <v>786222.93046637718</v>
      </c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19.5" customHeight="1" x14ac:dyDescent="0.25">
      <c r="A16" s="45" t="s">
        <v>76</v>
      </c>
      <c r="B16" s="87">
        <v>1</v>
      </c>
      <c r="C16" s="87">
        <v>106.49</v>
      </c>
      <c r="D16" s="117">
        <f t="shared" si="1"/>
        <v>786961.93124696403</v>
      </c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9.5" customHeight="1" x14ac:dyDescent="0.25">
      <c r="A17" s="92" t="s">
        <v>77</v>
      </c>
      <c r="B17" s="88">
        <v>1</v>
      </c>
      <c r="C17" s="88">
        <v>71.59</v>
      </c>
      <c r="D17" s="116">
        <f t="shared" si="1"/>
        <v>529050.6588221445</v>
      </c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9.5" customHeight="1" x14ac:dyDescent="0.25">
      <c r="A18" s="45" t="s">
        <v>78</v>
      </c>
      <c r="B18" s="87">
        <v>1</v>
      </c>
      <c r="C18" s="87">
        <v>71.849999999999994</v>
      </c>
      <c r="D18" s="117">
        <f t="shared" si="1"/>
        <v>530972.06085167022</v>
      </c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9.5" customHeight="1" x14ac:dyDescent="0.25">
      <c r="A19" s="92" t="s">
        <v>79</v>
      </c>
      <c r="B19" s="88">
        <v>1</v>
      </c>
      <c r="C19" s="88">
        <v>115.32</v>
      </c>
      <c r="D19" s="116">
        <f t="shared" si="1"/>
        <v>852215.7001727852</v>
      </c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9.5" customHeight="1" x14ac:dyDescent="0.25">
      <c r="A20" s="45" t="s">
        <v>80</v>
      </c>
      <c r="B20" s="87">
        <v>1</v>
      </c>
      <c r="C20" s="87">
        <v>115.47</v>
      </c>
      <c r="D20" s="117">
        <f t="shared" si="1"/>
        <v>853324.2013436656</v>
      </c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9.5" customHeight="1" x14ac:dyDescent="0.25">
      <c r="A21" s="92" t="s">
        <v>81</v>
      </c>
      <c r="B21" s="88">
        <v>1</v>
      </c>
      <c r="C21" s="88">
        <v>81.150000000000006</v>
      </c>
      <c r="D21" s="116">
        <f t="shared" si="1"/>
        <v>599699.13344624976</v>
      </c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9.5" customHeight="1" x14ac:dyDescent="0.25">
      <c r="A22" s="45" t="s">
        <v>82</v>
      </c>
      <c r="B22" s="87">
        <v>1</v>
      </c>
      <c r="C22" s="87">
        <v>80.86</v>
      </c>
      <c r="D22" s="117">
        <f t="shared" si="1"/>
        <v>597556.0311825478</v>
      </c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9.5" customHeight="1" x14ac:dyDescent="0.25">
      <c r="A23" s="92" t="s">
        <v>83</v>
      </c>
      <c r="B23" s="88">
        <v>2</v>
      </c>
      <c r="C23" s="88">
        <v>115.31</v>
      </c>
      <c r="D23" s="116">
        <f t="shared" si="1"/>
        <v>852141.80009472661</v>
      </c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9.5" customHeight="1" x14ac:dyDescent="0.25">
      <c r="A24" s="45" t="s">
        <v>83</v>
      </c>
      <c r="B24" s="87">
        <v>2</v>
      </c>
      <c r="C24" s="87">
        <v>115.31</v>
      </c>
      <c r="D24" s="117">
        <f t="shared" si="1"/>
        <v>852141.80009472661</v>
      </c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9.5" customHeight="1" x14ac:dyDescent="0.25">
      <c r="A25" s="92" t="s">
        <v>84</v>
      </c>
      <c r="B25" s="88">
        <v>2</v>
      </c>
      <c r="C25" s="88">
        <v>81.150000000000006</v>
      </c>
      <c r="D25" s="116">
        <f t="shared" si="1"/>
        <v>599699.13344624976</v>
      </c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9.5" customHeight="1" thickBot="1" x14ac:dyDescent="0.3">
      <c r="A26" s="45" t="s">
        <v>85</v>
      </c>
      <c r="B26" s="87">
        <v>2</v>
      </c>
      <c r="C26" s="87">
        <v>81.150000000000006</v>
      </c>
      <c r="D26" s="117">
        <f t="shared" si="1"/>
        <v>599699.13344624976</v>
      </c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9.5" customHeight="1" thickBot="1" x14ac:dyDescent="0.3">
      <c r="A27" s="134" t="s">
        <v>13</v>
      </c>
      <c r="B27" s="137">
        <f>SUM(B11:B26)</f>
        <v>54</v>
      </c>
      <c r="C27" s="135">
        <v>5755.28</v>
      </c>
      <c r="D27" s="136">
        <f>GER_EXECUTIVO!B20/'AREAS PRIVATIVAS'!C27</f>
        <v>7390.0078058687586</v>
      </c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t="19.5" customHeight="1" x14ac:dyDescent="0.25">
      <c r="A28" s="6"/>
      <c r="B28" s="6"/>
      <c r="C28" s="6"/>
      <c r="D28" s="10"/>
      <c r="E28" s="10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ht="19.5" customHeight="1" x14ac:dyDescent="0.25">
      <c r="A29" s="6"/>
      <c r="B29" s="6"/>
      <c r="C29" s="6"/>
      <c r="D29" s="10"/>
      <c r="E29" s="10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ht="19.5" customHeight="1" x14ac:dyDescent="0.25">
      <c r="A30" s="6"/>
      <c r="B30" s="6"/>
      <c r="C30" s="6"/>
      <c r="D30" s="10"/>
      <c r="E30" s="10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ht="19.5" customHeight="1" x14ac:dyDescent="0.25">
      <c r="A31" s="6"/>
      <c r="B31" s="6"/>
      <c r="C31" s="6"/>
      <c r="D31" s="10"/>
      <c r="E31" s="10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ht="19.5" customHeight="1" x14ac:dyDescent="0.25">
      <c r="A32" s="6"/>
      <c r="B32" s="6"/>
      <c r="C32" s="6"/>
      <c r="D32" s="10"/>
      <c r="E32" s="10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ht="19.5" customHeight="1" x14ac:dyDescent="0.25">
      <c r="A33" s="6"/>
      <c r="B33" s="6"/>
      <c r="C33" s="6"/>
      <c r="D33" s="10"/>
      <c r="E33" s="10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ht="19.5" customHeight="1" x14ac:dyDescent="0.25">
      <c r="A34" s="6"/>
      <c r="B34" s="6"/>
      <c r="C34" s="6"/>
      <c r="D34" s="10"/>
      <c r="E34" s="10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9.5" customHeight="1" x14ac:dyDescent="0.25">
      <c r="A35" s="6"/>
      <c r="B35" s="6"/>
      <c r="C35" s="6"/>
      <c r="D35" s="10"/>
      <c r="E35" s="10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19.5" customHeight="1" x14ac:dyDescent="0.25">
      <c r="A36" s="6"/>
      <c r="B36" s="6"/>
      <c r="C36" s="6"/>
      <c r="D36" s="10"/>
      <c r="E36" s="10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19.5" customHeight="1" x14ac:dyDescent="0.25">
      <c r="A37" s="6"/>
      <c r="B37" s="6"/>
      <c r="C37" s="6"/>
      <c r="D37" s="10"/>
      <c r="E37" s="10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ht="19.5" customHeight="1" x14ac:dyDescent="0.25">
      <c r="A38" s="6"/>
      <c r="B38" s="6"/>
      <c r="C38" s="6"/>
      <c r="D38" s="10"/>
      <c r="E38" s="10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ht="19.5" customHeight="1" x14ac:dyDescent="0.25">
      <c r="A39" s="6"/>
      <c r="B39" s="6"/>
      <c r="C39" s="6"/>
      <c r="D39" s="10"/>
      <c r="E39" s="10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ht="19.5" customHeight="1" x14ac:dyDescent="0.25">
      <c r="A40" s="6"/>
      <c r="B40" s="6"/>
      <c r="C40" s="6"/>
      <c r="D40" s="10"/>
      <c r="E40" s="10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ht="19.5" customHeight="1" x14ac:dyDescent="0.25">
      <c r="A41" s="6"/>
      <c r="B41" s="6"/>
      <c r="C41" s="6"/>
      <c r="D41" s="10"/>
      <c r="E41" s="10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ht="19.5" customHeight="1" x14ac:dyDescent="0.25">
      <c r="A42" s="6"/>
      <c r="B42" s="6"/>
      <c r="C42" s="6"/>
      <c r="D42" s="10"/>
      <c r="E42" s="10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ht="19.5" customHeight="1" x14ac:dyDescent="0.25">
      <c r="A43" s="6"/>
      <c r="B43" s="6"/>
      <c r="C43" s="6"/>
      <c r="D43" s="10"/>
      <c r="E43" s="10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ht="19.5" customHeight="1" x14ac:dyDescent="0.25">
      <c r="A44" s="6"/>
      <c r="B44" s="6"/>
      <c r="C44" s="6"/>
      <c r="D44" s="10"/>
      <c r="E44" s="10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ht="19.5" customHeight="1" x14ac:dyDescent="0.25">
      <c r="A45" s="6"/>
      <c r="B45" s="6"/>
      <c r="C45" s="6"/>
      <c r="D45" s="10"/>
      <c r="E45" s="10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ht="19.5" customHeight="1" x14ac:dyDescent="0.25">
      <c r="A46" s="6"/>
      <c r="B46" s="6"/>
      <c r="C46" s="6"/>
      <c r="D46" s="10"/>
      <c r="E46" s="10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ht="19.5" customHeight="1" x14ac:dyDescent="0.25">
      <c r="A47" s="6"/>
      <c r="B47" s="6"/>
      <c r="C47" s="6"/>
      <c r="D47" s="10"/>
      <c r="E47" s="10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ht="19.5" customHeight="1" x14ac:dyDescent="0.25">
      <c r="A48" s="6"/>
      <c r="B48" s="6"/>
      <c r="C48" s="6"/>
      <c r="D48" s="10"/>
      <c r="E48" s="10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ht="19.5" customHeight="1" x14ac:dyDescent="0.25">
      <c r="A49" s="6"/>
      <c r="B49" s="6"/>
      <c r="C49" s="6"/>
      <c r="D49" s="10"/>
      <c r="E49" s="10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ht="19.5" customHeight="1" x14ac:dyDescent="0.25">
      <c r="A50" s="6"/>
      <c r="B50" s="6"/>
      <c r="C50" s="6"/>
      <c r="D50" s="10"/>
      <c r="E50" s="10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ht="19.5" customHeight="1" x14ac:dyDescent="0.25">
      <c r="A51" s="6"/>
      <c r="B51" s="6"/>
      <c r="C51" s="6"/>
      <c r="D51" s="10"/>
      <c r="E51" s="10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ht="19.5" customHeight="1" x14ac:dyDescent="0.25">
      <c r="A52" s="6"/>
      <c r="B52" s="6"/>
      <c r="C52" s="6"/>
      <c r="D52" s="10"/>
      <c r="E52" s="10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ht="19.5" customHeight="1" x14ac:dyDescent="0.25">
      <c r="A53" s="6"/>
      <c r="B53" s="6"/>
      <c r="C53" s="6"/>
      <c r="D53" s="10"/>
      <c r="E53" s="10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ht="19.5" customHeight="1" x14ac:dyDescent="0.25">
      <c r="A54" s="6"/>
      <c r="B54" s="6"/>
      <c r="C54" s="6"/>
      <c r="D54" s="10"/>
      <c r="E54" s="10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ht="19.5" customHeight="1" x14ac:dyDescent="0.25">
      <c r="A55" s="6"/>
      <c r="B55" s="6"/>
      <c r="C55" s="6"/>
      <c r="D55" s="10"/>
      <c r="E55" s="10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ht="19.5" customHeight="1" x14ac:dyDescent="0.25">
      <c r="A56" s="6"/>
      <c r="B56" s="6"/>
      <c r="C56" s="6"/>
      <c r="D56" s="10"/>
      <c r="E56" s="10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ht="19.5" customHeight="1" x14ac:dyDescent="0.25">
      <c r="A57" s="6"/>
      <c r="B57" s="6"/>
      <c r="C57" s="6"/>
      <c r="D57" s="10"/>
      <c r="E57" s="10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ht="19.5" customHeight="1" x14ac:dyDescent="0.25">
      <c r="A58" s="6"/>
      <c r="B58" s="6"/>
      <c r="C58" s="6"/>
      <c r="D58" s="10"/>
      <c r="E58" s="10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ht="19.5" customHeight="1" x14ac:dyDescent="0.25">
      <c r="A59" s="6"/>
      <c r="B59" s="6"/>
      <c r="C59" s="6"/>
      <c r="D59" s="10"/>
      <c r="E59" s="10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ht="19.5" customHeight="1" x14ac:dyDescent="0.25">
      <c r="A60" s="6"/>
      <c r="B60" s="6"/>
      <c r="C60" s="6"/>
      <c r="D60" s="10"/>
      <c r="E60" s="10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ht="19.5" customHeight="1" x14ac:dyDescent="0.25">
      <c r="A61" s="6"/>
      <c r="B61" s="6"/>
      <c r="C61" s="6"/>
      <c r="D61" s="10"/>
      <c r="E61" s="10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ht="19.5" customHeight="1" x14ac:dyDescent="0.25">
      <c r="A62" s="6"/>
      <c r="B62" s="6"/>
      <c r="C62" s="6"/>
      <c r="D62" s="10"/>
      <c r="E62" s="10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ht="19.5" customHeight="1" x14ac:dyDescent="0.25">
      <c r="A63" s="6"/>
      <c r="B63" s="6"/>
      <c r="C63" s="6"/>
      <c r="D63" s="10"/>
      <c r="E63" s="10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ht="19.5" customHeight="1" x14ac:dyDescent="0.25">
      <c r="A64" s="6"/>
      <c r="B64" s="6"/>
      <c r="C64" s="6"/>
      <c r="D64" s="10"/>
      <c r="E64" s="10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ht="19.5" customHeight="1" x14ac:dyDescent="0.25">
      <c r="A65" s="6"/>
      <c r="B65" s="6"/>
      <c r="C65" s="6"/>
      <c r="D65" s="10"/>
      <c r="E65" s="10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ht="19.5" customHeight="1" x14ac:dyDescent="0.25">
      <c r="A66" s="6"/>
      <c r="B66" s="6"/>
      <c r="C66" s="6"/>
      <c r="D66" s="10"/>
      <c r="E66" s="10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ht="19.5" customHeight="1" x14ac:dyDescent="0.25">
      <c r="A67" s="6"/>
      <c r="B67" s="6"/>
      <c r="C67" s="6"/>
      <c r="D67" s="10"/>
      <c r="E67" s="10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ht="19.5" customHeight="1" x14ac:dyDescent="0.25">
      <c r="A68" s="6"/>
      <c r="B68" s="6"/>
      <c r="C68" s="6"/>
      <c r="D68" s="10"/>
      <c r="E68" s="10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ht="19.5" customHeight="1" x14ac:dyDescent="0.25">
      <c r="A69" s="6"/>
      <c r="B69" s="6"/>
      <c r="C69" s="6"/>
      <c r="D69" s="10"/>
      <c r="E69" s="10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ht="19.5" customHeight="1" x14ac:dyDescent="0.25">
      <c r="A70" s="6"/>
      <c r="B70" s="6"/>
      <c r="C70" s="6"/>
      <c r="D70" s="10"/>
      <c r="E70" s="10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ht="19.5" customHeight="1" x14ac:dyDescent="0.25">
      <c r="A71" s="6"/>
      <c r="B71" s="6"/>
      <c r="C71" s="6"/>
      <c r="D71" s="10"/>
      <c r="E71" s="10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ht="19.5" customHeight="1" x14ac:dyDescent="0.25">
      <c r="A72" s="6"/>
      <c r="B72" s="6"/>
      <c r="C72" s="6"/>
      <c r="D72" s="10"/>
      <c r="E72" s="10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ht="19.5" customHeight="1" x14ac:dyDescent="0.25">
      <c r="A73" s="6"/>
      <c r="B73" s="6"/>
      <c r="C73" s="6"/>
      <c r="D73" s="10"/>
      <c r="E73" s="10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ht="19.5" customHeight="1" x14ac:dyDescent="0.25">
      <c r="A74" s="6"/>
      <c r="B74" s="6"/>
      <c r="C74" s="6"/>
      <c r="D74" s="10"/>
      <c r="E74" s="10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ht="19.5" customHeight="1" x14ac:dyDescent="0.25">
      <c r="A75" s="6"/>
      <c r="B75" s="6"/>
      <c r="C75" s="6"/>
      <c r="D75" s="10"/>
      <c r="E75" s="10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ht="19.5" customHeight="1" x14ac:dyDescent="0.25">
      <c r="A76" s="6"/>
      <c r="B76" s="6"/>
      <c r="C76" s="6"/>
      <c r="D76" s="10"/>
      <c r="E76" s="10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ht="19.5" customHeight="1" x14ac:dyDescent="0.25">
      <c r="A77" s="6"/>
      <c r="B77" s="6"/>
      <c r="C77" s="6"/>
      <c r="D77" s="10"/>
      <c r="E77" s="10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ht="19.5" customHeight="1" x14ac:dyDescent="0.25">
      <c r="A78" s="6"/>
      <c r="B78" s="6"/>
      <c r="C78" s="6"/>
      <c r="D78" s="10"/>
      <c r="E78" s="10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ht="19.5" customHeight="1" x14ac:dyDescent="0.25">
      <c r="A79" s="6"/>
      <c r="B79" s="6"/>
      <c r="C79" s="6"/>
      <c r="D79" s="10"/>
      <c r="E79" s="10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ht="19.5" customHeight="1" x14ac:dyDescent="0.25">
      <c r="A80" s="6"/>
      <c r="B80" s="6"/>
      <c r="C80" s="6"/>
      <c r="D80" s="10"/>
      <c r="E80" s="10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ht="19.5" customHeight="1" x14ac:dyDescent="0.25">
      <c r="A81" s="6"/>
      <c r="B81" s="6"/>
      <c r="C81" s="6"/>
      <c r="D81" s="10"/>
      <c r="E81" s="10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ht="19.5" customHeight="1" x14ac:dyDescent="0.25">
      <c r="A82" s="6"/>
      <c r="B82" s="6"/>
      <c r="C82" s="6"/>
      <c r="D82" s="10"/>
      <c r="E82" s="10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ht="19.5" customHeight="1" x14ac:dyDescent="0.25">
      <c r="A83" s="6"/>
      <c r="B83" s="6"/>
      <c r="C83" s="6"/>
      <c r="D83" s="10"/>
      <c r="E83" s="10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ht="19.5" customHeight="1" x14ac:dyDescent="0.25">
      <c r="A84" s="6"/>
      <c r="B84" s="6"/>
      <c r="C84" s="6"/>
      <c r="D84" s="10"/>
      <c r="E84" s="10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ht="19.5" customHeight="1" x14ac:dyDescent="0.25">
      <c r="A85" s="6"/>
      <c r="B85" s="6"/>
      <c r="C85" s="6"/>
      <c r="D85" s="10"/>
      <c r="E85" s="10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ht="19.5" customHeight="1" x14ac:dyDescent="0.25">
      <c r="A86" s="6"/>
      <c r="B86" s="6"/>
      <c r="C86" s="6"/>
      <c r="D86" s="10"/>
      <c r="E86" s="10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ht="19.5" customHeight="1" x14ac:dyDescent="0.25">
      <c r="A87" s="6"/>
      <c r="B87" s="6"/>
      <c r="C87" s="6"/>
      <c r="D87" s="10"/>
      <c r="E87" s="10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ht="19.5" customHeight="1" x14ac:dyDescent="0.25">
      <c r="A88" s="6"/>
      <c r="B88" s="6"/>
      <c r="C88" s="6"/>
      <c r="D88" s="10"/>
      <c r="E88" s="10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ht="19.5" customHeight="1" x14ac:dyDescent="0.25">
      <c r="A89" s="6"/>
      <c r="B89" s="6"/>
      <c r="C89" s="6"/>
      <c r="D89" s="10"/>
      <c r="E89" s="10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ht="19.5" customHeight="1" x14ac:dyDescent="0.25">
      <c r="A90" s="6"/>
      <c r="B90" s="6"/>
      <c r="C90" s="6"/>
      <c r="D90" s="10"/>
      <c r="E90" s="10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ht="19.5" customHeight="1" x14ac:dyDescent="0.25">
      <c r="A91" s="6"/>
      <c r="B91" s="6"/>
      <c r="C91" s="6"/>
      <c r="D91" s="10"/>
      <c r="E91" s="10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ht="19.5" customHeight="1" x14ac:dyDescent="0.25">
      <c r="A92" s="6"/>
      <c r="B92" s="6"/>
      <c r="C92" s="6"/>
      <c r="D92" s="10"/>
      <c r="E92" s="10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ht="19.5" customHeight="1" x14ac:dyDescent="0.25">
      <c r="A93" s="6"/>
      <c r="B93" s="6"/>
      <c r="C93" s="6"/>
      <c r="D93" s="10"/>
      <c r="E93" s="10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ht="19.5" customHeight="1" x14ac:dyDescent="0.25">
      <c r="A94" s="6"/>
      <c r="B94" s="6"/>
      <c r="C94" s="6"/>
      <c r="D94" s="10"/>
      <c r="E94" s="10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ht="19.5" customHeight="1" x14ac:dyDescent="0.25">
      <c r="A95" s="6"/>
      <c r="B95" s="6"/>
      <c r="C95" s="6"/>
      <c r="D95" s="10"/>
      <c r="E95" s="10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ht="19.5" customHeight="1" x14ac:dyDescent="0.25">
      <c r="A96" s="6"/>
      <c r="B96" s="6"/>
      <c r="C96" s="6"/>
      <c r="D96" s="10"/>
      <c r="E96" s="10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ht="19.5" customHeight="1" x14ac:dyDescent="0.25">
      <c r="A97" s="6"/>
      <c r="B97" s="6"/>
      <c r="C97" s="6"/>
      <c r="D97" s="10"/>
      <c r="E97" s="10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ht="19.5" customHeight="1" x14ac:dyDescent="0.25">
      <c r="A98" s="6"/>
      <c r="B98" s="6"/>
      <c r="C98" s="6"/>
      <c r="D98" s="10"/>
      <c r="E98" s="10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ht="19.5" customHeight="1" x14ac:dyDescent="0.25">
      <c r="A99" s="6"/>
      <c r="B99" s="6"/>
      <c r="C99" s="6"/>
      <c r="D99" s="10"/>
      <c r="E99" s="10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ht="19.5" customHeight="1" x14ac:dyDescent="0.25">
      <c r="A100" s="6"/>
      <c r="B100" s="6"/>
      <c r="C100" s="6"/>
      <c r="D100" s="10"/>
      <c r="E100" s="10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ht="19.5" customHeight="1" x14ac:dyDescent="0.25">
      <c r="A101" s="6"/>
      <c r="B101" s="6"/>
      <c r="C101" s="6"/>
      <c r="D101" s="10"/>
      <c r="E101" s="10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19.5" customHeight="1" x14ac:dyDescent="0.25">
      <c r="A102" s="6"/>
      <c r="B102" s="6"/>
      <c r="C102" s="6"/>
      <c r="D102" s="10"/>
      <c r="E102" s="10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ht="19.5" customHeight="1" x14ac:dyDescent="0.25">
      <c r="A103" s="6"/>
      <c r="B103" s="6"/>
      <c r="C103" s="6"/>
      <c r="D103" s="10"/>
      <c r="E103" s="10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ht="19.5" customHeight="1" x14ac:dyDescent="0.25">
      <c r="A104" s="6"/>
      <c r="B104" s="6"/>
      <c r="C104" s="6"/>
      <c r="D104" s="10"/>
      <c r="E104" s="10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ht="19.5" customHeight="1" x14ac:dyDescent="0.25">
      <c r="A105" s="6"/>
      <c r="B105" s="6"/>
      <c r="C105" s="6"/>
      <c r="D105" s="10"/>
      <c r="E105" s="10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ht="19.5" customHeight="1" x14ac:dyDescent="0.25">
      <c r="A106" s="6"/>
      <c r="B106" s="6"/>
      <c r="C106" s="6"/>
      <c r="D106" s="10"/>
      <c r="E106" s="10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ht="19.5" customHeight="1" x14ac:dyDescent="0.25">
      <c r="A107" s="6"/>
      <c r="B107" s="6"/>
      <c r="C107" s="6"/>
      <c r="D107" s="10"/>
      <c r="E107" s="10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ht="19.5" customHeight="1" x14ac:dyDescent="0.25">
      <c r="A108" s="6"/>
      <c r="B108" s="6"/>
      <c r="C108" s="6"/>
      <c r="D108" s="10"/>
      <c r="E108" s="10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ht="19.5" customHeight="1" x14ac:dyDescent="0.25">
      <c r="A109" s="6"/>
      <c r="B109" s="6"/>
      <c r="C109" s="6"/>
      <c r="D109" s="10"/>
      <c r="E109" s="10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19.5" customHeight="1" x14ac:dyDescent="0.25">
      <c r="A110" s="6"/>
      <c r="B110" s="6"/>
      <c r="C110" s="6"/>
      <c r="D110" s="10"/>
      <c r="E110" s="10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ht="19.5" customHeight="1" x14ac:dyDescent="0.25">
      <c r="A111" s="6"/>
      <c r="B111" s="6"/>
      <c r="C111" s="6"/>
      <c r="D111" s="10"/>
      <c r="E111" s="10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ht="19.5" customHeight="1" x14ac:dyDescent="0.25">
      <c r="A112" s="6"/>
      <c r="B112" s="6"/>
      <c r="C112" s="6"/>
      <c r="D112" s="10"/>
      <c r="E112" s="10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19.5" customHeight="1" x14ac:dyDescent="0.25">
      <c r="A113" s="6"/>
      <c r="B113" s="6"/>
      <c r="C113" s="6"/>
      <c r="D113" s="10"/>
      <c r="E113" s="10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ht="19.5" customHeight="1" x14ac:dyDescent="0.25">
      <c r="A114" s="6"/>
      <c r="B114" s="6"/>
      <c r="C114" s="6"/>
      <c r="D114" s="10"/>
      <c r="E114" s="10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ht="19.5" customHeight="1" x14ac:dyDescent="0.25">
      <c r="A115" s="6"/>
      <c r="B115" s="6"/>
      <c r="C115" s="6"/>
      <c r="D115" s="10"/>
      <c r="E115" s="10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ht="19.5" customHeight="1" x14ac:dyDescent="0.25">
      <c r="A116" s="6"/>
      <c r="B116" s="6"/>
      <c r="C116" s="6"/>
      <c r="D116" s="10"/>
      <c r="E116" s="10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9.5" customHeight="1" x14ac:dyDescent="0.25">
      <c r="A117" s="6"/>
      <c r="B117" s="6"/>
      <c r="C117" s="6"/>
      <c r="D117" s="10"/>
      <c r="E117" s="10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9.5" customHeight="1" x14ac:dyDescent="0.25">
      <c r="A118" s="6"/>
      <c r="B118" s="6"/>
      <c r="C118" s="6"/>
      <c r="D118" s="10"/>
      <c r="E118" s="10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9.5" customHeight="1" x14ac:dyDescent="0.25">
      <c r="A119" s="6"/>
      <c r="B119" s="6"/>
      <c r="C119" s="6"/>
      <c r="D119" s="10"/>
      <c r="E119" s="10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19.5" customHeight="1" x14ac:dyDescent="0.25">
      <c r="A120" s="6"/>
      <c r="B120" s="6"/>
      <c r="C120" s="6"/>
      <c r="D120" s="10"/>
      <c r="E120" s="10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19.5" customHeight="1" x14ac:dyDescent="0.25">
      <c r="A121" s="6"/>
      <c r="B121" s="6"/>
      <c r="C121" s="6"/>
      <c r="D121" s="10"/>
      <c r="E121" s="10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9.5" customHeight="1" x14ac:dyDescent="0.25">
      <c r="A122" s="6"/>
      <c r="B122" s="6"/>
      <c r="C122" s="6"/>
      <c r="D122" s="10"/>
      <c r="E122" s="10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19.5" customHeight="1" x14ac:dyDescent="0.25">
      <c r="A123" s="6"/>
      <c r="B123" s="6"/>
      <c r="C123" s="6"/>
      <c r="D123" s="10"/>
      <c r="E123" s="10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9.5" customHeight="1" x14ac:dyDescent="0.25">
      <c r="A124" s="6"/>
      <c r="B124" s="6"/>
      <c r="C124" s="6"/>
      <c r="D124" s="10"/>
      <c r="E124" s="10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ht="19.5" customHeight="1" x14ac:dyDescent="0.25">
      <c r="A125" s="6"/>
      <c r="B125" s="6"/>
      <c r="C125" s="6"/>
      <c r="D125" s="10"/>
      <c r="E125" s="10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9.5" customHeight="1" x14ac:dyDescent="0.25">
      <c r="A126" s="6"/>
      <c r="B126" s="6"/>
      <c r="C126" s="6"/>
      <c r="D126" s="10"/>
      <c r="E126" s="10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9.5" customHeight="1" x14ac:dyDescent="0.25">
      <c r="A127" s="6"/>
      <c r="B127" s="6"/>
      <c r="C127" s="6"/>
      <c r="D127" s="10"/>
      <c r="E127" s="10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9.5" customHeight="1" x14ac:dyDescent="0.25">
      <c r="A128" s="6"/>
      <c r="B128" s="6"/>
      <c r="C128" s="6"/>
      <c r="D128" s="10"/>
      <c r="E128" s="10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9.5" customHeight="1" x14ac:dyDescent="0.25">
      <c r="A129" s="6"/>
      <c r="B129" s="6"/>
      <c r="C129" s="6"/>
      <c r="D129" s="10"/>
      <c r="E129" s="10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19.5" customHeight="1" x14ac:dyDescent="0.25">
      <c r="A130" s="6"/>
      <c r="B130" s="6"/>
      <c r="C130" s="6"/>
      <c r="D130" s="10"/>
      <c r="E130" s="10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19.5" customHeight="1" x14ac:dyDescent="0.25">
      <c r="A131" s="6"/>
      <c r="B131" s="6"/>
      <c r="C131" s="6"/>
      <c r="D131" s="10"/>
      <c r="E131" s="10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ht="19.5" customHeight="1" x14ac:dyDescent="0.25">
      <c r="A132" s="6"/>
      <c r="B132" s="6"/>
      <c r="C132" s="6"/>
      <c r="D132" s="10"/>
      <c r="E132" s="10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19.5" customHeight="1" x14ac:dyDescent="0.25">
      <c r="A133" s="6"/>
      <c r="B133" s="6"/>
      <c r="C133" s="6"/>
      <c r="D133" s="10"/>
      <c r="E133" s="10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ht="19.5" customHeight="1" x14ac:dyDescent="0.25">
      <c r="A134" s="6"/>
      <c r="B134" s="6"/>
      <c r="C134" s="6"/>
      <c r="D134" s="10"/>
      <c r="E134" s="10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9.5" customHeight="1" x14ac:dyDescent="0.25">
      <c r="A135" s="6"/>
      <c r="B135" s="6"/>
      <c r="C135" s="6"/>
      <c r="D135" s="10"/>
      <c r="E135" s="10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9.5" customHeight="1" x14ac:dyDescent="0.25">
      <c r="A136" s="6"/>
      <c r="B136" s="6"/>
      <c r="C136" s="6"/>
      <c r="D136" s="10"/>
      <c r="E136" s="10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9.5" customHeight="1" x14ac:dyDescent="0.25">
      <c r="A137" s="6"/>
      <c r="B137" s="6"/>
      <c r="C137" s="6"/>
      <c r="D137" s="10"/>
      <c r="E137" s="10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9.5" customHeight="1" x14ac:dyDescent="0.25">
      <c r="A138" s="6"/>
      <c r="B138" s="6"/>
      <c r="C138" s="6"/>
      <c r="D138" s="10"/>
      <c r="E138" s="10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19.5" customHeight="1" x14ac:dyDescent="0.25">
      <c r="A139" s="6"/>
      <c r="B139" s="6"/>
      <c r="C139" s="6"/>
      <c r="D139" s="10"/>
      <c r="E139" s="10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9.5" customHeight="1" x14ac:dyDescent="0.25">
      <c r="A140" s="6"/>
      <c r="B140" s="6"/>
      <c r="C140" s="6"/>
      <c r="D140" s="10"/>
      <c r="E140" s="10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19.5" customHeight="1" x14ac:dyDescent="0.25">
      <c r="A141" s="6"/>
      <c r="B141" s="6"/>
      <c r="C141" s="6"/>
      <c r="D141" s="10"/>
      <c r="E141" s="10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19.5" customHeight="1" x14ac:dyDescent="0.25">
      <c r="A142" s="6"/>
      <c r="B142" s="6"/>
      <c r="C142" s="6"/>
      <c r="D142" s="10"/>
      <c r="E142" s="10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9.5" customHeight="1" x14ac:dyDescent="0.25">
      <c r="A143" s="6"/>
      <c r="B143" s="6"/>
      <c r="C143" s="6"/>
      <c r="D143" s="10"/>
      <c r="E143" s="10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9.5" customHeight="1" x14ac:dyDescent="0.25">
      <c r="A144" s="6"/>
      <c r="B144" s="6"/>
      <c r="C144" s="6"/>
      <c r="D144" s="10"/>
      <c r="E144" s="10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9.5" customHeight="1" x14ac:dyDescent="0.25">
      <c r="A145" s="6"/>
      <c r="B145" s="6"/>
      <c r="C145" s="6"/>
      <c r="D145" s="10"/>
      <c r="E145" s="10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9.5" customHeight="1" x14ac:dyDescent="0.25">
      <c r="A146" s="6"/>
      <c r="B146" s="6"/>
      <c r="C146" s="6"/>
      <c r="D146" s="10"/>
      <c r="E146" s="10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9.5" customHeight="1" x14ac:dyDescent="0.25">
      <c r="A147" s="6"/>
      <c r="B147" s="6"/>
      <c r="C147" s="6"/>
      <c r="D147" s="10"/>
      <c r="E147" s="10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19.5" customHeight="1" x14ac:dyDescent="0.25">
      <c r="A148" s="6"/>
      <c r="B148" s="6"/>
      <c r="C148" s="6"/>
      <c r="D148" s="10"/>
      <c r="E148" s="10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19.5" customHeight="1" x14ac:dyDescent="0.25">
      <c r="A149" s="6"/>
      <c r="B149" s="6"/>
      <c r="C149" s="6"/>
      <c r="D149" s="10"/>
      <c r="E149" s="10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ht="19.5" customHeight="1" x14ac:dyDescent="0.25">
      <c r="A150" s="6"/>
      <c r="B150" s="6"/>
      <c r="C150" s="6"/>
      <c r="D150" s="10"/>
      <c r="E150" s="10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ht="19.5" customHeight="1" x14ac:dyDescent="0.25">
      <c r="A151" s="6"/>
      <c r="B151" s="6"/>
      <c r="C151" s="6"/>
      <c r="D151" s="10"/>
      <c r="E151" s="10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ht="19.5" customHeight="1" x14ac:dyDescent="0.25">
      <c r="A152" s="6"/>
      <c r="B152" s="6"/>
      <c r="C152" s="6"/>
      <c r="D152" s="10"/>
      <c r="E152" s="10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ht="19.5" customHeight="1" x14ac:dyDescent="0.25">
      <c r="A153" s="6"/>
      <c r="B153" s="6"/>
      <c r="C153" s="6"/>
      <c r="D153" s="10"/>
      <c r="E153" s="10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ht="19.5" customHeight="1" x14ac:dyDescent="0.25">
      <c r="A154" s="6"/>
      <c r="B154" s="6"/>
      <c r="C154" s="6"/>
      <c r="D154" s="10"/>
      <c r="E154" s="10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ht="19.5" customHeight="1" x14ac:dyDescent="0.25">
      <c r="A155" s="6"/>
      <c r="B155" s="6"/>
      <c r="C155" s="6"/>
      <c r="D155" s="10"/>
      <c r="E155" s="10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ht="19.5" customHeight="1" x14ac:dyDescent="0.25">
      <c r="A156" s="6"/>
      <c r="B156" s="6"/>
      <c r="C156" s="6"/>
      <c r="D156" s="10"/>
      <c r="E156" s="10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19.5" customHeight="1" x14ac:dyDescent="0.25">
      <c r="A157" s="6"/>
      <c r="B157" s="6"/>
      <c r="C157" s="6"/>
      <c r="D157" s="10"/>
      <c r="E157" s="10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ht="19.5" customHeight="1" x14ac:dyDescent="0.25">
      <c r="A158" s="6"/>
      <c r="B158" s="6"/>
      <c r="C158" s="6"/>
      <c r="D158" s="10"/>
      <c r="E158" s="10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ht="19.5" customHeight="1" x14ac:dyDescent="0.25">
      <c r="A159" s="6"/>
      <c r="B159" s="6"/>
      <c r="C159" s="6"/>
      <c r="D159" s="10"/>
      <c r="E159" s="10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ht="19.5" customHeight="1" x14ac:dyDescent="0.25">
      <c r="A160" s="6"/>
      <c r="B160" s="6"/>
      <c r="C160" s="6"/>
      <c r="D160" s="10"/>
      <c r="E160" s="10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9.5" customHeight="1" x14ac:dyDescent="0.25">
      <c r="A161" s="6"/>
      <c r="B161" s="6"/>
      <c r="C161" s="6"/>
      <c r="D161" s="10"/>
      <c r="E161" s="10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ht="19.5" customHeight="1" x14ac:dyDescent="0.25">
      <c r="A162" s="6"/>
      <c r="B162" s="6"/>
      <c r="C162" s="6"/>
      <c r="D162" s="10"/>
      <c r="E162" s="10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ht="19.5" customHeight="1" x14ac:dyDescent="0.25">
      <c r="A163" s="6"/>
      <c r="B163" s="6"/>
      <c r="C163" s="6"/>
      <c r="D163" s="10"/>
      <c r="E163" s="10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19.5" customHeight="1" x14ac:dyDescent="0.25">
      <c r="A164" s="6"/>
      <c r="B164" s="6"/>
      <c r="C164" s="6"/>
      <c r="D164" s="10"/>
      <c r="E164" s="10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19.5" customHeight="1" x14ac:dyDescent="0.25">
      <c r="A165" s="6"/>
      <c r="B165" s="6"/>
      <c r="C165" s="6"/>
      <c r="D165" s="10"/>
      <c r="E165" s="10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19.5" customHeight="1" x14ac:dyDescent="0.25">
      <c r="A166" s="6"/>
      <c r="B166" s="6"/>
      <c r="C166" s="6"/>
      <c r="D166" s="10"/>
      <c r="E166" s="10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19.5" customHeight="1" x14ac:dyDescent="0.25">
      <c r="A167" s="6"/>
      <c r="B167" s="6"/>
      <c r="C167" s="6"/>
      <c r="D167" s="10"/>
      <c r="E167" s="10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ht="19.5" customHeight="1" x14ac:dyDescent="0.25">
      <c r="A168" s="6"/>
      <c r="B168" s="6"/>
      <c r="C168" s="6"/>
      <c r="D168" s="10"/>
      <c r="E168" s="10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ht="19.5" customHeight="1" x14ac:dyDescent="0.25">
      <c r="A169" s="6"/>
      <c r="B169" s="6"/>
      <c r="C169" s="6"/>
      <c r="D169" s="10"/>
      <c r="E169" s="10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ht="19.5" customHeight="1" x14ac:dyDescent="0.25">
      <c r="A170" s="6"/>
      <c r="B170" s="6"/>
      <c r="C170" s="6"/>
      <c r="D170" s="10"/>
      <c r="E170" s="10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ht="19.5" customHeight="1" x14ac:dyDescent="0.25">
      <c r="A171" s="6"/>
      <c r="B171" s="6"/>
      <c r="C171" s="6"/>
      <c r="D171" s="10"/>
      <c r="E171" s="10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ht="19.5" customHeight="1" x14ac:dyDescent="0.25">
      <c r="A172" s="6"/>
      <c r="B172" s="6"/>
      <c r="C172" s="6"/>
      <c r="D172" s="10"/>
      <c r="E172" s="10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ht="19.5" customHeight="1" x14ac:dyDescent="0.25">
      <c r="A173" s="6"/>
      <c r="B173" s="6"/>
      <c r="C173" s="6"/>
      <c r="D173" s="10"/>
      <c r="E173" s="10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ht="19.5" customHeight="1" x14ac:dyDescent="0.25">
      <c r="A174" s="6"/>
      <c r="B174" s="6"/>
      <c r="C174" s="6"/>
      <c r="D174" s="10"/>
      <c r="E174" s="10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9.5" customHeight="1" x14ac:dyDescent="0.25">
      <c r="A175" s="6"/>
      <c r="B175" s="6"/>
      <c r="C175" s="6"/>
      <c r="D175" s="10"/>
      <c r="E175" s="10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ht="19.5" customHeight="1" x14ac:dyDescent="0.25">
      <c r="A176" s="6"/>
      <c r="B176" s="6"/>
      <c r="C176" s="6"/>
      <c r="D176" s="10"/>
      <c r="E176" s="10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9.5" customHeight="1" x14ac:dyDescent="0.25">
      <c r="A177" s="6"/>
      <c r="B177" s="6"/>
      <c r="C177" s="6"/>
      <c r="D177" s="10"/>
      <c r="E177" s="10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9.5" customHeight="1" x14ac:dyDescent="0.25">
      <c r="A178" s="6"/>
      <c r="B178" s="6"/>
      <c r="C178" s="6"/>
      <c r="D178" s="10"/>
      <c r="E178" s="10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ht="19.5" customHeight="1" x14ac:dyDescent="0.25">
      <c r="A179" s="6"/>
      <c r="B179" s="6"/>
      <c r="C179" s="6"/>
      <c r="D179" s="10"/>
      <c r="E179" s="10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9.5" customHeight="1" x14ac:dyDescent="0.25">
      <c r="A180" s="6"/>
      <c r="B180" s="6"/>
      <c r="C180" s="6"/>
      <c r="D180" s="10"/>
      <c r="E180" s="10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19.5" customHeight="1" x14ac:dyDescent="0.25">
      <c r="A181" s="6"/>
      <c r="B181" s="6"/>
      <c r="C181" s="6"/>
      <c r="D181" s="10"/>
      <c r="E181" s="10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ht="19.5" customHeight="1" x14ac:dyDescent="0.25">
      <c r="A182" s="6"/>
      <c r="B182" s="6"/>
      <c r="C182" s="6"/>
      <c r="D182" s="10"/>
      <c r="E182" s="10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9.5" customHeight="1" x14ac:dyDescent="0.25">
      <c r="A183" s="6"/>
      <c r="B183" s="6"/>
      <c r="C183" s="6"/>
      <c r="D183" s="10"/>
      <c r="E183" s="10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9.5" customHeight="1" x14ac:dyDescent="0.25">
      <c r="A184" s="6"/>
      <c r="B184" s="6"/>
      <c r="C184" s="6"/>
      <c r="D184" s="10"/>
      <c r="E184" s="10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9.5" customHeight="1" x14ac:dyDescent="0.25">
      <c r="A185" s="6"/>
      <c r="B185" s="6"/>
      <c r="C185" s="6"/>
      <c r="D185" s="10"/>
      <c r="E185" s="10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ht="19.5" customHeight="1" x14ac:dyDescent="0.25">
      <c r="A186" s="6"/>
      <c r="B186" s="6"/>
      <c r="C186" s="6"/>
      <c r="D186" s="10"/>
      <c r="E186" s="10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9.5" customHeight="1" x14ac:dyDescent="0.25">
      <c r="A187" s="6"/>
      <c r="B187" s="6"/>
      <c r="C187" s="6"/>
      <c r="D187" s="10"/>
      <c r="E187" s="10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ht="19.5" customHeight="1" x14ac:dyDescent="0.25">
      <c r="A188" s="6"/>
      <c r="B188" s="6"/>
      <c r="C188" s="6"/>
      <c r="D188" s="10"/>
      <c r="E188" s="10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9.5" customHeight="1" x14ac:dyDescent="0.25">
      <c r="A189" s="6"/>
      <c r="B189" s="6"/>
      <c r="C189" s="6"/>
      <c r="D189" s="10"/>
      <c r="E189" s="10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ht="19.5" customHeight="1" x14ac:dyDescent="0.25">
      <c r="A190" s="6"/>
      <c r="B190" s="6"/>
      <c r="C190" s="6"/>
      <c r="D190" s="10"/>
      <c r="E190" s="10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ht="19.5" customHeight="1" x14ac:dyDescent="0.25">
      <c r="A191" s="6"/>
      <c r="B191" s="6"/>
      <c r="C191" s="6"/>
      <c r="D191" s="10"/>
      <c r="E191" s="10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ht="19.5" customHeight="1" x14ac:dyDescent="0.25">
      <c r="A192" s="6"/>
      <c r="B192" s="6"/>
      <c r="C192" s="6"/>
      <c r="D192" s="10"/>
      <c r="E192" s="10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ht="19.5" customHeight="1" x14ac:dyDescent="0.25">
      <c r="A193" s="6"/>
      <c r="B193" s="6"/>
      <c r="C193" s="6"/>
      <c r="D193" s="10"/>
      <c r="E193" s="10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ht="19.5" customHeight="1" x14ac:dyDescent="0.25">
      <c r="A194" s="6"/>
      <c r="B194" s="6"/>
      <c r="C194" s="6"/>
      <c r="D194" s="10"/>
      <c r="E194" s="10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ht="19.5" customHeight="1" x14ac:dyDescent="0.25">
      <c r="A195" s="6"/>
      <c r="B195" s="6"/>
      <c r="C195" s="6"/>
      <c r="D195" s="10"/>
      <c r="E195" s="10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ht="19.5" customHeight="1" x14ac:dyDescent="0.25">
      <c r="A196" s="6"/>
      <c r="B196" s="6"/>
      <c r="C196" s="6"/>
      <c r="D196" s="10"/>
      <c r="E196" s="10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ht="19.5" customHeight="1" x14ac:dyDescent="0.25">
      <c r="A197" s="6"/>
      <c r="B197" s="6"/>
      <c r="C197" s="6"/>
      <c r="D197" s="10"/>
      <c r="E197" s="10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ht="19.5" customHeight="1" x14ac:dyDescent="0.25">
      <c r="A198" s="6"/>
      <c r="B198" s="6"/>
      <c r="C198" s="6"/>
      <c r="D198" s="10"/>
      <c r="E198" s="10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ht="19.5" customHeight="1" x14ac:dyDescent="0.25">
      <c r="A199" s="6"/>
      <c r="B199" s="6"/>
      <c r="C199" s="6"/>
      <c r="D199" s="10"/>
      <c r="E199" s="10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ht="19.5" customHeight="1" x14ac:dyDescent="0.25">
      <c r="A200" s="6"/>
      <c r="B200" s="6"/>
      <c r="C200" s="6"/>
      <c r="D200" s="10"/>
      <c r="E200" s="10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ht="19.5" customHeight="1" x14ac:dyDescent="0.25">
      <c r="A201" s="6"/>
      <c r="B201" s="6"/>
      <c r="C201" s="6"/>
      <c r="D201" s="10"/>
      <c r="E201" s="10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ht="19.5" customHeight="1" x14ac:dyDescent="0.25">
      <c r="A202" s="6"/>
      <c r="B202" s="6"/>
      <c r="C202" s="6"/>
      <c r="D202" s="10"/>
      <c r="E202" s="10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19.5" customHeight="1" x14ac:dyDescent="0.25">
      <c r="A203" s="6"/>
      <c r="B203" s="6"/>
      <c r="C203" s="6"/>
      <c r="D203" s="10"/>
      <c r="E203" s="10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ht="19.5" customHeight="1" x14ac:dyDescent="0.25">
      <c r="A204" s="6"/>
      <c r="B204" s="6"/>
      <c r="C204" s="6"/>
      <c r="D204" s="10"/>
      <c r="E204" s="10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19.5" customHeight="1" x14ac:dyDescent="0.25">
      <c r="A205" s="6"/>
      <c r="B205" s="6"/>
      <c r="C205" s="6"/>
      <c r="D205" s="10"/>
      <c r="E205" s="10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ht="19.5" customHeight="1" x14ac:dyDescent="0.25">
      <c r="A206" s="6"/>
      <c r="B206" s="6"/>
      <c r="C206" s="6"/>
      <c r="D206" s="10"/>
      <c r="E206" s="10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ht="19.5" customHeight="1" x14ac:dyDescent="0.25">
      <c r="A207" s="6"/>
      <c r="B207" s="6"/>
      <c r="C207" s="6"/>
      <c r="D207" s="10"/>
      <c r="E207" s="10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ht="19.5" customHeight="1" x14ac:dyDescent="0.25">
      <c r="A208" s="6"/>
      <c r="B208" s="6"/>
      <c r="C208" s="6"/>
      <c r="D208" s="10"/>
      <c r="E208" s="10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ht="19.5" customHeight="1" x14ac:dyDescent="0.25">
      <c r="A209" s="6"/>
      <c r="B209" s="6"/>
      <c r="C209" s="6"/>
      <c r="D209" s="10"/>
      <c r="E209" s="10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ht="19.5" customHeight="1" x14ac:dyDescent="0.25">
      <c r="A210" s="6"/>
      <c r="B210" s="6"/>
      <c r="C210" s="6"/>
      <c r="D210" s="10"/>
      <c r="E210" s="10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ht="19.5" customHeight="1" x14ac:dyDescent="0.25">
      <c r="A211" s="6"/>
      <c r="B211" s="6"/>
      <c r="C211" s="6"/>
      <c r="D211" s="10"/>
      <c r="E211" s="10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ht="19.5" customHeight="1" x14ac:dyDescent="0.25">
      <c r="A212" s="6"/>
      <c r="B212" s="6"/>
      <c r="C212" s="6"/>
      <c r="D212" s="10"/>
      <c r="E212" s="10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ht="19.5" customHeight="1" x14ac:dyDescent="0.25">
      <c r="A213" s="6"/>
      <c r="B213" s="6"/>
      <c r="C213" s="6"/>
      <c r="D213" s="10"/>
      <c r="E213" s="10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ht="19.5" customHeight="1" x14ac:dyDescent="0.25">
      <c r="A214" s="6"/>
      <c r="B214" s="6"/>
      <c r="C214" s="6"/>
      <c r="D214" s="10"/>
      <c r="E214" s="10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ht="19.5" customHeight="1" x14ac:dyDescent="0.25">
      <c r="A215" s="6"/>
      <c r="B215" s="6"/>
      <c r="C215" s="6"/>
      <c r="D215" s="10"/>
      <c r="E215" s="10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ht="19.5" customHeight="1" x14ac:dyDescent="0.25">
      <c r="A216" s="6"/>
      <c r="B216" s="6"/>
      <c r="C216" s="6"/>
      <c r="D216" s="10"/>
      <c r="E216" s="10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ht="19.5" customHeight="1" x14ac:dyDescent="0.25">
      <c r="A217" s="6"/>
      <c r="B217" s="6"/>
      <c r="C217" s="6"/>
      <c r="D217" s="10"/>
      <c r="E217" s="10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ht="19.5" customHeight="1" x14ac:dyDescent="0.25">
      <c r="A218" s="6"/>
      <c r="B218" s="6"/>
      <c r="C218" s="6"/>
      <c r="D218" s="10"/>
      <c r="E218" s="10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ht="19.5" customHeight="1" x14ac:dyDescent="0.25">
      <c r="A219" s="6"/>
      <c r="B219" s="6"/>
      <c r="C219" s="6"/>
      <c r="D219" s="10"/>
      <c r="E219" s="10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ht="19.5" customHeight="1" x14ac:dyDescent="0.25">
      <c r="A220" s="6"/>
      <c r="B220" s="6"/>
      <c r="C220" s="6"/>
      <c r="D220" s="10"/>
      <c r="E220" s="10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ht="19.5" customHeight="1" x14ac:dyDescent="0.25">
      <c r="A221" s="6"/>
      <c r="B221" s="6"/>
      <c r="C221" s="6"/>
      <c r="D221" s="10"/>
      <c r="E221" s="10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ht="19.5" customHeight="1" x14ac:dyDescent="0.25">
      <c r="A222" s="6"/>
      <c r="B222" s="6"/>
      <c r="C222" s="6"/>
      <c r="D222" s="10"/>
      <c r="E222" s="10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ht="19.5" customHeight="1" x14ac:dyDescent="0.25">
      <c r="A223" s="6"/>
      <c r="B223" s="6"/>
      <c r="C223" s="6"/>
      <c r="D223" s="10"/>
      <c r="E223" s="10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ht="19.5" customHeight="1" x14ac:dyDescent="0.25">
      <c r="A224" s="6"/>
      <c r="B224" s="6"/>
      <c r="C224" s="6"/>
      <c r="D224" s="10"/>
      <c r="E224" s="10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ht="19.5" customHeight="1" x14ac:dyDescent="0.25">
      <c r="A225" s="6"/>
      <c r="B225" s="6"/>
      <c r="C225" s="6"/>
      <c r="D225" s="10"/>
      <c r="E225" s="10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ht="19.5" customHeight="1" x14ac:dyDescent="0.25">
      <c r="A226" s="6"/>
      <c r="B226" s="6"/>
      <c r="C226" s="6"/>
      <c r="D226" s="10"/>
      <c r="E226" s="10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ht="19.5" customHeight="1" x14ac:dyDescent="0.25">
      <c r="A227" s="6"/>
      <c r="B227" s="6"/>
      <c r="C227" s="6"/>
      <c r="D227" s="10"/>
      <c r="E227" s="10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ht="19.5" customHeight="1" x14ac:dyDescent="0.25">
      <c r="A228" s="6"/>
      <c r="B228" s="6"/>
      <c r="C228" s="6"/>
      <c r="D228" s="10"/>
      <c r="E228" s="10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ht="19.5" customHeight="1" x14ac:dyDescent="0.25">
      <c r="A229" s="6"/>
      <c r="B229" s="6"/>
      <c r="C229" s="6"/>
      <c r="D229" s="10"/>
      <c r="E229" s="10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ht="19.5" customHeight="1" x14ac:dyDescent="0.25">
      <c r="A230" s="6"/>
      <c r="B230" s="6"/>
      <c r="C230" s="6"/>
      <c r="D230" s="10"/>
      <c r="E230" s="10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ht="19.5" customHeight="1" x14ac:dyDescent="0.25">
      <c r="A231" s="6"/>
      <c r="B231" s="6"/>
      <c r="C231" s="6"/>
      <c r="D231" s="10"/>
      <c r="E231" s="10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ht="19.5" customHeight="1" x14ac:dyDescent="0.25">
      <c r="A232" s="6"/>
      <c r="B232" s="6"/>
      <c r="C232" s="6"/>
      <c r="D232" s="10"/>
      <c r="E232" s="10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19.5" customHeight="1" x14ac:dyDescent="0.25">
      <c r="A233" s="6"/>
      <c r="B233" s="6"/>
      <c r="C233" s="6"/>
      <c r="D233" s="10"/>
      <c r="E233" s="10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ht="19.5" customHeight="1" x14ac:dyDescent="0.25">
      <c r="A234" s="6"/>
      <c r="B234" s="6"/>
      <c r="C234" s="6"/>
      <c r="D234" s="10"/>
      <c r="E234" s="10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ht="19.5" customHeight="1" x14ac:dyDescent="0.25">
      <c r="A235" s="6"/>
      <c r="B235" s="6"/>
      <c r="C235" s="6"/>
      <c r="D235" s="10"/>
      <c r="E235" s="10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ht="19.5" customHeight="1" x14ac:dyDescent="0.25">
      <c r="A236" s="6"/>
      <c r="B236" s="6"/>
      <c r="C236" s="6"/>
      <c r="D236" s="10"/>
      <c r="E236" s="10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ht="19.5" customHeight="1" x14ac:dyDescent="0.25">
      <c r="A237" s="6"/>
      <c r="B237" s="6"/>
      <c r="C237" s="6"/>
      <c r="D237" s="10"/>
      <c r="E237" s="10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ht="19.5" customHeight="1" x14ac:dyDescent="0.25">
      <c r="A238" s="6"/>
      <c r="B238" s="6"/>
      <c r="C238" s="6"/>
      <c r="D238" s="10"/>
      <c r="E238" s="10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ht="19.5" customHeight="1" x14ac:dyDescent="0.25">
      <c r="A239" s="6"/>
      <c r="B239" s="6"/>
      <c r="C239" s="6"/>
      <c r="D239" s="10"/>
      <c r="E239" s="10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ht="19.5" customHeight="1" x14ac:dyDescent="0.25">
      <c r="A240" s="6"/>
      <c r="B240" s="6"/>
      <c r="C240" s="6"/>
      <c r="D240" s="10"/>
      <c r="E240" s="10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ht="19.5" customHeight="1" x14ac:dyDescent="0.25">
      <c r="A241" s="6"/>
      <c r="B241" s="6"/>
      <c r="C241" s="6"/>
      <c r="D241" s="10"/>
      <c r="E241" s="10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ht="19.5" customHeight="1" x14ac:dyDescent="0.25">
      <c r="A242" s="6"/>
      <c r="B242" s="6"/>
      <c r="C242" s="6"/>
      <c r="D242" s="10"/>
      <c r="E242" s="10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ht="19.5" customHeight="1" x14ac:dyDescent="0.25">
      <c r="A243" s="6"/>
      <c r="B243" s="6"/>
      <c r="C243" s="6"/>
      <c r="D243" s="10"/>
      <c r="E243" s="10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ht="19.5" customHeight="1" x14ac:dyDescent="0.25">
      <c r="A244" s="6"/>
      <c r="B244" s="6"/>
      <c r="C244" s="6"/>
      <c r="D244" s="10"/>
      <c r="E244" s="10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ht="19.5" customHeight="1" x14ac:dyDescent="0.25">
      <c r="A245" s="6"/>
      <c r="B245" s="6"/>
      <c r="C245" s="6"/>
      <c r="D245" s="10"/>
      <c r="E245" s="10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ht="19.5" customHeight="1" x14ac:dyDescent="0.25">
      <c r="A246" s="6"/>
      <c r="B246" s="6"/>
      <c r="C246" s="6"/>
      <c r="D246" s="10"/>
      <c r="E246" s="10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ht="19.5" customHeight="1" x14ac:dyDescent="0.25">
      <c r="A247" s="6"/>
      <c r="B247" s="6"/>
      <c r="C247" s="6"/>
      <c r="D247" s="10"/>
      <c r="E247" s="10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ht="19.5" customHeight="1" x14ac:dyDescent="0.25">
      <c r="A248" s="6"/>
      <c r="B248" s="6"/>
      <c r="C248" s="6"/>
      <c r="D248" s="10"/>
      <c r="E248" s="10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ht="19.5" customHeight="1" x14ac:dyDescent="0.25">
      <c r="A249" s="6"/>
      <c r="B249" s="6"/>
      <c r="C249" s="6"/>
      <c r="D249" s="10"/>
      <c r="E249" s="10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ht="19.5" customHeight="1" x14ac:dyDescent="0.25">
      <c r="A250" s="6"/>
      <c r="B250" s="6"/>
      <c r="C250" s="6"/>
      <c r="D250" s="10"/>
      <c r="E250" s="10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ht="19.5" customHeight="1" x14ac:dyDescent="0.25">
      <c r="A251" s="6"/>
      <c r="B251" s="6"/>
      <c r="C251" s="6"/>
      <c r="D251" s="10"/>
      <c r="E251" s="10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ht="19.5" customHeight="1" x14ac:dyDescent="0.25">
      <c r="A252" s="6"/>
      <c r="B252" s="6"/>
      <c r="C252" s="6"/>
      <c r="D252" s="10"/>
      <c r="E252" s="10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ht="19.5" customHeight="1" x14ac:dyDescent="0.25">
      <c r="A253" s="6"/>
      <c r="B253" s="6"/>
      <c r="C253" s="6"/>
      <c r="D253" s="10"/>
      <c r="E253" s="10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ht="19.5" customHeight="1" x14ac:dyDescent="0.25">
      <c r="A254" s="6"/>
      <c r="B254" s="6"/>
      <c r="C254" s="6"/>
      <c r="D254" s="10"/>
      <c r="E254" s="10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ht="19.5" customHeight="1" x14ac:dyDescent="0.25">
      <c r="A255" s="6"/>
      <c r="B255" s="6"/>
      <c r="C255" s="6"/>
      <c r="D255" s="10"/>
      <c r="E255" s="10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ht="19.5" customHeight="1" x14ac:dyDescent="0.25">
      <c r="A256" s="6"/>
      <c r="B256" s="6"/>
      <c r="C256" s="6"/>
      <c r="D256" s="10"/>
      <c r="E256" s="10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19.5" customHeight="1" x14ac:dyDescent="0.25">
      <c r="A257" s="6"/>
      <c r="B257" s="6"/>
      <c r="C257" s="6"/>
      <c r="D257" s="10"/>
      <c r="E257" s="10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ht="19.5" customHeight="1" x14ac:dyDescent="0.25">
      <c r="A258" s="6"/>
      <c r="B258" s="6"/>
      <c r="C258" s="6"/>
      <c r="D258" s="10"/>
      <c r="E258" s="10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ht="19.5" customHeight="1" x14ac:dyDescent="0.25">
      <c r="A259" s="6"/>
      <c r="B259" s="6"/>
      <c r="C259" s="6"/>
      <c r="D259" s="10"/>
      <c r="E259" s="10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ht="19.5" customHeight="1" x14ac:dyDescent="0.25">
      <c r="A260" s="6"/>
      <c r="B260" s="6"/>
      <c r="C260" s="6"/>
      <c r="D260" s="10"/>
      <c r="E260" s="10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ht="19.5" customHeight="1" x14ac:dyDescent="0.25">
      <c r="A261" s="6"/>
      <c r="B261" s="6"/>
      <c r="C261" s="6"/>
      <c r="D261" s="10"/>
      <c r="E261" s="10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ht="19.5" customHeight="1" x14ac:dyDescent="0.25">
      <c r="A262" s="6"/>
      <c r="B262" s="6"/>
      <c r="C262" s="6"/>
      <c r="D262" s="10"/>
      <c r="E262" s="10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ht="19.5" customHeight="1" x14ac:dyDescent="0.25">
      <c r="A263" s="6"/>
      <c r="B263" s="6"/>
      <c r="C263" s="6"/>
      <c r="D263" s="10"/>
      <c r="E263" s="10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ht="19.5" customHeight="1" x14ac:dyDescent="0.25">
      <c r="A264" s="6"/>
      <c r="B264" s="6"/>
      <c r="C264" s="6"/>
      <c r="D264" s="10"/>
      <c r="E264" s="10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ht="19.5" customHeight="1" x14ac:dyDescent="0.25">
      <c r="A265" s="6"/>
      <c r="B265" s="6"/>
      <c r="C265" s="6"/>
      <c r="D265" s="10"/>
      <c r="E265" s="10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ht="19.5" customHeight="1" x14ac:dyDescent="0.25">
      <c r="A266" s="6"/>
      <c r="B266" s="6"/>
      <c r="C266" s="6"/>
      <c r="D266" s="10"/>
      <c r="E266" s="10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ht="19.5" customHeight="1" x14ac:dyDescent="0.25">
      <c r="A267" s="6"/>
      <c r="B267" s="6"/>
      <c r="C267" s="6"/>
      <c r="D267" s="10"/>
      <c r="E267" s="10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ht="19.5" customHeight="1" x14ac:dyDescent="0.25">
      <c r="A268" s="6"/>
      <c r="B268" s="6"/>
      <c r="C268" s="6"/>
      <c r="D268" s="10"/>
      <c r="E268" s="10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ht="19.5" customHeight="1" x14ac:dyDescent="0.25">
      <c r="A269" s="6"/>
      <c r="B269" s="6"/>
      <c r="C269" s="6"/>
      <c r="D269" s="10"/>
      <c r="E269" s="10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ht="19.5" customHeight="1" x14ac:dyDescent="0.25">
      <c r="A270" s="6"/>
      <c r="B270" s="6"/>
      <c r="C270" s="6"/>
      <c r="D270" s="10"/>
      <c r="E270" s="10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ht="19.5" customHeight="1" x14ac:dyDescent="0.25">
      <c r="A271" s="6"/>
      <c r="B271" s="6"/>
      <c r="C271" s="6"/>
      <c r="D271" s="10"/>
      <c r="E271" s="10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ht="19.5" customHeight="1" x14ac:dyDescent="0.25">
      <c r="A272" s="6"/>
      <c r="B272" s="6"/>
      <c r="C272" s="6"/>
      <c r="D272" s="10"/>
      <c r="E272" s="10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ht="19.5" customHeight="1" x14ac:dyDescent="0.25">
      <c r="A273" s="6"/>
      <c r="B273" s="6"/>
      <c r="C273" s="6"/>
      <c r="D273" s="10"/>
      <c r="E273" s="10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ht="19.5" customHeight="1" x14ac:dyDescent="0.25">
      <c r="A274" s="6"/>
      <c r="B274" s="6"/>
      <c r="C274" s="6"/>
      <c r="D274" s="10"/>
      <c r="E274" s="10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ht="19.5" customHeight="1" x14ac:dyDescent="0.25">
      <c r="A275" s="6"/>
      <c r="B275" s="6"/>
      <c r="C275" s="6"/>
      <c r="D275" s="10"/>
      <c r="E275" s="10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ht="19.5" customHeight="1" x14ac:dyDescent="0.25">
      <c r="A276" s="6"/>
      <c r="B276" s="6"/>
      <c r="C276" s="6"/>
      <c r="D276" s="10"/>
      <c r="E276" s="10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ht="19.5" customHeight="1" x14ac:dyDescent="0.25">
      <c r="A277" s="6"/>
      <c r="B277" s="6"/>
      <c r="C277" s="6"/>
      <c r="D277" s="10"/>
      <c r="E277" s="10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ht="19.5" customHeight="1" x14ac:dyDescent="0.25">
      <c r="A278" s="6"/>
      <c r="B278" s="6"/>
      <c r="C278" s="6"/>
      <c r="D278" s="10"/>
      <c r="E278" s="10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ht="19.5" customHeight="1" x14ac:dyDescent="0.25">
      <c r="A279" s="6"/>
      <c r="B279" s="6"/>
      <c r="C279" s="6"/>
      <c r="D279" s="10"/>
      <c r="E279" s="10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ht="19.5" customHeight="1" x14ac:dyDescent="0.25">
      <c r="A280" s="6"/>
      <c r="B280" s="6"/>
      <c r="C280" s="6"/>
      <c r="D280" s="10"/>
      <c r="E280" s="10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ht="19.5" customHeight="1" x14ac:dyDescent="0.25">
      <c r="A281" s="6"/>
      <c r="B281" s="6"/>
      <c r="C281" s="6"/>
      <c r="D281" s="10"/>
      <c r="E281" s="10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ht="19.5" customHeight="1" x14ac:dyDescent="0.25">
      <c r="A282" s="6"/>
      <c r="B282" s="6"/>
      <c r="C282" s="6"/>
      <c r="D282" s="10"/>
      <c r="E282" s="10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ht="19.5" customHeight="1" x14ac:dyDescent="0.25">
      <c r="A283" s="6"/>
      <c r="B283" s="6"/>
      <c r="C283" s="6"/>
      <c r="D283" s="10"/>
      <c r="E283" s="10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ht="19.5" customHeight="1" x14ac:dyDescent="0.25">
      <c r="A284" s="6"/>
      <c r="B284" s="6"/>
      <c r="C284" s="6"/>
      <c r="D284" s="10"/>
      <c r="E284" s="10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ht="19.5" customHeight="1" x14ac:dyDescent="0.25">
      <c r="A285" s="6"/>
      <c r="B285" s="6"/>
      <c r="C285" s="6"/>
      <c r="D285" s="10"/>
      <c r="E285" s="10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ht="19.5" customHeight="1" x14ac:dyDescent="0.25">
      <c r="A286" s="6"/>
      <c r="B286" s="6"/>
      <c r="C286" s="6"/>
      <c r="D286" s="10"/>
      <c r="E286" s="10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ht="19.5" customHeight="1" x14ac:dyDescent="0.25">
      <c r="A287" s="6"/>
      <c r="B287" s="6"/>
      <c r="C287" s="6"/>
      <c r="D287" s="10"/>
      <c r="E287" s="10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ht="19.5" customHeight="1" x14ac:dyDescent="0.25">
      <c r="A288" s="6"/>
      <c r="B288" s="6"/>
      <c r="C288" s="6"/>
      <c r="D288" s="10"/>
      <c r="E288" s="10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ht="19.5" customHeight="1" x14ac:dyDescent="0.25">
      <c r="A289" s="6"/>
      <c r="B289" s="6"/>
      <c r="C289" s="6"/>
      <c r="D289" s="10"/>
      <c r="E289" s="10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ht="19.5" customHeight="1" x14ac:dyDescent="0.25">
      <c r="A290" s="6"/>
      <c r="B290" s="6"/>
      <c r="C290" s="6"/>
      <c r="D290" s="10"/>
      <c r="E290" s="10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ht="19.5" customHeight="1" x14ac:dyDescent="0.25">
      <c r="A291" s="6"/>
      <c r="B291" s="6"/>
      <c r="C291" s="6"/>
      <c r="D291" s="10"/>
      <c r="E291" s="10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ht="19.5" customHeight="1" x14ac:dyDescent="0.25">
      <c r="A292" s="6"/>
      <c r="B292" s="6"/>
      <c r="C292" s="6"/>
      <c r="D292" s="10"/>
      <c r="E292" s="10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ht="19.5" customHeight="1" x14ac:dyDescent="0.25">
      <c r="A293" s="6"/>
      <c r="B293" s="6"/>
      <c r="C293" s="6"/>
      <c r="D293" s="10"/>
      <c r="E293" s="10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ht="19.5" customHeight="1" x14ac:dyDescent="0.25">
      <c r="A294" s="6"/>
      <c r="B294" s="6"/>
      <c r="C294" s="6"/>
      <c r="D294" s="10"/>
      <c r="E294" s="10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ht="19.5" customHeight="1" x14ac:dyDescent="0.25">
      <c r="A295" s="6"/>
      <c r="B295" s="6"/>
      <c r="C295" s="6"/>
      <c r="D295" s="10"/>
      <c r="E295" s="10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ht="19.5" customHeight="1" x14ac:dyDescent="0.25">
      <c r="A296" s="6"/>
      <c r="B296" s="6"/>
      <c r="C296" s="6"/>
      <c r="D296" s="10"/>
      <c r="E296" s="10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ht="19.5" customHeight="1" x14ac:dyDescent="0.25">
      <c r="A297" s="6"/>
      <c r="B297" s="6"/>
      <c r="C297" s="6"/>
      <c r="D297" s="10"/>
      <c r="E297" s="10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ht="19.5" customHeight="1" x14ac:dyDescent="0.25">
      <c r="A298" s="6"/>
      <c r="B298" s="6"/>
      <c r="C298" s="6"/>
      <c r="D298" s="10"/>
      <c r="E298" s="10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ht="19.5" customHeight="1" x14ac:dyDescent="0.25">
      <c r="A299" s="6"/>
      <c r="B299" s="6"/>
      <c r="C299" s="6"/>
      <c r="D299" s="10"/>
      <c r="E299" s="10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ht="19.5" customHeight="1" x14ac:dyDescent="0.25">
      <c r="A300" s="6"/>
      <c r="B300" s="6"/>
      <c r="C300" s="6"/>
      <c r="D300" s="10"/>
      <c r="E300" s="10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ht="19.5" customHeight="1" x14ac:dyDescent="0.25">
      <c r="A301" s="6"/>
      <c r="B301" s="6"/>
      <c r="C301" s="6"/>
      <c r="D301" s="10"/>
      <c r="E301" s="10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ht="19.5" customHeight="1" x14ac:dyDescent="0.25">
      <c r="A302" s="6"/>
      <c r="B302" s="6"/>
      <c r="C302" s="6"/>
      <c r="D302" s="10"/>
      <c r="E302" s="10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ht="19.5" customHeight="1" x14ac:dyDescent="0.25">
      <c r="A303" s="6"/>
      <c r="B303" s="6"/>
      <c r="C303" s="6"/>
      <c r="D303" s="10"/>
      <c r="E303" s="10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ht="19.5" customHeight="1" x14ac:dyDescent="0.25">
      <c r="A304" s="6"/>
      <c r="B304" s="6"/>
      <c r="C304" s="6"/>
      <c r="D304" s="10"/>
      <c r="E304" s="10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ht="19.5" customHeight="1" x14ac:dyDescent="0.25">
      <c r="A305" s="6"/>
      <c r="B305" s="6"/>
      <c r="C305" s="6"/>
      <c r="D305" s="10"/>
      <c r="E305" s="10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ht="19.5" customHeight="1" x14ac:dyDescent="0.25">
      <c r="A306" s="6"/>
      <c r="B306" s="6"/>
      <c r="C306" s="6"/>
      <c r="D306" s="10"/>
      <c r="E306" s="10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ht="19.5" customHeight="1" x14ac:dyDescent="0.25">
      <c r="A307" s="6"/>
      <c r="B307" s="6"/>
      <c r="C307" s="6"/>
      <c r="D307" s="10"/>
      <c r="E307" s="10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ht="19.5" customHeight="1" x14ac:dyDescent="0.25">
      <c r="A308" s="6"/>
      <c r="B308" s="6"/>
      <c r="C308" s="6"/>
      <c r="D308" s="10"/>
      <c r="E308" s="10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ht="19.5" customHeight="1" x14ac:dyDescent="0.25">
      <c r="A309" s="6"/>
      <c r="B309" s="6"/>
      <c r="C309" s="6"/>
      <c r="D309" s="10"/>
      <c r="E309" s="10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ht="19.5" customHeight="1" x14ac:dyDescent="0.25">
      <c r="A310" s="6"/>
      <c r="B310" s="6"/>
      <c r="C310" s="6"/>
      <c r="D310" s="10"/>
      <c r="E310" s="10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ht="19.5" customHeight="1" x14ac:dyDescent="0.25">
      <c r="A311" s="6"/>
      <c r="B311" s="6"/>
      <c r="C311" s="6"/>
      <c r="D311" s="10"/>
      <c r="E311" s="10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ht="19.5" customHeight="1" x14ac:dyDescent="0.25">
      <c r="A312" s="6"/>
      <c r="B312" s="6"/>
      <c r="C312" s="6"/>
      <c r="D312" s="10"/>
      <c r="E312" s="10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19.5" customHeight="1" x14ac:dyDescent="0.25">
      <c r="A313" s="6"/>
      <c r="B313" s="6"/>
      <c r="C313" s="6"/>
      <c r="D313" s="10"/>
      <c r="E313" s="10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ht="19.5" customHeight="1" x14ac:dyDescent="0.25">
      <c r="A314" s="6"/>
      <c r="B314" s="6"/>
      <c r="C314" s="6"/>
      <c r="D314" s="10"/>
      <c r="E314" s="10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ht="19.5" customHeight="1" x14ac:dyDescent="0.25">
      <c r="A315" s="6"/>
      <c r="B315" s="6"/>
      <c r="C315" s="6"/>
      <c r="D315" s="10"/>
      <c r="E315" s="10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ht="19.5" customHeight="1" x14ac:dyDescent="0.25">
      <c r="A316" s="6"/>
      <c r="B316" s="6"/>
      <c r="C316" s="6"/>
      <c r="D316" s="10"/>
      <c r="E316" s="10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ht="19.5" customHeight="1" x14ac:dyDescent="0.25">
      <c r="A317" s="6"/>
      <c r="B317" s="6"/>
      <c r="C317" s="6"/>
      <c r="D317" s="10"/>
      <c r="E317" s="10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ht="19.5" customHeight="1" x14ac:dyDescent="0.25">
      <c r="A318" s="6"/>
      <c r="B318" s="6"/>
      <c r="C318" s="6"/>
      <c r="D318" s="10"/>
      <c r="E318" s="10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ht="19.5" customHeight="1" x14ac:dyDescent="0.25">
      <c r="A319" s="6"/>
      <c r="B319" s="6"/>
      <c r="C319" s="6"/>
      <c r="D319" s="10"/>
      <c r="E319" s="10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ht="19.5" customHeight="1" x14ac:dyDescent="0.25">
      <c r="A320" s="6"/>
      <c r="B320" s="6"/>
      <c r="C320" s="6"/>
      <c r="D320" s="10"/>
      <c r="E320" s="10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ht="19.5" customHeight="1" x14ac:dyDescent="0.25">
      <c r="A321" s="6"/>
      <c r="B321" s="6"/>
      <c r="C321" s="6"/>
      <c r="D321" s="10"/>
      <c r="E321" s="10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ht="19.5" customHeight="1" x14ac:dyDescent="0.25">
      <c r="A322" s="6"/>
      <c r="B322" s="6"/>
      <c r="C322" s="6"/>
      <c r="D322" s="10"/>
      <c r="E322" s="10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ht="19.5" customHeight="1" x14ac:dyDescent="0.25">
      <c r="A323" s="6"/>
      <c r="B323" s="6"/>
      <c r="C323" s="6"/>
      <c r="D323" s="10"/>
      <c r="E323" s="10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ht="19.5" customHeight="1" x14ac:dyDescent="0.25">
      <c r="A324" s="6"/>
      <c r="B324" s="6"/>
      <c r="C324" s="6"/>
      <c r="D324" s="10"/>
      <c r="E324" s="10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ht="19.5" customHeight="1" x14ac:dyDescent="0.25">
      <c r="A325" s="6"/>
      <c r="B325" s="6"/>
      <c r="C325" s="6"/>
      <c r="D325" s="10"/>
      <c r="E325" s="10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ht="19.5" customHeight="1" x14ac:dyDescent="0.25">
      <c r="A326" s="6"/>
      <c r="B326" s="6"/>
      <c r="C326" s="6"/>
      <c r="D326" s="10"/>
      <c r="E326" s="10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ht="19.5" customHeight="1" x14ac:dyDescent="0.25">
      <c r="A327" s="6"/>
      <c r="B327" s="6"/>
      <c r="C327" s="6"/>
      <c r="D327" s="10"/>
      <c r="E327" s="10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ht="19.5" customHeight="1" x14ac:dyDescent="0.25">
      <c r="A328" s="6"/>
      <c r="B328" s="6"/>
      <c r="C328" s="6"/>
      <c r="D328" s="10"/>
      <c r="E328" s="10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ht="19.5" customHeight="1" x14ac:dyDescent="0.25">
      <c r="A329" s="6"/>
      <c r="B329" s="6"/>
      <c r="C329" s="6"/>
      <c r="D329" s="10"/>
      <c r="E329" s="10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ht="19.5" customHeight="1" x14ac:dyDescent="0.25">
      <c r="A330" s="6"/>
      <c r="B330" s="6"/>
      <c r="C330" s="6"/>
      <c r="D330" s="10"/>
      <c r="E330" s="10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ht="19.5" customHeight="1" x14ac:dyDescent="0.25">
      <c r="A331" s="6"/>
      <c r="B331" s="6"/>
      <c r="C331" s="6"/>
      <c r="D331" s="10"/>
      <c r="E331" s="10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ht="19.5" customHeight="1" x14ac:dyDescent="0.25">
      <c r="A332" s="6"/>
      <c r="B332" s="6"/>
      <c r="C332" s="6"/>
      <c r="D332" s="10"/>
      <c r="E332" s="10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ht="19.5" customHeight="1" x14ac:dyDescent="0.25">
      <c r="A333" s="6"/>
      <c r="B333" s="6"/>
      <c r="C333" s="6"/>
      <c r="D333" s="10"/>
      <c r="E333" s="10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ht="19.5" customHeight="1" x14ac:dyDescent="0.25">
      <c r="A334" s="6"/>
      <c r="B334" s="6"/>
      <c r="C334" s="6"/>
      <c r="D334" s="10"/>
      <c r="E334" s="10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ht="19.5" customHeight="1" x14ac:dyDescent="0.25">
      <c r="A335" s="6"/>
      <c r="B335" s="6"/>
      <c r="C335" s="6"/>
      <c r="D335" s="10"/>
      <c r="E335" s="10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ht="19.5" customHeight="1" x14ac:dyDescent="0.25">
      <c r="A336" s="6"/>
      <c r="B336" s="6"/>
      <c r="C336" s="6"/>
      <c r="D336" s="10"/>
      <c r="E336" s="10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ht="19.5" customHeight="1" x14ac:dyDescent="0.25">
      <c r="A337" s="6"/>
      <c r="B337" s="6"/>
      <c r="C337" s="6"/>
      <c r="D337" s="10"/>
      <c r="E337" s="10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ht="19.5" customHeight="1" x14ac:dyDescent="0.25">
      <c r="A338" s="6"/>
      <c r="B338" s="6"/>
      <c r="C338" s="6"/>
      <c r="D338" s="10"/>
      <c r="E338" s="10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ht="19.5" customHeight="1" x14ac:dyDescent="0.25">
      <c r="A339" s="6"/>
      <c r="B339" s="6"/>
      <c r="C339" s="6"/>
      <c r="D339" s="10"/>
      <c r="E339" s="10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ht="19.5" customHeight="1" x14ac:dyDescent="0.25">
      <c r="A340" s="6"/>
      <c r="B340" s="6"/>
      <c r="C340" s="6"/>
      <c r="D340" s="10"/>
      <c r="E340" s="10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ht="19.5" customHeight="1" x14ac:dyDescent="0.25">
      <c r="A341" s="6"/>
      <c r="B341" s="6"/>
      <c r="C341" s="6"/>
      <c r="D341" s="10"/>
      <c r="E341" s="10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ht="19.5" customHeight="1" x14ac:dyDescent="0.25">
      <c r="A342" s="6"/>
      <c r="B342" s="6"/>
      <c r="C342" s="6"/>
      <c r="D342" s="10"/>
      <c r="E342" s="10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ht="19.5" customHeight="1" x14ac:dyDescent="0.25">
      <c r="A343" s="6"/>
      <c r="B343" s="6"/>
      <c r="C343" s="6"/>
      <c r="D343" s="10"/>
      <c r="E343" s="10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ht="19.5" customHeight="1" x14ac:dyDescent="0.25">
      <c r="A344" s="6"/>
      <c r="B344" s="6"/>
      <c r="C344" s="6"/>
      <c r="D344" s="10"/>
      <c r="E344" s="10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ht="19.5" customHeight="1" x14ac:dyDescent="0.25">
      <c r="A345" s="6"/>
      <c r="B345" s="6"/>
      <c r="C345" s="6"/>
      <c r="D345" s="10"/>
      <c r="E345" s="10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ht="19.5" customHeight="1" x14ac:dyDescent="0.25">
      <c r="A346" s="6"/>
      <c r="B346" s="6"/>
      <c r="C346" s="6"/>
      <c r="D346" s="10"/>
      <c r="E346" s="10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ht="19.5" customHeight="1" x14ac:dyDescent="0.25">
      <c r="A347" s="6"/>
      <c r="B347" s="6"/>
      <c r="C347" s="6"/>
      <c r="D347" s="10"/>
      <c r="E347" s="10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ht="19.5" customHeight="1" x14ac:dyDescent="0.25">
      <c r="A348" s="6"/>
      <c r="B348" s="6"/>
      <c r="C348" s="6"/>
      <c r="D348" s="10"/>
      <c r="E348" s="10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ht="19.5" customHeight="1" x14ac:dyDescent="0.25">
      <c r="A349" s="6"/>
      <c r="B349" s="6"/>
      <c r="C349" s="6"/>
      <c r="D349" s="10"/>
      <c r="E349" s="10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ht="19.5" customHeight="1" x14ac:dyDescent="0.25">
      <c r="A350" s="6"/>
      <c r="B350" s="6"/>
      <c r="C350" s="6"/>
      <c r="D350" s="10"/>
      <c r="E350" s="10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ht="19.5" customHeight="1" x14ac:dyDescent="0.25">
      <c r="A351" s="6"/>
      <c r="B351" s="6"/>
      <c r="C351" s="6"/>
      <c r="D351" s="10"/>
      <c r="E351" s="10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ht="19.5" customHeight="1" x14ac:dyDescent="0.25">
      <c r="A352" s="6"/>
      <c r="B352" s="6"/>
      <c r="C352" s="6"/>
      <c r="D352" s="10"/>
      <c r="E352" s="10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ht="19.5" customHeight="1" x14ac:dyDescent="0.25">
      <c r="A353" s="6"/>
      <c r="B353" s="6"/>
      <c r="C353" s="6"/>
      <c r="D353" s="10"/>
      <c r="E353" s="10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ht="19.5" customHeight="1" x14ac:dyDescent="0.25">
      <c r="A354" s="6"/>
      <c r="B354" s="6"/>
      <c r="C354" s="6"/>
      <c r="D354" s="10"/>
      <c r="E354" s="10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ht="19.5" customHeight="1" x14ac:dyDescent="0.25">
      <c r="A355" s="6"/>
      <c r="B355" s="6"/>
      <c r="C355" s="6"/>
      <c r="D355" s="10"/>
      <c r="E355" s="10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ht="19.5" customHeight="1" x14ac:dyDescent="0.25">
      <c r="A356" s="6"/>
      <c r="B356" s="6"/>
      <c r="C356" s="6"/>
      <c r="D356" s="10"/>
      <c r="E356" s="10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ht="19.5" customHeight="1" x14ac:dyDescent="0.25">
      <c r="A357" s="6"/>
      <c r="B357" s="6"/>
      <c r="C357" s="6"/>
      <c r="D357" s="10"/>
      <c r="E357" s="10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ht="19.5" customHeight="1" x14ac:dyDescent="0.25">
      <c r="A358" s="6"/>
      <c r="B358" s="6"/>
      <c r="C358" s="6"/>
      <c r="D358" s="10"/>
      <c r="E358" s="10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ht="19.5" customHeight="1" x14ac:dyDescent="0.25">
      <c r="A359" s="6"/>
      <c r="B359" s="6"/>
      <c r="C359" s="6"/>
      <c r="D359" s="10"/>
      <c r="E359" s="10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ht="19.5" customHeight="1" x14ac:dyDescent="0.25">
      <c r="A360" s="6"/>
      <c r="B360" s="6"/>
      <c r="C360" s="6"/>
      <c r="D360" s="10"/>
      <c r="E360" s="10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ht="19.5" customHeight="1" x14ac:dyDescent="0.25">
      <c r="A361" s="6"/>
      <c r="B361" s="6"/>
      <c r="C361" s="6"/>
      <c r="D361" s="10"/>
      <c r="E361" s="10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ht="19.5" customHeight="1" x14ac:dyDescent="0.25">
      <c r="A362" s="6"/>
      <c r="B362" s="6"/>
      <c r="C362" s="6"/>
      <c r="D362" s="10"/>
      <c r="E362" s="10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ht="19.5" customHeight="1" x14ac:dyDescent="0.25">
      <c r="A363" s="6"/>
      <c r="B363" s="6"/>
      <c r="C363" s="6"/>
      <c r="D363" s="10"/>
      <c r="E363" s="10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ht="19.5" customHeight="1" x14ac:dyDescent="0.25">
      <c r="A364" s="6"/>
      <c r="B364" s="6"/>
      <c r="C364" s="6"/>
      <c r="D364" s="10"/>
      <c r="E364" s="10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ht="19.5" customHeight="1" x14ac:dyDescent="0.25">
      <c r="A365" s="6"/>
      <c r="B365" s="6"/>
      <c r="C365" s="6"/>
      <c r="D365" s="10"/>
      <c r="E365" s="10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ht="19.5" customHeight="1" x14ac:dyDescent="0.25">
      <c r="A366" s="6"/>
      <c r="B366" s="6"/>
      <c r="C366" s="6"/>
      <c r="D366" s="10"/>
      <c r="E366" s="10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ht="19.5" customHeight="1" x14ac:dyDescent="0.25">
      <c r="A367" s="6"/>
      <c r="B367" s="6"/>
      <c r="C367" s="6"/>
      <c r="D367" s="10"/>
      <c r="E367" s="10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ht="19.5" customHeight="1" x14ac:dyDescent="0.25">
      <c r="A368" s="6"/>
      <c r="B368" s="6"/>
      <c r="C368" s="6"/>
      <c r="D368" s="10"/>
      <c r="E368" s="10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ht="19.5" customHeight="1" x14ac:dyDescent="0.25">
      <c r="A369" s="6"/>
      <c r="B369" s="6"/>
      <c r="C369" s="6"/>
      <c r="D369" s="10"/>
      <c r="E369" s="10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ht="19.5" customHeight="1" x14ac:dyDescent="0.25">
      <c r="A370" s="6"/>
      <c r="B370" s="6"/>
      <c r="C370" s="6"/>
      <c r="D370" s="10"/>
      <c r="E370" s="10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ht="19.5" customHeight="1" x14ac:dyDescent="0.25">
      <c r="A371" s="6"/>
      <c r="B371" s="6"/>
      <c r="C371" s="6"/>
      <c r="D371" s="10"/>
      <c r="E371" s="10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ht="19.5" customHeight="1" x14ac:dyDescent="0.25">
      <c r="A372" s="6"/>
      <c r="B372" s="6"/>
      <c r="C372" s="6"/>
      <c r="D372" s="10"/>
      <c r="E372" s="10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ht="19.5" customHeight="1" x14ac:dyDescent="0.25">
      <c r="A373" s="6"/>
      <c r="B373" s="6"/>
      <c r="C373" s="6"/>
      <c r="D373" s="10"/>
      <c r="E373" s="10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ht="19.5" customHeight="1" x14ac:dyDescent="0.25">
      <c r="A374" s="6"/>
      <c r="B374" s="6"/>
      <c r="C374" s="6"/>
      <c r="D374" s="10"/>
      <c r="E374" s="10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ht="19.5" customHeight="1" x14ac:dyDescent="0.25">
      <c r="A375" s="6"/>
      <c r="B375" s="6"/>
      <c r="C375" s="6"/>
      <c r="D375" s="10"/>
      <c r="E375" s="10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ht="19.5" customHeight="1" x14ac:dyDescent="0.25">
      <c r="A376" s="6"/>
      <c r="B376" s="6"/>
      <c r="C376" s="6"/>
      <c r="D376" s="10"/>
      <c r="E376" s="10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ht="19.5" customHeight="1" x14ac:dyDescent="0.25">
      <c r="A377" s="6"/>
      <c r="B377" s="6"/>
      <c r="C377" s="6"/>
      <c r="D377" s="10"/>
      <c r="E377" s="10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ht="19.5" customHeight="1" x14ac:dyDescent="0.25">
      <c r="A378" s="6"/>
      <c r="B378" s="6"/>
      <c r="C378" s="6"/>
      <c r="D378" s="10"/>
      <c r="E378" s="10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ht="19.5" customHeight="1" x14ac:dyDescent="0.25">
      <c r="A379" s="6"/>
      <c r="B379" s="6"/>
      <c r="C379" s="6"/>
      <c r="D379" s="10"/>
      <c r="E379" s="10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ht="19.5" customHeight="1" x14ac:dyDescent="0.25">
      <c r="A380" s="6"/>
      <c r="B380" s="6"/>
      <c r="C380" s="6"/>
      <c r="D380" s="10"/>
      <c r="E380" s="10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ht="19.5" customHeight="1" x14ac:dyDescent="0.25">
      <c r="A381" s="6"/>
      <c r="B381" s="6"/>
      <c r="C381" s="6"/>
      <c r="D381" s="10"/>
      <c r="E381" s="10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ht="19.5" customHeight="1" x14ac:dyDescent="0.25">
      <c r="A382" s="6"/>
      <c r="B382" s="6"/>
      <c r="C382" s="6"/>
      <c r="D382" s="10"/>
      <c r="E382" s="10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ht="19.5" customHeight="1" x14ac:dyDescent="0.25">
      <c r="A383" s="6"/>
      <c r="B383" s="6"/>
      <c r="C383" s="6"/>
      <c r="D383" s="10"/>
      <c r="E383" s="10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ht="19.5" customHeight="1" x14ac:dyDescent="0.25">
      <c r="A384" s="6"/>
      <c r="B384" s="6"/>
      <c r="C384" s="6"/>
      <c r="D384" s="10"/>
      <c r="E384" s="10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ht="19.5" customHeight="1" x14ac:dyDescent="0.25">
      <c r="A385" s="6"/>
      <c r="B385" s="6"/>
      <c r="C385" s="6"/>
      <c r="D385" s="10"/>
      <c r="E385" s="10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ht="19.5" customHeight="1" x14ac:dyDescent="0.25">
      <c r="A386" s="6"/>
      <c r="B386" s="6"/>
      <c r="C386" s="6"/>
      <c r="D386" s="10"/>
      <c r="E386" s="10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ht="19.5" customHeight="1" x14ac:dyDescent="0.25">
      <c r="A387" s="6"/>
      <c r="B387" s="6"/>
      <c r="C387" s="6"/>
      <c r="D387" s="10"/>
      <c r="E387" s="10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ht="19.5" customHeight="1" x14ac:dyDescent="0.25">
      <c r="A388" s="6"/>
      <c r="B388" s="6"/>
      <c r="C388" s="6"/>
      <c r="D388" s="10"/>
      <c r="E388" s="10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ht="19.5" customHeight="1" x14ac:dyDescent="0.25">
      <c r="A389" s="6"/>
      <c r="B389" s="6"/>
      <c r="C389" s="6"/>
      <c r="D389" s="10"/>
      <c r="E389" s="10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ht="19.5" customHeight="1" x14ac:dyDescent="0.25">
      <c r="A390" s="6"/>
      <c r="B390" s="6"/>
      <c r="C390" s="6"/>
      <c r="D390" s="10"/>
      <c r="E390" s="10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ht="19.5" customHeight="1" x14ac:dyDescent="0.25">
      <c r="A391" s="6"/>
      <c r="B391" s="6"/>
      <c r="C391" s="6"/>
      <c r="D391" s="10"/>
      <c r="E391" s="10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ht="19.5" customHeight="1" x14ac:dyDescent="0.25">
      <c r="A392" s="6"/>
      <c r="B392" s="6"/>
      <c r="C392" s="6"/>
      <c r="D392" s="10"/>
      <c r="E392" s="10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ht="19.5" customHeight="1" x14ac:dyDescent="0.25">
      <c r="A393" s="6"/>
      <c r="B393" s="6"/>
      <c r="C393" s="6"/>
      <c r="D393" s="10"/>
      <c r="E393" s="10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ht="19.5" customHeight="1" x14ac:dyDescent="0.25">
      <c r="A394" s="6"/>
      <c r="B394" s="6"/>
      <c r="C394" s="6"/>
      <c r="D394" s="10"/>
      <c r="E394" s="10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ht="19.5" customHeight="1" x14ac:dyDescent="0.25">
      <c r="A395" s="6"/>
      <c r="B395" s="6"/>
      <c r="C395" s="6"/>
      <c r="D395" s="10"/>
      <c r="E395" s="10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ht="19.5" customHeight="1" x14ac:dyDescent="0.25">
      <c r="A396" s="6"/>
      <c r="B396" s="6"/>
      <c r="C396" s="6"/>
      <c r="D396" s="10"/>
      <c r="E396" s="10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ht="19.5" customHeight="1" x14ac:dyDescent="0.25">
      <c r="A397" s="6"/>
      <c r="B397" s="6"/>
      <c r="C397" s="6"/>
      <c r="D397" s="10"/>
      <c r="E397" s="10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ht="19.5" customHeight="1" x14ac:dyDescent="0.25">
      <c r="A398" s="6"/>
      <c r="B398" s="6"/>
      <c r="C398" s="6"/>
      <c r="D398" s="10"/>
      <c r="E398" s="10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ht="19.5" customHeight="1" x14ac:dyDescent="0.25">
      <c r="A399" s="6"/>
      <c r="B399" s="6"/>
      <c r="C399" s="6"/>
      <c r="D399" s="10"/>
      <c r="E399" s="10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ht="19.5" customHeight="1" x14ac:dyDescent="0.25">
      <c r="A400" s="6"/>
      <c r="B400" s="6"/>
      <c r="C400" s="6"/>
      <c r="D400" s="10"/>
      <c r="E400" s="10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ht="19.5" customHeight="1" x14ac:dyDescent="0.25">
      <c r="A401" s="6"/>
      <c r="B401" s="6"/>
      <c r="C401" s="6"/>
      <c r="D401" s="10"/>
      <c r="E401" s="10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ht="19.5" customHeight="1" x14ac:dyDescent="0.25">
      <c r="A402" s="6"/>
      <c r="B402" s="6"/>
      <c r="C402" s="6"/>
      <c r="D402" s="10"/>
      <c r="E402" s="10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ht="19.5" customHeight="1" x14ac:dyDescent="0.25">
      <c r="A403" s="6"/>
      <c r="B403" s="6"/>
      <c r="C403" s="6"/>
      <c r="D403" s="10"/>
      <c r="E403" s="10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ht="19.5" customHeight="1" x14ac:dyDescent="0.25">
      <c r="A404" s="6"/>
      <c r="B404" s="6"/>
      <c r="C404" s="6"/>
      <c r="D404" s="10"/>
      <c r="E404" s="10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ht="19.5" customHeight="1" x14ac:dyDescent="0.25">
      <c r="A405" s="6"/>
      <c r="B405" s="6"/>
      <c r="C405" s="6"/>
      <c r="D405" s="10"/>
      <c r="E405" s="10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ht="19.5" customHeight="1" x14ac:dyDescent="0.25">
      <c r="A406" s="6"/>
      <c r="B406" s="6"/>
      <c r="C406" s="6"/>
      <c r="D406" s="10"/>
      <c r="E406" s="10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ht="19.5" customHeight="1" x14ac:dyDescent="0.25">
      <c r="A407" s="6"/>
      <c r="B407" s="6"/>
      <c r="C407" s="6"/>
      <c r="D407" s="10"/>
      <c r="E407" s="10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ht="19.5" customHeight="1" x14ac:dyDescent="0.25">
      <c r="A408" s="6"/>
      <c r="B408" s="6"/>
      <c r="C408" s="6"/>
      <c r="D408" s="10"/>
      <c r="E408" s="10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ht="19.5" customHeight="1" x14ac:dyDescent="0.25">
      <c r="A409" s="6"/>
      <c r="B409" s="6"/>
      <c r="C409" s="6"/>
      <c r="D409" s="10"/>
      <c r="E409" s="10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ht="19.5" customHeight="1" x14ac:dyDescent="0.25">
      <c r="A410" s="6"/>
      <c r="B410" s="6"/>
      <c r="C410" s="6"/>
      <c r="D410" s="10"/>
      <c r="E410" s="10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ht="19.5" customHeight="1" x14ac:dyDescent="0.25">
      <c r="A411" s="6"/>
      <c r="B411" s="6"/>
      <c r="C411" s="6"/>
      <c r="D411" s="10"/>
      <c r="E411" s="10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ht="19.5" customHeight="1" x14ac:dyDescent="0.25">
      <c r="A412" s="6"/>
      <c r="B412" s="6"/>
      <c r="C412" s="6"/>
      <c r="D412" s="10"/>
      <c r="E412" s="10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ht="19.5" customHeight="1" x14ac:dyDescent="0.25">
      <c r="A413" s="6"/>
      <c r="B413" s="6"/>
      <c r="C413" s="6"/>
      <c r="D413" s="10"/>
      <c r="E413" s="10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ht="19.5" customHeight="1" x14ac:dyDescent="0.25">
      <c r="A414" s="6"/>
      <c r="B414" s="6"/>
      <c r="C414" s="6"/>
      <c r="D414" s="10"/>
      <c r="E414" s="10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ht="19.5" customHeight="1" x14ac:dyDescent="0.25">
      <c r="A415" s="6"/>
      <c r="B415" s="6"/>
      <c r="C415" s="6"/>
      <c r="D415" s="10"/>
      <c r="E415" s="10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ht="19.5" customHeight="1" x14ac:dyDescent="0.25">
      <c r="A416" s="6"/>
      <c r="B416" s="6"/>
      <c r="C416" s="6"/>
      <c r="D416" s="10"/>
      <c r="E416" s="10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ht="19.5" customHeight="1" x14ac:dyDescent="0.25">
      <c r="A417" s="6"/>
      <c r="B417" s="6"/>
      <c r="C417" s="6"/>
      <c r="D417" s="10"/>
      <c r="E417" s="10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ht="19.5" customHeight="1" x14ac:dyDescent="0.25">
      <c r="A418" s="6"/>
      <c r="B418" s="6"/>
      <c r="C418" s="6"/>
      <c r="D418" s="10"/>
      <c r="E418" s="10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ht="19.5" customHeight="1" x14ac:dyDescent="0.25">
      <c r="A419" s="6"/>
      <c r="B419" s="6"/>
      <c r="C419" s="6"/>
      <c r="D419" s="10"/>
      <c r="E419" s="10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ht="19.5" customHeight="1" x14ac:dyDescent="0.25">
      <c r="A420" s="6"/>
      <c r="B420" s="6"/>
      <c r="C420" s="6"/>
      <c r="D420" s="10"/>
      <c r="E420" s="10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ht="19.5" customHeight="1" x14ac:dyDescent="0.25">
      <c r="A421" s="6"/>
      <c r="B421" s="6"/>
      <c r="C421" s="6"/>
      <c r="D421" s="10"/>
      <c r="E421" s="10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ht="19.5" customHeight="1" x14ac:dyDescent="0.25">
      <c r="A422" s="6"/>
      <c r="B422" s="6"/>
      <c r="C422" s="6"/>
      <c r="D422" s="10"/>
      <c r="E422" s="10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ht="19.5" customHeight="1" x14ac:dyDescent="0.25">
      <c r="A423" s="6"/>
      <c r="B423" s="6"/>
      <c r="C423" s="6"/>
      <c r="D423" s="10"/>
      <c r="E423" s="10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ht="19.5" customHeight="1" x14ac:dyDescent="0.25">
      <c r="A424" s="6"/>
      <c r="B424" s="6"/>
      <c r="C424" s="6"/>
      <c r="D424" s="10"/>
      <c r="E424" s="10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ht="19.5" customHeight="1" x14ac:dyDescent="0.25">
      <c r="A425" s="6"/>
      <c r="B425" s="6"/>
      <c r="C425" s="6"/>
      <c r="D425" s="10"/>
      <c r="E425" s="10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ht="19.5" customHeight="1" x14ac:dyDescent="0.25">
      <c r="A426" s="6"/>
      <c r="B426" s="6"/>
      <c r="C426" s="6"/>
      <c r="D426" s="10"/>
      <c r="E426" s="10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 ht="19.5" customHeight="1" x14ac:dyDescent="0.25">
      <c r="A427" s="6"/>
      <c r="B427" s="6"/>
      <c r="C427" s="6"/>
      <c r="D427" s="10"/>
      <c r="E427" s="10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 ht="19.5" customHeight="1" x14ac:dyDescent="0.25">
      <c r="A428" s="6"/>
      <c r="B428" s="6"/>
      <c r="C428" s="6"/>
      <c r="D428" s="10"/>
      <c r="E428" s="10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 ht="19.5" customHeight="1" x14ac:dyDescent="0.25">
      <c r="A429" s="6"/>
      <c r="B429" s="6"/>
      <c r="C429" s="6"/>
      <c r="D429" s="10"/>
      <c r="E429" s="10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 ht="19.5" customHeight="1" x14ac:dyDescent="0.25">
      <c r="A430" s="6"/>
      <c r="B430" s="6"/>
      <c r="C430" s="6"/>
      <c r="D430" s="10"/>
      <c r="E430" s="10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 ht="19.5" customHeight="1" x14ac:dyDescent="0.25">
      <c r="A431" s="6"/>
      <c r="B431" s="6"/>
      <c r="C431" s="6"/>
      <c r="D431" s="10"/>
      <c r="E431" s="10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 ht="19.5" customHeight="1" x14ac:dyDescent="0.25">
      <c r="A432" s="6"/>
      <c r="B432" s="6"/>
      <c r="C432" s="6"/>
      <c r="D432" s="10"/>
      <c r="E432" s="10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 ht="19.5" customHeight="1" x14ac:dyDescent="0.25">
      <c r="A433" s="6"/>
      <c r="B433" s="6"/>
      <c r="C433" s="6"/>
      <c r="D433" s="10"/>
      <c r="E433" s="10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 ht="19.5" customHeight="1" x14ac:dyDescent="0.25">
      <c r="A434" s="6"/>
      <c r="B434" s="6"/>
      <c r="C434" s="6"/>
      <c r="D434" s="10"/>
      <c r="E434" s="10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 ht="19.5" customHeight="1" x14ac:dyDescent="0.25">
      <c r="A435" s="6"/>
      <c r="B435" s="6"/>
      <c r="C435" s="6"/>
      <c r="D435" s="10"/>
      <c r="E435" s="10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 ht="19.5" customHeight="1" x14ac:dyDescent="0.25">
      <c r="A436" s="6"/>
      <c r="B436" s="6"/>
      <c r="C436" s="6"/>
      <c r="D436" s="10"/>
      <c r="E436" s="10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 ht="19.5" customHeight="1" x14ac:dyDescent="0.25">
      <c r="A437" s="6"/>
      <c r="B437" s="6"/>
      <c r="C437" s="6"/>
      <c r="D437" s="10"/>
      <c r="E437" s="10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1:15" ht="19.5" customHeight="1" x14ac:dyDescent="0.25">
      <c r="A438" s="6"/>
      <c r="B438" s="6"/>
      <c r="C438" s="6"/>
      <c r="D438" s="10"/>
      <c r="E438" s="10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 ht="19.5" customHeight="1" x14ac:dyDescent="0.25">
      <c r="A439" s="6"/>
      <c r="B439" s="6"/>
      <c r="C439" s="6"/>
      <c r="D439" s="10"/>
      <c r="E439" s="10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1:15" ht="19.5" customHeight="1" x14ac:dyDescent="0.25">
      <c r="A440" s="6"/>
      <c r="B440" s="6"/>
      <c r="C440" s="6"/>
      <c r="D440" s="10"/>
      <c r="E440" s="10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1:15" ht="19.5" customHeight="1" x14ac:dyDescent="0.25">
      <c r="A441" s="6"/>
      <c r="B441" s="6"/>
      <c r="C441" s="6"/>
      <c r="D441" s="10"/>
      <c r="E441" s="10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 ht="19.5" customHeight="1" x14ac:dyDescent="0.25">
      <c r="A442" s="6"/>
      <c r="B442" s="6"/>
      <c r="C442" s="6"/>
      <c r="D442" s="10"/>
      <c r="E442" s="10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 ht="19.5" customHeight="1" x14ac:dyDescent="0.25">
      <c r="A443" s="6"/>
      <c r="B443" s="6"/>
      <c r="C443" s="6"/>
      <c r="D443" s="10"/>
      <c r="E443" s="10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1:15" ht="19.5" customHeight="1" x14ac:dyDescent="0.25">
      <c r="A444" s="6"/>
      <c r="B444" s="6"/>
      <c r="C444" s="6"/>
      <c r="D444" s="10"/>
      <c r="E444" s="10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 ht="19.5" customHeight="1" x14ac:dyDescent="0.25">
      <c r="A445" s="6"/>
      <c r="B445" s="6"/>
      <c r="C445" s="6"/>
      <c r="D445" s="10"/>
      <c r="E445" s="10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1:15" ht="19.5" customHeight="1" x14ac:dyDescent="0.25">
      <c r="A446" s="6"/>
      <c r="B446" s="6"/>
      <c r="C446" s="6"/>
      <c r="D446" s="10"/>
      <c r="E446" s="10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1:15" ht="19.5" customHeight="1" x14ac:dyDescent="0.25">
      <c r="A447" s="6"/>
      <c r="B447" s="6"/>
      <c r="C447" s="6"/>
      <c r="D447" s="10"/>
      <c r="E447" s="10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 ht="19.5" customHeight="1" x14ac:dyDescent="0.25">
      <c r="A448" s="6"/>
      <c r="B448" s="6"/>
      <c r="C448" s="6"/>
      <c r="D448" s="10"/>
      <c r="E448" s="10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1:15" ht="19.5" customHeight="1" x14ac:dyDescent="0.25">
      <c r="A449" s="6"/>
      <c r="B449" s="6"/>
      <c r="C449" s="6"/>
      <c r="D449" s="10"/>
      <c r="E449" s="10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 ht="19.5" customHeight="1" x14ac:dyDescent="0.25">
      <c r="A450" s="6"/>
      <c r="B450" s="6"/>
      <c r="C450" s="6"/>
      <c r="D450" s="10"/>
      <c r="E450" s="10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 ht="19.5" customHeight="1" x14ac:dyDescent="0.25">
      <c r="A451" s="6"/>
      <c r="B451" s="6"/>
      <c r="C451" s="6"/>
      <c r="D451" s="10"/>
      <c r="E451" s="10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1:15" ht="19.5" customHeight="1" x14ac:dyDescent="0.25">
      <c r="A452" s="6"/>
      <c r="B452" s="6"/>
      <c r="C452" s="6"/>
      <c r="D452" s="10"/>
      <c r="E452" s="10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1:15" ht="19.5" customHeight="1" x14ac:dyDescent="0.25">
      <c r="A453" s="6"/>
      <c r="B453" s="6"/>
      <c r="C453" s="6"/>
      <c r="D453" s="10"/>
      <c r="E453" s="10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 ht="19.5" customHeight="1" x14ac:dyDescent="0.25">
      <c r="A454" s="6"/>
      <c r="B454" s="6"/>
      <c r="C454" s="6"/>
      <c r="D454" s="10"/>
      <c r="E454" s="10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1:15" ht="19.5" customHeight="1" x14ac:dyDescent="0.25">
      <c r="A455" s="6"/>
      <c r="B455" s="6"/>
      <c r="C455" s="6"/>
      <c r="D455" s="10"/>
      <c r="E455" s="10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 ht="19.5" customHeight="1" x14ac:dyDescent="0.25">
      <c r="A456" s="6"/>
      <c r="B456" s="6"/>
      <c r="C456" s="6"/>
      <c r="D456" s="10"/>
      <c r="E456" s="10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 ht="19.5" customHeight="1" x14ac:dyDescent="0.25">
      <c r="A457" s="6"/>
      <c r="B457" s="6"/>
      <c r="C457" s="6"/>
      <c r="D457" s="10"/>
      <c r="E457" s="10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1:15" ht="19.5" customHeight="1" x14ac:dyDescent="0.25">
      <c r="A458" s="6"/>
      <c r="B458" s="6"/>
      <c r="C458" s="6"/>
      <c r="D458" s="10"/>
      <c r="E458" s="10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1:15" ht="19.5" customHeight="1" x14ac:dyDescent="0.25">
      <c r="A459" s="6"/>
      <c r="B459" s="6"/>
      <c r="C459" s="6"/>
      <c r="D459" s="10"/>
      <c r="E459" s="10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 ht="19.5" customHeight="1" x14ac:dyDescent="0.25">
      <c r="A460" s="6"/>
      <c r="B460" s="6"/>
      <c r="C460" s="6"/>
      <c r="D460" s="10"/>
      <c r="E460" s="10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1:15" ht="19.5" customHeight="1" x14ac:dyDescent="0.25">
      <c r="A461" s="6"/>
      <c r="B461" s="6"/>
      <c r="C461" s="6"/>
      <c r="D461" s="10"/>
      <c r="E461" s="10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1:15" ht="19.5" customHeight="1" x14ac:dyDescent="0.25">
      <c r="A462" s="6"/>
      <c r="B462" s="6"/>
      <c r="C462" s="6"/>
      <c r="D462" s="10"/>
      <c r="E462" s="10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 ht="19.5" customHeight="1" x14ac:dyDescent="0.25">
      <c r="A463" s="6"/>
      <c r="B463" s="6"/>
      <c r="C463" s="6"/>
      <c r="D463" s="10"/>
      <c r="E463" s="10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 ht="19.5" customHeight="1" x14ac:dyDescent="0.25">
      <c r="A464" s="6"/>
      <c r="B464" s="6"/>
      <c r="C464" s="6"/>
      <c r="D464" s="10"/>
      <c r="E464" s="10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 ht="19.5" customHeight="1" x14ac:dyDescent="0.25">
      <c r="A465" s="6"/>
      <c r="B465" s="6"/>
      <c r="C465" s="6"/>
      <c r="D465" s="10"/>
      <c r="E465" s="10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 ht="19.5" customHeight="1" x14ac:dyDescent="0.25">
      <c r="A466" s="6"/>
      <c r="B466" s="6"/>
      <c r="C466" s="6"/>
      <c r="D466" s="10"/>
      <c r="E466" s="10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 ht="19.5" customHeight="1" x14ac:dyDescent="0.25">
      <c r="A467" s="6"/>
      <c r="B467" s="6"/>
      <c r="C467" s="6"/>
      <c r="D467" s="10"/>
      <c r="E467" s="10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 ht="19.5" customHeight="1" x14ac:dyDescent="0.25">
      <c r="A468" s="6"/>
      <c r="B468" s="6"/>
      <c r="C468" s="6"/>
      <c r="D468" s="10"/>
      <c r="E468" s="10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1:15" ht="19.5" customHeight="1" x14ac:dyDescent="0.25">
      <c r="A469" s="6"/>
      <c r="B469" s="6"/>
      <c r="C469" s="6"/>
      <c r="D469" s="10"/>
      <c r="E469" s="10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 ht="19.5" customHeight="1" x14ac:dyDescent="0.25">
      <c r="A470" s="6"/>
      <c r="B470" s="6"/>
      <c r="C470" s="6"/>
      <c r="D470" s="10"/>
      <c r="E470" s="10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 ht="19.5" customHeight="1" x14ac:dyDescent="0.25">
      <c r="A471" s="6"/>
      <c r="B471" s="6"/>
      <c r="C471" s="6"/>
      <c r="D471" s="10"/>
      <c r="E471" s="10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 ht="19.5" customHeight="1" x14ac:dyDescent="0.25">
      <c r="A472" s="6"/>
      <c r="B472" s="6"/>
      <c r="C472" s="6"/>
      <c r="D472" s="10"/>
      <c r="E472" s="10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 ht="19.5" customHeight="1" x14ac:dyDescent="0.25">
      <c r="A473" s="6"/>
      <c r="B473" s="6"/>
      <c r="C473" s="6"/>
      <c r="D473" s="10"/>
      <c r="E473" s="10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1:15" ht="19.5" customHeight="1" x14ac:dyDescent="0.25">
      <c r="A474" s="6"/>
      <c r="B474" s="6"/>
      <c r="C474" s="6"/>
      <c r="D474" s="10"/>
      <c r="E474" s="10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1:15" ht="19.5" customHeight="1" x14ac:dyDescent="0.25">
      <c r="A475" s="6"/>
      <c r="B475" s="6"/>
      <c r="C475" s="6"/>
      <c r="D475" s="10"/>
      <c r="E475" s="10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 ht="19.5" customHeight="1" x14ac:dyDescent="0.25">
      <c r="A476" s="6"/>
      <c r="B476" s="6"/>
      <c r="C476" s="6"/>
      <c r="D476" s="10"/>
      <c r="E476" s="10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 ht="19.5" customHeight="1" x14ac:dyDescent="0.25">
      <c r="A477" s="6"/>
      <c r="B477" s="6"/>
      <c r="C477" s="6"/>
      <c r="D477" s="10"/>
      <c r="E477" s="10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 ht="19.5" customHeight="1" x14ac:dyDescent="0.25">
      <c r="A478" s="6"/>
      <c r="B478" s="6"/>
      <c r="C478" s="6"/>
      <c r="D478" s="10"/>
      <c r="E478" s="10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 ht="19.5" customHeight="1" x14ac:dyDescent="0.25">
      <c r="A479" s="6"/>
      <c r="B479" s="6"/>
      <c r="C479" s="6"/>
      <c r="D479" s="10"/>
      <c r="E479" s="10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 ht="19.5" customHeight="1" x14ac:dyDescent="0.25">
      <c r="A480" s="6"/>
      <c r="B480" s="6"/>
      <c r="C480" s="6"/>
      <c r="D480" s="10"/>
      <c r="E480" s="10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 ht="19.5" customHeight="1" x14ac:dyDescent="0.25">
      <c r="A481" s="6"/>
      <c r="B481" s="6"/>
      <c r="C481" s="6"/>
      <c r="D481" s="10"/>
      <c r="E481" s="10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 ht="19.5" customHeight="1" x14ac:dyDescent="0.25">
      <c r="A482" s="6"/>
      <c r="B482" s="6"/>
      <c r="C482" s="6"/>
      <c r="D482" s="10"/>
      <c r="E482" s="10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 ht="19.5" customHeight="1" x14ac:dyDescent="0.25">
      <c r="A483" s="6"/>
      <c r="B483" s="6"/>
      <c r="C483" s="6"/>
      <c r="D483" s="10"/>
      <c r="E483" s="10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 ht="19.5" customHeight="1" x14ac:dyDescent="0.25">
      <c r="A484" s="6"/>
      <c r="B484" s="6"/>
      <c r="C484" s="6"/>
      <c r="D484" s="10"/>
      <c r="E484" s="10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 ht="19.5" customHeight="1" x14ac:dyDescent="0.25">
      <c r="A485" s="6"/>
      <c r="B485" s="6"/>
      <c r="C485" s="6"/>
      <c r="D485" s="10"/>
      <c r="E485" s="10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spans="1:15" ht="19.5" customHeight="1" x14ac:dyDescent="0.25">
      <c r="A486" s="6"/>
      <c r="B486" s="6"/>
      <c r="C486" s="6"/>
      <c r="D486" s="10"/>
      <c r="E486" s="10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 ht="19.5" customHeight="1" x14ac:dyDescent="0.25">
      <c r="A487" s="6"/>
      <c r="B487" s="6"/>
      <c r="C487" s="6"/>
      <c r="D487" s="10"/>
      <c r="E487" s="10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1:15" ht="19.5" customHeight="1" x14ac:dyDescent="0.25">
      <c r="A488" s="6"/>
      <c r="B488" s="6"/>
      <c r="C488" s="6"/>
      <c r="D488" s="10"/>
      <c r="E488" s="10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spans="1:15" ht="19.5" customHeight="1" x14ac:dyDescent="0.25">
      <c r="A489" s="6"/>
      <c r="B489" s="6"/>
      <c r="C489" s="6"/>
      <c r="D489" s="10"/>
      <c r="E489" s="10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1:15" ht="19.5" customHeight="1" x14ac:dyDescent="0.25">
      <c r="A490" s="6"/>
      <c r="B490" s="6"/>
      <c r="C490" s="6"/>
      <c r="D490" s="10"/>
      <c r="E490" s="10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1:15" ht="19.5" customHeight="1" x14ac:dyDescent="0.25">
      <c r="A491" s="6"/>
      <c r="B491" s="6"/>
      <c r="C491" s="6"/>
      <c r="D491" s="10"/>
      <c r="E491" s="10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 ht="19.5" customHeight="1" x14ac:dyDescent="0.25">
      <c r="A492" s="6"/>
      <c r="B492" s="6"/>
      <c r="C492" s="6"/>
      <c r="D492" s="10"/>
      <c r="E492" s="10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spans="1:15" ht="19.5" customHeight="1" x14ac:dyDescent="0.25">
      <c r="A493" s="6"/>
      <c r="B493" s="6"/>
      <c r="C493" s="6"/>
      <c r="D493" s="10"/>
      <c r="E493" s="10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 ht="19.5" customHeight="1" x14ac:dyDescent="0.25">
      <c r="A494" s="6"/>
      <c r="B494" s="6"/>
      <c r="C494" s="6"/>
      <c r="D494" s="10"/>
      <c r="E494" s="10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1:15" ht="19.5" customHeight="1" x14ac:dyDescent="0.25">
      <c r="A495" s="6"/>
      <c r="B495" s="6"/>
      <c r="C495" s="6"/>
      <c r="D495" s="10"/>
      <c r="E495" s="10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1:15" ht="19.5" customHeight="1" x14ac:dyDescent="0.25">
      <c r="A496" s="6"/>
      <c r="B496" s="6"/>
      <c r="C496" s="6"/>
      <c r="D496" s="10"/>
      <c r="E496" s="10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1:15" ht="19.5" customHeight="1" x14ac:dyDescent="0.25">
      <c r="A497" s="6"/>
      <c r="B497" s="6"/>
      <c r="C497" s="6"/>
      <c r="D497" s="10"/>
      <c r="E497" s="10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1:15" ht="19.5" customHeight="1" x14ac:dyDescent="0.25">
      <c r="A498" s="6"/>
      <c r="B498" s="6"/>
      <c r="C498" s="6"/>
      <c r="D498" s="10"/>
      <c r="E498" s="10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1:15" ht="19.5" customHeight="1" x14ac:dyDescent="0.25">
      <c r="A499" s="6"/>
      <c r="B499" s="6"/>
      <c r="C499" s="6"/>
      <c r="D499" s="10"/>
      <c r="E499" s="10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1:15" ht="19.5" customHeight="1" x14ac:dyDescent="0.25">
      <c r="A500" s="6"/>
      <c r="B500" s="6"/>
      <c r="C500" s="6"/>
      <c r="D500" s="10"/>
      <c r="E500" s="10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spans="1:15" ht="19.5" customHeight="1" x14ac:dyDescent="0.25">
      <c r="A501" s="6"/>
      <c r="B501" s="6"/>
      <c r="C501" s="6"/>
      <c r="D501" s="10"/>
      <c r="E501" s="10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spans="1:15" ht="19.5" customHeight="1" x14ac:dyDescent="0.25">
      <c r="A502" s="6"/>
      <c r="B502" s="6"/>
      <c r="C502" s="6"/>
      <c r="D502" s="10"/>
      <c r="E502" s="10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spans="1:15" ht="19.5" customHeight="1" x14ac:dyDescent="0.25">
      <c r="A503" s="6"/>
      <c r="B503" s="6"/>
      <c r="C503" s="6"/>
      <c r="D503" s="10"/>
      <c r="E503" s="10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spans="1:15" ht="19.5" customHeight="1" x14ac:dyDescent="0.25">
      <c r="A504" s="6"/>
      <c r="B504" s="6"/>
      <c r="C504" s="6"/>
      <c r="D504" s="10"/>
      <c r="E504" s="10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spans="1:15" ht="19.5" customHeight="1" x14ac:dyDescent="0.25">
      <c r="A505" s="6"/>
      <c r="B505" s="6"/>
      <c r="C505" s="6"/>
      <c r="D505" s="10"/>
      <c r="E505" s="10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spans="1:15" ht="19.5" customHeight="1" x14ac:dyDescent="0.25">
      <c r="A506" s="6"/>
      <c r="B506" s="6"/>
      <c r="C506" s="6"/>
      <c r="D506" s="10"/>
      <c r="E506" s="10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spans="1:15" ht="19.5" customHeight="1" x14ac:dyDescent="0.25">
      <c r="A507" s="6"/>
      <c r="B507" s="6"/>
      <c r="C507" s="6"/>
      <c r="D507" s="10"/>
      <c r="E507" s="10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spans="1:15" ht="19.5" customHeight="1" x14ac:dyDescent="0.25">
      <c r="A508" s="6"/>
      <c r="B508" s="6"/>
      <c r="C508" s="6"/>
      <c r="D508" s="10"/>
      <c r="E508" s="10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spans="1:15" ht="19.5" customHeight="1" x14ac:dyDescent="0.25">
      <c r="A509" s="6"/>
      <c r="B509" s="6"/>
      <c r="C509" s="6"/>
      <c r="D509" s="10"/>
      <c r="E509" s="10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spans="1:15" ht="19.5" customHeight="1" x14ac:dyDescent="0.25">
      <c r="A510" s="6"/>
      <c r="B510" s="6"/>
      <c r="C510" s="6"/>
      <c r="D510" s="10"/>
      <c r="E510" s="10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spans="1:15" ht="19.5" customHeight="1" x14ac:dyDescent="0.25">
      <c r="A511" s="6"/>
      <c r="B511" s="6"/>
      <c r="C511" s="6"/>
      <c r="D511" s="10"/>
      <c r="E511" s="10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spans="1:15" ht="19.5" customHeight="1" x14ac:dyDescent="0.25">
      <c r="A512" s="6"/>
      <c r="B512" s="6"/>
      <c r="C512" s="6"/>
      <c r="D512" s="10"/>
      <c r="E512" s="10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spans="1:15" ht="19.5" customHeight="1" x14ac:dyDescent="0.25">
      <c r="A513" s="6"/>
      <c r="B513" s="6"/>
      <c r="C513" s="6"/>
      <c r="D513" s="10"/>
      <c r="E513" s="10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spans="1:15" ht="19.5" customHeight="1" x14ac:dyDescent="0.25">
      <c r="A514" s="6"/>
      <c r="B514" s="6"/>
      <c r="C514" s="6"/>
      <c r="D514" s="10"/>
      <c r="E514" s="10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spans="1:15" ht="19.5" customHeight="1" x14ac:dyDescent="0.25">
      <c r="A515" s="6"/>
      <c r="B515" s="6"/>
      <c r="C515" s="6"/>
      <c r="D515" s="10"/>
      <c r="E515" s="10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spans="1:15" ht="19.5" customHeight="1" x14ac:dyDescent="0.25">
      <c r="A516" s="6"/>
      <c r="B516" s="6"/>
      <c r="C516" s="6"/>
      <c r="D516" s="10"/>
      <c r="E516" s="10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spans="1:15" ht="19.5" customHeight="1" x14ac:dyDescent="0.25">
      <c r="A517" s="6"/>
      <c r="B517" s="6"/>
      <c r="C517" s="6"/>
      <c r="D517" s="10"/>
      <c r="E517" s="10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spans="1:15" ht="19.5" customHeight="1" x14ac:dyDescent="0.25">
      <c r="A518" s="6"/>
      <c r="B518" s="6"/>
      <c r="C518" s="6"/>
      <c r="D518" s="10"/>
      <c r="E518" s="10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spans="1:15" ht="19.5" customHeight="1" x14ac:dyDescent="0.25">
      <c r="A519" s="6"/>
      <c r="B519" s="6"/>
      <c r="C519" s="6"/>
      <c r="D519" s="10"/>
      <c r="E519" s="10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spans="1:15" ht="19.5" customHeight="1" x14ac:dyDescent="0.25">
      <c r="A520" s="6"/>
      <c r="B520" s="6"/>
      <c r="C520" s="6"/>
      <c r="D520" s="10"/>
      <c r="E520" s="10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spans="1:15" ht="19.5" customHeight="1" x14ac:dyDescent="0.25">
      <c r="A521" s="6"/>
      <c r="B521" s="6"/>
      <c r="C521" s="6"/>
      <c r="D521" s="10"/>
      <c r="E521" s="10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spans="1:15" ht="19.5" customHeight="1" x14ac:dyDescent="0.25">
      <c r="A522" s="6"/>
      <c r="B522" s="6"/>
      <c r="C522" s="6"/>
      <c r="D522" s="10"/>
      <c r="E522" s="10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spans="1:15" ht="19.5" customHeight="1" x14ac:dyDescent="0.25">
      <c r="A523" s="6"/>
      <c r="B523" s="6"/>
      <c r="C523" s="6"/>
      <c r="D523" s="10"/>
      <c r="E523" s="10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spans="1:15" ht="19.5" customHeight="1" x14ac:dyDescent="0.25">
      <c r="A524" s="6"/>
      <c r="B524" s="6"/>
      <c r="C524" s="6"/>
      <c r="D524" s="10"/>
      <c r="E524" s="10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spans="1:15" ht="19.5" customHeight="1" x14ac:dyDescent="0.25">
      <c r="A525" s="6"/>
      <c r="B525" s="6"/>
      <c r="C525" s="6"/>
      <c r="D525" s="10"/>
      <c r="E525" s="10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spans="1:15" ht="19.5" customHeight="1" x14ac:dyDescent="0.25">
      <c r="A526" s="6"/>
      <c r="B526" s="6"/>
      <c r="C526" s="6"/>
      <c r="D526" s="10"/>
      <c r="E526" s="10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spans="1:15" ht="19.5" customHeight="1" x14ac:dyDescent="0.25">
      <c r="A527" s="6"/>
      <c r="B527" s="6"/>
      <c r="C527" s="6"/>
      <c r="D527" s="10"/>
      <c r="E527" s="10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spans="1:15" ht="19.5" customHeight="1" x14ac:dyDescent="0.25">
      <c r="A528" s="6"/>
      <c r="B528" s="6"/>
      <c r="C528" s="6"/>
      <c r="D528" s="10"/>
      <c r="E528" s="10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spans="1:15" ht="19.5" customHeight="1" x14ac:dyDescent="0.25">
      <c r="A529" s="6"/>
      <c r="B529" s="6"/>
      <c r="C529" s="6"/>
      <c r="D529" s="10"/>
      <c r="E529" s="10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spans="1:15" ht="19.5" customHeight="1" x14ac:dyDescent="0.25">
      <c r="A530" s="6"/>
      <c r="B530" s="6"/>
      <c r="C530" s="6"/>
      <c r="D530" s="10"/>
      <c r="E530" s="10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spans="1:15" ht="19.5" customHeight="1" x14ac:dyDescent="0.25">
      <c r="A531" s="6"/>
      <c r="B531" s="6"/>
      <c r="C531" s="6"/>
      <c r="D531" s="10"/>
      <c r="E531" s="10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spans="1:15" ht="19.5" customHeight="1" x14ac:dyDescent="0.25">
      <c r="A532" s="6"/>
      <c r="B532" s="6"/>
      <c r="C532" s="6"/>
      <c r="D532" s="10"/>
      <c r="E532" s="10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spans="1:15" ht="19.5" customHeight="1" x14ac:dyDescent="0.25">
      <c r="A533" s="6"/>
      <c r="B533" s="6"/>
      <c r="C533" s="6"/>
      <c r="D533" s="10"/>
      <c r="E533" s="10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spans="1:15" ht="19.5" customHeight="1" x14ac:dyDescent="0.25">
      <c r="A534" s="6"/>
      <c r="B534" s="6"/>
      <c r="C534" s="6"/>
      <c r="D534" s="10"/>
      <c r="E534" s="10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spans="1:15" ht="19.5" customHeight="1" x14ac:dyDescent="0.25">
      <c r="A535" s="6"/>
      <c r="B535" s="6"/>
      <c r="C535" s="6"/>
      <c r="D535" s="10"/>
      <c r="E535" s="10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spans="1:15" ht="19.5" customHeight="1" x14ac:dyDescent="0.25">
      <c r="A536" s="6"/>
      <c r="B536" s="6"/>
      <c r="C536" s="6"/>
      <c r="D536" s="10"/>
      <c r="E536" s="10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spans="1:15" ht="19.5" customHeight="1" x14ac:dyDescent="0.25">
      <c r="A537" s="6"/>
      <c r="B537" s="6"/>
      <c r="C537" s="6"/>
      <c r="D537" s="10"/>
      <c r="E537" s="10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spans="1:15" ht="19.5" customHeight="1" x14ac:dyDescent="0.25">
      <c r="A538" s="6"/>
      <c r="B538" s="6"/>
      <c r="C538" s="6"/>
      <c r="D538" s="10"/>
      <c r="E538" s="10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spans="1:15" ht="19.5" customHeight="1" x14ac:dyDescent="0.25">
      <c r="A539" s="6"/>
      <c r="B539" s="6"/>
      <c r="C539" s="6"/>
      <c r="D539" s="10"/>
      <c r="E539" s="10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spans="1:15" ht="19.5" customHeight="1" x14ac:dyDescent="0.25">
      <c r="A540" s="6"/>
      <c r="B540" s="6"/>
      <c r="C540" s="6"/>
      <c r="D540" s="10"/>
      <c r="E540" s="10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spans="1:15" ht="19.5" customHeight="1" x14ac:dyDescent="0.25">
      <c r="A541" s="6"/>
      <c r="B541" s="6"/>
      <c r="C541" s="6"/>
      <c r="D541" s="10"/>
      <c r="E541" s="10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spans="1:15" ht="19.5" customHeight="1" x14ac:dyDescent="0.25">
      <c r="A542" s="6"/>
      <c r="B542" s="6"/>
      <c r="C542" s="6"/>
      <c r="D542" s="10"/>
      <c r="E542" s="10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spans="1:15" ht="19.5" customHeight="1" x14ac:dyDescent="0.25">
      <c r="A543" s="6"/>
      <c r="B543" s="6"/>
      <c r="C543" s="6"/>
      <c r="D543" s="10"/>
      <c r="E543" s="10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spans="1:15" ht="19.5" customHeight="1" x14ac:dyDescent="0.25">
      <c r="A544" s="6"/>
      <c r="B544" s="6"/>
      <c r="C544" s="6"/>
      <c r="D544" s="10"/>
      <c r="E544" s="10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spans="1:15" ht="19.5" customHeight="1" x14ac:dyDescent="0.25">
      <c r="A545" s="6"/>
      <c r="B545" s="6"/>
      <c r="C545" s="6"/>
      <c r="D545" s="10"/>
      <c r="E545" s="10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spans="1:15" ht="19.5" customHeight="1" x14ac:dyDescent="0.25">
      <c r="A546" s="6"/>
      <c r="B546" s="6"/>
      <c r="C546" s="6"/>
      <c r="D546" s="10"/>
      <c r="E546" s="10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spans="1:15" ht="19.5" customHeight="1" x14ac:dyDescent="0.25">
      <c r="A547" s="6"/>
      <c r="B547" s="6"/>
      <c r="C547" s="6"/>
      <c r="D547" s="10"/>
      <c r="E547" s="10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spans="1:15" ht="19.5" customHeight="1" x14ac:dyDescent="0.25">
      <c r="A548" s="6"/>
      <c r="B548" s="6"/>
      <c r="C548" s="6"/>
      <c r="D548" s="10"/>
      <c r="E548" s="10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spans="1:15" ht="19.5" customHeight="1" x14ac:dyDescent="0.25">
      <c r="A549" s="6"/>
      <c r="B549" s="6"/>
      <c r="C549" s="6"/>
      <c r="D549" s="10"/>
      <c r="E549" s="10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spans="1:15" ht="19.5" customHeight="1" x14ac:dyDescent="0.25">
      <c r="A550" s="6"/>
      <c r="B550" s="6"/>
      <c r="C550" s="6"/>
      <c r="D550" s="10"/>
      <c r="E550" s="10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spans="1:15" ht="19.5" customHeight="1" x14ac:dyDescent="0.25">
      <c r="A551" s="6"/>
      <c r="B551" s="6"/>
      <c r="C551" s="6"/>
      <c r="D551" s="10"/>
      <c r="E551" s="10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spans="1:15" ht="19.5" customHeight="1" x14ac:dyDescent="0.25">
      <c r="A552" s="6"/>
      <c r="B552" s="6"/>
      <c r="C552" s="6"/>
      <c r="D552" s="10"/>
      <c r="E552" s="10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spans="1:15" ht="19.5" customHeight="1" x14ac:dyDescent="0.25">
      <c r="A553" s="6"/>
      <c r="B553" s="6"/>
      <c r="C553" s="6"/>
      <c r="D553" s="10"/>
      <c r="E553" s="10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spans="1:15" ht="19.5" customHeight="1" x14ac:dyDescent="0.25">
      <c r="A554" s="6"/>
      <c r="B554" s="6"/>
      <c r="C554" s="6"/>
      <c r="D554" s="10"/>
      <c r="E554" s="10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spans="1:15" ht="19.5" customHeight="1" x14ac:dyDescent="0.25">
      <c r="A555" s="6"/>
      <c r="B555" s="6"/>
      <c r="C555" s="6"/>
      <c r="D555" s="10"/>
      <c r="E555" s="10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spans="1:15" ht="19.5" customHeight="1" x14ac:dyDescent="0.25">
      <c r="A556" s="6"/>
      <c r="B556" s="6"/>
      <c r="C556" s="6"/>
      <c r="D556" s="10"/>
      <c r="E556" s="10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spans="1:15" ht="19.5" customHeight="1" x14ac:dyDescent="0.25">
      <c r="A557" s="6"/>
      <c r="B557" s="6"/>
      <c r="C557" s="6"/>
      <c r="D557" s="10"/>
      <c r="E557" s="10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spans="1:15" ht="19.5" customHeight="1" x14ac:dyDescent="0.25">
      <c r="A558" s="6"/>
      <c r="B558" s="6"/>
      <c r="C558" s="6"/>
      <c r="D558" s="10"/>
      <c r="E558" s="10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spans="1:15" ht="19.5" customHeight="1" x14ac:dyDescent="0.25">
      <c r="A559" s="6"/>
      <c r="B559" s="6"/>
      <c r="C559" s="6"/>
      <c r="D559" s="10"/>
      <c r="E559" s="10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spans="1:15" ht="19.5" customHeight="1" x14ac:dyDescent="0.25">
      <c r="A560" s="6"/>
      <c r="B560" s="6"/>
      <c r="C560" s="6"/>
      <c r="D560" s="10"/>
      <c r="E560" s="10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spans="1:15" ht="19.5" customHeight="1" x14ac:dyDescent="0.25">
      <c r="A561" s="6"/>
      <c r="B561" s="6"/>
      <c r="C561" s="6"/>
      <c r="D561" s="10"/>
      <c r="E561" s="10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spans="1:15" ht="19.5" customHeight="1" x14ac:dyDescent="0.25">
      <c r="A562" s="6"/>
      <c r="B562" s="6"/>
      <c r="C562" s="6"/>
      <c r="D562" s="10"/>
      <c r="E562" s="10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spans="1:15" ht="19.5" customHeight="1" x14ac:dyDescent="0.25">
      <c r="A563" s="6"/>
      <c r="B563" s="6"/>
      <c r="C563" s="6"/>
      <c r="D563" s="10"/>
      <c r="E563" s="10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spans="1:15" ht="19.5" customHeight="1" x14ac:dyDescent="0.25">
      <c r="A564" s="6"/>
      <c r="B564" s="6"/>
      <c r="C564" s="6"/>
      <c r="D564" s="10"/>
      <c r="E564" s="10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spans="1:15" ht="19.5" customHeight="1" x14ac:dyDescent="0.25">
      <c r="A565" s="6"/>
      <c r="B565" s="6"/>
      <c r="C565" s="6"/>
      <c r="D565" s="10"/>
      <c r="E565" s="10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spans="1:15" ht="19.5" customHeight="1" x14ac:dyDescent="0.25">
      <c r="A566" s="6"/>
      <c r="B566" s="6"/>
      <c r="C566" s="6"/>
      <c r="D566" s="10"/>
      <c r="E566" s="10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spans="1:15" ht="19.5" customHeight="1" x14ac:dyDescent="0.25">
      <c r="A567" s="6"/>
      <c r="B567" s="6"/>
      <c r="C567" s="6"/>
      <c r="D567" s="10"/>
      <c r="E567" s="10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spans="1:15" ht="19.5" customHeight="1" x14ac:dyDescent="0.25">
      <c r="A568" s="6"/>
      <c r="B568" s="6"/>
      <c r="C568" s="6"/>
      <c r="D568" s="10"/>
      <c r="E568" s="10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spans="1:15" ht="19.5" customHeight="1" x14ac:dyDescent="0.25">
      <c r="A569" s="6"/>
      <c r="B569" s="6"/>
      <c r="C569" s="6"/>
      <c r="D569" s="10"/>
      <c r="E569" s="10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spans="1:15" ht="19.5" customHeight="1" x14ac:dyDescent="0.25">
      <c r="A570" s="6"/>
      <c r="B570" s="6"/>
      <c r="C570" s="6"/>
      <c r="D570" s="10"/>
      <c r="E570" s="10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spans="1:15" ht="19.5" customHeight="1" x14ac:dyDescent="0.25">
      <c r="A571" s="6"/>
      <c r="B571" s="6"/>
      <c r="C571" s="6"/>
      <c r="D571" s="10"/>
      <c r="E571" s="10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spans="1:15" ht="19.5" customHeight="1" x14ac:dyDescent="0.25">
      <c r="A572" s="6"/>
      <c r="B572" s="6"/>
      <c r="C572" s="6"/>
      <c r="D572" s="10"/>
      <c r="E572" s="10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spans="1:15" ht="19.5" customHeight="1" x14ac:dyDescent="0.25">
      <c r="A573" s="6"/>
      <c r="B573" s="6"/>
      <c r="C573" s="6"/>
      <c r="D573" s="10"/>
      <c r="E573" s="10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spans="1:15" ht="19.5" customHeight="1" x14ac:dyDescent="0.25">
      <c r="A574" s="6"/>
      <c r="B574" s="6"/>
      <c r="C574" s="6"/>
      <c r="D574" s="10"/>
      <c r="E574" s="10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spans="1:15" ht="19.5" customHeight="1" x14ac:dyDescent="0.25">
      <c r="A575" s="6"/>
      <c r="B575" s="6"/>
      <c r="C575" s="6"/>
      <c r="D575" s="10"/>
      <c r="E575" s="10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spans="1:15" ht="19.5" customHeight="1" x14ac:dyDescent="0.25">
      <c r="A576" s="6"/>
      <c r="B576" s="6"/>
      <c r="C576" s="6"/>
      <c r="D576" s="10"/>
      <c r="E576" s="10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spans="1:15" ht="19.5" customHeight="1" x14ac:dyDescent="0.25">
      <c r="A577" s="6"/>
      <c r="B577" s="6"/>
      <c r="C577" s="6"/>
      <c r="D577" s="10"/>
      <c r="E577" s="10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spans="1:15" ht="19.5" customHeight="1" x14ac:dyDescent="0.25">
      <c r="A578" s="6"/>
      <c r="B578" s="6"/>
      <c r="C578" s="6"/>
      <c r="D578" s="10"/>
      <c r="E578" s="10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spans="1:15" ht="19.5" customHeight="1" x14ac:dyDescent="0.25">
      <c r="A579" s="6"/>
      <c r="B579" s="6"/>
      <c r="C579" s="6"/>
      <c r="D579" s="10"/>
      <c r="E579" s="10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spans="1:15" ht="19.5" customHeight="1" x14ac:dyDescent="0.25">
      <c r="A580" s="6"/>
      <c r="B580" s="6"/>
      <c r="C580" s="6"/>
      <c r="D580" s="10"/>
      <c r="E580" s="10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spans="1:15" ht="19.5" customHeight="1" x14ac:dyDescent="0.25">
      <c r="A581" s="6"/>
      <c r="B581" s="6"/>
      <c r="C581" s="6"/>
      <c r="D581" s="10"/>
      <c r="E581" s="10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spans="1:15" ht="19.5" customHeight="1" x14ac:dyDescent="0.25">
      <c r="A582" s="6"/>
      <c r="B582" s="6"/>
      <c r="C582" s="6"/>
      <c r="D582" s="10"/>
      <c r="E582" s="10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spans="1:15" ht="19.5" customHeight="1" x14ac:dyDescent="0.25">
      <c r="A583" s="6"/>
      <c r="B583" s="6"/>
      <c r="C583" s="6"/>
      <c r="D583" s="10"/>
      <c r="E583" s="10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spans="1:15" ht="19.5" customHeight="1" x14ac:dyDescent="0.25">
      <c r="A584" s="6"/>
      <c r="B584" s="6"/>
      <c r="C584" s="6"/>
      <c r="D584" s="10"/>
      <c r="E584" s="10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spans="1:15" ht="19.5" customHeight="1" x14ac:dyDescent="0.25">
      <c r="A585" s="6"/>
      <c r="B585" s="6"/>
      <c r="C585" s="6"/>
      <c r="D585" s="10"/>
      <c r="E585" s="10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spans="1:15" ht="19.5" customHeight="1" x14ac:dyDescent="0.25">
      <c r="A586" s="6"/>
      <c r="B586" s="6"/>
      <c r="C586" s="6"/>
      <c r="D586" s="10"/>
      <c r="E586" s="10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spans="1:15" ht="19.5" customHeight="1" x14ac:dyDescent="0.25">
      <c r="A587" s="6"/>
      <c r="B587" s="6"/>
      <c r="C587" s="6"/>
      <c r="D587" s="10"/>
      <c r="E587" s="10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spans="1:15" ht="19.5" customHeight="1" x14ac:dyDescent="0.25">
      <c r="A588" s="6"/>
      <c r="B588" s="6"/>
      <c r="C588" s="6"/>
      <c r="D588" s="10"/>
      <c r="E588" s="10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spans="1:15" ht="19.5" customHeight="1" x14ac:dyDescent="0.25">
      <c r="A589" s="6"/>
      <c r="B589" s="6"/>
      <c r="C589" s="6"/>
      <c r="D589" s="10"/>
      <c r="E589" s="10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spans="1:15" ht="19.5" customHeight="1" x14ac:dyDescent="0.25">
      <c r="A590" s="6"/>
      <c r="B590" s="6"/>
      <c r="C590" s="6"/>
      <c r="D590" s="10"/>
      <c r="E590" s="10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spans="1:15" ht="19.5" customHeight="1" x14ac:dyDescent="0.25">
      <c r="A591" s="6"/>
      <c r="B591" s="6"/>
      <c r="C591" s="6"/>
      <c r="D591" s="10"/>
      <c r="E591" s="10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spans="1:15" ht="19.5" customHeight="1" x14ac:dyDescent="0.25">
      <c r="A592" s="6"/>
      <c r="B592" s="6"/>
      <c r="C592" s="6"/>
      <c r="D592" s="10"/>
      <c r="E592" s="10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spans="1:15" ht="19.5" customHeight="1" x14ac:dyDescent="0.25">
      <c r="A593" s="6"/>
      <c r="B593" s="6"/>
      <c r="C593" s="6"/>
      <c r="D593" s="10"/>
      <c r="E593" s="10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spans="1:15" ht="19.5" customHeight="1" x14ac:dyDescent="0.25">
      <c r="A594" s="6"/>
      <c r="B594" s="6"/>
      <c r="C594" s="6"/>
      <c r="D594" s="10"/>
      <c r="E594" s="10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spans="1:15" ht="19.5" customHeight="1" x14ac:dyDescent="0.25">
      <c r="A595" s="6"/>
      <c r="B595" s="6"/>
      <c r="C595" s="6"/>
      <c r="D595" s="10"/>
      <c r="E595" s="10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spans="1:15" ht="19.5" customHeight="1" x14ac:dyDescent="0.25">
      <c r="A596" s="6"/>
      <c r="B596" s="6"/>
      <c r="C596" s="6"/>
      <c r="D596" s="10"/>
      <c r="E596" s="10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spans="1:15" ht="19.5" customHeight="1" x14ac:dyDescent="0.25">
      <c r="A597" s="6"/>
      <c r="B597" s="6"/>
      <c r="C597" s="6"/>
      <c r="D597" s="10"/>
      <c r="E597" s="10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spans="1:15" ht="19.5" customHeight="1" x14ac:dyDescent="0.25">
      <c r="A598" s="6"/>
      <c r="B598" s="6"/>
      <c r="C598" s="6"/>
      <c r="D598" s="10"/>
      <c r="E598" s="10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spans="1:15" ht="19.5" customHeight="1" x14ac:dyDescent="0.25">
      <c r="A599" s="6"/>
      <c r="B599" s="6"/>
      <c r="C599" s="6"/>
      <c r="D599" s="10"/>
      <c r="E599" s="10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spans="1:15" ht="19.5" customHeight="1" x14ac:dyDescent="0.25">
      <c r="A600" s="6"/>
      <c r="B600" s="6"/>
      <c r="C600" s="6"/>
      <c r="D600" s="10"/>
      <c r="E600" s="10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spans="1:15" ht="19.5" customHeight="1" x14ac:dyDescent="0.25">
      <c r="A601" s="6"/>
      <c r="B601" s="6"/>
      <c r="C601" s="6"/>
      <c r="D601" s="10"/>
      <c r="E601" s="10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spans="1:15" ht="19.5" customHeight="1" x14ac:dyDescent="0.25">
      <c r="A602" s="6"/>
      <c r="B602" s="6"/>
      <c r="C602" s="6"/>
      <c r="D602" s="10"/>
      <c r="E602" s="10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spans="1:15" ht="19.5" customHeight="1" x14ac:dyDescent="0.25">
      <c r="A603" s="6"/>
      <c r="B603" s="6"/>
      <c r="C603" s="6"/>
      <c r="D603" s="10"/>
      <c r="E603" s="10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spans="1:15" ht="19.5" customHeight="1" x14ac:dyDescent="0.25">
      <c r="A604" s="6"/>
      <c r="B604" s="6"/>
      <c r="C604" s="6"/>
      <c r="D604" s="10"/>
      <c r="E604" s="10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spans="1:15" ht="19.5" customHeight="1" x14ac:dyDescent="0.25">
      <c r="A605" s="6"/>
      <c r="B605" s="6"/>
      <c r="C605" s="6"/>
      <c r="D605" s="10"/>
      <c r="E605" s="10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spans="1:15" ht="19.5" customHeight="1" x14ac:dyDescent="0.25">
      <c r="A606" s="6"/>
      <c r="B606" s="6"/>
      <c r="C606" s="6"/>
      <c r="D606" s="10"/>
      <c r="E606" s="10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spans="1:15" ht="19.5" customHeight="1" x14ac:dyDescent="0.25">
      <c r="A607" s="6"/>
      <c r="B607" s="6"/>
      <c r="C607" s="6"/>
      <c r="D607" s="10"/>
      <c r="E607" s="10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spans="1:15" ht="19.5" customHeight="1" x14ac:dyDescent="0.25">
      <c r="A608" s="6"/>
      <c r="B608" s="6"/>
      <c r="C608" s="6"/>
      <c r="D608" s="10"/>
      <c r="E608" s="10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spans="1:15" ht="19.5" customHeight="1" x14ac:dyDescent="0.25">
      <c r="A609" s="6"/>
      <c r="B609" s="6"/>
      <c r="C609" s="6"/>
      <c r="D609" s="10"/>
      <c r="E609" s="10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spans="1:15" ht="19.5" customHeight="1" x14ac:dyDescent="0.25">
      <c r="A610" s="6"/>
      <c r="B610" s="6"/>
      <c r="C610" s="6"/>
      <c r="D610" s="10"/>
      <c r="E610" s="10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spans="1:15" ht="19.5" customHeight="1" x14ac:dyDescent="0.25">
      <c r="A611" s="6"/>
      <c r="B611" s="6"/>
      <c r="C611" s="6"/>
      <c r="D611" s="10"/>
      <c r="E611" s="10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spans="1:15" ht="19.5" customHeight="1" x14ac:dyDescent="0.25">
      <c r="A612" s="6"/>
      <c r="B612" s="6"/>
      <c r="C612" s="6"/>
      <c r="D612" s="10"/>
      <c r="E612" s="10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spans="1:15" ht="19.5" customHeight="1" x14ac:dyDescent="0.25">
      <c r="A613" s="6"/>
      <c r="B613" s="6"/>
      <c r="C613" s="6"/>
      <c r="D613" s="10"/>
      <c r="E613" s="10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spans="1:15" ht="19.5" customHeight="1" x14ac:dyDescent="0.25">
      <c r="A614" s="6"/>
      <c r="B614" s="6"/>
      <c r="C614" s="6"/>
      <c r="D614" s="10"/>
      <c r="E614" s="10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spans="1:15" ht="19.5" customHeight="1" x14ac:dyDescent="0.25">
      <c r="A615" s="6"/>
      <c r="B615" s="6"/>
      <c r="C615" s="6"/>
      <c r="D615" s="10"/>
      <c r="E615" s="10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spans="1:15" ht="19.5" customHeight="1" x14ac:dyDescent="0.25">
      <c r="A616" s="6"/>
      <c r="B616" s="6"/>
      <c r="C616" s="6"/>
      <c r="D616" s="10"/>
      <c r="E616" s="10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spans="1:15" ht="19.5" customHeight="1" x14ac:dyDescent="0.25">
      <c r="A617" s="6"/>
      <c r="B617" s="6"/>
      <c r="C617" s="6"/>
      <c r="D617" s="10"/>
      <c r="E617" s="10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spans="1:15" ht="19.5" customHeight="1" x14ac:dyDescent="0.25">
      <c r="A618" s="6"/>
      <c r="B618" s="6"/>
      <c r="C618" s="6"/>
      <c r="D618" s="10"/>
      <c r="E618" s="10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spans="1:15" ht="19.5" customHeight="1" x14ac:dyDescent="0.25">
      <c r="A619" s="6"/>
      <c r="B619" s="6"/>
      <c r="C619" s="6"/>
      <c r="D619" s="10"/>
      <c r="E619" s="10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spans="1:15" ht="19.5" customHeight="1" x14ac:dyDescent="0.25">
      <c r="A620" s="6"/>
      <c r="B620" s="6"/>
      <c r="C620" s="6"/>
      <c r="D620" s="10"/>
      <c r="E620" s="10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spans="1:15" ht="19.5" customHeight="1" x14ac:dyDescent="0.25">
      <c r="A621" s="6"/>
      <c r="B621" s="6"/>
      <c r="C621" s="6"/>
      <c r="D621" s="10"/>
      <c r="E621" s="10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spans="1:15" ht="19.5" customHeight="1" x14ac:dyDescent="0.25">
      <c r="A622" s="6"/>
      <c r="B622" s="6"/>
      <c r="C622" s="6"/>
      <c r="D622" s="10"/>
      <c r="E622" s="10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spans="1:15" ht="19.5" customHeight="1" x14ac:dyDescent="0.25">
      <c r="A623" s="6"/>
      <c r="B623" s="6"/>
      <c r="C623" s="6"/>
      <c r="D623" s="10"/>
      <c r="E623" s="10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spans="1:15" ht="19.5" customHeight="1" x14ac:dyDescent="0.25">
      <c r="A624" s="6"/>
      <c r="B624" s="6"/>
      <c r="C624" s="6"/>
      <c r="D624" s="10"/>
      <c r="E624" s="10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spans="1:15" ht="19.5" customHeight="1" x14ac:dyDescent="0.25">
      <c r="A625" s="6"/>
      <c r="B625" s="6"/>
      <c r="C625" s="6"/>
      <c r="D625" s="10"/>
      <c r="E625" s="10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spans="1:15" ht="19.5" customHeight="1" x14ac:dyDescent="0.25">
      <c r="A626" s="6"/>
      <c r="B626" s="6"/>
      <c r="C626" s="6"/>
      <c r="D626" s="10"/>
      <c r="E626" s="10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spans="1:15" ht="19.5" customHeight="1" x14ac:dyDescent="0.25">
      <c r="A627" s="6"/>
      <c r="B627" s="6"/>
      <c r="C627" s="6"/>
      <c r="D627" s="10"/>
      <c r="E627" s="10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spans="1:15" ht="19.5" customHeight="1" x14ac:dyDescent="0.25">
      <c r="A628" s="6"/>
      <c r="B628" s="6"/>
      <c r="C628" s="6"/>
      <c r="D628" s="10"/>
      <c r="E628" s="10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spans="1:15" ht="19.5" customHeight="1" x14ac:dyDescent="0.25">
      <c r="A629" s="6"/>
      <c r="B629" s="6"/>
      <c r="C629" s="6"/>
      <c r="D629" s="10"/>
      <c r="E629" s="10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spans="1:15" ht="19.5" customHeight="1" x14ac:dyDescent="0.25">
      <c r="A630" s="6"/>
      <c r="B630" s="6"/>
      <c r="C630" s="6"/>
      <c r="D630" s="10"/>
      <c r="E630" s="10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spans="1:15" ht="19.5" customHeight="1" x14ac:dyDescent="0.25">
      <c r="A631" s="6"/>
      <c r="B631" s="6"/>
      <c r="C631" s="6"/>
      <c r="D631" s="10"/>
      <c r="E631" s="10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spans="1:15" ht="19.5" customHeight="1" x14ac:dyDescent="0.25">
      <c r="A632" s="6"/>
      <c r="B632" s="6"/>
      <c r="C632" s="6"/>
      <c r="D632" s="10"/>
      <c r="E632" s="10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spans="1:15" ht="19.5" customHeight="1" x14ac:dyDescent="0.25">
      <c r="A633" s="6"/>
      <c r="B633" s="6"/>
      <c r="C633" s="6"/>
      <c r="D633" s="10"/>
      <c r="E633" s="10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spans="1:15" ht="19.5" customHeight="1" x14ac:dyDescent="0.25">
      <c r="A634" s="6"/>
      <c r="B634" s="6"/>
      <c r="C634" s="6"/>
      <c r="D634" s="10"/>
      <c r="E634" s="10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spans="1:15" ht="19.5" customHeight="1" x14ac:dyDescent="0.25">
      <c r="A635" s="6"/>
      <c r="B635" s="6"/>
      <c r="C635" s="6"/>
      <c r="D635" s="10"/>
      <c r="E635" s="10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spans="1:15" ht="19.5" customHeight="1" x14ac:dyDescent="0.25">
      <c r="A636" s="6"/>
      <c r="B636" s="6"/>
      <c r="C636" s="6"/>
      <c r="D636" s="10"/>
      <c r="E636" s="10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spans="1:15" ht="19.5" customHeight="1" x14ac:dyDescent="0.25">
      <c r="A637" s="6"/>
      <c r="B637" s="6"/>
      <c r="C637" s="6"/>
      <c r="D637" s="10"/>
      <c r="E637" s="10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spans="1:15" ht="19.5" customHeight="1" x14ac:dyDescent="0.25">
      <c r="A638" s="6"/>
      <c r="B638" s="6"/>
      <c r="C638" s="6"/>
      <c r="D638" s="10"/>
      <c r="E638" s="10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spans="1:15" ht="19.5" customHeight="1" x14ac:dyDescent="0.25">
      <c r="A639" s="6"/>
      <c r="B639" s="6"/>
      <c r="C639" s="6"/>
      <c r="D639" s="10"/>
      <c r="E639" s="10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spans="1:15" ht="19.5" customHeight="1" x14ac:dyDescent="0.25">
      <c r="A640" s="6"/>
      <c r="B640" s="6"/>
      <c r="C640" s="6"/>
      <c r="D640" s="10"/>
      <c r="E640" s="10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spans="1:15" ht="19.5" customHeight="1" x14ac:dyDescent="0.25">
      <c r="A641" s="6"/>
      <c r="B641" s="6"/>
      <c r="C641" s="6"/>
      <c r="D641" s="10"/>
      <c r="E641" s="10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spans="1:15" ht="19.5" customHeight="1" x14ac:dyDescent="0.25">
      <c r="A642" s="6"/>
      <c r="B642" s="6"/>
      <c r="C642" s="6"/>
      <c r="D642" s="10"/>
      <c r="E642" s="10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spans="1:15" ht="19.5" customHeight="1" x14ac:dyDescent="0.25">
      <c r="A643" s="6"/>
      <c r="B643" s="6"/>
      <c r="C643" s="6"/>
      <c r="D643" s="10"/>
      <c r="E643" s="10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spans="1:15" ht="19.5" customHeight="1" x14ac:dyDescent="0.25">
      <c r="A644" s="6"/>
      <c r="B644" s="6"/>
      <c r="C644" s="6"/>
      <c r="D644" s="10"/>
      <c r="E644" s="10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spans="1:15" ht="19.5" customHeight="1" x14ac:dyDescent="0.25">
      <c r="A645" s="6"/>
      <c r="B645" s="6"/>
      <c r="C645" s="6"/>
      <c r="D645" s="10"/>
      <c r="E645" s="10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spans="1:15" ht="19.5" customHeight="1" x14ac:dyDescent="0.25">
      <c r="A646" s="6"/>
      <c r="B646" s="6"/>
      <c r="C646" s="6"/>
      <c r="D646" s="10"/>
      <c r="E646" s="10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spans="1:15" ht="19.5" customHeight="1" x14ac:dyDescent="0.25">
      <c r="A647" s="6"/>
      <c r="B647" s="6"/>
      <c r="C647" s="6"/>
      <c r="D647" s="10"/>
      <c r="E647" s="10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spans="1:15" ht="19.5" customHeight="1" x14ac:dyDescent="0.25">
      <c r="A648" s="6"/>
      <c r="B648" s="6"/>
      <c r="C648" s="6"/>
      <c r="D648" s="10"/>
      <c r="E648" s="10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spans="1:15" ht="19.5" customHeight="1" x14ac:dyDescent="0.25">
      <c r="A649" s="6"/>
      <c r="B649" s="6"/>
      <c r="C649" s="6"/>
      <c r="D649" s="10"/>
      <c r="E649" s="10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spans="1:15" ht="19.5" customHeight="1" x14ac:dyDescent="0.25">
      <c r="A650" s="6"/>
      <c r="B650" s="6"/>
      <c r="C650" s="6"/>
      <c r="D650" s="10"/>
      <c r="E650" s="10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spans="1:15" ht="19.5" customHeight="1" x14ac:dyDescent="0.25">
      <c r="A651" s="6"/>
      <c r="B651" s="6"/>
      <c r="C651" s="6"/>
      <c r="D651" s="10"/>
      <c r="E651" s="10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spans="1:15" ht="19.5" customHeight="1" x14ac:dyDescent="0.25">
      <c r="A652" s="6"/>
      <c r="B652" s="6"/>
      <c r="C652" s="6"/>
      <c r="D652" s="10"/>
      <c r="E652" s="10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spans="1:15" ht="19.5" customHeight="1" x14ac:dyDescent="0.25">
      <c r="A653" s="6"/>
      <c r="B653" s="6"/>
      <c r="C653" s="6"/>
      <c r="D653" s="10"/>
      <c r="E653" s="10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spans="1:15" ht="19.5" customHeight="1" x14ac:dyDescent="0.25">
      <c r="A654" s="6"/>
      <c r="B654" s="6"/>
      <c r="C654" s="6"/>
      <c r="D654" s="10"/>
      <c r="E654" s="10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spans="1:15" ht="19.5" customHeight="1" x14ac:dyDescent="0.25">
      <c r="A655" s="6"/>
      <c r="B655" s="6"/>
      <c r="C655" s="6"/>
      <c r="D655" s="10"/>
      <c r="E655" s="10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spans="1:15" ht="19.5" customHeight="1" x14ac:dyDescent="0.25">
      <c r="A656" s="6"/>
      <c r="B656" s="6"/>
      <c r="C656" s="6"/>
      <c r="D656" s="10"/>
      <c r="E656" s="10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spans="1:15" ht="19.5" customHeight="1" x14ac:dyDescent="0.25">
      <c r="A657" s="6"/>
      <c r="B657" s="6"/>
      <c r="C657" s="6"/>
      <c r="D657" s="10"/>
      <c r="E657" s="10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spans="1:15" ht="19.5" customHeight="1" x14ac:dyDescent="0.25">
      <c r="A658" s="6"/>
      <c r="B658" s="6"/>
      <c r="C658" s="6"/>
      <c r="D658" s="10"/>
      <c r="E658" s="10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spans="1:15" ht="19.5" customHeight="1" x14ac:dyDescent="0.25">
      <c r="A659" s="6"/>
      <c r="B659" s="6"/>
      <c r="C659" s="6"/>
      <c r="D659" s="10"/>
      <c r="E659" s="10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spans="1:15" ht="19.5" customHeight="1" x14ac:dyDescent="0.25">
      <c r="A660" s="6"/>
      <c r="B660" s="6"/>
      <c r="C660" s="6"/>
      <c r="D660" s="10"/>
      <c r="E660" s="10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spans="1:15" ht="19.5" customHeight="1" x14ac:dyDescent="0.25">
      <c r="A661" s="6"/>
      <c r="B661" s="6"/>
      <c r="C661" s="6"/>
      <c r="D661" s="10"/>
      <c r="E661" s="10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spans="1:15" ht="19.5" customHeight="1" x14ac:dyDescent="0.25">
      <c r="A662" s="6"/>
      <c r="B662" s="6"/>
      <c r="C662" s="6"/>
      <c r="D662" s="10"/>
      <c r="E662" s="10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spans="1:15" ht="19.5" customHeight="1" x14ac:dyDescent="0.25">
      <c r="A663" s="6"/>
      <c r="B663" s="6"/>
      <c r="C663" s="6"/>
      <c r="D663" s="10"/>
      <c r="E663" s="10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spans="1:15" ht="19.5" customHeight="1" x14ac:dyDescent="0.25">
      <c r="A664" s="6"/>
      <c r="B664" s="6"/>
      <c r="C664" s="6"/>
      <c r="D664" s="10"/>
      <c r="E664" s="10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spans="1:15" ht="19.5" customHeight="1" x14ac:dyDescent="0.25">
      <c r="A665" s="6"/>
      <c r="B665" s="6"/>
      <c r="C665" s="6"/>
      <c r="D665" s="10"/>
      <c r="E665" s="10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spans="1:15" ht="19.5" customHeight="1" x14ac:dyDescent="0.25">
      <c r="A666" s="6"/>
      <c r="B666" s="6"/>
      <c r="C666" s="6"/>
      <c r="D666" s="10"/>
      <c r="E666" s="10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spans="1:15" ht="19.5" customHeight="1" x14ac:dyDescent="0.25">
      <c r="A667" s="6"/>
      <c r="B667" s="6"/>
      <c r="C667" s="6"/>
      <c r="D667" s="10"/>
      <c r="E667" s="10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spans="1:15" ht="19.5" customHeight="1" x14ac:dyDescent="0.25">
      <c r="A668" s="6"/>
      <c r="B668" s="6"/>
      <c r="C668" s="6"/>
      <c r="D668" s="10"/>
      <c r="E668" s="10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spans="1:15" ht="19.5" customHeight="1" x14ac:dyDescent="0.25">
      <c r="A669" s="6"/>
      <c r="B669" s="6"/>
      <c r="C669" s="6"/>
      <c r="D669" s="10"/>
      <c r="E669" s="10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spans="1:15" ht="19.5" customHeight="1" x14ac:dyDescent="0.25">
      <c r="A670" s="6"/>
      <c r="B670" s="6"/>
      <c r="C670" s="6"/>
      <c r="D670" s="10"/>
      <c r="E670" s="10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spans="1:15" ht="19.5" customHeight="1" x14ac:dyDescent="0.25">
      <c r="A671" s="6"/>
      <c r="B671" s="6"/>
      <c r="C671" s="6"/>
      <c r="D671" s="10"/>
      <c r="E671" s="10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spans="1:15" ht="19.5" customHeight="1" x14ac:dyDescent="0.25">
      <c r="A672" s="6"/>
      <c r="B672" s="6"/>
      <c r="C672" s="6"/>
      <c r="D672" s="10"/>
      <c r="E672" s="10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spans="1:15" ht="19.5" customHeight="1" x14ac:dyDescent="0.25">
      <c r="A673" s="6"/>
      <c r="B673" s="6"/>
      <c r="C673" s="6"/>
      <c r="D673" s="10"/>
      <c r="E673" s="10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spans="1:15" ht="19.5" customHeight="1" x14ac:dyDescent="0.25">
      <c r="A674" s="6"/>
      <c r="B674" s="6"/>
      <c r="C674" s="6"/>
      <c r="D674" s="10"/>
      <c r="E674" s="10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spans="1:15" ht="19.5" customHeight="1" x14ac:dyDescent="0.25">
      <c r="A675" s="6"/>
      <c r="B675" s="6"/>
      <c r="C675" s="6"/>
      <c r="D675" s="10"/>
      <c r="E675" s="10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spans="1:15" ht="19.5" customHeight="1" x14ac:dyDescent="0.25">
      <c r="A676" s="6"/>
      <c r="B676" s="6"/>
      <c r="C676" s="6"/>
      <c r="D676" s="10"/>
      <c r="E676" s="10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spans="1:15" ht="19.5" customHeight="1" x14ac:dyDescent="0.25">
      <c r="A677" s="6"/>
      <c r="B677" s="6"/>
      <c r="C677" s="6"/>
      <c r="D677" s="10"/>
      <c r="E677" s="10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spans="1:15" ht="19.5" customHeight="1" x14ac:dyDescent="0.25">
      <c r="A678" s="6"/>
      <c r="B678" s="6"/>
      <c r="C678" s="6"/>
      <c r="D678" s="10"/>
      <c r="E678" s="10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spans="1:15" ht="19.5" customHeight="1" x14ac:dyDescent="0.25">
      <c r="A679" s="6"/>
      <c r="B679" s="6"/>
      <c r="C679" s="6"/>
      <c r="D679" s="10"/>
      <c r="E679" s="10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spans="1:15" ht="19.5" customHeight="1" x14ac:dyDescent="0.25">
      <c r="A680" s="6"/>
      <c r="B680" s="6"/>
      <c r="C680" s="6"/>
      <c r="D680" s="10"/>
      <c r="E680" s="10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spans="1:15" ht="19.5" customHeight="1" x14ac:dyDescent="0.25">
      <c r="A681" s="6"/>
      <c r="B681" s="6"/>
      <c r="C681" s="6"/>
      <c r="D681" s="10"/>
      <c r="E681" s="10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spans="1:15" ht="19.5" customHeight="1" x14ac:dyDescent="0.25">
      <c r="A682" s="6"/>
      <c r="B682" s="6"/>
      <c r="C682" s="6"/>
      <c r="D682" s="10"/>
      <c r="E682" s="10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spans="1:15" ht="19.5" customHeight="1" x14ac:dyDescent="0.25">
      <c r="A683" s="6"/>
      <c r="B683" s="6"/>
      <c r="C683" s="6"/>
      <c r="D683" s="10"/>
      <c r="E683" s="10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spans="1:15" ht="19.5" customHeight="1" x14ac:dyDescent="0.25">
      <c r="A684" s="6"/>
      <c r="B684" s="6"/>
      <c r="C684" s="6"/>
      <c r="D684" s="10"/>
      <c r="E684" s="10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spans="1:15" ht="19.5" customHeight="1" x14ac:dyDescent="0.25">
      <c r="A685" s="6"/>
      <c r="B685" s="6"/>
      <c r="C685" s="6"/>
      <c r="D685" s="10"/>
      <c r="E685" s="10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spans="1:15" ht="19.5" customHeight="1" x14ac:dyDescent="0.25">
      <c r="A686" s="6"/>
      <c r="B686" s="6"/>
      <c r="C686" s="6"/>
      <c r="D686" s="10"/>
      <c r="E686" s="10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spans="1:15" ht="19.5" customHeight="1" x14ac:dyDescent="0.25">
      <c r="A687" s="6"/>
      <c r="B687" s="6"/>
      <c r="C687" s="6"/>
      <c r="D687" s="10"/>
      <c r="E687" s="10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spans="1:15" ht="19.5" customHeight="1" x14ac:dyDescent="0.25">
      <c r="A688" s="6"/>
      <c r="B688" s="6"/>
      <c r="C688" s="6"/>
      <c r="D688" s="10"/>
      <c r="E688" s="10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spans="1:15" ht="19.5" customHeight="1" x14ac:dyDescent="0.25">
      <c r="A689" s="6"/>
      <c r="B689" s="6"/>
      <c r="C689" s="6"/>
      <c r="D689" s="10"/>
      <c r="E689" s="10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spans="1:15" ht="19.5" customHeight="1" x14ac:dyDescent="0.25">
      <c r="A690" s="6"/>
      <c r="B690" s="6"/>
      <c r="C690" s="6"/>
      <c r="D690" s="10"/>
      <c r="E690" s="10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spans="1:15" ht="19.5" customHeight="1" x14ac:dyDescent="0.25">
      <c r="A691" s="6"/>
      <c r="B691" s="6"/>
      <c r="C691" s="6"/>
      <c r="D691" s="10"/>
      <c r="E691" s="10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spans="1:15" ht="19.5" customHeight="1" x14ac:dyDescent="0.25">
      <c r="A692" s="6"/>
      <c r="B692" s="6"/>
      <c r="C692" s="6"/>
      <c r="D692" s="10"/>
      <c r="E692" s="10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spans="1:15" ht="19.5" customHeight="1" x14ac:dyDescent="0.25">
      <c r="A693" s="6"/>
      <c r="B693" s="6"/>
      <c r="C693" s="6"/>
      <c r="D693" s="10"/>
      <c r="E693" s="10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spans="1:15" ht="19.5" customHeight="1" x14ac:dyDescent="0.25">
      <c r="A694" s="6"/>
      <c r="B694" s="6"/>
      <c r="C694" s="6"/>
      <c r="D694" s="10"/>
      <c r="E694" s="10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spans="1:15" ht="19.5" customHeight="1" x14ac:dyDescent="0.25">
      <c r="A695" s="6"/>
      <c r="B695" s="6"/>
      <c r="C695" s="6"/>
      <c r="D695" s="10"/>
      <c r="E695" s="10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spans="1:15" ht="19.5" customHeight="1" x14ac:dyDescent="0.25">
      <c r="A696" s="6"/>
      <c r="B696" s="6"/>
      <c r="C696" s="6"/>
      <c r="D696" s="10"/>
      <c r="E696" s="10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spans="1:15" ht="19.5" customHeight="1" x14ac:dyDescent="0.25">
      <c r="A697" s="6"/>
      <c r="B697" s="6"/>
      <c r="C697" s="6"/>
      <c r="D697" s="10"/>
      <c r="E697" s="10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spans="1:15" ht="19.5" customHeight="1" x14ac:dyDescent="0.25">
      <c r="A698" s="6"/>
      <c r="B698" s="6"/>
      <c r="C698" s="6"/>
      <c r="D698" s="10"/>
      <c r="E698" s="10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spans="1:15" ht="19.5" customHeight="1" x14ac:dyDescent="0.25">
      <c r="A699" s="6"/>
      <c r="B699" s="6"/>
      <c r="C699" s="6"/>
      <c r="D699" s="10"/>
      <c r="E699" s="10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spans="1:15" ht="19.5" customHeight="1" x14ac:dyDescent="0.25">
      <c r="A700" s="6"/>
      <c r="B700" s="6"/>
      <c r="C700" s="6"/>
      <c r="D700" s="10"/>
      <c r="E700" s="10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spans="1:15" ht="19.5" customHeight="1" x14ac:dyDescent="0.25">
      <c r="A701" s="6"/>
      <c r="B701" s="6"/>
      <c r="C701" s="6"/>
      <c r="D701" s="10"/>
      <c r="E701" s="10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spans="1:15" ht="19.5" customHeight="1" x14ac:dyDescent="0.25">
      <c r="A702" s="6"/>
      <c r="B702" s="6"/>
      <c r="C702" s="6"/>
      <c r="D702" s="10"/>
      <c r="E702" s="10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spans="1:15" ht="19.5" customHeight="1" x14ac:dyDescent="0.25">
      <c r="A703" s="6"/>
      <c r="B703" s="6"/>
      <c r="C703" s="6"/>
      <c r="D703" s="10"/>
      <c r="E703" s="10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spans="1:15" ht="19.5" customHeight="1" x14ac:dyDescent="0.25">
      <c r="A704" s="6"/>
      <c r="B704" s="6"/>
      <c r="C704" s="6"/>
      <c r="D704" s="10"/>
      <c r="E704" s="10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spans="1:15" ht="19.5" customHeight="1" x14ac:dyDescent="0.25">
      <c r="A705" s="6"/>
      <c r="B705" s="6"/>
      <c r="C705" s="6"/>
      <c r="D705" s="10"/>
      <c r="E705" s="10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spans="1:15" ht="19.5" customHeight="1" x14ac:dyDescent="0.25">
      <c r="A706" s="6"/>
      <c r="B706" s="6"/>
      <c r="C706" s="6"/>
      <c r="D706" s="10"/>
      <c r="E706" s="10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spans="1:15" ht="19.5" customHeight="1" x14ac:dyDescent="0.25">
      <c r="A707" s="6"/>
      <c r="B707" s="6"/>
      <c r="C707" s="6"/>
      <c r="D707" s="10"/>
      <c r="E707" s="10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spans="1:15" ht="19.5" customHeight="1" x14ac:dyDescent="0.25">
      <c r="A708" s="6"/>
      <c r="B708" s="6"/>
      <c r="C708" s="6"/>
      <c r="D708" s="10"/>
      <c r="E708" s="10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spans="1:15" ht="19.5" customHeight="1" x14ac:dyDescent="0.25">
      <c r="A709" s="6"/>
      <c r="B709" s="6"/>
      <c r="C709" s="6"/>
      <c r="D709" s="10"/>
      <c r="E709" s="10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spans="1:15" ht="19.5" customHeight="1" x14ac:dyDescent="0.25">
      <c r="A710" s="6"/>
      <c r="B710" s="6"/>
      <c r="C710" s="6"/>
      <c r="D710" s="10"/>
      <c r="E710" s="10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spans="1:15" ht="19.5" customHeight="1" x14ac:dyDescent="0.25">
      <c r="A711" s="6"/>
      <c r="B711" s="6"/>
      <c r="C711" s="6"/>
      <c r="D711" s="10"/>
      <c r="E711" s="10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spans="1:15" ht="19.5" customHeight="1" x14ac:dyDescent="0.25">
      <c r="A712" s="6"/>
      <c r="B712" s="6"/>
      <c r="C712" s="6"/>
      <c r="D712" s="10"/>
      <c r="E712" s="10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spans="1:15" ht="19.5" customHeight="1" x14ac:dyDescent="0.25">
      <c r="A713" s="6"/>
      <c r="B713" s="6"/>
      <c r="C713" s="6"/>
      <c r="D713" s="10"/>
      <c r="E713" s="10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spans="1:15" ht="19.5" customHeight="1" x14ac:dyDescent="0.25">
      <c r="A714" s="6"/>
      <c r="B714" s="6"/>
      <c r="C714" s="6"/>
      <c r="D714" s="10"/>
      <c r="E714" s="10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spans="1:15" ht="19.5" customHeight="1" x14ac:dyDescent="0.25">
      <c r="A715" s="6"/>
      <c r="B715" s="6"/>
      <c r="C715" s="6"/>
      <c r="D715" s="10"/>
      <c r="E715" s="10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spans="1:15" ht="19.5" customHeight="1" x14ac:dyDescent="0.25">
      <c r="A716" s="6"/>
      <c r="B716" s="6"/>
      <c r="C716" s="6"/>
      <c r="D716" s="10"/>
      <c r="E716" s="10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spans="1:15" ht="19.5" customHeight="1" x14ac:dyDescent="0.25">
      <c r="A717" s="6"/>
      <c r="B717" s="6"/>
      <c r="C717" s="6"/>
      <c r="D717" s="10"/>
      <c r="E717" s="10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spans="1:15" ht="19.5" customHeight="1" x14ac:dyDescent="0.25">
      <c r="A718" s="6"/>
      <c r="B718" s="6"/>
      <c r="C718" s="6"/>
      <c r="D718" s="10"/>
      <c r="E718" s="10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spans="1:15" ht="19.5" customHeight="1" x14ac:dyDescent="0.25">
      <c r="A719" s="6"/>
      <c r="B719" s="6"/>
      <c r="C719" s="6"/>
      <c r="D719" s="10"/>
      <c r="E719" s="10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spans="1:15" ht="19.5" customHeight="1" x14ac:dyDescent="0.25">
      <c r="A720" s="6"/>
      <c r="B720" s="6"/>
      <c r="C720" s="6"/>
      <c r="D720" s="10"/>
      <c r="E720" s="10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spans="1:15" ht="19.5" customHeight="1" x14ac:dyDescent="0.25">
      <c r="A721" s="6"/>
      <c r="B721" s="6"/>
      <c r="C721" s="6"/>
      <c r="D721" s="10"/>
      <c r="E721" s="10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spans="1:15" ht="19.5" customHeight="1" x14ac:dyDescent="0.25">
      <c r="A722" s="6"/>
      <c r="B722" s="6"/>
      <c r="C722" s="6"/>
      <c r="D722" s="10"/>
      <c r="E722" s="10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spans="1:15" ht="19.5" customHeight="1" x14ac:dyDescent="0.25">
      <c r="A723" s="6"/>
      <c r="B723" s="6"/>
      <c r="C723" s="6"/>
      <c r="D723" s="10"/>
      <c r="E723" s="10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spans="1:15" ht="19.5" customHeight="1" x14ac:dyDescent="0.25">
      <c r="A724" s="6"/>
      <c r="B724" s="6"/>
      <c r="C724" s="6"/>
      <c r="D724" s="10"/>
      <c r="E724" s="10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spans="1:15" ht="19.5" customHeight="1" x14ac:dyDescent="0.25">
      <c r="A725" s="6"/>
      <c r="B725" s="6"/>
      <c r="C725" s="6"/>
      <c r="D725" s="10"/>
      <c r="E725" s="10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spans="1:15" ht="19.5" customHeight="1" x14ac:dyDescent="0.25">
      <c r="A726" s="6"/>
      <c r="B726" s="6"/>
      <c r="C726" s="6"/>
      <c r="D726" s="10"/>
      <c r="E726" s="10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spans="1:15" ht="19.5" customHeight="1" x14ac:dyDescent="0.25">
      <c r="A727" s="6"/>
      <c r="B727" s="6"/>
      <c r="C727" s="6"/>
      <c r="D727" s="10"/>
      <c r="E727" s="10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spans="1:15" ht="19.5" customHeight="1" x14ac:dyDescent="0.25">
      <c r="A728" s="6"/>
      <c r="B728" s="6"/>
      <c r="C728" s="6"/>
      <c r="D728" s="10"/>
      <c r="E728" s="10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spans="1:15" ht="19.5" customHeight="1" x14ac:dyDescent="0.25">
      <c r="A729" s="6"/>
      <c r="B729" s="6"/>
      <c r="C729" s="6"/>
      <c r="D729" s="10"/>
      <c r="E729" s="10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spans="1:15" ht="19.5" customHeight="1" x14ac:dyDescent="0.25">
      <c r="A730" s="6"/>
      <c r="B730" s="6"/>
      <c r="C730" s="6"/>
      <c r="D730" s="10"/>
      <c r="E730" s="10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spans="1:15" ht="19.5" customHeight="1" x14ac:dyDescent="0.25">
      <c r="A731" s="6"/>
      <c r="B731" s="6"/>
      <c r="C731" s="6"/>
      <c r="D731" s="10"/>
      <c r="E731" s="10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spans="1:15" ht="19.5" customHeight="1" x14ac:dyDescent="0.25">
      <c r="A732" s="6"/>
      <c r="B732" s="6"/>
      <c r="C732" s="6"/>
      <c r="D732" s="10"/>
      <c r="E732" s="10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spans="1:15" ht="19.5" customHeight="1" x14ac:dyDescent="0.25">
      <c r="A733" s="6"/>
      <c r="B733" s="6"/>
      <c r="C733" s="6"/>
      <c r="D733" s="10"/>
      <c r="E733" s="10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spans="1:15" ht="19.5" customHeight="1" x14ac:dyDescent="0.25">
      <c r="A734" s="6"/>
      <c r="B734" s="6"/>
      <c r="C734" s="6"/>
      <c r="D734" s="10"/>
      <c r="E734" s="10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spans="1:15" ht="19.5" customHeight="1" x14ac:dyDescent="0.25">
      <c r="A735" s="6"/>
      <c r="B735" s="6"/>
      <c r="C735" s="6"/>
      <c r="D735" s="10"/>
      <c r="E735" s="10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spans="1:15" ht="19.5" customHeight="1" x14ac:dyDescent="0.25">
      <c r="A736" s="6"/>
      <c r="B736" s="6"/>
      <c r="C736" s="6"/>
      <c r="D736" s="10"/>
      <c r="E736" s="10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spans="1:15" ht="19.5" customHeight="1" x14ac:dyDescent="0.25">
      <c r="A737" s="6"/>
      <c r="B737" s="6"/>
      <c r="C737" s="6"/>
      <c r="D737" s="10"/>
      <c r="E737" s="10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spans="1:15" ht="19.5" customHeight="1" x14ac:dyDescent="0.25">
      <c r="A738" s="6"/>
      <c r="B738" s="6"/>
      <c r="C738" s="6"/>
      <c r="D738" s="10"/>
      <c r="E738" s="10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spans="1:15" ht="19.5" customHeight="1" x14ac:dyDescent="0.25">
      <c r="A739" s="6"/>
      <c r="B739" s="6"/>
      <c r="C739" s="6"/>
      <c r="D739" s="10"/>
      <c r="E739" s="10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spans="1:15" ht="19.5" customHeight="1" x14ac:dyDescent="0.25">
      <c r="A740" s="6"/>
      <c r="B740" s="6"/>
      <c r="C740" s="6"/>
      <c r="D740" s="10"/>
      <c r="E740" s="10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spans="1:15" ht="19.5" customHeight="1" x14ac:dyDescent="0.25">
      <c r="A741" s="6"/>
      <c r="B741" s="6"/>
      <c r="C741" s="6"/>
      <c r="D741" s="10"/>
      <c r="E741" s="10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spans="1:15" ht="19.5" customHeight="1" x14ac:dyDescent="0.25">
      <c r="A742" s="6"/>
      <c r="B742" s="6"/>
      <c r="C742" s="6"/>
      <c r="D742" s="10"/>
      <c r="E742" s="10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spans="1:15" ht="19.5" customHeight="1" x14ac:dyDescent="0.25">
      <c r="A743" s="6"/>
      <c r="B743" s="6"/>
      <c r="C743" s="6"/>
      <c r="D743" s="10"/>
      <c r="E743" s="10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spans="1:15" ht="19.5" customHeight="1" x14ac:dyDescent="0.25">
      <c r="A744" s="6"/>
      <c r="B744" s="6"/>
      <c r="C744" s="6"/>
      <c r="D744" s="10"/>
      <c r="E744" s="10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spans="1:15" ht="19.5" customHeight="1" x14ac:dyDescent="0.25">
      <c r="A745" s="6"/>
      <c r="B745" s="6"/>
      <c r="C745" s="6"/>
      <c r="D745" s="10"/>
      <c r="E745" s="10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spans="1:15" ht="19.5" customHeight="1" x14ac:dyDescent="0.25">
      <c r="A746" s="6"/>
      <c r="B746" s="6"/>
      <c r="C746" s="6"/>
      <c r="D746" s="10"/>
      <c r="E746" s="10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spans="1:15" ht="19.5" customHeight="1" x14ac:dyDescent="0.25">
      <c r="A747" s="6"/>
      <c r="B747" s="6"/>
      <c r="C747" s="6"/>
      <c r="D747" s="10"/>
      <c r="E747" s="10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spans="1:15" ht="19.5" customHeight="1" x14ac:dyDescent="0.25">
      <c r="A748" s="6"/>
      <c r="B748" s="6"/>
      <c r="C748" s="6"/>
      <c r="D748" s="10"/>
      <c r="E748" s="10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spans="1:15" ht="19.5" customHeight="1" x14ac:dyDescent="0.25">
      <c r="A749" s="6"/>
      <c r="B749" s="6"/>
      <c r="C749" s="6"/>
      <c r="D749" s="10"/>
      <c r="E749" s="10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spans="1:15" ht="19.5" customHeight="1" x14ac:dyDescent="0.25">
      <c r="A750" s="6"/>
      <c r="B750" s="6"/>
      <c r="C750" s="6"/>
      <c r="D750" s="10"/>
      <c r="E750" s="10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spans="1:15" ht="19.5" customHeight="1" x14ac:dyDescent="0.25">
      <c r="A751" s="6"/>
      <c r="B751" s="6"/>
      <c r="C751" s="6"/>
      <c r="D751" s="10"/>
      <c r="E751" s="10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spans="1:15" ht="19.5" customHeight="1" x14ac:dyDescent="0.25">
      <c r="A752" s="6"/>
      <c r="B752" s="6"/>
      <c r="C752" s="6"/>
      <c r="D752" s="10"/>
      <c r="E752" s="10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spans="1:15" ht="19.5" customHeight="1" x14ac:dyDescent="0.25">
      <c r="A753" s="6"/>
      <c r="B753" s="6"/>
      <c r="C753" s="6"/>
      <c r="D753" s="10"/>
      <c r="E753" s="10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spans="1:15" ht="19.5" customHeight="1" x14ac:dyDescent="0.25">
      <c r="A754" s="6"/>
      <c r="B754" s="6"/>
      <c r="C754" s="6"/>
      <c r="D754" s="10"/>
      <c r="E754" s="10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spans="1:15" ht="19.5" customHeight="1" x14ac:dyDescent="0.25">
      <c r="A755" s="6"/>
      <c r="B755" s="6"/>
      <c r="C755" s="6"/>
      <c r="D755" s="10"/>
      <c r="E755" s="10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spans="1:15" ht="19.5" customHeight="1" x14ac:dyDescent="0.25">
      <c r="A756" s="6"/>
      <c r="B756" s="6"/>
      <c r="C756" s="6"/>
      <c r="D756" s="10"/>
      <c r="E756" s="10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spans="1:15" ht="19.5" customHeight="1" x14ac:dyDescent="0.25">
      <c r="A757" s="6"/>
      <c r="B757" s="6"/>
      <c r="C757" s="6"/>
      <c r="D757" s="10"/>
      <c r="E757" s="10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spans="1:15" ht="19.5" customHeight="1" x14ac:dyDescent="0.25">
      <c r="A758" s="6"/>
      <c r="B758" s="6"/>
      <c r="C758" s="6"/>
      <c r="D758" s="10"/>
      <c r="E758" s="10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spans="1:15" ht="19.5" customHeight="1" x14ac:dyDescent="0.25">
      <c r="A759" s="6"/>
      <c r="B759" s="6"/>
      <c r="C759" s="6"/>
      <c r="D759" s="10"/>
      <c r="E759" s="10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spans="1:15" ht="19.5" customHeight="1" x14ac:dyDescent="0.25">
      <c r="A760" s="6"/>
      <c r="B760" s="6"/>
      <c r="C760" s="6"/>
      <c r="D760" s="10"/>
      <c r="E760" s="10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spans="1:15" ht="19.5" customHeight="1" x14ac:dyDescent="0.25">
      <c r="A761" s="6"/>
      <c r="B761" s="6"/>
      <c r="C761" s="6"/>
      <c r="D761" s="10"/>
      <c r="E761" s="10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spans="1:15" ht="19.5" customHeight="1" x14ac:dyDescent="0.25">
      <c r="A762" s="6"/>
      <c r="B762" s="6"/>
      <c r="C762" s="6"/>
      <c r="D762" s="10"/>
      <c r="E762" s="10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spans="1:15" ht="19.5" customHeight="1" x14ac:dyDescent="0.25">
      <c r="A763" s="6"/>
      <c r="B763" s="6"/>
      <c r="C763" s="6"/>
      <c r="D763" s="10"/>
      <c r="E763" s="10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spans="1:15" ht="19.5" customHeight="1" x14ac:dyDescent="0.25">
      <c r="A764" s="6"/>
      <c r="B764" s="6"/>
      <c r="C764" s="6"/>
      <c r="D764" s="10"/>
      <c r="E764" s="10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spans="1:15" ht="19.5" customHeight="1" x14ac:dyDescent="0.25">
      <c r="A765" s="6"/>
      <c r="B765" s="6"/>
      <c r="C765" s="6"/>
      <c r="D765" s="10"/>
      <c r="E765" s="10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spans="1:15" ht="19.5" customHeight="1" x14ac:dyDescent="0.25">
      <c r="A766" s="6"/>
      <c r="B766" s="6"/>
      <c r="C766" s="6"/>
      <c r="D766" s="10"/>
      <c r="E766" s="10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spans="1:15" ht="19.5" customHeight="1" x14ac:dyDescent="0.25">
      <c r="A767" s="6"/>
      <c r="B767" s="6"/>
      <c r="C767" s="6"/>
      <c r="D767" s="10"/>
      <c r="E767" s="10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spans="1:15" ht="19.5" customHeight="1" x14ac:dyDescent="0.25">
      <c r="A768" s="6"/>
      <c r="B768" s="6"/>
      <c r="C768" s="6"/>
      <c r="D768" s="10"/>
      <c r="E768" s="10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spans="1:15" ht="19.5" customHeight="1" x14ac:dyDescent="0.25">
      <c r="A769" s="6"/>
      <c r="B769" s="6"/>
      <c r="C769" s="6"/>
      <c r="D769" s="10"/>
      <c r="E769" s="10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spans="1:15" ht="19.5" customHeight="1" x14ac:dyDescent="0.25">
      <c r="A770" s="6"/>
      <c r="B770" s="6"/>
      <c r="C770" s="6"/>
      <c r="D770" s="10"/>
      <c r="E770" s="10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spans="1:15" ht="19.5" customHeight="1" x14ac:dyDescent="0.25">
      <c r="A771" s="6"/>
      <c r="B771" s="6"/>
      <c r="C771" s="6"/>
      <c r="D771" s="10"/>
      <c r="E771" s="10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spans="1:15" ht="19.5" customHeight="1" x14ac:dyDescent="0.25">
      <c r="A772" s="6"/>
      <c r="B772" s="6"/>
      <c r="C772" s="6"/>
      <c r="D772" s="10"/>
      <c r="E772" s="10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spans="1:15" ht="19.5" customHeight="1" x14ac:dyDescent="0.25">
      <c r="A773" s="6"/>
      <c r="B773" s="6"/>
      <c r="C773" s="6"/>
      <c r="D773" s="10"/>
      <c r="E773" s="10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spans="1:15" ht="19.5" customHeight="1" x14ac:dyDescent="0.25">
      <c r="A774" s="6"/>
      <c r="B774" s="6"/>
      <c r="C774" s="6"/>
      <c r="D774" s="10"/>
      <c r="E774" s="10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spans="1:15" ht="19.5" customHeight="1" x14ac:dyDescent="0.25">
      <c r="A775" s="6"/>
      <c r="B775" s="6"/>
      <c r="C775" s="6"/>
      <c r="D775" s="10"/>
      <c r="E775" s="10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spans="1:15" ht="19.5" customHeight="1" x14ac:dyDescent="0.25">
      <c r="A776" s="6"/>
      <c r="B776" s="6"/>
      <c r="C776" s="6"/>
      <c r="D776" s="10"/>
      <c r="E776" s="10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spans="1:15" ht="19.5" customHeight="1" x14ac:dyDescent="0.25">
      <c r="A777" s="6"/>
      <c r="B777" s="6"/>
      <c r="C777" s="6"/>
      <c r="D777" s="10"/>
      <c r="E777" s="10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spans="1:15" ht="19.5" customHeight="1" x14ac:dyDescent="0.25">
      <c r="A778" s="6"/>
      <c r="B778" s="6"/>
      <c r="C778" s="6"/>
      <c r="D778" s="10"/>
      <c r="E778" s="10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spans="1:15" ht="19.5" customHeight="1" x14ac:dyDescent="0.25">
      <c r="A779" s="6"/>
      <c r="B779" s="6"/>
      <c r="C779" s="6"/>
      <c r="D779" s="10"/>
      <c r="E779" s="10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spans="1:15" ht="19.5" customHeight="1" x14ac:dyDescent="0.25">
      <c r="A780" s="6"/>
      <c r="B780" s="6"/>
      <c r="C780" s="6"/>
      <c r="D780" s="10"/>
      <c r="E780" s="10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spans="1:15" ht="19.5" customHeight="1" x14ac:dyDescent="0.25">
      <c r="A781" s="6"/>
      <c r="B781" s="6"/>
      <c r="C781" s="6"/>
      <c r="D781" s="10"/>
      <c r="E781" s="10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spans="1:15" ht="19.5" customHeight="1" x14ac:dyDescent="0.25">
      <c r="A782" s="6"/>
      <c r="B782" s="6"/>
      <c r="C782" s="6"/>
      <c r="D782" s="10"/>
      <c r="E782" s="10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spans="1:15" ht="19.5" customHeight="1" x14ac:dyDescent="0.25">
      <c r="A783" s="6"/>
      <c r="B783" s="6"/>
      <c r="C783" s="6"/>
      <c r="D783" s="10"/>
      <c r="E783" s="10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spans="1:15" ht="19.5" customHeight="1" x14ac:dyDescent="0.25">
      <c r="A784" s="6"/>
      <c r="B784" s="6"/>
      <c r="C784" s="6"/>
      <c r="D784" s="10"/>
      <c r="E784" s="10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spans="1:15" ht="19.5" customHeight="1" x14ac:dyDescent="0.25">
      <c r="A785" s="6"/>
      <c r="B785" s="6"/>
      <c r="C785" s="6"/>
      <c r="D785" s="10"/>
      <c r="E785" s="10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spans="1:15" ht="19.5" customHeight="1" x14ac:dyDescent="0.25">
      <c r="A786" s="6"/>
      <c r="B786" s="6"/>
      <c r="C786" s="6"/>
      <c r="D786" s="10"/>
      <c r="E786" s="10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spans="1:15" ht="19.5" customHeight="1" x14ac:dyDescent="0.25">
      <c r="A787" s="6"/>
      <c r="B787" s="6"/>
      <c r="C787" s="6"/>
      <c r="D787" s="10"/>
      <c r="E787" s="10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spans="1:15" ht="19.5" customHeight="1" x14ac:dyDescent="0.25">
      <c r="A788" s="6"/>
      <c r="B788" s="6"/>
      <c r="C788" s="6"/>
      <c r="D788" s="10"/>
      <c r="E788" s="10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spans="1:15" ht="19.5" customHeight="1" x14ac:dyDescent="0.25">
      <c r="A789" s="6"/>
      <c r="B789" s="6"/>
      <c r="C789" s="6"/>
      <c r="D789" s="10"/>
      <c r="E789" s="10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spans="1:15" ht="19.5" customHeight="1" x14ac:dyDescent="0.25">
      <c r="A790" s="6"/>
      <c r="B790" s="6"/>
      <c r="C790" s="6"/>
      <c r="D790" s="10"/>
      <c r="E790" s="10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spans="1:15" ht="19.5" customHeight="1" x14ac:dyDescent="0.25">
      <c r="A791" s="6"/>
      <c r="B791" s="6"/>
      <c r="C791" s="6"/>
      <c r="D791" s="10"/>
      <c r="E791" s="10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spans="1:15" ht="19.5" customHeight="1" x14ac:dyDescent="0.25">
      <c r="A792" s="6"/>
      <c r="B792" s="6"/>
      <c r="C792" s="6"/>
      <c r="D792" s="10"/>
      <c r="E792" s="10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spans="1:15" ht="19.5" customHeight="1" x14ac:dyDescent="0.25">
      <c r="A793" s="6"/>
      <c r="B793" s="6"/>
      <c r="C793" s="6"/>
      <c r="D793" s="10"/>
      <c r="E793" s="10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spans="1:15" ht="19.5" customHeight="1" x14ac:dyDescent="0.25">
      <c r="A794" s="6"/>
      <c r="B794" s="6"/>
      <c r="C794" s="6"/>
      <c r="D794" s="10"/>
      <c r="E794" s="10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spans="1:15" ht="19.5" customHeight="1" x14ac:dyDescent="0.25">
      <c r="A795" s="6"/>
      <c r="B795" s="6"/>
      <c r="C795" s="6"/>
      <c r="D795" s="10"/>
      <c r="E795" s="10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spans="1:15" ht="19.5" customHeight="1" x14ac:dyDescent="0.25">
      <c r="A796" s="6"/>
      <c r="B796" s="6"/>
      <c r="C796" s="6"/>
      <c r="D796" s="10"/>
      <c r="E796" s="10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spans="1:15" ht="19.5" customHeight="1" x14ac:dyDescent="0.25">
      <c r="A797" s="6"/>
      <c r="B797" s="6"/>
      <c r="C797" s="6"/>
      <c r="D797" s="10"/>
      <c r="E797" s="10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spans="1:15" ht="19.5" customHeight="1" x14ac:dyDescent="0.25">
      <c r="A798" s="6"/>
      <c r="B798" s="6"/>
      <c r="C798" s="6"/>
      <c r="D798" s="10"/>
      <c r="E798" s="10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spans="1:15" ht="19.5" customHeight="1" x14ac:dyDescent="0.25">
      <c r="A799" s="6"/>
      <c r="B799" s="6"/>
      <c r="C799" s="6"/>
      <c r="D799" s="10"/>
      <c r="E799" s="10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spans="1:15" ht="19.5" customHeight="1" x14ac:dyDescent="0.25">
      <c r="A800" s="6"/>
      <c r="B800" s="6"/>
      <c r="C800" s="6"/>
      <c r="D800" s="10"/>
      <c r="E800" s="10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spans="1:15" ht="19.5" customHeight="1" x14ac:dyDescent="0.25">
      <c r="A801" s="6"/>
      <c r="B801" s="6"/>
      <c r="C801" s="6"/>
      <c r="D801" s="10"/>
      <c r="E801" s="10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spans="1:15" ht="19.5" customHeight="1" x14ac:dyDescent="0.25">
      <c r="A802" s="6"/>
      <c r="B802" s="6"/>
      <c r="C802" s="6"/>
      <c r="D802" s="10"/>
      <c r="E802" s="10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spans="1:15" ht="19.5" customHeight="1" x14ac:dyDescent="0.25">
      <c r="A803" s="6"/>
      <c r="B803" s="6"/>
      <c r="C803" s="6"/>
      <c r="D803" s="10"/>
      <c r="E803" s="10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spans="1:15" ht="19.5" customHeight="1" x14ac:dyDescent="0.25">
      <c r="A804" s="6"/>
      <c r="B804" s="6"/>
      <c r="C804" s="6"/>
      <c r="D804" s="10"/>
      <c r="E804" s="10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spans="1:15" ht="19.5" customHeight="1" x14ac:dyDescent="0.25">
      <c r="A805" s="6"/>
      <c r="B805" s="6"/>
      <c r="C805" s="6"/>
      <c r="D805" s="10"/>
      <c r="E805" s="10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spans="1:15" ht="19.5" customHeight="1" x14ac:dyDescent="0.25">
      <c r="A806" s="6"/>
      <c r="B806" s="6"/>
      <c r="C806" s="6"/>
      <c r="D806" s="10"/>
      <c r="E806" s="10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spans="1:15" ht="19.5" customHeight="1" x14ac:dyDescent="0.25">
      <c r="A807" s="6"/>
      <c r="B807" s="6"/>
      <c r="C807" s="6"/>
      <c r="D807" s="10"/>
      <c r="E807" s="10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spans="1:15" ht="19.5" customHeight="1" x14ac:dyDescent="0.25">
      <c r="A808" s="6"/>
      <c r="B808" s="6"/>
      <c r="C808" s="6"/>
      <c r="D808" s="10"/>
      <c r="E808" s="10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spans="1:15" ht="19.5" customHeight="1" x14ac:dyDescent="0.25">
      <c r="A809" s="6"/>
      <c r="B809" s="6"/>
      <c r="C809" s="6"/>
      <c r="D809" s="10"/>
      <c r="E809" s="10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spans="1:15" ht="19.5" customHeight="1" x14ac:dyDescent="0.25">
      <c r="A810" s="6"/>
      <c r="B810" s="6"/>
      <c r="C810" s="6"/>
      <c r="D810" s="10"/>
      <c r="E810" s="10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spans="1:15" ht="19.5" customHeight="1" x14ac:dyDescent="0.25">
      <c r="A811" s="6"/>
      <c r="B811" s="6"/>
      <c r="C811" s="6"/>
      <c r="D811" s="10"/>
      <c r="E811" s="10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spans="1:15" ht="19.5" customHeight="1" x14ac:dyDescent="0.25">
      <c r="A812" s="6"/>
      <c r="B812" s="6"/>
      <c r="C812" s="6"/>
      <c r="D812" s="10"/>
      <c r="E812" s="10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spans="1:15" ht="19.5" customHeight="1" x14ac:dyDescent="0.25">
      <c r="A813" s="6"/>
      <c r="B813" s="6"/>
      <c r="C813" s="6"/>
      <c r="D813" s="10"/>
      <c r="E813" s="10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spans="1:15" ht="19.5" customHeight="1" x14ac:dyDescent="0.25">
      <c r="A814" s="6"/>
      <c r="B814" s="6"/>
      <c r="C814" s="6"/>
      <c r="D814" s="10"/>
      <c r="E814" s="10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spans="1:15" ht="19.5" customHeight="1" x14ac:dyDescent="0.25">
      <c r="A815" s="6"/>
      <c r="B815" s="6"/>
      <c r="C815" s="6"/>
      <c r="D815" s="10"/>
      <c r="E815" s="10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spans="1:15" ht="19.5" customHeight="1" x14ac:dyDescent="0.25">
      <c r="A816" s="6"/>
      <c r="B816" s="6"/>
      <c r="C816" s="6"/>
      <c r="D816" s="10"/>
      <c r="E816" s="10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spans="1:15" ht="19.5" customHeight="1" x14ac:dyDescent="0.25">
      <c r="A817" s="6"/>
      <c r="B817" s="6"/>
      <c r="C817" s="6"/>
      <c r="D817" s="10"/>
      <c r="E817" s="10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spans="1:15" ht="19.5" customHeight="1" x14ac:dyDescent="0.25">
      <c r="A818" s="6"/>
      <c r="B818" s="6"/>
      <c r="C818" s="6"/>
      <c r="D818" s="10"/>
      <c r="E818" s="10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spans="1:15" ht="19.5" customHeight="1" x14ac:dyDescent="0.25">
      <c r="A819" s="6"/>
      <c r="B819" s="6"/>
      <c r="C819" s="6"/>
      <c r="D819" s="10"/>
      <c r="E819" s="10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spans="1:15" ht="19.5" customHeight="1" x14ac:dyDescent="0.25">
      <c r="A820" s="6"/>
      <c r="B820" s="6"/>
      <c r="C820" s="6"/>
      <c r="D820" s="10"/>
      <c r="E820" s="10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spans="1:15" ht="19.5" customHeight="1" x14ac:dyDescent="0.25">
      <c r="A821" s="6"/>
      <c r="B821" s="6"/>
      <c r="C821" s="6"/>
      <c r="D821" s="10"/>
      <c r="E821" s="10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spans="1:15" ht="19.5" customHeight="1" x14ac:dyDescent="0.25">
      <c r="A822" s="6"/>
      <c r="B822" s="6"/>
      <c r="C822" s="6"/>
      <c r="D822" s="10"/>
      <c r="E822" s="10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spans="1:15" ht="19.5" customHeight="1" x14ac:dyDescent="0.25">
      <c r="A823" s="6"/>
      <c r="B823" s="6"/>
      <c r="C823" s="6"/>
      <c r="D823" s="10"/>
      <c r="E823" s="10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spans="1:15" ht="19.5" customHeight="1" x14ac:dyDescent="0.25">
      <c r="A824" s="6"/>
      <c r="B824" s="6"/>
      <c r="C824" s="6"/>
      <c r="D824" s="10"/>
      <c r="E824" s="10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spans="1:15" ht="19.5" customHeight="1" x14ac:dyDescent="0.25">
      <c r="A825" s="6"/>
      <c r="B825" s="6"/>
      <c r="C825" s="6"/>
      <c r="D825" s="10"/>
      <c r="E825" s="10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spans="1:15" ht="19.5" customHeight="1" x14ac:dyDescent="0.25">
      <c r="A826" s="6"/>
      <c r="B826" s="6"/>
      <c r="C826" s="6"/>
      <c r="D826" s="10"/>
      <c r="E826" s="10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spans="1:15" ht="19.5" customHeight="1" x14ac:dyDescent="0.25">
      <c r="A827" s="6"/>
      <c r="B827" s="6"/>
      <c r="C827" s="6"/>
      <c r="D827" s="10"/>
      <c r="E827" s="10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spans="1:15" ht="19.5" customHeight="1" x14ac:dyDescent="0.25">
      <c r="A828" s="6"/>
      <c r="B828" s="6"/>
      <c r="C828" s="6"/>
      <c r="D828" s="10"/>
      <c r="E828" s="10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spans="1:15" ht="19.5" customHeight="1" x14ac:dyDescent="0.25">
      <c r="A829" s="6"/>
      <c r="B829" s="6"/>
      <c r="C829" s="6"/>
      <c r="D829" s="10"/>
      <c r="E829" s="10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spans="1:15" ht="19.5" customHeight="1" x14ac:dyDescent="0.25">
      <c r="A830" s="6"/>
      <c r="B830" s="6"/>
      <c r="C830" s="6"/>
      <c r="D830" s="10"/>
      <c r="E830" s="10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spans="1:15" ht="19.5" customHeight="1" x14ac:dyDescent="0.25">
      <c r="A831" s="6"/>
      <c r="B831" s="6"/>
      <c r="C831" s="6"/>
      <c r="D831" s="10"/>
      <c r="E831" s="10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spans="1:15" ht="19.5" customHeight="1" x14ac:dyDescent="0.25">
      <c r="A832" s="6"/>
      <c r="B832" s="6"/>
      <c r="C832" s="6"/>
      <c r="D832" s="10"/>
      <c r="E832" s="10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spans="1:15" ht="19.5" customHeight="1" x14ac:dyDescent="0.25">
      <c r="A833" s="6"/>
      <c r="B833" s="6"/>
      <c r="C833" s="6"/>
      <c r="D833" s="10"/>
      <c r="E833" s="10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spans="1:15" ht="19.5" customHeight="1" x14ac:dyDescent="0.25">
      <c r="A834" s="6"/>
      <c r="B834" s="6"/>
      <c r="C834" s="6"/>
      <c r="D834" s="10"/>
      <c r="E834" s="10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spans="1:15" ht="19.5" customHeight="1" x14ac:dyDescent="0.25">
      <c r="A835" s="6"/>
      <c r="B835" s="6"/>
      <c r="C835" s="6"/>
      <c r="D835" s="10"/>
      <c r="E835" s="10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spans="1:15" ht="19.5" customHeight="1" x14ac:dyDescent="0.25">
      <c r="A836" s="6"/>
      <c r="B836" s="6"/>
      <c r="C836" s="6"/>
      <c r="D836" s="10"/>
      <c r="E836" s="10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spans="1:15" ht="19.5" customHeight="1" x14ac:dyDescent="0.25">
      <c r="A837" s="6"/>
      <c r="B837" s="6"/>
      <c r="C837" s="6"/>
      <c r="D837" s="10"/>
      <c r="E837" s="10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spans="1:15" ht="19.5" customHeight="1" x14ac:dyDescent="0.25">
      <c r="A838" s="6"/>
      <c r="B838" s="6"/>
      <c r="C838" s="6"/>
      <c r="D838" s="10"/>
      <c r="E838" s="10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spans="1:15" ht="19.5" customHeight="1" x14ac:dyDescent="0.25">
      <c r="A839" s="6"/>
      <c r="B839" s="6"/>
      <c r="C839" s="6"/>
      <c r="D839" s="10"/>
      <c r="E839" s="10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spans="1:15" ht="19.5" customHeight="1" x14ac:dyDescent="0.25">
      <c r="A840" s="6"/>
      <c r="B840" s="6"/>
      <c r="C840" s="6"/>
      <c r="D840" s="10"/>
      <c r="E840" s="10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spans="1:15" ht="19.5" customHeight="1" x14ac:dyDescent="0.25">
      <c r="A841" s="6"/>
      <c r="B841" s="6"/>
      <c r="C841" s="6"/>
      <c r="D841" s="10"/>
      <c r="E841" s="10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spans="1:15" ht="19.5" customHeight="1" x14ac:dyDescent="0.25">
      <c r="A842" s="6"/>
      <c r="B842" s="6"/>
      <c r="C842" s="6"/>
      <c r="D842" s="10"/>
      <c r="E842" s="10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spans="1:15" ht="19.5" customHeight="1" x14ac:dyDescent="0.25">
      <c r="A843" s="6"/>
      <c r="B843" s="6"/>
      <c r="C843" s="6"/>
      <c r="D843" s="10"/>
      <c r="E843" s="10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spans="1:15" ht="19.5" customHeight="1" x14ac:dyDescent="0.25">
      <c r="A844" s="6"/>
      <c r="B844" s="6"/>
      <c r="C844" s="6"/>
      <c r="D844" s="10"/>
      <c r="E844" s="10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spans="1:15" ht="19.5" customHeight="1" x14ac:dyDescent="0.25">
      <c r="A845" s="6"/>
      <c r="B845" s="6"/>
      <c r="C845" s="6"/>
      <c r="D845" s="10"/>
      <c r="E845" s="10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spans="1:15" ht="19.5" customHeight="1" x14ac:dyDescent="0.25">
      <c r="A846" s="6"/>
      <c r="B846" s="6"/>
      <c r="C846" s="6"/>
      <c r="D846" s="10"/>
      <c r="E846" s="10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spans="1:15" ht="19.5" customHeight="1" x14ac:dyDescent="0.25">
      <c r="A847" s="6"/>
      <c r="B847" s="6"/>
      <c r="C847" s="6"/>
      <c r="D847" s="10"/>
      <c r="E847" s="10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spans="1:15" ht="19.5" customHeight="1" x14ac:dyDescent="0.25">
      <c r="A848" s="6"/>
      <c r="B848" s="6"/>
      <c r="C848" s="6"/>
      <c r="D848" s="10"/>
      <c r="E848" s="10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spans="1:15" ht="19.5" customHeight="1" x14ac:dyDescent="0.25">
      <c r="A849" s="6"/>
      <c r="B849" s="6"/>
      <c r="C849" s="6"/>
      <c r="D849" s="10"/>
      <c r="E849" s="10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spans="1:15" ht="19.5" customHeight="1" x14ac:dyDescent="0.25">
      <c r="A850" s="6"/>
      <c r="B850" s="6"/>
      <c r="C850" s="6"/>
      <c r="D850" s="10"/>
      <c r="E850" s="10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spans="1:15" ht="19.5" customHeight="1" x14ac:dyDescent="0.25">
      <c r="A851" s="6"/>
      <c r="B851" s="6"/>
      <c r="C851" s="6"/>
      <c r="D851" s="10"/>
      <c r="E851" s="10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spans="1:15" ht="19.5" customHeight="1" x14ac:dyDescent="0.25">
      <c r="A852" s="6"/>
      <c r="B852" s="6"/>
      <c r="C852" s="6"/>
      <c r="D852" s="10"/>
      <c r="E852" s="10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spans="1:15" ht="19.5" customHeight="1" x14ac:dyDescent="0.25">
      <c r="A853" s="6"/>
      <c r="B853" s="6"/>
      <c r="C853" s="6"/>
      <c r="D853" s="10"/>
      <c r="E853" s="10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spans="1:15" ht="19.5" customHeight="1" x14ac:dyDescent="0.25">
      <c r="A854" s="6"/>
      <c r="B854" s="6"/>
      <c r="C854" s="6"/>
      <c r="D854" s="10"/>
      <c r="E854" s="10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spans="1:15" ht="19.5" customHeight="1" x14ac:dyDescent="0.25">
      <c r="A855" s="6"/>
      <c r="B855" s="6"/>
      <c r="C855" s="6"/>
      <c r="D855" s="10"/>
      <c r="E855" s="10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spans="1:15" ht="19.5" customHeight="1" x14ac:dyDescent="0.25">
      <c r="A856" s="6"/>
      <c r="B856" s="6"/>
      <c r="C856" s="6"/>
      <c r="D856" s="10"/>
      <c r="E856" s="10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spans="1:15" ht="19.5" customHeight="1" x14ac:dyDescent="0.25">
      <c r="A857" s="6"/>
      <c r="B857" s="6"/>
      <c r="C857" s="6"/>
      <c r="D857" s="10"/>
      <c r="E857" s="10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spans="1:15" ht="19.5" customHeight="1" x14ac:dyDescent="0.25">
      <c r="A858" s="6"/>
      <c r="B858" s="6"/>
      <c r="C858" s="6"/>
      <c r="D858" s="10"/>
      <c r="E858" s="10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spans="1:15" ht="19.5" customHeight="1" x14ac:dyDescent="0.25">
      <c r="A859" s="6"/>
      <c r="B859" s="6"/>
      <c r="C859" s="6"/>
      <c r="D859" s="10"/>
      <c r="E859" s="10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spans="1:15" ht="19.5" customHeight="1" x14ac:dyDescent="0.25">
      <c r="A860" s="6"/>
      <c r="B860" s="6"/>
      <c r="C860" s="6"/>
      <c r="D860" s="10"/>
      <c r="E860" s="10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spans="1:15" ht="19.5" customHeight="1" x14ac:dyDescent="0.25">
      <c r="A861" s="6"/>
      <c r="B861" s="6"/>
      <c r="C861" s="6"/>
      <c r="D861" s="10"/>
      <c r="E861" s="10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spans="1:15" ht="19.5" customHeight="1" x14ac:dyDescent="0.25">
      <c r="A862" s="6"/>
      <c r="B862" s="6"/>
      <c r="C862" s="6"/>
      <c r="D862" s="10"/>
      <c r="E862" s="10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spans="1:15" ht="19.5" customHeight="1" x14ac:dyDescent="0.25">
      <c r="A863" s="6"/>
      <c r="B863" s="6"/>
      <c r="C863" s="6"/>
      <c r="D863" s="10"/>
      <c r="E863" s="10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spans="1:15" ht="19.5" customHeight="1" x14ac:dyDescent="0.25">
      <c r="A864" s="6"/>
      <c r="B864" s="6"/>
      <c r="C864" s="6"/>
      <c r="D864" s="10"/>
      <c r="E864" s="10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spans="1:15" ht="19.5" customHeight="1" x14ac:dyDescent="0.25">
      <c r="A865" s="6"/>
      <c r="B865" s="6"/>
      <c r="C865" s="6"/>
      <c r="D865" s="10"/>
      <c r="E865" s="10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spans="1:15" ht="19.5" customHeight="1" x14ac:dyDescent="0.25">
      <c r="A866" s="6"/>
      <c r="B866" s="6"/>
      <c r="C866" s="6"/>
      <c r="D866" s="10"/>
      <c r="E866" s="10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spans="1:15" ht="19.5" customHeight="1" x14ac:dyDescent="0.25">
      <c r="A867" s="6"/>
      <c r="B867" s="6"/>
      <c r="C867" s="6"/>
      <c r="D867" s="10"/>
      <c r="E867" s="10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spans="1:15" ht="19.5" customHeight="1" x14ac:dyDescent="0.25">
      <c r="A868" s="6"/>
      <c r="B868" s="6"/>
      <c r="C868" s="6"/>
      <c r="D868" s="10"/>
      <c r="E868" s="10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spans="1:15" ht="19.5" customHeight="1" x14ac:dyDescent="0.25">
      <c r="A869" s="6"/>
      <c r="B869" s="6"/>
      <c r="C869" s="6"/>
      <c r="D869" s="10"/>
      <c r="E869" s="10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spans="1:15" ht="19.5" customHeight="1" x14ac:dyDescent="0.25">
      <c r="A870" s="6"/>
      <c r="B870" s="6"/>
      <c r="C870" s="6"/>
      <c r="D870" s="10"/>
      <c r="E870" s="10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spans="1:15" ht="19.5" customHeight="1" x14ac:dyDescent="0.25">
      <c r="A871" s="6"/>
      <c r="B871" s="6"/>
      <c r="C871" s="6"/>
      <c r="D871" s="10"/>
      <c r="E871" s="10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spans="1:15" ht="19.5" customHeight="1" x14ac:dyDescent="0.25">
      <c r="A872" s="6"/>
      <c r="B872" s="6"/>
      <c r="C872" s="6"/>
      <c r="D872" s="10"/>
      <c r="E872" s="10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spans="1:15" ht="19.5" customHeight="1" x14ac:dyDescent="0.25">
      <c r="A873" s="6"/>
      <c r="B873" s="6"/>
      <c r="C873" s="6"/>
      <c r="D873" s="10"/>
      <c r="E873" s="10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spans="1:15" ht="19.5" customHeight="1" x14ac:dyDescent="0.25">
      <c r="A874" s="6"/>
      <c r="B874" s="6"/>
      <c r="C874" s="6"/>
      <c r="D874" s="10"/>
      <c r="E874" s="10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spans="1:15" ht="19.5" customHeight="1" x14ac:dyDescent="0.25">
      <c r="A875" s="6"/>
      <c r="B875" s="6"/>
      <c r="C875" s="6"/>
      <c r="D875" s="10"/>
      <c r="E875" s="10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spans="1:15" ht="19.5" customHeight="1" x14ac:dyDescent="0.25">
      <c r="A876" s="6"/>
      <c r="B876" s="6"/>
      <c r="C876" s="6"/>
      <c r="D876" s="10"/>
      <c r="E876" s="10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spans="1:15" ht="19.5" customHeight="1" x14ac:dyDescent="0.25">
      <c r="A877" s="6"/>
      <c r="B877" s="6"/>
      <c r="C877" s="6"/>
      <c r="D877" s="10"/>
      <c r="E877" s="10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spans="1:15" ht="19.5" customHeight="1" x14ac:dyDescent="0.25">
      <c r="A878" s="6"/>
      <c r="B878" s="6"/>
      <c r="C878" s="6"/>
      <c r="D878" s="10"/>
      <c r="E878" s="10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spans="1:15" ht="19.5" customHeight="1" x14ac:dyDescent="0.25">
      <c r="A879" s="6"/>
      <c r="B879" s="6"/>
      <c r="C879" s="6"/>
      <c r="D879" s="10"/>
      <c r="E879" s="10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spans="1:15" ht="19.5" customHeight="1" x14ac:dyDescent="0.25">
      <c r="A880" s="6"/>
      <c r="B880" s="6"/>
      <c r="C880" s="6"/>
      <c r="D880" s="10"/>
      <c r="E880" s="10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spans="1:15" ht="19.5" customHeight="1" x14ac:dyDescent="0.25">
      <c r="A881" s="6"/>
      <c r="B881" s="6"/>
      <c r="C881" s="6"/>
      <c r="D881" s="10"/>
      <c r="E881" s="10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spans="1:15" ht="19.5" customHeight="1" x14ac:dyDescent="0.25">
      <c r="A882" s="6"/>
      <c r="B882" s="6"/>
      <c r="C882" s="6"/>
      <c r="D882" s="10"/>
      <c r="E882" s="10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spans="1:15" ht="19.5" customHeight="1" x14ac:dyDescent="0.25">
      <c r="A883" s="6"/>
      <c r="B883" s="6"/>
      <c r="C883" s="6"/>
      <c r="D883" s="10"/>
      <c r="E883" s="10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spans="1:15" ht="19.5" customHeight="1" x14ac:dyDescent="0.25">
      <c r="A884" s="6"/>
      <c r="B884" s="6"/>
      <c r="C884" s="6"/>
      <c r="D884" s="10"/>
      <c r="E884" s="10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spans="1:15" ht="19.5" customHeight="1" x14ac:dyDescent="0.25">
      <c r="A885" s="6"/>
      <c r="B885" s="6"/>
      <c r="C885" s="6"/>
      <c r="D885" s="10"/>
      <c r="E885" s="10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spans="1:15" ht="19.5" customHeight="1" x14ac:dyDescent="0.25">
      <c r="A886" s="6"/>
      <c r="B886" s="6"/>
      <c r="C886" s="6"/>
      <c r="D886" s="10"/>
      <c r="E886" s="10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spans="1:15" ht="19.5" customHeight="1" x14ac:dyDescent="0.25">
      <c r="A887" s="6"/>
      <c r="B887" s="6"/>
      <c r="C887" s="6"/>
      <c r="D887" s="10"/>
      <c r="E887" s="10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spans="1:15" ht="19.5" customHeight="1" x14ac:dyDescent="0.25">
      <c r="A888" s="6"/>
      <c r="B888" s="6"/>
      <c r="C888" s="6"/>
      <c r="D888" s="10"/>
      <c r="E888" s="10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spans="1:15" ht="19.5" customHeight="1" x14ac:dyDescent="0.25">
      <c r="A889" s="6"/>
      <c r="B889" s="6"/>
      <c r="C889" s="6"/>
      <c r="D889" s="10"/>
      <c r="E889" s="10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spans="1:15" ht="19.5" customHeight="1" x14ac:dyDescent="0.25">
      <c r="A890" s="6"/>
      <c r="B890" s="6"/>
      <c r="C890" s="6"/>
      <c r="D890" s="10"/>
      <c r="E890" s="10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spans="1:15" ht="19.5" customHeight="1" x14ac:dyDescent="0.25">
      <c r="A891" s="6"/>
      <c r="B891" s="6"/>
      <c r="C891" s="6"/>
      <c r="D891" s="10"/>
      <c r="E891" s="10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spans="1:15" ht="19.5" customHeight="1" x14ac:dyDescent="0.25">
      <c r="A892" s="6"/>
      <c r="B892" s="6"/>
      <c r="C892" s="6"/>
      <c r="D892" s="10"/>
      <c r="E892" s="10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spans="1:15" ht="19.5" customHeight="1" x14ac:dyDescent="0.25">
      <c r="A893" s="6"/>
      <c r="B893" s="6"/>
      <c r="C893" s="6"/>
      <c r="D893" s="10"/>
      <c r="E893" s="10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spans="1:15" ht="19.5" customHeight="1" x14ac:dyDescent="0.25">
      <c r="A894" s="6"/>
      <c r="B894" s="6"/>
      <c r="C894" s="6"/>
      <c r="D894" s="10"/>
      <c r="E894" s="10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spans="1:15" ht="19.5" customHeight="1" x14ac:dyDescent="0.25">
      <c r="A895" s="6"/>
      <c r="B895" s="6"/>
      <c r="C895" s="6"/>
      <c r="D895" s="10"/>
      <c r="E895" s="10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spans="1:15" ht="19.5" customHeight="1" x14ac:dyDescent="0.25">
      <c r="A896" s="6"/>
      <c r="B896" s="6"/>
      <c r="C896" s="6"/>
      <c r="D896" s="10"/>
      <c r="E896" s="10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spans="1:15" ht="19.5" customHeight="1" x14ac:dyDescent="0.25">
      <c r="A897" s="6"/>
      <c r="B897" s="6"/>
      <c r="C897" s="6"/>
      <c r="D897" s="10"/>
      <c r="E897" s="10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spans="1:15" ht="19.5" customHeight="1" x14ac:dyDescent="0.25">
      <c r="A898" s="6"/>
      <c r="B898" s="6"/>
      <c r="C898" s="6"/>
      <c r="D898" s="10"/>
      <c r="E898" s="10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spans="1:15" ht="19.5" customHeight="1" x14ac:dyDescent="0.25">
      <c r="A899" s="6"/>
      <c r="B899" s="6"/>
      <c r="C899" s="6"/>
      <c r="D899" s="10"/>
      <c r="E899" s="10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spans="1:15" ht="19.5" customHeight="1" x14ac:dyDescent="0.25">
      <c r="A900" s="6"/>
      <c r="B900" s="6"/>
      <c r="C900" s="6"/>
      <c r="D900" s="10"/>
      <c r="E900" s="10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spans="1:15" ht="19.5" customHeight="1" x14ac:dyDescent="0.25">
      <c r="A901" s="6"/>
      <c r="B901" s="6"/>
      <c r="C901" s="6"/>
      <c r="D901" s="10"/>
      <c r="E901" s="10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spans="1:15" ht="19.5" customHeight="1" x14ac:dyDescent="0.25">
      <c r="A902" s="6"/>
      <c r="B902" s="6"/>
      <c r="C902" s="6"/>
      <c r="D902" s="10"/>
      <c r="E902" s="10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spans="1:15" ht="19.5" customHeight="1" x14ac:dyDescent="0.25">
      <c r="A903" s="6"/>
      <c r="B903" s="6"/>
      <c r="C903" s="6"/>
      <c r="D903" s="10"/>
      <c r="E903" s="10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spans="1:15" ht="19.5" customHeight="1" x14ac:dyDescent="0.25">
      <c r="A904" s="6"/>
      <c r="B904" s="6"/>
      <c r="C904" s="6"/>
      <c r="D904" s="10"/>
      <c r="E904" s="10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spans="1:15" ht="19.5" customHeight="1" x14ac:dyDescent="0.25">
      <c r="A905" s="6"/>
      <c r="B905" s="6"/>
      <c r="C905" s="6"/>
      <c r="D905" s="10"/>
      <c r="E905" s="10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spans="1:15" ht="19.5" customHeight="1" x14ac:dyDescent="0.25">
      <c r="A906" s="6"/>
      <c r="B906" s="6"/>
      <c r="C906" s="6"/>
      <c r="D906" s="10"/>
      <c r="E906" s="10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spans="1:15" ht="19.5" customHeight="1" x14ac:dyDescent="0.25">
      <c r="A907" s="6"/>
      <c r="B907" s="6"/>
      <c r="C907" s="6"/>
      <c r="D907" s="10"/>
      <c r="E907" s="10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spans="1:15" ht="19.5" customHeight="1" x14ac:dyDescent="0.25">
      <c r="A908" s="6"/>
      <c r="B908" s="6"/>
      <c r="C908" s="6"/>
      <c r="D908" s="10"/>
      <c r="E908" s="10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spans="1:15" ht="19.5" customHeight="1" x14ac:dyDescent="0.25">
      <c r="A909" s="6"/>
      <c r="B909" s="6"/>
      <c r="C909" s="6"/>
      <c r="D909" s="10"/>
      <c r="E909" s="10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spans="1:15" ht="19.5" customHeight="1" x14ac:dyDescent="0.25">
      <c r="A910" s="6"/>
      <c r="B910" s="6"/>
      <c r="C910" s="6"/>
      <c r="D910" s="10"/>
      <c r="E910" s="10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spans="1:15" ht="19.5" customHeight="1" x14ac:dyDescent="0.25">
      <c r="A911" s="6"/>
      <c r="B911" s="6"/>
      <c r="C911" s="6"/>
      <c r="D911" s="10"/>
      <c r="E911" s="10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spans="1:15" ht="19.5" customHeight="1" x14ac:dyDescent="0.25">
      <c r="A912" s="6"/>
      <c r="B912" s="6"/>
      <c r="C912" s="6"/>
      <c r="D912" s="10"/>
      <c r="E912" s="10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spans="1:15" ht="19.5" customHeight="1" x14ac:dyDescent="0.25">
      <c r="A913" s="6"/>
      <c r="B913" s="6"/>
      <c r="C913" s="6"/>
      <c r="D913" s="10"/>
      <c r="E913" s="10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spans="1:15" ht="19.5" customHeight="1" x14ac:dyDescent="0.25">
      <c r="A914" s="6"/>
      <c r="B914" s="6"/>
      <c r="C914" s="6"/>
      <c r="D914" s="10"/>
      <c r="E914" s="10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spans="1:15" ht="19.5" customHeight="1" x14ac:dyDescent="0.25">
      <c r="A915" s="6"/>
      <c r="B915" s="6"/>
      <c r="C915" s="6"/>
      <c r="D915" s="10"/>
      <c r="E915" s="10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spans="1:15" ht="19.5" customHeight="1" x14ac:dyDescent="0.25">
      <c r="A916" s="6"/>
      <c r="B916" s="6"/>
      <c r="C916" s="6"/>
      <c r="D916" s="10"/>
      <c r="E916" s="10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spans="1:15" ht="19.5" customHeight="1" x14ac:dyDescent="0.25">
      <c r="A917" s="6"/>
      <c r="B917" s="6"/>
      <c r="C917" s="6"/>
      <c r="D917" s="10"/>
      <c r="E917" s="10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spans="1:15" ht="19.5" customHeight="1" x14ac:dyDescent="0.25">
      <c r="A918" s="6"/>
      <c r="B918" s="6"/>
      <c r="C918" s="6"/>
      <c r="D918" s="10"/>
      <c r="E918" s="10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spans="1:15" ht="19.5" customHeight="1" x14ac:dyDescent="0.25">
      <c r="A919" s="6"/>
      <c r="B919" s="6"/>
      <c r="C919" s="6"/>
      <c r="D919" s="10"/>
      <c r="E919" s="10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spans="1:15" ht="19.5" customHeight="1" x14ac:dyDescent="0.25">
      <c r="A920" s="6"/>
      <c r="B920" s="6"/>
      <c r="C920" s="6"/>
      <c r="D920" s="10"/>
      <c r="E920" s="10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spans="1:15" ht="19.5" customHeight="1" x14ac:dyDescent="0.25">
      <c r="A921" s="6"/>
      <c r="B921" s="6"/>
      <c r="C921" s="6"/>
      <c r="D921" s="10"/>
      <c r="E921" s="10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spans="1:15" ht="19.5" customHeight="1" x14ac:dyDescent="0.25">
      <c r="A922" s="6"/>
      <c r="B922" s="6"/>
      <c r="C922" s="6"/>
      <c r="D922" s="10"/>
      <c r="E922" s="10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spans="1:15" ht="19.5" customHeight="1" x14ac:dyDescent="0.25">
      <c r="A923" s="6"/>
      <c r="B923" s="6"/>
      <c r="C923" s="6"/>
      <c r="D923" s="10"/>
      <c r="E923" s="10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spans="1:15" ht="19.5" customHeight="1" x14ac:dyDescent="0.25">
      <c r="A924" s="6"/>
      <c r="B924" s="6"/>
      <c r="C924" s="6"/>
      <c r="D924" s="10"/>
      <c r="E924" s="10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spans="1:15" ht="19.5" customHeight="1" x14ac:dyDescent="0.25">
      <c r="A925" s="6"/>
      <c r="B925" s="6"/>
      <c r="C925" s="6"/>
      <c r="D925" s="10"/>
      <c r="E925" s="10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spans="1:15" ht="19.5" customHeight="1" x14ac:dyDescent="0.25">
      <c r="A926" s="6"/>
      <c r="B926" s="6"/>
      <c r="C926" s="6"/>
      <c r="D926" s="10"/>
      <c r="E926" s="10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spans="1:15" ht="19.5" customHeight="1" x14ac:dyDescent="0.25">
      <c r="A927" s="6"/>
      <c r="B927" s="6"/>
      <c r="C927" s="6"/>
      <c r="D927" s="10"/>
      <c r="E927" s="10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spans="1:15" ht="19.5" customHeight="1" x14ac:dyDescent="0.25">
      <c r="A928" s="6"/>
      <c r="B928" s="6"/>
      <c r="C928" s="6"/>
      <c r="D928" s="10"/>
      <c r="E928" s="10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spans="1:15" ht="19.5" customHeight="1" x14ac:dyDescent="0.25">
      <c r="A929" s="6"/>
      <c r="B929" s="6"/>
      <c r="C929" s="6"/>
      <c r="D929" s="10"/>
      <c r="E929" s="10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spans="1:15" ht="19.5" customHeight="1" x14ac:dyDescent="0.25">
      <c r="A930" s="6"/>
      <c r="B930" s="6"/>
      <c r="C930" s="6"/>
      <c r="D930" s="10"/>
      <c r="E930" s="10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spans="1:15" ht="19.5" customHeight="1" x14ac:dyDescent="0.25">
      <c r="A931" s="6"/>
      <c r="B931" s="6"/>
      <c r="C931" s="6"/>
      <c r="D931" s="10"/>
      <c r="E931" s="10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spans="1:15" ht="19.5" customHeight="1" x14ac:dyDescent="0.25">
      <c r="A932" s="6"/>
      <c r="B932" s="6"/>
      <c r="C932" s="6"/>
      <c r="D932" s="10"/>
      <c r="E932" s="10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spans="1:15" ht="19.5" customHeight="1" x14ac:dyDescent="0.25">
      <c r="A933" s="6"/>
      <c r="B933" s="6"/>
      <c r="C933" s="6"/>
      <c r="D933" s="10"/>
      <c r="E933" s="10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spans="1:15" ht="19.5" customHeight="1" x14ac:dyDescent="0.25">
      <c r="A934" s="6"/>
      <c r="B934" s="6"/>
      <c r="C934" s="6"/>
      <c r="D934" s="10"/>
      <c r="E934" s="10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spans="1:15" ht="19.5" customHeight="1" x14ac:dyDescent="0.25">
      <c r="A935" s="6"/>
      <c r="B935" s="6"/>
      <c r="C935" s="6"/>
      <c r="D935" s="10"/>
      <c r="E935" s="10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spans="1:15" ht="19.5" customHeight="1" x14ac:dyDescent="0.25">
      <c r="A936" s="6"/>
      <c r="B936" s="6"/>
      <c r="C936" s="6"/>
      <c r="D936" s="10"/>
      <c r="E936" s="10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spans="1:15" ht="19.5" customHeight="1" x14ac:dyDescent="0.25">
      <c r="A937" s="6"/>
      <c r="B937" s="6"/>
      <c r="C937" s="6"/>
      <c r="D937" s="10"/>
      <c r="E937" s="10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spans="1:15" ht="19.5" customHeight="1" x14ac:dyDescent="0.25">
      <c r="A938" s="6"/>
      <c r="B938" s="6"/>
      <c r="C938" s="6"/>
      <c r="D938" s="10"/>
      <c r="E938" s="10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spans="1:15" ht="19.5" customHeight="1" x14ac:dyDescent="0.25">
      <c r="A939" s="6"/>
      <c r="B939" s="6"/>
      <c r="C939" s="6"/>
      <c r="D939" s="10"/>
      <c r="E939" s="10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spans="1:15" ht="19.5" customHeight="1" x14ac:dyDescent="0.25">
      <c r="A940" s="6"/>
      <c r="B940" s="6"/>
      <c r="C940" s="6"/>
      <c r="D940" s="10"/>
      <c r="E940" s="10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spans="1:15" ht="19.5" customHeight="1" x14ac:dyDescent="0.25">
      <c r="A941" s="6"/>
      <c r="B941" s="6"/>
      <c r="C941" s="6"/>
      <c r="D941" s="10"/>
      <c r="E941" s="10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spans="1:15" ht="19.5" customHeight="1" x14ac:dyDescent="0.25">
      <c r="A942" s="6"/>
      <c r="B942" s="6"/>
      <c r="C942" s="6"/>
      <c r="D942" s="10"/>
      <c r="E942" s="10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spans="1:15" ht="19.5" customHeight="1" x14ac:dyDescent="0.25">
      <c r="A943" s="6"/>
      <c r="B943" s="6"/>
      <c r="C943" s="6"/>
      <c r="D943" s="10"/>
      <c r="E943" s="10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spans="1:15" ht="19.5" customHeight="1" x14ac:dyDescent="0.25">
      <c r="A944" s="6"/>
      <c r="B944" s="6"/>
      <c r="C944" s="6"/>
      <c r="D944" s="10"/>
      <c r="E944" s="10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spans="1:15" ht="19.5" customHeight="1" x14ac:dyDescent="0.25">
      <c r="A945" s="6"/>
      <c r="B945" s="6"/>
      <c r="C945" s="6"/>
      <c r="D945" s="10"/>
      <c r="E945" s="10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spans="1:15" ht="19.5" customHeight="1" x14ac:dyDescent="0.25">
      <c r="A946" s="6"/>
      <c r="B946" s="6"/>
      <c r="C946" s="6"/>
      <c r="D946" s="10"/>
      <c r="E946" s="10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spans="1:15" ht="19.5" customHeight="1" x14ac:dyDescent="0.25">
      <c r="A947" s="6"/>
      <c r="B947" s="6"/>
      <c r="C947" s="6"/>
      <c r="D947" s="10"/>
      <c r="E947" s="10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spans="1:15" ht="19.5" customHeight="1" x14ac:dyDescent="0.25">
      <c r="A948" s="6"/>
      <c r="B948" s="6"/>
      <c r="C948" s="6"/>
      <c r="D948" s="10"/>
      <c r="E948" s="10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spans="1:15" ht="19.5" customHeight="1" x14ac:dyDescent="0.25">
      <c r="A949" s="6"/>
      <c r="B949" s="6"/>
      <c r="C949" s="6"/>
      <c r="D949" s="10"/>
      <c r="E949" s="10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spans="1:15" ht="19.5" customHeight="1" x14ac:dyDescent="0.25">
      <c r="A950" s="6"/>
      <c r="B950" s="6"/>
      <c r="C950" s="6"/>
      <c r="D950" s="10"/>
      <c r="E950" s="10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spans="1:15" ht="19.5" customHeight="1" x14ac:dyDescent="0.25">
      <c r="A951" s="6"/>
      <c r="B951" s="6"/>
      <c r="C951" s="6"/>
      <c r="D951" s="10"/>
      <c r="E951" s="10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spans="1:15" ht="19.5" customHeight="1" x14ac:dyDescent="0.25">
      <c r="A952" s="6"/>
      <c r="B952" s="6"/>
      <c r="C952" s="6"/>
      <c r="D952" s="10"/>
      <c r="E952" s="10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spans="1:15" ht="19.5" customHeight="1" x14ac:dyDescent="0.25">
      <c r="A953" s="6"/>
      <c r="B953" s="6"/>
      <c r="C953" s="6"/>
      <c r="D953" s="10"/>
      <c r="E953" s="10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spans="1:15" ht="19.5" customHeight="1" x14ac:dyDescent="0.25">
      <c r="A954" s="6"/>
      <c r="B954" s="6"/>
      <c r="C954" s="6"/>
      <c r="D954" s="10"/>
      <c r="E954" s="10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spans="1:15" ht="19.5" customHeight="1" x14ac:dyDescent="0.25">
      <c r="A955" s="6"/>
      <c r="B955" s="6"/>
      <c r="C955" s="6"/>
      <c r="D955" s="10"/>
      <c r="E955" s="10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spans="1:15" ht="19.5" customHeight="1" x14ac:dyDescent="0.25">
      <c r="A956" s="6"/>
      <c r="B956" s="6"/>
      <c r="C956" s="6"/>
      <c r="D956" s="10"/>
      <c r="E956" s="10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spans="1:15" ht="19.5" customHeight="1" x14ac:dyDescent="0.25">
      <c r="A957" s="6"/>
      <c r="B957" s="6"/>
      <c r="C957" s="6"/>
      <c r="D957" s="10"/>
      <c r="E957" s="10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spans="1:15" ht="19.5" customHeight="1" x14ac:dyDescent="0.25">
      <c r="A958" s="6"/>
      <c r="B958" s="6"/>
      <c r="C958" s="6"/>
      <c r="D958" s="10"/>
      <c r="E958" s="10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spans="1:15" ht="19.5" customHeight="1" x14ac:dyDescent="0.25">
      <c r="A959" s="6"/>
      <c r="B959" s="6"/>
      <c r="C959" s="6"/>
      <c r="D959" s="10"/>
      <c r="E959" s="10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spans="1:15" ht="19.5" customHeight="1" x14ac:dyDescent="0.25">
      <c r="A960" s="6"/>
      <c r="B960" s="6"/>
      <c r="C960" s="6"/>
      <c r="D960" s="10"/>
      <c r="E960" s="10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spans="1:15" ht="19.5" customHeight="1" x14ac:dyDescent="0.25">
      <c r="A961" s="6"/>
      <c r="B961" s="6"/>
      <c r="C961" s="6"/>
      <c r="D961" s="10"/>
      <c r="E961" s="10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spans="1:15" ht="19.5" customHeight="1" x14ac:dyDescent="0.25">
      <c r="A962" s="6"/>
      <c r="B962" s="6"/>
      <c r="C962" s="6"/>
      <c r="D962" s="10"/>
      <c r="E962" s="10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spans="1:15" ht="19.5" customHeight="1" x14ac:dyDescent="0.25">
      <c r="A963" s="6"/>
      <c r="B963" s="6"/>
      <c r="C963" s="6"/>
      <c r="D963" s="10"/>
      <c r="E963" s="10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spans="1:15" ht="19.5" customHeight="1" x14ac:dyDescent="0.25">
      <c r="A964" s="6"/>
      <c r="B964" s="6"/>
      <c r="C964" s="6"/>
      <c r="D964" s="10"/>
      <c r="E964" s="10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spans="1:15" ht="19.5" customHeight="1" x14ac:dyDescent="0.25">
      <c r="A965" s="6"/>
      <c r="B965" s="6"/>
      <c r="C965" s="6"/>
      <c r="D965" s="10"/>
      <c r="E965" s="10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spans="1:15" ht="19.5" customHeight="1" x14ac:dyDescent="0.25">
      <c r="A966" s="6"/>
      <c r="B966" s="6"/>
      <c r="C966" s="6"/>
      <c r="D966" s="10"/>
      <c r="E966" s="10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spans="1:15" ht="19.5" customHeight="1" x14ac:dyDescent="0.25">
      <c r="A967" s="6"/>
      <c r="B967" s="6"/>
      <c r="C967" s="6"/>
      <c r="D967" s="10"/>
      <c r="E967" s="10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spans="1:15" ht="19.5" customHeight="1" x14ac:dyDescent="0.25">
      <c r="A968" s="6"/>
      <c r="B968" s="6"/>
      <c r="C968" s="6"/>
      <c r="D968" s="10"/>
      <c r="E968" s="10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spans="1:15" ht="19.5" customHeight="1" x14ac:dyDescent="0.25">
      <c r="A969" s="6"/>
      <c r="B969" s="6"/>
      <c r="C969" s="6"/>
      <c r="D969" s="10"/>
      <c r="E969" s="10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spans="1:15" ht="19.5" customHeight="1" x14ac:dyDescent="0.25">
      <c r="A970" s="6"/>
      <c r="B970" s="6"/>
      <c r="C970" s="6"/>
      <c r="D970" s="10"/>
      <c r="E970" s="10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spans="1:15" ht="19.5" customHeight="1" x14ac:dyDescent="0.25">
      <c r="A971" s="6"/>
      <c r="B971" s="6"/>
      <c r="C971" s="6"/>
      <c r="D971" s="10"/>
      <c r="E971" s="10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spans="1:15" ht="19.5" customHeight="1" x14ac:dyDescent="0.25">
      <c r="A972" s="6"/>
      <c r="B972" s="6"/>
      <c r="C972" s="6"/>
      <c r="D972" s="10"/>
      <c r="E972" s="10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spans="1:15" ht="19.5" customHeight="1" x14ac:dyDescent="0.25">
      <c r="A973" s="6"/>
      <c r="B973" s="6"/>
      <c r="C973" s="6"/>
      <c r="D973" s="10"/>
      <c r="E973" s="10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spans="1:15" ht="19.5" customHeight="1" x14ac:dyDescent="0.25">
      <c r="A974" s="6"/>
      <c r="B974" s="6"/>
      <c r="C974" s="6"/>
      <c r="D974" s="10"/>
      <c r="E974" s="10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spans="1:15" ht="19.5" customHeight="1" x14ac:dyDescent="0.25">
      <c r="A975" s="6"/>
      <c r="B975" s="6"/>
      <c r="C975" s="6"/>
      <c r="D975" s="10"/>
      <c r="E975" s="10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spans="1:15" ht="19.5" customHeight="1" x14ac:dyDescent="0.25">
      <c r="A976" s="6"/>
      <c r="B976" s="6"/>
      <c r="C976" s="6"/>
      <c r="D976" s="10"/>
      <c r="E976" s="10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spans="1:15" ht="19.5" customHeight="1" x14ac:dyDescent="0.25">
      <c r="A977" s="6"/>
      <c r="B977" s="6"/>
      <c r="C977" s="6"/>
      <c r="D977" s="10"/>
      <c r="E977" s="10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spans="1:15" ht="19.5" customHeight="1" x14ac:dyDescent="0.25">
      <c r="A978" s="6"/>
      <c r="B978" s="6"/>
      <c r="C978" s="6"/>
      <c r="D978" s="10"/>
      <c r="E978" s="10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spans="1:15" ht="19.5" customHeight="1" x14ac:dyDescent="0.25">
      <c r="A979" s="6"/>
      <c r="B979" s="6"/>
      <c r="C979" s="6"/>
      <c r="D979" s="10"/>
      <c r="E979" s="10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spans="1:15" ht="19.5" customHeight="1" x14ac:dyDescent="0.25">
      <c r="A980" s="6"/>
      <c r="B980" s="6"/>
      <c r="C980" s="6"/>
      <c r="D980" s="10"/>
      <c r="E980" s="10"/>
      <c r="F980" s="6"/>
      <c r="G980" s="6"/>
      <c r="H980" s="6"/>
      <c r="I980" s="6"/>
      <c r="J980" s="6"/>
      <c r="K980" s="6"/>
      <c r="L980" s="6"/>
      <c r="M980" s="6"/>
      <c r="N980" s="6"/>
      <c r="O980" s="6"/>
    </row>
  </sheetData>
  <phoneticPr fontId="24" type="noConversion"/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Y33"/>
  <sheetViews>
    <sheetView topLeftCell="C1" zoomScale="70" zoomScaleNormal="70" workbookViewId="0">
      <selection activeCell="X26" sqref="X26"/>
    </sheetView>
  </sheetViews>
  <sheetFormatPr defaultRowHeight="15" x14ac:dyDescent="0.25"/>
  <cols>
    <col min="2" max="2" width="66.140625" customWidth="1"/>
    <col min="3" max="3" width="16.85546875" customWidth="1"/>
    <col min="4" max="4" width="24" customWidth="1"/>
    <col min="5" max="5" width="18.85546875" customWidth="1"/>
    <col min="6" max="6" width="20.28515625" customWidth="1"/>
    <col min="7" max="7" width="17.85546875" customWidth="1"/>
    <col min="8" max="8" width="21.28515625" customWidth="1"/>
    <col min="9" max="18" width="21.28515625" hidden="1" customWidth="1"/>
    <col min="19" max="22" width="21.28515625" customWidth="1"/>
    <col min="24" max="25" width="17" style="36" customWidth="1"/>
  </cols>
  <sheetData>
    <row r="1" spans="2:25" ht="13.9" customHeight="1" x14ac:dyDescent="0.25">
      <c r="D1">
        <f>7000/D5</f>
        <v>1.1660816823560181</v>
      </c>
    </row>
    <row r="2" spans="2:25" ht="13.9" customHeight="1" thickBot="1" x14ac:dyDescent="0.3"/>
    <row r="3" spans="2:25" ht="13.9" customHeight="1" x14ac:dyDescent="0.25">
      <c r="C3" s="34" t="s">
        <v>21</v>
      </c>
      <c r="D3" s="57">
        <v>44958</v>
      </c>
      <c r="E3" s="34" t="s">
        <v>21</v>
      </c>
      <c r="F3" s="66">
        <v>45047</v>
      </c>
      <c r="G3" s="34" t="s">
        <v>21</v>
      </c>
      <c r="H3" s="57">
        <v>45017</v>
      </c>
      <c r="I3" s="34" t="s">
        <v>21</v>
      </c>
      <c r="J3" s="66">
        <v>44896</v>
      </c>
      <c r="K3" s="34" t="s">
        <v>21</v>
      </c>
      <c r="L3" s="57">
        <v>45017</v>
      </c>
      <c r="M3" s="34" t="s">
        <v>21</v>
      </c>
      <c r="N3" s="57">
        <v>44927</v>
      </c>
      <c r="O3" s="34" t="s">
        <v>21</v>
      </c>
      <c r="P3" s="57">
        <v>44682</v>
      </c>
      <c r="Q3" s="34" t="s">
        <v>21</v>
      </c>
      <c r="R3" s="57">
        <v>45017</v>
      </c>
      <c r="S3" s="34" t="s">
        <v>21</v>
      </c>
      <c r="T3" s="57">
        <v>45323</v>
      </c>
      <c r="U3" s="34" t="s">
        <v>21</v>
      </c>
      <c r="V3" s="57">
        <v>45108</v>
      </c>
    </row>
    <row r="4" spans="2:25" ht="13.9" customHeight="1" thickBot="1" x14ac:dyDescent="0.3">
      <c r="C4" s="35" t="s">
        <v>23</v>
      </c>
      <c r="D4" s="28">
        <v>2662.47</v>
      </c>
      <c r="E4" s="35" t="s">
        <v>23</v>
      </c>
      <c r="F4" s="28">
        <v>2688.94</v>
      </c>
      <c r="G4" s="35" t="s">
        <v>23</v>
      </c>
      <c r="H4" s="28">
        <v>2680.84</v>
      </c>
      <c r="I4" s="35" t="s">
        <v>23</v>
      </c>
      <c r="J4" s="28">
        <v>2643.16</v>
      </c>
      <c r="K4" s="35" t="s">
        <v>23</v>
      </c>
      <c r="L4" s="28">
        <v>2680.84</v>
      </c>
      <c r="M4" s="35" t="s">
        <v>23</v>
      </c>
      <c r="N4" s="28">
        <v>2651.17</v>
      </c>
      <c r="O4" s="35" t="s">
        <v>23</v>
      </c>
      <c r="P4" s="28">
        <v>2470.83</v>
      </c>
      <c r="Q4" s="35" t="s">
        <v>23</v>
      </c>
      <c r="R4" s="28">
        <v>2680.84</v>
      </c>
      <c r="S4" s="35" t="s">
        <v>23</v>
      </c>
      <c r="T4" s="28">
        <v>2754</v>
      </c>
      <c r="U4" s="35" t="s">
        <v>23</v>
      </c>
      <c r="V4" s="28">
        <v>2747.9</v>
      </c>
    </row>
    <row r="5" spans="2:25" ht="13.9" customHeight="1" x14ac:dyDescent="0.25">
      <c r="C5" s="61" t="s">
        <v>30</v>
      </c>
      <c r="D5" s="12">
        <v>6003.01</v>
      </c>
      <c r="E5" s="61"/>
      <c r="F5" s="12">
        <v>10520.39</v>
      </c>
      <c r="G5" s="61"/>
      <c r="H5" s="12"/>
      <c r="I5" s="61"/>
      <c r="J5" s="12"/>
      <c r="K5" s="61"/>
      <c r="L5" s="12"/>
      <c r="M5" s="61"/>
      <c r="N5" s="12"/>
      <c r="O5" s="61"/>
      <c r="P5" s="12"/>
      <c r="Q5" s="61"/>
      <c r="R5" s="12"/>
      <c r="S5" s="61"/>
      <c r="T5" s="12"/>
      <c r="U5" s="61"/>
      <c r="V5" s="12"/>
    </row>
    <row r="6" spans="2:25" ht="13.9" customHeight="1" x14ac:dyDescent="0.25">
      <c r="C6" s="61" t="s">
        <v>31</v>
      </c>
      <c r="D6" s="12"/>
      <c r="E6" s="61"/>
      <c r="F6" s="12"/>
      <c r="G6" s="61"/>
      <c r="H6" s="12"/>
      <c r="I6" s="61"/>
      <c r="J6" s="12"/>
      <c r="K6" s="61"/>
      <c r="L6" s="12"/>
      <c r="M6" s="61"/>
      <c r="N6" s="12"/>
      <c r="O6" s="61"/>
      <c r="P6" s="12"/>
      <c r="Q6" s="61"/>
      <c r="R6" s="12"/>
      <c r="S6" s="61"/>
      <c r="T6" s="12"/>
      <c r="U6" s="61"/>
      <c r="V6" s="12"/>
      <c r="W6" s="62"/>
    </row>
    <row r="7" spans="2:25" ht="13.9" customHeight="1" thickBot="1" x14ac:dyDescent="0.3"/>
    <row r="8" spans="2:25" ht="19.149999999999999" customHeight="1" thickBot="1" x14ac:dyDescent="0.3">
      <c r="C8" s="146" t="s">
        <v>33</v>
      </c>
      <c r="D8" s="147"/>
      <c r="E8" s="146" t="s">
        <v>35</v>
      </c>
      <c r="F8" s="148"/>
      <c r="G8" s="146" t="s">
        <v>36</v>
      </c>
      <c r="H8" s="147"/>
      <c r="I8" s="148" t="s">
        <v>34</v>
      </c>
      <c r="J8" s="147"/>
      <c r="K8" s="148" t="s">
        <v>41</v>
      </c>
      <c r="L8" s="147"/>
      <c r="M8" s="148" t="s">
        <v>44</v>
      </c>
      <c r="N8" s="147"/>
      <c r="O8" s="148" t="s">
        <v>45</v>
      </c>
      <c r="P8" s="147"/>
      <c r="Q8" s="148" t="s">
        <v>46</v>
      </c>
      <c r="R8" s="147"/>
      <c r="S8" s="148" t="s">
        <v>55</v>
      </c>
      <c r="T8" s="147"/>
      <c r="U8" s="148" t="s">
        <v>42</v>
      </c>
      <c r="V8" s="147"/>
      <c r="X8" s="149" t="s">
        <v>26</v>
      </c>
      <c r="Y8" s="149"/>
    </row>
    <row r="9" spans="2:25" ht="19.149999999999999" customHeight="1" thickBot="1" x14ac:dyDescent="0.3">
      <c r="B9" s="12"/>
      <c r="C9" s="31" t="s">
        <v>24</v>
      </c>
      <c r="D9" s="31" t="s">
        <v>25</v>
      </c>
      <c r="E9" s="31" t="s">
        <v>24</v>
      </c>
      <c r="F9" s="31" t="s">
        <v>25</v>
      </c>
      <c r="G9" s="32" t="s">
        <v>24</v>
      </c>
      <c r="H9" s="33" t="s">
        <v>25</v>
      </c>
      <c r="I9" s="31" t="s">
        <v>24</v>
      </c>
      <c r="J9" s="31" t="s">
        <v>25</v>
      </c>
      <c r="K9" s="31" t="s">
        <v>24</v>
      </c>
      <c r="L9" s="31" t="s">
        <v>25</v>
      </c>
      <c r="M9" s="31" t="s">
        <v>24</v>
      </c>
      <c r="N9" s="31" t="s">
        <v>25</v>
      </c>
      <c r="O9" s="31" t="s">
        <v>24</v>
      </c>
      <c r="P9" s="31" t="s">
        <v>25</v>
      </c>
      <c r="Q9" s="31" t="s">
        <v>24</v>
      </c>
      <c r="R9" s="31" t="s">
        <v>25</v>
      </c>
      <c r="S9" s="31" t="s">
        <v>24</v>
      </c>
      <c r="T9" s="31" t="s">
        <v>25</v>
      </c>
      <c r="U9" s="31" t="s">
        <v>24</v>
      </c>
      <c r="V9" s="31" t="s">
        <v>25</v>
      </c>
      <c r="X9" s="37" t="s">
        <v>27</v>
      </c>
      <c r="Y9" s="37" t="s">
        <v>28</v>
      </c>
    </row>
    <row r="10" spans="2:25" ht="19.149999999999999" customHeight="1" x14ac:dyDescent="0.25">
      <c r="B10" s="69" t="s">
        <v>16</v>
      </c>
      <c r="C10" s="23">
        <v>425.96973518284994</v>
      </c>
      <c r="D10" s="47">
        <f>(GER_EXECUTIVO!$B$21/CÁLCULO_MÉDIAS!D$4)*C10</f>
        <v>458.99816071671421</v>
      </c>
      <c r="E10" s="24">
        <v>283.33076286145285</v>
      </c>
      <c r="F10" s="47">
        <f>(GER_EXECUTIVO!$B$21/CÁLCULO_MÉDIAS!F$4)*E10</f>
        <v>302.29401135051381</v>
      </c>
      <c r="G10" s="55">
        <f>306.853550565509+12.39</f>
        <v>319.243550565509</v>
      </c>
      <c r="H10" s="47">
        <f>(GER_EXECUTIVO!$B$21/CÁLCULO_MÉDIAS!H$4)*G10</f>
        <v>341.63956620047981</v>
      </c>
      <c r="I10" s="25">
        <v>400.33</v>
      </c>
      <c r="J10" s="48" t="e">
        <f>(#REF!/CÁLCULO_MÉDIAS!J$4)*I10</f>
        <v>#REF!</v>
      </c>
      <c r="K10" s="25">
        <v>351.39717809637062</v>
      </c>
      <c r="L10" s="48" t="e">
        <f>(#REF!/CÁLCULO_MÉDIAS!L$4)*K10</f>
        <v>#REF!</v>
      </c>
      <c r="M10" s="25">
        <v>507.77610274314861</v>
      </c>
      <c r="N10" s="48" t="e">
        <f>(#REF!/CÁLCULO_MÉDIAS!N$4)*M10</f>
        <v>#REF!</v>
      </c>
      <c r="O10" s="25">
        <v>853.40171884210861</v>
      </c>
      <c r="P10" s="48" t="e">
        <f>(#REF!/CÁLCULO_MÉDIAS!P$4)*O10</f>
        <v>#REF!</v>
      </c>
      <c r="Q10" s="25">
        <v>515.91027321165393</v>
      </c>
      <c r="R10" s="48" t="e">
        <f>(#REF!/CÁLCULO_MÉDIAS!R$4)*Q10</f>
        <v>#REF!</v>
      </c>
      <c r="S10" s="25">
        <v>353.33</v>
      </c>
      <c r="T10" s="47">
        <f>(GER_EXECUTIVO!$B$21/CÁLCULO_MÉDIAS!T$4)*S10</f>
        <v>368.07261085693534</v>
      </c>
      <c r="U10" s="25">
        <v>419.36860920337062</v>
      </c>
      <c r="V10" s="47">
        <f>(GER_EXECUTIVO!$B$21/CÁLCULO_MÉDIAS!V$4)*U10</f>
        <v>437.83645570422573</v>
      </c>
      <c r="X10" s="58">
        <v>300</v>
      </c>
      <c r="Y10" s="58">
        <v>400</v>
      </c>
    </row>
    <row r="11" spans="2:25" ht="19.149999999999999" customHeight="1" x14ac:dyDescent="0.25">
      <c r="B11" s="2" t="s">
        <v>2</v>
      </c>
      <c r="C11" s="23">
        <v>19.587790125287146</v>
      </c>
      <c r="D11" s="47">
        <f>(GER_EXECUTIVO!$B$21/CÁLCULO_MÉDIAS!D$4)*C11</f>
        <v>21.106569076210267</v>
      </c>
      <c r="E11" s="24"/>
      <c r="F11" s="47">
        <f>(GER_EXECUTIVO!$B$21/CÁLCULO_MÉDIAS!F$4)*E11</f>
        <v>0</v>
      </c>
      <c r="G11" s="55">
        <v>26.515284956661631</v>
      </c>
      <c r="H11" s="47">
        <f>(GER_EXECUTIVO!$B$21/CÁLCULO_MÉDIAS!H$4)*G11</f>
        <v>28.375421944247368</v>
      </c>
      <c r="I11" s="25">
        <v>73.599999999999994</v>
      </c>
      <c r="J11" s="48" t="e">
        <f>(#REF!/CÁLCULO_MÉDIAS!J$4)*I11</f>
        <v>#REF!</v>
      </c>
      <c r="K11" s="25">
        <v>11.107320633515982</v>
      </c>
      <c r="L11" s="48" t="e">
        <f>(#REF!/CÁLCULO_MÉDIAS!L$4)*K11</f>
        <v>#REF!</v>
      </c>
      <c r="M11" s="25">
        <v>27.516026036224876</v>
      </c>
      <c r="N11" s="48" t="e">
        <f>(#REF!/CÁLCULO_MÉDIAS!N$4)*M11</f>
        <v>#REF!</v>
      </c>
      <c r="O11" s="25">
        <v>2.4231330085942107</v>
      </c>
      <c r="P11" s="48" t="e">
        <f>(#REF!/CÁLCULO_MÉDIAS!P$4)*O11</f>
        <v>#REF!</v>
      </c>
      <c r="R11" s="48" t="e">
        <f>(#REF!/CÁLCULO_MÉDIAS!R$4)*Q11</f>
        <v>#REF!</v>
      </c>
      <c r="S11" s="25">
        <v>6.8428238485249304</v>
      </c>
      <c r="T11" s="47">
        <f>(GER_EXECUTIVO!$B$21/CÁLCULO_MÉDIAS!T$4)*S11</f>
        <v>7.128339058559062</v>
      </c>
      <c r="U11" s="25">
        <v>7.3706627622064183</v>
      </c>
      <c r="V11" s="47">
        <f>(GER_EXECUTIVO!$B$21/CÁLCULO_MÉDIAS!V$4)*U11</f>
        <v>7.6952465901676232</v>
      </c>
      <c r="X11" s="58">
        <v>10</v>
      </c>
      <c r="Y11" s="58">
        <v>22</v>
      </c>
    </row>
    <row r="12" spans="2:25" ht="19.149999999999999" customHeight="1" x14ac:dyDescent="0.25">
      <c r="B12" s="69" t="s">
        <v>3</v>
      </c>
      <c r="C12" s="60">
        <v>195.59039548493175</v>
      </c>
      <c r="D12" s="47">
        <f>(GER_EXECUTIVO!$B$21/CÁLCULO_MÉDIAS!D$4)*C12</f>
        <v>210.75589265256531</v>
      </c>
      <c r="E12" s="24">
        <v>171.55069706541298</v>
      </c>
      <c r="F12" s="47">
        <f>(GER_EXECUTIVO!$B$21/CÁLCULO_MÉDIAS!F$4)*E12</f>
        <v>183.0325371030718</v>
      </c>
      <c r="G12" s="60">
        <f>268.371509227372+41.56</f>
        <v>309.93150922737198</v>
      </c>
      <c r="H12" s="47">
        <f>(GER_EXECUTIVO!$B$21/CÁLCULO_MÉDIAS!H$4)*G12</f>
        <v>331.6742536434474</v>
      </c>
      <c r="I12" s="26">
        <v>475.12</v>
      </c>
      <c r="J12" s="48" t="e">
        <f>(#REF!/CÁLCULO_MÉDIAS!J$4)*I12</f>
        <v>#REF!</v>
      </c>
      <c r="K12" s="26">
        <v>156.76554160559718</v>
      </c>
      <c r="L12" s="48" t="e">
        <f>(#REF!/CÁLCULO_MÉDIAS!L$4)*K12</f>
        <v>#REF!</v>
      </c>
      <c r="M12" s="26">
        <v>176.17906718669892</v>
      </c>
      <c r="N12" s="48" t="e">
        <f>(#REF!/CÁLCULO_MÉDIAS!N$4)*M12</f>
        <v>#REF!</v>
      </c>
      <c r="O12" s="26">
        <v>146.44486984580064</v>
      </c>
      <c r="P12" s="48" t="e">
        <f>(#REF!/CÁLCULO_MÉDIAS!P$4)*O12</f>
        <v>#REF!</v>
      </c>
      <c r="Q12" s="25">
        <v>112.98609001247024</v>
      </c>
      <c r="R12" s="48" t="e">
        <f>(#REF!/CÁLCULO_MÉDIAS!R$4)*Q12</f>
        <v>#REF!</v>
      </c>
      <c r="S12" s="26">
        <v>167.92236630666747</v>
      </c>
      <c r="T12" s="47">
        <f>(GER_EXECUTIVO!$B$21/CÁLCULO_MÉDIAS!T$4)*S12</f>
        <v>174.92888740772017</v>
      </c>
      <c r="U12" s="26">
        <v>183.12102790892249</v>
      </c>
      <c r="V12" s="47">
        <f>(GER_EXECUTIVO!$B$21/CÁLCULO_MÉDIAS!V$4)*U12</f>
        <v>191.18517710913306</v>
      </c>
      <c r="X12" s="58">
        <v>175</v>
      </c>
      <c r="Y12" s="58">
        <v>210</v>
      </c>
    </row>
    <row r="13" spans="2:25" ht="19.149999999999999" customHeight="1" x14ac:dyDescent="0.25">
      <c r="B13" s="2" t="s">
        <v>4</v>
      </c>
      <c r="C13" s="60">
        <v>730.88828937483026</v>
      </c>
      <c r="D13" s="47">
        <f>(GER_EXECUTIVO!$B$21/CÁLCULO_MÉDIAS!D$4)*C13</f>
        <v>787.55919212999379</v>
      </c>
      <c r="E13" s="24">
        <v>648.94587877445611</v>
      </c>
      <c r="F13" s="47">
        <f>(GER_EXECUTIVO!$B$21/CÁLCULO_MÉDIAS!F$4)*E13</f>
        <v>692.37964442301598</v>
      </c>
      <c r="G13" s="60">
        <f>424.075395917568+352.64</f>
        <v>776.715395917568</v>
      </c>
      <c r="H13" s="47">
        <f>(GER_EXECUTIVO!$B$21/CÁLCULO_MÉDIAS!H$4)*G13</f>
        <v>831.20460993638926</v>
      </c>
      <c r="I13" s="26">
        <v>724.14</v>
      </c>
      <c r="J13" s="48" t="e">
        <f>(#REF!/CÁLCULO_MÉDIAS!J$4)*I13</f>
        <v>#REF!</v>
      </c>
      <c r="K13" s="26">
        <v>611.50353281159266</v>
      </c>
      <c r="L13" s="48" t="e">
        <f>(#REF!/CÁLCULO_MÉDIAS!L$4)*K13</f>
        <v>#REF!</v>
      </c>
      <c r="M13" s="26">
        <v>601.70733907445504</v>
      </c>
      <c r="N13" s="48" t="e">
        <f>(#REF!/CÁLCULO_MÉDIAS!N$4)*M13</f>
        <v>#REF!</v>
      </c>
      <c r="O13" s="26">
        <v>506.89276162700509</v>
      </c>
      <c r="P13" s="48" t="e">
        <f>(#REF!/CÁLCULO_MÉDIAS!P$4)*O13</f>
        <v>#REF!</v>
      </c>
      <c r="Q13" s="26">
        <v>624.69265389411635</v>
      </c>
      <c r="R13" s="48" t="e">
        <f>(#REF!/CÁLCULO_MÉDIAS!R$4)*Q13</f>
        <v>#REF!</v>
      </c>
      <c r="S13" s="26">
        <v>637.84979848772218</v>
      </c>
      <c r="T13" s="47">
        <f>(GER_EXECUTIVO!$B$21/CÁLCULO_MÉDIAS!T$4)*S13</f>
        <v>664.46393078409983</v>
      </c>
      <c r="U13" s="26">
        <v>683.35961752226137</v>
      </c>
      <c r="V13" s="47">
        <f>(GER_EXECUTIVO!$B$21/CÁLCULO_MÉDIAS!V$4)*U13</f>
        <v>713.452905966662</v>
      </c>
      <c r="X13" s="58">
        <v>690</v>
      </c>
      <c r="Y13" s="58">
        <v>790</v>
      </c>
    </row>
    <row r="14" spans="2:25" ht="18.75" customHeight="1" x14ac:dyDescent="0.25">
      <c r="B14" s="69" t="s">
        <v>5</v>
      </c>
      <c r="C14" s="60">
        <v>119.11837394906888</v>
      </c>
      <c r="D14" s="47">
        <f>(GER_EXECUTIVO!$B$21/CÁLCULO_MÉDIAS!D$4)*C14</f>
        <v>128.35445815585649</v>
      </c>
      <c r="E14" s="24">
        <v>146.27237045394705</v>
      </c>
      <c r="F14" s="47">
        <f>(GER_EXECUTIVO!$B$21/CÁLCULO_MÉDIAS!F$4)*E14</f>
        <v>156.06233918162295</v>
      </c>
      <c r="G14" s="60">
        <f>45.9182137373762+52.78</f>
        <v>98.698213737376193</v>
      </c>
      <c r="H14" s="47">
        <f>(GER_EXECUTIVO!$B$21/CÁLCULO_MÉDIAS!H$4)*G14</f>
        <v>105.62222750081911</v>
      </c>
      <c r="I14" s="26">
        <v>168.14</v>
      </c>
      <c r="J14" s="48" t="e">
        <f>(#REF!/CÁLCULO_MÉDIAS!J$4)*I14</f>
        <v>#REF!</v>
      </c>
      <c r="K14" s="26">
        <v>149.60860951222114</v>
      </c>
      <c r="L14" s="48" t="e">
        <f>(#REF!/CÁLCULO_MÉDIAS!L$4)*K14</f>
        <v>#REF!</v>
      </c>
      <c r="M14" s="26">
        <v>128.62893187880044</v>
      </c>
      <c r="N14" s="48" t="e">
        <f>(#REF!/CÁLCULO_MÉDIAS!N$4)*M14</f>
        <v>#REF!</v>
      </c>
      <c r="O14" s="26">
        <v>125.20191120349975</v>
      </c>
      <c r="P14" s="48" t="e">
        <f>(#REF!/CÁLCULO_MÉDIAS!P$4)*O14</f>
        <v>#REF!</v>
      </c>
      <c r="Q14" s="26">
        <v>98.954850923931531</v>
      </c>
      <c r="R14" s="48" t="e">
        <f>(#REF!/CÁLCULO_MÉDIAS!R$4)*Q14</f>
        <v>#REF!</v>
      </c>
      <c r="S14" s="26">
        <v>156.4194238796118</v>
      </c>
      <c r="T14" s="47">
        <f>(GER_EXECUTIVO!$B$21/CÁLCULO_MÉDIAS!T$4)*S14</f>
        <v>162.94598742282392</v>
      </c>
      <c r="U14" s="26">
        <v>122.17230861172533</v>
      </c>
      <c r="V14" s="47">
        <f>(GER_EXECUTIVO!$B$21/CÁLCULO_MÉDIAS!V$4)*U14</f>
        <v>127.5524429197805</v>
      </c>
      <c r="X14" s="58">
        <v>120</v>
      </c>
      <c r="Y14" s="58">
        <v>160</v>
      </c>
    </row>
    <row r="15" spans="2:25" ht="19.149999999999999" customHeight="1" x14ac:dyDescent="0.25">
      <c r="B15" s="2" t="s">
        <v>6</v>
      </c>
      <c r="C15" s="13">
        <v>311.09536882330696</v>
      </c>
      <c r="D15" s="47">
        <f>(GER_EXECUTIVO!$B$21/CÁLCULO_MÉDIAS!D$4)*C15</f>
        <v>335.21677786824779</v>
      </c>
      <c r="E15" s="15">
        <v>273.47992517387667</v>
      </c>
      <c r="F15" s="47">
        <f>(GER_EXECUTIVO!$B$21/CÁLCULO_MÉDIAS!F$4)*E15</f>
        <v>291.78385985949348</v>
      </c>
      <c r="G15" s="60">
        <f>133.232025739994+119</f>
        <v>252.23202573999399</v>
      </c>
      <c r="H15" s="47">
        <f>(GER_EXECUTIVO!$B$21/CÁLCULO_MÉDIAS!H$4)*G15</f>
        <v>269.92695609052612</v>
      </c>
      <c r="I15" s="26">
        <v>325.69</v>
      </c>
      <c r="J15" s="48" t="e">
        <f>(#REF!/CÁLCULO_MÉDIAS!J$4)*I15</f>
        <v>#REF!</v>
      </c>
      <c r="K15" s="26">
        <v>303.91747719524187</v>
      </c>
      <c r="L15" s="48" t="e">
        <f>(#REF!/CÁLCULO_MÉDIAS!L$4)*K15</f>
        <v>#REF!</v>
      </c>
      <c r="M15" s="26">
        <v>321.44125300954613</v>
      </c>
      <c r="N15" s="48" t="e">
        <f>(#REF!/CÁLCULO_MÉDIAS!N$4)*M15</f>
        <v>#REF!</v>
      </c>
      <c r="O15" s="26">
        <v>367.37491235146291</v>
      </c>
      <c r="P15" s="48" t="e">
        <f>(#REF!/CÁLCULO_MÉDIAS!P$4)*O15</f>
        <v>#REF!</v>
      </c>
      <c r="Q15" s="26">
        <v>338.5</v>
      </c>
      <c r="R15" s="48" t="e">
        <f>(#REF!/CÁLCULO_MÉDIAS!R$4)*Q15</f>
        <v>#REF!</v>
      </c>
      <c r="S15" s="26">
        <v>334.62648629023573</v>
      </c>
      <c r="T15" s="47">
        <f>(GER_EXECUTIVO!$B$21/CÁLCULO_MÉDIAS!T$4)*S15</f>
        <v>348.58869745204072</v>
      </c>
      <c r="U15" s="26">
        <v>330.15727484611244</v>
      </c>
      <c r="V15" s="47">
        <f>(GER_EXECUTIVO!$B$21/CÁLCULO_MÉDIAS!V$4)*U15</f>
        <v>344.696498190895</v>
      </c>
      <c r="X15" s="58">
        <v>290</v>
      </c>
      <c r="Y15" s="58">
        <v>360</v>
      </c>
    </row>
    <row r="16" spans="2:25" ht="18.75" customHeight="1" x14ac:dyDescent="0.25">
      <c r="B16" s="69" t="s">
        <v>20</v>
      </c>
      <c r="C16" s="13">
        <v>234.95756961924101</v>
      </c>
      <c r="D16" s="47">
        <f>(GER_EXECUTIVO!$B$21/CÁLCULO_MÉDIAS!D$4)*C16</f>
        <v>253.17548030826143</v>
      </c>
      <c r="E16" s="15">
        <v>153.1432565712868</v>
      </c>
      <c r="F16" s="47">
        <f>(GER_EXECUTIVO!$B$21/CÁLCULO_MÉDIAS!F$4)*E16</f>
        <v>163.39309177963449</v>
      </c>
      <c r="G16" s="60">
        <v>247.28447097827882</v>
      </c>
      <c r="H16" s="47">
        <f>(GER_EXECUTIVO!$B$21/CÁLCULO_MÉDIAS!H$4)*G16</f>
        <v>264.63231361599117</v>
      </c>
      <c r="I16" s="26">
        <v>126.03</v>
      </c>
      <c r="J16" s="48" t="e">
        <f>(#REF!/CÁLCULO_MÉDIAS!J$4)*I16</f>
        <v>#REF!</v>
      </c>
      <c r="K16" s="26">
        <v>233.00073085842286</v>
      </c>
      <c r="L16" s="48" t="e">
        <f>(#REF!/CÁLCULO_MÉDIAS!L$4)*K16</f>
        <v>#REF!</v>
      </c>
      <c r="M16" s="26">
        <v>177.07278072332943</v>
      </c>
      <c r="N16" s="48" t="e">
        <f>(#REF!/CÁLCULO_MÉDIAS!N$4)*M16</f>
        <v>#REF!</v>
      </c>
      <c r="O16" s="26">
        <v>292.94778319009652</v>
      </c>
      <c r="P16" s="48" t="e">
        <f>(#REF!/CÁLCULO_MÉDIAS!P$4)*O16</f>
        <v>#REF!</v>
      </c>
      <c r="Q16" s="26">
        <v>195.68217889128218</v>
      </c>
      <c r="R16" s="48" t="e">
        <f>(#REF!/CÁLCULO_MÉDIAS!R$4)*Q16</f>
        <v>#REF!</v>
      </c>
      <c r="S16" s="26">
        <v>120.2716533517455</v>
      </c>
      <c r="T16" s="47">
        <f>(GER_EXECUTIVO!$B$21/CÁLCULO_MÉDIAS!T$4)*S16</f>
        <v>125.28995970129127</v>
      </c>
      <c r="U16" s="26">
        <v>147.2589649196199</v>
      </c>
      <c r="V16" s="47">
        <f>(GER_EXECUTIVO!$B$21/CÁLCULO_MÉDIAS!V$4)*U16</f>
        <v>153.7438469549644</v>
      </c>
      <c r="X16" s="58">
        <v>125</v>
      </c>
      <c r="Y16" s="58">
        <v>230</v>
      </c>
    </row>
    <row r="17" spans="2:25" ht="19.149999999999999" customHeight="1" x14ac:dyDescent="0.25">
      <c r="B17" s="2" t="s">
        <v>7</v>
      </c>
      <c r="C17" s="13">
        <v>40.385539920806394</v>
      </c>
      <c r="D17" s="47">
        <f>(GER_EXECUTIVO!$B$21/CÁLCULO_MÉDIAS!D$4)*C17</f>
        <v>43.516914494510992</v>
      </c>
      <c r="E17" s="15">
        <v>69.707841962132591</v>
      </c>
      <c r="F17" s="47">
        <f>(GER_EXECUTIVO!$B$21/CÁLCULO_MÉDIAS!F$4)*E17</f>
        <v>74.373368272844246</v>
      </c>
      <c r="G17" s="60">
        <f>21.1585217854063+29.7</f>
        <v>50.858521785406296</v>
      </c>
      <c r="H17" s="47">
        <f>(GER_EXECUTIVO!$B$21/CÁLCULO_MÉDIAS!H$4)*G17</f>
        <v>54.42641923254277</v>
      </c>
      <c r="I17" s="56">
        <v>88.82</v>
      </c>
      <c r="J17" s="48" t="e">
        <f>(#REF!/CÁLCULO_MÉDIAS!J$4)*I17</f>
        <v>#REF!</v>
      </c>
      <c r="K17" s="56">
        <v>73.418172498390135</v>
      </c>
      <c r="L17" s="48" t="e">
        <f>(#REF!/CÁLCULO_MÉDIAS!L$4)*K17</f>
        <v>#REF!</v>
      </c>
      <c r="M17" s="56">
        <v>128.04192273497173</v>
      </c>
      <c r="N17" s="48" t="e">
        <f>(#REF!/CÁLCULO_MÉDIAS!N$4)*M17</f>
        <v>#REF!</v>
      </c>
      <c r="O17" s="56">
        <v>49.030442741460085</v>
      </c>
      <c r="P17" s="48" t="e">
        <f>(#REF!/CÁLCULO_MÉDIAS!P$4)*O17</f>
        <v>#REF!</v>
      </c>
      <c r="Q17" s="26">
        <v>43.49527037750822</v>
      </c>
      <c r="R17" s="48" t="e">
        <f>(#REF!/CÁLCULO_MÉDIAS!R$4)*Q17</f>
        <v>#REF!</v>
      </c>
      <c r="S17" s="56">
        <v>59.845885558260207</v>
      </c>
      <c r="T17" s="47">
        <f>(GER_EXECUTIVO!$B$21/CÁLCULO_MÉDIAS!T$4)*S17</f>
        <v>62.342941008332708</v>
      </c>
      <c r="U17" s="56">
        <v>73.241233490706989</v>
      </c>
      <c r="V17" s="47">
        <f>(GER_EXECUTIVO!$B$21/CÁLCULO_MÉDIAS!V$4)*U17</f>
        <v>76.466577085710597</v>
      </c>
      <c r="X17" s="58">
        <v>45</v>
      </c>
      <c r="Y17" s="58">
        <v>65</v>
      </c>
    </row>
    <row r="18" spans="2:25" ht="19.149999999999999" customHeight="1" x14ac:dyDescent="0.25">
      <c r="B18" s="69" t="s">
        <v>17</v>
      </c>
      <c r="C18" s="13">
        <v>171.46501171912092</v>
      </c>
      <c r="D18" s="47">
        <f>(GER_EXECUTIVO!$B$21/CÁLCULO_MÉDIAS!D$4)*C18</f>
        <v>184.75989842931685</v>
      </c>
      <c r="E18" s="15">
        <v>152.31227151274811</v>
      </c>
      <c r="F18" s="47">
        <f>(GER_EXECUTIVO!$B$21/CÁLCULO_MÉDIAS!F$4)*E18</f>
        <v>162.50648912420439</v>
      </c>
      <c r="G18" s="60">
        <f>61.5070901205645+125.46</f>
        <v>186.96709012056448</v>
      </c>
      <c r="H18" s="47">
        <f>(GER_EXECUTIVO!$B$21/CÁLCULO_MÉDIAS!H$4)*G18</f>
        <v>200.08346433125013</v>
      </c>
      <c r="I18" s="26">
        <v>208.78</v>
      </c>
      <c r="J18" s="48" t="e">
        <f>(#REF!/CÁLCULO_MÉDIAS!J$4)*I18</f>
        <v>#REF!</v>
      </c>
      <c r="K18" s="26"/>
      <c r="L18" s="48" t="e">
        <f>(#REF!/CÁLCULO_MÉDIAS!L$4)*K18</f>
        <v>#REF!</v>
      </c>
      <c r="M18" s="26">
        <v>192.52393684333484</v>
      </c>
      <c r="N18" s="48" t="e">
        <f>(#REF!/CÁLCULO_MÉDIAS!N$4)*M18</f>
        <v>#REF!</v>
      </c>
      <c r="O18" s="26">
        <v>179.25884397009094</v>
      </c>
      <c r="P18" s="48" t="e">
        <f>(#REF!/CÁLCULO_MÉDIAS!P$4)*O18</f>
        <v>#REF!</v>
      </c>
      <c r="Q18" s="56">
        <v>140.41604806711257</v>
      </c>
      <c r="R18" s="48" t="e">
        <f>(#REF!/CÁLCULO_MÉDIAS!R$4)*Q18</f>
        <v>#REF!</v>
      </c>
      <c r="S18" s="26">
        <v>165.42047403515349</v>
      </c>
      <c r="T18" s="47">
        <f>(GER_EXECUTIVO!$B$21/CÁLCULO_MÉDIAS!T$4)*S18</f>
        <v>172.32260427167472</v>
      </c>
      <c r="U18" s="26">
        <v>163.65372803442298</v>
      </c>
      <c r="V18" s="47">
        <f>(GER_EXECUTIVO!$B$21/CÁLCULO_MÉDIAS!V$4)*U18</f>
        <v>170.86059059472191</v>
      </c>
      <c r="X18" s="58">
        <v>150</v>
      </c>
      <c r="Y18" s="58">
        <v>200</v>
      </c>
    </row>
    <row r="19" spans="2:25" ht="19.149999999999999" customHeight="1" x14ac:dyDescent="0.25">
      <c r="B19" s="2" t="s">
        <v>18</v>
      </c>
      <c r="C19" s="13">
        <v>82.252956433522513</v>
      </c>
      <c r="D19" s="47">
        <f>(GER_EXECUTIVO!$B$21/CÁLCULO_MÉDIAS!D$4)*C19</f>
        <v>88.630605881642637</v>
      </c>
      <c r="E19" s="15">
        <v>54.818639993384274</v>
      </c>
      <c r="F19" s="47">
        <f>(GER_EXECUTIVO!$B$21/CÁLCULO_MÉDIAS!F$4)*E19</f>
        <v>58.487636192484793</v>
      </c>
      <c r="G19" s="60">
        <f>54.2873850783883+15.35</f>
        <v>69.637385078388292</v>
      </c>
      <c r="H19" s="47">
        <f>(GER_EXECUTIVO!$B$21/CÁLCULO_MÉDIAS!H$4)*G19</f>
        <v>74.522683347472778</v>
      </c>
      <c r="I19" s="26">
        <v>69.87</v>
      </c>
      <c r="J19" s="48" t="e">
        <f>(#REF!/CÁLCULO_MÉDIAS!J$4)*I19</f>
        <v>#REF!</v>
      </c>
      <c r="K19" s="26">
        <v>79.667723119224732</v>
      </c>
      <c r="L19" s="48" t="e">
        <f>(#REF!/CÁLCULO_MÉDIAS!L$4)*K19</f>
        <v>#REF!</v>
      </c>
      <c r="M19" s="26">
        <v>66.141025225026439</v>
      </c>
      <c r="N19" s="48" t="e">
        <f>(#REF!/CÁLCULO_MÉDIAS!N$4)*M19</f>
        <v>#REF!</v>
      </c>
      <c r="O19" s="26">
        <v>114.72652415376501</v>
      </c>
      <c r="P19" s="48" t="e">
        <f>(#REF!/CÁLCULO_MÉDIAS!P$4)*O19</f>
        <v>#REF!</v>
      </c>
      <c r="Q19" s="26">
        <v>43.3805600272078</v>
      </c>
      <c r="R19" s="48" t="e">
        <f>(#REF!/CÁLCULO_MÉDIAS!R$4)*Q19</f>
        <v>#REF!</v>
      </c>
      <c r="S19" s="26">
        <v>52.622755284768445</v>
      </c>
      <c r="T19" s="47">
        <f>(GER_EXECUTIVO!$B$21/CÁLCULO_MÉDIAS!T$4)*S19</f>
        <v>54.818427328985123</v>
      </c>
      <c r="U19" s="26">
        <v>53.764127173848088</v>
      </c>
      <c r="V19" s="47">
        <f>(GER_EXECUTIVO!$B$21/CÁLCULO_MÉDIAS!V$4)*U19</f>
        <v>56.131752280040935</v>
      </c>
      <c r="X19" s="58">
        <v>50</v>
      </c>
      <c r="Y19" s="58">
        <v>80</v>
      </c>
    </row>
    <row r="20" spans="2:25" ht="19.149999999999999" customHeight="1" x14ac:dyDescent="0.25">
      <c r="B20" s="69" t="s">
        <v>8</v>
      </c>
      <c r="C20" s="13">
        <v>171.08275181950387</v>
      </c>
      <c r="D20" s="47">
        <f>(GER_EXECUTIVO!$B$21/CÁLCULO_MÉDIAS!D$4)*C20</f>
        <v>184.34799923473048</v>
      </c>
      <c r="E20" s="15">
        <v>210.03146991698981</v>
      </c>
      <c r="F20" s="47">
        <f>(GER_EXECUTIVO!$B$21/CÁLCULO_MÉDIAS!F$4)*E20</f>
        <v>224.08881728843008</v>
      </c>
      <c r="G20" s="60">
        <f>128.113840140444+57.38</f>
        <v>185.49384014044401</v>
      </c>
      <c r="H20" s="47">
        <f>(GER_EXECUTIVO!$B$21/CÁLCULO_MÉDIAS!H$4)*G20</f>
        <v>198.50686087842658</v>
      </c>
      <c r="I20" s="26">
        <v>169.91</v>
      </c>
      <c r="J20" s="48" t="e">
        <f>(#REF!/CÁLCULO_MÉDIAS!J$4)*I20</f>
        <v>#REF!</v>
      </c>
      <c r="K20" s="26"/>
      <c r="L20" s="48" t="e">
        <f>(#REF!/CÁLCULO_MÉDIAS!L$4)*K20</f>
        <v>#REF!</v>
      </c>
      <c r="M20" s="26">
        <v>187.43824184096619</v>
      </c>
      <c r="N20" s="48" t="e">
        <f>(#REF!/CÁLCULO_MÉDIAS!N$4)*M20</f>
        <v>#REF!</v>
      </c>
      <c r="O20" s="26">
        <v>185.67446867922186</v>
      </c>
      <c r="P20" s="48" t="e">
        <f>(#REF!/CÁLCULO_MÉDIAS!P$4)*O20</f>
        <v>#REF!</v>
      </c>
      <c r="Q20" s="26">
        <v>235.68856592223105</v>
      </c>
      <c r="R20" s="48" t="e">
        <f>(#REF!/CÁLCULO_MÉDIAS!R$4)*Q20</f>
        <v>#REF!</v>
      </c>
      <c r="S20" s="26">
        <v>139.61446675679522</v>
      </c>
      <c r="T20" s="47">
        <f>(GER_EXECUTIVO!$B$21/CÁLCULO_MÉDIAS!T$4)*S20</f>
        <v>145.43984743036941</v>
      </c>
      <c r="U20" s="26">
        <v>189.08185134763636</v>
      </c>
      <c r="V20" s="47">
        <f>(GER_EXECUTIVO!$B$21/CÁLCULO_MÉDIAS!V$4)*U20</f>
        <v>197.40849890816526</v>
      </c>
      <c r="X20" s="58">
        <v>180</v>
      </c>
      <c r="Y20" s="58">
        <v>220</v>
      </c>
    </row>
    <row r="21" spans="2:25" ht="19.149999999999999" customHeight="1" x14ac:dyDescent="0.25">
      <c r="B21" s="2" t="s">
        <v>9</v>
      </c>
      <c r="C21" s="13">
        <v>131.71984554415201</v>
      </c>
      <c r="D21" s="47">
        <f>(GER_EXECUTIVO!$B$21/CÁLCULO_MÉDIAS!D$4)*C21</f>
        <v>141.93301035507375</v>
      </c>
      <c r="E21" s="15">
        <v>125.3808845584622</v>
      </c>
      <c r="F21" s="47">
        <f>(GER_EXECUTIVO!$B$21/CÁLCULO_MÉDIAS!F$4)*E21</f>
        <v>133.77259199484473</v>
      </c>
      <c r="G21" s="60">
        <f>35.9030401086365+97.72</f>
        <v>133.6230401086365</v>
      </c>
      <c r="H21" s="47">
        <f>(GER_EXECUTIVO!$B$21/CÁLCULO_MÉDIAS!H$4)*G21</f>
        <v>142.99714865417866</v>
      </c>
      <c r="I21" s="26">
        <v>91.97</v>
      </c>
      <c r="J21" s="48" t="e">
        <f>(#REF!/CÁLCULO_MÉDIAS!J$4)*I21</f>
        <v>#REF!</v>
      </c>
      <c r="K21" s="26">
        <v>123.7200486317145</v>
      </c>
      <c r="L21" s="48" t="e">
        <f>(#REF!/CÁLCULO_MÉDIAS!L$4)*K21</f>
        <v>#REF!</v>
      </c>
      <c r="M21" s="26">
        <v>135.4755699480184</v>
      </c>
      <c r="N21" s="48" t="e">
        <f>(#REF!/CÁLCULO_MÉDIAS!N$4)*M21</f>
        <v>#REF!</v>
      </c>
      <c r="O21" s="26">
        <v>147.81828674257702</v>
      </c>
      <c r="P21" s="48" t="e">
        <f>(#REF!/CÁLCULO_MÉDIAS!P$4)*O21</f>
        <v>#REF!</v>
      </c>
      <c r="Q21" s="26">
        <v>17.510173449722252</v>
      </c>
      <c r="R21" s="48" t="e">
        <f>(#REF!/CÁLCULO_MÉDIAS!R$4)*Q21</f>
        <v>#REF!</v>
      </c>
      <c r="S21" s="26">
        <v>136.57496470968294</v>
      </c>
      <c r="T21" s="47">
        <f>(GER_EXECUTIVO!$B$21/CÁLCULO_MÉDIAS!T$4)*S21</f>
        <v>142.27352287772567</v>
      </c>
      <c r="U21" s="26">
        <v>134.65857048945196</v>
      </c>
      <c r="V21" s="47">
        <f>(GER_EXECUTIVO!$B$21/CÁLCULO_MÉDIAS!V$4)*U21</f>
        <v>140.58856561843356</v>
      </c>
      <c r="X21" s="58">
        <v>120</v>
      </c>
      <c r="Y21" s="58">
        <v>145</v>
      </c>
    </row>
    <row r="22" spans="2:25" ht="19.149999999999999" customHeight="1" x14ac:dyDescent="0.25">
      <c r="B22" s="69" t="s">
        <v>10</v>
      </c>
      <c r="C22" s="13">
        <v>323.47431538511512</v>
      </c>
      <c r="D22" s="47">
        <f>(GER_EXECUTIVO!$B$21/CÁLCULO_MÉDIAS!D$4)*C22</f>
        <v>348.55555110536858</v>
      </c>
      <c r="E22" s="15">
        <v>243.33429413738463</v>
      </c>
      <c r="F22" s="47">
        <f>(GER_EXECUTIVO!$B$21/CÁLCULO_MÉDIAS!F$4)*E22</f>
        <v>259.62059019304411</v>
      </c>
      <c r="G22" s="60">
        <f>250.558807445514+9.23</f>
        <v>259.78880744551401</v>
      </c>
      <c r="H22" s="47">
        <f>(GER_EXECUTIVO!$B$21/CÁLCULO_MÉDIAS!H$4)*G22</f>
        <v>278.01387161058079</v>
      </c>
      <c r="I22" s="26">
        <v>334.99</v>
      </c>
      <c r="J22" s="48" t="e">
        <f>(#REF!/CÁLCULO_MÉDIAS!J$4)*I22</f>
        <v>#REF!</v>
      </c>
      <c r="K22" s="26">
        <v>274.28814784673307</v>
      </c>
      <c r="L22" s="48" t="e">
        <f>(#REF!/CÁLCULO_MÉDIAS!L$4)*K22</f>
        <v>#REF!</v>
      </c>
      <c r="M22" s="26">
        <v>269.57661931431016</v>
      </c>
      <c r="N22" s="48" t="e">
        <f>(#REF!/CÁLCULO_MÉDIAS!N$4)*M22</f>
        <v>#REF!</v>
      </c>
      <c r="O22" s="26">
        <v>660.96994198132245</v>
      </c>
      <c r="P22" s="48" t="e">
        <f>(#REF!/CÁLCULO_MÉDIAS!P$4)*O22</f>
        <v>#REF!</v>
      </c>
      <c r="Q22" s="26">
        <v>73.435460832105193</v>
      </c>
      <c r="R22" s="48" t="e">
        <f>(#REF!/CÁLCULO_MÉDIAS!R$4)*Q22</f>
        <v>#REF!</v>
      </c>
      <c r="S22" s="26">
        <v>223.83736843012335</v>
      </c>
      <c r="T22" s="47">
        <f>(GER_EXECUTIVO!$B$21/CÁLCULO_MÉDIAS!T$4)*S22</f>
        <v>233.17692979769976</v>
      </c>
      <c r="U22" s="26">
        <v>246.44935755692345</v>
      </c>
      <c r="V22" s="47">
        <f>(GER_EXECUTIVO!$B$21/CÁLCULO_MÉDIAS!V$4)*U22</f>
        <v>257.30231318047714</v>
      </c>
      <c r="X22" s="58">
        <v>260</v>
      </c>
      <c r="Y22" s="58">
        <v>340</v>
      </c>
    </row>
    <row r="23" spans="2:25" ht="19.149999999999999" customHeight="1" x14ac:dyDescent="0.25">
      <c r="B23" s="2" t="s">
        <v>19</v>
      </c>
      <c r="C23" s="13">
        <v>5.0049675079668363</v>
      </c>
      <c r="D23" s="47">
        <f>(GER_EXECUTIVO!$B$21/CÁLCULO_MÉDIAS!D$4)*C23</f>
        <v>5.3930377932074869</v>
      </c>
      <c r="E23" s="15">
        <v>12.639947654031838</v>
      </c>
      <c r="F23" s="47">
        <f>(GER_EXECUTIVO!$B$21/CÁLCULO_MÉDIAS!F$4)*E23</f>
        <v>13.485935805234954</v>
      </c>
      <c r="G23" s="13">
        <f>2.57125170509111+1.44</f>
        <v>4.0112517050911105</v>
      </c>
      <c r="H23" s="47">
        <f>(GER_EXECUTIVO!$B$21/CÁLCULO_MÉDIAS!H$4)*G23</f>
        <v>4.2926545893275749</v>
      </c>
      <c r="I23" s="27">
        <v>42.32</v>
      </c>
      <c r="J23" s="48" t="e">
        <f>(#REF!/CÁLCULO_MÉDIAS!J$4)*I23</f>
        <v>#REF!</v>
      </c>
      <c r="K23" s="27"/>
      <c r="L23" s="48" t="e">
        <f>(#REF!/CÁLCULO_MÉDIAS!L$4)*K23</f>
        <v>#REF!</v>
      </c>
      <c r="M23" s="27">
        <v>29.418583258162279</v>
      </c>
      <c r="N23" s="48" t="e">
        <f>(#REF!/CÁLCULO_MÉDIAS!N$4)*M23</f>
        <v>#REF!</v>
      </c>
      <c r="O23" s="27">
        <v>16.604138872514042</v>
      </c>
      <c r="P23" s="48" t="e">
        <f>(#REF!/CÁLCULO_MÉDIAS!P$4)*O23</f>
        <v>#REF!</v>
      </c>
      <c r="Q23" s="26">
        <v>289.35719306201111</v>
      </c>
      <c r="R23" s="48" t="e">
        <f>(#REF!/CÁLCULO_MÉDIAS!R$4)*Q23</f>
        <v>#REF!</v>
      </c>
      <c r="S23" s="27">
        <v>0</v>
      </c>
      <c r="T23" s="47">
        <f>(GER_EXECUTIVO!$B$21/CÁLCULO_MÉDIAS!T$4)*S23</f>
        <v>0</v>
      </c>
      <c r="U23" s="27">
        <v>14.670230084264626</v>
      </c>
      <c r="V23" s="47">
        <f>(GER_EXECUTIVO!$B$21/CÁLCULO_MÉDIAS!V$4)*U23</f>
        <v>15.316266891461705</v>
      </c>
      <c r="X23" s="58">
        <v>5</v>
      </c>
      <c r="Y23" s="58">
        <v>15</v>
      </c>
    </row>
    <row r="24" spans="2:25" ht="19.149999999999999" customHeight="1" x14ac:dyDescent="0.25">
      <c r="B24" s="69" t="s">
        <v>11</v>
      </c>
      <c r="C24" s="13">
        <v>165.68145313767593</v>
      </c>
      <c r="D24" s="47">
        <f>(GER_EXECUTIVO!$B$21/CÁLCULO_MÉDIAS!D$4)*C24</f>
        <v>178.52789992796534</v>
      </c>
      <c r="E24" s="15">
        <v>102.99303370882639</v>
      </c>
      <c r="F24" s="47">
        <f>(GER_EXECUTIVO!$B$21/CÁLCULO_MÉDIAS!F$4)*E24</f>
        <v>109.88632856723805</v>
      </c>
      <c r="G24" s="13">
        <f>150.750039454126+64.44</f>
        <v>215.19003945412601</v>
      </c>
      <c r="H24" s="47">
        <f>(GER_EXECUTIVO!$B$21/CÁLCULO_MÉDIAS!H$4)*G24</f>
        <v>230.28634908847098</v>
      </c>
      <c r="I24" s="27">
        <v>128.59</v>
      </c>
      <c r="J24" s="48" t="e">
        <f>(#REF!/CÁLCULO_MÉDIAS!J$4)*I24</f>
        <v>#REF!</v>
      </c>
      <c r="K24" s="26">
        <v>83.253868611408492</v>
      </c>
      <c r="L24" s="48" t="e">
        <f>(#REF!/CÁLCULO_MÉDIAS!L$4)*K24</f>
        <v>#REF!</v>
      </c>
      <c r="M24" s="26">
        <v>187.55719597905161</v>
      </c>
      <c r="N24" s="48" t="e">
        <f>(#REF!/CÁLCULO_MÉDIAS!N$4)*M24</f>
        <v>#REF!</v>
      </c>
      <c r="O24" s="26">
        <v>134.24254289348764</v>
      </c>
      <c r="P24" s="48" t="e">
        <f>(#REF!/CÁLCULO_MÉDIAS!P$4)*O24</f>
        <v>#REF!</v>
      </c>
      <c r="Q24" s="27">
        <v>93.244353247931087</v>
      </c>
      <c r="R24" s="48" t="e">
        <f>(#REF!/CÁLCULO_MÉDIAS!R$4)*Q24</f>
        <v>#REF!</v>
      </c>
      <c r="S24" s="27">
        <v>162.49165505764955</v>
      </c>
      <c r="T24" s="47">
        <f>(GER_EXECUTIVO!$B$21/CÁLCULO_MÉDIAS!T$4)*S24</f>
        <v>169.27158101359527</v>
      </c>
      <c r="U24" s="27">
        <v>132.67686965875814</v>
      </c>
      <c r="V24" s="47">
        <f>(GER_EXECUTIVO!$B$21/CÁLCULO_MÉDIAS!V$4)*U24</f>
        <v>138.51959610346364</v>
      </c>
      <c r="X24" s="58">
        <v>110</v>
      </c>
      <c r="Y24" s="58">
        <v>170</v>
      </c>
    </row>
    <row r="25" spans="2:25" ht="19.149999999999999" customHeight="1" thickBot="1" x14ac:dyDescent="0.3">
      <c r="B25" s="2" t="s">
        <v>12</v>
      </c>
      <c r="C25" s="13">
        <v>142.84171607243701</v>
      </c>
      <c r="D25" s="47">
        <f>(GER_EXECUTIVO!$B$21/CÁLCULO_MÉDIAS!D$4)*C25</f>
        <v>153.91723762422686</v>
      </c>
      <c r="E25" s="15">
        <v>116.34736354830952</v>
      </c>
      <c r="F25" s="47">
        <f>(GER_EXECUTIVO!$B$21/CÁLCULO_MÉDIAS!F$4)*E25</f>
        <v>124.13445995722502</v>
      </c>
      <c r="G25" s="13">
        <f>154.053109535665+12.4</f>
        <v>166.45310953566499</v>
      </c>
      <c r="H25" s="47">
        <f>(GER_EXECUTIVO!$B$21/CÁLCULO_MÉDIAS!H$4)*G25</f>
        <v>178.13035857341899</v>
      </c>
      <c r="I25" s="27">
        <v>206.87</v>
      </c>
      <c r="J25" s="48" t="e">
        <f>(#REF!/CÁLCULO_MÉDIAS!J$4)*I25</f>
        <v>#REF!</v>
      </c>
      <c r="K25" s="27">
        <v>123.04168429780309</v>
      </c>
      <c r="L25" s="48" t="e">
        <f>(#REF!/CÁLCULO_MÉDIAS!L$4)*K25</f>
        <v>#REF!</v>
      </c>
      <c r="M25" s="27">
        <v>81.265858929347857</v>
      </c>
      <c r="N25" s="48" t="e">
        <f>(#REF!/CÁLCULO_MÉDIAS!N$4)*M25</f>
        <v>#REF!</v>
      </c>
      <c r="O25" s="27">
        <v>222.14638081350253</v>
      </c>
      <c r="P25" s="48" t="e">
        <f>(#REF!/CÁLCULO_MÉDIAS!P$4)*O25</f>
        <v>#REF!</v>
      </c>
      <c r="Q25" s="26">
        <v>217.6074141253826</v>
      </c>
      <c r="R25" s="48" t="e">
        <f>(#REF!/CÁLCULO_MÉDIAS!R$4)*Q25</f>
        <v>#REF!</v>
      </c>
      <c r="S25" s="27">
        <v>165.47821490890078</v>
      </c>
      <c r="T25" s="47">
        <f>(GER_EXECUTIVO!$B$21/CÁLCULO_MÉDIAS!T$4)*S25</f>
        <v>172.3827543697511</v>
      </c>
      <c r="U25" s="27">
        <v>123.27582621167751</v>
      </c>
      <c r="V25" s="47">
        <f>(GER_EXECUTIVO!$B$21/CÁLCULO_MÉDIAS!V$4)*U25</f>
        <v>128.70455641651577</v>
      </c>
      <c r="X25" s="58">
        <v>120</v>
      </c>
      <c r="Y25" s="58">
        <v>180</v>
      </c>
    </row>
    <row r="26" spans="2:25" ht="19.149999999999999" customHeight="1" thickBot="1" x14ac:dyDescent="0.3">
      <c r="B26" s="29" t="s">
        <v>13</v>
      </c>
      <c r="C26" s="30">
        <f t="shared" ref="C26:U26" si="0">SUM(C10:C25)</f>
        <v>3271.1160800998159</v>
      </c>
      <c r="D26" s="49">
        <f t="shared" si="0"/>
        <v>3524.7486857538925</v>
      </c>
      <c r="E26" s="30">
        <f t="shared" si="0"/>
        <v>2764.2886378927014</v>
      </c>
      <c r="F26" s="65">
        <f t="shared" si="0"/>
        <v>2949.3017010929034</v>
      </c>
      <c r="G26" s="30">
        <f t="shared" si="0"/>
        <v>3302.6435364965955</v>
      </c>
      <c r="H26" s="65">
        <f t="shared" si="0"/>
        <v>3534.3351592375689</v>
      </c>
      <c r="I26" s="30">
        <f t="shared" si="0"/>
        <v>3635.1700000000005</v>
      </c>
      <c r="J26" s="65" t="e">
        <f t="shared" si="0"/>
        <v>#REF!</v>
      </c>
      <c r="K26" s="30">
        <f t="shared" si="0"/>
        <v>2574.6900357182362</v>
      </c>
      <c r="L26" s="49" t="e">
        <f t="shared" si="0"/>
        <v>#REF!</v>
      </c>
      <c r="M26" s="30">
        <f t="shared" ref="M26:P26" si="1">SUM(M10:M25)</f>
        <v>3217.7604547253936</v>
      </c>
      <c r="N26" s="49" t="e">
        <f t="shared" si="1"/>
        <v>#REF!</v>
      </c>
      <c r="O26" s="30">
        <f t="shared" si="1"/>
        <v>4005.1586609165083</v>
      </c>
      <c r="P26" s="49" t="e">
        <f t="shared" si="1"/>
        <v>#REF!</v>
      </c>
      <c r="Q26" s="30">
        <f>SUM(Q10:Q25)</f>
        <v>3040.8610860446652</v>
      </c>
      <c r="R26" s="49" t="e">
        <f t="shared" ref="R26" si="2">SUM(R10:R25)</f>
        <v>#REF!</v>
      </c>
      <c r="S26" s="30">
        <f t="shared" ref="S26" si="3">SUM(S10:S25)</f>
        <v>2883.1483369058415</v>
      </c>
      <c r="T26" s="49">
        <f>SUM(T10:T25)</f>
        <v>3003.4470207816044</v>
      </c>
      <c r="U26" s="30">
        <f t="shared" si="0"/>
        <v>3024.2802598219091</v>
      </c>
      <c r="V26" s="49">
        <f>SUM(V10:V25)</f>
        <v>3157.4612905148192</v>
      </c>
      <c r="X26" s="63">
        <f>SUM(X11:X25)</f>
        <v>2450</v>
      </c>
      <c r="Y26" s="63">
        <f>SUM(Y11:Y25)</f>
        <v>3187</v>
      </c>
    </row>
    <row r="28" spans="2:25" x14ac:dyDescent="0.25">
      <c r="B28" s="14"/>
      <c r="C28" s="16"/>
      <c r="E28" s="14"/>
      <c r="F28" s="16"/>
    </row>
    <row r="29" spans="2:25" x14ac:dyDescent="0.25">
      <c r="C29" s="73">
        <v>0.219</v>
      </c>
      <c r="E29" s="73">
        <v>0.2291</v>
      </c>
      <c r="G29" s="73">
        <v>0.2346</v>
      </c>
    </row>
    <row r="31" spans="2:25" x14ac:dyDescent="0.25">
      <c r="D31" s="98">
        <f>D22*0.6</f>
        <v>209.13333066322113</v>
      </c>
      <c r="F31" s="98">
        <f>F22*0.6</f>
        <v>155.77235411582646</v>
      </c>
      <c r="H31" s="98">
        <f>H22*0.6</f>
        <v>166.80832296634847</v>
      </c>
      <c r="L31" s="98" t="e">
        <f>L22*0.6</f>
        <v>#REF!</v>
      </c>
      <c r="T31" s="98">
        <f>T22*0.6</f>
        <v>139.90615787861984</v>
      </c>
      <c r="V31" s="98">
        <f>V22*0.6</f>
        <v>154.38138790828629</v>
      </c>
    </row>
    <row r="33" spans="4:22" x14ac:dyDescent="0.25">
      <c r="D33" s="98">
        <f>D21*1.27</f>
        <v>180.25492315094365</v>
      </c>
      <c r="F33" s="98">
        <f>F21*1.27</f>
        <v>169.89119183345281</v>
      </c>
      <c r="H33" s="98">
        <f>H21*1.27</f>
        <v>181.6063787908069</v>
      </c>
      <c r="L33" s="98" t="e">
        <f>L21*1.27</f>
        <v>#REF!</v>
      </c>
      <c r="T33" s="98">
        <f>T21*1.27</f>
        <v>180.6873740547116</v>
      </c>
      <c r="V33" s="98">
        <f>V21*1.27</f>
        <v>178.54747833541063</v>
      </c>
    </row>
  </sheetData>
  <mergeCells count="11">
    <mergeCell ref="C8:D8"/>
    <mergeCell ref="E8:F8"/>
    <mergeCell ref="G8:H8"/>
    <mergeCell ref="X8:Y8"/>
    <mergeCell ref="I8:J8"/>
    <mergeCell ref="U8:V8"/>
    <mergeCell ref="K8:L8"/>
    <mergeCell ref="M8:N8"/>
    <mergeCell ref="O8:P8"/>
    <mergeCell ref="Q8:R8"/>
    <mergeCell ref="S8:T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571B-97F3-40CD-8D4D-07C1A23169F5}">
  <dimension ref="A1:H957"/>
  <sheetViews>
    <sheetView tabSelected="1" zoomScale="70" zoomScaleNormal="70" workbookViewId="0">
      <selection activeCell="G21" sqref="A1:G21"/>
    </sheetView>
  </sheetViews>
  <sheetFormatPr defaultColWidth="14.42578125" defaultRowHeight="17.100000000000001" customHeight="1" x14ac:dyDescent="0.25"/>
  <cols>
    <col min="1" max="1" width="66.28515625" style="106" customWidth="1"/>
    <col min="2" max="2" width="24.5703125" style="106" bestFit="1" customWidth="1"/>
    <col min="3" max="3" width="18.28515625" style="106" bestFit="1" customWidth="1"/>
    <col min="4" max="4" width="24.5703125" style="106" bestFit="1" customWidth="1"/>
    <col min="5" max="5" width="17.85546875" style="106" bestFit="1" customWidth="1"/>
    <col min="6" max="6" width="22.42578125" style="106" bestFit="1" customWidth="1"/>
    <col min="7" max="7" width="15.85546875" style="106" customWidth="1"/>
    <col min="8" max="8" width="51" style="106" customWidth="1"/>
    <col min="9" max="16384" width="14.42578125" style="106"/>
  </cols>
  <sheetData>
    <row r="1" spans="1:8" ht="17.100000000000001" customHeight="1" x14ac:dyDescent="0.25">
      <c r="A1" s="150" t="s">
        <v>0</v>
      </c>
      <c r="B1" s="152" t="s">
        <v>63</v>
      </c>
      <c r="C1" s="153"/>
      <c r="D1" s="152" t="s">
        <v>64</v>
      </c>
      <c r="E1" s="153"/>
      <c r="F1" s="154" t="s">
        <v>66</v>
      </c>
      <c r="G1" s="155"/>
      <c r="H1" s="141"/>
    </row>
    <row r="2" spans="1:8" ht="17.100000000000001" customHeight="1" x14ac:dyDescent="0.25">
      <c r="A2" s="151"/>
      <c r="B2" s="114" t="s">
        <v>65</v>
      </c>
      <c r="C2" s="113" t="s">
        <v>1</v>
      </c>
      <c r="D2" s="114" t="s">
        <v>65</v>
      </c>
      <c r="E2" s="113" t="s">
        <v>1</v>
      </c>
      <c r="F2" s="114" t="s">
        <v>65</v>
      </c>
      <c r="G2" s="113" t="s">
        <v>1</v>
      </c>
      <c r="H2" s="113" t="s">
        <v>67</v>
      </c>
    </row>
    <row r="3" spans="1:8" ht="17.100000000000001" customHeight="1" x14ac:dyDescent="0.25">
      <c r="A3" s="99" t="s">
        <v>16</v>
      </c>
      <c r="B3" s="112">
        <v>4523591.5732937399</v>
      </c>
      <c r="C3" s="121">
        <v>359.0006290282484</v>
      </c>
      <c r="D3" s="112">
        <v>4776159.3952975795</v>
      </c>
      <c r="E3" s="121">
        <v>368.17088504506626</v>
      </c>
      <c r="F3" s="121">
        <f>D3-B3</f>
        <v>252567.82200383954</v>
      </c>
      <c r="G3" s="121">
        <f>E3-C3</f>
        <v>9.1702560168178593</v>
      </c>
      <c r="H3" s="127" t="s">
        <v>88</v>
      </c>
    </row>
    <row r="4" spans="1:8" ht="17.100000000000001" customHeight="1" x14ac:dyDescent="0.25">
      <c r="A4" s="100" t="s">
        <v>2</v>
      </c>
      <c r="B4" s="111">
        <v>192234.68202663233</v>
      </c>
      <c r="C4" s="122">
        <v>18.458226458133321</v>
      </c>
      <c r="D4" s="111">
        <v>309995.08732088114</v>
      </c>
      <c r="E4" s="122">
        <v>23.896012719114964</v>
      </c>
      <c r="F4" s="122">
        <f>D4-B4</f>
        <v>117760.40529424881</v>
      </c>
      <c r="G4" s="122">
        <f t="shared" ref="G4:G20" si="0">E4-C4</f>
        <v>5.4377862609816425</v>
      </c>
      <c r="H4" s="128" t="s">
        <v>89</v>
      </c>
    </row>
    <row r="5" spans="1:8" ht="17.100000000000001" customHeight="1" x14ac:dyDescent="0.25">
      <c r="A5" s="99" t="s">
        <v>3</v>
      </c>
      <c r="B5" s="112">
        <v>2357339.9020264638</v>
      </c>
      <c r="C5" s="121">
        <v>181.07637186689121</v>
      </c>
      <c r="D5" s="112">
        <v>2385378.0276102116</v>
      </c>
      <c r="E5" s="121">
        <v>183.87718392668677</v>
      </c>
      <c r="F5" s="121">
        <f t="shared" ref="F5:F20" si="1">D5-B5</f>
        <v>28038.125583747867</v>
      </c>
      <c r="G5" s="121">
        <f t="shared" si="0"/>
        <v>2.800812059795561</v>
      </c>
      <c r="H5" s="140" t="s">
        <v>90</v>
      </c>
    </row>
    <row r="6" spans="1:8" ht="17.100000000000001" customHeight="1" x14ac:dyDescent="0.25">
      <c r="A6" s="100" t="s">
        <v>4</v>
      </c>
      <c r="B6" s="111">
        <v>9215681.7582319994</v>
      </c>
      <c r="C6" s="122">
        <v>727.75467087592608</v>
      </c>
      <c r="D6" s="111">
        <v>9440921.1862320006</v>
      </c>
      <c r="E6" s="122">
        <v>727.75467087592608</v>
      </c>
      <c r="F6" s="122">
        <f t="shared" si="1"/>
        <v>225239.42800000124</v>
      </c>
      <c r="G6" s="122">
        <f t="shared" si="0"/>
        <v>0</v>
      </c>
      <c r="H6" s="128"/>
    </row>
    <row r="7" spans="1:8" ht="17.100000000000001" customHeight="1" x14ac:dyDescent="0.25">
      <c r="A7" s="99" t="s">
        <v>5</v>
      </c>
      <c r="B7" s="112">
        <v>1758803.9943805642</v>
      </c>
      <c r="C7" s="121">
        <v>135.57764086965631</v>
      </c>
      <c r="D7" s="112">
        <v>1758803.9943805642</v>
      </c>
      <c r="E7" s="121">
        <v>135.57764086965631</v>
      </c>
      <c r="F7" s="121">
        <f t="shared" si="1"/>
        <v>0</v>
      </c>
      <c r="G7" s="121">
        <f t="shared" si="0"/>
        <v>0</v>
      </c>
      <c r="H7" s="127"/>
    </row>
    <row r="8" spans="1:8" ht="17.100000000000001" customHeight="1" x14ac:dyDescent="0.25">
      <c r="A8" s="100" t="s">
        <v>6</v>
      </c>
      <c r="B8" s="111">
        <v>3873512.8960791035</v>
      </c>
      <c r="C8" s="122">
        <v>318.63577736388669</v>
      </c>
      <c r="D8" s="111">
        <v>3847706.2360791042</v>
      </c>
      <c r="E8" s="122">
        <v>296.60094923243281</v>
      </c>
      <c r="F8" s="156">
        <f t="shared" si="1"/>
        <v>-25806.659999999218</v>
      </c>
      <c r="G8" s="122">
        <f t="shared" si="0"/>
        <v>-22.034828131453878</v>
      </c>
      <c r="H8" s="128" t="s">
        <v>91</v>
      </c>
    </row>
    <row r="9" spans="1:8" ht="17.100000000000001" customHeight="1" x14ac:dyDescent="0.25">
      <c r="A9" s="99" t="s">
        <v>20</v>
      </c>
      <c r="B9" s="112">
        <v>1413762.427971561</v>
      </c>
      <c r="C9" s="121">
        <v>108.98006562809051</v>
      </c>
      <c r="D9" s="112">
        <v>1413762.427971561</v>
      </c>
      <c r="E9" s="121">
        <v>108.98006562809051</v>
      </c>
      <c r="F9" s="121">
        <f t="shared" si="1"/>
        <v>0</v>
      </c>
      <c r="G9" s="121">
        <f t="shared" si="0"/>
        <v>0</v>
      </c>
      <c r="H9" s="127"/>
    </row>
    <row r="10" spans="1:8" ht="17.100000000000001" customHeight="1" x14ac:dyDescent="0.25">
      <c r="A10" s="100" t="s">
        <v>61</v>
      </c>
      <c r="B10" s="111">
        <v>723400</v>
      </c>
      <c r="C10" s="122">
        <v>55.763385640735486</v>
      </c>
      <c r="D10" s="111">
        <v>723400</v>
      </c>
      <c r="E10" s="122">
        <v>55.763385640735486</v>
      </c>
      <c r="F10" s="122">
        <f t="shared" si="1"/>
        <v>0</v>
      </c>
      <c r="G10" s="122">
        <f t="shared" si="0"/>
        <v>0</v>
      </c>
      <c r="H10" s="128"/>
    </row>
    <row r="11" spans="1:8" ht="17.100000000000001" customHeight="1" x14ac:dyDescent="0.25">
      <c r="A11" s="99" t="s">
        <v>7</v>
      </c>
      <c r="B11" s="112">
        <v>438426.64471566217</v>
      </c>
      <c r="C11" s="121">
        <v>33.796176478370462</v>
      </c>
      <c r="D11" s="112">
        <v>447005.69859066204</v>
      </c>
      <c r="E11" s="121">
        <v>34.457493992421149</v>
      </c>
      <c r="F11" s="121">
        <f t="shared" si="1"/>
        <v>8579.0538749998668</v>
      </c>
      <c r="G11" s="121">
        <f t="shared" si="0"/>
        <v>0.66131751405068684</v>
      </c>
      <c r="H11" s="127"/>
    </row>
    <row r="12" spans="1:8" ht="17.100000000000001" customHeight="1" x14ac:dyDescent="0.25">
      <c r="A12" s="100" t="s">
        <v>69</v>
      </c>
      <c r="B12" s="111">
        <v>2326498.1207230501</v>
      </c>
      <c r="C12" s="122">
        <v>179.33841843838238</v>
      </c>
      <c r="D12" s="111">
        <v>2326498.1207230501</v>
      </c>
      <c r="E12" s="122">
        <v>179.33841843838238</v>
      </c>
      <c r="F12" s="122">
        <f t="shared" si="1"/>
        <v>0</v>
      </c>
      <c r="G12" s="122">
        <f t="shared" si="0"/>
        <v>0</v>
      </c>
      <c r="H12" s="128"/>
    </row>
    <row r="13" spans="1:8" ht="17.100000000000001" customHeight="1" x14ac:dyDescent="0.25">
      <c r="A13" s="99" t="s">
        <v>70</v>
      </c>
      <c r="B13" s="112">
        <v>819178.46854399994</v>
      </c>
      <c r="C13" s="121">
        <v>63.146481683724318</v>
      </c>
      <c r="D13" s="112">
        <v>819178.46854399994</v>
      </c>
      <c r="E13" s="121">
        <v>63.146481683724318</v>
      </c>
      <c r="F13" s="121">
        <f t="shared" si="1"/>
        <v>0</v>
      </c>
      <c r="G13" s="121">
        <f t="shared" si="0"/>
        <v>0</v>
      </c>
      <c r="H13" s="127"/>
    </row>
    <row r="14" spans="1:8" ht="17.100000000000001" customHeight="1" x14ac:dyDescent="0.25">
      <c r="A14" s="100" t="s">
        <v>54</v>
      </c>
      <c r="B14" s="111">
        <v>2749284.5373311481</v>
      </c>
      <c r="C14" s="122">
        <v>211.92896584366579</v>
      </c>
      <c r="D14" s="111">
        <v>2749284.5373311481</v>
      </c>
      <c r="E14" s="122">
        <v>211.92896584366579</v>
      </c>
      <c r="F14" s="122">
        <f t="shared" si="1"/>
        <v>0</v>
      </c>
      <c r="G14" s="122">
        <f t="shared" si="0"/>
        <v>0</v>
      </c>
      <c r="H14" s="128"/>
    </row>
    <row r="15" spans="1:8" ht="17.100000000000001" customHeight="1" x14ac:dyDescent="0.25">
      <c r="A15" s="99" t="s">
        <v>62</v>
      </c>
      <c r="B15" s="112">
        <v>1614903.9692634668</v>
      </c>
      <c r="C15" s="121">
        <v>124.48508820955645</v>
      </c>
      <c r="D15" s="112">
        <v>1614903.9692634668</v>
      </c>
      <c r="E15" s="121">
        <v>124.48508820955645</v>
      </c>
      <c r="F15" s="121">
        <f t="shared" si="1"/>
        <v>0</v>
      </c>
      <c r="G15" s="121">
        <f t="shared" si="0"/>
        <v>0</v>
      </c>
      <c r="H15" s="127"/>
    </row>
    <row r="16" spans="1:8" ht="17.100000000000001" customHeight="1" x14ac:dyDescent="0.25">
      <c r="A16" s="100" t="s">
        <v>10</v>
      </c>
      <c r="B16" s="111">
        <v>4068208.6400170005</v>
      </c>
      <c r="C16" s="122">
        <v>313.59840649742887</v>
      </c>
      <c r="D16" s="111">
        <v>4068208.6400170005</v>
      </c>
      <c r="E16" s="122">
        <v>313.59840649742887</v>
      </c>
      <c r="F16" s="122">
        <f t="shared" si="1"/>
        <v>0</v>
      </c>
      <c r="G16" s="122">
        <f t="shared" si="0"/>
        <v>0</v>
      </c>
      <c r="H16" s="128"/>
    </row>
    <row r="17" spans="1:8" ht="17.100000000000001" customHeight="1" x14ac:dyDescent="0.25">
      <c r="A17" s="99" t="s">
        <v>37</v>
      </c>
      <c r="B17" s="112">
        <v>385107.49151919998</v>
      </c>
      <c r="C17" s="121">
        <v>30.139170388146773</v>
      </c>
      <c r="D17" s="112">
        <v>415789.4515192</v>
      </c>
      <c r="E17" s="121">
        <v>32.051185416664417</v>
      </c>
      <c r="F17" s="121">
        <f t="shared" si="1"/>
        <v>30681.960000000021</v>
      </c>
      <c r="G17" s="121">
        <f t="shared" si="0"/>
        <v>1.9120150285176436</v>
      </c>
      <c r="H17" s="127" t="s">
        <v>92</v>
      </c>
    </row>
    <row r="18" spans="1:8" ht="17.100000000000001" customHeight="1" x14ac:dyDescent="0.25">
      <c r="A18" s="100" t="s">
        <v>11</v>
      </c>
      <c r="B18" s="111">
        <v>2206429.7573399995</v>
      </c>
      <c r="C18" s="122">
        <v>170.08293260678022</v>
      </c>
      <c r="D18" s="111">
        <v>2453734.2412399999</v>
      </c>
      <c r="E18" s="122">
        <v>189.14643178620901</v>
      </c>
      <c r="F18" s="122">
        <f t="shared" si="1"/>
        <v>247304.48390000034</v>
      </c>
      <c r="G18" s="122">
        <f t="shared" si="0"/>
        <v>19.063499179428788</v>
      </c>
      <c r="H18" s="128"/>
    </row>
    <row r="19" spans="1:8" ht="17.100000000000001" customHeight="1" x14ac:dyDescent="0.25">
      <c r="A19" s="99" t="s">
        <v>12</v>
      </c>
      <c r="B19" s="112">
        <v>2120422.589317116</v>
      </c>
      <c r="C19" s="121">
        <v>166.05842932234583</v>
      </c>
      <c r="D19" s="112">
        <v>2240532.589317116</v>
      </c>
      <c r="E19" s="121">
        <v>172.71175396561509</v>
      </c>
      <c r="F19" s="121">
        <f t="shared" si="1"/>
        <v>120110</v>
      </c>
      <c r="G19" s="121">
        <f t="shared" si="0"/>
        <v>6.6533246432692579</v>
      </c>
      <c r="H19" s="125"/>
    </row>
    <row r="20" spans="1:8" ht="17.100000000000001" customHeight="1" x14ac:dyDescent="0.25">
      <c r="A20" s="100" t="s">
        <v>60</v>
      </c>
      <c r="B20" s="111">
        <v>725263.91758973943</v>
      </c>
      <c r="C20" s="122">
        <v>56.776404163434421</v>
      </c>
      <c r="D20" s="111">
        <v>740302.05352279928</v>
      </c>
      <c r="E20" s="122">
        <v>57.066282694526208</v>
      </c>
      <c r="F20" s="122">
        <f t="shared" si="1"/>
        <v>15038.13593305985</v>
      </c>
      <c r="G20" s="122">
        <f t="shared" si="0"/>
        <v>0.28987853109178729</v>
      </c>
      <c r="H20" s="126"/>
    </row>
    <row r="21" spans="1:8" ht="22.5" thickBot="1" x14ac:dyDescent="0.65">
      <c r="A21" s="110" t="s">
        <v>13</v>
      </c>
      <c r="B21" s="109">
        <f>SUM(B3:B20)</f>
        <v>41512051.37037044</v>
      </c>
      <c r="C21" s="123">
        <f t="shared" ref="C21:G21" si="2">SUM(C3:C20)</f>
        <v>3254.597241363404</v>
      </c>
      <c r="D21" s="109">
        <f t="shared" si="2"/>
        <v>42531564.124960348</v>
      </c>
      <c r="E21" s="123">
        <f t="shared" si="2"/>
        <v>3278.5513024659035</v>
      </c>
      <c r="F21" s="109">
        <f t="shared" si="2"/>
        <v>1019512.7545898984</v>
      </c>
      <c r="G21" s="123">
        <f t="shared" si="2"/>
        <v>23.954061102499349</v>
      </c>
      <c r="H21" s="123"/>
    </row>
    <row r="22" spans="1:8" ht="17.100000000000001" customHeight="1" x14ac:dyDescent="0.6">
      <c r="A22" s="107"/>
      <c r="B22" s="107"/>
      <c r="C22" s="107"/>
      <c r="D22" s="107"/>
      <c r="E22" s="107"/>
      <c r="F22" s="107"/>
      <c r="G22" s="107"/>
    </row>
    <row r="23" spans="1:8" ht="17.100000000000001" customHeight="1" x14ac:dyDescent="0.6">
      <c r="A23" s="107"/>
      <c r="B23" s="107"/>
      <c r="C23" s="107"/>
      <c r="D23" s="107"/>
      <c r="E23" s="107"/>
      <c r="F23" s="107"/>
      <c r="G23" s="107"/>
    </row>
    <row r="24" spans="1:8" ht="17.100000000000001" customHeight="1" x14ac:dyDescent="0.6">
      <c r="A24" s="107"/>
      <c r="B24" s="107"/>
      <c r="C24" s="107"/>
      <c r="D24" s="107"/>
      <c r="E24" s="107"/>
      <c r="F24" s="107"/>
      <c r="G24" s="107"/>
    </row>
    <row r="25" spans="1:8" ht="17.100000000000001" customHeight="1" x14ac:dyDescent="0.6">
      <c r="A25" s="107"/>
      <c r="B25" s="107"/>
      <c r="C25" s="107"/>
      <c r="D25" s="107"/>
      <c r="E25" s="107"/>
      <c r="F25" s="107"/>
      <c r="G25" s="107"/>
    </row>
    <row r="26" spans="1:8" ht="17.100000000000001" customHeight="1" x14ac:dyDescent="0.6">
      <c r="A26" s="107"/>
      <c r="B26" s="107"/>
      <c r="C26" s="107"/>
      <c r="D26" s="107"/>
      <c r="E26" s="107"/>
      <c r="F26" s="107"/>
      <c r="G26" s="107"/>
      <c r="H26" s="108"/>
    </row>
    <row r="27" spans="1:8" ht="17.100000000000001" customHeight="1" x14ac:dyDescent="0.6">
      <c r="A27" s="107"/>
      <c r="B27" s="107"/>
      <c r="C27" s="107"/>
      <c r="D27" s="107"/>
      <c r="E27" s="107"/>
      <c r="F27" s="107"/>
      <c r="G27" s="107"/>
      <c r="H27" s="108"/>
    </row>
    <row r="28" spans="1:8" ht="17.100000000000001" customHeight="1" x14ac:dyDescent="0.6">
      <c r="A28" s="107"/>
      <c r="B28" s="107"/>
      <c r="C28" s="107"/>
      <c r="D28" s="107"/>
      <c r="E28" s="107"/>
      <c r="F28" s="107"/>
      <c r="G28" s="107"/>
      <c r="H28" s="108"/>
    </row>
    <row r="29" spans="1:8" ht="17.100000000000001" customHeight="1" x14ac:dyDescent="0.6">
      <c r="A29" s="107"/>
      <c r="B29" s="107"/>
      <c r="C29" s="107"/>
      <c r="D29" s="107"/>
      <c r="E29" s="107"/>
      <c r="F29" s="107"/>
      <c r="G29" s="107"/>
      <c r="H29" s="108"/>
    </row>
    <row r="30" spans="1:8" ht="17.100000000000001" customHeight="1" x14ac:dyDescent="0.6">
      <c r="A30" s="107"/>
      <c r="B30" s="107"/>
      <c r="C30" s="107"/>
      <c r="D30" s="107"/>
      <c r="E30" s="107"/>
      <c r="F30" s="107"/>
      <c r="G30" s="107"/>
      <c r="H30" s="108"/>
    </row>
    <row r="31" spans="1:8" ht="17.100000000000001" customHeight="1" x14ac:dyDescent="0.6">
      <c r="A31" s="107"/>
      <c r="B31" s="107"/>
      <c r="C31" s="107"/>
      <c r="D31" s="107"/>
      <c r="E31" s="107"/>
      <c r="F31" s="107"/>
      <c r="G31" s="107"/>
    </row>
    <row r="32" spans="1:8" ht="17.100000000000001" customHeight="1" x14ac:dyDescent="0.6">
      <c r="A32" s="107"/>
      <c r="B32" s="107"/>
      <c r="C32" s="107"/>
      <c r="D32" s="107"/>
      <c r="E32" s="107"/>
      <c r="F32" s="107"/>
      <c r="G32" s="107"/>
    </row>
    <row r="33" spans="1:7" ht="17.100000000000001" customHeight="1" x14ac:dyDescent="0.6">
      <c r="A33" s="107"/>
      <c r="B33" s="107"/>
      <c r="C33" s="107"/>
      <c r="D33" s="107"/>
      <c r="E33" s="107"/>
      <c r="F33" s="107"/>
      <c r="G33" s="107"/>
    </row>
    <row r="34" spans="1:7" ht="17.100000000000001" customHeight="1" x14ac:dyDescent="0.6">
      <c r="A34" s="107"/>
      <c r="B34" s="107"/>
      <c r="C34" s="107"/>
      <c r="D34" s="107"/>
      <c r="E34" s="107"/>
      <c r="F34" s="107"/>
      <c r="G34" s="107"/>
    </row>
    <row r="35" spans="1:7" ht="17.100000000000001" customHeight="1" x14ac:dyDescent="0.6">
      <c r="A35" s="107"/>
      <c r="B35" s="107"/>
      <c r="C35" s="107"/>
      <c r="D35" s="107"/>
      <c r="E35" s="107"/>
      <c r="F35" s="107"/>
      <c r="G35" s="107"/>
    </row>
    <row r="36" spans="1:7" ht="17.100000000000001" customHeight="1" x14ac:dyDescent="0.6">
      <c r="A36" s="107"/>
      <c r="B36" s="107"/>
      <c r="C36" s="107"/>
      <c r="D36" s="107"/>
      <c r="E36" s="107"/>
      <c r="F36" s="107"/>
      <c r="G36" s="107"/>
    </row>
    <row r="37" spans="1:7" ht="17.100000000000001" customHeight="1" x14ac:dyDescent="0.6">
      <c r="A37" s="107"/>
      <c r="B37" s="107"/>
      <c r="C37" s="107"/>
      <c r="D37" s="107"/>
      <c r="E37" s="107"/>
      <c r="F37" s="107"/>
      <c r="G37" s="107"/>
    </row>
    <row r="38" spans="1:7" ht="17.100000000000001" customHeight="1" x14ac:dyDescent="0.6">
      <c r="A38" s="107"/>
      <c r="B38" s="107"/>
      <c r="C38" s="107"/>
      <c r="D38" s="107"/>
      <c r="E38" s="107"/>
      <c r="F38" s="107"/>
      <c r="G38" s="107"/>
    </row>
    <row r="39" spans="1:7" ht="17.100000000000001" customHeight="1" x14ac:dyDescent="0.6">
      <c r="A39" s="107"/>
      <c r="B39" s="107"/>
      <c r="C39" s="107"/>
      <c r="D39" s="107"/>
      <c r="E39" s="107"/>
      <c r="F39" s="107"/>
      <c r="G39" s="107"/>
    </row>
    <row r="40" spans="1:7" ht="17.100000000000001" customHeight="1" x14ac:dyDescent="0.6">
      <c r="A40" s="107"/>
      <c r="B40" s="107"/>
      <c r="C40" s="107"/>
      <c r="D40" s="107"/>
      <c r="E40" s="107"/>
      <c r="F40" s="107"/>
      <c r="G40" s="107"/>
    </row>
    <row r="41" spans="1:7" ht="17.100000000000001" customHeight="1" x14ac:dyDescent="0.6">
      <c r="A41" s="107"/>
      <c r="B41" s="107"/>
      <c r="C41" s="107"/>
      <c r="D41" s="107"/>
      <c r="E41" s="107"/>
      <c r="F41" s="107"/>
      <c r="G41" s="107"/>
    </row>
    <row r="42" spans="1:7" ht="17.100000000000001" customHeight="1" x14ac:dyDescent="0.6">
      <c r="A42" s="107"/>
      <c r="B42" s="107"/>
      <c r="C42" s="107"/>
      <c r="D42" s="107"/>
      <c r="E42" s="107"/>
      <c r="F42" s="107"/>
      <c r="G42" s="107"/>
    </row>
    <row r="43" spans="1:7" ht="17.100000000000001" customHeight="1" x14ac:dyDescent="0.6">
      <c r="A43" s="107"/>
      <c r="B43" s="107"/>
      <c r="C43" s="107"/>
      <c r="D43" s="107"/>
      <c r="E43" s="107"/>
      <c r="F43" s="107"/>
      <c r="G43" s="107"/>
    </row>
    <row r="44" spans="1:7" ht="17.100000000000001" customHeight="1" x14ac:dyDescent="0.6">
      <c r="A44" s="107"/>
      <c r="B44" s="107"/>
      <c r="C44" s="107"/>
      <c r="D44" s="107"/>
      <c r="E44" s="107"/>
      <c r="F44" s="107"/>
      <c r="G44" s="107"/>
    </row>
    <row r="45" spans="1:7" ht="17.100000000000001" customHeight="1" x14ac:dyDescent="0.6">
      <c r="A45" s="107"/>
      <c r="B45" s="107"/>
      <c r="C45" s="107"/>
      <c r="D45" s="107"/>
      <c r="E45" s="107"/>
      <c r="F45" s="107"/>
      <c r="G45" s="107"/>
    </row>
    <row r="46" spans="1:7" ht="17.100000000000001" customHeight="1" x14ac:dyDescent="0.6">
      <c r="A46" s="107"/>
      <c r="B46" s="107"/>
      <c r="C46" s="107"/>
      <c r="D46" s="107"/>
      <c r="E46" s="107"/>
      <c r="F46" s="107"/>
      <c r="G46" s="107"/>
    </row>
    <row r="47" spans="1:7" ht="17.100000000000001" customHeight="1" x14ac:dyDescent="0.6">
      <c r="A47" s="107"/>
      <c r="B47" s="107"/>
      <c r="C47" s="107"/>
      <c r="D47" s="107"/>
      <c r="E47" s="107"/>
      <c r="F47" s="107"/>
      <c r="G47" s="107"/>
    </row>
    <row r="48" spans="1:7" ht="17.100000000000001" customHeight="1" x14ac:dyDescent="0.6">
      <c r="A48" s="107"/>
      <c r="B48" s="107"/>
      <c r="C48" s="107"/>
      <c r="D48" s="107"/>
      <c r="E48" s="107"/>
      <c r="F48" s="107"/>
      <c r="G48" s="107"/>
    </row>
    <row r="49" spans="1:7" ht="17.100000000000001" customHeight="1" x14ac:dyDescent="0.6">
      <c r="A49" s="107"/>
      <c r="B49" s="107"/>
      <c r="C49" s="107"/>
      <c r="D49" s="107"/>
      <c r="E49" s="107"/>
      <c r="F49" s="107"/>
      <c r="G49" s="107"/>
    </row>
    <row r="50" spans="1:7" ht="17.100000000000001" customHeight="1" x14ac:dyDescent="0.6">
      <c r="A50" s="107"/>
      <c r="B50" s="107"/>
      <c r="C50" s="107"/>
      <c r="D50" s="107"/>
      <c r="E50" s="107"/>
      <c r="F50" s="107"/>
      <c r="G50" s="107"/>
    </row>
    <row r="51" spans="1:7" ht="17.100000000000001" customHeight="1" x14ac:dyDescent="0.6">
      <c r="A51" s="107"/>
      <c r="B51" s="107"/>
      <c r="C51" s="107"/>
      <c r="D51" s="107"/>
      <c r="E51" s="107"/>
      <c r="F51" s="107"/>
      <c r="G51" s="107"/>
    </row>
    <row r="52" spans="1:7" ht="17.100000000000001" customHeight="1" x14ac:dyDescent="0.6">
      <c r="A52" s="107"/>
      <c r="B52" s="107"/>
      <c r="C52" s="107"/>
      <c r="D52" s="107"/>
      <c r="E52" s="107"/>
      <c r="F52" s="107"/>
      <c r="G52" s="107"/>
    </row>
    <row r="53" spans="1:7" ht="17.100000000000001" customHeight="1" x14ac:dyDescent="0.6">
      <c r="A53" s="107"/>
      <c r="B53" s="107"/>
      <c r="C53" s="107"/>
      <c r="D53" s="107"/>
      <c r="E53" s="107"/>
      <c r="F53" s="107"/>
      <c r="G53" s="107"/>
    </row>
    <row r="54" spans="1:7" ht="17.100000000000001" customHeight="1" x14ac:dyDescent="0.6">
      <c r="A54" s="107"/>
      <c r="B54" s="107"/>
      <c r="C54" s="107"/>
      <c r="D54" s="107"/>
      <c r="E54" s="107"/>
      <c r="F54" s="107"/>
      <c r="G54" s="107"/>
    </row>
    <row r="55" spans="1:7" ht="17.100000000000001" customHeight="1" x14ac:dyDescent="0.6">
      <c r="A55" s="107"/>
      <c r="B55" s="107"/>
      <c r="C55" s="107"/>
      <c r="D55" s="107"/>
      <c r="E55" s="107"/>
      <c r="F55" s="107"/>
      <c r="G55" s="107"/>
    </row>
    <row r="56" spans="1:7" ht="17.100000000000001" customHeight="1" x14ac:dyDescent="0.6">
      <c r="A56" s="107"/>
      <c r="B56" s="107"/>
      <c r="C56" s="107"/>
      <c r="D56" s="107"/>
      <c r="E56" s="107"/>
      <c r="F56" s="107"/>
      <c r="G56" s="107"/>
    </row>
    <row r="57" spans="1:7" ht="17.100000000000001" customHeight="1" x14ac:dyDescent="0.6">
      <c r="A57" s="107"/>
      <c r="B57" s="107"/>
      <c r="C57" s="107"/>
      <c r="D57" s="107"/>
      <c r="E57" s="107"/>
      <c r="F57" s="107"/>
      <c r="G57" s="107"/>
    </row>
    <row r="58" spans="1:7" ht="17.100000000000001" customHeight="1" x14ac:dyDescent="0.6">
      <c r="A58" s="107"/>
      <c r="B58" s="107"/>
      <c r="C58" s="107"/>
      <c r="D58" s="107"/>
      <c r="E58" s="107"/>
      <c r="F58" s="107"/>
      <c r="G58" s="107"/>
    </row>
    <row r="59" spans="1:7" ht="17.100000000000001" customHeight="1" x14ac:dyDescent="0.6">
      <c r="A59" s="107"/>
      <c r="B59" s="107"/>
      <c r="C59" s="107"/>
      <c r="D59" s="107"/>
      <c r="E59" s="107"/>
      <c r="F59" s="107"/>
      <c r="G59" s="107"/>
    </row>
    <row r="60" spans="1:7" ht="17.100000000000001" customHeight="1" x14ac:dyDescent="0.6">
      <c r="A60" s="107"/>
      <c r="B60" s="107"/>
      <c r="C60" s="107"/>
      <c r="D60" s="107"/>
      <c r="E60" s="107"/>
      <c r="F60" s="107"/>
      <c r="G60" s="107"/>
    </row>
    <row r="61" spans="1:7" ht="17.100000000000001" customHeight="1" x14ac:dyDescent="0.6">
      <c r="A61" s="107"/>
      <c r="B61" s="107"/>
      <c r="C61" s="107"/>
      <c r="D61" s="107"/>
      <c r="E61" s="107"/>
      <c r="F61" s="107"/>
      <c r="G61" s="107"/>
    </row>
    <row r="62" spans="1:7" ht="17.100000000000001" customHeight="1" x14ac:dyDescent="0.6">
      <c r="A62" s="107"/>
      <c r="B62" s="107"/>
      <c r="C62" s="107"/>
      <c r="D62" s="107"/>
      <c r="E62" s="107"/>
      <c r="F62" s="107"/>
      <c r="G62" s="107"/>
    </row>
    <row r="63" spans="1:7" ht="17.100000000000001" customHeight="1" x14ac:dyDescent="0.6">
      <c r="A63" s="107"/>
      <c r="B63" s="107"/>
      <c r="C63" s="107"/>
      <c r="D63" s="107"/>
      <c r="E63" s="107"/>
      <c r="F63" s="107"/>
      <c r="G63" s="107"/>
    </row>
    <row r="64" spans="1:7" ht="17.100000000000001" customHeight="1" x14ac:dyDescent="0.6">
      <c r="A64" s="107"/>
      <c r="B64" s="107"/>
      <c r="C64" s="107"/>
      <c r="D64" s="107"/>
      <c r="E64" s="107"/>
      <c r="F64" s="107"/>
      <c r="G64" s="107"/>
    </row>
    <row r="65" spans="1:7" ht="17.100000000000001" customHeight="1" x14ac:dyDescent="0.6">
      <c r="A65" s="107"/>
      <c r="B65" s="107"/>
      <c r="C65" s="107"/>
      <c r="D65" s="107"/>
      <c r="E65" s="107"/>
      <c r="F65" s="107"/>
      <c r="G65" s="107"/>
    </row>
    <row r="66" spans="1:7" ht="17.100000000000001" customHeight="1" x14ac:dyDescent="0.6">
      <c r="A66" s="107"/>
      <c r="B66" s="107"/>
      <c r="C66" s="107"/>
      <c r="D66" s="107"/>
      <c r="E66" s="107"/>
      <c r="F66" s="107"/>
      <c r="G66" s="107"/>
    </row>
    <row r="67" spans="1:7" ht="17.100000000000001" customHeight="1" x14ac:dyDescent="0.6">
      <c r="A67" s="107"/>
      <c r="B67" s="107"/>
      <c r="C67" s="107"/>
      <c r="D67" s="107"/>
      <c r="E67" s="107"/>
      <c r="F67" s="107"/>
      <c r="G67" s="107"/>
    </row>
    <row r="68" spans="1:7" ht="17.100000000000001" customHeight="1" x14ac:dyDescent="0.6">
      <c r="A68" s="107"/>
      <c r="B68" s="107"/>
      <c r="C68" s="107"/>
      <c r="D68" s="107"/>
      <c r="E68" s="107"/>
      <c r="F68" s="107"/>
      <c r="G68" s="107"/>
    </row>
    <row r="69" spans="1:7" ht="17.100000000000001" customHeight="1" x14ac:dyDescent="0.6">
      <c r="A69" s="107"/>
      <c r="B69" s="107"/>
      <c r="C69" s="107"/>
      <c r="D69" s="107"/>
      <c r="E69" s="107"/>
      <c r="F69" s="107"/>
      <c r="G69" s="107"/>
    </row>
    <row r="70" spans="1:7" ht="17.100000000000001" customHeight="1" x14ac:dyDescent="0.6">
      <c r="A70" s="107"/>
      <c r="B70" s="107"/>
      <c r="C70" s="107"/>
      <c r="D70" s="107"/>
      <c r="E70" s="107"/>
      <c r="F70" s="107"/>
      <c r="G70" s="107"/>
    </row>
    <row r="71" spans="1:7" ht="17.100000000000001" customHeight="1" x14ac:dyDescent="0.6">
      <c r="A71" s="107"/>
      <c r="B71" s="107"/>
      <c r="C71" s="107"/>
      <c r="D71" s="107"/>
      <c r="E71" s="107"/>
      <c r="F71" s="107"/>
      <c r="G71" s="107"/>
    </row>
    <row r="72" spans="1:7" ht="17.100000000000001" customHeight="1" x14ac:dyDescent="0.6">
      <c r="A72" s="107"/>
      <c r="B72" s="107"/>
      <c r="C72" s="107"/>
      <c r="D72" s="107"/>
      <c r="E72" s="107"/>
      <c r="F72" s="107"/>
      <c r="G72" s="107"/>
    </row>
    <row r="73" spans="1:7" ht="17.100000000000001" customHeight="1" x14ac:dyDescent="0.6">
      <c r="A73" s="107"/>
      <c r="B73" s="107"/>
      <c r="C73" s="107"/>
      <c r="D73" s="107"/>
      <c r="E73" s="107"/>
      <c r="F73" s="107"/>
      <c r="G73" s="107"/>
    </row>
    <row r="74" spans="1:7" ht="17.100000000000001" customHeight="1" x14ac:dyDescent="0.6">
      <c r="A74" s="107"/>
      <c r="B74" s="107"/>
      <c r="C74" s="107"/>
      <c r="D74" s="107"/>
      <c r="E74" s="107"/>
      <c r="F74" s="107"/>
      <c r="G74" s="107"/>
    </row>
    <row r="75" spans="1:7" ht="17.100000000000001" customHeight="1" x14ac:dyDescent="0.6">
      <c r="A75" s="107"/>
      <c r="B75" s="107"/>
      <c r="C75" s="107"/>
      <c r="D75" s="107"/>
      <c r="E75" s="107"/>
      <c r="F75" s="107"/>
      <c r="G75" s="107"/>
    </row>
    <row r="76" spans="1:7" ht="17.100000000000001" customHeight="1" x14ac:dyDescent="0.6">
      <c r="A76" s="107"/>
      <c r="B76" s="107"/>
      <c r="C76" s="107"/>
      <c r="D76" s="107"/>
      <c r="E76" s="107"/>
      <c r="F76" s="107"/>
      <c r="G76" s="107"/>
    </row>
    <row r="77" spans="1:7" ht="17.100000000000001" customHeight="1" x14ac:dyDescent="0.6">
      <c r="A77" s="107"/>
      <c r="B77" s="107"/>
      <c r="C77" s="107"/>
      <c r="D77" s="107"/>
      <c r="E77" s="107"/>
      <c r="F77" s="107"/>
      <c r="G77" s="107"/>
    </row>
    <row r="78" spans="1:7" ht="17.100000000000001" customHeight="1" x14ac:dyDescent="0.6">
      <c r="A78" s="107"/>
      <c r="B78" s="107"/>
      <c r="C78" s="107"/>
      <c r="D78" s="107"/>
      <c r="E78" s="107"/>
      <c r="F78" s="107"/>
      <c r="G78" s="107"/>
    </row>
    <row r="79" spans="1:7" ht="17.100000000000001" customHeight="1" x14ac:dyDescent="0.6">
      <c r="A79" s="107"/>
      <c r="B79" s="107"/>
      <c r="C79" s="107"/>
      <c r="D79" s="107"/>
      <c r="E79" s="107"/>
      <c r="F79" s="107"/>
      <c r="G79" s="107"/>
    </row>
    <row r="80" spans="1:7" ht="17.100000000000001" customHeight="1" x14ac:dyDescent="0.6">
      <c r="A80" s="107"/>
      <c r="B80" s="107"/>
      <c r="C80" s="107"/>
      <c r="D80" s="107"/>
      <c r="E80" s="107"/>
      <c r="F80" s="107"/>
      <c r="G80" s="107"/>
    </row>
    <row r="81" spans="1:7" ht="17.100000000000001" customHeight="1" x14ac:dyDescent="0.6">
      <c r="A81" s="107"/>
      <c r="B81" s="107"/>
      <c r="C81" s="107"/>
      <c r="D81" s="107"/>
      <c r="E81" s="107"/>
      <c r="F81" s="107"/>
      <c r="G81" s="107"/>
    </row>
    <row r="82" spans="1:7" ht="17.100000000000001" customHeight="1" x14ac:dyDescent="0.6">
      <c r="A82" s="107"/>
      <c r="B82" s="107"/>
      <c r="C82" s="107"/>
      <c r="D82" s="107"/>
      <c r="E82" s="107"/>
      <c r="F82" s="107"/>
      <c r="G82" s="107"/>
    </row>
    <row r="83" spans="1:7" ht="17.100000000000001" customHeight="1" x14ac:dyDescent="0.6">
      <c r="A83" s="107"/>
      <c r="B83" s="107"/>
      <c r="C83" s="107"/>
      <c r="D83" s="107"/>
      <c r="E83" s="107"/>
      <c r="F83" s="107"/>
      <c r="G83" s="107"/>
    </row>
    <row r="84" spans="1:7" ht="17.100000000000001" customHeight="1" x14ac:dyDescent="0.6">
      <c r="A84" s="107"/>
      <c r="B84" s="107"/>
      <c r="C84" s="107"/>
      <c r="D84" s="107"/>
      <c r="E84" s="107"/>
      <c r="F84" s="107"/>
      <c r="G84" s="107"/>
    </row>
    <row r="85" spans="1:7" ht="17.100000000000001" customHeight="1" x14ac:dyDescent="0.6">
      <c r="A85" s="107"/>
      <c r="B85" s="107"/>
      <c r="C85" s="107"/>
      <c r="D85" s="107"/>
      <c r="E85" s="107"/>
      <c r="F85" s="107"/>
      <c r="G85" s="107"/>
    </row>
    <row r="86" spans="1:7" ht="17.100000000000001" customHeight="1" x14ac:dyDescent="0.6">
      <c r="A86" s="107"/>
      <c r="B86" s="107"/>
      <c r="C86" s="107"/>
      <c r="D86" s="107"/>
      <c r="E86" s="107"/>
      <c r="F86" s="107"/>
      <c r="G86" s="107"/>
    </row>
    <row r="87" spans="1:7" ht="17.100000000000001" customHeight="1" x14ac:dyDescent="0.6">
      <c r="A87" s="107"/>
      <c r="B87" s="107"/>
      <c r="C87" s="107"/>
      <c r="D87" s="107"/>
      <c r="E87" s="107"/>
      <c r="F87" s="107"/>
      <c r="G87" s="107"/>
    </row>
    <row r="88" spans="1:7" ht="17.100000000000001" customHeight="1" x14ac:dyDescent="0.6">
      <c r="A88" s="107"/>
      <c r="B88" s="107"/>
      <c r="C88" s="107"/>
      <c r="D88" s="107"/>
      <c r="E88" s="107"/>
      <c r="F88" s="107"/>
      <c r="G88" s="107"/>
    </row>
    <row r="89" spans="1:7" ht="17.100000000000001" customHeight="1" x14ac:dyDescent="0.6">
      <c r="A89" s="107"/>
      <c r="B89" s="107"/>
      <c r="C89" s="107"/>
      <c r="D89" s="107"/>
      <c r="E89" s="107"/>
      <c r="F89" s="107"/>
      <c r="G89" s="107"/>
    </row>
    <row r="90" spans="1:7" ht="17.100000000000001" customHeight="1" x14ac:dyDescent="0.6">
      <c r="A90" s="107"/>
      <c r="B90" s="107"/>
      <c r="C90" s="107"/>
      <c r="D90" s="107"/>
      <c r="E90" s="107"/>
      <c r="F90" s="107"/>
      <c r="G90" s="107"/>
    </row>
    <row r="91" spans="1:7" ht="17.100000000000001" customHeight="1" x14ac:dyDescent="0.6">
      <c r="A91" s="107"/>
      <c r="B91" s="107"/>
      <c r="C91" s="107"/>
      <c r="D91" s="107"/>
      <c r="E91" s="107"/>
      <c r="F91" s="107"/>
      <c r="G91" s="107"/>
    </row>
    <row r="92" spans="1:7" ht="17.100000000000001" customHeight="1" x14ac:dyDescent="0.6">
      <c r="A92" s="107"/>
      <c r="B92" s="107"/>
      <c r="C92" s="107"/>
      <c r="D92" s="107"/>
      <c r="E92" s="107"/>
      <c r="F92" s="107"/>
      <c r="G92" s="107"/>
    </row>
    <row r="93" spans="1:7" ht="17.100000000000001" customHeight="1" x14ac:dyDescent="0.6">
      <c r="A93" s="107"/>
      <c r="B93" s="107"/>
      <c r="C93" s="107"/>
      <c r="D93" s="107"/>
      <c r="E93" s="107"/>
      <c r="F93" s="107"/>
      <c r="G93" s="107"/>
    </row>
    <row r="94" spans="1:7" ht="17.100000000000001" customHeight="1" x14ac:dyDescent="0.6">
      <c r="A94" s="107"/>
      <c r="B94" s="107"/>
      <c r="C94" s="107"/>
      <c r="D94" s="107"/>
      <c r="E94" s="107"/>
      <c r="F94" s="107"/>
      <c r="G94" s="107"/>
    </row>
    <row r="95" spans="1:7" ht="17.100000000000001" customHeight="1" x14ac:dyDescent="0.6">
      <c r="A95" s="107"/>
      <c r="B95" s="107"/>
      <c r="C95" s="107"/>
      <c r="D95" s="107"/>
      <c r="E95" s="107"/>
      <c r="F95" s="107"/>
      <c r="G95" s="107"/>
    </row>
    <row r="96" spans="1:7" ht="17.100000000000001" customHeight="1" x14ac:dyDescent="0.6">
      <c r="A96" s="107"/>
      <c r="B96" s="107"/>
      <c r="C96" s="107"/>
      <c r="D96" s="107"/>
      <c r="E96" s="107"/>
      <c r="F96" s="107"/>
      <c r="G96" s="107"/>
    </row>
    <row r="97" spans="1:7" ht="17.100000000000001" customHeight="1" x14ac:dyDescent="0.6">
      <c r="A97" s="107"/>
      <c r="B97" s="107"/>
      <c r="C97" s="107"/>
      <c r="D97" s="107"/>
      <c r="E97" s="107"/>
      <c r="F97" s="107"/>
      <c r="G97" s="107"/>
    </row>
    <row r="98" spans="1:7" ht="17.100000000000001" customHeight="1" x14ac:dyDescent="0.6">
      <c r="A98" s="107"/>
      <c r="B98" s="107"/>
      <c r="C98" s="107"/>
      <c r="D98" s="107"/>
      <c r="E98" s="107"/>
      <c r="F98" s="107"/>
      <c r="G98" s="107"/>
    </row>
    <row r="99" spans="1:7" ht="17.100000000000001" customHeight="1" x14ac:dyDescent="0.6">
      <c r="A99" s="107"/>
      <c r="B99" s="107"/>
      <c r="C99" s="107"/>
      <c r="D99" s="107"/>
      <c r="E99" s="107"/>
      <c r="F99" s="107"/>
      <c r="G99" s="107"/>
    </row>
    <row r="100" spans="1:7" ht="17.100000000000001" customHeight="1" x14ac:dyDescent="0.6">
      <c r="A100" s="107"/>
      <c r="B100" s="107"/>
      <c r="C100" s="107"/>
      <c r="D100" s="107"/>
      <c r="E100" s="107"/>
      <c r="F100" s="107"/>
      <c r="G100" s="107"/>
    </row>
    <row r="101" spans="1:7" ht="17.100000000000001" customHeight="1" x14ac:dyDescent="0.6">
      <c r="A101" s="107"/>
      <c r="B101" s="107"/>
      <c r="C101" s="107"/>
      <c r="D101" s="107"/>
      <c r="E101" s="107"/>
      <c r="F101" s="107"/>
      <c r="G101" s="107"/>
    </row>
    <row r="102" spans="1:7" ht="17.100000000000001" customHeight="1" x14ac:dyDescent="0.6">
      <c r="A102" s="107"/>
      <c r="B102" s="107"/>
      <c r="C102" s="107"/>
      <c r="D102" s="107"/>
      <c r="E102" s="107"/>
      <c r="F102" s="107"/>
      <c r="G102" s="107"/>
    </row>
    <row r="103" spans="1:7" ht="17.100000000000001" customHeight="1" x14ac:dyDescent="0.6">
      <c r="A103" s="107"/>
      <c r="B103" s="107"/>
      <c r="C103" s="107"/>
      <c r="D103" s="107"/>
      <c r="E103" s="107"/>
      <c r="F103" s="107"/>
      <c r="G103" s="107"/>
    </row>
    <row r="104" spans="1:7" ht="17.100000000000001" customHeight="1" x14ac:dyDescent="0.6">
      <c r="A104" s="107"/>
      <c r="B104" s="107"/>
      <c r="C104" s="107"/>
      <c r="D104" s="107"/>
      <c r="E104" s="107"/>
      <c r="F104" s="107"/>
      <c r="G104" s="107"/>
    </row>
    <row r="105" spans="1:7" ht="17.100000000000001" customHeight="1" x14ac:dyDescent="0.6">
      <c r="A105" s="107"/>
      <c r="B105" s="107"/>
      <c r="C105" s="107"/>
      <c r="D105" s="107"/>
      <c r="E105" s="107"/>
      <c r="F105" s="107"/>
      <c r="G105" s="107"/>
    </row>
    <row r="106" spans="1:7" ht="17.100000000000001" customHeight="1" x14ac:dyDescent="0.6">
      <c r="A106" s="107"/>
      <c r="B106" s="107"/>
      <c r="C106" s="107"/>
      <c r="D106" s="107"/>
      <c r="E106" s="107"/>
      <c r="F106" s="107"/>
      <c r="G106" s="107"/>
    </row>
    <row r="107" spans="1:7" ht="17.100000000000001" customHeight="1" x14ac:dyDescent="0.6">
      <c r="A107" s="107"/>
      <c r="B107" s="107"/>
      <c r="C107" s="107"/>
      <c r="D107" s="107"/>
      <c r="E107" s="107"/>
      <c r="F107" s="107"/>
      <c r="G107" s="107"/>
    </row>
    <row r="108" spans="1:7" ht="17.100000000000001" customHeight="1" x14ac:dyDescent="0.6">
      <c r="A108" s="107"/>
      <c r="B108" s="107"/>
      <c r="C108" s="107"/>
      <c r="D108" s="107"/>
      <c r="E108" s="107"/>
      <c r="F108" s="107"/>
      <c r="G108" s="107"/>
    </row>
    <row r="109" spans="1:7" ht="17.100000000000001" customHeight="1" x14ac:dyDescent="0.6">
      <c r="A109" s="107"/>
      <c r="B109" s="107"/>
      <c r="C109" s="107"/>
      <c r="D109" s="107"/>
      <c r="E109" s="107"/>
      <c r="F109" s="107"/>
      <c r="G109" s="107"/>
    </row>
    <row r="110" spans="1:7" ht="17.100000000000001" customHeight="1" x14ac:dyDescent="0.6">
      <c r="A110" s="107"/>
      <c r="B110" s="107"/>
      <c r="C110" s="107"/>
      <c r="D110" s="107"/>
      <c r="E110" s="107"/>
      <c r="F110" s="107"/>
      <c r="G110" s="107"/>
    </row>
    <row r="111" spans="1:7" ht="17.100000000000001" customHeight="1" x14ac:dyDescent="0.6">
      <c r="A111" s="107"/>
      <c r="B111" s="107"/>
      <c r="C111" s="107"/>
      <c r="D111" s="107"/>
      <c r="E111" s="107"/>
      <c r="F111" s="107"/>
      <c r="G111" s="107"/>
    </row>
    <row r="112" spans="1:7" ht="17.100000000000001" customHeight="1" x14ac:dyDescent="0.6">
      <c r="A112" s="107"/>
      <c r="B112" s="107"/>
      <c r="C112" s="107"/>
      <c r="D112" s="107"/>
      <c r="E112" s="107"/>
      <c r="F112" s="107"/>
      <c r="G112" s="107"/>
    </row>
    <row r="113" spans="1:7" ht="17.100000000000001" customHeight="1" x14ac:dyDescent="0.6">
      <c r="A113" s="107"/>
      <c r="B113" s="107"/>
      <c r="C113" s="107"/>
      <c r="D113" s="107"/>
      <c r="E113" s="107"/>
      <c r="F113" s="107"/>
      <c r="G113" s="107"/>
    </row>
    <row r="114" spans="1:7" ht="17.100000000000001" customHeight="1" x14ac:dyDescent="0.6">
      <c r="A114" s="107"/>
      <c r="B114" s="107"/>
      <c r="C114" s="107"/>
      <c r="D114" s="107"/>
      <c r="E114" s="107"/>
      <c r="F114" s="107"/>
      <c r="G114" s="107"/>
    </row>
    <row r="115" spans="1:7" ht="17.100000000000001" customHeight="1" x14ac:dyDescent="0.6">
      <c r="A115" s="107"/>
      <c r="B115" s="107"/>
      <c r="C115" s="107"/>
      <c r="D115" s="107"/>
      <c r="E115" s="107"/>
      <c r="F115" s="107"/>
      <c r="G115" s="107"/>
    </row>
    <row r="116" spans="1:7" ht="17.100000000000001" customHeight="1" x14ac:dyDescent="0.6">
      <c r="A116" s="107"/>
      <c r="B116" s="107"/>
      <c r="C116" s="107"/>
      <c r="D116" s="107"/>
      <c r="E116" s="107"/>
      <c r="F116" s="107"/>
      <c r="G116" s="107"/>
    </row>
    <row r="117" spans="1:7" ht="17.100000000000001" customHeight="1" x14ac:dyDescent="0.6">
      <c r="A117" s="107"/>
      <c r="B117" s="107"/>
      <c r="C117" s="107"/>
      <c r="D117" s="107"/>
      <c r="E117" s="107"/>
      <c r="F117" s="107"/>
      <c r="G117" s="107"/>
    </row>
    <row r="118" spans="1:7" ht="17.100000000000001" customHeight="1" x14ac:dyDescent="0.6">
      <c r="A118" s="107"/>
      <c r="B118" s="107"/>
      <c r="C118" s="107"/>
      <c r="D118" s="107"/>
      <c r="E118" s="107"/>
      <c r="F118" s="107"/>
      <c r="G118" s="107"/>
    </row>
    <row r="119" spans="1:7" ht="17.100000000000001" customHeight="1" x14ac:dyDescent="0.6">
      <c r="A119" s="107"/>
      <c r="B119" s="107"/>
      <c r="C119" s="107"/>
      <c r="D119" s="107"/>
      <c r="E119" s="107"/>
      <c r="F119" s="107"/>
      <c r="G119" s="107"/>
    </row>
    <row r="120" spans="1:7" ht="17.100000000000001" customHeight="1" x14ac:dyDescent="0.6">
      <c r="A120" s="107"/>
      <c r="B120" s="107"/>
      <c r="C120" s="107"/>
      <c r="D120" s="107"/>
      <c r="E120" s="107"/>
      <c r="F120" s="107"/>
      <c r="G120" s="107"/>
    </row>
    <row r="121" spans="1:7" ht="17.100000000000001" customHeight="1" x14ac:dyDescent="0.6">
      <c r="A121" s="107"/>
      <c r="B121" s="107"/>
      <c r="C121" s="107"/>
      <c r="D121" s="107"/>
      <c r="E121" s="107"/>
      <c r="F121" s="107"/>
      <c r="G121" s="107"/>
    </row>
    <row r="122" spans="1:7" ht="17.100000000000001" customHeight="1" x14ac:dyDescent="0.6">
      <c r="A122" s="107"/>
      <c r="B122" s="107"/>
      <c r="C122" s="107"/>
      <c r="D122" s="107"/>
      <c r="E122" s="107"/>
      <c r="F122" s="107"/>
      <c r="G122" s="107"/>
    </row>
    <row r="123" spans="1:7" ht="17.100000000000001" customHeight="1" x14ac:dyDescent="0.6">
      <c r="A123" s="107"/>
      <c r="B123" s="107"/>
      <c r="C123" s="107"/>
      <c r="D123" s="107"/>
      <c r="E123" s="107"/>
      <c r="F123" s="107"/>
      <c r="G123" s="107"/>
    </row>
    <row r="124" spans="1:7" ht="17.100000000000001" customHeight="1" x14ac:dyDescent="0.6">
      <c r="A124" s="107"/>
      <c r="B124" s="107"/>
      <c r="C124" s="107"/>
      <c r="D124" s="107"/>
      <c r="E124" s="107"/>
      <c r="F124" s="107"/>
      <c r="G124" s="107"/>
    </row>
    <row r="125" spans="1:7" ht="17.100000000000001" customHeight="1" x14ac:dyDescent="0.6">
      <c r="A125" s="107"/>
      <c r="B125" s="107"/>
      <c r="C125" s="107"/>
      <c r="D125" s="107"/>
      <c r="E125" s="107"/>
      <c r="F125" s="107"/>
      <c r="G125" s="107"/>
    </row>
    <row r="126" spans="1:7" ht="17.100000000000001" customHeight="1" x14ac:dyDescent="0.6">
      <c r="A126" s="107"/>
      <c r="B126" s="107"/>
      <c r="C126" s="107"/>
      <c r="D126" s="107"/>
      <c r="E126" s="107"/>
      <c r="F126" s="107"/>
      <c r="G126" s="107"/>
    </row>
    <row r="127" spans="1:7" ht="17.100000000000001" customHeight="1" x14ac:dyDescent="0.6">
      <c r="A127" s="107"/>
      <c r="B127" s="107"/>
      <c r="C127" s="107"/>
      <c r="D127" s="107"/>
      <c r="E127" s="107"/>
      <c r="F127" s="107"/>
      <c r="G127" s="107"/>
    </row>
    <row r="128" spans="1:7" ht="17.100000000000001" customHeight="1" x14ac:dyDescent="0.6">
      <c r="A128" s="107"/>
      <c r="B128" s="107"/>
      <c r="C128" s="107"/>
      <c r="D128" s="107"/>
      <c r="E128" s="107"/>
      <c r="F128" s="107"/>
      <c r="G128" s="107"/>
    </row>
    <row r="129" spans="1:7" ht="17.100000000000001" customHeight="1" x14ac:dyDescent="0.6">
      <c r="A129" s="107"/>
      <c r="B129" s="107"/>
      <c r="C129" s="107"/>
      <c r="D129" s="107"/>
      <c r="E129" s="107"/>
      <c r="F129" s="107"/>
      <c r="G129" s="107"/>
    </row>
    <row r="130" spans="1:7" ht="17.100000000000001" customHeight="1" x14ac:dyDescent="0.6">
      <c r="A130" s="107"/>
      <c r="B130" s="107"/>
      <c r="C130" s="107"/>
      <c r="D130" s="107"/>
      <c r="E130" s="107"/>
      <c r="F130" s="107"/>
      <c r="G130" s="107"/>
    </row>
    <row r="131" spans="1:7" ht="17.100000000000001" customHeight="1" x14ac:dyDescent="0.6">
      <c r="A131" s="107"/>
      <c r="B131" s="107"/>
      <c r="C131" s="107"/>
      <c r="D131" s="107"/>
      <c r="E131" s="107"/>
      <c r="F131" s="107"/>
      <c r="G131" s="107"/>
    </row>
    <row r="132" spans="1:7" ht="17.100000000000001" customHeight="1" x14ac:dyDescent="0.6">
      <c r="A132" s="107"/>
      <c r="B132" s="107"/>
      <c r="C132" s="107"/>
      <c r="D132" s="107"/>
      <c r="E132" s="107"/>
      <c r="F132" s="107"/>
      <c r="G132" s="107"/>
    </row>
    <row r="133" spans="1:7" ht="17.100000000000001" customHeight="1" x14ac:dyDescent="0.6">
      <c r="A133" s="107"/>
      <c r="B133" s="107"/>
      <c r="C133" s="107"/>
      <c r="D133" s="107"/>
      <c r="E133" s="107"/>
      <c r="F133" s="107"/>
      <c r="G133" s="107"/>
    </row>
    <row r="134" spans="1:7" ht="17.100000000000001" customHeight="1" x14ac:dyDescent="0.6">
      <c r="A134" s="107"/>
      <c r="B134" s="107"/>
      <c r="C134" s="107"/>
      <c r="D134" s="107"/>
      <c r="E134" s="107"/>
      <c r="F134" s="107"/>
      <c r="G134" s="107"/>
    </row>
    <row r="135" spans="1:7" ht="17.100000000000001" customHeight="1" x14ac:dyDescent="0.6">
      <c r="A135" s="107"/>
      <c r="B135" s="107"/>
      <c r="C135" s="107"/>
      <c r="D135" s="107"/>
      <c r="E135" s="107"/>
      <c r="F135" s="107"/>
      <c r="G135" s="107"/>
    </row>
    <row r="136" spans="1:7" ht="17.100000000000001" customHeight="1" x14ac:dyDescent="0.6">
      <c r="A136" s="107"/>
      <c r="B136" s="107"/>
      <c r="C136" s="107"/>
      <c r="D136" s="107"/>
      <c r="E136" s="107"/>
      <c r="F136" s="107"/>
      <c r="G136" s="107"/>
    </row>
    <row r="137" spans="1:7" ht="17.100000000000001" customHeight="1" x14ac:dyDescent="0.6">
      <c r="A137" s="107"/>
      <c r="B137" s="107"/>
      <c r="C137" s="107"/>
      <c r="D137" s="107"/>
      <c r="E137" s="107"/>
      <c r="F137" s="107"/>
      <c r="G137" s="107"/>
    </row>
    <row r="138" spans="1:7" ht="17.100000000000001" customHeight="1" x14ac:dyDescent="0.6">
      <c r="A138" s="107"/>
      <c r="B138" s="107"/>
      <c r="C138" s="107"/>
      <c r="D138" s="107"/>
      <c r="E138" s="107"/>
      <c r="F138" s="107"/>
      <c r="G138" s="107"/>
    </row>
    <row r="139" spans="1:7" ht="17.100000000000001" customHeight="1" x14ac:dyDescent="0.6">
      <c r="A139" s="107"/>
      <c r="B139" s="107"/>
      <c r="C139" s="107"/>
      <c r="D139" s="107"/>
      <c r="E139" s="107"/>
      <c r="F139" s="107"/>
      <c r="G139" s="107"/>
    </row>
    <row r="140" spans="1:7" ht="17.100000000000001" customHeight="1" x14ac:dyDescent="0.6">
      <c r="A140" s="107"/>
      <c r="B140" s="107"/>
      <c r="C140" s="107"/>
      <c r="D140" s="107"/>
      <c r="E140" s="107"/>
      <c r="F140" s="107"/>
      <c r="G140" s="107"/>
    </row>
    <row r="141" spans="1:7" ht="17.100000000000001" customHeight="1" x14ac:dyDescent="0.6">
      <c r="A141" s="107"/>
      <c r="B141" s="107"/>
      <c r="C141" s="107"/>
      <c r="D141" s="107"/>
      <c r="E141" s="107"/>
      <c r="F141" s="107"/>
      <c r="G141" s="107"/>
    </row>
    <row r="142" spans="1:7" ht="17.100000000000001" customHeight="1" x14ac:dyDescent="0.6">
      <c r="A142" s="107"/>
      <c r="B142" s="107"/>
      <c r="C142" s="107"/>
      <c r="D142" s="107"/>
      <c r="E142" s="107"/>
      <c r="F142" s="107"/>
      <c r="G142" s="107"/>
    </row>
    <row r="143" spans="1:7" ht="17.100000000000001" customHeight="1" x14ac:dyDescent="0.6">
      <c r="A143" s="107"/>
      <c r="B143" s="107"/>
      <c r="C143" s="107"/>
      <c r="D143" s="107"/>
      <c r="E143" s="107"/>
      <c r="F143" s="107"/>
      <c r="G143" s="107"/>
    </row>
    <row r="144" spans="1:7" ht="17.100000000000001" customHeight="1" x14ac:dyDescent="0.6">
      <c r="A144" s="107"/>
      <c r="B144" s="107"/>
      <c r="C144" s="107"/>
      <c r="D144" s="107"/>
      <c r="E144" s="107"/>
      <c r="F144" s="107"/>
      <c r="G144" s="107"/>
    </row>
    <row r="145" spans="1:7" ht="17.100000000000001" customHeight="1" x14ac:dyDescent="0.6">
      <c r="A145" s="107"/>
      <c r="B145" s="107"/>
      <c r="C145" s="107"/>
      <c r="D145" s="107"/>
      <c r="E145" s="107"/>
      <c r="F145" s="107"/>
      <c r="G145" s="107"/>
    </row>
    <row r="146" spans="1:7" ht="17.100000000000001" customHeight="1" x14ac:dyDescent="0.6">
      <c r="A146" s="107"/>
      <c r="B146" s="107"/>
      <c r="C146" s="107"/>
      <c r="D146" s="107"/>
      <c r="E146" s="107"/>
      <c r="F146" s="107"/>
      <c r="G146" s="107"/>
    </row>
    <row r="147" spans="1:7" ht="17.100000000000001" customHeight="1" x14ac:dyDescent="0.6">
      <c r="A147" s="107"/>
      <c r="B147" s="107"/>
      <c r="C147" s="107"/>
      <c r="D147" s="107"/>
      <c r="E147" s="107"/>
      <c r="F147" s="107"/>
      <c r="G147" s="107"/>
    </row>
    <row r="148" spans="1:7" ht="17.100000000000001" customHeight="1" x14ac:dyDescent="0.6">
      <c r="A148" s="107"/>
      <c r="B148" s="107"/>
      <c r="C148" s="107"/>
      <c r="D148" s="107"/>
      <c r="E148" s="107"/>
      <c r="F148" s="107"/>
      <c r="G148" s="107"/>
    </row>
    <row r="149" spans="1:7" ht="17.100000000000001" customHeight="1" x14ac:dyDescent="0.6">
      <c r="A149" s="107"/>
      <c r="B149" s="107"/>
      <c r="C149" s="107"/>
      <c r="D149" s="107"/>
      <c r="E149" s="107"/>
      <c r="F149" s="107"/>
      <c r="G149" s="107"/>
    </row>
    <row r="150" spans="1:7" ht="17.100000000000001" customHeight="1" x14ac:dyDescent="0.6">
      <c r="A150" s="107"/>
      <c r="B150" s="107"/>
      <c r="C150" s="107"/>
      <c r="D150" s="107"/>
      <c r="E150" s="107"/>
      <c r="F150" s="107"/>
      <c r="G150" s="107"/>
    </row>
    <row r="151" spans="1:7" ht="17.100000000000001" customHeight="1" x14ac:dyDescent="0.6">
      <c r="A151" s="107"/>
      <c r="B151" s="107"/>
      <c r="C151" s="107"/>
      <c r="D151" s="107"/>
      <c r="E151" s="107"/>
      <c r="F151" s="107"/>
      <c r="G151" s="107"/>
    </row>
    <row r="152" spans="1:7" ht="17.100000000000001" customHeight="1" x14ac:dyDescent="0.6">
      <c r="A152" s="107"/>
      <c r="B152" s="107"/>
      <c r="C152" s="107"/>
      <c r="D152" s="107"/>
      <c r="E152" s="107"/>
      <c r="F152" s="107"/>
      <c r="G152" s="107"/>
    </row>
    <row r="153" spans="1:7" ht="17.100000000000001" customHeight="1" x14ac:dyDescent="0.6">
      <c r="A153" s="107"/>
      <c r="B153" s="107"/>
      <c r="C153" s="107"/>
      <c r="D153" s="107"/>
      <c r="E153" s="107"/>
      <c r="F153" s="107"/>
      <c r="G153" s="107"/>
    </row>
    <row r="154" spans="1:7" ht="17.100000000000001" customHeight="1" x14ac:dyDescent="0.6">
      <c r="A154" s="107"/>
      <c r="B154" s="107"/>
      <c r="C154" s="107"/>
      <c r="D154" s="107"/>
      <c r="E154" s="107"/>
      <c r="F154" s="107"/>
      <c r="G154" s="107"/>
    </row>
    <row r="155" spans="1:7" ht="17.100000000000001" customHeight="1" x14ac:dyDescent="0.6">
      <c r="A155" s="107"/>
      <c r="B155" s="107"/>
      <c r="C155" s="107"/>
      <c r="D155" s="107"/>
      <c r="E155" s="107"/>
      <c r="F155" s="107"/>
      <c r="G155" s="107"/>
    </row>
    <row r="156" spans="1:7" ht="17.100000000000001" customHeight="1" x14ac:dyDescent="0.6">
      <c r="A156" s="107"/>
      <c r="B156" s="107"/>
      <c r="C156" s="107"/>
      <c r="D156" s="107"/>
      <c r="E156" s="107"/>
      <c r="F156" s="107"/>
      <c r="G156" s="107"/>
    </row>
    <row r="157" spans="1:7" ht="17.100000000000001" customHeight="1" x14ac:dyDescent="0.6">
      <c r="A157" s="107"/>
      <c r="B157" s="107"/>
      <c r="C157" s="107"/>
      <c r="D157" s="107"/>
      <c r="E157" s="107"/>
      <c r="F157" s="107"/>
      <c r="G157" s="107"/>
    </row>
    <row r="158" spans="1:7" ht="17.100000000000001" customHeight="1" x14ac:dyDescent="0.6">
      <c r="A158" s="107"/>
      <c r="B158" s="107"/>
      <c r="C158" s="107"/>
      <c r="D158" s="107"/>
      <c r="E158" s="107"/>
      <c r="F158" s="107"/>
      <c r="G158" s="107"/>
    </row>
    <row r="159" spans="1:7" ht="17.100000000000001" customHeight="1" x14ac:dyDescent="0.6">
      <c r="A159" s="107"/>
      <c r="B159" s="107"/>
      <c r="C159" s="107"/>
      <c r="D159" s="107"/>
      <c r="E159" s="107"/>
      <c r="F159" s="107"/>
      <c r="G159" s="107"/>
    </row>
    <row r="160" spans="1:7" ht="17.100000000000001" customHeight="1" x14ac:dyDescent="0.6">
      <c r="A160" s="107"/>
      <c r="B160" s="107"/>
      <c r="C160" s="107"/>
      <c r="D160" s="107"/>
      <c r="E160" s="107"/>
      <c r="F160" s="107"/>
      <c r="G160" s="107"/>
    </row>
    <row r="161" spans="1:7" ht="17.100000000000001" customHeight="1" x14ac:dyDescent="0.6">
      <c r="A161" s="107"/>
      <c r="B161" s="107"/>
      <c r="C161" s="107"/>
      <c r="D161" s="107"/>
      <c r="E161" s="107"/>
      <c r="F161" s="107"/>
      <c r="G161" s="107"/>
    </row>
    <row r="162" spans="1:7" ht="17.100000000000001" customHeight="1" x14ac:dyDescent="0.6">
      <c r="A162" s="107"/>
      <c r="B162" s="107"/>
      <c r="C162" s="107"/>
      <c r="D162" s="107"/>
      <c r="E162" s="107"/>
      <c r="F162" s="107"/>
      <c r="G162" s="107"/>
    </row>
    <row r="163" spans="1:7" ht="17.100000000000001" customHeight="1" x14ac:dyDescent="0.6">
      <c r="A163" s="107"/>
      <c r="B163" s="107"/>
      <c r="C163" s="107"/>
      <c r="D163" s="107"/>
      <c r="E163" s="107"/>
      <c r="F163" s="107"/>
      <c r="G163" s="107"/>
    </row>
    <row r="164" spans="1:7" ht="17.100000000000001" customHeight="1" x14ac:dyDescent="0.6">
      <c r="A164" s="107"/>
      <c r="B164" s="107"/>
      <c r="C164" s="107"/>
      <c r="D164" s="107"/>
      <c r="E164" s="107"/>
      <c r="F164" s="107"/>
      <c r="G164" s="107"/>
    </row>
    <row r="165" spans="1:7" ht="17.100000000000001" customHeight="1" x14ac:dyDescent="0.6">
      <c r="A165" s="107"/>
      <c r="B165" s="107"/>
      <c r="C165" s="107"/>
      <c r="D165" s="107"/>
      <c r="E165" s="107"/>
      <c r="F165" s="107"/>
      <c r="G165" s="107"/>
    </row>
    <row r="166" spans="1:7" ht="17.100000000000001" customHeight="1" x14ac:dyDescent="0.6">
      <c r="A166" s="107"/>
      <c r="B166" s="107"/>
      <c r="C166" s="107"/>
      <c r="D166" s="107"/>
      <c r="E166" s="107"/>
      <c r="F166" s="107"/>
      <c r="G166" s="107"/>
    </row>
    <row r="167" spans="1:7" ht="17.100000000000001" customHeight="1" x14ac:dyDescent="0.6">
      <c r="A167" s="107"/>
      <c r="B167" s="107"/>
      <c r="C167" s="107"/>
      <c r="D167" s="107"/>
      <c r="E167" s="107"/>
      <c r="F167" s="107"/>
      <c r="G167" s="107"/>
    </row>
    <row r="168" spans="1:7" ht="17.100000000000001" customHeight="1" x14ac:dyDescent="0.6">
      <c r="A168" s="107"/>
      <c r="B168" s="107"/>
      <c r="C168" s="107"/>
      <c r="D168" s="107"/>
      <c r="E168" s="107"/>
      <c r="F168" s="107"/>
      <c r="G168" s="107"/>
    </row>
    <row r="169" spans="1:7" ht="17.100000000000001" customHeight="1" x14ac:dyDescent="0.6">
      <c r="A169" s="107"/>
      <c r="B169" s="107"/>
      <c r="C169" s="107"/>
      <c r="D169" s="107"/>
      <c r="E169" s="107"/>
      <c r="F169" s="107"/>
      <c r="G169" s="107"/>
    </row>
    <row r="170" spans="1:7" ht="17.100000000000001" customHeight="1" x14ac:dyDescent="0.6">
      <c r="A170" s="107"/>
      <c r="B170" s="107"/>
      <c r="C170" s="107"/>
      <c r="D170" s="107"/>
      <c r="E170" s="107"/>
      <c r="F170" s="107"/>
      <c r="G170" s="107"/>
    </row>
    <row r="171" spans="1:7" ht="17.100000000000001" customHeight="1" x14ac:dyDescent="0.6">
      <c r="A171" s="107"/>
      <c r="B171" s="107"/>
      <c r="C171" s="107"/>
      <c r="D171" s="107"/>
      <c r="E171" s="107"/>
      <c r="F171" s="107"/>
      <c r="G171" s="107"/>
    </row>
    <row r="172" spans="1:7" ht="17.100000000000001" customHeight="1" x14ac:dyDescent="0.6">
      <c r="A172" s="107"/>
      <c r="B172" s="107"/>
      <c r="C172" s="107"/>
      <c r="D172" s="107"/>
      <c r="E172" s="107"/>
      <c r="F172" s="107"/>
      <c r="G172" s="107"/>
    </row>
    <row r="173" spans="1:7" ht="17.100000000000001" customHeight="1" x14ac:dyDescent="0.6">
      <c r="A173" s="107"/>
      <c r="B173" s="107"/>
      <c r="C173" s="107"/>
      <c r="D173" s="107"/>
      <c r="E173" s="107"/>
      <c r="F173" s="107"/>
      <c r="G173" s="107"/>
    </row>
    <row r="174" spans="1:7" ht="17.100000000000001" customHeight="1" x14ac:dyDescent="0.6">
      <c r="A174" s="107"/>
      <c r="B174" s="107"/>
      <c r="C174" s="107"/>
      <c r="D174" s="107"/>
      <c r="E174" s="107"/>
      <c r="F174" s="107"/>
      <c r="G174" s="107"/>
    </row>
    <row r="175" spans="1:7" ht="17.100000000000001" customHeight="1" x14ac:dyDescent="0.6">
      <c r="A175" s="107"/>
      <c r="B175" s="107"/>
      <c r="C175" s="107"/>
      <c r="D175" s="107"/>
      <c r="E175" s="107"/>
      <c r="F175" s="107"/>
      <c r="G175" s="107"/>
    </row>
    <row r="176" spans="1:7" ht="17.100000000000001" customHeight="1" x14ac:dyDescent="0.6">
      <c r="A176" s="107"/>
      <c r="B176" s="107"/>
      <c r="C176" s="107"/>
      <c r="D176" s="107"/>
      <c r="E176" s="107"/>
      <c r="F176" s="107"/>
      <c r="G176" s="107"/>
    </row>
    <row r="177" spans="1:7" ht="17.100000000000001" customHeight="1" x14ac:dyDescent="0.6">
      <c r="A177" s="107"/>
      <c r="B177" s="107"/>
      <c r="C177" s="107"/>
      <c r="D177" s="107"/>
      <c r="E177" s="107"/>
      <c r="F177" s="107"/>
      <c r="G177" s="107"/>
    </row>
    <row r="178" spans="1:7" ht="17.100000000000001" customHeight="1" x14ac:dyDescent="0.6">
      <c r="A178" s="107"/>
      <c r="B178" s="107"/>
      <c r="C178" s="107"/>
      <c r="D178" s="107"/>
      <c r="E178" s="107"/>
      <c r="F178" s="107"/>
      <c r="G178" s="107"/>
    </row>
    <row r="179" spans="1:7" ht="17.100000000000001" customHeight="1" x14ac:dyDescent="0.6">
      <c r="A179" s="107"/>
      <c r="B179" s="107"/>
      <c r="C179" s="107"/>
      <c r="D179" s="107"/>
      <c r="E179" s="107"/>
      <c r="F179" s="107"/>
      <c r="G179" s="107"/>
    </row>
    <row r="180" spans="1:7" ht="17.100000000000001" customHeight="1" x14ac:dyDescent="0.6">
      <c r="A180" s="107"/>
      <c r="B180" s="107"/>
      <c r="C180" s="107"/>
      <c r="D180" s="107"/>
      <c r="E180" s="107"/>
      <c r="F180" s="107"/>
      <c r="G180" s="107"/>
    </row>
    <row r="181" spans="1:7" ht="17.100000000000001" customHeight="1" x14ac:dyDescent="0.6">
      <c r="A181" s="107"/>
      <c r="B181" s="107"/>
      <c r="C181" s="107"/>
      <c r="D181" s="107"/>
      <c r="E181" s="107"/>
      <c r="F181" s="107"/>
      <c r="G181" s="107"/>
    </row>
    <row r="182" spans="1:7" ht="17.100000000000001" customHeight="1" x14ac:dyDescent="0.6">
      <c r="A182" s="107"/>
      <c r="B182" s="107"/>
      <c r="C182" s="107"/>
      <c r="D182" s="107"/>
      <c r="E182" s="107"/>
      <c r="F182" s="107"/>
      <c r="G182" s="107"/>
    </row>
    <row r="183" spans="1:7" ht="17.100000000000001" customHeight="1" x14ac:dyDescent="0.6">
      <c r="A183" s="107"/>
      <c r="B183" s="107"/>
      <c r="C183" s="107"/>
      <c r="D183" s="107"/>
      <c r="E183" s="107"/>
      <c r="F183" s="107"/>
      <c r="G183" s="107"/>
    </row>
    <row r="184" spans="1:7" ht="17.100000000000001" customHeight="1" x14ac:dyDescent="0.6">
      <c r="A184" s="107"/>
      <c r="B184" s="107"/>
      <c r="C184" s="107"/>
      <c r="D184" s="107"/>
      <c r="E184" s="107"/>
      <c r="F184" s="107"/>
      <c r="G184" s="107"/>
    </row>
    <row r="185" spans="1:7" ht="17.100000000000001" customHeight="1" x14ac:dyDescent="0.6">
      <c r="A185" s="107"/>
      <c r="B185" s="107"/>
      <c r="C185" s="107"/>
      <c r="D185" s="107"/>
      <c r="E185" s="107"/>
      <c r="F185" s="107"/>
      <c r="G185" s="107"/>
    </row>
    <row r="186" spans="1:7" ht="17.100000000000001" customHeight="1" x14ac:dyDescent="0.6">
      <c r="A186" s="107"/>
      <c r="B186" s="107"/>
      <c r="C186" s="107"/>
      <c r="D186" s="107"/>
      <c r="E186" s="107"/>
      <c r="F186" s="107"/>
      <c r="G186" s="107"/>
    </row>
    <row r="187" spans="1:7" ht="17.100000000000001" customHeight="1" x14ac:dyDescent="0.6">
      <c r="A187" s="107"/>
      <c r="B187" s="107"/>
      <c r="C187" s="107"/>
      <c r="D187" s="107"/>
      <c r="E187" s="107"/>
      <c r="F187" s="107"/>
      <c r="G187" s="107"/>
    </row>
    <row r="188" spans="1:7" ht="17.100000000000001" customHeight="1" x14ac:dyDescent="0.6">
      <c r="A188" s="107"/>
      <c r="B188" s="107"/>
      <c r="C188" s="107"/>
      <c r="D188" s="107"/>
      <c r="E188" s="107"/>
      <c r="F188" s="107"/>
      <c r="G188" s="107"/>
    </row>
    <row r="189" spans="1:7" ht="17.100000000000001" customHeight="1" x14ac:dyDescent="0.6">
      <c r="A189" s="107"/>
      <c r="B189" s="107"/>
      <c r="C189" s="107"/>
      <c r="D189" s="107"/>
      <c r="E189" s="107"/>
      <c r="F189" s="107"/>
      <c r="G189" s="107"/>
    </row>
    <row r="190" spans="1:7" ht="17.100000000000001" customHeight="1" x14ac:dyDescent="0.6">
      <c r="A190" s="107"/>
      <c r="B190" s="107"/>
      <c r="C190" s="107"/>
      <c r="D190" s="107"/>
      <c r="E190" s="107"/>
      <c r="F190" s="107"/>
      <c r="G190" s="107"/>
    </row>
    <row r="191" spans="1:7" ht="17.100000000000001" customHeight="1" x14ac:dyDescent="0.6">
      <c r="A191" s="107"/>
      <c r="B191" s="107"/>
      <c r="C191" s="107"/>
      <c r="D191" s="107"/>
      <c r="E191" s="107"/>
      <c r="F191" s="107"/>
      <c r="G191" s="107"/>
    </row>
    <row r="192" spans="1:7" ht="17.100000000000001" customHeight="1" x14ac:dyDescent="0.6">
      <c r="A192" s="107"/>
      <c r="B192" s="107"/>
      <c r="C192" s="107"/>
      <c r="D192" s="107"/>
      <c r="E192" s="107"/>
      <c r="F192" s="107"/>
      <c r="G192" s="107"/>
    </row>
    <row r="193" spans="1:7" ht="17.100000000000001" customHeight="1" x14ac:dyDescent="0.6">
      <c r="A193" s="107"/>
      <c r="B193" s="107"/>
      <c r="C193" s="107"/>
      <c r="D193" s="107"/>
      <c r="E193" s="107"/>
      <c r="F193" s="107"/>
      <c r="G193" s="107"/>
    </row>
    <row r="194" spans="1:7" ht="17.100000000000001" customHeight="1" x14ac:dyDescent="0.6">
      <c r="A194" s="107"/>
      <c r="B194" s="107"/>
      <c r="C194" s="107"/>
      <c r="D194" s="107"/>
      <c r="E194" s="107"/>
      <c r="F194" s="107"/>
      <c r="G194" s="107"/>
    </row>
    <row r="195" spans="1:7" ht="17.100000000000001" customHeight="1" x14ac:dyDescent="0.6">
      <c r="A195" s="107"/>
      <c r="B195" s="107"/>
      <c r="C195" s="107"/>
      <c r="D195" s="107"/>
      <c r="E195" s="107"/>
      <c r="F195" s="107"/>
      <c r="G195" s="107"/>
    </row>
    <row r="196" spans="1:7" ht="17.100000000000001" customHeight="1" x14ac:dyDescent="0.6">
      <c r="A196" s="107"/>
      <c r="B196" s="107"/>
      <c r="C196" s="107"/>
      <c r="D196" s="107"/>
      <c r="E196" s="107"/>
      <c r="F196" s="107"/>
      <c r="G196" s="107"/>
    </row>
    <row r="197" spans="1:7" ht="17.100000000000001" customHeight="1" x14ac:dyDescent="0.6">
      <c r="A197" s="107"/>
      <c r="B197" s="107"/>
      <c r="C197" s="107"/>
      <c r="D197" s="107"/>
      <c r="E197" s="107"/>
      <c r="F197" s="107"/>
      <c r="G197" s="107"/>
    </row>
    <row r="198" spans="1:7" ht="17.100000000000001" customHeight="1" x14ac:dyDescent="0.6">
      <c r="A198" s="107"/>
      <c r="B198" s="107"/>
      <c r="C198" s="107"/>
      <c r="D198" s="107"/>
      <c r="E198" s="107"/>
      <c r="F198" s="107"/>
      <c r="G198" s="107"/>
    </row>
    <row r="199" spans="1:7" ht="17.100000000000001" customHeight="1" x14ac:dyDescent="0.6">
      <c r="A199" s="107"/>
      <c r="B199" s="107"/>
      <c r="C199" s="107"/>
      <c r="D199" s="107"/>
      <c r="E199" s="107"/>
      <c r="F199" s="107"/>
      <c r="G199" s="107"/>
    </row>
    <row r="200" spans="1:7" ht="17.100000000000001" customHeight="1" x14ac:dyDescent="0.6">
      <c r="A200" s="107"/>
      <c r="B200" s="107"/>
      <c r="C200" s="107"/>
      <c r="D200" s="107"/>
      <c r="E200" s="107"/>
      <c r="F200" s="107"/>
      <c r="G200" s="107"/>
    </row>
    <row r="201" spans="1:7" ht="17.100000000000001" customHeight="1" x14ac:dyDescent="0.6">
      <c r="A201" s="107"/>
      <c r="B201" s="107"/>
      <c r="C201" s="107"/>
      <c r="D201" s="107"/>
      <c r="E201" s="107"/>
      <c r="F201" s="107"/>
      <c r="G201" s="107"/>
    </row>
    <row r="202" spans="1:7" ht="17.100000000000001" customHeight="1" x14ac:dyDescent="0.6">
      <c r="A202" s="107"/>
      <c r="B202" s="107"/>
      <c r="C202" s="107"/>
      <c r="D202" s="107"/>
      <c r="E202" s="107"/>
      <c r="F202" s="107"/>
      <c r="G202" s="107"/>
    </row>
    <row r="203" spans="1:7" ht="17.100000000000001" customHeight="1" x14ac:dyDescent="0.6">
      <c r="A203" s="107"/>
      <c r="B203" s="107"/>
      <c r="C203" s="107"/>
      <c r="D203" s="107"/>
      <c r="E203" s="107"/>
      <c r="F203" s="107"/>
      <c r="G203" s="107"/>
    </row>
    <row r="204" spans="1:7" ht="17.100000000000001" customHeight="1" x14ac:dyDescent="0.6">
      <c r="A204" s="107"/>
      <c r="B204" s="107"/>
      <c r="C204" s="107"/>
      <c r="D204" s="107"/>
      <c r="E204" s="107"/>
      <c r="F204" s="107"/>
      <c r="G204" s="107"/>
    </row>
    <row r="205" spans="1:7" ht="17.100000000000001" customHeight="1" x14ac:dyDescent="0.6">
      <c r="A205" s="107"/>
      <c r="B205" s="107"/>
      <c r="C205" s="107"/>
      <c r="D205" s="107"/>
      <c r="E205" s="107"/>
      <c r="F205" s="107"/>
      <c r="G205" s="107"/>
    </row>
    <row r="206" spans="1:7" ht="17.100000000000001" customHeight="1" x14ac:dyDescent="0.6">
      <c r="A206" s="107"/>
      <c r="B206" s="107"/>
      <c r="C206" s="107"/>
      <c r="D206" s="107"/>
      <c r="E206" s="107"/>
      <c r="F206" s="107"/>
      <c r="G206" s="107"/>
    </row>
    <row r="207" spans="1:7" ht="17.100000000000001" customHeight="1" x14ac:dyDescent="0.6">
      <c r="A207" s="107"/>
      <c r="B207" s="107"/>
      <c r="C207" s="107"/>
      <c r="D207" s="107"/>
      <c r="E207" s="107"/>
      <c r="F207" s="107"/>
      <c r="G207" s="107"/>
    </row>
    <row r="208" spans="1:7" ht="17.100000000000001" customHeight="1" x14ac:dyDescent="0.6">
      <c r="A208" s="107"/>
      <c r="B208" s="107"/>
      <c r="C208" s="107"/>
      <c r="D208" s="107"/>
      <c r="E208" s="107"/>
      <c r="F208" s="107"/>
      <c r="G208" s="107"/>
    </row>
    <row r="209" spans="1:7" ht="17.100000000000001" customHeight="1" x14ac:dyDescent="0.6">
      <c r="A209" s="107"/>
      <c r="B209" s="107"/>
      <c r="C209" s="107"/>
      <c r="D209" s="107"/>
      <c r="E209" s="107"/>
      <c r="F209" s="107"/>
      <c r="G209" s="107"/>
    </row>
    <row r="210" spans="1:7" ht="17.100000000000001" customHeight="1" x14ac:dyDescent="0.6">
      <c r="A210" s="107"/>
      <c r="B210" s="107"/>
      <c r="C210" s="107"/>
      <c r="D210" s="107"/>
      <c r="E210" s="107"/>
      <c r="F210" s="107"/>
      <c r="G210" s="107"/>
    </row>
    <row r="211" spans="1:7" ht="17.100000000000001" customHeight="1" x14ac:dyDescent="0.6">
      <c r="A211" s="107"/>
      <c r="B211" s="107"/>
      <c r="C211" s="107"/>
      <c r="D211" s="107"/>
      <c r="E211" s="107"/>
      <c r="F211" s="107"/>
      <c r="G211" s="107"/>
    </row>
    <row r="212" spans="1:7" ht="17.100000000000001" customHeight="1" x14ac:dyDescent="0.6">
      <c r="A212" s="107"/>
      <c r="B212" s="107"/>
      <c r="C212" s="107"/>
      <c r="D212" s="107"/>
      <c r="E212" s="107"/>
      <c r="F212" s="107"/>
      <c r="G212" s="107"/>
    </row>
    <row r="213" spans="1:7" ht="17.100000000000001" customHeight="1" x14ac:dyDescent="0.6">
      <c r="A213" s="107"/>
      <c r="B213" s="107"/>
      <c r="C213" s="107"/>
      <c r="D213" s="107"/>
      <c r="E213" s="107"/>
      <c r="F213" s="107"/>
      <c r="G213" s="107"/>
    </row>
    <row r="214" spans="1:7" ht="17.100000000000001" customHeight="1" x14ac:dyDescent="0.6">
      <c r="A214" s="107"/>
      <c r="B214" s="107"/>
      <c r="C214" s="107"/>
      <c r="D214" s="107"/>
      <c r="E214" s="107"/>
      <c r="F214" s="107"/>
      <c r="G214" s="107"/>
    </row>
    <row r="215" spans="1:7" ht="17.100000000000001" customHeight="1" x14ac:dyDescent="0.6">
      <c r="A215" s="107"/>
      <c r="B215" s="107"/>
      <c r="C215" s="107"/>
      <c r="D215" s="107"/>
      <c r="E215" s="107"/>
      <c r="F215" s="107"/>
      <c r="G215" s="107"/>
    </row>
    <row r="216" spans="1:7" ht="17.100000000000001" customHeight="1" x14ac:dyDescent="0.6">
      <c r="A216" s="107"/>
      <c r="B216" s="107"/>
      <c r="C216" s="107"/>
      <c r="D216" s="107"/>
      <c r="E216" s="107"/>
      <c r="F216" s="107"/>
      <c r="G216" s="107"/>
    </row>
    <row r="217" spans="1:7" ht="17.100000000000001" customHeight="1" x14ac:dyDescent="0.6">
      <c r="A217" s="107"/>
      <c r="B217" s="107"/>
      <c r="C217" s="107"/>
      <c r="D217" s="107"/>
      <c r="E217" s="107"/>
      <c r="F217" s="107"/>
      <c r="G217" s="107"/>
    </row>
    <row r="218" spans="1:7" ht="17.100000000000001" customHeight="1" x14ac:dyDescent="0.6">
      <c r="A218" s="107"/>
      <c r="B218" s="107"/>
      <c r="C218" s="107"/>
      <c r="D218" s="107"/>
      <c r="E218" s="107"/>
      <c r="F218" s="107"/>
      <c r="G218" s="107"/>
    </row>
    <row r="219" spans="1:7" ht="17.100000000000001" customHeight="1" x14ac:dyDescent="0.6">
      <c r="A219" s="107"/>
      <c r="B219" s="107"/>
      <c r="C219" s="107"/>
      <c r="D219" s="107"/>
      <c r="E219" s="107"/>
      <c r="F219" s="107"/>
      <c r="G219" s="107"/>
    </row>
    <row r="220" spans="1:7" ht="17.100000000000001" customHeight="1" x14ac:dyDescent="0.6">
      <c r="A220" s="107"/>
      <c r="B220" s="107"/>
      <c r="C220" s="107"/>
      <c r="D220" s="107"/>
      <c r="E220" s="107"/>
      <c r="F220" s="107"/>
      <c r="G220" s="107"/>
    </row>
    <row r="221" spans="1:7" ht="17.100000000000001" customHeight="1" x14ac:dyDescent="0.6">
      <c r="A221" s="107"/>
      <c r="B221" s="107"/>
      <c r="C221" s="107"/>
      <c r="D221" s="107"/>
      <c r="E221" s="107"/>
      <c r="F221" s="107"/>
      <c r="G221" s="107"/>
    </row>
    <row r="222" spans="1:7" ht="17.100000000000001" customHeight="1" x14ac:dyDescent="0.6">
      <c r="A222" s="107"/>
      <c r="B222" s="107"/>
      <c r="C222" s="107"/>
      <c r="D222" s="107"/>
      <c r="E222" s="107"/>
      <c r="F222" s="107"/>
      <c r="G222" s="107"/>
    </row>
    <row r="223" spans="1:7" ht="17.100000000000001" customHeight="1" x14ac:dyDescent="0.6">
      <c r="A223" s="107"/>
      <c r="B223" s="107"/>
      <c r="C223" s="107"/>
      <c r="D223" s="107"/>
      <c r="E223" s="107"/>
      <c r="F223" s="107"/>
      <c r="G223" s="107"/>
    </row>
    <row r="224" spans="1:7" ht="17.100000000000001" customHeight="1" x14ac:dyDescent="0.6">
      <c r="A224" s="107"/>
      <c r="B224" s="107"/>
      <c r="C224" s="107"/>
      <c r="D224" s="107"/>
      <c r="E224" s="107"/>
      <c r="F224" s="107"/>
      <c r="G224" s="107"/>
    </row>
    <row r="225" spans="1:7" ht="17.100000000000001" customHeight="1" x14ac:dyDescent="0.6">
      <c r="A225" s="107"/>
      <c r="B225" s="107"/>
      <c r="C225" s="107"/>
      <c r="D225" s="107"/>
      <c r="E225" s="107"/>
      <c r="F225" s="107"/>
      <c r="G225" s="107"/>
    </row>
    <row r="226" spans="1:7" ht="17.100000000000001" customHeight="1" x14ac:dyDescent="0.6">
      <c r="A226" s="107"/>
      <c r="B226" s="107"/>
      <c r="C226" s="107"/>
      <c r="D226" s="107"/>
      <c r="E226" s="107"/>
      <c r="F226" s="107"/>
      <c r="G226" s="107"/>
    </row>
    <row r="227" spans="1:7" ht="17.100000000000001" customHeight="1" x14ac:dyDescent="0.6">
      <c r="A227" s="107"/>
      <c r="B227" s="107"/>
      <c r="C227" s="107"/>
      <c r="D227" s="107"/>
      <c r="E227" s="107"/>
      <c r="F227" s="107"/>
      <c r="G227" s="107"/>
    </row>
    <row r="228" spans="1:7" ht="17.100000000000001" customHeight="1" x14ac:dyDescent="0.6">
      <c r="A228" s="107"/>
      <c r="B228" s="107"/>
      <c r="C228" s="107"/>
      <c r="D228" s="107"/>
      <c r="E228" s="107"/>
      <c r="F228" s="107"/>
      <c r="G228" s="107"/>
    </row>
    <row r="229" spans="1:7" ht="17.100000000000001" customHeight="1" x14ac:dyDescent="0.6">
      <c r="A229" s="107"/>
      <c r="B229" s="107"/>
      <c r="C229" s="107"/>
      <c r="D229" s="107"/>
      <c r="E229" s="107"/>
      <c r="F229" s="107"/>
      <c r="G229" s="107"/>
    </row>
    <row r="230" spans="1:7" ht="17.100000000000001" customHeight="1" x14ac:dyDescent="0.6">
      <c r="A230" s="107"/>
      <c r="B230" s="107"/>
      <c r="C230" s="107"/>
      <c r="D230" s="107"/>
      <c r="E230" s="107"/>
      <c r="F230" s="107"/>
      <c r="G230" s="107"/>
    </row>
    <row r="231" spans="1:7" ht="17.100000000000001" customHeight="1" x14ac:dyDescent="0.6">
      <c r="A231" s="107"/>
      <c r="B231" s="107"/>
      <c r="C231" s="107"/>
      <c r="D231" s="107"/>
      <c r="E231" s="107"/>
      <c r="F231" s="107"/>
      <c r="G231" s="107"/>
    </row>
    <row r="232" spans="1:7" ht="17.100000000000001" customHeight="1" x14ac:dyDescent="0.6">
      <c r="A232" s="107"/>
      <c r="B232" s="107"/>
      <c r="C232" s="107"/>
      <c r="D232" s="107"/>
      <c r="E232" s="107"/>
      <c r="F232" s="107"/>
      <c r="G232" s="107"/>
    </row>
    <row r="233" spans="1:7" ht="17.100000000000001" customHeight="1" x14ac:dyDescent="0.6">
      <c r="A233" s="107"/>
      <c r="B233" s="107"/>
      <c r="C233" s="107"/>
      <c r="D233" s="107"/>
      <c r="E233" s="107"/>
      <c r="F233" s="107"/>
      <c r="G233" s="107"/>
    </row>
    <row r="234" spans="1:7" ht="17.100000000000001" customHeight="1" x14ac:dyDescent="0.6">
      <c r="A234" s="107"/>
      <c r="B234" s="107"/>
      <c r="C234" s="107"/>
      <c r="D234" s="107"/>
      <c r="E234" s="107"/>
      <c r="F234" s="107"/>
      <c r="G234" s="107"/>
    </row>
    <row r="235" spans="1:7" ht="17.100000000000001" customHeight="1" x14ac:dyDescent="0.6">
      <c r="A235" s="107"/>
      <c r="B235" s="107"/>
      <c r="C235" s="107"/>
      <c r="D235" s="107"/>
      <c r="E235" s="107"/>
      <c r="F235" s="107"/>
      <c r="G235" s="107"/>
    </row>
    <row r="236" spans="1:7" ht="17.100000000000001" customHeight="1" x14ac:dyDescent="0.6">
      <c r="A236" s="107"/>
      <c r="B236" s="107"/>
      <c r="C236" s="107"/>
      <c r="D236" s="107"/>
      <c r="E236" s="107"/>
      <c r="F236" s="107"/>
      <c r="G236" s="107"/>
    </row>
    <row r="237" spans="1:7" ht="17.100000000000001" customHeight="1" x14ac:dyDescent="0.6">
      <c r="A237" s="107"/>
      <c r="B237" s="107"/>
      <c r="C237" s="107"/>
      <c r="D237" s="107"/>
      <c r="E237" s="107"/>
      <c r="F237" s="107"/>
      <c r="G237" s="107"/>
    </row>
    <row r="238" spans="1:7" ht="17.100000000000001" customHeight="1" x14ac:dyDescent="0.6">
      <c r="A238" s="107"/>
      <c r="B238" s="107"/>
      <c r="C238" s="107"/>
      <c r="D238" s="107"/>
      <c r="E238" s="107"/>
      <c r="F238" s="107"/>
      <c r="G238" s="107"/>
    </row>
    <row r="239" spans="1:7" ht="17.100000000000001" customHeight="1" x14ac:dyDescent="0.6">
      <c r="A239" s="107"/>
      <c r="B239" s="107"/>
      <c r="C239" s="107"/>
      <c r="D239" s="107"/>
      <c r="E239" s="107"/>
      <c r="F239" s="107"/>
      <c r="G239" s="107"/>
    </row>
    <row r="240" spans="1:7" ht="17.100000000000001" customHeight="1" x14ac:dyDescent="0.6">
      <c r="A240" s="107"/>
      <c r="B240" s="107"/>
      <c r="C240" s="107"/>
      <c r="D240" s="107"/>
      <c r="E240" s="107"/>
      <c r="F240" s="107"/>
      <c r="G240" s="107"/>
    </row>
    <row r="241" spans="1:7" ht="17.100000000000001" customHeight="1" x14ac:dyDescent="0.6">
      <c r="A241" s="107"/>
      <c r="B241" s="107"/>
      <c r="C241" s="107"/>
      <c r="D241" s="107"/>
      <c r="E241" s="107"/>
      <c r="F241" s="107"/>
      <c r="G241" s="107"/>
    </row>
    <row r="242" spans="1:7" ht="17.100000000000001" customHeight="1" x14ac:dyDescent="0.6">
      <c r="A242" s="107"/>
      <c r="B242" s="107"/>
      <c r="C242" s="107"/>
      <c r="D242" s="107"/>
      <c r="E242" s="107"/>
      <c r="F242" s="107"/>
      <c r="G242" s="107"/>
    </row>
    <row r="243" spans="1:7" ht="17.100000000000001" customHeight="1" x14ac:dyDescent="0.6">
      <c r="A243" s="107"/>
      <c r="B243" s="107"/>
      <c r="C243" s="107"/>
      <c r="D243" s="107"/>
      <c r="E243" s="107"/>
      <c r="F243" s="107"/>
      <c r="G243" s="107"/>
    </row>
    <row r="244" spans="1:7" ht="17.100000000000001" customHeight="1" x14ac:dyDescent="0.6">
      <c r="A244" s="107"/>
      <c r="B244" s="107"/>
      <c r="C244" s="107"/>
      <c r="D244" s="107"/>
      <c r="E244" s="107"/>
      <c r="F244" s="107"/>
      <c r="G244" s="107"/>
    </row>
    <row r="245" spans="1:7" ht="17.100000000000001" customHeight="1" x14ac:dyDescent="0.6">
      <c r="A245" s="107"/>
      <c r="B245" s="107"/>
      <c r="C245" s="107"/>
      <c r="D245" s="107"/>
      <c r="E245" s="107"/>
      <c r="F245" s="107"/>
      <c r="G245" s="107"/>
    </row>
    <row r="246" spans="1:7" ht="17.100000000000001" customHeight="1" x14ac:dyDescent="0.6">
      <c r="A246" s="107"/>
      <c r="B246" s="107"/>
      <c r="C246" s="107"/>
      <c r="D246" s="107"/>
      <c r="E246" s="107"/>
      <c r="F246" s="107"/>
      <c r="G246" s="107"/>
    </row>
    <row r="247" spans="1:7" ht="17.100000000000001" customHeight="1" x14ac:dyDescent="0.6">
      <c r="A247" s="107"/>
      <c r="B247" s="107"/>
      <c r="C247" s="107"/>
      <c r="D247" s="107"/>
      <c r="E247" s="107"/>
      <c r="F247" s="107"/>
      <c r="G247" s="107"/>
    </row>
    <row r="248" spans="1:7" ht="17.100000000000001" customHeight="1" x14ac:dyDescent="0.6">
      <c r="A248" s="107"/>
      <c r="B248" s="107"/>
      <c r="C248" s="107"/>
      <c r="D248" s="107"/>
      <c r="E248" s="107"/>
      <c r="F248" s="107"/>
      <c r="G248" s="107"/>
    </row>
    <row r="249" spans="1:7" ht="17.100000000000001" customHeight="1" x14ac:dyDescent="0.6">
      <c r="A249" s="107"/>
      <c r="B249" s="107"/>
      <c r="C249" s="107"/>
      <c r="D249" s="107"/>
      <c r="E249" s="107"/>
      <c r="F249" s="107"/>
      <c r="G249" s="107"/>
    </row>
    <row r="250" spans="1:7" ht="17.100000000000001" customHeight="1" x14ac:dyDescent="0.6">
      <c r="A250" s="107"/>
      <c r="B250" s="107"/>
      <c r="C250" s="107"/>
      <c r="D250" s="107"/>
      <c r="E250" s="107"/>
      <c r="F250" s="107"/>
      <c r="G250" s="107"/>
    </row>
    <row r="251" spans="1:7" ht="17.100000000000001" customHeight="1" x14ac:dyDescent="0.6">
      <c r="A251" s="107"/>
      <c r="B251" s="107"/>
      <c r="C251" s="107"/>
      <c r="D251" s="107"/>
      <c r="E251" s="107"/>
      <c r="F251" s="107"/>
      <c r="G251" s="107"/>
    </row>
    <row r="252" spans="1:7" ht="17.100000000000001" customHeight="1" x14ac:dyDescent="0.6">
      <c r="A252" s="107"/>
      <c r="B252" s="107"/>
      <c r="C252" s="107"/>
      <c r="D252" s="107"/>
      <c r="E252" s="107"/>
      <c r="F252" s="107"/>
      <c r="G252" s="107"/>
    </row>
    <row r="253" spans="1:7" ht="17.100000000000001" customHeight="1" x14ac:dyDescent="0.6">
      <c r="A253" s="107"/>
      <c r="B253" s="107"/>
      <c r="C253" s="107"/>
      <c r="D253" s="107"/>
      <c r="E253" s="107"/>
      <c r="F253" s="107"/>
      <c r="G253" s="107"/>
    </row>
    <row r="254" spans="1:7" ht="17.100000000000001" customHeight="1" x14ac:dyDescent="0.6">
      <c r="A254" s="107"/>
      <c r="B254" s="107"/>
      <c r="C254" s="107"/>
      <c r="D254" s="107"/>
      <c r="E254" s="107"/>
      <c r="F254" s="107"/>
      <c r="G254" s="107"/>
    </row>
    <row r="255" spans="1:7" ht="17.100000000000001" customHeight="1" x14ac:dyDescent="0.6">
      <c r="A255" s="107"/>
      <c r="B255" s="107"/>
      <c r="C255" s="107"/>
      <c r="D255" s="107"/>
      <c r="E255" s="107"/>
      <c r="F255" s="107"/>
      <c r="G255" s="107"/>
    </row>
    <row r="256" spans="1:7" ht="17.100000000000001" customHeight="1" x14ac:dyDescent="0.6">
      <c r="A256" s="107"/>
      <c r="B256" s="107"/>
      <c r="C256" s="107"/>
      <c r="D256" s="107"/>
      <c r="E256" s="107"/>
      <c r="F256" s="107"/>
      <c r="G256" s="107"/>
    </row>
    <row r="257" spans="1:7" ht="17.100000000000001" customHeight="1" x14ac:dyDescent="0.6">
      <c r="A257" s="107"/>
      <c r="B257" s="107"/>
      <c r="C257" s="107"/>
      <c r="D257" s="107"/>
      <c r="E257" s="107"/>
      <c r="F257" s="107"/>
      <c r="G257" s="107"/>
    </row>
    <row r="258" spans="1:7" ht="17.100000000000001" customHeight="1" x14ac:dyDescent="0.6">
      <c r="A258" s="107"/>
      <c r="B258" s="107"/>
      <c r="C258" s="107"/>
      <c r="D258" s="107"/>
      <c r="E258" s="107"/>
      <c r="F258" s="107"/>
      <c r="G258" s="107"/>
    </row>
    <row r="259" spans="1:7" ht="17.100000000000001" customHeight="1" x14ac:dyDescent="0.6">
      <c r="A259" s="107"/>
      <c r="B259" s="107"/>
      <c r="C259" s="107"/>
      <c r="D259" s="107"/>
      <c r="E259" s="107"/>
      <c r="F259" s="107"/>
      <c r="G259" s="107"/>
    </row>
    <row r="260" spans="1:7" ht="17.100000000000001" customHeight="1" x14ac:dyDescent="0.6">
      <c r="A260" s="107"/>
      <c r="B260" s="107"/>
      <c r="C260" s="107"/>
      <c r="D260" s="107"/>
      <c r="E260" s="107"/>
      <c r="F260" s="107"/>
      <c r="G260" s="107"/>
    </row>
    <row r="261" spans="1:7" ht="17.100000000000001" customHeight="1" x14ac:dyDescent="0.6">
      <c r="A261" s="107"/>
      <c r="B261" s="107"/>
      <c r="C261" s="107"/>
      <c r="D261" s="107"/>
      <c r="E261" s="107"/>
      <c r="F261" s="107"/>
      <c r="G261" s="107"/>
    </row>
    <row r="262" spans="1:7" ht="17.100000000000001" customHeight="1" x14ac:dyDescent="0.6">
      <c r="A262" s="107"/>
      <c r="B262" s="107"/>
      <c r="C262" s="107"/>
      <c r="D262" s="107"/>
      <c r="E262" s="107"/>
      <c r="F262" s="107"/>
      <c r="G262" s="107"/>
    </row>
    <row r="263" spans="1:7" ht="17.100000000000001" customHeight="1" x14ac:dyDescent="0.6">
      <c r="A263" s="107"/>
      <c r="B263" s="107"/>
      <c r="C263" s="107"/>
      <c r="D263" s="107"/>
      <c r="E263" s="107"/>
      <c r="F263" s="107"/>
      <c r="G263" s="107"/>
    </row>
    <row r="264" spans="1:7" ht="17.100000000000001" customHeight="1" x14ac:dyDescent="0.6">
      <c r="A264" s="107"/>
      <c r="B264" s="107"/>
      <c r="C264" s="107"/>
      <c r="D264" s="107"/>
      <c r="E264" s="107"/>
      <c r="F264" s="107"/>
      <c r="G264" s="107"/>
    </row>
    <row r="265" spans="1:7" ht="17.100000000000001" customHeight="1" x14ac:dyDescent="0.6">
      <c r="A265" s="107"/>
      <c r="B265" s="107"/>
      <c r="C265" s="107"/>
      <c r="D265" s="107"/>
      <c r="E265" s="107"/>
      <c r="F265" s="107"/>
      <c r="G265" s="107"/>
    </row>
    <row r="266" spans="1:7" ht="17.100000000000001" customHeight="1" x14ac:dyDescent="0.6">
      <c r="A266" s="107"/>
      <c r="B266" s="107"/>
      <c r="C266" s="107"/>
      <c r="D266" s="107"/>
      <c r="E266" s="107"/>
      <c r="F266" s="107"/>
      <c r="G266" s="107"/>
    </row>
    <row r="267" spans="1:7" ht="17.100000000000001" customHeight="1" x14ac:dyDescent="0.6">
      <c r="A267" s="107"/>
      <c r="B267" s="107"/>
      <c r="C267" s="107"/>
      <c r="D267" s="107"/>
      <c r="E267" s="107"/>
      <c r="F267" s="107"/>
      <c r="G267" s="107"/>
    </row>
    <row r="268" spans="1:7" ht="17.100000000000001" customHeight="1" x14ac:dyDescent="0.6">
      <c r="A268" s="107"/>
      <c r="B268" s="107"/>
      <c r="C268" s="107"/>
      <c r="D268" s="107"/>
      <c r="E268" s="107"/>
      <c r="F268" s="107"/>
      <c r="G268" s="107"/>
    </row>
    <row r="269" spans="1:7" ht="17.100000000000001" customHeight="1" x14ac:dyDescent="0.6">
      <c r="A269" s="107"/>
      <c r="B269" s="107"/>
      <c r="C269" s="107"/>
      <c r="D269" s="107"/>
      <c r="E269" s="107"/>
      <c r="F269" s="107"/>
      <c r="G269" s="107"/>
    </row>
    <row r="270" spans="1:7" ht="17.100000000000001" customHeight="1" x14ac:dyDescent="0.6">
      <c r="A270" s="107"/>
      <c r="B270" s="107"/>
      <c r="C270" s="107"/>
      <c r="D270" s="107"/>
      <c r="E270" s="107"/>
      <c r="F270" s="107"/>
      <c r="G270" s="107"/>
    </row>
    <row r="271" spans="1:7" ht="17.100000000000001" customHeight="1" x14ac:dyDescent="0.6">
      <c r="A271" s="107"/>
      <c r="B271" s="107"/>
      <c r="C271" s="107"/>
      <c r="D271" s="107"/>
      <c r="E271" s="107"/>
      <c r="F271" s="107"/>
      <c r="G271" s="107"/>
    </row>
    <row r="272" spans="1:7" ht="17.100000000000001" customHeight="1" x14ac:dyDescent="0.6">
      <c r="A272" s="107"/>
      <c r="B272" s="107"/>
      <c r="C272" s="107"/>
      <c r="D272" s="107"/>
      <c r="E272" s="107"/>
      <c r="F272" s="107"/>
      <c r="G272" s="107"/>
    </row>
    <row r="273" spans="1:7" ht="17.100000000000001" customHeight="1" x14ac:dyDescent="0.6">
      <c r="A273" s="107"/>
      <c r="B273" s="107"/>
      <c r="C273" s="107"/>
      <c r="D273" s="107"/>
      <c r="E273" s="107"/>
      <c r="F273" s="107"/>
      <c r="G273" s="107"/>
    </row>
    <row r="274" spans="1:7" ht="17.100000000000001" customHeight="1" x14ac:dyDescent="0.6">
      <c r="A274" s="107"/>
      <c r="B274" s="107"/>
      <c r="C274" s="107"/>
      <c r="D274" s="107"/>
      <c r="E274" s="107"/>
      <c r="F274" s="107"/>
      <c r="G274" s="107"/>
    </row>
    <row r="275" spans="1:7" ht="17.100000000000001" customHeight="1" x14ac:dyDescent="0.6">
      <c r="A275" s="107"/>
      <c r="B275" s="107"/>
      <c r="C275" s="107"/>
      <c r="D275" s="107"/>
      <c r="E275" s="107"/>
      <c r="F275" s="107"/>
      <c r="G275" s="107"/>
    </row>
    <row r="276" spans="1:7" ht="17.100000000000001" customHeight="1" x14ac:dyDescent="0.6">
      <c r="A276" s="107"/>
      <c r="B276" s="107"/>
      <c r="C276" s="107"/>
      <c r="D276" s="107"/>
      <c r="E276" s="107"/>
      <c r="F276" s="107"/>
      <c r="G276" s="107"/>
    </row>
    <row r="277" spans="1:7" ht="17.100000000000001" customHeight="1" x14ac:dyDescent="0.6">
      <c r="A277" s="107"/>
      <c r="B277" s="107"/>
      <c r="C277" s="107"/>
      <c r="D277" s="107"/>
      <c r="E277" s="107"/>
      <c r="F277" s="107"/>
      <c r="G277" s="107"/>
    </row>
    <row r="278" spans="1:7" ht="17.100000000000001" customHeight="1" x14ac:dyDescent="0.6">
      <c r="A278" s="107"/>
      <c r="B278" s="107"/>
      <c r="C278" s="107"/>
      <c r="D278" s="107"/>
      <c r="E278" s="107"/>
      <c r="F278" s="107"/>
      <c r="G278" s="107"/>
    </row>
    <row r="279" spans="1:7" ht="17.100000000000001" customHeight="1" x14ac:dyDescent="0.6">
      <c r="A279" s="107"/>
      <c r="B279" s="107"/>
      <c r="C279" s="107"/>
      <c r="D279" s="107"/>
      <c r="E279" s="107"/>
      <c r="F279" s="107"/>
      <c r="G279" s="107"/>
    </row>
    <row r="280" spans="1:7" ht="17.100000000000001" customHeight="1" x14ac:dyDescent="0.6">
      <c r="A280" s="107"/>
      <c r="B280" s="107"/>
      <c r="C280" s="107"/>
      <c r="D280" s="107"/>
      <c r="E280" s="107"/>
      <c r="F280" s="107"/>
      <c r="G280" s="107"/>
    </row>
    <row r="281" spans="1:7" ht="17.100000000000001" customHeight="1" x14ac:dyDescent="0.6">
      <c r="A281" s="107"/>
      <c r="B281" s="107"/>
      <c r="C281" s="107"/>
      <c r="D281" s="107"/>
      <c r="E281" s="107"/>
      <c r="F281" s="107"/>
      <c r="G281" s="107"/>
    </row>
    <row r="282" spans="1:7" ht="17.100000000000001" customHeight="1" x14ac:dyDescent="0.6">
      <c r="A282" s="107"/>
      <c r="B282" s="107"/>
      <c r="C282" s="107"/>
      <c r="D282" s="107"/>
      <c r="E282" s="107"/>
      <c r="F282" s="107"/>
      <c r="G282" s="107"/>
    </row>
    <row r="283" spans="1:7" ht="17.100000000000001" customHeight="1" x14ac:dyDescent="0.6">
      <c r="A283" s="107"/>
      <c r="B283" s="107"/>
      <c r="C283" s="107"/>
      <c r="D283" s="107"/>
      <c r="E283" s="107"/>
      <c r="F283" s="107"/>
      <c r="G283" s="107"/>
    </row>
    <row r="284" spans="1:7" ht="17.100000000000001" customHeight="1" x14ac:dyDescent="0.6">
      <c r="A284" s="107"/>
      <c r="B284" s="107"/>
      <c r="C284" s="107"/>
      <c r="D284" s="107"/>
      <c r="E284" s="107"/>
      <c r="F284" s="107"/>
      <c r="G284" s="107"/>
    </row>
    <row r="285" spans="1:7" ht="17.100000000000001" customHeight="1" x14ac:dyDescent="0.6">
      <c r="A285" s="107"/>
      <c r="B285" s="107"/>
      <c r="C285" s="107"/>
      <c r="D285" s="107"/>
      <c r="E285" s="107"/>
      <c r="F285" s="107"/>
      <c r="G285" s="107"/>
    </row>
    <row r="286" spans="1:7" ht="17.100000000000001" customHeight="1" x14ac:dyDescent="0.6">
      <c r="A286" s="107"/>
      <c r="B286" s="107"/>
      <c r="C286" s="107"/>
      <c r="D286" s="107"/>
      <c r="E286" s="107"/>
      <c r="F286" s="107"/>
      <c r="G286" s="107"/>
    </row>
    <row r="287" spans="1:7" ht="17.100000000000001" customHeight="1" x14ac:dyDescent="0.6">
      <c r="A287" s="107"/>
      <c r="B287" s="107"/>
      <c r="C287" s="107"/>
      <c r="D287" s="107"/>
      <c r="E287" s="107"/>
      <c r="F287" s="107"/>
      <c r="G287" s="107"/>
    </row>
    <row r="288" spans="1:7" ht="17.100000000000001" customHeight="1" x14ac:dyDescent="0.6">
      <c r="A288" s="107"/>
      <c r="B288" s="107"/>
      <c r="C288" s="107"/>
      <c r="D288" s="107"/>
      <c r="E288" s="107"/>
      <c r="F288" s="107"/>
      <c r="G288" s="107"/>
    </row>
    <row r="289" spans="1:7" ht="17.100000000000001" customHeight="1" x14ac:dyDescent="0.6">
      <c r="A289" s="107"/>
      <c r="B289" s="107"/>
      <c r="C289" s="107"/>
      <c r="D289" s="107"/>
      <c r="E289" s="107"/>
      <c r="F289" s="107"/>
      <c r="G289" s="107"/>
    </row>
    <row r="290" spans="1:7" ht="17.100000000000001" customHeight="1" x14ac:dyDescent="0.6">
      <c r="A290" s="107"/>
      <c r="B290" s="107"/>
      <c r="C290" s="107"/>
      <c r="D290" s="107"/>
      <c r="E290" s="107"/>
      <c r="F290" s="107"/>
      <c r="G290" s="107"/>
    </row>
    <row r="291" spans="1:7" ht="17.100000000000001" customHeight="1" x14ac:dyDescent="0.6">
      <c r="A291" s="107"/>
      <c r="B291" s="107"/>
      <c r="C291" s="107"/>
      <c r="D291" s="107"/>
      <c r="E291" s="107"/>
      <c r="F291" s="107"/>
      <c r="G291" s="107"/>
    </row>
    <row r="292" spans="1:7" ht="17.100000000000001" customHeight="1" x14ac:dyDescent="0.6">
      <c r="A292" s="107"/>
      <c r="B292" s="107"/>
      <c r="C292" s="107"/>
      <c r="D292" s="107"/>
      <c r="E292" s="107"/>
      <c r="F292" s="107"/>
      <c r="G292" s="107"/>
    </row>
    <row r="293" spans="1:7" ht="17.100000000000001" customHeight="1" x14ac:dyDescent="0.6">
      <c r="A293" s="107"/>
      <c r="B293" s="107"/>
      <c r="C293" s="107"/>
      <c r="D293" s="107"/>
      <c r="E293" s="107"/>
      <c r="F293" s="107"/>
      <c r="G293" s="107"/>
    </row>
    <row r="294" spans="1:7" ht="17.100000000000001" customHeight="1" x14ac:dyDescent="0.6">
      <c r="A294" s="107"/>
      <c r="B294" s="107"/>
      <c r="C294" s="107"/>
      <c r="D294" s="107"/>
      <c r="E294" s="107"/>
      <c r="F294" s="107"/>
      <c r="G294" s="107"/>
    </row>
    <row r="295" spans="1:7" ht="17.100000000000001" customHeight="1" x14ac:dyDescent="0.6">
      <c r="A295" s="107"/>
      <c r="B295" s="107"/>
      <c r="C295" s="107"/>
      <c r="D295" s="107"/>
      <c r="E295" s="107"/>
      <c r="F295" s="107"/>
      <c r="G295" s="107"/>
    </row>
    <row r="296" spans="1:7" ht="17.100000000000001" customHeight="1" x14ac:dyDescent="0.6">
      <c r="A296" s="107"/>
      <c r="B296" s="107"/>
      <c r="C296" s="107"/>
      <c r="D296" s="107"/>
      <c r="E296" s="107"/>
      <c r="F296" s="107"/>
      <c r="G296" s="107"/>
    </row>
    <row r="297" spans="1:7" ht="17.100000000000001" customHeight="1" x14ac:dyDescent="0.6">
      <c r="A297" s="107"/>
      <c r="B297" s="107"/>
      <c r="C297" s="107"/>
      <c r="D297" s="107"/>
      <c r="E297" s="107"/>
      <c r="F297" s="107"/>
      <c r="G297" s="107"/>
    </row>
    <row r="298" spans="1:7" ht="17.100000000000001" customHeight="1" x14ac:dyDescent="0.6">
      <c r="A298" s="107"/>
      <c r="B298" s="107"/>
      <c r="C298" s="107"/>
      <c r="D298" s="107"/>
      <c r="E298" s="107"/>
      <c r="F298" s="107"/>
      <c r="G298" s="107"/>
    </row>
    <row r="299" spans="1:7" ht="17.100000000000001" customHeight="1" x14ac:dyDescent="0.6">
      <c r="A299" s="107"/>
      <c r="B299" s="107"/>
      <c r="C299" s="107"/>
      <c r="D299" s="107"/>
      <c r="E299" s="107"/>
      <c r="F299" s="107"/>
      <c r="G299" s="107"/>
    </row>
    <row r="300" spans="1:7" ht="17.100000000000001" customHeight="1" x14ac:dyDescent="0.6">
      <c r="A300" s="107"/>
      <c r="B300" s="107"/>
      <c r="C300" s="107"/>
      <c r="D300" s="107"/>
      <c r="E300" s="107"/>
      <c r="F300" s="107"/>
      <c r="G300" s="107"/>
    </row>
    <row r="301" spans="1:7" ht="17.100000000000001" customHeight="1" x14ac:dyDescent="0.6">
      <c r="A301" s="107"/>
      <c r="B301" s="107"/>
      <c r="C301" s="107"/>
      <c r="D301" s="107"/>
      <c r="E301" s="107"/>
      <c r="F301" s="107"/>
      <c r="G301" s="107"/>
    </row>
    <row r="302" spans="1:7" ht="17.100000000000001" customHeight="1" x14ac:dyDescent="0.6">
      <c r="A302" s="107"/>
      <c r="B302" s="107"/>
      <c r="C302" s="107"/>
      <c r="D302" s="107"/>
      <c r="E302" s="107"/>
      <c r="F302" s="107"/>
      <c r="G302" s="107"/>
    </row>
    <row r="303" spans="1:7" ht="17.100000000000001" customHeight="1" x14ac:dyDescent="0.6">
      <c r="A303" s="107"/>
      <c r="B303" s="107"/>
      <c r="C303" s="107"/>
      <c r="D303" s="107"/>
      <c r="E303" s="107"/>
      <c r="F303" s="107"/>
      <c r="G303" s="107"/>
    </row>
    <row r="304" spans="1:7" ht="17.100000000000001" customHeight="1" x14ac:dyDescent="0.6">
      <c r="A304" s="107"/>
      <c r="B304" s="107"/>
      <c r="C304" s="107"/>
      <c r="D304" s="107"/>
      <c r="E304" s="107"/>
      <c r="F304" s="107"/>
      <c r="G304" s="107"/>
    </row>
    <row r="305" spans="1:7" ht="17.100000000000001" customHeight="1" x14ac:dyDescent="0.6">
      <c r="A305" s="107"/>
      <c r="B305" s="107"/>
      <c r="C305" s="107"/>
      <c r="D305" s="107"/>
      <c r="E305" s="107"/>
      <c r="F305" s="107"/>
      <c r="G305" s="107"/>
    </row>
    <row r="306" spans="1:7" ht="17.100000000000001" customHeight="1" x14ac:dyDescent="0.6">
      <c r="A306" s="107"/>
      <c r="B306" s="107"/>
      <c r="C306" s="107"/>
      <c r="D306" s="107"/>
      <c r="E306" s="107"/>
      <c r="F306" s="107"/>
      <c r="G306" s="107"/>
    </row>
    <row r="307" spans="1:7" ht="17.100000000000001" customHeight="1" x14ac:dyDescent="0.6">
      <c r="A307" s="107"/>
      <c r="B307" s="107"/>
      <c r="C307" s="107"/>
      <c r="D307" s="107"/>
      <c r="E307" s="107"/>
      <c r="F307" s="107"/>
      <c r="G307" s="107"/>
    </row>
    <row r="308" spans="1:7" ht="17.100000000000001" customHeight="1" x14ac:dyDescent="0.6">
      <c r="A308" s="107"/>
      <c r="B308" s="107"/>
      <c r="C308" s="107"/>
      <c r="D308" s="107"/>
      <c r="E308" s="107"/>
      <c r="F308" s="107"/>
      <c r="G308" s="107"/>
    </row>
    <row r="309" spans="1:7" ht="17.100000000000001" customHeight="1" x14ac:dyDescent="0.6">
      <c r="A309" s="107"/>
      <c r="B309" s="107"/>
      <c r="C309" s="107"/>
      <c r="D309" s="107"/>
      <c r="E309" s="107"/>
      <c r="F309" s="107"/>
      <c r="G309" s="107"/>
    </row>
    <row r="310" spans="1:7" ht="17.100000000000001" customHeight="1" x14ac:dyDescent="0.6">
      <c r="A310" s="107"/>
      <c r="B310" s="107"/>
      <c r="C310" s="107"/>
      <c r="D310" s="107"/>
      <c r="E310" s="107"/>
      <c r="F310" s="107"/>
      <c r="G310" s="107"/>
    </row>
    <row r="311" spans="1:7" ht="17.100000000000001" customHeight="1" x14ac:dyDescent="0.6">
      <c r="A311" s="107"/>
      <c r="B311" s="107"/>
      <c r="C311" s="107"/>
      <c r="D311" s="107"/>
      <c r="E311" s="107"/>
      <c r="F311" s="107"/>
      <c r="G311" s="107"/>
    </row>
    <row r="312" spans="1:7" ht="17.100000000000001" customHeight="1" x14ac:dyDescent="0.6">
      <c r="A312" s="107"/>
      <c r="B312" s="107"/>
      <c r="C312" s="107"/>
      <c r="D312" s="107"/>
      <c r="E312" s="107"/>
      <c r="F312" s="107"/>
      <c r="G312" s="107"/>
    </row>
    <row r="313" spans="1:7" ht="17.100000000000001" customHeight="1" x14ac:dyDescent="0.6">
      <c r="A313" s="107"/>
      <c r="B313" s="107"/>
      <c r="C313" s="107"/>
      <c r="D313" s="107"/>
      <c r="E313" s="107"/>
      <c r="F313" s="107"/>
      <c r="G313" s="107"/>
    </row>
    <row r="314" spans="1:7" ht="17.100000000000001" customHeight="1" x14ac:dyDescent="0.6">
      <c r="A314" s="107"/>
      <c r="B314" s="107"/>
      <c r="C314" s="107"/>
      <c r="D314" s="107"/>
      <c r="E314" s="107"/>
      <c r="F314" s="107"/>
      <c r="G314" s="107"/>
    </row>
    <row r="315" spans="1:7" ht="17.100000000000001" customHeight="1" x14ac:dyDescent="0.6">
      <c r="A315" s="107"/>
      <c r="B315" s="107"/>
      <c r="C315" s="107"/>
      <c r="D315" s="107"/>
      <c r="E315" s="107"/>
      <c r="F315" s="107"/>
      <c r="G315" s="107"/>
    </row>
    <row r="316" spans="1:7" ht="17.100000000000001" customHeight="1" x14ac:dyDescent="0.6">
      <c r="A316" s="107"/>
      <c r="B316" s="107"/>
      <c r="C316" s="107"/>
      <c r="D316" s="107"/>
      <c r="E316" s="107"/>
      <c r="F316" s="107"/>
      <c r="G316" s="107"/>
    </row>
    <row r="317" spans="1:7" ht="17.100000000000001" customHeight="1" x14ac:dyDescent="0.6">
      <c r="A317" s="107"/>
      <c r="B317" s="107"/>
      <c r="C317" s="107"/>
      <c r="D317" s="107"/>
      <c r="E317" s="107"/>
      <c r="F317" s="107"/>
      <c r="G317" s="107"/>
    </row>
    <row r="318" spans="1:7" ht="17.100000000000001" customHeight="1" x14ac:dyDescent="0.6">
      <c r="A318" s="107"/>
      <c r="B318" s="107"/>
      <c r="C318" s="107"/>
      <c r="D318" s="107"/>
      <c r="E318" s="107"/>
      <c r="F318" s="107"/>
      <c r="G318" s="107"/>
    </row>
    <row r="319" spans="1:7" ht="17.100000000000001" customHeight="1" x14ac:dyDescent="0.6">
      <c r="A319" s="107"/>
      <c r="B319" s="107"/>
      <c r="C319" s="107"/>
      <c r="D319" s="107"/>
      <c r="E319" s="107"/>
      <c r="F319" s="107"/>
      <c r="G319" s="107"/>
    </row>
    <row r="320" spans="1:7" ht="17.100000000000001" customHeight="1" x14ac:dyDescent="0.6">
      <c r="A320" s="107"/>
      <c r="B320" s="107"/>
      <c r="C320" s="107"/>
      <c r="D320" s="107"/>
      <c r="E320" s="107"/>
      <c r="F320" s="107"/>
      <c r="G320" s="107"/>
    </row>
    <row r="321" spans="1:7" ht="17.100000000000001" customHeight="1" x14ac:dyDescent="0.6">
      <c r="A321" s="107"/>
      <c r="B321" s="107"/>
      <c r="C321" s="107"/>
      <c r="D321" s="107"/>
      <c r="E321" s="107"/>
      <c r="F321" s="107"/>
      <c r="G321" s="107"/>
    </row>
    <row r="322" spans="1:7" ht="17.100000000000001" customHeight="1" x14ac:dyDescent="0.6">
      <c r="A322" s="107"/>
      <c r="B322" s="107"/>
      <c r="C322" s="107"/>
      <c r="D322" s="107"/>
      <c r="E322" s="107"/>
      <c r="F322" s="107"/>
      <c r="G322" s="107"/>
    </row>
    <row r="323" spans="1:7" ht="17.100000000000001" customHeight="1" x14ac:dyDescent="0.6">
      <c r="A323" s="107"/>
      <c r="B323" s="107"/>
      <c r="C323" s="107"/>
      <c r="D323" s="107"/>
      <c r="E323" s="107"/>
      <c r="F323" s="107"/>
      <c r="G323" s="107"/>
    </row>
    <row r="324" spans="1:7" ht="17.100000000000001" customHeight="1" x14ac:dyDescent="0.6">
      <c r="A324" s="107"/>
      <c r="B324" s="107"/>
      <c r="C324" s="107"/>
      <c r="D324" s="107"/>
      <c r="E324" s="107"/>
      <c r="F324" s="107"/>
      <c r="G324" s="107"/>
    </row>
    <row r="325" spans="1:7" ht="17.100000000000001" customHeight="1" x14ac:dyDescent="0.6">
      <c r="A325" s="107"/>
      <c r="B325" s="107"/>
      <c r="C325" s="107"/>
      <c r="D325" s="107"/>
      <c r="E325" s="107"/>
      <c r="F325" s="107"/>
      <c r="G325" s="107"/>
    </row>
    <row r="326" spans="1:7" ht="17.100000000000001" customHeight="1" x14ac:dyDescent="0.6">
      <c r="A326" s="107"/>
      <c r="B326" s="107"/>
      <c r="C326" s="107"/>
      <c r="D326" s="107"/>
      <c r="E326" s="107"/>
      <c r="F326" s="107"/>
      <c r="G326" s="107"/>
    </row>
    <row r="327" spans="1:7" ht="17.100000000000001" customHeight="1" x14ac:dyDescent="0.6">
      <c r="A327" s="107"/>
      <c r="B327" s="107"/>
      <c r="C327" s="107"/>
      <c r="D327" s="107"/>
      <c r="E327" s="107"/>
      <c r="F327" s="107"/>
      <c r="G327" s="107"/>
    </row>
    <row r="328" spans="1:7" ht="17.100000000000001" customHeight="1" x14ac:dyDescent="0.6">
      <c r="A328" s="107"/>
      <c r="B328" s="107"/>
      <c r="C328" s="107"/>
      <c r="D328" s="107"/>
      <c r="E328" s="107"/>
      <c r="F328" s="107"/>
      <c r="G328" s="107"/>
    </row>
    <row r="329" spans="1:7" ht="17.100000000000001" customHeight="1" x14ac:dyDescent="0.6">
      <c r="A329" s="107"/>
      <c r="B329" s="107"/>
      <c r="C329" s="107"/>
      <c r="D329" s="107"/>
      <c r="E329" s="107"/>
      <c r="F329" s="107"/>
      <c r="G329" s="107"/>
    </row>
    <row r="330" spans="1:7" ht="17.100000000000001" customHeight="1" x14ac:dyDescent="0.6">
      <c r="A330" s="107"/>
      <c r="B330" s="107"/>
      <c r="C330" s="107"/>
      <c r="D330" s="107"/>
      <c r="E330" s="107"/>
      <c r="F330" s="107"/>
      <c r="G330" s="107"/>
    </row>
    <row r="331" spans="1:7" ht="17.100000000000001" customHeight="1" x14ac:dyDescent="0.6">
      <c r="A331" s="107"/>
      <c r="B331" s="107"/>
      <c r="C331" s="107"/>
      <c r="D331" s="107"/>
      <c r="E331" s="107"/>
      <c r="F331" s="107"/>
      <c r="G331" s="107"/>
    </row>
    <row r="332" spans="1:7" ht="17.100000000000001" customHeight="1" x14ac:dyDescent="0.6">
      <c r="A332" s="107"/>
      <c r="B332" s="107"/>
      <c r="C332" s="107"/>
      <c r="D332" s="107"/>
      <c r="E332" s="107"/>
      <c r="F332" s="107"/>
      <c r="G332" s="107"/>
    </row>
    <row r="333" spans="1:7" ht="17.100000000000001" customHeight="1" x14ac:dyDescent="0.6">
      <c r="A333" s="107"/>
      <c r="B333" s="107"/>
      <c r="C333" s="107"/>
      <c r="D333" s="107"/>
      <c r="E333" s="107"/>
      <c r="F333" s="107"/>
      <c r="G333" s="107"/>
    </row>
    <row r="334" spans="1:7" ht="17.100000000000001" customHeight="1" x14ac:dyDescent="0.6">
      <c r="A334" s="107"/>
      <c r="B334" s="107"/>
      <c r="C334" s="107"/>
      <c r="D334" s="107"/>
      <c r="E334" s="107"/>
      <c r="F334" s="107"/>
      <c r="G334" s="107"/>
    </row>
    <row r="335" spans="1:7" ht="17.100000000000001" customHeight="1" x14ac:dyDescent="0.6">
      <c r="A335" s="107"/>
      <c r="B335" s="107"/>
      <c r="C335" s="107"/>
      <c r="D335" s="107"/>
      <c r="E335" s="107"/>
      <c r="F335" s="107"/>
      <c r="G335" s="107"/>
    </row>
    <row r="336" spans="1:7" ht="17.100000000000001" customHeight="1" x14ac:dyDescent="0.6">
      <c r="A336" s="107"/>
      <c r="B336" s="107"/>
      <c r="C336" s="107"/>
      <c r="D336" s="107"/>
      <c r="E336" s="107"/>
      <c r="F336" s="107"/>
      <c r="G336" s="107"/>
    </row>
    <row r="337" spans="1:7" ht="17.100000000000001" customHeight="1" x14ac:dyDescent="0.6">
      <c r="A337" s="107"/>
      <c r="B337" s="107"/>
      <c r="C337" s="107"/>
      <c r="D337" s="107"/>
      <c r="E337" s="107"/>
      <c r="F337" s="107"/>
      <c r="G337" s="107"/>
    </row>
    <row r="338" spans="1:7" ht="17.100000000000001" customHeight="1" x14ac:dyDescent="0.6">
      <c r="A338" s="107"/>
      <c r="B338" s="107"/>
      <c r="C338" s="107"/>
      <c r="D338" s="107"/>
      <c r="E338" s="107"/>
      <c r="F338" s="107"/>
      <c r="G338" s="107"/>
    </row>
    <row r="339" spans="1:7" ht="17.100000000000001" customHeight="1" x14ac:dyDescent="0.6">
      <c r="A339" s="107"/>
      <c r="B339" s="107"/>
      <c r="C339" s="107"/>
      <c r="D339" s="107"/>
      <c r="E339" s="107"/>
      <c r="F339" s="107"/>
      <c r="G339" s="107"/>
    </row>
    <row r="340" spans="1:7" ht="17.100000000000001" customHeight="1" x14ac:dyDescent="0.6">
      <c r="A340" s="107"/>
      <c r="B340" s="107"/>
      <c r="C340" s="107"/>
      <c r="D340" s="107"/>
      <c r="E340" s="107"/>
      <c r="F340" s="107"/>
      <c r="G340" s="107"/>
    </row>
    <row r="341" spans="1:7" ht="17.100000000000001" customHeight="1" x14ac:dyDescent="0.6">
      <c r="A341" s="107"/>
      <c r="B341" s="107"/>
      <c r="C341" s="107"/>
      <c r="D341" s="107"/>
      <c r="E341" s="107"/>
      <c r="F341" s="107"/>
      <c r="G341" s="107"/>
    </row>
    <row r="342" spans="1:7" ht="17.100000000000001" customHeight="1" x14ac:dyDescent="0.6">
      <c r="A342" s="107"/>
      <c r="B342" s="107"/>
      <c r="C342" s="107"/>
      <c r="D342" s="107"/>
      <c r="E342" s="107"/>
      <c r="F342" s="107"/>
      <c r="G342" s="107"/>
    </row>
    <row r="343" spans="1:7" ht="17.100000000000001" customHeight="1" x14ac:dyDescent="0.6">
      <c r="A343" s="107"/>
      <c r="B343" s="107"/>
      <c r="C343" s="107"/>
      <c r="D343" s="107"/>
      <c r="E343" s="107"/>
      <c r="F343" s="107"/>
      <c r="G343" s="107"/>
    </row>
    <row r="344" spans="1:7" ht="17.100000000000001" customHeight="1" x14ac:dyDescent="0.6">
      <c r="A344" s="107"/>
      <c r="B344" s="107"/>
      <c r="C344" s="107"/>
      <c r="D344" s="107"/>
      <c r="E344" s="107"/>
      <c r="F344" s="107"/>
      <c r="G344" s="107"/>
    </row>
    <row r="345" spans="1:7" ht="17.100000000000001" customHeight="1" x14ac:dyDescent="0.6">
      <c r="A345" s="107"/>
      <c r="B345" s="107"/>
      <c r="C345" s="107"/>
      <c r="D345" s="107"/>
      <c r="E345" s="107"/>
      <c r="F345" s="107"/>
      <c r="G345" s="107"/>
    </row>
    <row r="346" spans="1:7" ht="17.100000000000001" customHeight="1" x14ac:dyDescent="0.6">
      <c r="A346" s="107"/>
      <c r="B346" s="107"/>
      <c r="C346" s="107"/>
      <c r="D346" s="107"/>
      <c r="E346" s="107"/>
      <c r="F346" s="107"/>
      <c r="G346" s="107"/>
    </row>
    <row r="347" spans="1:7" ht="17.100000000000001" customHeight="1" x14ac:dyDescent="0.6">
      <c r="A347" s="107"/>
      <c r="B347" s="107"/>
      <c r="C347" s="107"/>
      <c r="D347" s="107"/>
      <c r="E347" s="107"/>
      <c r="F347" s="107"/>
      <c r="G347" s="107"/>
    </row>
    <row r="348" spans="1:7" ht="17.100000000000001" customHeight="1" x14ac:dyDescent="0.6">
      <c r="A348" s="107"/>
      <c r="B348" s="107"/>
      <c r="C348" s="107"/>
      <c r="D348" s="107"/>
      <c r="E348" s="107"/>
      <c r="F348" s="107"/>
      <c r="G348" s="107"/>
    </row>
    <row r="349" spans="1:7" ht="17.100000000000001" customHeight="1" x14ac:dyDescent="0.6">
      <c r="A349" s="107"/>
      <c r="B349" s="107"/>
      <c r="C349" s="107"/>
      <c r="D349" s="107"/>
      <c r="E349" s="107"/>
      <c r="F349" s="107"/>
      <c r="G349" s="107"/>
    </row>
    <row r="350" spans="1:7" ht="17.100000000000001" customHeight="1" x14ac:dyDescent="0.6">
      <c r="A350" s="107"/>
      <c r="B350" s="107"/>
      <c r="C350" s="107"/>
      <c r="D350" s="107"/>
      <c r="E350" s="107"/>
      <c r="F350" s="107"/>
      <c r="G350" s="107"/>
    </row>
    <row r="351" spans="1:7" ht="17.100000000000001" customHeight="1" x14ac:dyDescent="0.6">
      <c r="A351" s="107"/>
      <c r="B351" s="107"/>
      <c r="C351" s="107"/>
      <c r="D351" s="107"/>
      <c r="E351" s="107"/>
      <c r="F351" s="107"/>
      <c r="G351" s="107"/>
    </row>
    <row r="352" spans="1:7" ht="17.100000000000001" customHeight="1" x14ac:dyDescent="0.6">
      <c r="A352" s="107"/>
      <c r="B352" s="107"/>
      <c r="C352" s="107"/>
      <c r="D352" s="107"/>
      <c r="E352" s="107"/>
      <c r="F352" s="107"/>
      <c r="G352" s="107"/>
    </row>
    <row r="353" spans="1:7" ht="17.100000000000001" customHeight="1" x14ac:dyDescent="0.6">
      <c r="A353" s="107"/>
      <c r="B353" s="107"/>
      <c r="C353" s="107"/>
      <c r="D353" s="107"/>
      <c r="E353" s="107"/>
      <c r="F353" s="107"/>
      <c r="G353" s="107"/>
    </row>
    <row r="354" spans="1:7" ht="17.100000000000001" customHeight="1" x14ac:dyDescent="0.6">
      <c r="A354" s="107"/>
      <c r="B354" s="107"/>
      <c r="C354" s="107"/>
      <c r="D354" s="107"/>
      <c r="E354" s="107"/>
      <c r="F354" s="107"/>
      <c r="G354" s="107"/>
    </row>
    <row r="355" spans="1:7" ht="17.100000000000001" customHeight="1" x14ac:dyDescent="0.6">
      <c r="A355" s="107"/>
      <c r="B355" s="107"/>
      <c r="C355" s="107"/>
      <c r="D355" s="107"/>
      <c r="E355" s="107"/>
      <c r="F355" s="107"/>
      <c r="G355" s="107"/>
    </row>
    <row r="356" spans="1:7" ht="17.100000000000001" customHeight="1" x14ac:dyDescent="0.6">
      <c r="A356" s="107"/>
      <c r="B356" s="107"/>
      <c r="C356" s="107"/>
      <c r="D356" s="107"/>
      <c r="E356" s="107"/>
      <c r="F356" s="107"/>
      <c r="G356" s="107"/>
    </row>
    <row r="357" spans="1:7" ht="17.100000000000001" customHeight="1" x14ac:dyDescent="0.6">
      <c r="A357" s="107"/>
      <c r="B357" s="107"/>
      <c r="C357" s="107"/>
      <c r="D357" s="107"/>
      <c r="E357" s="107"/>
      <c r="F357" s="107"/>
      <c r="G357" s="107"/>
    </row>
    <row r="358" spans="1:7" ht="17.100000000000001" customHeight="1" x14ac:dyDescent="0.6">
      <c r="A358" s="107"/>
      <c r="B358" s="107"/>
      <c r="C358" s="107"/>
      <c r="D358" s="107"/>
      <c r="E358" s="107"/>
      <c r="F358" s="107"/>
      <c r="G358" s="107"/>
    </row>
    <row r="359" spans="1:7" ht="17.100000000000001" customHeight="1" x14ac:dyDescent="0.6">
      <c r="A359" s="107"/>
      <c r="B359" s="107"/>
      <c r="C359" s="107"/>
      <c r="D359" s="107"/>
      <c r="E359" s="107"/>
      <c r="F359" s="107"/>
      <c r="G359" s="107"/>
    </row>
    <row r="360" spans="1:7" ht="17.100000000000001" customHeight="1" x14ac:dyDescent="0.6">
      <c r="A360" s="107"/>
      <c r="B360" s="107"/>
      <c r="C360" s="107"/>
      <c r="D360" s="107"/>
      <c r="E360" s="107"/>
      <c r="F360" s="107"/>
      <c r="G360" s="107"/>
    </row>
    <row r="361" spans="1:7" ht="17.100000000000001" customHeight="1" x14ac:dyDescent="0.6">
      <c r="A361" s="107"/>
      <c r="B361" s="107"/>
      <c r="C361" s="107"/>
      <c r="D361" s="107"/>
      <c r="E361" s="107"/>
      <c r="F361" s="107"/>
      <c r="G361" s="107"/>
    </row>
    <row r="362" spans="1:7" ht="17.100000000000001" customHeight="1" x14ac:dyDescent="0.6">
      <c r="A362" s="107"/>
      <c r="B362" s="107"/>
      <c r="C362" s="107"/>
      <c r="D362" s="107"/>
      <c r="E362" s="107"/>
      <c r="F362" s="107"/>
      <c r="G362" s="107"/>
    </row>
    <row r="363" spans="1:7" ht="17.100000000000001" customHeight="1" x14ac:dyDescent="0.6">
      <c r="A363" s="107"/>
      <c r="B363" s="107"/>
      <c r="C363" s="107"/>
      <c r="D363" s="107"/>
      <c r="E363" s="107"/>
      <c r="F363" s="107"/>
      <c r="G363" s="107"/>
    </row>
    <row r="364" spans="1:7" ht="17.100000000000001" customHeight="1" x14ac:dyDescent="0.6">
      <c r="A364" s="107"/>
      <c r="B364" s="107"/>
      <c r="C364" s="107"/>
      <c r="D364" s="107"/>
      <c r="E364" s="107"/>
      <c r="F364" s="107"/>
      <c r="G364" s="107"/>
    </row>
    <row r="365" spans="1:7" ht="17.100000000000001" customHeight="1" x14ac:dyDescent="0.6">
      <c r="A365" s="107"/>
      <c r="B365" s="107"/>
      <c r="C365" s="107"/>
      <c r="D365" s="107"/>
      <c r="E365" s="107"/>
      <c r="F365" s="107"/>
      <c r="G365" s="107"/>
    </row>
    <row r="366" spans="1:7" ht="17.100000000000001" customHeight="1" x14ac:dyDescent="0.6">
      <c r="A366" s="107"/>
      <c r="B366" s="107"/>
      <c r="C366" s="107"/>
      <c r="D366" s="107"/>
      <c r="E366" s="107"/>
      <c r="F366" s="107"/>
      <c r="G366" s="107"/>
    </row>
    <row r="367" spans="1:7" ht="17.100000000000001" customHeight="1" x14ac:dyDescent="0.6">
      <c r="A367" s="107"/>
      <c r="B367" s="107"/>
      <c r="C367" s="107"/>
      <c r="D367" s="107"/>
      <c r="E367" s="107"/>
      <c r="F367" s="107"/>
      <c r="G367" s="107"/>
    </row>
    <row r="368" spans="1:7" ht="17.100000000000001" customHeight="1" x14ac:dyDescent="0.6">
      <c r="A368" s="107"/>
      <c r="B368" s="107"/>
      <c r="C368" s="107"/>
      <c r="D368" s="107"/>
      <c r="E368" s="107"/>
      <c r="F368" s="107"/>
      <c r="G368" s="107"/>
    </row>
    <row r="369" spans="1:7" ht="17.100000000000001" customHeight="1" x14ac:dyDescent="0.6">
      <c r="A369" s="107"/>
      <c r="B369" s="107"/>
      <c r="C369" s="107"/>
      <c r="D369" s="107"/>
      <c r="E369" s="107"/>
      <c r="F369" s="107"/>
      <c r="G369" s="107"/>
    </row>
    <row r="370" spans="1:7" ht="17.100000000000001" customHeight="1" x14ac:dyDescent="0.6">
      <c r="A370" s="107"/>
      <c r="B370" s="107"/>
      <c r="C370" s="107"/>
      <c r="D370" s="107"/>
      <c r="E370" s="107"/>
      <c r="F370" s="107"/>
      <c r="G370" s="107"/>
    </row>
    <row r="371" spans="1:7" ht="17.100000000000001" customHeight="1" x14ac:dyDescent="0.6">
      <c r="A371" s="107"/>
      <c r="B371" s="107"/>
      <c r="C371" s="107"/>
      <c r="D371" s="107"/>
      <c r="E371" s="107"/>
      <c r="F371" s="107"/>
      <c r="G371" s="107"/>
    </row>
    <row r="372" spans="1:7" ht="17.100000000000001" customHeight="1" x14ac:dyDescent="0.6">
      <c r="A372" s="107"/>
      <c r="B372" s="107"/>
      <c r="C372" s="107"/>
      <c r="D372" s="107"/>
      <c r="E372" s="107"/>
      <c r="F372" s="107"/>
      <c r="G372" s="107"/>
    </row>
    <row r="373" spans="1:7" ht="17.100000000000001" customHeight="1" x14ac:dyDescent="0.6">
      <c r="A373" s="107"/>
      <c r="B373" s="107"/>
      <c r="C373" s="107"/>
      <c r="D373" s="107"/>
      <c r="E373" s="107"/>
      <c r="F373" s="107"/>
      <c r="G373" s="107"/>
    </row>
    <row r="374" spans="1:7" ht="17.100000000000001" customHeight="1" x14ac:dyDescent="0.6">
      <c r="A374" s="107"/>
      <c r="B374" s="107"/>
      <c r="C374" s="107"/>
      <c r="D374" s="107"/>
      <c r="E374" s="107"/>
      <c r="F374" s="107"/>
      <c r="G374" s="107"/>
    </row>
    <row r="375" spans="1:7" ht="17.100000000000001" customHeight="1" x14ac:dyDescent="0.6">
      <c r="A375" s="107"/>
      <c r="B375" s="107"/>
      <c r="C375" s="107"/>
      <c r="D375" s="107"/>
      <c r="E375" s="107"/>
      <c r="F375" s="107"/>
      <c r="G375" s="107"/>
    </row>
    <row r="376" spans="1:7" ht="17.100000000000001" customHeight="1" x14ac:dyDescent="0.6">
      <c r="A376" s="107"/>
      <c r="B376" s="107"/>
      <c r="C376" s="107"/>
      <c r="D376" s="107"/>
      <c r="E376" s="107"/>
      <c r="F376" s="107"/>
      <c r="G376" s="107"/>
    </row>
    <row r="377" spans="1:7" ht="17.100000000000001" customHeight="1" x14ac:dyDescent="0.6">
      <c r="A377" s="107"/>
      <c r="B377" s="107"/>
      <c r="C377" s="107"/>
      <c r="D377" s="107"/>
      <c r="E377" s="107"/>
      <c r="F377" s="107"/>
      <c r="G377" s="107"/>
    </row>
    <row r="378" spans="1:7" ht="17.100000000000001" customHeight="1" x14ac:dyDescent="0.6">
      <c r="A378" s="107"/>
      <c r="B378" s="107"/>
      <c r="C378" s="107"/>
      <c r="D378" s="107"/>
      <c r="E378" s="107"/>
      <c r="F378" s="107"/>
      <c r="G378" s="107"/>
    </row>
    <row r="379" spans="1:7" ht="17.100000000000001" customHeight="1" x14ac:dyDescent="0.6">
      <c r="A379" s="107"/>
      <c r="B379" s="107"/>
      <c r="C379" s="107"/>
      <c r="D379" s="107"/>
      <c r="E379" s="107"/>
      <c r="F379" s="107"/>
      <c r="G379" s="107"/>
    </row>
    <row r="380" spans="1:7" ht="17.100000000000001" customHeight="1" x14ac:dyDescent="0.6">
      <c r="A380" s="107"/>
      <c r="B380" s="107"/>
      <c r="C380" s="107"/>
      <c r="D380" s="107"/>
      <c r="E380" s="107"/>
      <c r="F380" s="107"/>
      <c r="G380" s="107"/>
    </row>
    <row r="381" spans="1:7" ht="17.100000000000001" customHeight="1" x14ac:dyDescent="0.6">
      <c r="A381" s="107"/>
      <c r="B381" s="107"/>
      <c r="C381" s="107"/>
      <c r="D381" s="107"/>
      <c r="E381" s="107"/>
      <c r="F381" s="107"/>
      <c r="G381" s="107"/>
    </row>
    <row r="382" spans="1:7" ht="17.100000000000001" customHeight="1" x14ac:dyDescent="0.6">
      <c r="A382" s="107"/>
      <c r="B382" s="107"/>
      <c r="C382" s="107"/>
      <c r="D382" s="107"/>
      <c r="E382" s="107"/>
      <c r="F382" s="107"/>
      <c r="G382" s="107"/>
    </row>
    <row r="383" spans="1:7" ht="17.100000000000001" customHeight="1" x14ac:dyDescent="0.6">
      <c r="A383" s="107"/>
      <c r="B383" s="107"/>
      <c r="C383" s="107"/>
      <c r="D383" s="107"/>
      <c r="E383" s="107"/>
      <c r="F383" s="107"/>
      <c r="G383" s="107"/>
    </row>
    <row r="384" spans="1:7" ht="17.100000000000001" customHeight="1" x14ac:dyDescent="0.6">
      <c r="A384" s="107"/>
      <c r="B384" s="107"/>
      <c r="C384" s="107"/>
      <c r="D384" s="107"/>
      <c r="E384" s="107"/>
      <c r="F384" s="107"/>
      <c r="G384" s="107"/>
    </row>
    <row r="385" spans="1:7" ht="17.100000000000001" customHeight="1" x14ac:dyDescent="0.6">
      <c r="A385" s="107"/>
      <c r="B385" s="107"/>
      <c r="C385" s="107"/>
      <c r="D385" s="107"/>
      <c r="E385" s="107"/>
      <c r="F385" s="107"/>
      <c r="G385" s="107"/>
    </row>
    <row r="386" spans="1:7" ht="17.100000000000001" customHeight="1" x14ac:dyDescent="0.6">
      <c r="A386" s="107"/>
      <c r="B386" s="107"/>
      <c r="C386" s="107"/>
      <c r="D386" s="107"/>
      <c r="E386" s="107"/>
      <c r="F386" s="107"/>
      <c r="G386" s="107"/>
    </row>
    <row r="387" spans="1:7" ht="17.100000000000001" customHeight="1" x14ac:dyDescent="0.6">
      <c r="A387" s="107"/>
      <c r="B387" s="107"/>
      <c r="C387" s="107"/>
      <c r="D387" s="107"/>
      <c r="E387" s="107"/>
      <c r="F387" s="107"/>
      <c r="G387" s="107"/>
    </row>
    <row r="388" spans="1:7" ht="17.100000000000001" customHeight="1" x14ac:dyDescent="0.6">
      <c r="A388" s="107"/>
      <c r="B388" s="107"/>
      <c r="C388" s="107"/>
      <c r="D388" s="107"/>
      <c r="E388" s="107"/>
      <c r="F388" s="107"/>
      <c r="G388" s="107"/>
    </row>
    <row r="389" spans="1:7" ht="17.100000000000001" customHeight="1" x14ac:dyDescent="0.6">
      <c r="A389" s="107"/>
      <c r="B389" s="107"/>
      <c r="C389" s="107"/>
      <c r="D389" s="107"/>
      <c r="E389" s="107"/>
      <c r="F389" s="107"/>
      <c r="G389" s="107"/>
    </row>
    <row r="390" spans="1:7" ht="17.100000000000001" customHeight="1" x14ac:dyDescent="0.6">
      <c r="A390" s="107"/>
      <c r="B390" s="107"/>
      <c r="C390" s="107"/>
      <c r="D390" s="107"/>
      <c r="E390" s="107"/>
      <c r="F390" s="107"/>
      <c r="G390" s="107"/>
    </row>
    <row r="391" spans="1:7" ht="17.100000000000001" customHeight="1" x14ac:dyDescent="0.6">
      <c r="A391" s="107"/>
      <c r="B391" s="107"/>
      <c r="C391" s="107"/>
      <c r="D391" s="107"/>
      <c r="E391" s="107"/>
      <c r="F391" s="107"/>
      <c r="G391" s="107"/>
    </row>
    <row r="392" spans="1:7" ht="17.100000000000001" customHeight="1" x14ac:dyDescent="0.6">
      <c r="A392" s="107"/>
      <c r="B392" s="107"/>
      <c r="C392" s="107"/>
      <c r="D392" s="107"/>
      <c r="E392" s="107"/>
      <c r="F392" s="107"/>
      <c r="G392" s="107"/>
    </row>
    <row r="393" spans="1:7" ht="17.100000000000001" customHeight="1" x14ac:dyDescent="0.6">
      <c r="A393" s="107"/>
      <c r="B393" s="107"/>
      <c r="C393" s="107"/>
      <c r="D393" s="107"/>
      <c r="E393" s="107"/>
      <c r="F393" s="107"/>
      <c r="G393" s="107"/>
    </row>
    <row r="394" spans="1:7" ht="17.100000000000001" customHeight="1" x14ac:dyDescent="0.6">
      <c r="A394" s="107"/>
      <c r="B394" s="107"/>
      <c r="C394" s="107"/>
      <c r="D394" s="107"/>
      <c r="E394" s="107"/>
      <c r="F394" s="107"/>
      <c r="G394" s="107"/>
    </row>
    <row r="395" spans="1:7" ht="17.100000000000001" customHeight="1" x14ac:dyDescent="0.6">
      <c r="A395" s="107"/>
      <c r="B395" s="107"/>
      <c r="C395" s="107"/>
      <c r="D395" s="107"/>
      <c r="E395" s="107"/>
      <c r="F395" s="107"/>
      <c r="G395" s="107"/>
    </row>
    <row r="396" spans="1:7" ht="17.100000000000001" customHeight="1" x14ac:dyDescent="0.6">
      <c r="A396" s="107"/>
      <c r="B396" s="107"/>
      <c r="C396" s="107"/>
      <c r="D396" s="107"/>
      <c r="E396" s="107"/>
      <c r="F396" s="107"/>
      <c r="G396" s="107"/>
    </row>
    <row r="397" spans="1:7" ht="17.100000000000001" customHeight="1" x14ac:dyDescent="0.6">
      <c r="A397" s="107"/>
      <c r="B397" s="107"/>
      <c r="C397" s="107"/>
      <c r="D397" s="107"/>
      <c r="E397" s="107"/>
      <c r="F397" s="107"/>
      <c r="G397" s="107"/>
    </row>
    <row r="398" spans="1:7" ht="17.100000000000001" customHeight="1" x14ac:dyDescent="0.6">
      <c r="A398" s="107"/>
      <c r="B398" s="107"/>
      <c r="C398" s="107"/>
      <c r="D398" s="107"/>
      <c r="E398" s="107"/>
      <c r="F398" s="107"/>
      <c r="G398" s="107"/>
    </row>
    <row r="399" spans="1:7" ht="17.100000000000001" customHeight="1" x14ac:dyDescent="0.6">
      <c r="A399" s="107"/>
      <c r="B399" s="107"/>
      <c r="C399" s="107"/>
      <c r="D399" s="107"/>
      <c r="E399" s="107"/>
      <c r="F399" s="107"/>
      <c r="G399" s="107"/>
    </row>
    <row r="400" spans="1:7" ht="17.100000000000001" customHeight="1" x14ac:dyDescent="0.6">
      <c r="A400" s="107"/>
      <c r="B400" s="107"/>
      <c r="C400" s="107"/>
      <c r="D400" s="107"/>
      <c r="E400" s="107"/>
      <c r="F400" s="107"/>
      <c r="G400" s="107"/>
    </row>
    <row r="401" spans="1:7" ht="17.100000000000001" customHeight="1" x14ac:dyDescent="0.6">
      <c r="A401" s="107"/>
      <c r="B401" s="107"/>
      <c r="C401" s="107"/>
      <c r="D401" s="107"/>
      <c r="E401" s="107"/>
      <c r="F401" s="107"/>
      <c r="G401" s="107"/>
    </row>
    <row r="402" spans="1:7" ht="17.100000000000001" customHeight="1" x14ac:dyDescent="0.6">
      <c r="A402" s="107"/>
      <c r="B402" s="107"/>
      <c r="C402" s="107"/>
      <c r="D402" s="107"/>
      <c r="E402" s="107"/>
      <c r="F402" s="107"/>
      <c r="G402" s="107"/>
    </row>
    <row r="403" spans="1:7" ht="17.100000000000001" customHeight="1" x14ac:dyDescent="0.6">
      <c r="A403" s="107"/>
      <c r="B403" s="107"/>
      <c r="C403" s="107"/>
      <c r="D403" s="107"/>
      <c r="E403" s="107"/>
      <c r="F403" s="107"/>
      <c r="G403" s="107"/>
    </row>
    <row r="404" spans="1:7" ht="17.100000000000001" customHeight="1" x14ac:dyDescent="0.6">
      <c r="A404" s="107"/>
      <c r="B404" s="107"/>
      <c r="C404" s="107"/>
      <c r="D404" s="107"/>
      <c r="E404" s="107"/>
      <c r="F404" s="107"/>
      <c r="G404" s="107"/>
    </row>
    <row r="405" spans="1:7" ht="17.100000000000001" customHeight="1" x14ac:dyDescent="0.6">
      <c r="A405" s="107"/>
      <c r="B405" s="107"/>
      <c r="C405" s="107"/>
      <c r="D405" s="107"/>
      <c r="E405" s="107"/>
      <c r="F405" s="107"/>
      <c r="G405" s="107"/>
    </row>
    <row r="406" spans="1:7" ht="17.100000000000001" customHeight="1" x14ac:dyDescent="0.6">
      <c r="A406" s="107"/>
      <c r="B406" s="107"/>
      <c r="C406" s="107"/>
      <c r="D406" s="107"/>
      <c r="E406" s="107"/>
      <c r="F406" s="107"/>
      <c r="G406" s="107"/>
    </row>
    <row r="407" spans="1:7" ht="17.100000000000001" customHeight="1" x14ac:dyDescent="0.6">
      <c r="A407" s="107"/>
      <c r="B407" s="107"/>
      <c r="C407" s="107"/>
      <c r="D407" s="107"/>
      <c r="E407" s="107"/>
      <c r="F407" s="107"/>
      <c r="G407" s="107"/>
    </row>
    <row r="408" spans="1:7" ht="17.100000000000001" customHeight="1" x14ac:dyDescent="0.6">
      <c r="A408" s="107"/>
      <c r="B408" s="107"/>
      <c r="C408" s="107"/>
      <c r="D408" s="107"/>
      <c r="E408" s="107"/>
      <c r="F408" s="107"/>
      <c r="G408" s="107"/>
    </row>
    <row r="409" spans="1:7" ht="17.100000000000001" customHeight="1" x14ac:dyDescent="0.6">
      <c r="A409" s="107"/>
      <c r="B409" s="107"/>
      <c r="C409" s="107"/>
      <c r="D409" s="107"/>
      <c r="E409" s="107"/>
      <c r="F409" s="107"/>
      <c r="G409" s="107"/>
    </row>
    <row r="410" spans="1:7" ht="17.100000000000001" customHeight="1" x14ac:dyDescent="0.6">
      <c r="A410" s="107"/>
      <c r="B410" s="107"/>
      <c r="C410" s="107"/>
      <c r="D410" s="107"/>
      <c r="E410" s="107"/>
      <c r="F410" s="107"/>
      <c r="G410" s="107"/>
    </row>
    <row r="411" spans="1:7" ht="17.100000000000001" customHeight="1" x14ac:dyDescent="0.6">
      <c r="A411" s="107"/>
      <c r="B411" s="107"/>
      <c r="C411" s="107"/>
      <c r="D411" s="107"/>
      <c r="E411" s="107"/>
      <c r="F411" s="107"/>
      <c r="G411" s="107"/>
    </row>
    <row r="412" spans="1:7" ht="17.100000000000001" customHeight="1" x14ac:dyDescent="0.6">
      <c r="A412" s="107"/>
      <c r="B412" s="107"/>
      <c r="C412" s="107"/>
      <c r="D412" s="107"/>
      <c r="E412" s="107"/>
      <c r="F412" s="107"/>
      <c r="G412" s="107"/>
    </row>
    <row r="413" spans="1:7" ht="17.100000000000001" customHeight="1" x14ac:dyDescent="0.6">
      <c r="A413" s="107"/>
      <c r="B413" s="107"/>
      <c r="C413" s="107"/>
      <c r="D413" s="107"/>
      <c r="E413" s="107"/>
      <c r="F413" s="107"/>
      <c r="G413" s="107"/>
    </row>
    <row r="414" spans="1:7" ht="17.100000000000001" customHeight="1" x14ac:dyDescent="0.6">
      <c r="A414" s="107"/>
      <c r="B414" s="107"/>
      <c r="C414" s="107"/>
      <c r="D414" s="107"/>
      <c r="E414" s="107"/>
      <c r="F414" s="107"/>
      <c r="G414" s="107"/>
    </row>
    <row r="415" spans="1:7" ht="17.100000000000001" customHeight="1" x14ac:dyDescent="0.6">
      <c r="A415" s="107"/>
      <c r="B415" s="107"/>
      <c r="C415" s="107"/>
      <c r="D415" s="107"/>
      <c r="E415" s="107"/>
      <c r="F415" s="107"/>
      <c r="G415" s="107"/>
    </row>
    <row r="416" spans="1:7" ht="17.100000000000001" customHeight="1" x14ac:dyDescent="0.6">
      <c r="A416" s="107"/>
      <c r="B416" s="107"/>
      <c r="C416" s="107"/>
      <c r="D416" s="107"/>
      <c r="E416" s="107"/>
      <c r="F416" s="107"/>
      <c r="G416" s="107"/>
    </row>
    <row r="417" spans="1:7" ht="17.100000000000001" customHeight="1" x14ac:dyDescent="0.6">
      <c r="A417" s="107"/>
      <c r="B417" s="107"/>
      <c r="C417" s="107"/>
      <c r="D417" s="107"/>
      <c r="E417" s="107"/>
      <c r="F417" s="107"/>
      <c r="G417" s="107"/>
    </row>
    <row r="418" spans="1:7" ht="17.100000000000001" customHeight="1" x14ac:dyDescent="0.6">
      <c r="A418" s="107"/>
      <c r="B418" s="107"/>
      <c r="C418" s="107"/>
      <c r="D418" s="107"/>
      <c r="E418" s="107"/>
      <c r="F418" s="107"/>
      <c r="G418" s="107"/>
    </row>
    <row r="419" spans="1:7" ht="17.100000000000001" customHeight="1" x14ac:dyDescent="0.6">
      <c r="A419" s="107"/>
      <c r="B419" s="107"/>
      <c r="C419" s="107"/>
      <c r="D419" s="107"/>
      <c r="E419" s="107"/>
      <c r="F419" s="107"/>
      <c r="G419" s="107"/>
    </row>
    <row r="420" spans="1:7" ht="17.100000000000001" customHeight="1" x14ac:dyDescent="0.6">
      <c r="A420" s="107"/>
      <c r="B420" s="107"/>
      <c r="C420" s="107"/>
      <c r="D420" s="107"/>
      <c r="E420" s="107"/>
      <c r="F420" s="107"/>
      <c r="G420" s="107"/>
    </row>
    <row r="421" spans="1:7" ht="17.100000000000001" customHeight="1" x14ac:dyDescent="0.6">
      <c r="A421" s="107"/>
      <c r="B421" s="107"/>
      <c r="C421" s="107"/>
      <c r="D421" s="107"/>
      <c r="E421" s="107"/>
      <c r="F421" s="107"/>
      <c r="G421" s="107"/>
    </row>
    <row r="422" spans="1:7" ht="17.100000000000001" customHeight="1" x14ac:dyDescent="0.6">
      <c r="A422" s="107"/>
      <c r="B422" s="107"/>
      <c r="C422" s="107"/>
      <c r="D422" s="107"/>
      <c r="E422" s="107"/>
      <c r="F422" s="107"/>
      <c r="G422" s="107"/>
    </row>
    <row r="423" spans="1:7" ht="17.100000000000001" customHeight="1" x14ac:dyDescent="0.6">
      <c r="A423" s="107"/>
      <c r="B423" s="107"/>
      <c r="C423" s="107"/>
      <c r="D423" s="107"/>
      <c r="E423" s="107"/>
      <c r="F423" s="107"/>
      <c r="G423" s="107"/>
    </row>
    <row r="424" spans="1:7" ht="17.100000000000001" customHeight="1" x14ac:dyDescent="0.6">
      <c r="A424" s="107"/>
      <c r="B424" s="107"/>
      <c r="C424" s="107"/>
      <c r="D424" s="107"/>
      <c r="E424" s="107"/>
      <c r="F424" s="107"/>
      <c r="G424" s="107"/>
    </row>
    <row r="425" spans="1:7" ht="17.100000000000001" customHeight="1" x14ac:dyDescent="0.6">
      <c r="A425" s="107"/>
      <c r="B425" s="107"/>
      <c r="C425" s="107"/>
      <c r="D425" s="107"/>
      <c r="E425" s="107"/>
      <c r="F425" s="107"/>
      <c r="G425" s="107"/>
    </row>
    <row r="426" spans="1:7" ht="17.100000000000001" customHeight="1" x14ac:dyDescent="0.6">
      <c r="A426" s="107"/>
      <c r="B426" s="107"/>
      <c r="C426" s="107"/>
      <c r="D426" s="107"/>
      <c r="E426" s="107"/>
      <c r="F426" s="107"/>
      <c r="G426" s="107"/>
    </row>
    <row r="427" spans="1:7" ht="17.100000000000001" customHeight="1" x14ac:dyDescent="0.6">
      <c r="A427" s="107"/>
      <c r="B427" s="107"/>
      <c r="C427" s="107"/>
      <c r="D427" s="107"/>
      <c r="E427" s="107"/>
      <c r="F427" s="107"/>
      <c r="G427" s="107"/>
    </row>
    <row r="428" spans="1:7" ht="17.100000000000001" customHeight="1" x14ac:dyDescent="0.6">
      <c r="A428" s="107"/>
      <c r="B428" s="107"/>
      <c r="C428" s="107"/>
      <c r="D428" s="107"/>
      <c r="E428" s="107"/>
      <c r="F428" s="107"/>
      <c r="G428" s="107"/>
    </row>
    <row r="429" spans="1:7" ht="17.100000000000001" customHeight="1" x14ac:dyDescent="0.6">
      <c r="A429" s="107"/>
      <c r="B429" s="107"/>
      <c r="C429" s="107"/>
      <c r="D429" s="107"/>
      <c r="E429" s="107"/>
      <c r="F429" s="107"/>
      <c r="G429" s="107"/>
    </row>
    <row r="430" spans="1:7" ht="17.100000000000001" customHeight="1" x14ac:dyDescent="0.6">
      <c r="A430" s="107"/>
      <c r="B430" s="107"/>
      <c r="C430" s="107"/>
      <c r="D430" s="107"/>
      <c r="E430" s="107"/>
      <c r="F430" s="107"/>
      <c r="G430" s="107"/>
    </row>
    <row r="431" spans="1:7" ht="17.100000000000001" customHeight="1" x14ac:dyDescent="0.6">
      <c r="A431" s="107"/>
      <c r="B431" s="107"/>
      <c r="C431" s="107"/>
      <c r="D431" s="107"/>
      <c r="E431" s="107"/>
      <c r="F431" s="107"/>
      <c r="G431" s="107"/>
    </row>
    <row r="432" spans="1:7" ht="17.100000000000001" customHeight="1" x14ac:dyDescent="0.6">
      <c r="A432" s="107"/>
      <c r="B432" s="107"/>
      <c r="C432" s="107"/>
      <c r="D432" s="107"/>
      <c r="E432" s="107"/>
      <c r="F432" s="107"/>
      <c r="G432" s="107"/>
    </row>
    <row r="433" spans="1:7" ht="17.100000000000001" customHeight="1" x14ac:dyDescent="0.6">
      <c r="A433" s="107"/>
      <c r="B433" s="107"/>
      <c r="C433" s="107"/>
      <c r="D433" s="107"/>
      <c r="E433" s="107"/>
      <c r="F433" s="107"/>
      <c r="G433" s="107"/>
    </row>
    <row r="434" spans="1:7" ht="17.100000000000001" customHeight="1" x14ac:dyDescent="0.6">
      <c r="A434" s="107"/>
      <c r="B434" s="107"/>
      <c r="C434" s="107"/>
      <c r="D434" s="107"/>
      <c r="E434" s="107"/>
      <c r="F434" s="107"/>
      <c r="G434" s="107"/>
    </row>
    <row r="435" spans="1:7" ht="17.100000000000001" customHeight="1" x14ac:dyDescent="0.6">
      <c r="A435" s="107"/>
      <c r="B435" s="107"/>
      <c r="C435" s="107"/>
      <c r="D435" s="107"/>
      <c r="E435" s="107"/>
      <c r="F435" s="107"/>
      <c r="G435" s="107"/>
    </row>
    <row r="436" spans="1:7" ht="17.100000000000001" customHeight="1" x14ac:dyDescent="0.6">
      <c r="A436" s="107"/>
      <c r="B436" s="107"/>
      <c r="C436" s="107"/>
      <c r="D436" s="107"/>
      <c r="E436" s="107"/>
      <c r="F436" s="107"/>
      <c r="G436" s="107"/>
    </row>
    <row r="437" spans="1:7" ht="17.100000000000001" customHeight="1" x14ac:dyDescent="0.6">
      <c r="A437" s="107"/>
      <c r="B437" s="107"/>
      <c r="C437" s="107"/>
      <c r="D437" s="107"/>
      <c r="E437" s="107"/>
      <c r="F437" s="107"/>
      <c r="G437" s="107"/>
    </row>
    <row r="438" spans="1:7" ht="17.100000000000001" customHeight="1" x14ac:dyDescent="0.6">
      <c r="A438" s="107"/>
      <c r="B438" s="107"/>
      <c r="C438" s="107"/>
      <c r="D438" s="107"/>
      <c r="E438" s="107"/>
      <c r="F438" s="107"/>
      <c r="G438" s="107"/>
    </row>
    <row r="439" spans="1:7" ht="17.100000000000001" customHeight="1" x14ac:dyDescent="0.6">
      <c r="A439" s="107"/>
      <c r="B439" s="107"/>
      <c r="C439" s="107"/>
      <c r="D439" s="107"/>
      <c r="E439" s="107"/>
      <c r="F439" s="107"/>
      <c r="G439" s="107"/>
    </row>
    <row r="440" spans="1:7" ht="17.100000000000001" customHeight="1" x14ac:dyDescent="0.6">
      <c r="A440" s="107"/>
      <c r="B440" s="107"/>
      <c r="C440" s="107"/>
      <c r="D440" s="107"/>
      <c r="E440" s="107"/>
      <c r="F440" s="107"/>
      <c r="G440" s="107"/>
    </row>
    <row r="441" spans="1:7" ht="17.100000000000001" customHeight="1" x14ac:dyDescent="0.6">
      <c r="A441" s="107"/>
      <c r="B441" s="107"/>
      <c r="C441" s="107"/>
      <c r="D441" s="107"/>
      <c r="E441" s="107"/>
      <c r="F441" s="107"/>
      <c r="G441" s="107"/>
    </row>
    <row r="442" spans="1:7" ht="17.100000000000001" customHeight="1" x14ac:dyDescent="0.6">
      <c r="A442" s="107"/>
      <c r="B442" s="107"/>
      <c r="C442" s="107"/>
      <c r="D442" s="107"/>
      <c r="E442" s="107"/>
      <c r="F442" s="107"/>
      <c r="G442" s="107"/>
    </row>
    <row r="443" spans="1:7" ht="17.100000000000001" customHeight="1" x14ac:dyDescent="0.6">
      <c r="A443" s="107"/>
      <c r="B443" s="107"/>
      <c r="C443" s="107"/>
      <c r="D443" s="107"/>
      <c r="E443" s="107"/>
      <c r="F443" s="107"/>
      <c r="G443" s="107"/>
    </row>
    <row r="444" spans="1:7" ht="17.100000000000001" customHeight="1" x14ac:dyDescent="0.6">
      <c r="A444" s="107"/>
      <c r="B444" s="107"/>
      <c r="C444" s="107"/>
      <c r="D444" s="107"/>
      <c r="E444" s="107"/>
      <c r="F444" s="107"/>
      <c r="G444" s="107"/>
    </row>
    <row r="445" spans="1:7" ht="17.100000000000001" customHeight="1" x14ac:dyDescent="0.6">
      <c r="A445" s="107"/>
      <c r="B445" s="107"/>
      <c r="C445" s="107"/>
      <c r="D445" s="107"/>
      <c r="E445" s="107"/>
      <c r="F445" s="107"/>
      <c r="G445" s="107"/>
    </row>
    <row r="446" spans="1:7" ht="17.100000000000001" customHeight="1" x14ac:dyDescent="0.6">
      <c r="A446" s="107"/>
      <c r="B446" s="107"/>
      <c r="C446" s="107"/>
      <c r="D446" s="107"/>
      <c r="E446" s="107"/>
      <c r="F446" s="107"/>
      <c r="G446" s="107"/>
    </row>
    <row r="447" spans="1:7" ht="17.100000000000001" customHeight="1" x14ac:dyDescent="0.6">
      <c r="A447" s="107"/>
      <c r="B447" s="107"/>
      <c r="C447" s="107"/>
      <c r="D447" s="107"/>
      <c r="E447" s="107"/>
      <c r="F447" s="107"/>
      <c r="G447" s="107"/>
    </row>
    <row r="448" spans="1:7" ht="17.100000000000001" customHeight="1" x14ac:dyDescent="0.6">
      <c r="A448" s="107"/>
      <c r="B448" s="107"/>
      <c r="C448" s="107"/>
      <c r="D448" s="107"/>
      <c r="E448" s="107"/>
      <c r="F448" s="107"/>
      <c r="G448" s="107"/>
    </row>
    <row r="449" spans="1:7" ht="17.100000000000001" customHeight="1" x14ac:dyDescent="0.6">
      <c r="A449" s="107"/>
      <c r="B449" s="107"/>
      <c r="C449" s="107"/>
      <c r="D449" s="107"/>
      <c r="E449" s="107"/>
      <c r="F449" s="107"/>
      <c r="G449" s="107"/>
    </row>
    <row r="450" spans="1:7" ht="17.100000000000001" customHeight="1" x14ac:dyDescent="0.6">
      <c r="A450" s="107"/>
      <c r="B450" s="107"/>
      <c r="C450" s="107"/>
      <c r="D450" s="107"/>
      <c r="E450" s="107"/>
      <c r="F450" s="107"/>
      <c r="G450" s="107"/>
    </row>
    <row r="451" spans="1:7" ht="17.100000000000001" customHeight="1" x14ac:dyDescent="0.6">
      <c r="A451" s="107"/>
      <c r="B451" s="107"/>
      <c r="C451" s="107"/>
      <c r="D451" s="107"/>
      <c r="E451" s="107"/>
      <c r="F451" s="107"/>
      <c r="G451" s="107"/>
    </row>
    <row r="452" spans="1:7" ht="17.100000000000001" customHeight="1" x14ac:dyDescent="0.6">
      <c r="A452" s="107"/>
      <c r="B452" s="107"/>
      <c r="C452" s="107"/>
      <c r="D452" s="107"/>
      <c r="E452" s="107"/>
      <c r="F452" s="107"/>
      <c r="G452" s="107"/>
    </row>
    <row r="453" spans="1:7" ht="17.100000000000001" customHeight="1" x14ac:dyDescent="0.6">
      <c r="A453" s="107"/>
      <c r="B453" s="107"/>
      <c r="C453" s="107"/>
      <c r="D453" s="107"/>
      <c r="E453" s="107"/>
      <c r="F453" s="107"/>
      <c r="G453" s="107"/>
    </row>
    <row r="454" spans="1:7" ht="17.100000000000001" customHeight="1" x14ac:dyDescent="0.6">
      <c r="A454" s="107"/>
      <c r="B454" s="107"/>
      <c r="C454" s="107"/>
      <c r="D454" s="107"/>
      <c r="E454" s="107"/>
      <c r="F454" s="107"/>
      <c r="G454" s="107"/>
    </row>
    <row r="455" spans="1:7" ht="17.100000000000001" customHeight="1" x14ac:dyDescent="0.6">
      <c r="A455" s="107"/>
      <c r="B455" s="107"/>
      <c r="C455" s="107"/>
      <c r="D455" s="107"/>
      <c r="E455" s="107"/>
      <c r="F455" s="107"/>
      <c r="G455" s="107"/>
    </row>
    <row r="456" spans="1:7" ht="17.100000000000001" customHeight="1" x14ac:dyDescent="0.6">
      <c r="A456" s="107"/>
      <c r="B456" s="107"/>
      <c r="C456" s="107"/>
      <c r="D456" s="107"/>
      <c r="E456" s="107"/>
      <c r="F456" s="107"/>
      <c r="G456" s="107"/>
    </row>
    <row r="457" spans="1:7" ht="17.100000000000001" customHeight="1" x14ac:dyDescent="0.6">
      <c r="A457" s="107"/>
      <c r="B457" s="107"/>
      <c r="C457" s="107"/>
      <c r="D457" s="107"/>
      <c r="E457" s="107"/>
      <c r="F457" s="107"/>
      <c r="G457" s="107"/>
    </row>
    <row r="458" spans="1:7" ht="17.100000000000001" customHeight="1" x14ac:dyDescent="0.6">
      <c r="A458" s="107"/>
      <c r="B458" s="107"/>
      <c r="C458" s="107"/>
      <c r="D458" s="107"/>
      <c r="E458" s="107"/>
      <c r="F458" s="107"/>
      <c r="G458" s="107"/>
    </row>
    <row r="459" spans="1:7" ht="17.100000000000001" customHeight="1" x14ac:dyDescent="0.6">
      <c r="A459" s="107"/>
      <c r="B459" s="107"/>
      <c r="C459" s="107"/>
      <c r="D459" s="107"/>
      <c r="E459" s="107"/>
      <c r="F459" s="107"/>
      <c r="G459" s="107"/>
    </row>
    <row r="460" spans="1:7" ht="17.100000000000001" customHeight="1" x14ac:dyDescent="0.6">
      <c r="A460" s="107"/>
      <c r="B460" s="107"/>
      <c r="C460" s="107"/>
      <c r="D460" s="107"/>
      <c r="E460" s="107"/>
      <c r="F460" s="107"/>
      <c r="G460" s="107"/>
    </row>
    <row r="461" spans="1:7" ht="17.100000000000001" customHeight="1" x14ac:dyDescent="0.6">
      <c r="A461" s="107"/>
      <c r="B461" s="107"/>
      <c r="C461" s="107"/>
      <c r="D461" s="107"/>
      <c r="E461" s="107"/>
      <c r="F461" s="107"/>
      <c r="G461" s="107"/>
    </row>
    <row r="462" spans="1:7" ht="17.100000000000001" customHeight="1" x14ac:dyDescent="0.6">
      <c r="A462" s="107"/>
      <c r="B462" s="107"/>
      <c r="C462" s="107"/>
      <c r="D462" s="107"/>
      <c r="E462" s="107"/>
      <c r="F462" s="107"/>
      <c r="G462" s="107"/>
    </row>
    <row r="463" spans="1:7" ht="17.100000000000001" customHeight="1" x14ac:dyDescent="0.6">
      <c r="A463" s="107"/>
      <c r="B463" s="107"/>
      <c r="C463" s="107"/>
      <c r="D463" s="107"/>
      <c r="E463" s="107"/>
      <c r="F463" s="107"/>
      <c r="G463" s="107"/>
    </row>
    <row r="464" spans="1:7" ht="17.100000000000001" customHeight="1" x14ac:dyDescent="0.6">
      <c r="A464" s="107"/>
      <c r="B464" s="107"/>
      <c r="C464" s="107"/>
      <c r="D464" s="107"/>
      <c r="E464" s="107"/>
      <c r="F464" s="107"/>
      <c r="G464" s="107"/>
    </row>
    <row r="465" spans="1:7" ht="17.100000000000001" customHeight="1" x14ac:dyDescent="0.6">
      <c r="A465" s="107"/>
      <c r="B465" s="107"/>
      <c r="C465" s="107"/>
      <c r="D465" s="107"/>
      <c r="E465" s="107"/>
      <c r="F465" s="107"/>
      <c r="G465" s="107"/>
    </row>
    <row r="466" spans="1:7" ht="17.100000000000001" customHeight="1" x14ac:dyDescent="0.6">
      <c r="A466" s="107"/>
      <c r="B466" s="107"/>
      <c r="C466" s="107"/>
      <c r="D466" s="107"/>
      <c r="E466" s="107"/>
      <c r="F466" s="107"/>
      <c r="G466" s="107"/>
    </row>
    <row r="467" spans="1:7" ht="17.100000000000001" customHeight="1" x14ac:dyDescent="0.6">
      <c r="A467" s="107"/>
      <c r="B467" s="107"/>
      <c r="C467" s="107"/>
      <c r="D467" s="107"/>
      <c r="E467" s="107"/>
      <c r="F467" s="107"/>
      <c r="G467" s="107"/>
    </row>
    <row r="468" spans="1:7" ht="17.100000000000001" customHeight="1" x14ac:dyDescent="0.6">
      <c r="A468" s="107"/>
      <c r="B468" s="107"/>
      <c r="C468" s="107"/>
      <c r="D468" s="107"/>
      <c r="E468" s="107"/>
      <c r="F468" s="107"/>
      <c r="G468" s="107"/>
    </row>
    <row r="469" spans="1:7" ht="17.100000000000001" customHeight="1" x14ac:dyDescent="0.6">
      <c r="A469" s="107"/>
      <c r="B469" s="107"/>
      <c r="C469" s="107"/>
      <c r="D469" s="107"/>
      <c r="E469" s="107"/>
      <c r="F469" s="107"/>
      <c r="G469" s="107"/>
    </row>
    <row r="470" spans="1:7" ht="17.100000000000001" customHeight="1" x14ac:dyDescent="0.6">
      <c r="A470" s="107"/>
      <c r="B470" s="107"/>
      <c r="C470" s="107"/>
      <c r="D470" s="107"/>
      <c r="E470" s="107"/>
      <c r="F470" s="107"/>
      <c r="G470" s="107"/>
    </row>
    <row r="471" spans="1:7" ht="17.100000000000001" customHeight="1" x14ac:dyDescent="0.6">
      <c r="A471" s="107"/>
      <c r="B471" s="107"/>
      <c r="C471" s="107"/>
      <c r="D471" s="107"/>
      <c r="E471" s="107"/>
      <c r="F471" s="107"/>
      <c r="G471" s="107"/>
    </row>
    <row r="472" spans="1:7" ht="17.100000000000001" customHeight="1" x14ac:dyDescent="0.6">
      <c r="A472" s="107"/>
      <c r="B472" s="107"/>
      <c r="C472" s="107"/>
      <c r="D472" s="107"/>
      <c r="E472" s="107"/>
      <c r="F472" s="107"/>
      <c r="G472" s="107"/>
    </row>
    <row r="473" spans="1:7" ht="17.100000000000001" customHeight="1" x14ac:dyDescent="0.6">
      <c r="A473" s="107"/>
      <c r="B473" s="107"/>
      <c r="C473" s="107"/>
      <c r="D473" s="107"/>
      <c r="E473" s="107"/>
      <c r="F473" s="107"/>
      <c r="G473" s="107"/>
    </row>
    <row r="474" spans="1:7" ht="17.100000000000001" customHeight="1" x14ac:dyDescent="0.6">
      <c r="A474" s="107"/>
      <c r="B474" s="107"/>
      <c r="C474" s="107"/>
      <c r="D474" s="107"/>
      <c r="E474" s="107"/>
      <c r="F474" s="107"/>
      <c r="G474" s="107"/>
    </row>
    <row r="475" spans="1:7" ht="17.100000000000001" customHeight="1" x14ac:dyDescent="0.6">
      <c r="A475" s="107"/>
      <c r="B475" s="107"/>
      <c r="C475" s="107"/>
      <c r="D475" s="107"/>
      <c r="E475" s="107"/>
      <c r="F475" s="107"/>
      <c r="G475" s="107"/>
    </row>
    <row r="476" spans="1:7" ht="17.100000000000001" customHeight="1" x14ac:dyDescent="0.6">
      <c r="A476" s="107"/>
      <c r="B476" s="107"/>
      <c r="C476" s="107"/>
      <c r="D476" s="107"/>
      <c r="E476" s="107"/>
      <c r="F476" s="107"/>
      <c r="G476" s="107"/>
    </row>
    <row r="477" spans="1:7" ht="17.100000000000001" customHeight="1" x14ac:dyDescent="0.6">
      <c r="A477" s="107"/>
      <c r="B477" s="107"/>
      <c r="C477" s="107"/>
      <c r="D477" s="107"/>
      <c r="E477" s="107"/>
      <c r="F477" s="107"/>
      <c r="G477" s="107"/>
    </row>
    <row r="478" spans="1:7" ht="17.100000000000001" customHeight="1" x14ac:dyDescent="0.6">
      <c r="A478" s="107"/>
      <c r="B478" s="107"/>
      <c r="C478" s="107"/>
      <c r="D478" s="107"/>
      <c r="E478" s="107"/>
      <c r="F478" s="107"/>
      <c r="G478" s="107"/>
    </row>
    <row r="479" spans="1:7" ht="17.100000000000001" customHeight="1" x14ac:dyDescent="0.6">
      <c r="A479" s="107"/>
      <c r="B479" s="107"/>
      <c r="C479" s="107"/>
      <c r="D479" s="107"/>
      <c r="E479" s="107"/>
      <c r="F479" s="107"/>
      <c r="G479" s="107"/>
    </row>
    <row r="480" spans="1:7" ht="17.100000000000001" customHeight="1" x14ac:dyDescent="0.6">
      <c r="A480" s="107"/>
      <c r="B480" s="107"/>
      <c r="C480" s="107"/>
      <c r="D480" s="107"/>
      <c r="E480" s="107"/>
      <c r="F480" s="107"/>
      <c r="G480" s="107"/>
    </row>
    <row r="481" spans="1:7" ht="17.100000000000001" customHeight="1" x14ac:dyDescent="0.6">
      <c r="A481" s="107"/>
      <c r="B481" s="107"/>
      <c r="C481" s="107"/>
      <c r="D481" s="107"/>
      <c r="E481" s="107"/>
      <c r="F481" s="107"/>
      <c r="G481" s="107"/>
    </row>
    <row r="482" spans="1:7" ht="17.100000000000001" customHeight="1" x14ac:dyDescent="0.6">
      <c r="A482" s="107"/>
      <c r="B482" s="107"/>
      <c r="C482" s="107"/>
      <c r="D482" s="107"/>
      <c r="E482" s="107"/>
      <c r="F482" s="107"/>
      <c r="G482" s="107"/>
    </row>
    <row r="483" spans="1:7" ht="17.100000000000001" customHeight="1" x14ac:dyDescent="0.6">
      <c r="A483" s="107"/>
      <c r="B483" s="107"/>
      <c r="C483" s="107"/>
      <c r="D483" s="107"/>
      <c r="E483" s="107"/>
      <c r="F483" s="107"/>
      <c r="G483" s="107"/>
    </row>
    <row r="484" spans="1:7" ht="17.100000000000001" customHeight="1" x14ac:dyDescent="0.6">
      <c r="A484" s="107"/>
      <c r="B484" s="107"/>
      <c r="C484" s="107"/>
      <c r="D484" s="107"/>
      <c r="E484" s="107"/>
      <c r="F484" s="107"/>
      <c r="G484" s="107"/>
    </row>
    <row r="485" spans="1:7" ht="17.100000000000001" customHeight="1" x14ac:dyDescent="0.6">
      <c r="A485" s="107"/>
      <c r="B485" s="107"/>
      <c r="C485" s="107"/>
      <c r="D485" s="107"/>
      <c r="E485" s="107"/>
      <c r="F485" s="107"/>
      <c r="G485" s="107"/>
    </row>
    <row r="486" spans="1:7" ht="17.100000000000001" customHeight="1" x14ac:dyDescent="0.6">
      <c r="A486" s="107"/>
      <c r="B486" s="107"/>
      <c r="C486" s="107"/>
      <c r="D486" s="107"/>
      <c r="E486" s="107"/>
      <c r="F486" s="107"/>
      <c r="G486" s="107"/>
    </row>
    <row r="487" spans="1:7" ht="17.100000000000001" customHeight="1" x14ac:dyDescent="0.6">
      <c r="A487" s="107"/>
      <c r="B487" s="107"/>
      <c r="C487" s="107"/>
      <c r="D487" s="107"/>
      <c r="E487" s="107"/>
      <c r="F487" s="107"/>
      <c r="G487" s="107"/>
    </row>
    <row r="488" spans="1:7" ht="17.100000000000001" customHeight="1" x14ac:dyDescent="0.6">
      <c r="A488" s="107"/>
      <c r="B488" s="107"/>
      <c r="C488" s="107"/>
      <c r="D488" s="107"/>
      <c r="E488" s="107"/>
      <c r="F488" s="107"/>
      <c r="G488" s="107"/>
    </row>
    <row r="489" spans="1:7" ht="17.100000000000001" customHeight="1" x14ac:dyDescent="0.6">
      <c r="A489" s="107"/>
      <c r="B489" s="107"/>
      <c r="C489" s="107"/>
      <c r="D489" s="107"/>
      <c r="E489" s="107"/>
      <c r="F489" s="107"/>
      <c r="G489" s="107"/>
    </row>
    <row r="490" spans="1:7" ht="17.100000000000001" customHeight="1" x14ac:dyDescent="0.6">
      <c r="A490" s="107"/>
      <c r="B490" s="107"/>
      <c r="C490" s="107"/>
      <c r="D490" s="107"/>
      <c r="E490" s="107"/>
      <c r="F490" s="107"/>
      <c r="G490" s="107"/>
    </row>
    <row r="491" spans="1:7" ht="17.100000000000001" customHeight="1" x14ac:dyDescent="0.6">
      <c r="A491" s="107"/>
      <c r="B491" s="107"/>
      <c r="C491" s="107"/>
      <c r="D491" s="107"/>
      <c r="E491" s="107"/>
      <c r="F491" s="107"/>
      <c r="G491" s="107"/>
    </row>
    <row r="492" spans="1:7" ht="17.100000000000001" customHeight="1" x14ac:dyDescent="0.6">
      <c r="A492" s="107"/>
      <c r="B492" s="107"/>
      <c r="C492" s="107"/>
      <c r="D492" s="107"/>
      <c r="E492" s="107"/>
      <c r="F492" s="107"/>
      <c r="G492" s="107"/>
    </row>
    <row r="493" spans="1:7" ht="17.100000000000001" customHeight="1" x14ac:dyDescent="0.6">
      <c r="A493" s="107"/>
      <c r="B493" s="107"/>
      <c r="C493" s="107"/>
      <c r="D493" s="107"/>
      <c r="E493" s="107"/>
      <c r="F493" s="107"/>
      <c r="G493" s="107"/>
    </row>
    <row r="494" spans="1:7" ht="17.100000000000001" customHeight="1" x14ac:dyDescent="0.6">
      <c r="A494" s="107"/>
      <c r="B494" s="107"/>
      <c r="C494" s="107"/>
      <c r="D494" s="107"/>
      <c r="E494" s="107"/>
      <c r="F494" s="107"/>
      <c r="G494" s="107"/>
    </row>
    <row r="495" spans="1:7" ht="17.100000000000001" customHeight="1" x14ac:dyDescent="0.6">
      <c r="A495" s="107"/>
      <c r="B495" s="107"/>
      <c r="C495" s="107"/>
      <c r="D495" s="107"/>
      <c r="E495" s="107"/>
      <c r="F495" s="107"/>
      <c r="G495" s="107"/>
    </row>
    <row r="496" spans="1:7" ht="17.100000000000001" customHeight="1" x14ac:dyDescent="0.6">
      <c r="A496" s="107"/>
      <c r="B496" s="107"/>
      <c r="C496" s="107"/>
      <c r="D496" s="107"/>
      <c r="E496" s="107"/>
      <c r="F496" s="107"/>
      <c r="G496" s="107"/>
    </row>
    <row r="497" spans="1:7" ht="17.100000000000001" customHeight="1" x14ac:dyDescent="0.6">
      <c r="A497" s="107"/>
      <c r="B497" s="107"/>
      <c r="C497" s="107"/>
      <c r="D497" s="107"/>
      <c r="E497" s="107"/>
      <c r="F497" s="107"/>
      <c r="G497" s="107"/>
    </row>
    <row r="498" spans="1:7" ht="17.100000000000001" customHeight="1" x14ac:dyDescent="0.6">
      <c r="A498" s="107"/>
      <c r="B498" s="107"/>
      <c r="C498" s="107"/>
      <c r="D498" s="107"/>
      <c r="E498" s="107"/>
      <c r="F498" s="107"/>
      <c r="G498" s="107"/>
    </row>
    <row r="499" spans="1:7" ht="17.100000000000001" customHeight="1" x14ac:dyDescent="0.6">
      <c r="A499" s="107"/>
      <c r="B499" s="107"/>
      <c r="C499" s="107"/>
      <c r="D499" s="107"/>
      <c r="E499" s="107"/>
      <c r="F499" s="107"/>
      <c r="G499" s="107"/>
    </row>
    <row r="500" spans="1:7" ht="17.100000000000001" customHeight="1" x14ac:dyDescent="0.6">
      <c r="A500" s="107"/>
      <c r="B500" s="107"/>
      <c r="C500" s="107"/>
      <c r="D500" s="107"/>
      <c r="E500" s="107"/>
      <c r="F500" s="107"/>
      <c r="G500" s="107"/>
    </row>
    <row r="501" spans="1:7" ht="17.100000000000001" customHeight="1" x14ac:dyDescent="0.6">
      <c r="A501" s="107"/>
      <c r="B501" s="107"/>
      <c r="C501" s="107"/>
      <c r="D501" s="107"/>
      <c r="E501" s="107"/>
      <c r="F501" s="107"/>
      <c r="G501" s="107"/>
    </row>
    <row r="502" spans="1:7" ht="17.100000000000001" customHeight="1" x14ac:dyDescent="0.6">
      <c r="A502" s="107"/>
      <c r="B502" s="107"/>
      <c r="C502" s="107"/>
      <c r="D502" s="107"/>
      <c r="E502" s="107"/>
      <c r="F502" s="107"/>
      <c r="G502" s="107"/>
    </row>
    <row r="503" spans="1:7" ht="17.100000000000001" customHeight="1" x14ac:dyDescent="0.6">
      <c r="A503" s="107"/>
      <c r="B503" s="107"/>
      <c r="C503" s="107"/>
      <c r="D503" s="107"/>
      <c r="E503" s="107"/>
      <c r="F503" s="107"/>
      <c r="G503" s="107"/>
    </row>
    <row r="504" spans="1:7" ht="17.100000000000001" customHeight="1" x14ac:dyDescent="0.6">
      <c r="A504" s="107"/>
      <c r="B504" s="107"/>
      <c r="C504" s="107"/>
      <c r="D504" s="107"/>
      <c r="E504" s="107"/>
      <c r="F504" s="107"/>
      <c r="G504" s="107"/>
    </row>
    <row r="505" spans="1:7" ht="17.100000000000001" customHeight="1" x14ac:dyDescent="0.6">
      <c r="A505" s="107"/>
      <c r="B505" s="107"/>
      <c r="C505" s="107"/>
      <c r="D505" s="107"/>
      <c r="E505" s="107"/>
      <c r="F505" s="107"/>
      <c r="G505" s="107"/>
    </row>
    <row r="506" spans="1:7" ht="17.100000000000001" customHeight="1" x14ac:dyDescent="0.6">
      <c r="A506" s="107"/>
      <c r="B506" s="107"/>
      <c r="C506" s="107"/>
      <c r="D506" s="107"/>
      <c r="E506" s="107"/>
      <c r="F506" s="107"/>
      <c r="G506" s="107"/>
    </row>
    <row r="507" spans="1:7" ht="17.100000000000001" customHeight="1" x14ac:dyDescent="0.6">
      <c r="A507" s="107"/>
      <c r="B507" s="107"/>
      <c r="C507" s="107"/>
      <c r="D507" s="107"/>
      <c r="E507" s="107"/>
      <c r="F507" s="107"/>
      <c r="G507" s="107"/>
    </row>
    <row r="508" spans="1:7" ht="17.100000000000001" customHeight="1" x14ac:dyDescent="0.6">
      <c r="A508" s="107"/>
      <c r="B508" s="107"/>
      <c r="C508" s="107"/>
      <c r="D508" s="107"/>
      <c r="E508" s="107"/>
      <c r="F508" s="107"/>
      <c r="G508" s="107"/>
    </row>
    <row r="509" spans="1:7" ht="17.100000000000001" customHeight="1" x14ac:dyDescent="0.6">
      <c r="A509" s="107"/>
      <c r="B509" s="107"/>
      <c r="C509" s="107"/>
      <c r="D509" s="107"/>
      <c r="E509" s="107"/>
      <c r="F509" s="107"/>
      <c r="G509" s="107"/>
    </row>
    <row r="510" spans="1:7" ht="17.100000000000001" customHeight="1" x14ac:dyDescent="0.6">
      <c r="A510" s="107"/>
      <c r="B510" s="107"/>
      <c r="C510" s="107"/>
      <c r="D510" s="107"/>
      <c r="E510" s="107"/>
      <c r="F510" s="107"/>
      <c r="G510" s="107"/>
    </row>
    <row r="511" spans="1:7" ht="17.100000000000001" customHeight="1" x14ac:dyDescent="0.6">
      <c r="A511" s="107"/>
      <c r="B511" s="107"/>
      <c r="C511" s="107"/>
      <c r="D511" s="107"/>
      <c r="E511" s="107"/>
      <c r="F511" s="107"/>
      <c r="G511" s="107"/>
    </row>
    <row r="512" spans="1:7" ht="17.100000000000001" customHeight="1" x14ac:dyDescent="0.6">
      <c r="A512" s="107"/>
      <c r="B512" s="107"/>
      <c r="C512" s="107"/>
      <c r="D512" s="107"/>
      <c r="E512" s="107"/>
      <c r="F512" s="107"/>
      <c r="G512" s="107"/>
    </row>
    <row r="513" spans="1:7" ht="17.100000000000001" customHeight="1" x14ac:dyDescent="0.6">
      <c r="A513" s="107"/>
      <c r="B513" s="107"/>
      <c r="C513" s="107"/>
      <c r="D513" s="107"/>
      <c r="E513" s="107"/>
      <c r="F513" s="107"/>
      <c r="G513" s="107"/>
    </row>
    <row r="514" spans="1:7" ht="17.100000000000001" customHeight="1" x14ac:dyDescent="0.6">
      <c r="A514" s="107"/>
      <c r="B514" s="107"/>
      <c r="C514" s="107"/>
      <c r="D514" s="107"/>
      <c r="E514" s="107"/>
      <c r="F514" s="107"/>
      <c r="G514" s="107"/>
    </row>
    <row r="515" spans="1:7" ht="17.100000000000001" customHeight="1" x14ac:dyDescent="0.6">
      <c r="A515" s="107"/>
      <c r="B515" s="107"/>
      <c r="C515" s="107"/>
      <c r="D515" s="107"/>
      <c r="E515" s="107"/>
      <c r="F515" s="107"/>
      <c r="G515" s="107"/>
    </row>
    <row r="516" spans="1:7" ht="17.100000000000001" customHeight="1" x14ac:dyDescent="0.6">
      <c r="A516" s="107"/>
      <c r="B516" s="107"/>
      <c r="C516" s="107"/>
      <c r="D516" s="107"/>
      <c r="E516" s="107"/>
      <c r="F516" s="107"/>
      <c r="G516" s="107"/>
    </row>
    <row r="517" spans="1:7" ht="17.100000000000001" customHeight="1" x14ac:dyDescent="0.6">
      <c r="A517" s="107"/>
      <c r="B517" s="107"/>
      <c r="C517" s="107"/>
      <c r="D517" s="107"/>
      <c r="E517" s="107"/>
      <c r="F517" s="107"/>
      <c r="G517" s="107"/>
    </row>
    <row r="518" spans="1:7" ht="17.100000000000001" customHeight="1" x14ac:dyDescent="0.6">
      <c r="A518" s="107"/>
      <c r="B518" s="107"/>
      <c r="C518" s="107"/>
      <c r="D518" s="107"/>
      <c r="E518" s="107"/>
      <c r="F518" s="107"/>
      <c r="G518" s="107"/>
    </row>
    <row r="519" spans="1:7" ht="17.100000000000001" customHeight="1" x14ac:dyDescent="0.6">
      <c r="A519" s="107"/>
      <c r="B519" s="107"/>
      <c r="C519" s="107"/>
      <c r="D519" s="107"/>
      <c r="E519" s="107"/>
      <c r="F519" s="107"/>
      <c r="G519" s="107"/>
    </row>
    <row r="520" spans="1:7" ht="17.100000000000001" customHeight="1" x14ac:dyDescent="0.6">
      <c r="A520" s="107"/>
      <c r="B520" s="107"/>
      <c r="C520" s="107"/>
      <c r="D520" s="107"/>
      <c r="E520" s="107"/>
      <c r="F520" s="107"/>
      <c r="G520" s="107"/>
    </row>
    <row r="521" spans="1:7" ht="17.100000000000001" customHeight="1" x14ac:dyDescent="0.6">
      <c r="A521" s="107"/>
      <c r="B521" s="107"/>
      <c r="C521" s="107"/>
      <c r="D521" s="107"/>
      <c r="E521" s="107"/>
      <c r="F521" s="107"/>
      <c r="G521" s="107"/>
    </row>
    <row r="522" spans="1:7" ht="17.100000000000001" customHeight="1" x14ac:dyDescent="0.6">
      <c r="A522" s="107"/>
      <c r="B522" s="107"/>
      <c r="C522" s="107"/>
      <c r="D522" s="107"/>
      <c r="E522" s="107"/>
      <c r="F522" s="107"/>
      <c r="G522" s="107"/>
    </row>
    <row r="523" spans="1:7" ht="17.100000000000001" customHeight="1" x14ac:dyDescent="0.6">
      <c r="A523" s="107"/>
      <c r="B523" s="107"/>
      <c r="C523" s="107"/>
      <c r="D523" s="107"/>
      <c r="E523" s="107"/>
      <c r="F523" s="107"/>
      <c r="G523" s="107"/>
    </row>
    <row r="524" spans="1:7" ht="17.100000000000001" customHeight="1" x14ac:dyDescent="0.6">
      <c r="A524" s="107"/>
      <c r="B524" s="107"/>
      <c r="C524" s="107"/>
      <c r="D524" s="107"/>
      <c r="E524" s="107"/>
      <c r="F524" s="107"/>
      <c r="G524" s="107"/>
    </row>
    <row r="525" spans="1:7" ht="17.100000000000001" customHeight="1" x14ac:dyDescent="0.6">
      <c r="A525" s="107"/>
      <c r="B525" s="107"/>
      <c r="C525" s="107"/>
      <c r="D525" s="107"/>
      <c r="E525" s="107"/>
      <c r="F525" s="107"/>
      <c r="G525" s="107"/>
    </row>
    <row r="526" spans="1:7" ht="17.100000000000001" customHeight="1" x14ac:dyDescent="0.6">
      <c r="A526" s="107"/>
      <c r="B526" s="107"/>
      <c r="C526" s="107"/>
      <c r="D526" s="107"/>
      <c r="E526" s="107"/>
      <c r="F526" s="107"/>
      <c r="G526" s="107"/>
    </row>
    <row r="527" spans="1:7" ht="17.100000000000001" customHeight="1" x14ac:dyDescent="0.6">
      <c r="A527" s="107"/>
      <c r="B527" s="107"/>
      <c r="C527" s="107"/>
      <c r="D527" s="107"/>
      <c r="E527" s="107"/>
      <c r="F527" s="107"/>
      <c r="G527" s="107"/>
    </row>
    <row r="528" spans="1:7" ht="17.100000000000001" customHeight="1" x14ac:dyDescent="0.6">
      <c r="A528" s="107"/>
      <c r="B528" s="107"/>
      <c r="C528" s="107"/>
      <c r="D528" s="107"/>
      <c r="E528" s="107"/>
      <c r="F528" s="107"/>
      <c r="G528" s="107"/>
    </row>
    <row r="529" spans="1:7" ht="17.100000000000001" customHeight="1" x14ac:dyDescent="0.6">
      <c r="A529" s="107"/>
      <c r="B529" s="107"/>
      <c r="C529" s="107"/>
      <c r="D529" s="107"/>
      <c r="E529" s="107"/>
      <c r="F529" s="107"/>
      <c r="G529" s="107"/>
    </row>
    <row r="530" spans="1:7" ht="17.100000000000001" customHeight="1" x14ac:dyDescent="0.6">
      <c r="A530" s="107"/>
      <c r="B530" s="107"/>
      <c r="C530" s="107"/>
      <c r="D530" s="107"/>
      <c r="E530" s="107"/>
      <c r="F530" s="107"/>
      <c r="G530" s="107"/>
    </row>
    <row r="531" spans="1:7" ht="17.100000000000001" customHeight="1" x14ac:dyDescent="0.6">
      <c r="A531" s="107"/>
      <c r="B531" s="107"/>
      <c r="C531" s="107"/>
      <c r="D531" s="107"/>
      <c r="E531" s="107"/>
      <c r="F531" s="107"/>
      <c r="G531" s="107"/>
    </row>
    <row r="532" spans="1:7" ht="17.100000000000001" customHeight="1" x14ac:dyDescent="0.6">
      <c r="A532" s="107"/>
      <c r="B532" s="107"/>
      <c r="C532" s="107"/>
      <c r="D532" s="107"/>
      <c r="E532" s="107"/>
      <c r="F532" s="107"/>
      <c r="G532" s="107"/>
    </row>
    <row r="533" spans="1:7" ht="17.100000000000001" customHeight="1" x14ac:dyDescent="0.6">
      <c r="A533" s="107"/>
      <c r="B533" s="107"/>
      <c r="C533" s="107"/>
      <c r="D533" s="107"/>
      <c r="E533" s="107"/>
      <c r="F533" s="107"/>
      <c r="G533" s="107"/>
    </row>
    <row r="534" spans="1:7" ht="17.100000000000001" customHeight="1" x14ac:dyDescent="0.6">
      <c r="A534" s="107"/>
      <c r="B534" s="107"/>
      <c r="C534" s="107"/>
      <c r="D534" s="107"/>
      <c r="E534" s="107"/>
      <c r="F534" s="107"/>
      <c r="G534" s="107"/>
    </row>
    <row r="535" spans="1:7" ht="17.100000000000001" customHeight="1" x14ac:dyDescent="0.6">
      <c r="A535" s="107"/>
      <c r="B535" s="107"/>
      <c r="C535" s="107"/>
      <c r="D535" s="107"/>
      <c r="E535" s="107"/>
      <c r="F535" s="107"/>
      <c r="G535" s="107"/>
    </row>
    <row r="536" spans="1:7" ht="17.100000000000001" customHeight="1" x14ac:dyDescent="0.6">
      <c r="A536" s="107"/>
      <c r="B536" s="107"/>
      <c r="C536" s="107"/>
      <c r="D536" s="107"/>
      <c r="E536" s="107"/>
      <c r="F536" s="107"/>
      <c r="G536" s="107"/>
    </row>
    <row r="537" spans="1:7" ht="17.100000000000001" customHeight="1" x14ac:dyDescent="0.6">
      <c r="A537" s="107"/>
      <c r="B537" s="107"/>
      <c r="C537" s="107"/>
      <c r="D537" s="107"/>
      <c r="E537" s="107"/>
      <c r="F537" s="107"/>
      <c r="G537" s="107"/>
    </row>
    <row r="538" spans="1:7" ht="17.100000000000001" customHeight="1" x14ac:dyDescent="0.6">
      <c r="A538" s="107"/>
      <c r="B538" s="107"/>
      <c r="C538" s="107"/>
      <c r="D538" s="107"/>
      <c r="E538" s="107"/>
      <c r="F538" s="107"/>
      <c r="G538" s="107"/>
    </row>
    <row r="539" spans="1:7" ht="17.100000000000001" customHeight="1" x14ac:dyDescent="0.6">
      <c r="A539" s="107"/>
      <c r="B539" s="107"/>
      <c r="C539" s="107"/>
      <c r="D539" s="107"/>
      <c r="E539" s="107"/>
      <c r="F539" s="107"/>
      <c r="G539" s="107"/>
    </row>
    <row r="540" spans="1:7" ht="17.100000000000001" customHeight="1" x14ac:dyDescent="0.6">
      <c r="A540" s="107"/>
      <c r="B540" s="107"/>
      <c r="C540" s="107"/>
      <c r="D540" s="107"/>
      <c r="E540" s="107"/>
      <c r="F540" s="107"/>
      <c r="G540" s="107"/>
    </row>
    <row r="541" spans="1:7" ht="17.100000000000001" customHeight="1" x14ac:dyDescent="0.6">
      <c r="A541" s="107"/>
      <c r="B541" s="107"/>
      <c r="C541" s="107"/>
      <c r="D541" s="107"/>
      <c r="E541" s="107"/>
      <c r="F541" s="107"/>
      <c r="G541" s="107"/>
    </row>
    <row r="542" spans="1:7" ht="17.100000000000001" customHeight="1" x14ac:dyDescent="0.6">
      <c r="A542" s="107"/>
      <c r="B542" s="107"/>
      <c r="C542" s="107"/>
      <c r="D542" s="107"/>
      <c r="E542" s="107"/>
      <c r="F542" s="107"/>
      <c r="G542" s="107"/>
    </row>
    <row r="543" spans="1:7" ht="17.100000000000001" customHeight="1" x14ac:dyDescent="0.6">
      <c r="A543" s="107"/>
      <c r="B543" s="107"/>
      <c r="C543" s="107"/>
      <c r="D543" s="107"/>
      <c r="E543" s="107"/>
      <c r="F543" s="107"/>
      <c r="G543" s="107"/>
    </row>
    <row r="544" spans="1:7" ht="17.100000000000001" customHeight="1" x14ac:dyDescent="0.6">
      <c r="A544" s="107"/>
      <c r="B544" s="107"/>
      <c r="C544" s="107"/>
      <c r="D544" s="107"/>
      <c r="E544" s="107"/>
      <c r="F544" s="107"/>
      <c r="G544" s="107"/>
    </row>
    <row r="545" spans="1:7" ht="17.100000000000001" customHeight="1" x14ac:dyDescent="0.6">
      <c r="A545" s="107"/>
      <c r="B545" s="107"/>
      <c r="C545" s="107"/>
      <c r="D545" s="107"/>
      <c r="E545" s="107"/>
      <c r="F545" s="107"/>
      <c r="G545" s="107"/>
    </row>
    <row r="546" spans="1:7" ht="17.100000000000001" customHeight="1" x14ac:dyDescent="0.6">
      <c r="A546" s="107"/>
      <c r="B546" s="107"/>
      <c r="C546" s="107"/>
      <c r="D546" s="107"/>
      <c r="E546" s="107"/>
      <c r="F546" s="107"/>
      <c r="G546" s="107"/>
    </row>
    <row r="547" spans="1:7" ht="17.100000000000001" customHeight="1" x14ac:dyDescent="0.6">
      <c r="A547" s="107"/>
      <c r="B547" s="107"/>
      <c r="C547" s="107"/>
      <c r="D547" s="107"/>
      <c r="E547" s="107"/>
      <c r="F547" s="107"/>
      <c r="G547" s="107"/>
    </row>
    <row r="548" spans="1:7" ht="17.100000000000001" customHeight="1" x14ac:dyDescent="0.6">
      <c r="A548" s="107"/>
      <c r="B548" s="107"/>
      <c r="C548" s="107"/>
      <c r="D548" s="107"/>
      <c r="E548" s="107"/>
      <c r="F548" s="107"/>
      <c r="G548" s="107"/>
    </row>
    <row r="549" spans="1:7" ht="17.100000000000001" customHeight="1" x14ac:dyDescent="0.6">
      <c r="A549" s="107"/>
      <c r="B549" s="107"/>
      <c r="C549" s="107"/>
      <c r="D549" s="107"/>
      <c r="E549" s="107"/>
      <c r="F549" s="107"/>
      <c r="G549" s="107"/>
    </row>
    <row r="550" spans="1:7" ht="17.100000000000001" customHeight="1" x14ac:dyDescent="0.6">
      <c r="A550" s="107"/>
      <c r="B550" s="107"/>
      <c r="C550" s="107"/>
      <c r="D550" s="107"/>
      <c r="E550" s="107"/>
      <c r="F550" s="107"/>
      <c r="G550" s="107"/>
    </row>
    <row r="551" spans="1:7" ht="17.100000000000001" customHeight="1" x14ac:dyDescent="0.6">
      <c r="A551" s="107"/>
      <c r="B551" s="107"/>
      <c r="C551" s="107"/>
      <c r="D551" s="107"/>
      <c r="E551" s="107"/>
      <c r="F551" s="107"/>
      <c r="G551" s="107"/>
    </row>
    <row r="552" spans="1:7" ht="17.100000000000001" customHeight="1" x14ac:dyDescent="0.6">
      <c r="A552" s="107"/>
      <c r="B552" s="107"/>
      <c r="C552" s="107"/>
      <c r="D552" s="107"/>
      <c r="E552" s="107"/>
      <c r="F552" s="107"/>
      <c r="G552" s="107"/>
    </row>
    <row r="553" spans="1:7" ht="17.100000000000001" customHeight="1" x14ac:dyDescent="0.6">
      <c r="A553" s="107"/>
      <c r="B553" s="107"/>
      <c r="C553" s="107"/>
      <c r="D553" s="107"/>
      <c r="E553" s="107"/>
      <c r="F553" s="107"/>
      <c r="G553" s="107"/>
    </row>
    <row r="554" spans="1:7" ht="17.100000000000001" customHeight="1" x14ac:dyDescent="0.6">
      <c r="A554" s="107"/>
      <c r="B554" s="107"/>
      <c r="C554" s="107"/>
      <c r="D554" s="107"/>
      <c r="E554" s="107"/>
      <c r="F554" s="107"/>
      <c r="G554" s="107"/>
    </row>
    <row r="555" spans="1:7" ht="17.100000000000001" customHeight="1" x14ac:dyDescent="0.6">
      <c r="A555" s="107"/>
      <c r="B555" s="107"/>
      <c r="C555" s="107"/>
      <c r="D555" s="107"/>
      <c r="E555" s="107"/>
      <c r="F555" s="107"/>
      <c r="G555" s="107"/>
    </row>
    <row r="556" spans="1:7" ht="17.100000000000001" customHeight="1" x14ac:dyDescent="0.6">
      <c r="A556" s="107"/>
      <c r="B556" s="107"/>
      <c r="C556" s="107"/>
      <c r="D556" s="107"/>
      <c r="E556" s="107"/>
      <c r="F556" s="107"/>
      <c r="G556" s="107"/>
    </row>
    <row r="557" spans="1:7" ht="17.100000000000001" customHeight="1" x14ac:dyDescent="0.6">
      <c r="A557" s="107"/>
      <c r="B557" s="107"/>
      <c r="C557" s="107"/>
      <c r="D557" s="107"/>
      <c r="E557" s="107"/>
      <c r="F557" s="107"/>
      <c r="G557" s="107"/>
    </row>
    <row r="558" spans="1:7" ht="17.100000000000001" customHeight="1" x14ac:dyDescent="0.6">
      <c r="A558" s="107"/>
      <c r="B558" s="107"/>
      <c r="C558" s="107"/>
      <c r="D558" s="107"/>
      <c r="E558" s="107"/>
      <c r="F558" s="107"/>
      <c r="G558" s="107"/>
    </row>
    <row r="559" spans="1:7" ht="17.100000000000001" customHeight="1" x14ac:dyDescent="0.6">
      <c r="A559" s="107"/>
      <c r="B559" s="107"/>
      <c r="C559" s="107"/>
      <c r="D559" s="107"/>
      <c r="E559" s="107"/>
      <c r="F559" s="107"/>
      <c r="G559" s="107"/>
    </row>
    <row r="560" spans="1:7" ht="17.100000000000001" customHeight="1" x14ac:dyDescent="0.6">
      <c r="A560" s="107"/>
      <c r="B560" s="107"/>
      <c r="C560" s="107"/>
      <c r="D560" s="107"/>
      <c r="E560" s="107"/>
      <c r="F560" s="107"/>
      <c r="G560" s="107"/>
    </row>
    <row r="561" spans="1:7" ht="17.100000000000001" customHeight="1" x14ac:dyDescent="0.6">
      <c r="A561" s="107"/>
      <c r="B561" s="107"/>
      <c r="C561" s="107"/>
      <c r="D561" s="107"/>
      <c r="E561" s="107"/>
      <c r="F561" s="107"/>
      <c r="G561" s="107"/>
    </row>
    <row r="562" spans="1:7" ht="17.100000000000001" customHeight="1" x14ac:dyDescent="0.6">
      <c r="A562" s="107"/>
      <c r="B562" s="107"/>
      <c r="C562" s="107"/>
      <c r="D562" s="107"/>
      <c r="E562" s="107"/>
      <c r="F562" s="107"/>
      <c r="G562" s="107"/>
    </row>
    <row r="563" spans="1:7" ht="17.100000000000001" customHeight="1" x14ac:dyDescent="0.6">
      <c r="A563" s="107"/>
      <c r="B563" s="107"/>
      <c r="C563" s="107"/>
      <c r="D563" s="107"/>
      <c r="E563" s="107"/>
      <c r="F563" s="107"/>
      <c r="G563" s="107"/>
    </row>
    <row r="564" spans="1:7" ht="17.100000000000001" customHeight="1" x14ac:dyDescent="0.6">
      <c r="A564" s="107"/>
      <c r="B564" s="107"/>
      <c r="C564" s="107"/>
      <c r="D564" s="107"/>
      <c r="E564" s="107"/>
      <c r="F564" s="107"/>
      <c r="G564" s="107"/>
    </row>
    <row r="565" spans="1:7" ht="17.100000000000001" customHeight="1" x14ac:dyDescent="0.6">
      <c r="A565" s="107"/>
      <c r="B565" s="107"/>
      <c r="C565" s="107"/>
      <c r="D565" s="107"/>
      <c r="E565" s="107"/>
      <c r="F565" s="107"/>
      <c r="G565" s="107"/>
    </row>
    <row r="566" spans="1:7" ht="17.100000000000001" customHeight="1" x14ac:dyDescent="0.6">
      <c r="A566" s="107"/>
      <c r="B566" s="107"/>
      <c r="C566" s="107"/>
      <c r="D566" s="107"/>
      <c r="E566" s="107"/>
      <c r="F566" s="107"/>
      <c r="G566" s="107"/>
    </row>
    <row r="567" spans="1:7" ht="17.100000000000001" customHeight="1" x14ac:dyDescent="0.6">
      <c r="A567" s="107"/>
      <c r="B567" s="107"/>
      <c r="C567" s="107"/>
      <c r="D567" s="107"/>
      <c r="E567" s="107"/>
      <c r="F567" s="107"/>
      <c r="G567" s="107"/>
    </row>
    <row r="568" spans="1:7" ht="17.100000000000001" customHeight="1" x14ac:dyDescent="0.6">
      <c r="A568" s="107"/>
      <c r="B568" s="107"/>
      <c r="C568" s="107"/>
      <c r="D568" s="107"/>
      <c r="E568" s="107"/>
      <c r="F568" s="107"/>
      <c r="G568" s="107"/>
    </row>
    <row r="569" spans="1:7" ht="17.100000000000001" customHeight="1" x14ac:dyDescent="0.6">
      <c r="A569" s="107"/>
      <c r="B569" s="107"/>
      <c r="C569" s="107"/>
      <c r="D569" s="107"/>
      <c r="E569" s="107"/>
      <c r="F569" s="107"/>
      <c r="G569" s="107"/>
    </row>
    <row r="570" spans="1:7" ht="17.100000000000001" customHeight="1" x14ac:dyDescent="0.6">
      <c r="A570" s="107"/>
      <c r="B570" s="107"/>
      <c r="C570" s="107"/>
      <c r="D570" s="107"/>
      <c r="E570" s="107"/>
      <c r="F570" s="107"/>
      <c r="G570" s="107"/>
    </row>
    <row r="571" spans="1:7" ht="17.100000000000001" customHeight="1" x14ac:dyDescent="0.6">
      <c r="A571" s="107"/>
      <c r="B571" s="107"/>
      <c r="C571" s="107"/>
      <c r="D571" s="107"/>
      <c r="E571" s="107"/>
      <c r="F571" s="107"/>
      <c r="G571" s="107"/>
    </row>
    <row r="572" spans="1:7" ht="17.100000000000001" customHeight="1" x14ac:dyDescent="0.6">
      <c r="A572" s="107"/>
      <c r="B572" s="107"/>
      <c r="C572" s="107"/>
      <c r="D572" s="107"/>
      <c r="E572" s="107"/>
      <c r="F572" s="107"/>
      <c r="G572" s="107"/>
    </row>
    <row r="573" spans="1:7" ht="17.100000000000001" customHeight="1" x14ac:dyDescent="0.6">
      <c r="A573" s="107"/>
      <c r="B573" s="107"/>
      <c r="C573" s="107"/>
      <c r="D573" s="107"/>
      <c r="E573" s="107"/>
      <c r="F573" s="107"/>
      <c r="G573" s="107"/>
    </row>
    <row r="574" spans="1:7" ht="17.100000000000001" customHeight="1" x14ac:dyDescent="0.6">
      <c r="A574" s="107"/>
      <c r="B574" s="107"/>
      <c r="C574" s="107"/>
      <c r="D574" s="107"/>
      <c r="E574" s="107"/>
      <c r="F574" s="107"/>
      <c r="G574" s="107"/>
    </row>
    <row r="575" spans="1:7" ht="17.100000000000001" customHeight="1" x14ac:dyDescent="0.6">
      <c r="A575" s="107"/>
      <c r="B575" s="107"/>
      <c r="C575" s="107"/>
      <c r="D575" s="107"/>
      <c r="E575" s="107"/>
      <c r="F575" s="107"/>
      <c r="G575" s="107"/>
    </row>
    <row r="576" spans="1:7" ht="17.100000000000001" customHeight="1" x14ac:dyDescent="0.6">
      <c r="A576" s="107"/>
      <c r="B576" s="107"/>
      <c r="C576" s="107"/>
      <c r="D576" s="107"/>
      <c r="E576" s="107"/>
      <c r="F576" s="107"/>
      <c r="G576" s="107"/>
    </row>
    <row r="577" spans="1:7" ht="17.100000000000001" customHeight="1" x14ac:dyDescent="0.6">
      <c r="A577" s="107"/>
      <c r="B577" s="107"/>
      <c r="C577" s="107"/>
      <c r="D577" s="107"/>
      <c r="E577" s="107"/>
      <c r="F577" s="107"/>
      <c r="G577" s="107"/>
    </row>
    <row r="578" spans="1:7" ht="17.100000000000001" customHeight="1" x14ac:dyDescent="0.6">
      <c r="A578" s="107"/>
      <c r="B578" s="107"/>
      <c r="C578" s="107"/>
      <c r="D578" s="107"/>
      <c r="E578" s="107"/>
      <c r="F578" s="107"/>
      <c r="G578" s="107"/>
    </row>
    <row r="579" spans="1:7" ht="17.100000000000001" customHeight="1" x14ac:dyDescent="0.6">
      <c r="A579" s="107"/>
      <c r="B579" s="107"/>
      <c r="C579" s="107"/>
      <c r="D579" s="107"/>
      <c r="E579" s="107"/>
      <c r="F579" s="107"/>
      <c r="G579" s="107"/>
    </row>
    <row r="580" spans="1:7" ht="17.100000000000001" customHeight="1" x14ac:dyDescent="0.6">
      <c r="A580" s="107"/>
      <c r="B580" s="107"/>
      <c r="C580" s="107"/>
      <c r="D580" s="107"/>
      <c r="E580" s="107"/>
      <c r="F580" s="107"/>
      <c r="G580" s="107"/>
    </row>
    <row r="581" spans="1:7" ht="17.100000000000001" customHeight="1" x14ac:dyDescent="0.6">
      <c r="A581" s="107"/>
      <c r="B581" s="107"/>
      <c r="C581" s="107"/>
      <c r="D581" s="107"/>
      <c r="E581" s="107"/>
      <c r="F581" s="107"/>
      <c r="G581" s="107"/>
    </row>
    <row r="582" spans="1:7" ht="17.100000000000001" customHeight="1" x14ac:dyDescent="0.6">
      <c r="A582" s="107"/>
      <c r="B582" s="107"/>
      <c r="C582" s="107"/>
      <c r="D582" s="107"/>
      <c r="E582" s="107"/>
      <c r="F582" s="107"/>
      <c r="G582" s="107"/>
    </row>
    <row r="583" spans="1:7" ht="17.100000000000001" customHeight="1" x14ac:dyDescent="0.6">
      <c r="A583" s="107"/>
      <c r="B583" s="107"/>
      <c r="C583" s="107"/>
      <c r="D583" s="107"/>
      <c r="E583" s="107"/>
      <c r="F583" s="107"/>
      <c r="G583" s="107"/>
    </row>
    <row r="584" spans="1:7" ht="17.100000000000001" customHeight="1" x14ac:dyDescent="0.6">
      <c r="A584" s="107"/>
      <c r="B584" s="107"/>
      <c r="C584" s="107"/>
      <c r="D584" s="107"/>
      <c r="E584" s="107"/>
      <c r="F584" s="107"/>
      <c r="G584" s="107"/>
    </row>
    <row r="585" spans="1:7" ht="17.100000000000001" customHeight="1" x14ac:dyDescent="0.6">
      <c r="A585" s="107"/>
      <c r="B585" s="107"/>
      <c r="C585" s="107"/>
      <c r="D585" s="107"/>
      <c r="E585" s="107"/>
      <c r="F585" s="107"/>
      <c r="G585" s="107"/>
    </row>
    <row r="586" spans="1:7" ht="17.100000000000001" customHeight="1" x14ac:dyDescent="0.6">
      <c r="A586" s="107"/>
      <c r="B586" s="107"/>
      <c r="C586" s="107"/>
      <c r="D586" s="107"/>
      <c r="E586" s="107"/>
      <c r="F586" s="107"/>
      <c r="G586" s="107"/>
    </row>
    <row r="587" spans="1:7" ht="17.100000000000001" customHeight="1" x14ac:dyDescent="0.6">
      <c r="A587" s="107"/>
      <c r="B587" s="107"/>
      <c r="C587" s="107"/>
      <c r="D587" s="107"/>
      <c r="E587" s="107"/>
      <c r="F587" s="107"/>
      <c r="G587" s="107"/>
    </row>
    <row r="588" spans="1:7" ht="17.100000000000001" customHeight="1" x14ac:dyDescent="0.6">
      <c r="A588" s="107"/>
      <c r="B588" s="107"/>
      <c r="C588" s="107"/>
      <c r="D588" s="107"/>
      <c r="E588" s="107"/>
      <c r="F588" s="107"/>
      <c r="G588" s="107"/>
    </row>
    <row r="589" spans="1:7" ht="17.100000000000001" customHeight="1" x14ac:dyDescent="0.6">
      <c r="A589" s="107"/>
      <c r="B589" s="107"/>
      <c r="C589" s="107"/>
      <c r="D589" s="107"/>
      <c r="E589" s="107"/>
      <c r="F589" s="107"/>
      <c r="G589" s="107"/>
    </row>
    <row r="590" spans="1:7" ht="17.100000000000001" customHeight="1" x14ac:dyDescent="0.6">
      <c r="A590" s="107"/>
      <c r="B590" s="107"/>
      <c r="C590" s="107"/>
      <c r="D590" s="107"/>
      <c r="E590" s="107"/>
      <c r="F590" s="107"/>
      <c r="G590" s="107"/>
    </row>
    <row r="591" spans="1:7" ht="17.100000000000001" customHeight="1" x14ac:dyDescent="0.6">
      <c r="A591" s="107"/>
      <c r="B591" s="107"/>
      <c r="C591" s="107"/>
      <c r="D591" s="107"/>
      <c r="E591" s="107"/>
      <c r="F591" s="107"/>
      <c r="G591" s="107"/>
    </row>
    <row r="592" spans="1:7" ht="17.100000000000001" customHeight="1" x14ac:dyDescent="0.6">
      <c r="A592" s="107"/>
      <c r="B592" s="107"/>
      <c r="C592" s="107"/>
      <c r="D592" s="107"/>
      <c r="E592" s="107"/>
      <c r="F592" s="107"/>
      <c r="G592" s="107"/>
    </row>
    <row r="593" spans="1:7" ht="17.100000000000001" customHeight="1" x14ac:dyDescent="0.6">
      <c r="A593" s="107"/>
      <c r="B593" s="107"/>
      <c r="C593" s="107"/>
      <c r="D593" s="107"/>
      <c r="E593" s="107"/>
      <c r="F593" s="107"/>
      <c r="G593" s="107"/>
    </row>
    <row r="594" spans="1:7" ht="17.100000000000001" customHeight="1" x14ac:dyDescent="0.6">
      <c r="A594" s="107"/>
      <c r="B594" s="107"/>
      <c r="C594" s="107"/>
      <c r="D594" s="107"/>
      <c r="E594" s="107"/>
      <c r="F594" s="107"/>
      <c r="G594" s="107"/>
    </row>
    <row r="595" spans="1:7" ht="17.100000000000001" customHeight="1" x14ac:dyDescent="0.6">
      <c r="A595" s="107"/>
      <c r="B595" s="107"/>
      <c r="C595" s="107"/>
      <c r="D595" s="107"/>
      <c r="E595" s="107"/>
      <c r="F595" s="107"/>
      <c r="G595" s="107"/>
    </row>
    <row r="596" spans="1:7" ht="17.100000000000001" customHeight="1" x14ac:dyDescent="0.6">
      <c r="A596" s="107"/>
      <c r="B596" s="107"/>
      <c r="C596" s="107"/>
      <c r="D596" s="107"/>
      <c r="E596" s="107"/>
      <c r="F596" s="107"/>
      <c r="G596" s="107"/>
    </row>
    <row r="597" spans="1:7" ht="17.100000000000001" customHeight="1" x14ac:dyDescent="0.6">
      <c r="A597" s="107"/>
      <c r="B597" s="107"/>
      <c r="C597" s="107"/>
      <c r="D597" s="107"/>
      <c r="E597" s="107"/>
      <c r="F597" s="107"/>
      <c r="G597" s="107"/>
    </row>
    <row r="598" spans="1:7" ht="17.100000000000001" customHeight="1" x14ac:dyDescent="0.6">
      <c r="A598" s="107"/>
      <c r="B598" s="107"/>
      <c r="C598" s="107"/>
      <c r="D598" s="107"/>
      <c r="E598" s="107"/>
      <c r="F598" s="107"/>
      <c r="G598" s="107"/>
    </row>
    <row r="599" spans="1:7" ht="17.100000000000001" customHeight="1" x14ac:dyDescent="0.6">
      <c r="A599" s="107"/>
      <c r="B599" s="107"/>
      <c r="C599" s="107"/>
      <c r="D599" s="107"/>
      <c r="E599" s="107"/>
      <c r="F599" s="107"/>
      <c r="G599" s="107"/>
    </row>
    <row r="600" spans="1:7" ht="17.100000000000001" customHeight="1" x14ac:dyDescent="0.6">
      <c r="A600" s="107"/>
      <c r="B600" s="107"/>
      <c r="C600" s="107"/>
      <c r="D600" s="107"/>
      <c r="E600" s="107"/>
      <c r="F600" s="107"/>
      <c r="G600" s="107"/>
    </row>
    <row r="601" spans="1:7" ht="17.100000000000001" customHeight="1" x14ac:dyDescent="0.6">
      <c r="A601" s="107"/>
      <c r="B601" s="107"/>
      <c r="C601" s="107"/>
      <c r="D601" s="107"/>
      <c r="E601" s="107"/>
      <c r="F601" s="107"/>
      <c r="G601" s="107"/>
    </row>
    <row r="602" spans="1:7" ht="17.100000000000001" customHeight="1" x14ac:dyDescent="0.6">
      <c r="A602" s="107"/>
      <c r="B602" s="107"/>
      <c r="C602" s="107"/>
      <c r="D602" s="107"/>
      <c r="E602" s="107"/>
      <c r="F602" s="107"/>
      <c r="G602" s="107"/>
    </row>
    <row r="603" spans="1:7" ht="17.100000000000001" customHeight="1" x14ac:dyDescent="0.6">
      <c r="A603" s="107"/>
      <c r="B603" s="107"/>
      <c r="C603" s="107"/>
      <c r="D603" s="107"/>
      <c r="E603" s="107"/>
      <c r="F603" s="107"/>
      <c r="G603" s="107"/>
    </row>
    <row r="604" spans="1:7" ht="17.100000000000001" customHeight="1" x14ac:dyDescent="0.6">
      <c r="A604" s="107"/>
      <c r="B604" s="107"/>
      <c r="C604" s="107"/>
      <c r="D604" s="107"/>
      <c r="E604" s="107"/>
      <c r="F604" s="107"/>
      <c r="G604" s="107"/>
    </row>
    <row r="605" spans="1:7" ht="17.100000000000001" customHeight="1" x14ac:dyDescent="0.6">
      <c r="A605" s="107"/>
      <c r="B605" s="107"/>
      <c r="C605" s="107"/>
      <c r="D605" s="107"/>
      <c r="E605" s="107"/>
      <c r="F605" s="107"/>
      <c r="G605" s="107"/>
    </row>
    <row r="606" spans="1:7" ht="17.100000000000001" customHeight="1" x14ac:dyDescent="0.6">
      <c r="A606" s="107"/>
      <c r="B606" s="107"/>
      <c r="C606" s="107"/>
      <c r="D606" s="107"/>
      <c r="E606" s="107"/>
      <c r="F606" s="107"/>
      <c r="G606" s="107"/>
    </row>
    <row r="607" spans="1:7" ht="17.100000000000001" customHeight="1" x14ac:dyDescent="0.6">
      <c r="A607" s="107"/>
      <c r="B607" s="107"/>
      <c r="C607" s="107"/>
      <c r="D607" s="107"/>
      <c r="E607" s="107"/>
      <c r="F607" s="107"/>
      <c r="G607" s="107"/>
    </row>
    <row r="608" spans="1:7" ht="17.100000000000001" customHeight="1" x14ac:dyDescent="0.6">
      <c r="A608" s="107"/>
      <c r="B608" s="107"/>
      <c r="C608" s="107"/>
      <c r="D608" s="107"/>
      <c r="E608" s="107"/>
      <c r="F608" s="107"/>
      <c r="G608" s="107"/>
    </row>
    <row r="609" spans="1:7" ht="17.100000000000001" customHeight="1" x14ac:dyDescent="0.6">
      <c r="A609" s="107"/>
      <c r="B609" s="107"/>
      <c r="C609" s="107"/>
      <c r="D609" s="107"/>
      <c r="E609" s="107"/>
      <c r="F609" s="107"/>
      <c r="G609" s="107"/>
    </row>
    <row r="610" spans="1:7" ht="17.100000000000001" customHeight="1" x14ac:dyDescent="0.6">
      <c r="A610" s="107"/>
      <c r="B610" s="107"/>
      <c r="C610" s="107"/>
      <c r="D610" s="107"/>
      <c r="E610" s="107"/>
      <c r="F610" s="107"/>
      <c r="G610" s="107"/>
    </row>
    <row r="611" spans="1:7" ht="17.100000000000001" customHeight="1" x14ac:dyDescent="0.6">
      <c r="A611" s="107"/>
      <c r="B611" s="107"/>
      <c r="C611" s="107"/>
      <c r="D611" s="107"/>
      <c r="E611" s="107"/>
      <c r="F611" s="107"/>
      <c r="G611" s="107"/>
    </row>
    <row r="612" spans="1:7" ht="17.100000000000001" customHeight="1" x14ac:dyDescent="0.6">
      <c r="A612" s="107"/>
      <c r="B612" s="107"/>
      <c r="C612" s="107"/>
      <c r="D612" s="107"/>
      <c r="E612" s="107"/>
      <c r="F612" s="107"/>
      <c r="G612" s="107"/>
    </row>
    <row r="613" spans="1:7" ht="17.100000000000001" customHeight="1" x14ac:dyDescent="0.6">
      <c r="A613" s="107"/>
      <c r="B613" s="107"/>
      <c r="C613" s="107"/>
      <c r="D613" s="107"/>
      <c r="E613" s="107"/>
      <c r="F613" s="107"/>
      <c r="G613" s="107"/>
    </row>
    <row r="614" spans="1:7" ht="17.100000000000001" customHeight="1" x14ac:dyDescent="0.6">
      <c r="A614" s="107"/>
      <c r="B614" s="107"/>
      <c r="C614" s="107"/>
      <c r="D614" s="107"/>
      <c r="E614" s="107"/>
      <c r="F614" s="107"/>
      <c r="G614" s="107"/>
    </row>
    <row r="615" spans="1:7" ht="17.100000000000001" customHeight="1" x14ac:dyDescent="0.6">
      <c r="A615" s="107"/>
      <c r="B615" s="107"/>
      <c r="C615" s="107"/>
      <c r="D615" s="107"/>
      <c r="E615" s="107"/>
      <c r="F615" s="107"/>
      <c r="G615" s="107"/>
    </row>
    <row r="616" spans="1:7" ht="17.100000000000001" customHeight="1" x14ac:dyDescent="0.6">
      <c r="A616" s="107"/>
      <c r="B616" s="107"/>
      <c r="C616" s="107"/>
      <c r="D616" s="107"/>
      <c r="E616" s="107"/>
      <c r="F616" s="107"/>
      <c r="G616" s="107"/>
    </row>
    <row r="617" spans="1:7" ht="17.100000000000001" customHeight="1" x14ac:dyDescent="0.6">
      <c r="A617" s="107"/>
      <c r="B617" s="107"/>
      <c r="C617" s="107"/>
      <c r="D617" s="107"/>
      <c r="E617" s="107"/>
      <c r="F617" s="107"/>
      <c r="G617" s="107"/>
    </row>
    <row r="618" spans="1:7" ht="17.100000000000001" customHeight="1" x14ac:dyDescent="0.6">
      <c r="A618" s="107"/>
      <c r="B618" s="107"/>
      <c r="C618" s="107"/>
      <c r="D618" s="107"/>
      <c r="E618" s="107"/>
      <c r="F618" s="107"/>
      <c r="G618" s="107"/>
    </row>
    <row r="619" spans="1:7" ht="17.100000000000001" customHeight="1" x14ac:dyDescent="0.6">
      <c r="A619" s="107"/>
      <c r="B619" s="107"/>
      <c r="C619" s="107"/>
      <c r="D619" s="107"/>
      <c r="E619" s="107"/>
      <c r="F619" s="107"/>
      <c r="G619" s="107"/>
    </row>
    <row r="620" spans="1:7" ht="17.100000000000001" customHeight="1" x14ac:dyDescent="0.6">
      <c r="A620" s="107"/>
      <c r="B620" s="107"/>
      <c r="C620" s="107"/>
      <c r="D620" s="107"/>
      <c r="E620" s="107"/>
      <c r="F620" s="107"/>
      <c r="G620" s="107"/>
    </row>
    <row r="621" spans="1:7" ht="17.100000000000001" customHeight="1" x14ac:dyDescent="0.6">
      <c r="A621" s="107"/>
      <c r="B621" s="107"/>
      <c r="C621" s="107"/>
      <c r="D621" s="107"/>
      <c r="E621" s="107"/>
      <c r="F621" s="107"/>
      <c r="G621" s="107"/>
    </row>
    <row r="622" spans="1:7" ht="17.100000000000001" customHeight="1" x14ac:dyDescent="0.6">
      <c r="A622" s="107"/>
      <c r="B622" s="107"/>
      <c r="C622" s="107"/>
      <c r="D622" s="107"/>
      <c r="E622" s="107"/>
      <c r="F622" s="107"/>
      <c r="G622" s="107"/>
    </row>
    <row r="623" spans="1:7" ht="17.100000000000001" customHeight="1" x14ac:dyDescent="0.6">
      <c r="A623" s="107"/>
      <c r="B623" s="107"/>
      <c r="C623" s="107"/>
      <c r="D623" s="107"/>
      <c r="E623" s="107"/>
      <c r="F623" s="107"/>
      <c r="G623" s="107"/>
    </row>
    <row r="624" spans="1:7" ht="17.100000000000001" customHeight="1" x14ac:dyDescent="0.6">
      <c r="A624" s="107"/>
      <c r="B624" s="107"/>
      <c r="C624" s="107"/>
      <c r="D624" s="107"/>
      <c r="E624" s="107"/>
      <c r="F624" s="107"/>
      <c r="G624" s="107"/>
    </row>
    <row r="625" spans="1:7" ht="17.100000000000001" customHeight="1" x14ac:dyDescent="0.6">
      <c r="A625" s="107"/>
      <c r="B625" s="107"/>
      <c r="C625" s="107"/>
      <c r="D625" s="107"/>
      <c r="E625" s="107"/>
      <c r="F625" s="107"/>
      <c r="G625" s="107"/>
    </row>
    <row r="626" spans="1:7" ht="17.100000000000001" customHeight="1" x14ac:dyDescent="0.6">
      <c r="A626" s="107"/>
      <c r="B626" s="107"/>
      <c r="C626" s="107"/>
      <c r="D626" s="107"/>
      <c r="E626" s="107"/>
      <c r="F626" s="107"/>
      <c r="G626" s="107"/>
    </row>
    <row r="627" spans="1:7" ht="17.100000000000001" customHeight="1" x14ac:dyDescent="0.6">
      <c r="A627" s="107"/>
      <c r="B627" s="107"/>
      <c r="C627" s="107"/>
      <c r="D627" s="107"/>
      <c r="E627" s="107"/>
      <c r="F627" s="107"/>
      <c r="G627" s="107"/>
    </row>
    <row r="628" spans="1:7" ht="17.100000000000001" customHeight="1" x14ac:dyDescent="0.6">
      <c r="A628" s="107"/>
      <c r="B628" s="107"/>
      <c r="C628" s="107"/>
      <c r="D628" s="107"/>
      <c r="E628" s="107"/>
      <c r="F628" s="107"/>
      <c r="G628" s="107"/>
    </row>
    <row r="629" spans="1:7" ht="17.100000000000001" customHeight="1" x14ac:dyDescent="0.6">
      <c r="A629" s="107"/>
      <c r="B629" s="107"/>
      <c r="C629" s="107"/>
      <c r="D629" s="107"/>
      <c r="E629" s="107"/>
      <c r="F629" s="107"/>
      <c r="G629" s="107"/>
    </row>
    <row r="630" spans="1:7" ht="17.100000000000001" customHeight="1" x14ac:dyDescent="0.6">
      <c r="A630" s="107"/>
      <c r="B630" s="107"/>
      <c r="C630" s="107"/>
      <c r="D630" s="107"/>
      <c r="E630" s="107"/>
      <c r="F630" s="107"/>
      <c r="G630" s="107"/>
    </row>
    <row r="631" spans="1:7" ht="17.100000000000001" customHeight="1" x14ac:dyDescent="0.6">
      <c r="A631" s="107"/>
      <c r="B631" s="107"/>
      <c r="C631" s="107"/>
      <c r="D631" s="107"/>
      <c r="E631" s="107"/>
      <c r="F631" s="107"/>
      <c r="G631" s="107"/>
    </row>
    <row r="632" spans="1:7" ht="17.100000000000001" customHeight="1" x14ac:dyDescent="0.6">
      <c r="A632" s="107"/>
      <c r="B632" s="107"/>
      <c r="C632" s="107"/>
      <c r="D632" s="107"/>
      <c r="E632" s="107"/>
      <c r="F632" s="107"/>
      <c r="G632" s="107"/>
    </row>
    <row r="633" spans="1:7" ht="17.100000000000001" customHeight="1" x14ac:dyDescent="0.6">
      <c r="A633" s="107"/>
      <c r="B633" s="107"/>
      <c r="C633" s="107"/>
      <c r="D633" s="107"/>
      <c r="E633" s="107"/>
      <c r="F633" s="107"/>
      <c r="G633" s="107"/>
    </row>
    <row r="634" spans="1:7" ht="17.100000000000001" customHeight="1" x14ac:dyDescent="0.6">
      <c r="A634" s="107"/>
      <c r="B634" s="107"/>
      <c r="C634" s="107"/>
      <c r="D634" s="107"/>
      <c r="E634" s="107"/>
      <c r="F634" s="107"/>
      <c r="G634" s="107"/>
    </row>
    <row r="635" spans="1:7" ht="17.100000000000001" customHeight="1" x14ac:dyDescent="0.6">
      <c r="A635" s="107"/>
      <c r="B635" s="107"/>
      <c r="C635" s="107"/>
      <c r="D635" s="107"/>
      <c r="E635" s="107"/>
      <c r="F635" s="107"/>
      <c r="G635" s="107"/>
    </row>
    <row r="636" spans="1:7" ht="17.100000000000001" customHeight="1" x14ac:dyDescent="0.6">
      <c r="A636" s="107"/>
      <c r="B636" s="107"/>
      <c r="C636" s="107"/>
      <c r="D636" s="107"/>
      <c r="E636" s="107"/>
      <c r="F636" s="107"/>
      <c r="G636" s="107"/>
    </row>
    <row r="637" spans="1:7" ht="17.100000000000001" customHeight="1" x14ac:dyDescent="0.6">
      <c r="A637" s="107"/>
      <c r="B637" s="107"/>
      <c r="C637" s="107"/>
      <c r="D637" s="107"/>
      <c r="E637" s="107"/>
      <c r="F637" s="107"/>
      <c r="G637" s="107"/>
    </row>
    <row r="638" spans="1:7" ht="17.100000000000001" customHeight="1" x14ac:dyDescent="0.6">
      <c r="A638" s="107"/>
      <c r="B638" s="107"/>
      <c r="C638" s="107"/>
      <c r="D638" s="107"/>
      <c r="E638" s="107"/>
      <c r="F638" s="107"/>
      <c r="G638" s="107"/>
    </row>
    <row r="639" spans="1:7" ht="17.100000000000001" customHeight="1" x14ac:dyDescent="0.6">
      <c r="A639" s="107"/>
      <c r="B639" s="107"/>
      <c r="C639" s="107"/>
      <c r="D639" s="107"/>
      <c r="E639" s="107"/>
      <c r="F639" s="107"/>
      <c r="G639" s="107"/>
    </row>
    <row r="640" spans="1:7" ht="17.100000000000001" customHeight="1" x14ac:dyDescent="0.6">
      <c r="A640" s="107"/>
      <c r="B640" s="107"/>
      <c r="C640" s="107"/>
      <c r="D640" s="107"/>
      <c r="E640" s="107"/>
      <c r="F640" s="107"/>
      <c r="G640" s="107"/>
    </row>
    <row r="641" spans="1:7" ht="17.100000000000001" customHeight="1" x14ac:dyDescent="0.6">
      <c r="A641" s="107"/>
      <c r="B641" s="107"/>
      <c r="C641" s="107"/>
      <c r="D641" s="107"/>
      <c r="E641" s="107"/>
      <c r="F641" s="107"/>
      <c r="G641" s="107"/>
    </row>
    <row r="642" spans="1:7" ht="17.100000000000001" customHeight="1" x14ac:dyDescent="0.6">
      <c r="A642" s="107"/>
      <c r="B642" s="107"/>
      <c r="C642" s="107"/>
      <c r="D642" s="107"/>
      <c r="E642" s="107"/>
      <c r="F642" s="107"/>
      <c r="G642" s="107"/>
    </row>
    <row r="643" spans="1:7" ht="17.100000000000001" customHeight="1" x14ac:dyDescent="0.6">
      <c r="A643" s="107"/>
      <c r="B643" s="107"/>
      <c r="C643" s="107"/>
      <c r="D643" s="107"/>
      <c r="E643" s="107"/>
      <c r="F643" s="107"/>
      <c r="G643" s="107"/>
    </row>
    <row r="644" spans="1:7" ht="17.100000000000001" customHeight="1" x14ac:dyDescent="0.6">
      <c r="A644" s="107"/>
      <c r="B644" s="107"/>
      <c r="C644" s="107"/>
      <c r="D644" s="107"/>
      <c r="E644" s="107"/>
      <c r="F644" s="107"/>
      <c r="G644" s="107"/>
    </row>
    <row r="645" spans="1:7" ht="17.100000000000001" customHeight="1" x14ac:dyDescent="0.6">
      <c r="A645" s="107"/>
      <c r="B645" s="107"/>
      <c r="C645" s="107"/>
      <c r="D645" s="107"/>
      <c r="E645" s="107"/>
      <c r="F645" s="107"/>
      <c r="G645" s="107"/>
    </row>
    <row r="646" spans="1:7" ht="17.100000000000001" customHeight="1" x14ac:dyDescent="0.6">
      <c r="A646" s="107"/>
      <c r="B646" s="107"/>
      <c r="C646" s="107"/>
      <c r="D646" s="107"/>
      <c r="E646" s="107"/>
      <c r="F646" s="107"/>
      <c r="G646" s="107"/>
    </row>
    <row r="647" spans="1:7" ht="17.100000000000001" customHeight="1" x14ac:dyDescent="0.6">
      <c r="A647" s="107"/>
      <c r="B647" s="107"/>
      <c r="C647" s="107"/>
      <c r="D647" s="107"/>
      <c r="E647" s="107"/>
      <c r="F647" s="107"/>
      <c r="G647" s="107"/>
    </row>
    <row r="648" spans="1:7" ht="17.100000000000001" customHeight="1" x14ac:dyDescent="0.6">
      <c r="A648" s="107"/>
      <c r="B648" s="107"/>
      <c r="C648" s="107"/>
      <c r="D648" s="107"/>
      <c r="E648" s="107"/>
      <c r="F648" s="107"/>
      <c r="G648" s="107"/>
    </row>
    <row r="649" spans="1:7" ht="17.100000000000001" customHeight="1" x14ac:dyDescent="0.6">
      <c r="A649" s="107"/>
      <c r="B649" s="107"/>
      <c r="C649" s="107"/>
      <c r="D649" s="107"/>
      <c r="E649" s="107"/>
      <c r="F649" s="107"/>
      <c r="G649" s="107"/>
    </row>
    <row r="650" spans="1:7" ht="17.100000000000001" customHeight="1" x14ac:dyDescent="0.6">
      <c r="A650" s="107"/>
      <c r="B650" s="107"/>
      <c r="C650" s="107"/>
      <c r="D650" s="107"/>
      <c r="E650" s="107"/>
      <c r="F650" s="107"/>
      <c r="G650" s="107"/>
    </row>
    <row r="651" spans="1:7" ht="17.100000000000001" customHeight="1" x14ac:dyDescent="0.6">
      <c r="A651" s="107"/>
      <c r="B651" s="107"/>
      <c r="C651" s="107"/>
      <c r="D651" s="107"/>
      <c r="E651" s="107"/>
      <c r="F651" s="107"/>
      <c r="G651" s="107"/>
    </row>
    <row r="652" spans="1:7" ht="17.100000000000001" customHeight="1" x14ac:dyDescent="0.6">
      <c r="A652" s="107"/>
      <c r="B652" s="107"/>
      <c r="C652" s="107"/>
      <c r="D652" s="107"/>
      <c r="E652" s="107"/>
      <c r="F652" s="107"/>
      <c r="G652" s="107"/>
    </row>
    <row r="653" spans="1:7" ht="17.100000000000001" customHeight="1" x14ac:dyDescent="0.6">
      <c r="A653" s="107"/>
      <c r="B653" s="107"/>
      <c r="C653" s="107"/>
      <c r="D653" s="107"/>
      <c r="E653" s="107"/>
      <c r="F653" s="107"/>
      <c r="G653" s="107"/>
    </row>
    <row r="654" spans="1:7" ht="17.100000000000001" customHeight="1" x14ac:dyDescent="0.6">
      <c r="A654" s="107"/>
      <c r="B654" s="107"/>
      <c r="C654" s="107"/>
      <c r="D654" s="107"/>
      <c r="E654" s="107"/>
      <c r="F654" s="107"/>
      <c r="G654" s="107"/>
    </row>
    <row r="655" spans="1:7" ht="17.100000000000001" customHeight="1" x14ac:dyDescent="0.6">
      <c r="A655" s="107"/>
      <c r="B655" s="107"/>
      <c r="C655" s="107"/>
      <c r="D655" s="107"/>
      <c r="E655" s="107"/>
      <c r="F655" s="107"/>
      <c r="G655" s="107"/>
    </row>
    <row r="656" spans="1:7" ht="17.100000000000001" customHeight="1" x14ac:dyDescent="0.6">
      <c r="A656" s="107"/>
      <c r="B656" s="107"/>
      <c r="C656" s="107"/>
      <c r="D656" s="107"/>
      <c r="E656" s="107"/>
      <c r="F656" s="107"/>
      <c r="G656" s="107"/>
    </row>
    <row r="657" spans="1:7" ht="17.100000000000001" customHeight="1" x14ac:dyDescent="0.6">
      <c r="A657" s="107"/>
      <c r="B657" s="107"/>
      <c r="C657" s="107"/>
      <c r="D657" s="107"/>
      <c r="E657" s="107"/>
      <c r="F657" s="107"/>
      <c r="G657" s="107"/>
    </row>
    <row r="658" spans="1:7" ht="17.100000000000001" customHeight="1" x14ac:dyDescent="0.6">
      <c r="A658" s="107"/>
      <c r="B658" s="107"/>
      <c r="C658" s="107"/>
      <c r="D658" s="107"/>
      <c r="E658" s="107"/>
      <c r="F658" s="107"/>
      <c r="G658" s="107"/>
    </row>
    <row r="659" spans="1:7" ht="17.100000000000001" customHeight="1" x14ac:dyDescent="0.6">
      <c r="A659" s="107"/>
      <c r="B659" s="107"/>
      <c r="C659" s="107"/>
      <c r="D659" s="107"/>
      <c r="E659" s="107"/>
      <c r="F659" s="107"/>
      <c r="G659" s="107"/>
    </row>
    <row r="660" spans="1:7" ht="17.100000000000001" customHeight="1" x14ac:dyDescent="0.6">
      <c r="A660" s="107"/>
      <c r="B660" s="107"/>
      <c r="C660" s="107"/>
      <c r="D660" s="107"/>
      <c r="E660" s="107"/>
      <c r="F660" s="107"/>
      <c r="G660" s="107"/>
    </row>
    <row r="661" spans="1:7" ht="17.100000000000001" customHeight="1" x14ac:dyDescent="0.6">
      <c r="A661" s="107"/>
      <c r="B661" s="107"/>
      <c r="C661" s="107"/>
      <c r="D661" s="107"/>
      <c r="E661" s="107"/>
      <c r="F661" s="107"/>
      <c r="G661" s="107"/>
    </row>
    <row r="662" spans="1:7" ht="17.100000000000001" customHeight="1" x14ac:dyDescent="0.6">
      <c r="A662" s="107"/>
      <c r="B662" s="107"/>
      <c r="C662" s="107"/>
      <c r="D662" s="107"/>
      <c r="E662" s="107"/>
      <c r="F662" s="107"/>
      <c r="G662" s="107"/>
    </row>
    <row r="663" spans="1:7" ht="17.100000000000001" customHeight="1" x14ac:dyDescent="0.6">
      <c r="A663" s="107"/>
      <c r="B663" s="107"/>
      <c r="C663" s="107"/>
      <c r="D663" s="107"/>
      <c r="E663" s="107"/>
      <c r="F663" s="107"/>
      <c r="G663" s="107"/>
    </row>
    <row r="664" spans="1:7" ht="17.100000000000001" customHeight="1" x14ac:dyDescent="0.6">
      <c r="A664" s="107"/>
      <c r="B664" s="107"/>
      <c r="C664" s="107"/>
      <c r="D664" s="107"/>
      <c r="E664" s="107"/>
      <c r="F664" s="107"/>
      <c r="G664" s="107"/>
    </row>
    <row r="665" spans="1:7" ht="17.100000000000001" customHeight="1" x14ac:dyDescent="0.6">
      <c r="A665" s="107"/>
      <c r="B665" s="107"/>
      <c r="C665" s="107"/>
      <c r="D665" s="107"/>
      <c r="E665" s="107"/>
      <c r="F665" s="107"/>
      <c r="G665" s="107"/>
    </row>
    <row r="666" spans="1:7" ht="17.100000000000001" customHeight="1" x14ac:dyDescent="0.6">
      <c r="A666" s="107"/>
      <c r="B666" s="107"/>
      <c r="C666" s="107"/>
      <c r="D666" s="107"/>
      <c r="E666" s="107"/>
      <c r="F666" s="107"/>
      <c r="G666" s="107"/>
    </row>
    <row r="667" spans="1:7" ht="17.100000000000001" customHeight="1" x14ac:dyDescent="0.6">
      <c r="A667" s="107"/>
      <c r="B667" s="107"/>
      <c r="C667" s="107"/>
      <c r="D667" s="107"/>
      <c r="E667" s="107"/>
      <c r="F667" s="107"/>
      <c r="G667" s="107"/>
    </row>
    <row r="668" spans="1:7" ht="17.100000000000001" customHeight="1" x14ac:dyDescent="0.6">
      <c r="A668" s="107"/>
      <c r="B668" s="107"/>
      <c r="C668" s="107"/>
      <c r="D668" s="107"/>
      <c r="E668" s="107"/>
      <c r="F668" s="107"/>
      <c r="G668" s="107"/>
    </row>
    <row r="669" spans="1:7" ht="17.100000000000001" customHeight="1" x14ac:dyDescent="0.6">
      <c r="A669" s="107"/>
      <c r="B669" s="107"/>
      <c r="C669" s="107"/>
      <c r="D669" s="107"/>
      <c r="E669" s="107"/>
      <c r="F669" s="107"/>
      <c r="G669" s="107"/>
    </row>
    <row r="670" spans="1:7" ht="17.100000000000001" customHeight="1" x14ac:dyDescent="0.6">
      <c r="A670" s="107"/>
      <c r="B670" s="107"/>
      <c r="C670" s="107"/>
      <c r="D670" s="107"/>
      <c r="E670" s="107"/>
      <c r="F670" s="107"/>
      <c r="G670" s="107"/>
    </row>
    <row r="671" spans="1:7" ht="17.100000000000001" customHeight="1" x14ac:dyDescent="0.6">
      <c r="A671" s="107"/>
      <c r="B671" s="107"/>
      <c r="C671" s="107"/>
      <c r="D671" s="107"/>
      <c r="E671" s="107"/>
      <c r="F671" s="107"/>
      <c r="G671" s="107"/>
    </row>
    <row r="672" spans="1:7" ht="17.100000000000001" customHeight="1" x14ac:dyDescent="0.6">
      <c r="A672" s="107"/>
      <c r="B672" s="107"/>
      <c r="C672" s="107"/>
      <c r="D672" s="107"/>
      <c r="E672" s="107"/>
      <c r="F672" s="107"/>
      <c r="G672" s="107"/>
    </row>
    <row r="673" spans="1:7" ht="17.100000000000001" customHeight="1" x14ac:dyDescent="0.6">
      <c r="A673" s="107"/>
      <c r="B673" s="107"/>
      <c r="C673" s="107"/>
      <c r="D673" s="107"/>
      <c r="E673" s="107"/>
      <c r="F673" s="107"/>
      <c r="G673" s="107"/>
    </row>
    <row r="674" spans="1:7" ht="17.100000000000001" customHeight="1" x14ac:dyDescent="0.6">
      <c r="A674" s="107"/>
      <c r="B674" s="107"/>
      <c r="C674" s="107"/>
      <c r="D674" s="107"/>
      <c r="E674" s="107"/>
      <c r="F674" s="107"/>
      <c r="G674" s="107"/>
    </row>
    <row r="675" spans="1:7" ht="17.100000000000001" customHeight="1" x14ac:dyDescent="0.6">
      <c r="A675" s="107"/>
      <c r="B675" s="107"/>
      <c r="C675" s="107"/>
      <c r="D675" s="107"/>
      <c r="E675" s="107"/>
      <c r="F675" s="107"/>
      <c r="G675" s="107"/>
    </row>
    <row r="676" spans="1:7" ht="17.100000000000001" customHeight="1" x14ac:dyDescent="0.6">
      <c r="A676" s="107"/>
      <c r="B676" s="107"/>
      <c r="C676" s="107"/>
      <c r="D676" s="107"/>
      <c r="E676" s="107"/>
      <c r="F676" s="107"/>
      <c r="G676" s="107"/>
    </row>
    <row r="677" spans="1:7" ht="17.100000000000001" customHeight="1" x14ac:dyDescent="0.6">
      <c r="A677" s="107"/>
      <c r="B677" s="107"/>
      <c r="C677" s="107"/>
      <c r="D677" s="107"/>
      <c r="E677" s="107"/>
      <c r="F677" s="107"/>
      <c r="G677" s="107"/>
    </row>
    <row r="678" spans="1:7" ht="17.100000000000001" customHeight="1" x14ac:dyDescent="0.6">
      <c r="A678" s="107"/>
      <c r="B678" s="107"/>
      <c r="C678" s="107"/>
      <c r="D678" s="107"/>
      <c r="E678" s="107"/>
      <c r="F678" s="107"/>
      <c r="G678" s="107"/>
    </row>
    <row r="679" spans="1:7" ht="17.100000000000001" customHeight="1" x14ac:dyDescent="0.6">
      <c r="A679" s="107"/>
      <c r="B679" s="107"/>
      <c r="C679" s="107"/>
      <c r="D679" s="107"/>
      <c r="E679" s="107"/>
      <c r="F679" s="107"/>
      <c r="G679" s="107"/>
    </row>
    <row r="680" spans="1:7" ht="17.100000000000001" customHeight="1" x14ac:dyDescent="0.6">
      <c r="A680" s="107"/>
      <c r="B680" s="107"/>
      <c r="C680" s="107"/>
      <c r="D680" s="107"/>
      <c r="E680" s="107"/>
      <c r="F680" s="107"/>
      <c r="G680" s="107"/>
    </row>
    <row r="681" spans="1:7" ht="17.100000000000001" customHeight="1" x14ac:dyDescent="0.6">
      <c r="A681" s="107"/>
      <c r="B681" s="107"/>
      <c r="C681" s="107"/>
      <c r="D681" s="107"/>
      <c r="E681" s="107"/>
      <c r="F681" s="107"/>
      <c r="G681" s="107"/>
    </row>
    <row r="682" spans="1:7" ht="17.100000000000001" customHeight="1" x14ac:dyDescent="0.6">
      <c r="A682" s="107"/>
      <c r="B682" s="107"/>
      <c r="C682" s="107"/>
      <c r="D682" s="107"/>
      <c r="E682" s="107"/>
      <c r="F682" s="107"/>
      <c r="G682" s="107"/>
    </row>
    <row r="683" spans="1:7" ht="17.100000000000001" customHeight="1" x14ac:dyDescent="0.6">
      <c r="A683" s="107"/>
      <c r="B683" s="107"/>
      <c r="C683" s="107"/>
      <c r="D683" s="107"/>
      <c r="E683" s="107"/>
      <c r="F683" s="107"/>
      <c r="G683" s="107"/>
    </row>
    <row r="684" spans="1:7" ht="17.100000000000001" customHeight="1" x14ac:dyDescent="0.6">
      <c r="A684" s="107"/>
      <c r="B684" s="107"/>
      <c r="C684" s="107"/>
      <c r="D684" s="107"/>
      <c r="E684" s="107"/>
      <c r="F684" s="107"/>
      <c r="G684" s="107"/>
    </row>
    <row r="685" spans="1:7" ht="17.100000000000001" customHeight="1" x14ac:dyDescent="0.6">
      <c r="A685" s="107"/>
      <c r="B685" s="107"/>
      <c r="C685" s="107"/>
      <c r="D685" s="107"/>
      <c r="E685" s="107"/>
      <c r="F685" s="107"/>
      <c r="G685" s="107"/>
    </row>
    <row r="686" spans="1:7" ht="17.100000000000001" customHeight="1" x14ac:dyDescent="0.6">
      <c r="A686" s="107"/>
      <c r="B686" s="107"/>
      <c r="C686" s="107"/>
      <c r="D686" s="107"/>
      <c r="E686" s="107"/>
      <c r="F686" s="107"/>
      <c r="G686" s="107"/>
    </row>
    <row r="687" spans="1:7" ht="17.100000000000001" customHeight="1" x14ac:dyDescent="0.6">
      <c r="A687" s="107"/>
      <c r="B687" s="107"/>
      <c r="C687" s="107"/>
      <c r="D687" s="107"/>
      <c r="E687" s="107"/>
      <c r="F687" s="107"/>
      <c r="G687" s="107"/>
    </row>
    <row r="688" spans="1:7" ht="17.100000000000001" customHeight="1" x14ac:dyDescent="0.6">
      <c r="A688" s="107"/>
      <c r="B688" s="107"/>
      <c r="C688" s="107"/>
      <c r="D688" s="107"/>
      <c r="E688" s="107"/>
      <c r="F688" s="107"/>
      <c r="G688" s="107"/>
    </row>
    <row r="689" spans="1:7" ht="17.100000000000001" customHeight="1" x14ac:dyDescent="0.6">
      <c r="A689" s="107"/>
      <c r="B689" s="107"/>
      <c r="C689" s="107"/>
      <c r="D689" s="107"/>
      <c r="E689" s="107"/>
      <c r="F689" s="107"/>
      <c r="G689" s="107"/>
    </row>
    <row r="690" spans="1:7" ht="17.100000000000001" customHeight="1" x14ac:dyDescent="0.6">
      <c r="A690" s="107"/>
      <c r="B690" s="107"/>
      <c r="C690" s="107"/>
      <c r="D690" s="107"/>
      <c r="E690" s="107"/>
      <c r="F690" s="107"/>
      <c r="G690" s="107"/>
    </row>
    <row r="691" spans="1:7" ht="17.100000000000001" customHeight="1" x14ac:dyDescent="0.6">
      <c r="A691" s="107"/>
      <c r="B691" s="107"/>
      <c r="C691" s="107"/>
      <c r="D691" s="107"/>
      <c r="E691" s="107"/>
      <c r="F691" s="107"/>
      <c r="G691" s="107"/>
    </row>
    <row r="692" spans="1:7" ht="17.100000000000001" customHeight="1" x14ac:dyDescent="0.6">
      <c r="A692" s="107"/>
      <c r="B692" s="107"/>
      <c r="C692" s="107"/>
      <c r="D692" s="107"/>
      <c r="E692" s="107"/>
      <c r="F692" s="107"/>
      <c r="G692" s="107"/>
    </row>
    <row r="693" spans="1:7" ht="17.100000000000001" customHeight="1" x14ac:dyDescent="0.6">
      <c r="A693" s="107"/>
      <c r="B693" s="107"/>
      <c r="C693" s="107"/>
      <c r="D693" s="107"/>
      <c r="E693" s="107"/>
      <c r="F693" s="107"/>
      <c r="G693" s="107"/>
    </row>
    <row r="694" spans="1:7" ht="17.100000000000001" customHeight="1" x14ac:dyDescent="0.6">
      <c r="A694" s="107"/>
      <c r="B694" s="107"/>
      <c r="C694" s="107"/>
      <c r="D694" s="107"/>
      <c r="E694" s="107"/>
      <c r="F694" s="107"/>
      <c r="G694" s="107"/>
    </row>
    <row r="695" spans="1:7" ht="17.100000000000001" customHeight="1" x14ac:dyDescent="0.6">
      <c r="A695" s="107"/>
      <c r="B695" s="107"/>
      <c r="C695" s="107"/>
      <c r="D695" s="107"/>
      <c r="E695" s="107"/>
      <c r="F695" s="107"/>
      <c r="G695" s="107"/>
    </row>
    <row r="696" spans="1:7" ht="17.100000000000001" customHeight="1" x14ac:dyDescent="0.6">
      <c r="A696" s="107"/>
      <c r="B696" s="107"/>
      <c r="C696" s="107"/>
      <c r="D696" s="107"/>
      <c r="E696" s="107"/>
      <c r="F696" s="107"/>
      <c r="G696" s="107"/>
    </row>
    <row r="697" spans="1:7" ht="17.100000000000001" customHeight="1" x14ac:dyDescent="0.6">
      <c r="A697" s="107"/>
      <c r="B697" s="107"/>
      <c r="C697" s="107"/>
      <c r="D697" s="107"/>
      <c r="E697" s="107"/>
      <c r="F697" s="107"/>
      <c r="G697" s="107"/>
    </row>
    <row r="698" spans="1:7" ht="17.100000000000001" customHeight="1" x14ac:dyDescent="0.6">
      <c r="A698" s="107"/>
      <c r="B698" s="107"/>
      <c r="C698" s="107"/>
      <c r="D698" s="107"/>
      <c r="E698" s="107"/>
      <c r="F698" s="107"/>
      <c r="G698" s="107"/>
    </row>
    <row r="699" spans="1:7" ht="17.100000000000001" customHeight="1" x14ac:dyDescent="0.6">
      <c r="A699" s="107"/>
      <c r="B699" s="107"/>
      <c r="C699" s="107"/>
      <c r="D699" s="107"/>
      <c r="E699" s="107"/>
      <c r="F699" s="107"/>
      <c r="G699" s="107"/>
    </row>
    <row r="700" spans="1:7" ht="17.100000000000001" customHeight="1" x14ac:dyDescent="0.6">
      <c r="A700" s="107"/>
      <c r="B700" s="107"/>
      <c r="C700" s="107"/>
      <c r="D700" s="107"/>
      <c r="E700" s="107"/>
      <c r="F700" s="107"/>
      <c r="G700" s="107"/>
    </row>
    <row r="701" spans="1:7" ht="17.100000000000001" customHeight="1" x14ac:dyDescent="0.6">
      <c r="A701" s="107"/>
      <c r="B701" s="107"/>
      <c r="C701" s="107"/>
      <c r="D701" s="107"/>
      <c r="E701" s="107"/>
      <c r="F701" s="107"/>
      <c r="G701" s="107"/>
    </row>
    <row r="702" spans="1:7" ht="17.100000000000001" customHeight="1" x14ac:dyDescent="0.6">
      <c r="A702" s="107"/>
      <c r="B702" s="107"/>
      <c r="C702" s="107"/>
      <c r="D702" s="107"/>
      <c r="E702" s="107"/>
      <c r="F702" s="107"/>
      <c r="G702" s="107"/>
    </row>
    <row r="703" spans="1:7" ht="17.100000000000001" customHeight="1" x14ac:dyDescent="0.6">
      <c r="A703" s="107"/>
      <c r="B703" s="107"/>
      <c r="C703" s="107"/>
      <c r="D703" s="107"/>
      <c r="E703" s="107"/>
      <c r="F703" s="107"/>
      <c r="G703" s="107"/>
    </row>
    <row r="704" spans="1:7" ht="17.100000000000001" customHeight="1" x14ac:dyDescent="0.6">
      <c r="A704" s="107"/>
      <c r="B704" s="107"/>
      <c r="C704" s="107"/>
      <c r="D704" s="107"/>
      <c r="E704" s="107"/>
      <c r="F704" s="107"/>
      <c r="G704" s="107"/>
    </row>
    <row r="705" spans="1:7" ht="17.100000000000001" customHeight="1" x14ac:dyDescent="0.6">
      <c r="A705" s="107"/>
      <c r="B705" s="107"/>
      <c r="C705" s="107"/>
      <c r="D705" s="107"/>
      <c r="E705" s="107"/>
      <c r="F705" s="107"/>
      <c r="G705" s="107"/>
    </row>
    <row r="706" spans="1:7" ht="17.100000000000001" customHeight="1" x14ac:dyDescent="0.6">
      <c r="A706" s="107"/>
      <c r="B706" s="107"/>
      <c r="C706" s="107"/>
      <c r="D706" s="107"/>
      <c r="E706" s="107"/>
      <c r="F706" s="107"/>
      <c r="G706" s="107"/>
    </row>
    <row r="707" spans="1:7" ht="17.100000000000001" customHeight="1" x14ac:dyDescent="0.6">
      <c r="A707" s="107"/>
      <c r="B707" s="107"/>
      <c r="C707" s="107"/>
      <c r="D707" s="107"/>
      <c r="E707" s="107"/>
      <c r="F707" s="107"/>
      <c r="G707" s="107"/>
    </row>
    <row r="708" spans="1:7" ht="17.100000000000001" customHeight="1" x14ac:dyDescent="0.6">
      <c r="A708" s="107"/>
      <c r="B708" s="107"/>
      <c r="C708" s="107"/>
      <c r="D708" s="107"/>
      <c r="E708" s="107"/>
      <c r="F708" s="107"/>
      <c r="G708" s="107"/>
    </row>
    <row r="709" spans="1:7" ht="17.100000000000001" customHeight="1" x14ac:dyDescent="0.6">
      <c r="A709" s="107"/>
      <c r="B709" s="107"/>
      <c r="C709" s="107"/>
      <c r="D709" s="107"/>
      <c r="E709" s="107"/>
      <c r="F709" s="107"/>
      <c r="G709" s="107"/>
    </row>
    <row r="710" spans="1:7" ht="17.100000000000001" customHeight="1" x14ac:dyDescent="0.6">
      <c r="A710" s="107"/>
      <c r="B710" s="107"/>
      <c r="C710" s="107"/>
      <c r="D710" s="107"/>
      <c r="E710" s="107"/>
      <c r="F710" s="107"/>
      <c r="G710" s="107"/>
    </row>
    <row r="711" spans="1:7" ht="17.100000000000001" customHeight="1" x14ac:dyDescent="0.6">
      <c r="A711" s="107"/>
      <c r="B711" s="107"/>
      <c r="C711" s="107"/>
      <c r="D711" s="107"/>
      <c r="E711" s="107"/>
      <c r="F711" s="107"/>
      <c r="G711" s="107"/>
    </row>
    <row r="712" spans="1:7" ht="17.100000000000001" customHeight="1" x14ac:dyDescent="0.6">
      <c r="A712" s="107"/>
      <c r="B712" s="107"/>
      <c r="C712" s="107"/>
      <c r="D712" s="107"/>
      <c r="E712" s="107"/>
      <c r="F712" s="107"/>
      <c r="G712" s="107"/>
    </row>
    <row r="713" spans="1:7" ht="17.100000000000001" customHeight="1" x14ac:dyDescent="0.6">
      <c r="A713" s="107"/>
      <c r="B713" s="107"/>
      <c r="C713" s="107"/>
      <c r="D713" s="107"/>
      <c r="E713" s="107"/>
      <c r="F713" s="107"/>
      <c r="G713" s="107"/>
    </row>
    <row r="714" spans="1:7" ht="17.100000000000001" customHeight="1" x14ac:dyDescent="0.6">
      <c r="A714" s="107"/>
      <c r="B714" s="107"/>
      <c r="C714" s="107"/>
      <c r="D714" s="107"/>
      <c r="E714" s="107"/>
      <c r="F714" s="107"/>
      <c r="G714" s="107"/>
    </row>
    <row r="715" spans="1:7" ht="17.100000000000001" customHeight="1" x14ac:dyDescent="0.6">
      <c r="A715" s="107"/>
      <c r="B715" s="107"/>
      <c r="C715" s="107"/>
      <c r="D715" s="107"/>
      <c r="E715" s="107"/>
      <c r="F715" s="107"/>
      <c r="G715" s="107"/>
    </row>
    <row r="716" spans="1:7" ht="17.100000000000001" customHeight="1" x14ac:dyDescent="0.6">
      <c r="A716" s="107"/>
      <c r="B716" s="107"/>
      <c r="C716" s="107"/>
      <c r="D716" s="107"/>
      <c r="E716" s="107"/>
      <c r="F716" s="107"/>
      <c r="G716" s="107"/>
    </row>
    <row r="717" spans="1:7" ht="17.100000000000001" customHeight="1" x14ac:dyDescent="0.6">
      <c r="A717" s="107"/>
      <c r="B717" s="107"/>
      <c r="C717" s="107"/>
      <c r="D717" s="107"/>
      <c r="E717" s="107"/>
      <c r="F717" s="107"/>
      <c r="G717" s="107"/>
    </row>
    <row r="718" spans="1:7" ht="17.100000000000001" customHeight="1" x14ac:dyDescent="0.6">
      <c r="A718" s="107"/>
      <c r="B718" s="107"/>
      <c r="C718" s="107"/>
      <c r="D718" s="107"/>
      <c r="E718" s="107"/>
      <c r="F718" s="107"/>
      <c r="G718" s="107"/>
    </row>
    <row r="719" spans="1:7" ht="17.100000000000001" customHeight="1" x14ac:dyDescent="0.6">
      <c r="A719" s="107"/>
      <c r="B719" s="107"/>
      <c r="C719" s="107"/>
      <c r="D719" s="107"/>
      <c r="E719" s="107"/>
      <c r="F719" s="107"/>
      <c r="G719" s="107"/>
    </row>
    <row r="720" spans="1:7" ht="17.100000000000001" customHeight="1" x14ac:dyDescent="0.6">
      <c r="A720" s="107"/>
      <c r="B720" s="107"/>
      <c r="C720" s="107"/>
      <c r="D720" s="107"/>
      <c r="E720" s="107"/>
      <c r="F720" s="107"/>
      <c r="G720" s="107"/>
    </row>
    <row r="721" spans="1:7" ht="17.100000000000001" customHeight="1" x14ac:dyDescent="0.6">
      <c r="A721" s="107"/>
      <c r="B721" s="107"/>
      <c r="C721" s="107"/>
      <c r="D721" s="107"/>
      <c r="E721" s="107"/>
      <c r="F721" s="107"/>
      <c r="G721" s="107"/>
    </row>
    <row r="722" spans="1:7" ht="17.100000000000001" customHeight="1" x14ac:dyDescent="0.6">
      <c r="A722" s="107"/>
      <c r="B722" s="107"/>
      <c r="C722" s="107"/>
      <c r="D722" s="107"/>
      <c r="E722" s="107"/>
      <c r="F722" s="107"/>
      <c r="G722" s="107"/>
    </row>
    <row r="723" spans="1:7" ht="17.100000000000001" customHeight="1" x14ac:dyDescent="0.6">
      <c r="A723" s="107"/>
      <c r="B723" s="107"/>
      <c r="C723" s="107"/>
      <c r="D723" s="107"/>
      <c r="E723" s="107"/>
      <c r="F723" s="107"/>
      <c r="G723" s="107"/>
    </row>
    <row r="724" spans="1:7" ht="17.100000000000001" customHeight="1" x14ac:dyDescent="0.6">
      <c r="A724" s="107"/>
      <c r="B724" s="107"/>
      <c r="C724" s="107"/>
      <c r="D724" s="107"/>
      <c r="E724" s="107"/>
      <c r="F724" s="107"/>
      <c r="G724" s="107"/>
    </row>
    <row r="725" spans="1:7" ht="17.100000000000001" customHeight="1" x14ac:dyDescent="0.6">
      <c r="A725" s="107"/>
      <c r="B725" s="107"/>
      <c r="C725" s="107"/>
      <c r="D725" s="107"/>
      <c r="E725" s="107"/>
      <c r="F725" s="107"/>
      <c r="G725" s="107"/>
    </row>
    <row r="726" spans="1:7" ht="17.100000000000001" customHeight="1" x14ac:dyDescent="0.6">
      <c r="A726" s="107"/>
      <c r="B726" s="107"/>
      <c r="C726" s="107"/>
      <c r="D726" s="107"/>
      <c r="E726" s="107"/>
      <c r="F726" s="107"/>
      <c r="G726" s="107"/>
    </row>
    <row r="727" spans="1:7" ht="17.100000000000001" customHeight="1" x14ac:dyDescent="0.6">
      <c r="A727" s="107"/>
      <c r="B727" s="107"/>
      <c r="C727" s="107"/>
      <c r="D727" s="107"/>
      <c r="E727" s="107"/>
      <c r="F727" s="107"/>
      <c r="G727" s="107"/>
    </row>
    <row r="728" spans="1:7" ht="17.100000000000001" customHeight="1" x14ac:dyDescent="0.6">
      <c r="A728" s="107"/>
      <c r="B728" s="107"/>
      <c r="C728" s="107"/>
      <c r="D728" s="107"/>
      <c r="E728" s="107"/>
      <c r="F728" s="107"/>
      <c r="G728" s="107"/>
    </row>
    <row r="729" spans="1:7" ht="17.100000000000001" customHeight="1" x14ac:dyDescent="0.6">
      <c r="A729" s="107"/>
      <c r="B729" s="107"/>
      <c r="C729" s="107"/>
      <c r="D729" s="107"/>
      <c r="E729" s="107"/>
      <c r="F729" s="107"/>
      <c r="G729" s="107"/>
    </row>
    <row r="730" spans="1:7" ht="17.100000000000001" customHeight="1" x14ac:dyDescent="0.6">
      <c r="A730" s="107"/>
      <c r="B730" s="107"/>
      <c r="C730" s="107"/>
      <c r="D730" s="107"/>
      <c r="E730" s="107"/>
      <c r="F730" s="107"/>
      <c r="G730" s="107"/>
    </row>
    <row r="731" spans="1:7" ht="17.100000000000001" customHeight="1" x14ac:dyDescent="0.6">
      <c r="A731" s="107"/>
      <c r="B731" s="107"/>
      <c r="C731" s="107"/>
      <c r="D731" s="107"/>
      <c r="E731" s="107"/>
      <c r="F731" s="107"/>
      <c r="G731" s="107"/>
    </row>
    <row r="732" spans="1:7" ht="17.100000000000001" customHeight="1" x14ac:dyDescent="0.6">
      <c r="A732" s="107"/>
      <c r="B732" s="107"/>
      <c r="C732" s="107"/>
      <c r="D732" s="107"/>
      <c r="E732" s="107"/>
      <c r="F732" s="107"/>
      <c r="G732" s="107"/>
    </row>
    <row r="733" spans="1:7" ht="17.100000000000001" customHeight="1" x14ac:dyDescent="0.6">
      <c r="A733" s="107"/>
      <c r="B733" s="107"/>
      <c r="C733" s="107"/>
      <c r="D733" s="107"/>
      <c r="E733" s="107"/>
      <c r="F733" s="107"/>
      <c r="G733" s="107"/>
    </row>
    <row r="734" spans="1:7" ht="17.100000000000001" customHeight="1" x14ac:dyDescent="0.6">
      <c r="A734" s="107"/>
      <c r="B734" s="107"/>
      <c r="C734" s="107"/>
      <c r="D734" s="107"/>
      <c r="E734" s="107"/>
      <c r="F734" s="107"/>
      <c r="G734" s="107"/>
    </row>
    <row r="735" spans="1:7" ht="17.100000000000001" customHeight="1" x14ac:dyDescent="0.6">
      <c r="A735" s="107"/>
      <c r="B735" s="107"/>
      <c r="C735" s="107"/>
      <c r="D735" s="107"/>
      <c r="E735" s="107"/>
      <c r="F735" s="107"/>
      <c r="G735" s="107"/>
    </row>
    <row r="736" spans="1:7" ht="17.100000000000001" customHeight="1" x14ac:dyDescent="0.6">
      <c r="A736" s="107"/>
      <c r="B736" s="107"/>
      <c r="C736" s="107"/>
      <c r="D736" s="107"/>
      <c r="E736" s="107"/>
      <c r="F736" s="107"/>
      <c r="G736" s="107"/>
    </row>
    <row r="737" spans="1:7" ht="17.100000000000001" customHeight="1" x14ac:dyDescent="0.6">
      <c r="A737" s="107"/>
      <c r="B737" s="107"/>
      <c r="C737" s="107"/>
      <c r="D737" s="107"/>
      <c r="E737" s="107"/>
      <c r="F737" s="107"/>
      <c r="G737" s="107"/>
    </row>
    <row r="738" spans="1:7" ht="17.100000000000001" customHeight="1" x14ac:dyDescent="0.6">
      <c r="A738" s="107"/>
      <c r="B738" s="107"/>
      <c r="C738" s="107"/>
      <c r="D738" s="107"/>
      <c r="E738" s="107"/>
      <c r="F738" s="107"/>
      <c r="G738" s="107"/>
    </row>
    <row r="739" spans="1:7" ht="17.100000000000001" customHeight="1" x14ac:dyDescent="0.6">
      <c r="A739" s="107"/>
      <c r="B739" s="107"/>
      <c r="C739" s="107"/>
      <c r="D739" s="107"/>
      <c r="E739" s="107"/>
      <c r="F739" s="107"/>
      <c r="G739" s="107"/>
    </row>
    <row r="740" spans="1:7" ht="17.100000000000001" customHeight="1" x14ac:dyDescent="0.6">
      <c r="A740" s="107"/>
      <c r="B740" s="107"/>
      <c r="C740" s="107"/>
      <c r="D740" s="107"/>
      <c r="E740" s="107"/>
      <c r="F740" s="107"/>
      <c r="G740" s="107"/>
    </row>
    <row r="741" spans="1:7" ht="17.100000000000001" customHeight="1" x14ac:dyDescent="0.6">
      <c r="A741" s="107"/>
      <c r="B741" s="107"/>
      <c r="C741" s="107"/>
      <c r="D741" s="107"/>
      <c r="E741" s="107"/>
      <c r="F741" s="107"/>
      <c r="G741" s="107"/>
    </row>
    <row r="742" spans="1:7" ht="17.100000000000001" customHeight="1" x14ac:dyDescent="0.6">
      <c r="A742" s="107"/>
      <c r="B742" s="107"/>
      <c r="C742" s="107"/>
      <c r="D742" s="107"/>
      <c r="E742" s="107"/>
      <c r="F742" s="107"/>
      <c r="G742" s="107"/>
    </row>
    <row r="743" spans="1:7" ht="17.100000000000001" customHeight="1" x14ac:dyDescent="0.6">
      <c r="A743" s="107"/>
      <c r="B743" s="107"/>
      <c r="C743" s="107"/>
      <c r="D743" s="107"/>
      <c r="E743" s="107"/>
      <c r="F743" s="107"/>
      <c r="G743" s="107"/>
    </row>
    <row r="744" spans="1:7" ht="17.100000000000001" customHeight="1" x14ac:dyDescent="0.6">
      <c r="A744" s="107"/>
      <c r="B744" s="107"/>
      <c r="C744" s="107"/>
      <c r="D744" s="107"/>
      <c r="E744" s="107"/>
      <c r="F744" s="107"/>
      <c r="G744" s="107"/>
    </row>
    <row r="745" spans="1:7" ht="17.100000000000001" customHeight="1" x14ac:dyDescent="0.6">
      <c r="A745" s="107"/>
      <c r="B745" s="107"/>
      <c r="C745" s="107"/>
      <c r="D745" s="107"/>
      <c r="E745" s="107"/>
      <c r="F745" s="107"/>
      <c r="G745" s="107"/>
    </row>
    <row r="746" spans="1:7" ht="17.100000000000001" customHeight="1" x14ac:dyDescent="0.6">
      <c r="A746" s="107"/>
      <c r="B746" s="107"/>
      <c r="C746" s="107"/>
      <c r="D746" s="107"/>
      <c r="E746" s="107"/>
      <c r="F746" s="107"/>
      <c r="G746" s="107"/>
    </row>
    <row r="747" spans="1:7" ht="17.100000000000001" customHeight="1" x14ac:dyDescent="0.6">
      <c r="A747" s="107"/>
      <c r="B747" s="107"/>
      <c r="C747" s="107"/>
      <c r="D747" s="107"/>
      <c r="E747" s="107"/>
      <c r="F747" s="107"/>
      <c r="G747" s="107"/>
    </row>
    <row r="748" spans="1:7" ht="17.100000000000001" customHeight="1" x14ac:dyDescent="0.6">
      <c r="A748" s="107"/>
      <c r="B748" s="107"/>
      <c r="C748" s="107"/>
      <c r="D748" s="107"/>
      <c r="E748" s="107"/>
      <c r="F748" s="107"/>
      <c r="G748" s="107"/>
    </row>
    <row r="749" spans="1:7" ht="17.100000000000001" customHeight="1" x14ac:dyDescent="0.6">
      <c r="A749" s="107"/>
      <c r="B749" s="107"/>
      <c r="C749" s="107"/>
      <c r="D749" s="107"/>
      <c r="E749" s="107"/>
      <c r="F749" s="107"/>
      <c r="G749" s="107"/>
    </row>
    <row r="750" spans="1:7" ht="17.100000000000001" customHeight="1" x14ac:dyDescent="0.6">
      <c r="A750" s="107"/>
      <c r="B750" s="107"/>
      <c r="C750" s="107"/>
      <c r="D750" s="107"/>
      <c r="E750" s="107"/>
      <c r="F750" s="107"/>
      <c r="G750" s="107"/>
    </row>
    <row r="751" spans="1:7" ht="17.100000000000001" customHeight="1" x14ac:dyDescent="0.6">
      <c r="A751" s="107"/>
      <c r="B751" s="107"/>
      <c r="C751" s="107"/>
      <c r="D751" s="107"/>
      <c r="E751" s="107"/>
      <c r="F751" s="107"/>
      <c r="G751" s="107"/>
    </row>
    <row r="752" spans="1:7" ht="17.100000000000001" customHeight="1" x14ac:dyDescent="0.6">
      <c r="A752" s="107"/>
      <c r="B752" s="107"/>
      <c r="C752" s="107"/>
      <c r="D752" s="107"/>
      <c r="E752" s="107"/>
      <c r="F752" s="107"/>
      <c r="G752" s="107"/>
    </row>
    <row r="753" spans="1:7" ht="17.100000000000001" customHeight="1" x14ac:dyDescent="0.6">
      <c r="A753" s="107"/>
      <c r="B753" s="107"/>
      <c r="C753" s="107"/>
      <c r="D753" s="107"/>
      <c r="E753" s="107"/>
      <c r="F753" s="107"/>
      <c r="G753" s="107"/>
    </row>
    <row r="754" spans="1:7" ht="17.100000000000001" customHeight="1" x14ac:dyDescent="0.6">
      <c r="A754" s="107"/>
      <c r="B754" s="107"/>
      <c r="C754" s="107"/>
      <c r="D754" s="107"/>
      <c r="E754" s="107"/>
      <c r="F754" s="107"/>
      <c r="G754" s="107"/>
    </row>
    <row r="755" spans="1:7" ht="17.100000000000001" customHeight="1" x14ac:dyDescent="0.6">
      <c r="A755" s="107"/>
      <c r="B755" s="107"/>
      <c r="C755" s="107"/>
      <c r="D755" s="107"/>
      <c r="E755" s="107"/>
      <c r="F755" s="107"/>
      <c r="G755" s="107"/>
    </row>
    <row r="756" spans="1:7" ht="17.100000000000001" customHeight="1" x14ac:dyDescent="0.6">
      <c r="A756" s="107"/>
      <c r="B756" s="107"/>
      <c r="C756" s="107"/>
      <c r="D756" s="107"/>
      <c r="E756" s="107"/>
      <c r="F756" s="107"/>
      <c r="G756" s="107"/>
    </row>
    <row r="757" spans="1:7" ht="17.100000000000001" customHeight="1" x14ac:dyDescent="0.6">
      <c r="A757" s="107"/>
      <c r="B757" s="107"/>
      <c r="C757" s="107"/>
      <c r="D757" s="107"/>
      <c r="E757" s="107"/>
      <c r="F757" s="107"/>
      <c r="G757" s="107"/>
    </row>
    <row r="758" spans="1:7" ht="17.100000000000001" customHeight="1" x14ac:dyDescent="0.6">
      <c r="A758" s="107"/>
      <c r="B758" s="107"/>
      <c r="C758" s="107"/>
      <c r="D758" s="107"/>
      <c r="E758" s="107"/>
      <c r="F758" s="107"/>
      <c r="G758" s="107"/>
    </row>
    <row r="759" spans="1:7" ht="17.100000000000001" customHeight="1" x14ac:dyDescent="0.6">
      <c r="A759" s="107"/>
      <c r="B759" s="107"/>
      <c r="C759" s="107"/>
      <c r="D759" s="107"/>
      <c r="E759" s="107"/>
      <c r="F759" s="107"/>
      <c r="G759" s="107"/>
    </row>
    <row r="760" spans="1:7" ht="17.100000000000001" customHeight="1" x14ac:dyDescent="0.6">
      <c r="A760" s="107"/>
      <c r="B760" s="107"/>
      <c r="C760" s="107"/>
      <c r="D760" s="107"/>
      <c r="E760" s="107"/>
      <c r="F760" s="107"/>
      <c r="G760" s="107"/>
    </row>
    <row r="761" spans="1:7" ht="17.100000000000001" customHeight="1" x14ac:dyDescent="0.6">
      <c r="A761" s="107"/>
      <c r="B761" s="107"/>
      <c r="C761" s="107"/>
      <c r="D761" s="107"/>
      <c r="E761" s="107"/>
      <c r="F761" s="107"/>
      <c r="G761" s="107"/>
    </row>
    <row r="762" spans="1:7" ht="17.100000000000001" customHeight="1" x14ac:dyDescent="0.6">
      <c r="A762" s="107"/>
      <c r="B762" s="107"/>
      <c r="C762" s="107"/>
      <c r="D762" s="107"/>
      <c r="E762" s="107"/>
      <c r="F762" s="107"/>
      <c r="G762" s="107"/>
    </row>
    <row r="763" spans="1:7" ht="17.100000000000001" customHeight="1" x14ac:dyDescent="0.6">
      <c r="A763" s="107"/>
      <c r="B763" s="107"/>
      <c r="C763" s="107"/>
      <c r="D763" s="107"/>
      <c r="E763" s="107"/>
      <c r="F763" s="107"/>
      <c r="G763" s="107"/>
    </row>
    <row r="764" spans="1:7" ht="17.100000000000001" customHeight="1" x14ac:dyDescent="0.6">
      <c r="A764" s="107"/>
      <c r="B764" s="107"/>
      <c r="C764" s="107"/>
      <c r="D764" s="107"/>
      <c r="E764" s="107"/>
      <c r="F764" s="107"/>
      <c r="G764" s="107"/>
    </row>
    <row r="765" spans="1:7" ht="17.100000000000001" customHeight="1" x14ac:dyDescent="0.6">
      <c r="A765" s="107"/>
      <c r="B765" s="107"/>
      <c r="C765" s="107"/>
      <c r="D765" s="107"/>
      <c r="E765" s="107"/>
      <c r="F765" s="107"/>
      <c r="G765" s="107"/>
    </row>
    <row r="766" spans="1:7" ht="17.100000000000001" customHeight="1" x14ac:dyDescent="0.6">
      <c r="A766" s="107"/>
      <c r="B766" s="107"/>
      <c r="C766" s="107"/>
      <c r="D766" s="107"/>
      <c r="E766" s="107"/>
      <c r="F766" s="107"/>
      <c r="G766" s="107"/>
    </row>
    <row r="767" spans="1:7" ht="17.100000000000001" customHeight="1" x14ac:dyDescent="0.6">
      <c r="A767" s="107"/>
      <c r="B767" s="107"/>
      <c r="C767" s="107"/>
      <c r="D767" s="107"/>
      <c r="E767" s="107"/>
      <c r="F767" s="107"/>
      <c r="G767" s="107"/>
    </row>
    <row r="768" spans="1:7" ht="17.100000000000001" customHeight="1" x14ac:dyDescent="0.6">
      <c r="A768" s="107"/>
      <c r="B768" s="107"/>
      <c r="C768" s="107"/>
      <c r="D768" s="107"/>
      <c r="E768" s="107"/>
      <c r="F768" s="107"/>
      <c r="G768" s="107"/>
    </row>
    <row r="769" spans="1:7" ht="17.100000000000001" customHeight="1" x14ac:dyDescent="0.6">
      <c r="A769" s="107"/>
      <c r="B769" s="107"/>
      <c r="C769" s="107"/>
      <c r="D769" s="107"/>
      <c r="E769" s="107"/>
      <c r="F769" s="107"/>
      <c r="G769" s="107"/>
    </row>
    <row r="770" spans="1:7" ht="17.100000000000001" customHeight="1" x14ac:dyDescent="0.6">
      <c r="A770" s="107"/>
      <c r="B770" s="107"/>
      <c r="C770" s="107"/>
      <c r="D770" s="107"/>
      <c r="E770" s="107"/>
      <c r="F770" s="107"/>
      <c r="G770" s="107"/>
    </row>
    <row r="771" spans="1:7" ht="17.100000000000001" customHeight="1" x14ac:dyDescent="0.6">
      <c r="A771" s="107"/>
      <c r="B771" s="107"/>
      <c r="C771" s="107"/>
      <c r="D771" s="107"/>
      <c r="E771" s="107"/>
      <c r="F771" s="107"/>
      <c r="G771" s="107"/>
    </row>
    <row r="772" spans="1:7" ht="17.100000000000001" customHeight="1" x14ac:dyDescent="0.6">
      <c r="A772" s="107"/>
      <c r="B772" s="107"/>
      <c r="C772" s="107"/>
      <c r="D772" s="107"/>
      <c r="E772" s="107"/>
      <c r="F772" s="107"/>
      <c r="G772" s="107"/>
    </row>
    <row r="773" spans="1:7" ht="17.100000000000001" customHeight="1" x14ac:dyDescent="0.6">
      <c r="A773" s="107"/>
      <c r="B773" s="107"/>
      <c r="C773" s="107"/>
      <c r="D773" s="107"/>
      <c r="E773" s="107"/>
      <c r="F773" s="107"/>
      <c r="G773" s="107"/>
    </row>
    <row r="774" spans="1:7" ht="17.100000000000001" customHeight="1" x14ac:dyDescent="0.6">
      <c r="A774" s="107"/>
      <c r="B774" s="107"/>
      <c r="C774" s="107"/>
      <c r="D774" s="107"/>
      <c r="E774" s="107"/>
      <c r="F774" s="107"/>
      <c r="G774" s="107"/>
    </row>
    <row r="775" spans="1:7" ht="17.100000000000001" customHeight="1" x14ac:dyDescent="0.6">
      <c r="A775" s="107"/>
      <c r="B775" s="107"/>
      <c r="C775" s="107"/>
      <c r="D775" s="107"/>
      <c r="E775" s="107"/>
      <c r="F775" s="107"/>
      <c r="G775" s="107"/>
    </row>
    <row r="776" spans="1:7" ht="17.100000000000001" customHeight="1" x14ac:dyDescent="0.6">
      <c r="A776" s="107"/>
      <c r="B776" s="107"/>
      <c r="C776" s="107"/>
      <c r="D776" s="107"/>
      <c r="E776" s="107"/>
      <c r="F776" s="107"/>
      <c r="G776" s="107"/>
    </row>
    <row r="777" spans="1:7" ht="17.100000000000001" customHeight="1" x14ac:dyDescent="0.6">
      <c r="A777" s="107"/>
      <c r="B777" s="107"/>
      <c r="C777" s="107"/>
      <c r="D777" s="107"/>
      <c r="E777" s="107"/>
      <c r="F777" s="107"/>
      <c r="G777" s="107"/>
    </row>
    <row r="778" spans="1:7" ht="17.100000000000001" customHeight="1" x14ac:dyDescent="0.6">
      <c r="A778" s="107"/>
      <c r="B778" s="107"/>
      <c r="C778" s="107"/>
      <c r="D778" s="107"/>
      <c r="E778" s="107"/>
      <c r="F778" s="107"/>
      <c r="G778" s="107"/>
    </row>
    <row r="779" spans="1:7" ht="17.100000000000001" customHeight="1" x14ac:dyDescent="0.6">
      <c r="A779" s="107"/>
      <c r="B779" s="107"/>
      <c r="C779" s="107"/>
      <c r="D779" s="107"/>
      <c r="E779" s="107"/>
      <c r="F779" s="107"/>
      <c r="G779" s="107"/>
    </row>
    <row r="780" spans="1:7" ht="17.100000000000001" customHeight="1" x14ac:dyDescent="0.6">
      <c r="A780" s="107"/>
      <c r="B780" s="107"/>
      <c r="C780" s="107"/>
      <c r="D780" s="107"/>
      <c r="E780" s="107"/>
      <c r="F780" s="107"/>
      <c r="G780" s="107"/>
    </row>
    <row r="781" spans="1:7" ht="17.100000000000001" customHeight="1" x14ac:dyDescent="0.6">
      <c r="A781" s="107"/>
      <c r="B781" s="107"/>
      <c r="C781" s="107"/>
      <c r="D781" s="107"/>
      <c r="E781" s="107"/>
      <c r="F781" s="107"/>
      <c r="G781" s="107"/>
    </row>
    <row r="782" spans="1:7" ht="17.100000000000001" customHeight="1" x14ac:dyDescent="0.6">
      <c r="A782" s="107"/>
      <c r="B782" s="107"/>
      <c r="C782" s="107"/>
      <c r="D782" s="107"/>
      <c r="E782" s="107"/>
      <c r="F782" s="107"/>
      <c r="G782" s="107"/>
    </row>
    <row r="783" spans="1:7" ht="17.100000000000001" customHeight="1" x14ac:dyDescent="0.6">
      <c r="A783" s="107"/>
      <c r="B783" s="107"/>
      <c r="C783" s="107"/>
      <c r="D783" s="107"/>
      <c r="E783" s="107"/>
      <c r="F783" s="107"/>
      <c r="G783" s="107"/>
    </row>
    <row r="784" spans="1:7" ht="17.100000000000001" customHeight="1" x14ac:dyDescent="0.6">
      <c r="A784" s="107"/>
      <c r="B784" s="107"/>
      <c r="C784" s="107"/>
      <c r="D784" s="107"/>
      <c r="E784" s="107"/>
      <c r="F784" s="107"/>
      <c r="G784" s="107"/>
    </row>
    <row r="785" spans="1:7" ht="17.100000000000001" customHeight="1" x14ac:dyDescent="0.6">
      <c r="A785" s="107"/>
      <c r="B785" s="107"/>
      <c r="C785" s="107"/>
      <c r="D785" s="107"/>
      <c r="E785" s="107"/>
      <c r="F785" s="107"/>
      <c r="G785" s="107"/>
    </row>
    <row r="786" spans="1:7" ht="17.100000000000001" customHeight="1" x14ac:dyDescent="0.6">
      <c r="A786" s="107"/>
      <c r="B786" s="107"/>
      <c r="C786" s="107"/>
      <c r="D786" s="107"/>
      <c r="E786" s="107"/>
      <c r="F786" s="107"/>
      <c r="G786" s="107"/>
    </row>
    <row r="787" spans="1:7" ht="17.100000000000001" customHeight="1" x14ac:dyDescent="0.6">
      <c r="A787" s="107"/>
      <c r="B787" s="107"/>
      <c r="C787" s="107"/>
      <c r="D787" s="107"/>
      <c r="E787" s="107"/>
      <c r="F787" s="107"/>
      <c r="G787" s="107"/>
    </row>
    <row r="788" spans="1:7" ht="17.100000000000001" customHeight="1" x14ac:dyDescent="0.6">
      <c r="A788" s="107"/>
      <c r="B788" s="107"/>
      <c r="C788" s="107"/>
      <c r="D788" s="107"/>
      <c r="E788" s="107"/>
      <c r="F788" s="107"/>
      <c r="G788" s="107"/>
    </row>
    <row r="789" spans="1:7" ht="17.100000000000001" customHeight="1" x14ac:dyDescent="0.6">
      <c r="A789" s="107"/>
      <c r="B789" s="107"/>
      <c r="C789" s="107"/>
      <c r="D789" s="107"/>
      <c r="E789" s="107"/>
      <c r="F789" s="107"/>
      <c r="G789" s="107"/>
    </row>
    <row r="790" spans="1:7" ht="17.100000000000001" customHeight="1" x14ac:dyDescent="0.6">
      <c r="A790" s="107"/>
      <c r="B790" s="107"/>
      <c r="C790" s="107"/>
      <c r="D790" s="107"/>
      <c r="E790" s="107"/>
      <c r="F790" s="107"/>
      <c r="G790" s="107"/>
    </row>
    <row r="791" spans="1:7" ht="17.100000000000001" customHeight="1" x14ac:dyDescent="0.6">
      <c r="A791" s="107"/>
      <c r="B791" s="107"/>
      <c r="C791" s="107"/>
      <c r="D791" s="107"/>
      <c r="E791" s="107"/>
      <c r="F791" s="107"/>
      <c r="G791" s="107"/>
    </row>
    <row r="792" spans="1:7" ht="17.100000000000001" customHeight="1" x14ac:dyDescent="0.6">
      <c r="A792" s="107"/>
      <c r="B792" s="107"/>
      <c r="C792" s="107"/>
      <c r="D792" s="107"/>
      <c r="E792" s="107"/>
      <c r="F792" s="107"/>
      <c r="G792" s="107"/>
    </row>
    <row r="793" spans="1:7" ht="17.100000000000001" customHeight="1" x14ac:dyDescent="0.6">
      <c r="A793" s="107"/>
      <c r="B793" s="107"/>
      <c r="C793" s="107"/>
      <c r="D793" s="107"/>
      <c r="E793" s="107"/>
      <c r="F793" s="107"/>
      <c r="G793" s="107"/>
    </row>
    <row r="794" spans="1:7" ht="17.100000000000001" customHeight="1" x14ac:dyDescent="0.6">
      <c r="A794" s="107"/>
      <c r="B794" s="107"/>
      <c r="C794" s="107"/>
      <c r="D794" s="107"/>
      <c r="E794" s="107"/>
      <c r="F794" s="107"/>
      <c r="G794" s="107"/>
    </row>
    <row r="795" spans="1:7" ht="17.100000000000001" customHeight="1" x14ac:dyDescent="0.6">
      <c r="A795" s="107"/>
      <c r="B795" s="107"/>
      <c r="C795" s="107"/>
      <c r="D795" s="107"/>
      <c r="E795" s="107"/>
      <c r="F795" s="107"/>
      <c r="G795" s="107"/>
    </row>
    <row r="796" spans="1:7" ht="17.100000000000001" customHeight="1" x14ac:dyDescent="0.6">
      <c r="A796" s="107"/>
      <c r="B796" s="107"/>
      <c r="C796" s="107"/>
      <c r="D796" s="107"/>
      <c r="E796" s="107"/>
      <c r="F796" s="107"/>
      <c r="G796" s="107"/>
    </row>
    <row r="797" spans="1:7" ht="17.100000000000001" customHeight="1" x14ac:dyDescent="0.6">
      <c r="A797" s="107"/>
      <c r="B797" s="107"/>
      <c r="C797" s="107"/>
      <c r="D797" s="107"/>
      <c r="E797" s="107"/>
      <c r="F797" s="107"/>
      <c r="G797" s="107"/>
    </row>
    <row r="798" spans="1:7" ht="17.100000000000001" customHeight="1" x14ac:dyDescent="0.6">
      <c r="A798" s="107"/>
      <c r="B798" s="107"/>
      <c r="C798" s="107"/>
      <c r="D798" s="107"/>
      <c r="E798" s="107"/>
      <c r="F798" s="107"/>
      <c r="G798" s="107"/>
    </row>
    <row r="799" spans="1:7" ht="17.100000000000001" customHeight="1" x14ac:dyDescent="0.6">
      <c r="A799" s="107"/>
      <c r="B799" s="107"/>
      <c r="C799" s="107"/>
      <c r="D799" s="107"/>
      <c r="E799" s="107"/>
      <c r="F799" s="107"/>
      <c r="G799" s="107"/>
    </row>
    <row r="800" spans="1:7" ht="17.100000000000001" customHeight="1" x14ac:dyDescent="0.6">
      <c r="A800" s="107"/>
      <c r="B800" s="107"/>
      <c r="C800" s="107"/>
      <c r="D800" s="107"/>
      <c r="E800" s="107"/>
      <c r="F800" s="107"/>
      <c r="G800" s="107"/>
    </row>
    <row r="801" spans="1:7" ht="17.100000000000001" customHeight="1" x14ac:dyDescent="0.6">
      <c r="A801" s="107"/>
      <c r="B801" s="107"/>
      <c r="C801" s="107"/>
      <c r="D801" s="107"/>
      <c r="E801" s="107"/>
      <c r="F801" s="107"/>
      <c r="G801" s="107"/>
    </row>
    <row r="802" spans="1:7" ht="17.100000000000001" customHeight="1" x14ac:dyDescent="0.6">
      <c r="A802" s="107"/>
      <c r="B802" s="107"/>
      <c r="C802" s="107"/>
      <c r="D802" s="107"/>
      <c r="E802" s="107"/>
      <c r="F802" s="107"/>
      <c r="G802" s="107"/>
    </row>
    <row r="803" spans="1:7" ht="17.100000000000001" customHeight="1" x14ac:dyDescent="0.6">
      <c r="A803" s="107"/>
      <c r="B803" s="107"/>
      <c r="C803" s="107"/>
      <c r="D803" s="107"/>
      <c r="E803" s="107"/>
      <c r="F803" s="107"/>
      <c r="G803" s="107"/>
    </row>
    <row r="804" spans="1:7" ht="17.100000000000001" customHeight="1" x14ac:dyDescent="0.6">
      <c r="A804" s="107"/>
      <c r="B804" s="107"/>
      <c r="C804" s="107"/>
      <c r="D804" s="107"/>
      <c r="E804" s="107"/>
      <c r="F804" s="107"/>
      <c r="G804" s="107"/>
    </row>
    <row r="805" spans="1:7" ht="17.100000000000001" customHeight="1" x14ac:dyDescent="0.6">
      <c r="A805" s="107"/>
      <c r="B805" s="107"/>
      <c r="C805" s="107"/>
      <c r="D805" s="107"/>
      <c r="E805" s="107"/>
      <c r="F805" s="107"/>
      <c r="G805" s="107"/>
    </row>
    <row r="806" spans="1:7" ht="17.100000000000001" customHeight="1" x14ac:dyDescent="0.6">
      <c r="A806" s="107"/>
      <c r="B806" s="107"/>
      <c r="C806" s="107"/>
      <c r="D806" s="107"/>
      <c r="E806" s="107"/>
      <c r="F806" s="107"/>
      <c r="G806" s="107"/>
    </row>
    <row r="807" spans="1:7" ht="17.100000000000001" customHeight="1" x14ac:dyDescent="0.6">
      <c r="A807" s="107"/>
      <c r="B807" s="107"/>
      <c r="C807" s="107"/>
      <c r="D807" s="107"/>
      <c r="E807" s="107"/>
      <c r="F807" s="107"/>
      <c r="G807" s="107"/>
    </row>
    <row r="808" spans="1:7" ht="17.100000000000001" customHeight="1" x14ac:dyDescent="0.6">
      <c r="A808" s="107"/>
      <c r="B808" s="107"/>
      <c r="C808" s="107"/>
      <c r="D808" s="107"/>
      <c r="E808" s="107"/>
      <c r="F808" s="107"/>
      <c r="G808" s="107"/>
    </row>
    <row r="809" spans="1:7" ht="17.100000000000001" customHeight="1" x14ac:dyDescent="0.6">
      <c r="A809" s="107"/>
      <c r="B809" s="107"/>
      <c r="C809" s="107"/>
      <c r="D809" s="107"/>
      <c r="E809" s="107"/>
      <c r="F809" s="107"/>
      <c r="G809" s="107"/>
    </row>
    <row r="810" spans="1:7" ht="17.100000000000001" customHeight="1" x14ac:dyDescent="0.6">
      <c r="A810" s="107"/>
      <c r="B810" s="107"/>
      <c r="C810" s="107"/>
      <c r="D810" s="107"/>
      <c r="E810" s="107"/>
      <c r="F810" s="107"/>
      <c r="G810" s="107"/>
    </row>
    <row r="811" spans="1:7" ht="17.100000000000001" customHeight="1" x14ac:dyDescent="0.6">
      <c r="A811" s="107"/>
      <c r="B811" s="107"/>
      <c r="C811" s="107"/>
      <c r="D811" s="107"/>
      <c r="E811" s="107"/>
      <c r="F811" s="107"/>
      <c r="G811" s="107"/>
    </row>
    <row r="812" spans="1:7" ht="17.100000000000001" customHeight="1" x14ac:dyDescent="0.6">
      <c r="A812" s="107"/>
      <c r="B812" s="107"/>
      <c r="C812" s="107"/>
      <c r="D812" s="107"/>
      <c r="E812" s="107"/>
      <c r="F812" s="107"/>
      <c r="G812" s="107"/>
    </row>
    <row r="813" spans="1:7" ht="17.100000000000001" customHeight="1" x14ac:dyDescent="0.6">
      <c r="A813" s="107"/>
      <c r="B813" s="107"/>
      <c r="C813" s="107"/>
      <c r="D813" s="107"/>
      <c r="E813" s="107"/>
      <c r="F813" s="107"/>
      <c r="G813" s="107"/>
    </row>
    <row r="814" spans="1:7" ht="17.100000000000001" customHeight="1" x14ac:dyDescent="0.6">
      <c r="A814" s="107"/>
      <c r="B814" s="107"/>
      <c r="C814" s="107"/>
      <c r="D814" s="107"/>
      <c r="E814" s="107"/>
      <c r="F814" s="107"/>
      <c r="G814" s="107"/>
    </row>
    <row r="815" spans="1:7" ht="17.100000000000001" customHeight="1" x14ac:dyDescent="0.6">
      <c r="A815" s="107"/>
      <c r="B815" s="107"/>
      <c r="C815" s="107"/>
      <c r="D815" s="107"/>
      <c r="E815" s="107"/>
      <c r="F815" s="107"/>
      <c r="G815" s="107"/>
    </row>
    <row r="816" spans="1:7" ht="17.100000000000001" customHeight="1" x14ac:dyDescent="0.6">
      <c r="A816" s="107"/>
      <c r="B816" s="107"/>
      <c r="C816" s="107"/>
      <c r="D816" s="107"/>
      <c r="E816" s="107"/>
      <c r="F816" s="107"/>
      <c r="G816" s="107"/>
    </row>
    <row r="817" spans="1:7" ht="17.100000000000001" customHeight="1" x14ac:dyDescent="0.6">
      <c r="A817" s="107"/>
      <c r="B817" s="107"/>
      <c r="C817" s="107"/>
      <c r="D817" s="107"/>
      <c r="E817" s="107"/>
      <c r="F817" s="107"/>
      <c r="G817" s="107"/>
    </row>
    <row r="818" spans="1:7" ht="17.100000000000001" customHeight="1" x14ac:dyDescent="0.6">
      <c r="A818" s="107"/>
      <c r="B818" s="107"/>
      <c r="C818" s="107"/>
      <c r="D818" s="107"/>
      <c r="E818" s="107"/>
      <c r="F818" s="107"/>
      <c r="G818" s="107"/>
    </row>
    <row r="819" spans="1:7" ht="17.100000000000001" customHeight="1" x14ac:dyDescent="0.6">
      <c r="A819" s="107"/>
      <c r="B819" s="107"/>
      <c r="C819" s="107"/>
      <c r="D819" s="107"/>
      <c r="E819" s="107"/>
      <c r="F819" s="107"/>
      <c r="G819" s="107"/>
    </row>
    <row r="820" spans="1:7" ht="17.100000000000001" customHeight="1" x14ac:dyDescent="0.6">
      <c r="A820" s="107"/>
      <c r="B820" s="107"/>
      <c r="C820" s="107"/>
      <c r="D820" s="107"/>
      <c r="E820" s="107"/>
      <c r="F820" s="107"/>
      <c r="G820" s="107"/>
    </row>
    <row r="821" spans="1:7" ht="17.100000000000001" customHeight="1" x14ac:dyDescent="0.6">
      <c r="A821" s="107"/>
      <c r="B821" s="107"/>
      <c r="C821" s="107"/>
      <c r="D821" s="107"/>
      <c r="E821" s="107"/>
      <c r="F821" s="107"/>
      <c r="G821" s="107"/>
    </row>
    <row r="822" spans="1:7" ht="17.100000000000001" customHeight="1" x14ac:dyDescent="0.6">
      <c r="A822" s="107"/>
      <c r="B822" s="107"/>
      <c r="C822" s="107"/>
      <c r="D822" s="107"/>
      <c r="E822" s="107"/>
      <c r="F822" s="107"/>
      <c r="G822" s="107"/>
    </row>
    <row r="823" spans="1:7" ht="17.100000000000001" customHeight="1" x14ac:dyDescent="0.6">
      <c r="A823" s="107"/>
      <c r="B823" s="107"/>
      <c r="C823" s="107"/>
      <c r="D823" s="107"/>
      <c r="E823" s="107"/>
      <c r="F823" s="107"/>
      <c r="G823" s="107"/>
    </row>
    <row r="824" spans="1:7" ht="17.100000000000001" customHeight="1" x14ac:dyDescent="0.6">
      <c r="A824" s="107"/>
      <c r="B824" s="107"/>
      <c r="C824" s="107"/>
      <c r="D824" s="107"/>
      <c r="E824" s="107"/>
      <c r="F824" s="107"/>
      <c r="G824" s="107"/>
    </row>
    <row r="825" spans="1:7" ht="17.100000000000001" customHeight="1" x14ac:dyDescent="0.6">
      <c r="A825" s="107"/>
      <c r="B825" s="107"/>
      <c r="C825" s="107"/>
      <c r="D825" s="107"/>
      <c r="E825" s="107"/>
      <c r="F825" s="107"/>
      <c r="G825" s="107"/>
    </row>
    <row r="826" spans="1:7" ht="17.100000000000001" customHeight="1" x14ac:dyDescent="0.6">
      <c r="A826" s="107"/>
      <c r="B826" s="107"/>
      <c r="C826" s="107"/>
      <c r="D826" s="107"/>
      <c r="E826" s="107"/>
      <c r="F826" s="107"/>
      <c r="G826" s="107"/>
    </row>
    <row r="827" spans="1:7" ht="17.100000000000001" customHeight="1" x14ac:dyDescent="0.6">
      <c r="A827" s="107"/>
      <c r="B827" s="107"/>
      <c r="C827" s="107"/>
      <c r="D827" s="107"/>
      <c r="E827" s="107"/>
      <c r="F827" s="107"/>
      <c r="G827" s="107"/>
    </row>
    <row r="828" spans="1:7" ht="17.100000000000001" customHeight="1" x14ac:dyDescent="0.6">
      <c r="A828" s="107"/>
      <c r="B828" s="107"/>
      <c r="C828" s="107"/>
      <c r="D828" s="107"/>
      <c r="E828" s="107"/>
      <c r="F828" s="107"/>
      <c r="G828" s="107"/>
    </row>
    <row r="829" spans="1:7" ht="17.100000000000001" customHeight="1" x14ac:dyDescent="0.6">
      <c r="A829" s="107"/>
      <c r="B829" s="107"/>
      <c r="C829" s="107"/>
      <c r="D829" s="107"/>
      <c r="E829" s="107"/>
      <c r="F829" s="107"/>
      <c r="G829" s="107"/>
    </row>
    <row r="830" spans="1:7" ht="17.100000000000001" customHeight="1" x14ac:dyDescent="0.6">
      <c r="A830" s="107"/>
      <c r="B830" s="107"/>
      <c r="C830" s="107"/>
      <c r="D830" s="107"/>
      <c r="E830" s="107"/>
      <c r="F830" s="107"/>
      <c r="G830" s="107"/>
    </row>
    <row r="831" spans="1:7" ht="17.100000000000001" customHeight="1" x14ac:dyDescent="0.6">
      <c r="A831" s="107"/>
      <c r="B831" s="107"/>
      <c r="C831" s="107"/>
      <c r="D831" s="107"/>
      <c r="E831" s="107"/>
      <c r="F831" s="107"/>
      <c r="G831" s="107"/>
    </row>
    <row r="832" spans="1:7" ht="17.100000000000001" customHeight="1" x14ac:dyDescent="0.6">
      <c r="A832" s="107"/>
      <c r="B832" s="107"/>
      <c r="C832" s="107"/>
      <c r="D832" s="107"/>
      <c r="E832" s="107"/>
      <c r="F832" s="107"/>
      <c r="G832" s="107"/>
    </row>
    <row r="833" spans="1:7" ht="17.100000000000001" customHeight="1" x14ac:dyDescent="0.6">
      <c r="A833" s="107"/>
      <c r="B833" s="107"/>
      <c r="C833" s="107"/>
      <c r="D833" s="107"/>
      <c r="E833" s="107"/>
      <c r="F833" s="107"/>
      <c r="G833" s="107"/>
    </row>
    <row r="834" spans="1:7" ht="17.100000000000001" customHeight="1" x14ac:dyDescent="0.6">
      <c r="A834" s="107"/>
      <c r="B834" s="107"/>
      <c r="C834" s="107"/>
      <c r="D834" s="107"/>
      <c r="E834" s="107"/>
      <c r="F834" s="107"/>
      <c r="G834" s="107"/>
    </row>
    <row r="835" spans="1:7" ht="17.100000000000001" customHeight="1" x14ac:dyDescent="0.6">
      <c r="A835" s="107"/>
      <c r="B835" s="107"/>
      <c r="C835" s="107"/>
      <c r="D835" s="107"/>
      <c r="E835" s="107"/>
      <c r="F835" s="107"/>
      <c r="G835" s="107"/>
    </row>
    <row r="836" spans="1:7" ht="17.100000000000001" customHeight="1" x14ac:dyDescent="0.6">
      <c r="A836" s="107"/>
      <c r="B836" s="107"/>
      <c r="C836" s="107"/>
      <c r="D836" s="107"/>
      <c r="E836" s="107"/>
      <c r="F836" s="107"/>
      <c r="G836" s="107"/>
    </row>
    <row r="837" spans="1:7" ht="17.100000000000001" customHeight="1" x14ac:dyDescent="0.6">
      <c r="A837" s="107"/>
      <c r="B837" s="107"/>
      <c r="C837" s="107"/>
      <c r="D837" s="107"/>
      <c r="E837" s="107"/>
      <c r="F837" s="107"/>
      <c r="G837" s="107"/>
    </row>
    <row r="838" spans="1:7" ht="17.100000000000001" customHeight="1" x14ac:dyDescent="0.6">
      <c r="A838" s="107"/>
      <c r="B838" s="107"/>
      <c r="C838" s="107"/>
      <c r="D838" s="107"/>
      <c r="E838" s="107"/>
      <c r="F838" s="107"/>
      <c r="G838" s="107"/>
    </row>
    <row r="839" spans="1:7" ht="17.100000000000001" customHeight="1" x14ac:dyDescent="0.6">
      <c r="A839" s="107"/>
      <c r="B839" s="107"/>
      <c r="C839" s="107"/>
      <c r="D839" s="107"/>
      <c r="E839" s="107"/>
      <c r="F839" s="107"/>
      <c r="G839" s="107"/>
    </row>
    <row r="840" spans="1:7" ht="17.100000000000001" customHeight="1" x14ac:dyDescent="0.6">
      <c r="A840" s="107"/>
      <c r="B840" s="107"/>
      <c r="C840" s="107"/>
      <c r="D840" s="107"/>
      <c r="E840" s="107"/>
      <c r="F840" s="107"/>
      <c r="G840" s="107"/>
    </row>
    <row r="841" spans="1:7" ht="17.100000000000001" customHeight="1" x14ac:dyDescent="0.6">
      <c r="A841" s="107"/>
      <c r="B841" s="107"/>
      <c r="C841" s="107"/>
      <c r="D841" s="107"/>
      <c r="E841" s="107"/>
      <c r="F841" s="107"/>
      <c r="G841" s="107"/>
    </row>
    <row r="842" spans="1:7" ht="17.100000000000001" customHeight="1" x14ac:dyDescent="0.6">
      <c r="A842" s="107"/>
      <c r="B842" s="107"/>
      <c r="C842" s="107"/>
      <c r="D842" s="107"/>
      <c r="E842" s="107"/>
      <c r="F842" s="107"/>
      <c r="G842" s="107"/>
    </row>
    <row r="843" spans="1:7" ht="17.100000000000001" customHeight="1" x14ac:dyDescent="0.6">
      <c r="A843" s="107"/>
      <c r="B843" s="107"/>
      <c r="C843" s="107"/>
      <c r="D843" s="107"/>
      <c r="E843" s="107"/>
      <c r="F843" s="107"/>
      <c r="G843" s="107"/>
    </row>
    <row r="844" spans="1:7" ht="17.100000000000001" customHeight="1" x14ac:dyDescent="0.6">
      <c r="A844" s="107"/>
      <c r="B844" s="107"/>
      <c r="C844" s="107"/>
      <c r="D844" s="107"/>
      <c r="E844" s="107"/>
      <c r="F844" s="107"/>
      <c r="G844" s="107"/>
    </row>
    <row r="845" spans="1:7" ht="17.100000000000001" customHeight="1" x14ac:dyDescent="0.6">
      <c r="A845" s="107"/>
      <c r="B845" s="107"/>
      <c r="C845" s="107"/>
      <c r="D845" s="107"/>
      <c r="E845" s="107"/>
      <c r="F845" s="107"/>
      <c r="G845" s="107"/>
    </row>
    <row r="846" spans="1:7" ht="17.100000000000001" customHeight="1" x14ac:dyDescent="0.6">
      <c r="A846" s="107"/>
      <c r="B846" s="107"/>
      <c r="C846" s="107"/>
      <c r="D846" s="107"/>
      <c r="E846" s="107"/>
      <c r="F846" s="107"/>
      <c r="G846" s="107"/>
    </row>
    <row r="847" spans="1:7" ht="17.100000000000001" customHeight="1" x14ac:dyDescent="0.6">
      <c r="A847" s="107"/>
      <c r="B847" s="107"/>
      <c r="C847" s="107"/>
      <c r="D847" s="107"/>
      <c r="E847" s="107"/>
      <c r="F847" s="107"/>
      <c r="G847" s="107"/>
    </row>
    <row r="848" spans="1:7" ht="17.100000000000001" customHeight="1" x14ac:dyDescent="0.6">
      <c r="A848" s="107"/>
      <c r="B848" s="107"/>
      <c r="C848" s="107"/>
      <c r="D848" s="107"/>
      <c r="E848" s="107"/>
      <c r="F848" s="107"/>
      <c r="G848" s="107"/>
    </row>
    <row r="849" spans="1:7" ht="17.100000000000001" customHeight="1" x14ac:dyDescent="0.6">
      <c r="A849" s="107"/>
      <c r="B849" s="107"/>
      <c r="C849" s="107"/>
      <c r="D849" s="107"/>
      <c r="E849" s="107"/>
      <c r="F849" s="107"/>
      <c r="G849" s="107"/>
    </row>
    <row r="850" spans="1:7" ht="17.100000000000001" customHeight="1" x14ac:dyDescent="0.6">
      <c r="A850" s="107"/>
      <c r="B850" s="107"/>
      <c r="C850" s="107"/>
      <c r="D850" s="107"/>
      <c r="E850" s="107"/>
      <c r="F850" s="107"/>
      <c r="G850" s="107"/>
    </row>
    <row r="851" spans="1:7" ht="17.100000000000001" customHeight="1" x14ac:dyDescent="0.6">
      <c r="A851" s="107"/>
      <c r="B851" s="107"/>
      <c r="C851" s="107"/>
      <c r="D851" s="107"/>
      <c r="E851" s="107"/>
      <c r="F851" s="107"/>
      <c r="G851" s="107"/>
    </row>
    <row r="852" spans="1:7" ht="17.100000000000001" customHeight="1" x14ac:dyDescent="0.6">
      <c r="A852" s="107"/>
      <c r="B852" s="107"/>
      <c r="C852" s="107"/>
      <c r="D852" s="107"/>
      <c r="E852" s="107"/>
      <c r="F852" s="107"/>
      <c r="G852" s="107"/>
    </row>
    <row r="853" spans="1:7" ht="17.100000000000001" customHeight="1" x14ac:dyDescent="0.6">
      <c r="A853" s="107"/>
      <c r="B853" s="107"/>
      <c r="C853" s="107"/>
      <c r="D853" s="107"/>
      <c r="E853" s="107"/>
      <c r="F853" s="107"/>
      <c r="G853" s="107"/>
    </row>
    <row r="854" spans="1:7" ht="17.100000000000001" customHeight="1" x14ac:dyDescent="0.6">
      <c r="A854" s="107"/>
      <c r="B854" s="107"/>
      <c r="C854" s="107"/>
      <c r="D854" s="107"/>
      <c r="E854" s="107"/>
      <c r="F854" s="107"/>
      <c r="G854" s="107"/>
    </row>
    <row r="855" spans="1:7" ht="17.100000000000001" customHeight="1" x14ac:dyDescent="0.6">
      <c r="A855" s="107"/>
      <c r="B855" s="107"/>
      <c r="C855" s="107"/>
      <c r="D855" s="107"/>
      <c r="E855" s="107"/>
      <c r="F855" s="107"/>
      <c r="G855" s="107"/>
    </row>
    <row r="856" spans="1:7" ht="17.100000000000001" customHeight="1" x14ac:dyDescent="0.6">
      <c r="A856" s="107"/>
      <c r="B856" s="107"/>
      <c r="C856" s="107"/>
      <c r="D856" s="107"/>
      <c r="E856" s="107"/>
      <c r="F856" s="107"/>
      <c r="G856" s="107"/>
    </row>
    <row r="857" spans="1:7" ht="17.100000000000001" customHeight="1" x14ac:dyDescent="0.6">
      <c r="A857" s="107"/>
      <c r="B857" s="107"/>
      <c r="C857" s="107"/>
      <c r="D857" s="107"/>
      <c r="E857" s="107"/>
      <c r="F857" s="107"/>
      <c r="G857" s="107"/>
    </row>
    <row r="858" spans="1:7" ht="17.100000000000001" customHeight="1" x14ac:dyDescent="0.6">
      <c r="A858" s="107"/>
      <c r="B858" s="107"/>
      <c r="C858" s="107"/>
      <c r="D858" s="107"/>
      <c r="E858" s="107"/>
      <c r="F858" s="107"/>
      <c r="G858" s="107"/>
    </row>
    <row r="859" spans="1:7" ht="17.100000000000001" customHeight="1" x14ac:dyDescent="0.6">
      <c r="A859" s="107"/>
      <c r="B859" s="107"/>
      <c r="C859" s="107"/>
      <c r="D859" s="107"/>
      <c r="E859" s="107"/>
      <c r="F859" s="107"/>
      <c r="G859" s="107"/>
    </row>
    <row r="860" spans="1:7" ht="17.100000000000001" customHeight="1" x14ac:dyDescent="0.6">
      <c r="A860" s="107"/>
      <c r="B860" s="107"/>
      <c r="C860" s="107"/>
      <c r="D860" s="107"/>
      <c r="E860" s="107"/>
      <c r="F860" s="107"/>
      <c r="G860" s="107"/>
    </row>
    <row r="861" spans="1:7" ht="17.100000000000001" customHeight="1" x14ac:dyDescent="0.6">
      <c r="A861" s="107"/>
      <c r="B861" s="107"/>
      <c r="C861" s="107"/>
      <c r="D861" s="107"/>
      <c r="E861" s="107"/>
      <c r="F861" s="107"/>
      <c r="G861" s="107"/>
    </row>
    <row r="862" spans="1:7" ht="17.100000000000001" customHeight="1" x14ac:dyDescent="0.6">
      <c r="A862" s="107"/>
      <c r="B862" s="107"/>
      <c r="C862" s="107"/>
      <c r="D862" s="107"/>
      <c r="E862" s="107"/>
      <c r="F862" s="107"/>
      <c r="G862" s="107"/>
    </row>
    <row r="863" spans="1:7" ht="17.100000000000001" customHeight="1" x14ac:dyDescent="0.6">
      <c r="A863" s="107"/>
      <c r="B863" s="107"/>
      <c r="C863" s="107"/>
      <c r="D863" s="107"/>
      <c r="E863" s="107"/>
      <c r="F863" s="107"/>
      <c r="G863" s="107"/>
    </row>
    <row r="864" spans="1:7" ht="17.100000000000001" customHeight="1" x14ac:dyDescent="0.6">
      <c r="A864" s="107"/>
      <c r="B864" s="107"/>
      <c r="C864" s="107"/>
      <c r="D864" s="107"/>
      <c r="E864" s="107"/>
      <c r="F864" s="107"/>
      <c r="G864" s="107"/>
    </row>
    <row r="865" spans="1:7" ht="17.100000000000001" customHeight="1" x14ac:dyDescent="0.6">
      <c r="A865" s="107"/>
      <c r="B865" s="107"/>
      <c r="C865" s="107"/>
      <c r="D865" s="107"/>
      <c r="E865" s="107"/>
      <c r="F865" s="107"/>
      <c r="G865" s="107"/>
    </row>
    <row r="866" spans="1:7" ht="17.100000000000001" customHeight="1" x14ac:dyDescent="0.6">
      <c r="A866" s="107"/>
      <c r="B866" s="107"/>
      <c r="C866" s="107"/>
      <c r="D866" s="107"/>
      <c r="E866" s="107"/>
      <c r="F866" s="107"/>
      <c r="G866" s="107"/>
    </row>
    <row r="867" spans="1:7" ht="17.100000000000001" customHeight="1" x14ac:dyDescent="0.6">
      <c r="A867" s="107"/>
      <c r="B867" s="107"/>
      <c r="C867" s="107"/>
      <c r="D867" s="107"/>
      <c r="E867" s="107"/>
      <c r="F867" s="107"/>
      <c r="G867" s="107"/>
    </row>
    <row r="868" spans="1:7" ht="17.100000000000001" customHeight="1" x14ac:dyDescent="0.6">
      <c r="A868" s="107"/>
      <c r="B868" s="107"/>
      <c r="C868" s="107"/>
      <c r="D868" s="107"/>
      <c r="E868" s="107"/>
      <c r="F868" s="107"/>
      <c r="G868" s="107"/>
    </row>
    <row r="869" spans="1:7" ht="17.100000000000001" customHeight="1" x14ac:dyDescent="0.6">
      <c r="A869" s="107"/>
      <c r="B869" s="107"/>
      <c r="C869" s="107"/>
      <c r="D869" s="107"/>
      <c r="E869" s="107"/>
      <c r="F869" s="107"/>
      <c r="G869" s="107"/>
    </row>
    <row r="870" spans="1:7" ht="17.100000000000001" customHeight="1" x14ac:dyDescent="0.6">
      <c r="A870" s="107"/>
      <c r="B870" s="107"/>
      <c r="C870" s="107"/>
      <c r="D870" s="107"/>
      <c r="E870" s="107"/>
      <c r="F870" s="107"/>
      <c r="G870" s="107"/>
    </row>
    <row r="871" spans="1:7" ht="17.100000000000001" customHeight="1" x14ac:dyDescent="0.6">
      <c r="A871" s="107"/>
      <c r="B871" s="107"/>
      <c r="C871" s="107"/>
      <c r="D871" s="107"/>
      <c r="E871" s="107"/>
      <c r="F871" s="107"/>
      <c r="G871" s="107"/>
    </row>
    <row r="872" spans="1:7" ht="17.100000000000001" customHeight="1" x14ac:dyDescent="0.6">
      <c r="A872" s="107"/>
      <c r="B872" s="107"/>
      <c r="C872" s="107"/>
      <c r="D872" s="107"/>
      <c r="E872" s="107"/>
      <c r="F872" s="107"/>
      <c r="G872" s="107"/>
    </row>
    <row r="873" spans="1:7" ht="17.100000000000001" customHeight="1" x14ac:dyDescent="0.6">
      <c r="A873" s="107"/>
      <c r="B873" s="107"/>
      <c r="C873" s="107"/>
      <c r="D873" s="107"/>
      <c r="E873" s="107"/>
      <c r="F873" s="107"/>
      <c r="G873" s="107"/>
    </row>
    <row r="874" spans="1:7" ht="17.100000000000001" customHeight="1" x14ac:dyDescent="0.6">
      <c r="A874" s="107"/>
      <c r="B874" s="107"/>
      <c r="C874" s="107"/>
      <c r="D874" s="107"/>
      <c r="E874" s="107"/>
      <c r="F874" s="107"/>
      <c r="G874" s="107"/>
    </row>
    <row r="875" spans="1:7" ht="17.100000000000001" customHeight="1" x14ac:dyDescent="0.6">
      <c r="A875" s="107"/>
      <c r="B875" s="107"/>
      <c r="C875" s="107"/>
      <c r="D875" s="107"/>
      <c r="E875" s="107"/>
      <c r="F875" s="107"/>
      <c r="G875" s="107"/>
    </row>
    <row r="876" spans="1:7" ht="17.100000000000001" customHeight="1" x14ac:dyDescent="0.6">
      <c r="A876" s="107"/>
      <c r="B876" s="107"/>
      <c r="C876" s="107"/>
      <c r="D876" s="107"/>
      <c r="E876" s="107"/>
      <c r="F876" s="107"/>
      <c r="G876" s="107"/>
    </row>
    <row r="877" spans="1:7" ht="17.100000000000001" customHeight="1" x14ac:dyDescent="0.6">
      <c r="A877" s="107"/>
      <c r="B877" s="107"/>
      <c r="C877" s="107"/>
      <c r="D877" s="107"/>
      <c r="E877" s="107"/>
      <c r="F877" s="107"/>
      <c r="G877" s="107"/>
    </row>
    <row r="878" spans="1:7" ht="17.100000000000001" customHeight="1" x14ac:dyDescent="0.6">
      <c r="A878" s="107"/>
      <c r="B878" s="107"/>
      <c r="C878" s="107"/>
      <c r="D878" s="107"/>
      <c r="E878" s="107"/>
      <c r="F878" s="107"/>
      <c r="G878" s="107"/>
    </row>
    <row r="879" spans="1:7" ht="17.100000000000001" customHeight="1" x14ac:dyDescent="0.6">
      <c r="A879" s="107"/>
      <c r="B879" s="107"/>
      <c r="C879" s="107"/>
      <c r="D879" s="107"/>
      <c r="E879" s="107"/>
      <c r="F879" s="107"/>
      <c r="G879" s="107"/>
    </row>
    <row r="880" spans="1:7" ht="17.100000000000001" customHeight="1" x14ac:dyDescent="0.6">
      <c r="A880" s="107"/>
      <c r="B880" s="107"/>
      <c r="C880" s="107"/>
      <c r="D880" s="107"/>
      <c r="E880" s="107"/>
      <c r="F880" s="107"/>
      <c r="G880" s="107"/>
    </row>
    <row r="881" spans="1:7" ht="17.100000000000001" customHeight="1" x14ac:dyDescent="0.6">
      <c r="A881" s="107"/>
      <c r="B881" s="107"/>
      <c r="C881" s="107"/>
      <c r="D881" s="107"/>
      <c r="E881" s="107"/>
      <c r="F881" s="107"/>
      <c r="G881" s="107"/>
    </row>
    <row r="882" spans="1:7" ht="17.100000000000001" customHeight="1" x14ac:dyDescent="0.6">
      <c r="A882" s="107"/>
      <c r="B882" s="107"/>
      <c r="C882" s="107"/>
      <c r="D882" s="107"/>
      <c r="E882" s="107"/>
      <c r="F882" s="107"/>
      <c r="G882" s="107"/>
    </row>
    <row r="883" spans="1:7" ht="17.100000000000001" customHeight="1" x14ac:dyDescent="0.6">
      <c r="A883" s="107"/>
      <c r="B883" s="107"/>
      <c r="C883" s="107"/>
      <c r="D883" s="107"/>
      <c r="E883" s="107"/>
      <c r="F883" s="107"/>
      <c r="G883" s="107"/>
    </row>
    <row r="884" spans="1:7" ht="17.100000000000001" customHeight="1" x14ac:dyDescent="0.6">
      <c r="A884" s="107"/>
      <c r="B884" s="107"/>
      <c r="C884" s="107"/>
      <c r="D884" s="107"/>
      <c r="E884" s="107"/>
      <c r="F884" s="107"/>
      <c r="G884" s="107"/>
    </row>
    <row r="885" spans="1:7" ht="17.100000000000001" customHeight="1" x14ac:dyDescent="0.6">
      <c r="A885" s="107"/>
      <c r="B885" s="107"/>
      <c r="C885" s="107"/>
      <c r="D885" s="107"/>
      <c r="E885" s="107"/>
      <c r="F885" s="107"/>
      <c r="G885" s="107"/>
    </row>
    <row r="886" spans="1:7" ht="17.100000000000001" customHeight="1" x14ac:dyDescent="0.6">
      <c r="A886" s="107"/>
      <c r="B886" s="107"/>
      <c r="C886" s="107"/>
      <c r="D886" s="107"/>
      <c r="E886" s="107"/>
      <c r="F886" s="107"/>
      <c r="G886" s="107"/>
    </row>
    <row r="887" spans="1:7" ht="17.100000000000001" customHeight="1" x14ac:dyDescent="0.6">
      <c r="A887" s="107"/>
      <c r="B887" s="107"/>
      <c r="C887" s="107"/>
      <c r="D887" s="107"/>
      <c r="E887" s="107"/>
      <c r="F887" s="107"/>
      <c r="G887" s="107"/>
    </row>
    <row r="888" spans="1:7" ht="17.100000000000001" customHeight="1" x14ac:dyDescent="0.6">
      <c r="A888" s="107"/>
      <c r="B888" s="107"/>
      <c r="C888" s="107"/>
      <c r="D888" s="107"/>
      <c r="E888" s="107"/>
      <c r="F888" s="107"/>
      <c r="G888" s="107"/>
    </row>
    <row r="889" spans="1:7" ht="17.100000000000001" customHeight="1" x14ac:dyDescent="0.6">
      <c r="A889" s="107"/>
      <c r="B889" s="107"/>
      <c r="C889" s="107"/>
      <c r="D889" s="107"/>
      <c r="E889" s="107"/>
      <c r="F889" s="107"/>
      <c r="G889" s="107"/>
    </row>
    <row r="890" spans="1:7" ht="17.100000000000001" customHeight="1" x14ac:dyDescent="0.6">
      <c r="A890" s="107"/>
      <c r="B890" s="107"/>
      <c r="C890" s="107"/>
      <c r="D890" s="107"/>
      <c r="E890" s="107"/>
      <c r="F890" s="107"/>
      <c r="G890" s="107"/>
    </row>
    <row r="891" spans="1:7" ht="17.100000000000001" customHeight="1" x14ac:dyDescent="0.6">
      <c r="A891" s="107"/>
      <c r="B891" s="107"/>
      <c r="C891" s="107"/>
      <c r="D891" s="107"/>
      <c r="E891" s="107"/>
      <c r="F891" s="107"/>
      <c r="G891" s="107"/>
    </row>
    <row r="892" spans="1:7" ht="17.100000000000001" customHeight="1" x14ac:dyDescent="0.6">
      <c r="A892" s="107"/>
      <c r="B892" s="107"/>
      <c r="C892" s="107"/>
      <c r="D892" s="107"/>
      <c r="E892" s="107"/>
      <c r="F892" s="107"/>
      <c r="G892" s="107"/>
    </row>
    <row r="893" spans="1:7" ht="17.100000000000001" customHeight="1" x14ac:dyDescent="0.6">
      <c r="A893" s="107"/>
      <c r="B893" s="107"/>
      <c r="C893" s="107"/>
      <c r="D893" s="107"/>
      <c r="E893" s="107"/>
      <c r="F893" s="107"/>
      <c r="G893" s="107"/>
    </row>
    <row r="894" spans="1:7" ht="17.100000000000001" customHeight="1" x14ac:dyDescent="0.6">
      <c r="A894" s="107"/>
      <c r="B894" s="107"/>
      <c r="C894" s="107"/>
      <c r="D894" s="107"/>
      <c r="E894" s="107"/>
      <c r="F894" s="107"/>
      <c r="G894" s="107"/>
    </row>
    <row r="895" spans="1:7" ht="17.100000000000001" customHeight="1" x14ac:dyDescent="0.6">
      <c r="A895" s="107"/>
      <c r="B895" s="107"/>
      <c r="C895" s="107"/>
      <c r="D895" s="107"/>
      <c r="E895" s="107"/>
      <c r="F895" s="107"/>
      <c r="G895" s="107"/>
    </row>
    <row r="896" spans="1:7" ht="17.100000000000001" customHeight="1" x14ac:dyDescent="0.6">
      <c r="A896" s="107"/>
      <c r="B896" s="107"/>
      <c r="C896" s="107"/>
      <c r="D896" s="107"/>
      <c r="E896" s="107"/>
      <c r="F896" s="107"/>
      <c r="G896" s="107"/>
    </row>
    <row r="897" spans="1:7" ht="17.100000000000001" customHeight="1" x14ac:dyDescent="0.6">
      <c r="A897" s="107"/>
      <c r="B897" s="107"/>
      <c r="C897" s="107"/>
      <c r="D897" s="107"/>
      <c r="E897" s="107"/>
      <c r="F897" s="107"/>
      <c r="G897" s="107"/>
    </row>
    <row r="898" spans="1:7" ht="17.100000000000001" customHeight="1" x14ac:dyDescent="0.6">
      <c r="A898" s="107"/>
      <c r="B898" s="107"/>
      <c r="C898" s="107"/>
      <c r="D898" s="107"/>
      <c r="E898" s="107"/>
      <c r="F898" s="107"/>
      <c r="G898" s="107"/>
    </row>
    <row r="899" spans="1:7" ht="17.100000000000001" customHeight="1" x14ac:dyDescent="0.6">
      <c r="A899" s="107"/>
      <c r="B899" s="107"/>
      <c r="C899" s="107"/>
      <c r="D899" s="107"/>
      <c r="E899" s="107"/>
      <c r="F899" s="107"/>
      <c r="G899" s="107"/>
    </row>
    <row r="900" spans="1:7" ht="17.100000000000001" customHeight="1" x14ac:dyDescent="0.6">
      <c r="A900" s="107"/>
      <c r="B900" s="107"/>
      <c r="C900" s="107"/>
      <c r="D900" s="107"/>
      <c r="E900" s="107"/>
      <c r="F900" s="107"/>
      <c r="G900" s="107"/>
    </row>
    <row r="901" spans="1:7" ht="17.100000000000001" customHeight="1" x14ac:dyDescent="0.6">
      <c r="A901" s="107"/>
      <c r="B901" s="107"/>
      <c r="C901" s="107"/>
      <c r="D901" s="107"/>
      <c r="E901" s="107"/>
      <c r="F901" s="107"/>
      <c r="G901" s="107"/>
    </row>
    <row r="902" spans="1:7" ht="17.100000000000001" customHeight="1" x14ac:dyDescent="0.6">
      <c r="A902" s="107"/>
      <c r="B902" s="107"/>
      <c r="C902" s="107"/>
      <c r="D902" s="107"/>
      <c r="E902" s="107"/>
      <c r="F902" s="107"/>
      <c r="G902" s="107"/>
    </row>
    <row r="903" spans="1:7" ht="17.100000000000001" customHeight="1" x14ac:dyDescent="0.6">
      <c r="A903" s="107"/>
      <c r="B903" s="107"/>
      <c r="C903" s="107"/>
      <c r="D903" s="107"/>
      <c r="E903" s="107"/>
      <c r="F903" s="107"/>
      <c r="G903" s="107"/>
    </row>
    <row r="904" spans="1:7" ht="17.100000000000001" customHeight="1" x14ac:dyDescent="0.6">
      <c r="A904" s="107"/>
      <c r="B904" s="107"/>
      <c r="C904" s="107"/>
      <c r="D904" s="107"/>
      <c r="E904" s="107"/>
      <c r="F904" s="107"/>
      <c r="G904" s="107"/>
    </row>
    <row r="905" spans="1:7" ht="17.100000000000001" customHeight="1" x14ac:dyDescent="0.6">
      <c r="A905" s="107"/>
      <c r="B905" s="107"/>
      <c r="C905" s="107"/>
      <c r="D905" s="107"/>
      <c r="E905" s="107"/>
      <c r="F905" s="107"/>
      <c r="G905" s="107"/>
    </row>
    <row r="906" spans="1:7" ht="17.100000000000001" customHeight="1" x14ac:dyDescent="0.6">
      <c r="A906" s="107"/>
      <c r="B906" s="107"/>
      <c r="C906" s="107"/>
      <c r="D906" s="107"/>
      <c r="E906" s="107"/>
      <c r="F906" s="107"/>
      <c r="G906" s="107"/>
    </row>
    <row r="907" spans="1:7" ht="17.100000000000001" customHeight="1" x14ac:dyDescent="0.6">
      <c r="A907" s="107"/>
      <c r="B907" s="107"/>
      <c r="C907" s="107"/>
      <c r="D907" s="107"/>
      <c r="E907" s="107"/>
      <c r="F907" s="107"/>
      <c r="G907" s="107"/>
    </row>
    <row r="908" spans="1:7" ht="17.100000000000001" customHeight="1" x14ac:dyDescent="0.6">
      <c r="A908" s="107"/>
      <c r="B908" s="107"/>
      <c r="C908" s="107"/>
      <c r="D908" s="107"/>
      <c r="E908" s="107"/>
      <c r="F908" s="107"/>
      <c r="G908" s="107"/>
    </row>
    <row r="909" spans="1:7" ht="17.100000000000001" customHeight="1" x14ac:dyDescent="0.6">
      <c r="A909" s="107"/>
      <c r="B909" s="107"/>
      <c r="C909" s="107"/>
      <c r="D909" s="107"/>
      <c r="E909" s="107"/>
      <c r="F909" s="107"/>
      <c r="G909" s="107"/>
    </row>
    <row r="910" spans="1:7" ht="17.100000000000001" customHeight="1" x14ac:dyDescent="0.6">
      <c r="A910" s="107"/>
      <c r="B910" s="107"/>
      <c r="C910" s="107"/>
      <c r="D910" s="107"/>
      <c r="E910" s="107"/>
      <c r="F910" s="107"/>
      <c r="G910" s="107"/>
    </row>
    <row r="911" spans="1:7" ht="17.100000000000001" customHeight="1" x14ac:dyDescent="0.6">
      <c r="A911" s="107"/>
      <c r="B911" s="107"/>
      <c r="C911" s="107"/>
      <c r="D911" s="107"/>
      <c r="E911" s="107"/>
      <c r="F911" s="107"/>
      <c r="G911" s="107"/>
    </row>
    <row r="912" spans="1:7" ht="17.100000000000001" customHeight="1" x14ac:dyDescent="0.6">
      <c r="A912" s="107"/>
      <c r="B912" s="107"/>
      <c r="C912" s="107"/>
      <c r="D912" s="107"/>
      <c r="E912" s="107"/>
      <c r="F912" s="107"/>
      <c r="G912" s="107"/>
    </row>
    <row r="913" spans="1:7" ht="17.100000000000001" customHeight="1" x14ac:dyDescent="0.6">
      <c r="A913" s="107"/>
      <c r="B913" s="107"/>
      <c r="C913" s="107"/>
      <c r="D913" s="107"/>
      <c r="E913" s="107"/>
      <c r="F913" s="107"/>
      <c r="G913" s="107"/>
    </row>
    <row r="914" spans="1:7" ht="17.100000000000001" customHeight="1" x14ac:dyDescent="0.6">
      <c r="A914" s="107"/>
      <c r="B914" s="107"/>
      <c r="C914" s="107"/>
      <c r="D914" s="107"/>
      <c r="E914" s="107"/>
      <c r="F914" s="107"/>
      <c r="G914" s="107"/>
    </row>
    <row r="915" spans="1:7" ht="17.100000000000001" customHeight="1" x14ac:dyDescent="0.6">
      <c r="A915" s="107"/>
      <c r="B915" s="107"/>
      <c r="C915" s="107"/>
      <c r="D915" s="107"/>
      <c r="E915" s="107"/>
      <c r="F915" s="107"/>
      <c r="G915" s="107"/>
    </row>
    <row r="916" spans="1:7" ht="17.100000000000001" customHeight="1" x14ac:dyDescent="0.6">
      <c r="A916" s="107"/>
      <c r="B916" s="107"/>
      <c r="C916" s="107"/>
      <c r="D916" s="107"/>
      <c r="E916" s="107"/>
      <c r="F916" s="107"/>
      <c r="G916" s="107"/>
    </row>
    <row r="917" spans="1:7" ht="17.100000000000001" customHeight="1" x14ac:dyDescent="0.6">
      <c r="A917" s="107"/>
      <c r="B917" s="107"/>
      <c r="C917" s="107"/>
      <c r="D917" s="107"/>
      <c r="E917" s="107"/>
      <c r="F917" s="107"/>
      <c r="G917" s="107"/>
    </row>
    <row r="918" spans="1:7" ht="17.100000000000001" customHeight="1" x14ac:dyDescent="0.6">
      <c r="A918" s="107"/>
      <c r="B918" s="107"/>
      <c r="C918" s="107"/>
      <c r="D918" s="107"/>
      <c r="E918" s="107"/>
      <c r="F918" s="107"/>
      <c r="G918" s="107"/>
    </row>
    <row r="919" spans="1:7" ht="17.100000000000001" customHeight="1" x14ac:dyDescent="0.6">
      <c r="A919" s="107"/>
      <c r="B919" s="107"/>
      <c r="C919" s="107"/>
      <c r="D919" s="107"/>
      <c r="E919" s="107"/>
      <c r="F919" s="107"/>
      <c r="G919" s="107"/>
    </row>
    <row r="920" spans="1:7" ht="17.100000000000001" customHeight="1" x14ac:dyDescent="0.6">
      <c r="A920" s="107"/>
      <c r="B920" s="107"/>
      <c r="C920" s="107"/>
      <c r="D920" s="107"/>
      <c r="E920" s="107"/>
      <c r="F920" s="107"/>
      <c r="G920" s="107"/>
    </row>
    <row r="921" spans="1:7" ht="17.100000000000001" customHeight="1" x14ac:dyDescent="0.6">
      <c r="A921" s="107"/>
      <c r="B921" s="107"/>
      <c r="C921" s="107"/>
      <c r="D921" s="107"/>
      <c r="E921" s="107"/>
      <c r="F921" s="107"/>
      <c r="G921" s="107"/>
    </row>
    <row r="922" spans="1:7" ht="17.100000000000001" customHeight="1" x14ac:dyDescent="0.6">
      <c r="A922" s="107"/>
      <c r="B922" s="107"/>
      <c r="C922" s="107"/>
      <c r="D922" s="107"/>
      <c r="E922" s="107"/>
      <c r="F922" s="107"/>
      <c r="G922" s="107"/>
    </row>
    <row r="923" spans="1:7" ht="17.100000000000001" customHeight="1" x14ac:dyDescent="0.6">
      <c r="A923" s="107"/>
      <c r="B923" s="107"/>
      <c r="C923" s="107"/>
      <c r="D923" s="107"/>
      <c r="E923" s="107"/>
      <c r="F923" s="107"/>
      <c r="G923" s="107"/>
    </row>
    <row r="924" spans="1:7" ht="17.100000000000001" customHeight="1" x14ac:dyDescent="0.6">
      <c r="A924" s="107"/>
      <c r="B924" s="107"/>
      <c r="C924" s="107"/>
      <c r="D924" s="107"/>
      <c r="E924" s="107"/>
      <c r="F924" s="107"/>
      <c r="G924" s="107"/>
    </row>
    <row r="925" spans="1:7" ht="17.100000000000001" customHeight="1" x14ac:dyDescent="0.6">
      <c r="A925" s="107"/>
      <c r="B925" s="107"/>
      <c r="C925" s="107"/>
      <c r="D925" s="107"/>
      <c r="E925" s="107"/>
      <c r="F925" s="107"/>
      <c r="G925" s="107"/>
    </row>
    <row r="926" spans="1:7" ht="17.100000000000001" customHeight="1" x14ac:dyDescent="0.6">
      <c r="A926" s="107"/>
      <c r="B926" s="107"/>
      <c r="C926" s="107"/>
      <c r="D926" s="107"/>
      <c r="E926" s="107"/>
      <c r="F926" s="107"/>
      <c r="G926" s="107"/>
    </row>
    <row r="927" spans="1:7" ht="17.100000000000001" customHeight="1" x14ac:dyDescent="0.6">
      <c r="A927" s="107"/>
      <c r="B927" s="107"/>
      <c r="C927" s="107"/>
      <c r="D927" s="107"/>
      <c r="E927" s="107"/>
      <c r="F927" s="107"/>
      <c r="G927" s="107"/>
    </row>
    <row r="928" spans="1:7" ht="17.100000000000001" customHeight="1" x14ac:dyDescent="0.6">
      <c r="A928" s="107"/>
      <c r="B928" s="107"/>
      <c r="C928" s="107"/>
      <c r="D928" s="107"/>
      <c r="E928" s="107"/>
      <c r="F928" s="107"/>
      <c r="G928" s="107"/>
    </row>
    <row r="929" spans="1:7" ht="17.100000000000001" customHeight="1" x14ac:dyDescent="0.6">
      <c r="A929" s="107"/>
      <c r="B929" s="107"/>
      <c r="C929" s="107"/>
      <c r="D929" s="107"/>
      <c r="E929" s="107"/>
      <c r="F929" s="107"/>
      <c r="G929" s="107"/>
    </row>
    <row r="930" spans="1:7" ht="17.100000000000001" customHeight="1" x14ac:dyDescent="0.6">
      <c r="A930" s="107"/>
      <c r="B930" s="107"/>
      <c r="C930" s="107"/>
      <c r="D930" s="107"/>
      <c r="E930" s="107"/>
      <c r="F930" s="107"/>
      <c r="G930" s="107"/>
    </row>
    <row r="931" spans="1:7" ht="17.100000000000001" customHeight="1" x14ac:dyDescent="0.6">
      <c r="A931" s="107"/>
      <c r="B931" s="107"/>
      <c r="C931" s="107"/>
      <c r="D931" s="107"/>
      <c r="E931" s="107"/>
      <c r="F931" s="107"/>
      <c r="G931" s="107"/>
    </row>
    <row r="932" spans="1:7" ht="17.100000000000001" customHeight="1" x14ac:dyDescent="0.6">
      <c r="A932" s="107"/>
      <c r="B932" s="107"/>
      <c r="C932" s="107"/>
      <c r="D932" s="107"/>
      <c r="E932" s="107"/>
      <c r="F932" s="107"/>
      <c r="G932" s="107"/>
    </row>
    <row r="933" spans="1:7" ht="17.100000000000001" customHeight="1" x14ac:dyDescent="0.6">
      <c r="A933" s="107"/>
      <c r="B933" s="107"/>
      <c r="C933" s="107"/>
      <c r="D933" s="107"/>
      <c r="E933" s="107"/>
      <c r="F933" s="107"/>
      <c r="G933" s="107"/>
    </row>
    <row r="934" spans="1:7" ht="17.100000000000001" customHeight="1" x14ac:dyDescent="0.6">
      <c r="A934" s="107"/>
      <c r="B934" s="107"/>
      <c r="C934" s="107"/>
      <c r="D934" s="107"/>
      <c r="E934" s="107"/>
      <c r="F934" s="107"/>
      <c r="G934" s="107"/>
    </row>
    <row r="935" spans="1:7" ht="17.100000000000001" customHeight="1" x14ac:dyDescent="0.6">
      <c r="A935" s="107"/>
      <c r="B935" s="107"/>
      <c r="C935" s="107"/>
      <c r="D935" s="107"/>
      <c r="E935" s="107"/>
      <c r="F935" s="107"/>
      <c r="G935" s="107"/>
    </row>
    <row r="936" spans="1:7" ht="17.100000000000001" customHeight="1" x14ac:dyDescent="0.6">
      <c r="A936" s="107"/>
      <c r="B936" s="107"/>
      <c r="C936" s="107"/>
      <c r="D936" s="107"/>
      <c r="E936" s="107"/>
      <c r="F936" s="107"/>
      <c r="G936" s="107"/>
    </row>
    <row r="937" spans="1:7" ht="17.100000000000001" customHeight="1" x14ac:dyDescent="0.6">
      <c r="A937" s="107"/>
      <c r="B937" s="107"/>
      <c r="C937" s="107"/>
      <c r="D937" s="107"/>
      <c r="E937" s="107"/>
      <c r="F937" s="107"/>
      <c r="G937" s="107"/>
    </row>
    <row r="938" spans="1:7" ht="17.100000000000001" customHeight="1" x14ac:dyDescent="0.6">
      <c r="A938" s="107"/>
      <c r="B938" s="107"/>
      <c r="C938" s="107"/>
      <c r="D938" s="107"/>
      <c r="E938" s="107"/>
      <c r="F938" s="107"/>
      <c r="G938" s="107"/>
    </row>
    <row r="939" spans="1:7" ht="17.100000000000001" customHeight="1" x14ac:dyDescent="0.6">
      <c r="A939" s="107"/>
      <c r="B939" s="107"/>
      <c r="C939" s="107"/>
      <c r="D939" s="107"/>
      <c r="E939" s="107"/>
      <c r="F939" s="107"/>
      <c r="G939" s="107"/>
    </row>
    <row r="940" spans="1:7" ht="17.100000000000001" customHeight="1" x14ac:dyDescent="0.6">
      <c r="A940" s="107"/>
      <c r="B940" s="107"/>
      <c r="C940" s="107"/>
      <c r="D940" s="107"/>
      <c r="E940" s="107"/>
      <c r="F940" s="107"/>
      <c r="G940" s="107"/>
    </row>
    <row r="941" spans="1:7" ht="17.100000000000001" customHeight="1" x14ac:dyDescent="0.6">
      <c r="A941" s="107"/>
      <c r="B941" s="107"/>
      <c r="C941" s="107"/>
      <c r="D941" s="107"/>
      <c r="E941" s="107"/>
      <c r="F941" s="107"/>
      <c r="G941" s="107"/>
    </row>
    <row r="942" spans="1:7" ht="17.100000000000001" customHeight="1" x14ac:dyDescent="0.6">
      <c r="A942" s="107"/>
      <c r="B942" s="107"/>
      <c r="C942" s="107"/>
      <c r="D942" s="107"/>
      <c r="E942" s="107"/>
      <c r="F942" s="107"/>
      <c r="G942" s="107"/>
    </row>
    <row r="943" spans="1:7" ht="17.100000000000001" customHeight="1" x14ac:dyDescent="0.6">
      <c r="A943" s="107"/>
      <c r="B943" s="107"/>
      <c r="C943" s="107"/>
      <c r="D943" s="107"/>
      <c r="E943" s="107"/>
      <c r="F943" s="107"/>
      <c r="G943" s="107"/>
    </row>
    <row r="944" spans="1:7" ht="17.100000000000001" customHeight="1" x14ac:dyDescent="0.6">
      <c r="A944" s="107"/>
      <c r="B944" s="107"/>
      <c r="C944" s="107"/>
      <c r="D944" s="107"/>
      <c r="E944" s="107"/>
      <c r="F944" s="107"/>
      <c r="G944" s="107"/>
    </row>
    <row r="945" spans="1:7" ht="17.100000000000001" customHeight="1" x14ac:dyDescent="0.6">
      <c r="A945" s="107"/>
      <c r="B945" s="107"/>
      <c r="C945" s="107"/>
      <c r="D945" s="107"/>
      <c r="E945" s="107"/>
      <c r="F945" s="107"/>
      <c r="G945" s="107"/>
    </row>
    <row r="946" spans="1:7" ht="17.100000000000001" customHeight="1" x14ac:dyDescent="0.6">
      <c r="A946" s="107"/>
      <c r="B946" s="107"/>
      <c r="C946" s="107"/>
      <c r="D946" s="107"/>
      <c r="E946" s="107"/>
      <c r="F946" s="107"/>
      <c r="G946" s="107"/>
    </row>
    <row r="947" spans="1:7" ht="17.100000000000001" customHeight="1" x14ac:dyDescent="0.6">
      <c r="A947" s="107"/>
      <c r="B947" s="107"/>
      <c r="C947" s="107"/>
      <c r="D947" s="107"/>
      <c r="E947" s="107"/>
      <c r="F947" s="107"/>
      <c r="G947" s="107"/>
    </row>
    <row r="948" spans="1:7" ht="17.100000000000001" customHeight="1" x14ac:dyDescent="0.6">
      <c r="A948" s="107"/>
      <c r="B948" s="107"/>
      <c r="C948" s="107"/>
      <c r="D948" s="107"/>
      <c r="E948" s="107"/>
      <c r="F948" s="107"/>
      <c r="G948" s="107"/>
    </row>
    <row r="949" spans="1:7" ht="17.100000000000001" customHeight="1" x14ac:dyDescent="0.6">
      <c r="A949" s="107"/>
      <c r="B949" s="107"/>
      <c r="C949" s="107"/>
      <c r="D949" s="107"/>
      <c r="E949" s="107"/>
      <c r="F949" s="107"/>
      <c r="G949" s="107"/>
    </row>
    <row r="950" spans="1:7" ht="17.100000000000001" customHeight="1" x14ac:dyDescent="0.6">
      <c r="A950" s="107"/>
      <c r="B950" s="107"/>
      <c r="C950" s="107"/>
      <c r="D950" s="107"/>
      <c r="E950" s="107"/>
      <c r="F950" s="107"/>
      <c r="G950" s="107"/>
    </row>
    <row r="951" spans="1:7" ht="17.100000000000001" customHeight="1" x14ac:dyDescent="0.6">
      <c r="A951" s="107"/>
      <c r="B951" s="107"/>
      <c r="C951" s="107"/>
      <c r="D951" s="107"/>
      <c r="E951" s="107"/>
      <c r="F951" s="107"/>
      <c r="G951" s="107"/>
    </row>
    <row r="952" spans="1:7" ht="17.100000000000001" customHeight="1" x14ac:dyDescent="0.6">
      <c r="A952" s="107"/>
      <c r="B952" s="107"/>
      <c r="C952" s="107"/>
      <c r="D952" s="107"/>
      <c r="E952" s="107"/>
      <c r="F952" s="107"/>
      <c r="G952" s="107"/>
    </row>
    <row r="953" spans="1:7" ht="17.100000000000001" customHeight="1" x14ac:dyDescent="0.6">
      <c r="A953" s="107"/>
      <c r="B953" s="107"/>
      <c r="C953" s="107"/>
      <c r="D953" s="107"/>
      <c r="E953" s="107"/>
      <c r="F953" s="107"/>
      <c r="G953" s="107"/>
    </row>
    <row r="954" spans="1:7" ht="17.100000000000001" customHeight="1" x14ac:dyDescent="0.6">
      <c r="A954" s="107"/>
      <c r="B954" s="107"/>
      <c r="C954" s="107"/>
      <c r="D954" s="107"/>
      <c r="E954" s="107"/>
      <c r="F954" s="107"/>
      <c r="G954" s="107"/>
    </row>
    <row r="955" spans="1:7" ht="17.100000000000001" customHeight="1" x14ac:dyDescent="0.6">
      <c r="A955" s="107"/>
      <c r="B955" s="107"/>
      <c r="C955" s="107"/>
      <c r="D955" s="107"/>
      <c r="E955" s="107"/>
      <c r="F955" s="107"/>
      <c r="G955" s="107"/>
    </row>
    <row r="956" spans="1:7" ht="17.100000000000001" customHeight="1" x14ac:dyDescent="0.6">
      <c r="A956" s="107"/>
      <c r="B956" s="107"/>
      <c r="C956" s="107"/>
      <c r="D956" s="107"/>
      <c r="E956" s="107"/>
      <c r="F956" s="107"/>
      <c r="G956" s="107"/>
    </row>
    <row r="957" spans="1:7" ht="17.100000000000001" customHeight="1" x14ac:dyDescent="0.6">
      <c r="A957" s="107"/>
      <c r="B957" s="107"/>
      <c r="C957" s="107"/>
      <c r="D957" s="107"/>
      <c r="E957" s="107"/>
      <c r="F957" s="107"/>
      <c r="G957" s="107"/>
    </row>
  </sheetData>
  <mergeCells count="4">
    <mergeCell ref="A1:A2"/>
    <mergeCell ref="D1:E1"/>
    <mergeCell ref="B1:C1"/>
    <mergeCell ref="F1:G1"/>
  </mergeCells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GER_EXECUTIVO</vt:lpstr>
      <vt:lpstr>Planilha1</vt:lpstr>
      <vt:lpstr>ANÁLISE_CUSTOS</vt:lpstr>
      <vt:lpstr>AREAS PRIVATIVAS</vt:lpstr>
      <vt:lpstr>CÁLCULO_MÉDIAS</vt:lpstr>
      <vt:lpstr>Versões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Jenifer Kunsler</cp:lastModifiedBy>
  <dcterms:created xsi:type="dcterms:W3CDTF">2021-06-30T18:49:34Z</dcterms:created>
  <dcterms:modified xsi:type="dcterms:W3CDTF">2025-02-21T17:53:08Z</dcterms:modified>
</cp:coreProperties>
</file>