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GL - 09.2021\Arbol 646\03. Custo\03.5 Custo - Determinação do orçamento\"/>
    </mc:Choice>
  </mc:AlternateContent>
  <xr:revisionPtr revIDLastSave="0" documentId="13_ncr:1_{46F79C5F-30BF-4703-AA66-5310EFFF19CC}" xr6:coauthVersionLast="47" xr6:coauthVersionMax="47" xr10:uidLastSave="{00000000-0000-0000-0000-000000000000}"/>
  <bookViews>
    <workbookView xWindow="30612" yWindow="-108" windowWidth="23256" windowHeight="12456" firstSheet="1" activeTab="1" xr2:uid="{00000000-000D-0000-FFFF-FFFF00000000}"/>
  </bookViews>
  <sheets>
    <sheet name="Gerenciamento executivo " sheetId="3" r:id="rId1"/>
    <sheet name="Executivo - CASAS" sheetId="1" r:id="rId2"/>
    <sheet name="CASA 01" sheetId="6" r:id="rId3"/>
    <sheet name="CASA 02" sheetId="8" r:id="rId4"/>
    <sheet name="CASA 03" sheetId="9" r:id="rId5"/>
    <sheet name="CASA 04" sheetId="10" r:id="rId6"/>
    <sheet name="COMPARATIVO" sheetId="11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8" i="1" l="1"/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C17" i="3" l="1"/>
  <c r="C18" i="3"/>
  <c r="C20" i="3"/>
  <c r="C21" i="3"/>
  <c r="C22" i="3"/>
  <c r="C19" i="8"/>
  <c r="C19" i="6"/>
  <c r="B24" i="1" l="1"/>
  <c r="E17" i="1"/>
  <c r="D17" i="1"/>
  <c r="D4" i="1" l="1"/>
  <c r="B3" i="3" l="1"/>
  <c r="F15" i="3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11" i="11"/>
  <c r="B23" i="11" l="1"/>
  <c r="B20" i="11"/>
  <c r="B21" i="11"/>
  <c r="B18" i="11"/>
  <c r="B19" i="11"/>
  <c r="B14" i="11"/>
  <c r="B11" i="11"/>
  <c r="C19" i="10" l="1"/>
  <c r="C20" i="10" s="1"/>
  <c r="C19" i="9"/>
  <c r="C20" i="9" s="1"/>
  <c r="C20" i="8"/>
  <c r="C20" i="6"/>
  <c r="D19" i="1"/>
  <c r="C19" i="3" s="1"/>
  <c r="D20" i="1"/>
  <c r="D21" i="1"/>
  <c r="D22" i="1"/>
  <c r="D23" i="1"/>
  <c r="E23" i="1" l="1"/>
  <c r="E18" i="1"/>
  <c r="E19" i="1"/>
  <c r="E20" i="1"/>
  <c r="E21" i="1"/>
  <c r="E22" i="1"/>
  <c r="E15" i="1" l="1"/>
  <c r="D15" i="1"/>
  <c r="C15" i="3" s="1"/>
  <c r="B8" i="1"/>
  <c r="B7" i="1"/>
  <c r="F16" i="3" l="1"/>
  <c r="C7" i="1" l="1"/>
  <c r="C17" i="1"/>
  <c r="C8" i="1"/>
  <c r="C23" i="1"/>
  <c r="C4" i="1"/>
  <c r="C18" i="1"/>
  <c r="C9" i="1"/>
  <c r="C15" i="1"/>
  <c r="C14" i="1"/>
  <c r="C22" i="1"/>
  <c r="C6" i="1"/>
  <c r="C3" i="1"/>
  <c r="C10" i="1"/>
  <c r="C12" i="1"/>
  <c r="C13" i="1"/>
  <c r="C16" i="1"/>
  <c r="C20" i="1"/>
  <c r="C21" i="1"/>
  <c r="C5" i="1"/>
  <c r="C11" i="1"/>
  <c r="C19" i="1"/>
  <c r="D16" i="1" l="1"/>
  <c r="C16" i="3" s="1"/>
  <c r="D7" i="1" l="1"/>
  <c r="C7" i="3" s="1"/>
  <c r="D2" i="1"/>
  <c r="E3" i="1" l="1"/>
  <c r="D5" i="1"/>
  <c r="C5" i="3" s="1"/>
  <c r="E4" i="1"/>
  <c r="E12" i="1"/>
  <c r="E14" i="1"/>
  <c r="E10" i="1"/>
  <c r="E8" i="1"/>
  <c r="D9" i="1"/>
  <c r="C9" i="3" s="1"/>
  <c r="E11" i="1"/>
  <c r="D11" i="1"/>
  <c r="C11" i="3" s="1"/>
  <c r="D6" i="1"/>
  <c r="C6" i="3" s="1"/>
  <c r="E2" i="1"/>
  <c r="F14" i="3"/>
  <c r="F6" i="3"/>
  <c r="E6" i="1" l="1"/>
  <c r="E16" i="1"/>
  <c r="D12" i="1"/>
  <c r="C12" i="3" s="1"/>
  <c r="E9" i="1"/>
  <c r="D13" i="1"/>
  <c r="C13" i="3" s="1"/>
  <c r="E13" i="1"/>
  <c r="E5" i="1"/>
  <c r="C4" i="3"/>
  <c r="E7" i="1"/>
  <c r="D14" i="1"/>
  <c r="C14" i="3" s="1"/>
  <c r="D10" i="1"/>
  <c r="C10" i="3" s="1"/>
  <c r="D8" i="1"/>
  <c r="C8" i="3" s="1"/>
  <c r="D3" i="1"/>
  <c r="C3" i="3" s="1"/>
  <c r="B23" i="3"/>
  <c r="E24" i="1" l="1"/>
  <c r="D24" i="1"/>
  <c r="D25" i="1" s="1"/>
  <c r="C2" i="1"/>
  <c r="C24" i="1" s="1"/>
  <c r="C23" i="3" l="1"/>
</calcChain>
</file>

<file path=xl/sharedStrings.xml><?xml version="1.0" encoding="utf-8"?>
<sst xmlns="http://schemas.openxmlformats.org/spreadsheetml/2006/main" count="268" uniqueCount="107">
  <si>
    <t>ETAPA</t>
  </si>
  <si>
    <t>MOVIMENTAÇÃO DE TERRA</t>
  </si>
  <si>
    <t>INFRAESTRUTURA</t>
  </si>
  <si>
    <t>SUPRAESTRUTURA</t>
  </si>
  <si>
    <t>ALVENARIA</t>
  </si>
  <si>
    <t>REVESTIMENTOS E ACABAMENTOS INTERNOS EM TETO</t>
  </si>
  <si>
    <t>PINTURA INTERNA</t>
  </si>
  <si>
    <t>TOTAL</t>
  </si>
  <si>
    <t>VALOR ORÇADO</t>
  </si>
  <si>
    <t>%</t>
  </si>
  <si>
    <t>VALOR / m²</t>
  </si>
  <si>
    <t>OBRA SIMILAR</t>
  </si>
  <si>
    <t>REVESTIMENTOS INTERNOS EM PISO E PAREDE</t>
  </si>
  <si>
    <t>ACABAMENTOS EM PISO E PAREDE</t>
  </si>
  <si>
    <t>REVESTIMENTOS E ACABAMENTOS DE FACHADA</t>
  </si>
  <si>
    <t>SERVIÇOS COMPLEMENTARES</t>
  </si>
  <si>
    <t>SISTEMAS E EQUIPAMENTOS ESPECIAIS</t>
  </si>
  <si>
    <t>ESQUADRIAS, VIDROS E FERRAGENS</t>
  </si>
  <si>
    <t>IMPERMEABILIZAÇÃO</t>
  </si>
  <si>
    <t>85,00 - 120,00</t>
  </si>
  <si>
    <t>Valor 1</t>
  </si>
  <si>
    <t>Valor 2</t>
  </si>
  <si>
    <t>INSTALAÇÕES ELÉTRICAS, HIDRÁULICAS, GLP E PREVENTIVAS</t>
  </si>
  <si>
    <t>CUBs</t>
  </si>
  <si>
    <t>COBERTURA</t>
  </si>
  <si>
    <t>520,00 - 580,00</t>
  </si>
  <si>
    <t>VALOR</t>
  </si>
  <si>
    <t>240-320</t>
  </si>
  <si>
    <t>35,00 - 45,00</t>
  </si>
  <si>
    <t>270,00 - 300,00</t>
  </si>
  <si>
    <t>DESPESAS INDIRETAS</t>
  </si>
  <si>
    <t>VALOR / CASA</t>
  </si>
  <si>
    <t xml:space="preserve">PORTARIA </t>
  </si>
  <si>
    <t xml:space="preserve">SALAO DE FESTAS </t>
  </si>
  <si>
    <t xml:space="preserve">MUROS E FECHAMENTOS </t>
  </si>
  <si>
    <t>URBANIZAÇÃO</t>
  </si>
  <si>
    <t xml:space="preserve">IMPREVISTOS E CONTINGÊNCIAS </t>
  </si>
  <si>
    <t>MOVIMENTAÇÃO DE TERRA - RESIDÊNCIAS</t>
  </si>
  <si>
    <t xml:space="preserve">01 </t>
  </si>
  <si>
    <t xml:space="preserve">02 </t>
  </si>
  <si>
    <t xml:space="preserve">03 </t>
  </si>
  <si>
    <t xml:space="preserve">04 </t>
  </si>
  <si>
    <t>ALVENARIA, VEDAÇÕES E DIVISÓRIAS</t>
  </si>
  <si>
    <t xml:space="preserve">05 </t>
  </si>
  <si>
    <t>SISTEMAS E INSTALAÇÕES ELÉTRICAS</t>
  </si>
  <si>
    <t xml:space="preserve">06 </t>
  </si>
  <si>
    <t>SISTEMAS E INSTALAÇÕES HIDROSSANITÁRIAS E DRENAGEM</t>
  </si>
  <si>
    <t xml:space="preserve">07 </t>
  </si>
  <si>
    <t>INSTALAÇÕES PREVENTIVAS E GLP</t>
  </si>
  <si>
    <t xml:space="preserve">08 </t>
  </si>
  <si>
    <t>CLIMATIZAÇÃO E EXAUSTÃO</t>
  </si>
  <si>
    <t xml:space="preserve">09 </t>
  </si>
  <si>
    <t>IMPERMEABILIZAÇÃO E TRATAMENTOS</t>
  </si>
  <si>
    <t xml:space="preserve">10 </t>
  </si>
  <si>
    <t xml:space="preserve">11 </t>
  </si>
  <si>
    <t xml:space="preserve">12 </t>
  </si>
  <si>
    <t xml:space="preserve">13 </t>
  </si>
  <si>
    <t>SISTEMAS DE PINTURA INTERNA</t>
  </si>
  <si>
    <t xml:space="preserve">14 </t>
  </si>
  <si>
    <t xml:space="preserve">15 </t>
  </si>
  <si>
    <t xml:space="preserve">16 </t>
  </si>
  <si>
    <t>REVESTIMENTOS E ACABAMENTOS EM FACHADA</t>
  </si>
  <si>
    <t xml:space="preserve">17 </t>
  </si>
  <si>
    <t>EQUIPAMENTOS E SISTEMAS ESPECIAIS</t>
  </si>
  <si>
    <t>ÍNDICE</t>
  </si>
  <si>
    <t>VALOR / UNIDADE</t>
  </si>
  <si>
    <t>CUB/PR</t>
  </si>
  <si>
    <t>infra</t>
  </si>
  <si>
    <t>supra</t>
  </si>
  <si>
    <t>alvenaria</t>
  </si>
  <si>
    <t>esquadria</t>
  </si>
  <si>
    <t>cobertra</t>
  </si>
  <si>
    <t>imper</t>
  </si>
  <si>
    <t>forro</t>
  </si>
  <si>
    <t>revestimento</t>
  </si>
  <si>
    <t>acabamento</t>
  </si>
  <si>
    <t>fachada</t>
  </si>
  <si>
    <t>Instalações</t>
  </si>
  <si>
    <t>Especiais</t>
  </si>
  <si>
    <t>Pintura</t>
  </si>
  <si>
    <t>Complementares</t>
  </si>
  <si>
    <t>Muros e fechamentos</t>
  </si>
  <si>
    <t>Guarita</t>
  </si>
  <si>
    <t>Lazer</t>
  </si>
  <si>
    <t>Urbanização</t>
  </si>
  <si>
    <t>indiretas</t>
  </si>
  <si>
    <t>INCC-fev/2015</t>
  </si>
  <si>
    <t>INCC - dez/21</t>
  </si>
  <si>
    <t>120,00 - 180,00</t>
  </si>
  <si>
    <t>70,00 - 90,00</t>
  </si>
  <si>
    <t>90,00 - 120,00</t>
  </si>
  <si>
    <t>30,00 - 40,00</t>
  </si>
  <si>
    <t>160,00 - 180,00</t>
  </si>
  <si>
    <t>80,00 - 100,00</t>
  </si>
  <si>
    <t>250,00 - 300,00</t>
  </si>
  <si>
    <t>20,00 - 40,00</t>
  </si>
  <si>
    <t>60,00 - 90,00</t>
  </si>
  <si>
    <t>100,00 - 130,00</t>
  </si>
  <si>
    <t>10,00 - 20,00</t>
  </si>
  <si>
    <t>80,00 - 140,00</t>
  </si>
  <si>
    <t>ARBOL 640</t>
  </si>
  <si>
    <t>2400,00 - 3000,00</t>
  </si>
  <si>
    <t>200,00 - 250,00</t>
  </si>
  <si>
    <t>LIMPEZA FINAL DE OBRA</t>
  </si>
  <si>
    <t>5,00 - 10,00</t>
  </si>
  <si>
    <t/>
  </si>
  <si>
    <t>50,00 - 80,00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</si>
</sst>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Poppins"/>
    </font>
    <font>
      <sz val="11"/>
      <color theme="1"/>
      <name val="Poppins"/>
    </font>
    <font>
      <sz val="11"/>
      <name val="Poppins"/>
    </font>
    <font>
      <sz val="10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9.9978637043366805E-2"/>
        <bgColor indexed="64"/>
      </patternFill>
    </fill>
  </fills>
  <borders count="41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 tint="0.34998626667073579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hair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</cellStyleXfs>
  <cellXfs count="78">
    <xf numFmtId="0" fontId="0" fillId="0" borderId="0" xfId="0"/>
    <xf numFmtId="0" fontId="4" fillId="5" borderId="15" xfId="0" applyFont="1" applyFill="1" applyBorder="1" applyAlignment="1">
      <alignment horizontal="center" vertical="center"/>
    </xf>
    <xf numFmtId="0" fontId="5" fillId="0" borderId="0" xfId="0" applyFont="1"/>
    <xf numFmtId="43" fontId="4" fillId="5" borderId="19" xfId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6" fillId="3" borderId="8" xfId="0" applyFont="1" applyFill="1" applyBorder="1"/>
    <xf numFmtId="43" fontId="5" fillId="3" borderId="1" xfId="1" applyFont="1" applyFill="1" applyBorder="1" applyAlignment="1">
      <alignment horizontal="center"/>
    </xf>
    <xf numFmtId="43" fontId="5" fillId="3" borderId="7" xfId="1" applyFont="1" applyFill="1" applyBorder="1" applyAlignment="1">
      <alignment horizontal="center"/>
    </xf>
    <xf numFmtId="0" fontId="6" fillId="6" borderId="8" xfId="0" applyFont="1" applyFill="1" applyBorder="1"/>
    <xf numFmtId="43" fontId="5" fillId="6" borderId="1" xfId="1" applyFont="1" applyFill="1" applyBorder="1" applyAlignment="1">
      <alignment horizontal="center"/>
    </xf>
    <xf numFmtId="43" fontId="5" fillId="6" borderId="7" xfId="1" applyFont="1" applyFill="1" applyBorder="1" applyAlignment="1">
      <alignment horizontal="center"/>
    </xf>
    <xf numFmtId="0" fontId="4" fillId="5" borderId="11" xfId="0" applyFont="1" applyFill="1" applyBorder="1" applyAlignment="1">
      <alignment horizontal="right"/>
    </xf>
    <xf numFmtId="43" fontId="4" fillId="5" borderId="12" xfId="1" applyFont="1" applyFill="1" applyBorder="1" applyAlignment="1">
      <alignment horizontal="right"/>
    </xf>
    <xf numFmtId="43" fontId="4" fillId="5" borderId="12" xfId="0" applyNumberFormat="1" applyFont="1" applyFill="1" applyBorder="1" applyAlignment="1">
      <alignment horizontal="right"/>
    </xf>
    <xf numFmtId="43" fontId="4" fillId="5" borderId="13" xfId="0" applyNumberFormat="1" applyFont="1" applyFill="1" applyBorder="1" applyAlignment="1">
      <alignment horizontal="center"/>
    </xf>
    <xf numFmtId="43" fontId="5" fillId="0" borderId="0" xfId="1" applyFont="1"/>
    <xf numFmtId="0" fontId="5" fillId="0" borderId="0" xfId="0" applyFont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6" borderId="23" xfId="0" applyFont="1" applyFill="1" applyBorder="1" applyAlignment="1">
      <alignment vertical="center"/>
    </xf>
    <xf numFmtId="43" fontId="5" fillId="6" borderId="24" xfId="1" applyFont="1" applyFill="1" applyBorder="1" applyAlignment="1">
      <alignment vertical="center"/>
    </xf>
    <xf numFmtId="10" fontId="5" fillId="6" borderId="24" xfId="2" applyNumberFormat="1" applyFont="1" applyFill="1" applyBorder="1" applyAlignment="1">
      <alignment horizontal="center" vertical="center"/>
    </xf>
    <xf numFmtId="43" fontId="5" fillId="6" borderId="24" xfId="0" applyNumberFormat="1" applyFont="1" applyFill="1" applyBorder="1" applyAlignment="1">
      <alignment vertical="center"/>
    </xf>
    <xf numFmtId="43" fontId="5" fillId="6" borderId="25" xfId="0" applyNumberFormat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6" fillId="3" borderId="26" xfId="0" applyFont="1" applyFill="1" applyBorder="1" applyAlignment="1">
      <alignment vertical="center"/>
    </xf>
    <xf numFmtId="43" fontId="5" fillId="3" borderId="27" xfId="1" applyFont="1" applyFill="1" applyBorder="1" applyAlignment="1">
      <alignment vertical="center"/>
    </xf>
    <xf numFmtId="10" fontId="5" fillId="3" borderId="27" xfId="2" applyNumberFormat="1" applyFont="1" applyFill="1" applyBorder="1" applyAlignment="1">
      <alignment horizontal="center" vertical="center"/>
    </xf>
    <xf numFmtId="43" fontId="5" fillId="3" borderId="27" xfId="0" applyNumberFormat="1" applyFont="1" applyFill="1" applyBorder="1" applyAlignment="1">
      <alignment vertical="center"/>
    </xf>
    <xf numFmtId="43" fontId="5" fillId="3" borderId="28" xfId="0" applyNumberFormat="1" applyFont="1" applyFill="1" applyBorder="1" applyAlignment="1">
      <alignment vertical="center"/>
    </xf>
    <xf numFmtId="0" fontId="6" fillId="6" borderId="26" xfId="0" applyFont="1" applyFill="1" applyBorder="1" applyAlignment="1">
      <alignment vertical="center"/>
    </xf>
    <xf numFmtId="43" fontId="5" fillId="6" borderId="27" xfId="1" applyFont="1" applyFill="1" applyBorder="1" applyAlignment="1">
      <alignment vertical="center"/>
    </xf>
    <xf numFmtId="10" fontId="5" fillId="6" borderId="27" xfId="2" applyNumberFormat="1" applyFont="1" applyFill="1" applyBorder="1" applyAlignment="1">
      <alignment horizontal="center" vertical="center"/>
    </xf>
    <xf numFmtId="43" fontId="5" fillId="6" borderId="27" xfId="0" applyNumberFormat="1" applyFont="1" applyFill="1" applyBorder="1" applyAlignment="1">
      <alignment vertical="center"/>
    </xf>
    <xf numFmtId="43" fontId="5" fillId="6" borderId="28" xfId="0" applyNumberFormat="1" applyFont="1" applyFill="1" applyBorder="1" applyAlignment="1">
      <alignment vertical="center"/>
    </xf>
    <xf numFmtId="43" fontId="5" fillId="3" borderId="28" xfId="1" applyFont="1" applyFill="1" applyBorder="1" applyAlignment="1">
      <alignment vertical="center"/>
    </xf>
    <xf numFmtId="43" fontId="7" fillId="4" borderId="0" xfId="1" applyFont="1" applyFill="1" applyAlignment="1">
      <alignment vertical="center"/>
    </xf>
    <xf numFmtId="0" fontId="6" fillId="2" borderId="8" xfId="0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5" borderId="9" xfId="0" applyFont="1" applyFill="1" applyBorder="1" applyAlignment="1">
      <alignment horizontal="right" vertical="center"/>
    </xf>
    <xf numFmtId="43" fontId="4" fillId="5" borderId="2" xfId="0" applyNumberFormat="1" applyFont="1" applyFill="1" applyBorder="1" applyAlignment="1">
      <alignment horizontal="right" vertical="center"/>
    </xf>
    <xf numFmtId="43" fontId="4" fillId="5" borderId="10" xfId="0" applyNumberFormat="1" applyFont="1" applyFill="1" applyBorder="1" applyAlignment="1">
      <alignment horizontal="right" vertical="center"/>
    </xf>
    <xf numFmtId="0" fontId="4" fillId="5" borderId="11" xfId="0" applyFont="1" applyFill="1" applyBorder="1" applyAlignment="1">
      <alignment horizontal="right" vertical="center"/>
    </xf>
    <xf numFmtId="43" fontId="4" fillId="5" borderId="12" xfId="1" applyFont="1" applyFill="1" applyBorder="1" applyAlignment="1">
      <alignment horizontal="right" vertical="center"/>
    </xf>
    <xf numFmtId="17" fontId="4" fillId="5" borderId="12" xfId="0" applyNumberFormat="1" applyFont="1" applyFill="1" applyBorder="1" applyAlignment="1">
      <alignment horizontal="center" vertical="center"/>
    </xf>
    <xf numFmtId="43" fontId="4" fillId="5" borderId="21" xfId="1" applyFont="1" applyFill="1" applyBorder="1" applyAlignment="1">
      <alignment horizontal="right" vertical="center"/>
    </xf>
    <xf numFmtId="0" fontId="4" fillId="5" borderId="22" xfId="0" applyFont="1" applyFill="1" applyBorder="1" applyAlignment="1">
      <alignment horizontal="left" vertical="center"/>
    </xf>
    <xf numFmtId="43" fontId="7" fillId="0" borderId="0" xfId="1" applyFont="1" applyAlignment="1">
      <alignment vertical="center"/>
    </xf>
    <xf numFmtId="43" fontId="7" fillId="0" borderId="0" xfId="0" applyNumberFormat="1" applyFont="1" applyAlignment="1">
      <alignment vertical="center"/>
    </xf>
    <xf numFmtId="4" fontId="0" fillId="0" borderId="0" xfId="0" applyNumberFormat="1"/>
    <xf numFmtId="4" fontId="7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4" fillId="5" borderId="2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left" vertical="center"/>
    </xf>
    <xf numFmtId="44" fontId="4" fillId="5" borderId="31" xfId="9" applyFont="1" applyFill="1" applyBorder="1" applyAlignment="1">
      <alignment horizontal="center" vertical="center"/>
    </xf>
    <xf numFmtId="0" fontId="6" fillId="3" borderId="32" xfId="0" applyFont="1" applyFill="1" applyBorder="1"/>
    <xf numFmtId="43" fontId="5" fillId="3" borderId="33" xfId="1" applyFont="1" applyFill="1" applyBorder="1" applyAlignment="1">
      <alignment horizontal="left"/>
    </xf>
    <xf numFmtId="43" fontId="5" fillId="3" borderId="34" xfId="1" applyFont="1" applyFill="1" applyBorder="1" applyAlignment="1">
      <alignment horizontal="center"/>
    </xf>
    <xf numFmtId="0" fontId="6" fillId="6" borderId="35" xfId="0" applyFont="1" applyFill="1" applyBorder="1"/>
    <xf numFmtId="43" fontId="5" fillId="6" borderId="36" xfId="1" applyFont="1" applyFill="1" applyBorder="1" applyAlignment="1">
      <alignment horizontal="left"/>
    </xf>
    <xf numFmtId="43" fontId="5" fillId="6" borderId="37" xfId="1" applyFont="1" applyFill="1" applyBorder="1" applyAlignment="1">
      <alignment horizontal="center"/>
    </xf>
    <xf numFmtId="0" fontId="6" fillId="3" borderId="35" xfId="0" applyFont="1" applyFill="1" applyBorder="1"/>
    <xf numFmtId="43" fontId="5" fillId="3" borderId="36" xfId="1" applyFont="1" applyFill="1" applyBorder="1" applyAlignment="1">
      <alignment horizontal="left"/>
    </xf>
    <xf numFmtId="43" fontId="5" fillId="3" borderId="37" xfId="1" applyFont="1" applyFill="1" applyBorder="1" applyAlignment="1">
      <alignment horizontal="center"/>
    </xf>
    <xf numFmtId="44" fontId="4" fillId="5" borderId="13" xfId="9" applyFont="1" applyFill="1" applyBorder="1" applyAlignment="1">
      <alignment horizontal="center" vertical="center"/>
    </xf>
    <xf numFmtId="44" fontId="4" fillId="5" borderId="40" xfId="9" applyFont="1" applyFill="1" applyBorder="1" applyAlignment="1">
      <alignment horizontal="right"/>
    </xf>
    <xf numFmtId="9" fontId="4" fillId="5" borderId="2" xfId="2" applyFont="1" applyFill="1" applyBorder="1" applyAlignment="1">
      <alignment horizontal="right" vertical="center"/>
    </xf>
    <xf numFmtId="0" fontId="7" fillId="0" borderId="0" xfId="0" quotePrefix="1" applyFont="1" applyAlignment="1">
      <alignment vertical="center"/>
    </xf>
    <xf numFmtId="43" fontId="0" fillId="0" borderId="0" xfId="1" applyFont="1"/>
    <xf numFmtId="0" fontId="4" fillId="5" borderId="20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right"/>
    </xf>
    <xf numFmtId="0" fontId="4" fillId="5" borderId="39" xfId="0" applyFont="1" applyFill="1" applyBorder="1" applyAlignment="1">
      <alignment horizontal="right"/>
    </xf>
  </cellXfs>
  <cellStyles count="11">
    <cellStyle name="Comma" xfId="7" xr:uid="{00000000-0005-0000-0000-000000000000}"/>
    <cellStyle name="Comma [0]" xfId="8" xr:uid="{00000000-0005-0000-0000-000001000000}"/>
    <cellStyle name="Currency" xfId="5" xr:uid="{00000000-0005-0000-0000-000002000000}"/>
    <cellStyle name="Currency [0]" xfId="6" xr:uid="{00000000-0005-0000-0000-000003000000}"/>
    <cellStyle name="Moeda" xfId="9" builtinId="4"/>
    <cellStyle name="Normal" xfId="0" builtinId="0"/>
    <cellStyle name="Normal 2" xfId="3" xr:uid="{00000000-0005-0000-0000-000005000000}"/>
    <cellStyle name="Normal 3" xfId="10" xr:uid="{98CE299D-95DD-4602-ACCC-0213D73441AA}"/>
    <cellStyle name="Percent" xfId="4" xr:uid="{00000000-0005-0000-0000-000006000000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83549"/>
      <color rgb="FFBCBDC1"/>
      <color rgb="FF808183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78142198413731"/>
          <c:y val="0.13973272620572214"/>
          <c:w val="0.91871084921724233"/>
          <c:h val="0.48799853426299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'Gerenciamento executivo '!$E$2</c:f>
              <c:strCache>
                <c:ptCount val="1"/>
                <c:pt idx="0">
                  <c:v>Valor 1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'Gerenciamento executivo '!$A$3:$A$22</c:f>
              <c:strCache>
                <c:ptCount val="20"/>
                <c:pt idx="0">
                  <c:v>MOVIMENTAÇÃO DE TERRA</c:v>
                </c:pt>
                <c:pt idx="1">
                  <c:v>INFRAESTRUTURA</c:v>
                </c:pt>
                <c:pt idx="2">
                  <c:v>SUPRAESTRUTURA</c:v>
                </c:pt>
                <c:pt idx="3">
                  <c:v>ALVENARIA</c:v>
                </c:pt>
                <c:pt idx="4">
                  <c:v>INSTALAÇÕES ELÉTRICAS, HIDRÁULICAS, GLP E PREVENTIVAS</c:v>
                </c:pt>
                <c:pt idx="5">
                  <c:v>SISTEMAS E EQUIPAMENTOS ESPECIAIS</c:v>
                </c:pt>
                <c:pt idx="6">
                  <c:v>IMPERMEABILIZAÇÃO</c:v>
                </c:pt>
                <c:pt idx="7">
                  <c:v>REVESTIMENTOS INTERNOS EM PISO E PAREDE</c:v>
                </c:pt>
                <c:pt idx="8">
                  <c:v>REVESTIMENTOS E ACABAMENTOS INTERNOS EM TETO</c:v>
                </c:pt>
                <c:pt idx="9">
                  <c:v>ACABAMENTOS EM PISO E PAREDE</c:v>
                </c:pt>
                <c:pt idx="10">
                  <c:v>PINTURA INTERNA</c:v>
                </c:pt>
                <c:pt idx="11">
                  <c:v>ESQUADRIAS, VIDROS E FERRAGENS</c:v>
                </c:pt>
                <c:pt idx="12">
                  <c:v>COBERTURA</c:v>
                </c:pt>
                <c:pt idx="13">
                  <c:v>REVESTIMENTOS E ACABAMENTOS DE FACHADA</c:v>
                </c:pt>
                <c:pt idx="14">
                  <c:v>LIMPEZA FINAL DE OBRA</c:v>
                </c:pt>
                <c:pt idx="15">
                  <c:v>PORTARIA </c:v>
                </c:pt>
                <c:pt idx="16">
                  <c:v>SALAO DE FESTAS </c:v>
                </c:pt>
                <c:pt idx="17">
                  <c:v>MUROS E FECHAMENTOS </c:v>
                </c:pt>
                <c:pt idx="18">
                  <c:v>URBANIZAÇÃO</c:v>
                </c:pt>
                <c:pt idx="19">
                  <c:v>SERVIÇOS COMPLEMENTARES</c:v>
                </c:pt>
              </c:strCache>
            </c:strRef>
          </c:cat>
          <c:val>
            <c:numRef>
              <c:f>'Gerenciamento executivo '!$E$3:$E$22</c:f>
              <c:numCache>
                <c:formatCode>General</c:formatCode>
                <c:ptCount val="20"/>
                <c:pt idx="0">
                  <c:v>4.5</c:v>
                </c:pt>
                <c:pt idx="1">
                  <c:v>100</c:v>
                </c:pt>
                <c:pt idx="2">
                  <c:v>520</c:v>
                </c:pt>
                <c:pt idx="3">
                  <c:v>85</c:v>
                </c:pt>
                <c:pt idx="4">
                  <c:v>270</c:v>
                </c:pt>
                <c:pt idx="5">
                  <c:v>100</c:v>
                </c:pt>
                <c:pt idx="6">
                  <c:v>35</c:v>
                </c:pt>
                <c:pt idx="7">
                  <c:v>140</c:v>
                </c:pt>
                <c:pt idx="8">
                  <c:v>65</c:v>
                </c:pt>
                <c:pt idx="9">
                  <c:v>130</c:v>
                </c:pt>
                <c:pt idx="10">
                  <c:v>90</c:v>
                </c:pt>
                <c:pt idx="11">
                  <c:v>165</c:v>
                </c:pt>
                <c:pt idx="12">
                  <c:v>85</c:v>
                </c:pt>
                <c:pt idx="1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A4E-8021-9846F645B964}"/>
            </c:ext>
          </c:extLst>
        </c:ser>
        <c:ser>
          <c:idx val="1"/>
          <c:order val="1"/>
          <c:tx>
            <c:strRef>
              <c:f>'Gerenciamento executivo '!$F$2</c:f>
              <c:strCache>
                <c:ptCount val="1"/>
                <c:pt idx="0">
                  <c:v>Valor 2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'Gerenciamento executivo '!$F$3:$F$23</c:f>
              <c:numCache>
                <c:formatCode>General</c:formatCode>
                <c:ptCount val="21"/>
                <c:pt idx="0">
                  <c:v>3</c:v>
                </c:pt>
                <c:pt idx="1">
                  <c:v>50</c:v>
                </c:pt>
                <c:pt idx="2">
                  <c:v>60</c:v>
                </c:pt>
                <c:pt idx="3">
                  <c:v>25</c:v>
                </c:pt>
                <c:pt idx="4">
                  <c:v>30</c:v>
                </c:pt>
                <c:pt idx="5">
                  <c:v>80</c:v>
                </c:pt>
                <c:pt idx="6">
                  <c:v>10</c:v>
                </c:pt>
                <c:pt idx="7">
                  <c:v>30</c:v>
                </c:pt>
                <c:pt idx="8">
                  <c:v>10</c:v>
                </c:pt>
                <c:pt idx="9">
                  <c:v>30</c:v>
                </c:pt>
                <c:pt idx="10">
                  <c:v>115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715216"/>
        <c:axId val="410715872"/>
      </c:barChart>
      <c:lineChart>
        <c:grouping val="standard"/>
        <c:varyColors val="0"/>
        <c:ser>
          <c:idx val="2"/>
          <c:order val="2"/>
          <c:tx>
            <c:strRef>
              <c:f>'Gerenciamento executivo '!$C$2</c:f>
              <c:strCache>
                <c:ptCount val="1"/>
                <c:pt idx="0">
                  <c:v>VALOR / m²</c:v>
                </c:pt>
              </c:strCache>
            </c:strRef>
          </c:tx>
          <c:spPr>
            <a:ln w="25400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2"/>
              </a:solidFill>
              <a:ln w="31750">
                <a:noFill/>
              </a:ln>
              <a:effectLst/>
            </c:spPr>
          </c:marker>
          <c:val>
            <c:numRef>
              <c:f>'Gerenciamento executivo '!$C$3:$C$22</c:f>
              <c:numCache>
                <c:formatCode>_(* #,##0.00_);_(* \(#,##0.00\);_(* "-"??_);_(@_)</c:formatCode>
                <c:ptCount val="20"/>
                <c:pt idx="0">
                  <c:v>14.076688532833534</c:v>
                </c:pt>
                <c:pt idx="1">
                  <c:v>249.12200635414044</c:v>
                </c:pt>
                <c:pt idx="2">
                  <c:v>519.09833146670928</c:v>
                </c:pt>
                <c:pt idx="3">
                  <c:v>129.65028685058627</c:v>
                </c:pt>
                <c:pt idx="4">
                  <c:v>273.78972594912119</c:v>
                </c:pt>
                <c:pt idx="5">
                  <c:v>83.157104980457589</c:v>
                </c:pt>
                <c:pt idx="6">
                  <c:v>18.430102169093274</c:v>
                </c:pt>
                <c:pt idx="7">
                  <c:v>104.18746085803753</c:v>
                </c:pt>
                <c:pt idx="8">
                  <c:v>45.637969417841873</c:v>
                </c:pt>
                <c:pt idx="9">
                  <c:v>146.08664944801259</c:v>
                </c:pt>
                <c:pt idx="10">
                  <c:v>93.70143082443829</c:v>
                </c:pt>
                <c:pt idx="11">
                  <c:v>281.20219652122233</c:v>
                </c:pt>
                <c:pt idx="12">
                  <c:v>61.471260085483749</c:v>
                </c:pt>
                <c:pt idx="13">
                  <c:v>117.33029645036684</c:v>
                </c:pt>
                <c:pt idx="14">
                  <c:v>5.7141551050261707</c:v>
                </c:pt>
                <c:pt idx="15">
                  <c:v>19.575406276427966</c:v>
                </c:pt>
                <c:pt idx="16">
                  <c:v>58.179163904825032</c:v>
                </c:pt>
                <c:pt idx="17">
                  <c:v>44.819114991657329</c:v>
                </c:pt>
                <c:pt idx="18">
                  <c:v>234.61345797810333</c:v>
                </c:pt>
                <c:pt idx="19">
                  <c:v>88.226554821604068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15216"/>
        <c:axId val="410715872"/>
      </c:lineChart>
      <c:catAx>
        <c:axId val="4107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872"/>
        <c:crosses val="autoZero"/>
        <c:auto val="1"/>
        <c:lblAlgn val="ctr"/>
        <c:lblOffset val="100"/>
        <c:noMultiLvlLbl val="0"/>
      </c:catAx>
      <c:valAx>
        <c:axId val="410715872"/>
        <c:scaling>
          <c:orientation val="minMax"/>
          <c:max val="6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216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r>
              <a:rPr lang="pt-BR"/>
              <a:t>REPRESENTAÇÃO DE CUSTOS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solidFill>
                <a:schemeClr val="bg2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Roboto" panose="02000000000000000000" pitchFamily="2" charset="0"/>
                    <a:cs typeface="Poppins" panose="00000500000000000000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'Executivo - CASAS'!$A$2:$A$22</c:f>
              <c:strCache>
                <c:ptCount val="21"/>
                <c:pt idx="0">
                  <c:v>DESPESAS INDIRETAS</c:v>
                </c:pt>
                <c:pt idx="1">
                  <c:v>MOVIMENTAÇÃO DE TERRA - RESIDÊNCIAS</c:v>
                </c:pt>
                <c:pt idx="2">
                  <c:v>INFRAESTRUTURA</c:v>
                </c:pt>
                <c:pt idx="3">
                  <c:v>SUPRAESTRUTURA</c:v>
                </c:pt>
                <c:pt idx="4">
                  <c:v>ALVENARIA</c:v>
                </c:pt>
                <c:pt idx="5">
                  <c:v>INSTALAÇÕES ELÉTRICAS, HIDRÁULICAS, GLP E PREVENTIVAS</c:v>
                </c:pt>
                <c:pt idx="6">
                  <c:v>SISTEMAS E EQUIPAMENTOS ESPECIAIS</c:v>
                </c:pt>
                <c:pt idx="7">
                  <c:v>IMPERMEABILIZAÇÃO</c:v>
                </c:pt>
                <c:pt idx="8">
                  <c:v>REVESTIMENTOS INTERNOS EM PISO E PAREDE</c:v>
                </c:pt>
                <c:pt idx="9">
                  <c:v>REVESTIMENTOS E ACABAMENTOS INTERNOS EM TETO</c:v>
                </c:pt>
                <c:pt idx="10">
                  <c:v>ACABAMENTOS EM PISO E PAREDE</c:v>
                </c:pt>
                <c:pt idx="11">
                  <c:v>PINTURA INTERNA</c:v>
                </c:pt>
                <c:pt idx="12">
                  <c:v>ESQUADRIAS, VIDROS E FERRAGENS</c:v>
                </c:pt>
                <c:pt idx="13">
                  <c:v>COBERTURA</c:v>
                </c:pt>
                <c:pt idx="14">
                  <c:v>REVESTIMENTOS E ACABAMENTOS DE FACHADA</c:v>
                </c:pt>
                <c:pt idx="15">
                  <c:v>LIMPEZA FINAL DE OBRA</c:v>
                </c:pt>
                <c:pt idx="16">
                  <c:v>PORTARIA </c:v>
                </c:pt>
                <c:pt idx="17">
                  <c:v>SALAO DE FESTAS </c:v>
                </c:pt>
                <c:pt idx="18">
                  <c:v>MUROS E FECHAMENTOS </c:v>
                </c:pt>
                <c:pt idx="19">
                  <c:v>URBANIZAÇÃO</c:v>
                </c:pt>
                <c:pt idx="20">
                  <c:v>SERVIÇOS COMPLEMENTARES</c:v>
                </c:pt>
              </c:strCache>
            </c:strRef>
          </c:cat>
          <c:val>
            <c:numRef>
              <c:f>'Executivo - CASAS'!$C$2:$C$22</c:f>
              <c:numCache>
                <c:formatCode>0.00%</c:formatCode>
                <c:ptCount val="21"/>
                <c:pt idx="0">
                  <c:v>9.3581695622131228E-2</c:v>
                </c:pt>
                <c:pt idx="1">
                  <c:v>4.8484857166981666E-3</c:v>
                </c:pt>
                <c:pt idx="2">
                  <c:v>8.5806010888564127E-2</c:v>
                </c:pt>
                <c:pt idx="3">
                  <c:v>0.17879495165412806</c:v>
                </c:pt>
                <c:pt idx="4">
                  <c:v>4.4655926178566487E-2</c:v>
                </c:pt>
                <c:pt idx="5">
                  <c:v>9.4302404471530238E-2</c:v>
                </c:pt>
                <c:pt idx="6">
                  <c:v>2.8642108177594255E-2</c:v>
                </c:pt>
                <c:pt idx="7">
                  <c:v>6.3479480217034766E-3</c:v>
                </c:pt>
                <c:pt idx="8">
                  <c:v>3.5885671168399504E-2</c:v>
                </c:pt>
                <c:pt idx="9">
                  <c:v>1.5719254023799378E-2</c:v>
                </c:pt>
                <c:pt idx="10">
                  <c:v>5.0317163130866392E-2</c:v>
                </c:pt>
                <c:pt idx="11">
                  <c:v>3.2273929193418129E-2</c:v>
                </c:pt>
                <c:pt idx="12">
                  <c:v>9.6855509032340165E-2</c:v>
                </c:pt>
                <c:pt idx="13">
                  <c:v>2.117277268845788E-2</c:v>
                </c:pt>
                <c:pt idx="14">
                  <c:v>4.041250647470674E-2</c:v>
                </c:pt>
                <c:pt idx="15">
                  <c:v>1.968147504656089E-3</c:v>
                </c:pt>
                <c:pt idx="16">
                  <c:v>6.7424293368747099E-3</c:v>
                </c:pt>
                <c:pt idx="17">
                  <c:v>2.0038863866600372E-2</c:v>
                </c:pt>
                <c:pt idx="18">
                  <c:v>1.5437212975569145E-2</c:v>
                </c:pt>
                <c:pt idx="19">
                  <c:v>8.0808778094277056E-2</c:v>
                </c:pt>
                <c:pt idx="20">
                  <c:v>3.0388197471890012E-2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A28-BE49-41975BBBE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Roboto" panose="02000000000000000000" pitchFamily="2" charset="0"/>
                <a:cs typeface="Poppins" panose="00000500000000000000" pitchFamily="2" charset="0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ea typeface="Roboto" panose="020000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457198</xdr:colOff>
      <xdr:row>1</xdr:row>
      <xdr:rowOff>126274</xdr:rowOff>
    </xdr:from>
    <xdr:to>
      <xdr:col>21</xdr:col>
      <xdr:colOff>415636</xdr:colOff>
      <xdr:row>24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C88E27-5B2B-429D-976F-09C83619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0.32643</cdr:x>
      <cdr:y>0.02118</cdr:y>
    </cdr:from>
    <cdr:to>
      <cdr:x>0.74936</cdr:x>
      <cdr:y>0.09607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2D004DF-4FC1-4B69-A73A-5C0C9B236050}"/>
            </a:ext>
          </a:extLst>
        </cdr:cNvPr>
        <cdr:cNvSpPr txBox="1"/>
      </cdr:nvSpPr>
      <cdr:spPr>
        <a:xfrm xmlns:a="http://schemas.openxmlformats.org/drawingml/2006/main">
          <a:off x="2987531" y="63460"/>
          <a:ext cx="3870711" cy="2243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 i="0" baseline="0">
              <a:effectLst/>
              <a:latin typeface="Poppins" panose="00000500000000000000" pitchFamily="2" charset="0"/>
              <a:ea typeface="Roboto" panose="02000000000000000000" pitchFamily="2" charset="0"/>
              <a:cs typeface="Poppins" panose="00000500000000000000" pitchFamily="2" charset="0"/>
            </a:rPr>
            <a:t>COMPARATIVO OBRAS SIMILARES</a:t>
          </a:r>
          <a:endParaRPr lang="pt-BR" sz="1400">
            <a:effectLst/>
            <a:latin typeface="Poppins" panose="00000500000000000000" pitchFamily="2" charset="0"/>
            <a:ea typeface="Roboto" panose="02000000000000000000" pitchFamily="2" charset="0"/>
            <a:cs typeface="Poppins" panose="00000500000000000000" pitchFamily="2" charset="0"/>
          </a:endParaRPr>
        </a:p>
        <a:p xmlns:a="http://schemas.openxmlformats.org/drawingml/2006/main">
          <a:endParaRPr lang="pt-BR" sz="1400">
            <a:latin typeface="Poppins" panose="00000500000000000000" pitchFamily="2" charset="0"/>
            <a:ea typeface="Roboto" panose="02000000000000000000" pitchFamily="2" charset="0"/>
            <a:cs typeface="Poppins" panose="00000500000000000000" pitchFamily="2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26</xdr:row>
      <xdr:rowOff>57149</xdr:rowOff>
    </xdr:from>
    <xdr:to>
      <xdr:col>4</xdr:col>
      <xdr:colOff>952502</xdr:colOff>
      <xdr:row>53</xdr:row>
      <xdr:rowOff>43294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556647-49F7-4684-8A8F-77AD7DB60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Normal="100" workbookViewId="0">
      <selection activeCell="D18" sqref="D18"/>
    </sheetView>
  </sheetViews>
  <sheetFormatPr defaultColWidth="9.140625" defaultRowHeight="14.25" x14ac:dyDescent="0.2"/>
  <cols>
    <col min="1" max="1" width="66.28515625" style="2" bestFit="1" customWidth="1"/>
    <col min="2" max="2" width="22.28515625" style="16" customWidth="1"/>
    <col min="3" max="3" width="16.85546875" style="2" customWidth="1"/>
    <col min="4" max="4" width="20.7109375" style="17" customWidth="1"/>
    <col min="5" max="16384" width="9.140625" style="2"/>
  </cols>
  <sheetData>
    <row r="1" spans="1:6" ht="15" x14ac:dyDescent="0.2">
      <c r="A1" s="74" t="s">
        <v>0</v>
      </c>
      <c r="B1" s="72" t="s">
        <v>100</v>
      </c>
      <c r="C1" s="73"/>
      <c r="D1" s="1" t="s">
        <v>11</v>
      </c>
    </row>
    <row r="2" spans="1:6" ht="15" x14ac:dyDescent="0.2">
      <c r="A2" s="75"/>
      <c r="B2" s="3" t="s">
        <v>26</v>
      </c>
      <c r="C2" s="4" t="s">
        <v>10</v>
      </c>
      <c r="D2" s="5" t="s">
        <v>10</v>
      </c>
      <c r="E2" s="2" t="s">
        <v>20</v>
      </c>
      <c r="F2" s="2" t="s">
        <v>21</v>
      </c>
    </row>
    <row r="3" spans="1:6" x14ac:dyDescent="0.2">
      <c r="A3" s="6" t="s">
        <v>1</v>
      </c>
      <c r="B3" s="7">
        <f>'Executivo - CASAS'!B3</f>
        <v>61586.92</v>
      </c>
      <c r="C3" s="7">
        <f>'Executivo - CASAS'!D3</f>
        <v>14.076688532833534</v>
      </c>
      <c r="D3" s="8" t="s">
        <v>98</v>
      </c>
      <c r="E3" s="2">
        <v>4.5</v>
      </c>
      <c r="F3" s="2">
        <v>3</v>
      </c>
    </row>
    <row r="4" spans="1:6" x14ac:dyDescent="0.2">
      <c r="A4" s="9" t="s">
        <v>2</v>
      </c>
      <c r="B4" s="10">
        <f>'Executivo - CASAS'!B4</f>
        <v>1089933.69</v>
      </c>
      <c r="C4" s="10">
        <f>'Executivo - CASAS'!D4</f>
        <v>249.12200635414044</v>
      </c>
      <c r="D4" s="11" t="s">
        <v>102</v>
      </c>
      <c r="E4" s="2">
        <v>100</v>
      </c>
      <c r="F4" s="2">
        <v>50</v>
      </c>
    </row>
    <row r="5" spans="1:6" x14ac:dyDescent="0.2">
      <c r="A5" s="6" t="s">
        <v>3</v>
      </c>
      <c r="B5" s="7">
        <f>'Executivo - CASAS'!B5</f>
        <v>2271107.11</v>
      </c>
      <c r="C5" s="7">
        <f>'Executivo - CASAS'!D5</f>
        <v>519.09833146670928</v>
      </c>
      <c r="D5" s="8" t="s">
        <v>25</v>
      </c>
      <c r="E5" s="2">
        <v>520</v>
      </c>
      <c r="F5" s="2">
        <v>60</v>
      </c>
    </row>
    <row r="6" spans="1:6" x14ac:dyDescent="0.2">
      <c r="A6" s="9" t="s">
        <v>4</v>
      </c>
      <c r="B6" s="10">
        <f>'Executivo - CASAS'!B6</f>
        <v>567232.97</v>
      </c>
      <c r="C6" s="10">
        <f>'Executivo - CASAS'!D6</f>
        <v>129.65028685058627</v>
      </c>
      <c r="D6" s="11" t="s">
        <v>88</v>
      </c>
      <c r="E6" s="2">
        <v>85</v>
      </c>
      <c r="F6" s="2">
        <f>110-85</f>
        <v>25</v>
      </c>
    </row>
    <row r="7" spans="1:6" x14ac:dyDescent="0.2">
      <c r="A7" s="6" t="s">
        <v>22</v>
      </c>
      <c r="B7" s="7">
        <f>'Executivo - CASAS'!B7</f>
        <v>1197857.4300000002</v>
      </c>
      <c r="C7" s="7">
        <f>'Executivo - CASAS'!D7</f>
        <v>273.78972594912119</v>
      </c>
      <c r="D7" s="8" t="s">
        <v>29</v>
      </c>
      <c r="E7" s="2">
        <v>270</v>
      </c>
      <c r="F7" s="2">
        <v>30</v>
      </c>
    </row>
    <row r="8" spans="1:6" x14ac:dyDescent="0.2">
      <c r="A8" s="9" t="s">
        <v>16</v>
      </c>
      <c r="B8" s="10">
        <f>'Executivo - CASAS'!B8</f>
        <v>363820.65</v>
      </c>
      <c r="C8" s="10">
        <f>'Executivo - CASAS'!D8</f>
        <v>83.157104980457589</v>
      </c>
      <c r="D8" s="11" t="s">
        <v>89</v>
      </c>
      <c r="E8" s="2">
        <v>100</v>
      </c>
      <c r="F8" s="2">
        <v>80</v>
      </c>
    </row>
    <row r="9" spans="1:6" x14ac:dyDescent="0.2">
      <c r="A9" s="6" t="s">
        <v>18</v>
      </c>
      <c r="B9" s="7">
        <f>'Executivo - CASAS'!B9</f>
        <v>80633.539999999994</v>
      </c>
      <c r="C9" s="7">
        <f>'Executivo - CASAS'!D9</f>
        <v>18.430102169093274</v>
      </c>
      <c r="D9" s="8" t="s">
        <v>28</v>
      </c>
      <c r="E9" s="2">
        <v>35</v>
      </c>
      <c r="F9" s="2">
        <v>10</v>
      </c>
    </row>
    <row r="10" spans="1:6" x14ac:dyDescent="0.2">
      <c r="A10" s="9" t="s">
        <v>12</v>
      </c>
      <c r="B10" s="10">
        <f>'Executivo - CASAS'!B10</f>
        <v>455830.56</v>
      </c>
      <c r="C10" s="10">
        <f>'Executivo - CASAS'!D10</f>
        <v>104.18746085803753</v>
      </c>
      <c r="D10" s="11" t="s">
        <v>90</v>
      </c>
      <c r="E10" s="2">
        <v>140</v>
      </c>
      <c r="F10" s="2">
        <v>30</v>
      </c>
    </row>
    <row r="11" spans="1:6" x14ac:dyDescent="0.2">
      <c r="A11" s="6" t="s">
        <v>5</v>
      </c>
      <c r="B11" s="7">
        <f>'Executivo - CASAS'!B11</f>
        <v>199670.68</v>
      </c>
      <c r="C11" s="7">
        <f>'Executivo - CASAS'!D11</f>
        <v>45.637969417841873</v>
      </c>
      <c r="D11" s="8" t="s">
        <v>91</v>
      </c>
      <c r="E11" s="2">
        <v>65</v>
      </c>
      <c r="F11" s="2">
        <v>10</v>
      </c>
    </row>
    <row r="12" spans="1:6" x14ac:dyDescent="0.2">
      <c r="A12" s="9" t="s">
        <v>13</v>
      </c>
      <c r="B12" s="10">
        <f>'Executivo - CASAS'!B12</f>
        <v>639143.69999999995</v>
      </c>
      <c r="C12" s="10">
        <f>'Executivo - CASAS'!D12</f>
        <v>146.08664944801259</v>
      </c>
      <c r="D12" s="11" t="s">
        <v>92</v>
      </c>
      <c r="E12" s="2">
        <v>130</v>
      </c>
      <c r="F12" s="2">
        <v>30</v>
      </c>
    </row>
    <row r="13" spans="1:6" x14ac:dyDescent="0.2">
      <c r="A13" s="6" t="s">
        <v>6</v>
      </c>
      <c r="B13" s="7">
        <f>'Executivo - CASAS'!B13</f>
        <v>409953.13</v>
      </c>
      <c r="C13" s="7">
        <f>'Executivo - CASAS'!D13</f>
        <v>93.70143082443829</v>
      </c>
      <c r="D13" s="8" t="s">
        <v>93</v>
      </c>
      <c r="E13" s="2">
        <v>90</v>
      </c>
      <c r="F13" s="2">
        <v>115</v>
      </c>
    </row>
    <row r="14" spans="1:6" x14ac:dyDescent="0.2">
      <c r="A14" s="9" t="s">
        <v>17</v>
      </c>
      <c r="B14" s="10">
        <f>'Executivo - CASAS'!B14</f>
        <v>1230287.73</v>
      </c>
      <c r="C14" s="10">
        <f>'Executivo - CASAS'!D14</f>
        <v>281.20219652122233</v>
      </c>
      <c r="D14" s="11" t="s">
        <v>94</v>
      </c>
      <c r="E14" s="2">
        <v>165</v>
      </c>
      <c r="F14" s="2">
        <f>200-E14</f>
        <v>35</v>
      </c>
    </row>
    <row r="15" spans="1:6" x14ac:dyDescent="0.2">
      <c r="A15" s="6" t="s">
        <v>24</v>
      </c>
      <c r="B15" s="7">
        <f>'Executivo - CASAS'!B15</f>
        <v>268942.90999999997</v>
      </c>
      <c r="C15" s="7">
        <f>'Executivo - CASAS'!D15</f>
        <v>61.471260085483749</v>
      </c>
      <c r="D15" s="8" t="s">
        <v>106</v>
      </c>
      <c r="E15" s="2">
        <v>85</v>
      </c>
      <c r="F15" s="2">
        <f>120-85</f>
        <v>35</v>
      </c>
    </row>
    <row r="16" spans="1:6" x14ac:dyDescent="0.2">
      <c r="A16" s="9" t="s">
        <v>14</v>
      </c>
      <c r="B16" s="10">
        <f>'Executivo - CASAS'!B16</f>
        <v>513331.78</v>
      </c>
      <c r="C16" s="10">
        <f>'Executivo - CASAS'!D16</f>
        <v>117.33029645036684</v>
      </c>
      <c r="D16" s="11" t="s">
        <v>19</v>
      </c>
      <c r="E16" s="2">
        <v>85</v>
      </c>
      <c r="F16" s="2">
        <f>120-85</f>
        <v>35</v>
      </c>
    </row>
    <row r="17" spans="1:4" x14ac:dyDescent="0.2">
      <c r="A17" s="6" t="s">
        <v>103</v>
      </c>
      <c r="B17" s="7">
        <f>'Executivo - CASAS'!B17</f>
        <v>25000</v>
      </c>
      <c r="C17" s="7">
        <f>'Executivo - CASAS'!D17</f>
        <v>5.7141551050261707</v>
      </c>
      <c r="D17" s="8" t="s">
        <v>104</v>
      </c>
    </row>
    <row r="18" spans="1:4" x14ac:dyDescent="0.2">
      <c r="A18" s="9" t="s">
        <v>32</v>
      </c>
      <c r="B18" s="10">
        <f>'Executivo - CASAS'!B18</f>
        <v>85644.36</v>
      </c>
      <c r="C18" s="10">
        <f>'Executivo - CASAS'!D18</f>
        <v>19.575406276427966</v>
      </c>
      <c r="D18" s="11" t="s">
        <v>95</v>
      </c>
    </row>
    <row r="19" spans="1:4" x14ac:dyDescent="0.2">
      <c r="A19" s="6" t="s">
        <v>33</v>
      </c>
      <c r="B19" s="7">
        <f>'Executivo - CASAS'!B19</f>
        <v>254539.66</v>
      </c>
      <c r="C19" s="7">
        <f>'Executivo - CASAS'!D19</f>
        <v>58.179163904825032</v>
      </c>
      <c r="D19" s="8" t="s">
        <v>96</v>
      </c>
    </row>
    <row r="20" spans="1:4" x14ac:dyDescent="0.2">
      <c r="A20" s="9" t="s">
        <v>34</v>
      </c>
      <c r="B20" s="10">
        <f>'Executivo - CASAS'!B20</f>
        <v>196088.11</v>
      </c>
      <c r="C20" s="10">
        <f>'Executivo - CASAS'!D20</f>
        <v>44.819114991657329</v>
      </c>
      <c r="D20" s="11" t="s">
        <v>95</v>
      </c>
    </row>
    <row r="21" spans="1:4" x14ac:dyDescent="0.2">
      <c r="A21" s="6" t="s">
        <v>35</v>
      </c>
      <c r="B21" s="7">
        <f>'Executivo - CASAS'!B21</f>
        <v>1026457.34</v>
      </c>
      <c r="C21" s="7">
        <f>'Executivo - CASAS'!D21</f>
        <v>234.61345797810333</v>
      </c>
      <c r="D21" s="8" t="s">
        <v>97</v>
      </c>
    </row>
    <row r="22" spans="1:4" x14ac:dyDescent="0.2">
      <c r="A22" s="9" t="s">
        <v>15</v>
      </c>
      <c r="B22" s="10">
        <f>'Executivo - CASAS'!B22</f>
        <v>386000</v>
      </c>
      <c r="C22" s="10">
        <f>'Executivo - CASAS'!D22</f>
        <v>88.226554821604068</v>
      </c>
      <c r="D22" s="11" t="s">
        <v>99</v>
      </c>
    </row>
    <row r="23" spans="1:4" ht="15.75" thickBot="1" x14ac:dyDescent="0.3">
      <c r="A23" s="12" t="s">
        <v>7</v>
      </c>
      <c r="B23" s="13">
        <f>SUM(B3:B22)</f>
        <v>11323062.269999998</v>
      </c>
      <c r="C23" s="14">
        <f>SUM(C3:C22)</f>
        <v>2588.0693629859893</v>
      </c>
      <c r="D23" s="15" t="s">
        <v>101</v>
      </c>
    </row>
  </sheetData>
  <mergeCells count="2">
    <mergeCell ref="B1:C1"/>
    <mergeCell ref="A1:A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tabSelected="1" zoomScale="70" zoomScaleNormal="70" workbookViewId="0">
      <selection activeCell="I24" sqref="I24"/>
    </sheetView>
  </sheetViews>
  <sheetFormatPr defaultColWidth="9.140625" defaultRowHeight="12.75" x14ac:dyDescent="0.25"/>
  <cols>
    <col min="1" max="1" width="64.42578125" style="21" bestFit="1" customWidth="1"/>
    <col min="2" max="2" width="20.140625" style="21" bestFit="1" customWidth="1"/>
    <col min="3" max="3" width="14.28515625" style="21" customWidth="1"/>
    <col min="4" max="4" width="15.140625" style="21" customWidth="1"/>
    <col min="5" max="5" width="20.7109375" style="21" customWidth="1"/>
    <col min="6" max="6" width="9.140625" style="21"/>
    <col min="7" max="8" width="14.140625" style="21" bestFit="1" customWidth="1"/>
    <col min="9" max="9" width="9.140625" style="21" customWidth="1"/>
    <col min="10" max="16384" width="9.140625" style="21"/>
  </cols>
  <sheetData>
    <row r="1" spans="1:9" ht="22.5" customHeight="1" x14ac:dyDescent="0.25">
      <c r="A1" s="18" t="s">
        <v>0</v>
      </c>
      <c r="B1" s="19" t="s">
        <v>8</v>
      </c>
      <c r="C1" s="19" t="s">
        <v>9</v>
      </c>
      <c r="D1" s="19" t="s">
        <v>10</v>
      </c>
      <c r="E1" s="20" t="s">
        <v>31</v>
      </c>
    </row>
    <row r="2" spans="1:9" ht="17.25" customHeight="1" x14ac:dyDescent="0.25">
      <c r="A2" s="22" t="s">
        <v>30</v>
      </c>
      <c r="B2" s="23">
        <v>1188702.77</v>
      </c>
      <c r="C2" s="24">
        <f t="shared" ref="C2:C23" si="0">B2/B$24</f>
        <v>9.3581695622131228E-2</v>
      </c>
      <c r="D2" s="25">
        <f>B2/'Executivo - CASAS'!H$10</f>
        <v>271.69728006216997</v>
      </c>
      <c r="E2" s="26">
        <f>B2/H$7</f>
        <v>28302.446904761906</v>
      </c>
      <c r="G2" s="27" t="s">
        <v>27</v>
      </c>
    </row>
    <row r="3" spans="1:9" ht="17.25" customHeight="1" x14ac:dyDescent="0.25">
      <c r="A3" s="28" t="s">
        <v>37</v>
      </c>
      <c r="B3" s="29">
        <v>61586.92</v>
      </c>
      <c r="C3" s="30">
        <f t="shared" si="0"/>
        <v>4.8484857166981666E-3</v>
      </c>
      <c r="D3" s="31">
        <f>B3/'Executivo - CASAS'!H$10</f>
        <v>14.076688532833534</v>
      </c>
      <c r="E3" s="32">
        <f>B3/H$7</f>
        <v>1466.3552380952381</v>
      </c>
    </row>
    <row r="4" spans="1:9" ht="16.899999999999999" customHeight="1" x14ac:dyDescent="0.25">
      <c r="A4" s="33" t="s">
        <v>2</v>
      </c>
      <c r="B4" s="34">
        <v>1089933.69</v>
      </c>
      <c r="C4" s="35">
        <f t="shared" si="0"/>
        <v>8.5806010888564127E-2</v>
      </c>
      <c r="D4" s="36">
        <f>B4/'Executivo - CASAS'!H$10</f>
        <v>249.12200635414044</v>
      </c>
      <c r="E4" s="37">
        <f t="shared" ref="E4:E22" si="1">B4/H$7</f>
        <v>25950.802142857141</v>
      </c>
      <c r="G4" s="52"/>
    </row>
    <row r="5" spans="1:9" ht="17.25" customHeight="1" x14ac:dyDescent="0.25">
      <c r="A5" s="28" t="s">
        <v>3</v>
      </c>
      <c r="B5" s="29">
        <v>2271107.11</v>
      </c>
      <c r="C5" s="30">
        <f t="shared" si="0"/>
        <v>0.17879495165412806</v>
      </c>
      <c r="D5" s="29">
        <f>B5/'Executivo - CASAS'!H$10</f>
        <v>519.09833146670928</v>
      </c>
      <c r="E5" s="38">
        <f t="shared" si="1"/>
        <v>54073.978809523804</v>
      </c>
      <c r="G5" s="52"/>
    </row>
    <row r="6" spans="1:9" ht="17.25" customHeight="1" x14ac:dyDescent="0.25">
      <c r="A6" s="33" t="s">
        <v>4</v>
      </c>
      <c r="B6" s="34">
        <v>567232.97</v>
      </c>
      <c r="C6" s="35">
        <f t="shared" si="0"/>
        <v>4.4655926178566487E-2</v>
      </c>
      <c r="D6" s="36">
        <f>B6/'Executivo - CASAS'!H$10</f>
        <v>129.65028685058627</v>
      </c>
      <c r="E6" s="37">
        <f t="shared" si="1"/>
        <v>13505.546904761904</v>
      </c>
      <c r="G6" s="52"/>
    </row>
    <row r="7" spans="1:9" ht="17.25" customHeight="1" x14ac:dyDescent="0.25">
      <c r="A7" s="28" t="s">
        <v>22</v>
      </c>
      <c r="B7" s="29">
        <f>577534+544485.83+75837.6</f>
        <v>1197857.4300000002</v>
      </c>
      <c r="C7" s="30">
        <f t="shared" si="0"/>
        <v>9.4302404471530238E-2</v>
      </c>
      <c r="D7" s="29">
        <f>B7/'Executivo - CASAS'!H$10</f>
        <v>273.78972594912119</v>
      </c>
      <c r="E7" s="38">
        <f t="shared" si="1"/>
        <v>28520.415000000005</v>
      </c>
      <c r="G7" s="53"/>
      <c r="H7" s="21">
        <v>42</v>
      </c>
    </row>
    <row r="8" spans="1:9" ht="17.25" customHeight="1" x14ac:dyDescent="0.25">
      <c r="A8" s="33" t="s">
        <v>16</v>
      </c>
      <c r="B8" s="34">
        <f>293800+70020.65</f>
        <v>363820.65</v>
      </c>
      <c r="C8" s="35">
        <f t="shared" si="0"/>
        <v>2.8642108177594255E-2</v>
      </c>
      <c r="D8" s="36">
        <f>B8/'Executivo - CASAS'!H$10</f>
        <v>83.157104980457589</v>
      </c>
      <c r="E8" s="37">
        <f>B8/H$7</f>
        <v>8662.3964285714283</v>
      </c>
    </row>
    <row r="9" spans="1:9" ht="17.25" customHeight="1" x14ac:dyDescent="0.25">
      <c r="A9" s="28" t="s">
        <v>18</v>
      </c>
      <c r="B9" s="29">
        <v>80633.539999999994</v>
      </c>
      <c r="C9" s="30">
        <f t="shared" si="0"/>
        <v>6.3479480217034766E-3</v>
      </c>
      <c r="D9" s="29">
        <f>B9/'Executivo - CASAS'!H$10</f>
        <v>18.430102169093274</v>
      </c>
      <c r="E9" s="38">
        <f t="shared" si="1"/>
        <v>1919.8461904761903</v>
      </c>
    </row>
    <row r="10" spans="1:9" ht="17.25" customHeight="1" x14ac:dyDescent="0.25">
      <c r="A10" s="33" t="s">
        <v>12</v>
      </c>
      <c r="B10" s="34">
        <v>455830.56</v>
      </c>
      <c r="C10" s="35">
        <f t="shared" si="0"/>
        <v>3.5885671168399504E-2</v>
      </c>
      <c r="D10" s="36">
        <f>B10/'Executivo - CASAS'!H$10</f>
        <v>104.18746085803753</v>
      </c>
      <c r="E10" s="37">
        <f t="shared" si="1"/>
        <v>10853.108571428571</v>
      </c>
      <c r="H10" s="39">
        <v>4375.1000000000004</v>
      </c>
      <c r="I10" s="40" t="s">
        <v>12</v>
      </c>
    </row>
    <row r="11" spans="1:9" ht="17.25" customHeight="1" x14ac:dyDescent="0.25">
      <c r="A11" s="28" t="s">
        <v>5</v>
      </c>
      <c r="B11" s="29">
        <v>199670.68</v>
      </c>
      <c r="C11" s="30">
        <f t="shared" si="0"/>
        <v>1.5719254023799378E-2</v>
      </c>
      <c r="D11" s="29">
        <f>B11/'Executivo - CASAS'!H$10</f>
        <v>45.637969417841873</v>
      </c>
      <c r="E11" s="38">
        <f t="shared" si="1"/>
        <v>4754.0638095238091</v>
      </c>
      <c r="I11" s="41" t="s">
        <v>5</v>
      </c>
    </row>
    <row r="12" spans="1:9" ht="17.25" customHeight="1" x14ac:dyDescent="0.25">
      <c r="A12" s="33" t="s">
        <v>13</v>
      </c>
      <c r="B12" s="34">
        <v>639143.69999999995</v>
      </c>
      <c r="C12" s="35">
        <f t="shared" si="0"/>
        <v>5.0317163130866392E-2</v>
      </c>
      <c r="D12" s="36">
        <f>B12/'Executivo - CASAS'!H$10</f>
        <v>146.08664944801259</v>
      </c>
      <c r="E12" s="37">
        <f t="shared" si="1"/>
        <v>15217.707142857142</v>
      </c>
      <c r="I12" s="40" t="s">
        <v>13</v>
      </c>
    </row>
    <row r="13" spans="1:9" ht="17.25" customHeight="1" x14ac:dyDescent="0.25">
      <c r="A13" s="28" t="s">
        <v>6</v>
      </c>
      <c r="B13" s="29">
        <v>409953.13</v>
      </c>
      <c r="C13" s="30">
        <f t="shared" si="0"/>
        <v>3.2273929193418129E-2</v>
      </c>
      <c r="D13" s="29">
        <f>B13/'Executivo - CASAS'!H$10</f>
        <v>93.70143082443829</v>
      </c>
      <c r="E13" s="38">
        <f t="shared" si="1"/>
        <v>9760.7888095238104</v>
      </c>
      <c r="I13" s="41" t="s">
        <v>6</v>
      </c>
    </row>
    <row r="14" spans="1:9" ht="17.25" customHeight="1" x14ac:dyDescent="0.25">
      <c r="A14" s="33" t="s">
        <v>17</v>
      </c>
      <c r="B14" s="34">
        <v>1230287.73</v>
      </c>
      <c r="C14" s="35">
        <f t="shared" si="0"/>
        <v>9.6855509032340165E-2</v>
      </c>
      <c r="D14" s="36">
        <f>B14/'Executivo - CASAS'!H$10</f>
        <v>281.20219652122233</v>
      </c>
      <c r="E14" s="37">
        <f t="shared" si="1"/>
        <v>29292.564999999999</v>
      </c>
      <c r="I14" s="40" t="s">
        <v>17</v>
      </c>
    </row>
    <row r="15" spans="1:9" ht="16.149999999999999" customHeight="1" x14ac:dyDescent="0.25">
      <c r="A15" s="28" t="s">
        <v>24</v>
      </c>
      <c r="B15" s="29">
        <v>268942.90999999997</v>
      </c>
      <c r="C15" s="30">
        <f t="shared" si="0"/>
        <v>2.117277268845788E-2</v>
      </c>
      <c r="D15" s="29">
        <f>B15/'Executivo - CASAS'!H$10</f>
        <v>61.471260085483749</v>
      </c>
      <c r="E15" s="38">
        <f t="shared" ref="E15" si="2">B15/H$7</f>
        <v>6403.4026190476188</v>
      </c>
      <c r="I15" s="21" t="s">
        <v>24</v>
      </c>
    </row>
    <row r="16" spans="1:9" ht="17.25" customHeight="1" x14ac:dyDescent="0.25">
      <c r="A16" s="33" t="s">
        <v>14</v>
      </c>
      <c r="B16" s="34">
        <v>513331.78</v>
      </c>
      <c r="C16" s="35">
        <f t="shared" si="0"/>
        <v>4.041250647470674E-2</v>
      </c>
      <c r="D16" s="36">
        <f>B16/'Executivo - CASAS'!H$10</f>
        <v>117.33029645036684</v>
      </c>
      <c r="E16" s="37">
        <f t="shared" si="1"/>
        <v>12222.185238095239</v>
      </c>
      <c r="I16" s="40" t="s">
        <v>24</v>
      </c>
    </row>
    <row r="17" spans="1:10" ht="16.149999999999999" customHeight="1" x14ac:dyDescent="0.25">
      <c r="A17" s="28" t="s">
        <v>103</v>
      </c>
      <c r="B17" s="29">
        <v>25000</v>
      </c>
      <c r="C17" s="30">
        <f t="shared" si="0"/>
        <v>1.968147504656089E-3</v>
      </c>
      <c r="D17" s="29">
        <f>B17/'Executivo - CASAS'!H$10</f>
        <v>5.7141551050261707</v>
      </c>
      <c r="E17" s="38">
        <f t="shared" ref="E17" si="3">B17/H$7</f>
        <v>595.23809523809518</v>
      </c>
    </row>
    <row r="18" spans="1:10" ht="17.25" customHeight="1" x14ac:dyDescent="0.25">
      <c r="A18" s="33" t="s">
        <v>32</v>
      </c>
      <c r="B18" s="34">
        <v>85644.36</v>
      </c>
      <c r="C18" s="35">
        <f t="shared" si="0"/>
        <v>6.7424293368747099E-3</v>
      </c>
      <c r="D18" s="36">
        <f>B18/'Executivo - CASAS'!H$10</f>
        <v>19.575406276427966</v>
      </c>
      <c r="E18" s="37">
        <f t="shared" si="1"/>
        <v>2039.1514285714286</v>
      </c>
      <c r="G18" s="70" t="s">
        <v>105</v>
      </c>
      <c r="I18" s="40"/>
    </row>
    <row r="19" spans="1:10" ht="16.149999999999999" customHeight="1" x14ac:dyDescent="0.25">
      <c r="A19" s="28" t="s">
        <v>33</v>
      </c>
      <c r="B19" s="29">
        <v>254539.66</v>
      </c>
      <c r="C19" s="30">
        <f t="shared" si="0"/>
        <v>2.0038863866600372E-2</v>
      </c>
      <c r="D19" s="29">
        <f>B19/'Executivo - CASAS'!H$10</f>
        <v>58.179163904825032</v>
      </c>
      <c r="E19" s="38">
        <f t="shared" si="1"/>
        <v>6060.468095238095</v>
      </c>
      <c r="J19" s="21">
        <v>4375.1000000000004</v>
      </c>
    </row>
    <row r="20" spans="1:10" ht="17.25" customHeight="1" x14ac:dyDescent="0.25">
      <c r="A20" s="33" t="s">
        <v>34</v>
      </c>
      <c r="B20" s="34">
        <v>196088.11</v>
      </c>
      <c r="C20" s="35">
        <f t="shared" si="0"/>
        <v>1.5437212975569145E-2</v>
      </c>
      <c r="D20" s="36">
        <f>B20/'Executivo - CASAS'!H$10</f>
        <v>44.819114991657329</v>
      </c>
      <c r="E20" s="37">
        <f t="shared" si="1"/>
        <v>4668.7645238095238</v>
      </c>
      <c r="I20" s="40"/>
      <c r="J20" s="21">
        <v>42</v>
      </c>
    </row>
    <row r="21" spans="1:10" ht="16.149999999999999" customHeight="1" x14ac:dyDescent="0.25">
      <c r="A21" s="28" t="s">
        <v>35</v>
      </c>
      <c r="B21" s="29">
        <v>1026457.34</v>
      </c>
      <c r="C21" s="30">
        <f t="shared" si="0"/>
        <v>8.0808778094277056E-2</v>
      </c>
      <c r="D21" s="29">
        <f>B21/'Executivo - CASAS'!H$10</f>
        <v>234.61345797810333</v>
      </c>
      <c r="E21" s="38">
        <f t="shared" si="1"/>
        <v>24439.460476190474</v>
      </c>
    </row>
    <row r="22" spans="1:10" ht="17.25" customHeight="1" x14ac:dyDescent="0.25">
      <c r="A22" s="33" t="s">
        <v>15</v>
      </c>
      <c r="B22" s="34">
        <v>386000</v>
      </c>
      <c r="C22" s="35">
        <f t="shared" si="0"/>
        <v>3.0388197471890012E-2</v>
      </c>
      <c r="D22" s="36">
        <f>B22/'Executivo - CASAS'!H$10</f>
        <v>88.226554821604068</v>
      </c>
      <c r="E22" s="37">
        <f t="shared" si="1"/>
        <v>9190.4761904761908</v>
      </c>
      <c r="I22" s="40" t="s">
        <v>14</v>
      </c>
    </row>
    <row r="23" spans="1:10" ht="16.149999999999999" customHeight="1" x14ac:dyDescent="0.25">
      <c r="A23" s="28" t="s">
        <v>36</v>
      </c>
      <c r="B23" s="29">
        <v>190534.93541188497</v>
      </c>
      <c r="C23" s="30">
        <f t="shared" si="0"/>
        <v>1.5000034307228419E-2</v>
      </c>
      <c r="D23" s="29">
        <f>B23/'Executivo - CASAS'!H$10</f>
        <v>43.549846954786169</v>
      </c>
      <c r="E23" s="38">
        <f t="shared" ref="E23" si="4">B23/H$7</f>
        <v>4536.5460812353567</v>
      </c>
      <c r="I23" s="21" t="s">
        <v>14</v>
      </c>
    </row>
    <row r="24" spans="1:10" ht="22.15" customHeight="1" x14ac:dyDescent="0.25">
      <c r="A24" s="42" t="s">
        <v>7</v>
      </c>
      <c r="B24" s="43">
        <f>SUM(B2:B23)</f>
        <v>12702299.975411884</v>
      </c>
      <c r="C24" s="69">
        <f t="shared" ref="C24:E24" si="5">SUM(C2:C23)</f>
        <v>1.0000000000000002</v>
      </c>
      <c r="D24" s="43">
        <f t="shared" si="5"/>
        <v>2903.3164900029456</v>
      </c>
      <c r="E24" s="44">
        <f t="shared" si="5"/>
        <v>302435.71370028297</v>
      </c>
      <c r="G24" s="51"/>
    </row>
    <row r="25" spans="1:10" ht="22.5" customHeight="1" thickBot="1" x14ac:dyDescent="0.3">
      <c r="A25" s="45" t="s">
        <v>66</v>
      </c>
      <c r="B25" s="46">
        <v>2003.3</v>
      </c>
      <c r="C25" s="47">
        <v>44531</v>
      </c>
      <c r="D25" s="48">
        <f>+D24/B25</f>
        <v>1.449266954526504</v>
      </c>
      <c r="E25" s="49" t="s">
        <v>23</v>
      </c>
      <c r="H25" s="50"/>
    </row>
    <row r="26" spans="1:10" ht="15" customHeight="1" x14ac:dyDescent="0.25">
      <c r="G26" s="50"/>
      <c r="H26" s="51"/>
    </row>
    <row r="27" spans="1:10" x14ac:dyDescent="0.25">
      <c r="B27" s="51"/>
    </row>
    <row r="28" spans="1:10" x14ac:dyDescent="0.25">
      <c r="G28" s="51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4E9F-3659-4F53-A1F3-DE3F0EBEF367}">
  <dimension ref="A1:F20"/>
  <sheetViews>
    <sheetView zoomScale="115" zoomScaleNormal="115" workbookViewId="0">
      <selection activeCell="C20" sqref="A1:C20"/>
    </sheetView>
  </sheetViews>
  <sheetFormatPr defaultRowHeight="15" x14ac:dyDescent="0.25"/>
  <cols>
    <col min="1" max="1" width="7.85546875" bestFit="1" customWidth="1"/>
    <col min="2" max="2" width="63.28515625" style="54" bestFit="1" customWidth="1"/>
    <col min="3" max="3" width="19.28515625" bestFit="1" customWidth="1"/>
  </cols>
  <sheetData>
    <row r="1" spans="1:6" x14ac:dyDescent="0.25">
      <c r="A1" s="55" t="s">
        <v>64</v>
      </c>
      <c r="B1" s="56" t="s">
        <v>0</v>
      </c>
      <c r="C1" s="57" t="s">
        <v>8</v>
      </c>
    </row>
    <row r="2" spans="1:6" x14ac:dyDescent="0.25">
      <c r="A2" s="58" t="s">
        <v>38</v>
      </c>
      <c r="B2" s="59" t="s">
        <v>1</v>
      </c>
      <c r="C2" s="60">
        <v>41057.94</v>
      </c>
    </row>
    <row r="3" spans="1:6" x14ac:dyDescent="0.25">
      <c r="A3" s="61" t="s">
        <v>39</v>
      </c>
      <c r="B3" s="62" t="s">
        <v>2</v>
      </c>
      <c r="C3" s="63">
        <v>726292.54</v>
      </c>
    </row>
    <row r="4" spans="1:6" x14ac:dyDescent="0.25">
      <c r="A4" s="64" t="s">
        <v>40</v>
      </c>
      <c r="B4" s="65" t="s">
        <v>3</v>
      </c>
      <c r="C4" s="66">
        <v>1391878.95</v>
      </c>
    </row>
    <row r="5" spans="1:6" x14ac:dyDescent="0.25">
      <c r="A5" s="61" t="s">
        <v>41</v>
      </c>
      <c r="B5" s="62" t="s">
        <v>42</v>
      </c>
      <c r="C5" s="63">
        <v>377900.81</v>
      </c>
    </row>
    <row r="6" spans="1:6" x14ac:dyDescent="0.25">
      <c r="A6" s="64" t="s">
        <v>43</v>
      </c>
      <c r="B6" s="65" t="s">
        <v>44</v>
      </c>
      <c r="C6" s="66">
        <v>384592</v>
      </c>
    </row>
    <row r="7" spans="1:6" x14ac:dyDescent="0.25">
      <c r="A7" s="61" t="s">
        <v>45</v>
      </c>
      <c r="B7" s="62" t="s">
        <v>46</v>
      </c>
      <c r="C7" s="63">
        <v>364790.55</v>
      </c>
    </row>
    <row r="8" spans="1:6" x14ac:dyDescent="0.25">
      <c r="A8" s="64" t="s">
        <v>47</v>
      </c>
      <c r="B8" s="65" t="s">
        <v>48</v>
      </c>
      <c r="C8" s="66">
        <v>50358.400000000001</v>
      </c>
    </row>
    <row r="9" spans="1:6" x14ac:dyDescent="0.25">
      <c r="A9" s="61" t="s">
        <v>49</v>
      </c>
      <c r="B9" s="62" t="s">
        <v>50</v>
      </c>
      <c r="C9" s="63">
        <v>195750</v>
      </c>
    </row>
    <row r="10" spans="1:6" x14ac:dyDescent="0.25">
      <c r="A10" s="64" t="s">
        <v>51</v>
      </c>
      <c r="B10" s="65" t="s">
        <v>52</v>
      </c>
      <c r="C10" s="66">
        <v>50652.94</v>
      </c>
    </row>
    <row r="11" spans="1:6" x14ac:dyDescent="0.25">
      <c r="A11" s="61" t="s">
        <v>53</v>
      </c>
      <c r="B11" s="62" t="s">
        <v>12</v>
      </c>
      <c r="C11" s="63">
        <v>297676.24</v>
      </c>
    </row>
    <row r="12" spans="1:6" x14ac:dyDescent="0.25">
      <c r="A12" s="64" t="s">
        <v>54</v>
      </c>
      <c r="B12" s="65" t="s">
        <v>5</v>
      </c>
      <c r="C12" s="66">
        <v>133113.71</v>
      </c>
    </row>
    <row r="13" spans="1:6" x14ac:dyDescent="0.25">
      <c r="A13" s="61" t="s">
        <v>55</v>
      </c>
      <c r="B13" s="62" t="s">
        <v>13</v>
      </c>
      <c r="C13" s="63">
        <v>415355.06</v>
      </c>
    </row>
    <row r="14" spans="1:6" x14ac:dyDescent="0.25">
      <c r="A14" s="64" t="s">
        <v>56</v>
      </c>
      <c r="B14" s="65" t="s">
        <v>57</v>
      </c>
      <c r="C14" s="66">
        <v>273725.53999999998</v>
      </c>
      <c r="F14">
        <v>20299.080000000002</v>
      </c>
    </row>
    <row r="15" spans="1:6" x14ac:dyDescent="0.25">
      <c r="A15" s="61" t="s">
        <v>58</v>
      </c>
      <c r="B15" s="62" t="s">
        <v>17</v>
      </c>
      <c r="C15" s="63">
        <v>823914.34</v>
      </c>
      <c r="F15">
        <v>30907.43</v>
      </c>
    </row>
    <row r="16" spans="1:6" x14ac:dyDescent="0.25">
      <c r="A16" s="64" t="s">
        <v>59</v>
      </c>
      <c r="B16" s="65" t="s">
        <v>24</v>
      </c>
      <c r="C16" s="66">
        <v>179295.28</v>
      </c>
      <c r="F16">
        <v>70655.17</v>
      </c>
    </row>
    <row r="17" spans="1:6" x14ac:dyDescent="0.25">
      <c r="A17" s="61" t="s">
        <v>60</v>
      </c>
      <c r="B17" s="62" t="s">
        <v>61</v>
      </c>
      <c r="C17" s="63">
        <v>319920.76</v>
      </c>
      <c r="F17">
        <v>57433.599999999999</v>
      </c>
    </row>
    <row r="18" spans="1:6" ht="15.75" thickBot="1" x14ac:dyDescent="0.3">
      <c r="A18" s="64" t="s">
        <v>62</v>
      </c>
      <c r="B18" s="65" t="s">
        <v>63</v>
      </c>
      <c r="C18" s="66">
        <v>46680.43</v>
      </c>
    </row>
    <row r="19" spans="1:6" ht="15.75" thickBot="1" x14ac:dyDescent="0.3">
      <c r="A19" s="76" t="s">
        <v>7</v>
      </c>
      <c r="B19" s="77"/>
      <c r="C19" s="68">
        <f>SUM(C2:C18)</f>
        <v>6072955.4899999984</v>
      </c>
    </row>
    <row r="20" spans="1:6" ht="15.75" thickBot="1" x14ac:dyDescent="0.3">
      <c r="A20" s="76" t="s">
        <v>65</v>
      </c>
      <c r="B20" s="77">
        <v>2381.0500000000002</v>
      </c>
      <c r="C20" s="67">
        <f>C19/28</f>
        <v>216891.26749999993</v>
      </c>
    </row>
  </sheetData>
  <mergeCells count="2">
    <mergeCell ref="A19:B19"/>
    <mergeCell ref="A20:B2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B9BE-3AA8-485C-9DAE-A43CE42EF46A}">
  <dimension ref="A1:C20"/>
  <sheetViews>
    <sheetView zoomScale="115" zoomScaleNormal="115" workbookViewId="0">
      <selection activeCell="C20" sqref="A1:C20"/>
    </sheetView>
  </sheetViews>
  <sheetFormatPr defaultRowHeight="15" x14ac:dyDescent="0.25"/>
  <cols>
    <col min="1" max="1" width="7.85546875" bestFit="1" customWidth="1"/>
    <col min="2" max="2" width="63.28515625" style="54" bestFit="1" customWidth="1"/>
    <col min="3" max="3" width="19.28515625" bestFit="1" customWidth="1"/>
  </cols>
  <sheetData>
    <row r="1" spans="1:3" x14ac:dyDescent="0.25">
      <c r="A1" s="55" t="s">
        <v>64</v>
      </c>
      <c r="B1" s="56" t="s">
        <v>0</v>
      </c>
      <c r="C1" s="57" t="s">
        <v>8</v>
      </c>
    </row>
    <row r="2" spans="1:3" x14ac:dyDescent="0.25">
      <c r="A2" s="58" t="s">
        <v>38</v>
      </c>
      <c r="B2" s="59" t="s">
        <v>1</v>
      </c>
      <c r="C2" s="60">
        <v>10264.36</v>
      </c>
    </row>
    <row r="3" spans="1:3" x14ac:dyDescent="0.25">
      <c r="A3" s="61" t="s">
        <v>39</v>
      </c>
      <c r="B3" s="62" t="s">
        <v>2</v>
      </c>
      <c r="C3" s="63">
        <v>181566.03</v>
      </c>
    </row>
    <row r="4" spans="1:3" x14ac:dyDescent="0.25">
      <c r="A4" s="64" t="s">
        <v>40</v>
      </c>
      <c r="B4" s="65" t="s">
        <v>3</v>
      </c>
      <c r="C4" s="66">
        <v>402577.06</v>
      </c>
    </row>
    <row r="5" spans="1:3" x14ac:dyDescent="0.25">
      <c r="A5" s="61" t="s">
        <v>41</v>
      </c>
      <c r="B5" s="62" t="s">
        <v>42</v>
      </c>
      <c r="C5" s="63">
        <v>94491.44</v>
      </c>
    </row>
    <row r="6" spans="1:3" x14ac:dyDescent="0.25">
      <c r="A6" s="64" t="s">
        <v>43</v>
      </c>
      <c r="B6" s="65" t="s">
        <v>44</v>
      </c>
      <c r="C6" s="66">
        <v>96446</v>
      </c>
    </row>
    <row r="7" spans="1:3" x14ac:dyDescent="0.25">
      <c r="A7" s="61" t="s">
        <v>45</v>
      </c>
      <c r="B7" s="62" t="s">
        <v>46</v>
      </c>
      <c r="C7" s="63">
        <v>89497.64</v>
      </c>
    </row>
    <row r="8" spans="1:3" x14ac:dyDescent="0.25">
      <c r="A8" s="64" t="s">
        <v>47</v>
      </c>
      <c r="B8" s="65" t="s">
        <v>48</v>
      </c>
      <c r="C8" s="66">
        <v>12589.6</v>
      </c>
    </row>
    <row r="9" spans="1:3" x14ac:dyDescent="0.25">
      <c r="A9" s="61" t="s">
        <v>49</v>
      </c>
      <c r="B9" s="62" t="s">
        <v>50</v>
      </c>
      <c r="C9" s="63">
        <v>49000</v>
      </c>
    </row>
    <row r="10" spans="1:3" x14ac:dyDescent="0.25">
      <c r="A10" s="64" t="s">
        <v>51</v>
      </c>
      <c r="B10" s="65" t="s">
        <v>52</v>
      </c>
      <c r="C10" s="66">
        <v>14919.73</v>
      </c>
    </row>
    <row r="11" spans="1:3" x14ac:dyDescent="0.25">
      <c r="A11" s="61" t="s">
        <v>53</v>
      </c>
      <c r="B11" s="62" t="s">
        <v>12</v>
      </c>
      <c r="C11" s="63">
        <v>79281.34</v>
      </c>
    </row>
    <row r="12" spans="1:3" x14ac:dyDescent="0.25">
      <c r="A12" s="64" t="s">
        <v>54</v>
      </c>
      <c r="B12" s="65" t="s">
        <v>5</v>
      </c>
      <c r="C12" s="66">
        <v>33278.480000000003</v>
      </c>
    </row>
    <row r="13" spans="1:3" x14ac:dyDescent="0.25">
      <c r="A13" s="61" t="s">
        <v>55</v>
      </c>
      <c r="B13" s="62" t="s">
        <v>13</v>
      </c>
      <c r="C13" s="63">
        <v>103839.23</v>
      </c>
    </row>
    <row r="14" spans="1:3" x14ac:dyDescent="0.25">
      <c r="A14" s="64" t="s">
        <v>56</v>
      </c>
      <c r="B14" s="65" t="s">
        <v>57</v>
      </c>
      <c r="C14" s="66">
        <v>68595.83</v>
      </c>
    </row>
    <row r="15" spans="1:3" x14ac:dyDescent="0.25">
      <c r="A15" s="61" t="s">
        <v>58</v>
      </c>
      <c r="B15" s="62" t="s">
        <v>17</v>
      </c>
      <c r="C15" s="63">
        <v>205978.59</v>
      </c>
    </row>
    <row r="16" spans="1:3" x14ac:dyDescent="0.25">
      <c r="A16" s="64" t="s">
        <v>59</v>
      </c>
      <c r="B16" s="65" t="s">
        <v>24</v>
      </c>
      <c r="C16" s="66">
        <v>44823.82</v>
      </c>
    </row>
    <row r="17" spans="1:3" x14ac:dyDescent="0.25">
      <c r="A17" s="61" t="s">
        <v>60</v>
      </c>
      <c r="B17" s="62" t="s">
        <v>61</v>
      </c>
      <c r="C17" s="63">
        <v>96794.33</v>
      </c>
    </row>
    <row r="18" spans="1:3" ht="15.75" thickBot="1" x14ac:dyDescent="0.3">
      <c r="A18" s="64" t="s">
        <v>62</v>
      </c>
      <c r="B18" s="65" t="s">
        <v>63</v>
      </c>
      <c r="C18" s="66">
        <v>11670.11</v>
      </c>
    </row>
    <row r="19" spans="1:3" ht="15.75" thickBot="1" x14ac:dyDescent="0.3">
      <c r="A19" s="76" t="s">
        <v>7</v>
      </c>
      <c r="B19" s="77"/>
      <c r="C19" s="68">
        <f>SUM(C2:C18)</f>
        <v>1595613.5900000003</v>
      </c>
    </row>
    <row r="20" spans="1:3" ht="15.75" thickBot="1" x14ac:dyDescent="0.3">
      <c r="A20" s="76" t="s">
        <v>65</v>
      </c>
      <c r="B20" s="77">
        <v>2381.0500000000002</v>
      </c>
      <c r="C20" s="67">
        <f>C19/7</f>
        <v>227944.7985714286</v>
      </c>
    </row>
  </sheetData>
  <mergeCells count="2">
    <mergeCell ref="A19:B19"/>
    <mergeCell ref="A20:B20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C7093-2C81-41AB-84E9-B91AE244BA2B}">
  <dimension ref="A1:F20"/>
  <sheetViews>
    <sheetView zoomScale="130" zoomScaleNormal="130" workbookViewId="0">
      <selection activeCell="C20" sqref="A1:C20"/>
    </sheetView>
  </sheetViews>
  <sheetFormatPr defaultRowHeight="15" x14ac:dyDescent="0.25"/>
  <cols>
    <col min="1" max="1" width="7.85546875" bestFit="1" customWidth="1"/>
    <col min="2" max="2" width="63.28515625" style="54" bestFit="1" customWidth="1"/>
    <col min="3" max="3" width="19.28515625" bestFit="1" customWidth="1"/>
    <col min="6" max="6" width="10.7109375" style="71" bestFit="1" customWidth="1"/>
  </cols>
  <sheetData>
    <row r="1" spans="1:6" x14ac:dyDescent="0.25">
      <c r="A1" s="55" t="s">
        <v>64</v>
      </c>
      <c r="B1" s="56" t="s">
        <v>0</v>
      </c>
      <c r="C1" s="57" t="s">
        <v>8</v>
      </c>
    </row>
    <row r="2" spans="1:6" x14ac:dyDescent="0.25">
      <c r="A2" s="58" t="s">
        <v>38</v>
      </c>
      <c r="B2" s="59" t="s">
        <v>1</v>
      </c>
      <c r="C2" s="60">
        <v>7331.83</v>
      </c>
    </row>
    <row r="3" spans="1:6" x14ac:dyDescent="0.25">
      <c r="A3" s="61" t="s">
        <v>39</v>
      </c>
      <c r="B3" s="62" t="s">
        <v>2</v>
      </c>
      <c r="C3" s="63">
        <v>130190.97</v>
      </c>
    </row>
    <row r="4" spans="1:6" x14ac:dyDescent="0.25">
      <c r="A4" s="64" t="s">
        <v>40</v>
      </c>
      <c r="B4" s="65" t="s">
        <v>3</v>
      </c>
      <c r="C4" s="66">
        <v>309708.63</v>
      </c>
    </row>
    <row r="5" spans="1:6" x14ac:dyDescent="0.25">
      <c r="A5" s="61" t="s">
        <v>41</v>
      </c>
      <c r="B5" s="62" t="s">
        <v>42</v>
      </c>
      <c r="C5" s="63">
        <v>67985.36</v>
      </c>
    </row>
    <row r="6" spans="1:6" x14ac:dyDescent="0.25">
      <c r="A6" s="64" t="s">
        <v>43</v>
      </c>
      <c r="B6" s="65" t="s">
        <v>44</v>
      </c>
      <c r="C6" s="66">
        <v>68840</v>
      </c>
    </row>
    <row r="7" spans="1:6" x14ac:dyDescent="0.25">
      <c r="A7" s="61" t="s">
        <v>45</v>
      </c>
      <c r="B7" s="62" t="s">
        <v>46</v>
      </c>
      <c r="C7" s="63">
        <v>64055.46</v>
      </c>
    </row>
    <row r="8" spans="1:6" x14ac:dyDescent="0.25">
      <c r="A8" s="64" t="s">
        <v>47</v>
      </c>
      <c r="B8" s="65" t="s">
        <v>48</v>
      </c>
      <c r="C8" s="66">
        <v>9064</v>
      </c>
    </row>
    <row r="9" spans="1:6" x14ac:dyDescent="0.25">
      <c r="A9" s="61" t="s">
        <v>49</v>
      </c>
      <c r="B9" s="62" t="s">
        <v>50</v>
      </c>
      <c r="C9" s="63">
        <v>35000</v>
      </c>
      <c r="F9" s="71">
        <v>3624.84</v>
      </c>
    </row>
    <row r="10" spans="1:6" x14ac:dyDescent="0.25">
      <c r="A10" s="64" t="s">
        <v>51</v>
      </c>
      <c r="B10" s="65" t="s">
        <v>52</v>
      </c>
      <c r="C10" s="66">
        <v>10757.82</v>
      </c>
      <c r="F10" s="71">
        <v>5519.18</v>
      </c>
    </row>
    <row r="11" spans="1:6" x14ac:dyDescent="0.25">
      <c r="A11" s="61" t="s">
        <v>53</v>
      </c>
      <c r="B11" s="62" t="s">
        <v>12</v>
      </c>
      <c r="C11" s="63">
        <v>56336.41</v>
      </c>
      <c r="F11" s="71">
        <v>12616.99</v>
      </c>
    </row>
    <row r="12" spans="1:6" x14ac:dyDescent="0.25">
      <c r="A12" s="64" t="s">
        <v>54</v>
      </c>
      <c r="B12" s="65" t="s">
        <v>5</v>
      </c>
      <c r="C12" s="66">
        <v>23770.41</v>
      </c>
      <c r="F12" s="71">
        <v>10256</v>
      </c>
    </row>
    <row r="13" spans="1:6" x14ac:dyDescent="0.25">
      <c r="A13" s="61" t="s">
        <v>55</v>
      </c>
      <c r="B13" s="62" t="s">
        <v>13</v>
      </c>
      <c r="C13" s="63">
        <v>87873.83</v>
      </c>
    </row>
    <row r="14" spans="1:6" x14ac:dyDescent="0.25">
      <c r="A14" s="64" t="s">
        <v>56</v>
      </c>
      <c r="B14" s="65" t="s">
        <v>57</v>
      </c>
      <c r="C14" s="66">
        <v>48308.63</v>
      </c>
    </row>
    <row r="15" spans="1:6" x14ac:dyDescent="0.25">
      <c r="A15" s="61" t="s">
        <v>58</v>
      </c>
      <c r="B15" s="62" t="s">
        <v>17</v>
      </c>
      <c r="C15" s="63">
        <v>137083.13</v>
      </c>
    </row>
    <row r="16" spans="1:6" x14ac:dyDescent="0.25">
      <c r="A16" s="64" t="s">
        <v>59</v>
      </c>
      <c r="B16" s="65" t="s">
        <v>24</v>
      </c>
      <c r="C16" s="66">
        <v>32017.010000000002</v>
      </c>
    </row>
    <row r="17" spans="1:3" x14ac:dyDescent="0.25">
      <c r="A17" s="61" t="s">
        <v>60</v>
      </c>
      <c r="B17" s="62" t="s">
        <v>61</v>
      </c>
      <c r="C17" s="63">
        <v>69012.42</v>
      </c>
    </row>
    <row r="18" spans="1:3" ht="15.75" thickBot="1" x14ac:dyDescent="0.3">
      <c r="A18" s="64" t="s">
        <v>62</v>
      </c>
      <c r="B18" s="65" t="s">
        <v>63</v>
      </c>
      <c r="C18" s="66">
        <v>8335.7900000000009</v>
      </c>
    </row>
    <row r="19" spans="1:3" ht="15.75" thickBot="1" x14ac:dyDescent="0.3">
      <c r="A19" s="76" t="s">
        <v>7</v>
      </c>
      <c r="B19" s="77"/>
      <c r="C19" s="68">
        <f>SUM(C2:C18)</f>
        <v>1165671.7</v>
      </c>
    </row>
    <row r="20" spans="1:3" ht="15.75" thickBot="1" x14ac:dyDescent="0.3">
      <c r="A20" s="76" t="s">
        <v>65</v>
      </c>
      <c r="B20" s="77">
        <v>2381.0500000000002</v>
      </c>
      <c r="C20" s="67">
        <f>C19/5</f>
        <v>233134.34</v>
      </c>
    </row>
  </sheetData>
  <mergeCells count="2">
    <mergeCell ref="A19:B19"/>
    <mergeCell ref="A20:B2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1094-720C-4CCC-94AD-02F76169AFA2}">
  <dimension ref="A1:F20"/>
  <sheetViews>
    <sheetView zoomScale="130" zoomScaleNormal="130" workbookViewId="0">
      <selection activeCell="B3" sqref="B3"/>
    </sheetView>
  </sheetViews>
  <sheetFormatPr defaultRowHeight="15" x14ac:dyDescent="0.25"/>
  <cols>
    <col min="1" max="1" width="7.85546875" bestFit="1" customWidth="1"/>
    <col min="2" max="2" width="63.28515625" style="54" bestFit="1" customWidth="1"/>
    <col min="3" max="3" width="19.28515625" bestFit="1" customWidth="1"/>
  </cols>
  <sheetData>
    <row r="1" spans="1:6" x14ac:dyDescent="0.25">
      <c r="A1" s="55" t="s">
        <v>64</v>
      </c>
      <c r="B1" s="56" t="s">
        <v>0</v>
      </c>
      <c r="C1" s="57" t="s">
        <v>8</v>
      </c>
    </row>
    <row r="2" spans="1:6" x14ac:dyDescent="0.25">
      <c r="A2" s="58" t="s">
        <v>38</v>
      </c>
      <c r="B2" s="59" t="s">
        <v>1</v>
      </c>
      <c r="C2" s="60">
        <v>2932.79</v>
      </c>
    </row>
    <row r="3" spans="1:6" x14ac:dyDescent="0.25">
      <c r="A3" s="61" t="s">
        <v>39</v>
      </c>
      <c r="B3" s="62" t="s">
        <v>2</v>
      </c>
      <c r="C3" s="63">
        <v>51879.15</v>
      </c>
    </row>
    <row r="4" spans="1:6" x14ac:dyDescent="0.25">
      <c r="A4" s="64" t="s">
        <v>40</v>
      </c>
      <c r="B4" s="65" t="s">
        <v>3</v>
      </c>
      <c r="C4" s="66">
        <v>166942.47</v>
      </c>
    </row>
    <row r="5" spans="1:6" x14ac:dyDescent="0.25">
      <c r="A5" s="61" t="s">
        <v>41</v>
      </c>
      <c r="B5" s="62" t="s">
        <v>42</v>
      </c>
      <c r="C5" s="63">
        <v>26855.360000000001</v>
      </c>
    </row>
    <row r="6" spans="1:6" x14ac:dyDescent="0.25">
      <c r="A6" s="64" t="s">
        <v>43</v>
      </c>
      <c r="B6" s="65" t="s">
        <v>44</v>
      </c>
      <c r="C6" s="66">
        <v>27656</v>
      </c>
    </row>
    <row r="7" spans="1:6" x14ac:dyDescent="0.25">
      <c r="A7" s="61" t="s">
        <v>45</v>
      </c>
      <c r="B7" s="62" t="s">
        <v>46</v>
      </c>
      <c r="C7" s="63">
        <v>26142.18</v>
      </c>
    </row>
    <row r="8" spans="1:6" x14ac:dyDescent="0.25">
      <c r="A8" s="64" t="s">
        <v>47</v>
      </c>
      <c r="B8" s="65" t="s">
        <v>48</v>
      </c>
      <c r="C8" s="66">
        <v>3825.6</v>
      </c>
    </row>
    <row r="9" spans="1:6" x14ac:dyDescent="0.25">
      <c r="A9" s="61" t="s">
        <v>49</v>
      </c>
      <c r="B9" s="62" t="s">
        <v>50</v>
      </c>
      <c r="C9" s="63">
        <v>14050</v>
      </c>
    </row>
    <row r="10" spans="1:6" x14ac:dyDescent="0.25">
      <c r="A10" s="64" t="s">
        <v>51</v>
      </c>
      <c r="B10" s="65" t="s">
        <v>52</v>
      </c>
      <c r="C10" s="66">
        <v>4303.05</v>
      </c>
    </row>
    <row r="11" spans="1:6" x14ac:dyDescent="0.25">
      <c r="A11" s="61" t="s">
        <v>53</v>
      </c>
      <c r="B11" s="62" t="s">
        <v>12</v>
      </c>
      <c r="C11" s="63">
        <v>22536.57</v>
      </c>
      <c r="F11">
        <v>1449.93</v>
      </c>
    </row>
    <row r="12" spans="1:6" x14ac:dyDescent="0.25">
      <c r="A12" s="64" t="s">
        <v>54</v>
      </c>
      <c r="B12" s="65" t="s">
        <v>5</v>
      </c>
      <c r="C12" s="66">
        <v>9508.08</v>
      </c>
      <c r="F12">
        <v>2207.67</v>
      </c>
    </row>
    <row r="13" spans="1:6" x14ac:dyDescent="0.25">
      <c r="A13" s="61" t="s">
        <v>55</v>
      </c>
      <c r="B13" s="62" t="s">
        <v>13</v>
      </c>
      <c r="C13" s="63">
        <v>32075.58</v>
      </c>
      <c r="F13">
        <v>5046.8</v>
      </c>
    </row>
    <row r="14" spans="1:6" x14ac:dyDescent="0.25">
      <c r="A14" s="64" t="s">
        <v>56</v>
      </c>
      <c r="B14" s="65" t="s">
        <v>57</v>
      </c>
      <c r="C14" s="66">
        <v>19323.13</v>
      </c>
      <c r="F14">
        <v>4102.3999999999996</v>
      </c>
    </row>
    <row r="15" spans="1:6" x14ac:dyDescent="0.25">
      <c r="A15" s="61" t="s">
        <v>58</v>
      </c>
      <c r="B15" s="62" t="s">
        <v>17</v>
      </c>
      <c r="C15" s="63">
        <v>63311.67</v>
      </c>
    </row>
    <row r="16" spans="1:6" x14ac:dyDescent="0.25">
      <c r="A16" s="64" t="s">
        <v>59</v>
      </c>
      <c r="B16" s="65" t="s">
        <v>24</v>
      </c>
      <c r="C16" s="66">
        <v>12806.800000000001</v>
      </c>
    </row>
    <row r="17" spans="1:3" x14ac:dyDescent="0.25">
      <c r="A17" s="61" t="s">
        <v>60</v>
      </c>
      <c r="B17" s="62" t="s">
        <v>61</v>
      </c>
      <c r="C17" s="63">
        <v>27604.27</v>
      </c>
    </row>
    <row r="18" spans="1:3" ht="15.75" thickBot="1" x14ac:dyDescent="0.3">
      <c r="A18" s="64" t="s">
        <v>62</v>
      </c>
      <c r="B18" s="65" t="s">
        <v>63</v>
      </c>
      <c r="C18" s="66">
        <v>3334.32</v>
      </c>
    </row>
    <row r="19" spans="1:3" ht="15.75" thickBot="1" x14ac:dyDescent="0.3">
      <c r="A19" s="76" t="s">
        <v>7</v>
      </c>
      <c r="B19" s="77"/>
      <c r="C19" s="68">
        <f>SUM(C2:C18)</f>
        <v>515087.02</v>
      </c>
    </row>
    <row r="20" spans="1:3" ht="15.75" thickBot="1" x14ac:dyDescent="0.3">
      <c r="A20" s="76" t="s">
        <v>65</v>
      </c>
      <c r="B20" s="77">
        <v>2381.0500000000002</v>
      </c>
      <c r="C20" s="67">
        <f>C19/2</f>
        <v>257543.51</v>
      </c>
    </row>
  </sheetData>
  <mergeCells count="2">
    <mergeCell ref="A19:B19"/>
    <mergeCell ref="A20:B2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A75B-BE88-4DA6-8AF9-29163B16C27B}">
  <dimension ref="A7:E29"/>
  <sheetViews>
    <sheetView topLeftCell="A11" zoomScale="115" zoomScaleNormal="115" workbookViewId="0">
      <selection activeCell="D26" sqref="D26:D27"/>
    </sheetView>
  </sheetViews>
  <sheetFormatPr defaultColWidth="9.140625" defaultRowHeight="14.25" x14ac:dyDescent="0.2"/>
  <cols>
    <col min="1" max="1" width="66.28515625" style="2" bestFit="1" customWidth="1"/>
    <col min="2" max="3" width="22.28515625" style="16" customWidth="1"/>
    <col min="4" max="4" width="16.85546875" style="16" customWidth="1"/>
    <col min="5" max="5" width="20.7109375" style="17" customWidth="1"/>
    <col min="6" max="16384" width="9.140625" style="2"/>
  </cols>
  <sheetData>
    <row r="7" spans="1:4" x14ac:dyDescent="0.2">
      <c r="C7" s="16" t="s">
        <v>86</v>
      </c>
      <c r="D7" s="16" t="s">
        <v>87</v>
      </c>
    </row>
    <row r="8" spans="1:4" x14ac:dyDescent="0.2">
      <c r="B8" s="16">
        <v>15840.06</v>
      </c>
      <c r="C8" s="16">
        <v>611.447</v>
      </c>
      <c r="D8" s="16">
        <v>962.32100000000003</v>
      </c>
    </row>
    <row r="11" spans="1:4" x14ac:dyDescent="0.2">
      <c r="A11" s="2" t="s">
        <v>67</v>
      </c>
      <c r="B11" s="16">
        <f>1841655.12</f>
        <v>1841655.12</v>
      </c>
      <c r="C11" s="16">
        <f>B11/$C$8*$D$8</f>
        <v>2898474.269615388</v>
      </c>
      <c r="D11" s="16">
        <f>C11/$B$8</f>
        <v>182.98379359771289</v>
      </c>
    </row>
    <row r="12" spans="1:4" x14ac:dyDescent="0.2">
      <c r="A12" s="2" t="s">
        <v>68</v>
      </c>
      <c r="B12" s="16">
        <v>2756416.14</v>
      </c>
      <c r="C12" s="16">
        <f t="shared" ref="C12:C29" si="0">B12/$C$8*$D$8</f>
        <v>4338163.6286725421</v>
      </c>
      <c r="D12" s="16">
        <f t="shared" ref="D12:D29" si="1">C12/$B$8</f>
        <v>273.87292905914131</v>
      </c>
    </row>
    <row r="13" spans="1:4" x14ac:dyDescent="0.2">
      <c r="A13" s="2" t="s">
        <v>69</v>
      </c>
      <c r="B13" s="16">
        <v>1839663.12</v>
      </c>
      <c r="C13" s="16">
        <f t="shared" si="0"/>
        <v>2895339.1762516135</v>
      </c>
      <c r="D13" s="16">
        <f t="shared" si="1"/>
        <v>182.78587178657239</v>
      </c>
    </row>
    <row r="14" spans="1:4" x14ac:dyDescent="0.2">
      <c r="A14" s="2" t="s">
        <v>70</v>
      </c>
      <c r="B14" s="16">
        <f>2462981.32+586790</f>
        <v>3049771.32</v>
      </c>
      <c r="C14" s="16">
        <f t="shared" si="0"/>
        <v>4799858.346567601</v>
      </c>
      <c r="D14" s="16">
        <f t="shared" si="1"/>
        <v>303.02021245927108</v>
      </c>
    </row>
    <row r="15" spans="1:4" x14ac:dyDescent="0.2">
      <c r="A15" s="2" t="s">
        <v>71</v>
      </c>
      <c r="B15" s="16">
        <v>1144186.73</v>
      </c>
      <c r="C15" s="16">
        <f t="shared" si="0"/>
        <v>1800769.1888263905</v>
      </c>
      <c r="D15" s="16">
        <f t="shared" si="1"/>
        <v>113.68449291394039</v>
      </c>
    </row>
    <row r="16" spans="1:4" x14ac:dyDescent="0.2">
      <c r="A16" s="2" t="s">
        <v>72</v>
      </c>
      <c r="B16" s="16">
        <v>517724.31</v>
      </c>
      <c r="C16" s="16">
        <f t="shared" si="0"/>
        <v>814816.28943066206</v>
      </c>
      <c r="D16" s="16">
        <f t="shared" si="1"/>
        <v>51.440227463195349</v>
      </c>
    </row>
    <row r="17" spans="1:4" x14ac:dyDescent="0.2">
      <c r="A17" s="2" t="s">
        <v>73</v>
      </c>
      <c r="B17" s="16">
        <v>495896.82</v>
      </c>
      <c r="C17" s="16">
        <f t="shared" si="0"/>
        <v>780463.26782079239</v>
      </c>
      <c r="D17" s="16">
        <f t="shared" si="1"/>
        <v>49.271484313872072</v>
      </c>
    </row>
    <row r="18" spans="1:4" x14ac:dyDescent="0.2">
      <c r="A18" s="2" t="s">
        <v>74</v>
      </c>
      <c r="B18" s="16">
        <f>1163122.54+565392.21+740818.05</f>
        <v>2469332.7999999998</v>
      </c>
      <c r="C18" s="16">
        <f t="shared" si="0"/>
        <v>3886339.7963009053</v>
      </c>
      <c r="D18" s="16">
        <f t="shared" si="1"/>
        <v>245.34880526342107</v>
      </c>
    </row>
    <row r="19" spans="1:4" x14ac:dyDescent="0.2">
      <c r="A19" s="2" t="s">
        <v>75</v>
      </c>
      <c r="B19" s="16">
        <f>681439.76+1213267.51</f>
        <v>1894707.27</v>
      </c>
      <c r="C19" s="16">
        <f t="shared" si="0"/>
        <v>2981969.9741329504</v>
      </c>
      <c r="D19" s="16">
        <f t="shared" si="1"/>
        <v>188.25496709816443</v>
      </c>
    </row>
    <row r="20" spans="1:4" x14ac:dyDescent="0.2">
      <c r="A20" s="2" t="s">
        <v>76</v>
      </c>
      <c r="B20" s="16">
        <f>2027954.06+539567.58</f>
        <v>2567521.64</v>
      </c>
      <c r="C20" s="16">
        <f t="shared" si="0"/>
        <v>4040873.5215422432</v>
      </c>
      <c r="D20" s="16">
        <f t="shared" si="1"/>
        <v>255.10468530688919</v>
      </c>
    </row>
    <row r="21" spans="1:4" x14ac:dyDescent="0.2">
      <c r="A21" s="2" t="s">
        <v>77</v>
      </c>
      <c r="B21" s="16">
        <f>2231754.43+1511403</f>
        <v>3743157.43</v>
      </c>
      <c r="C21" s="16">
        <f t="shared" si="0"/>
        <v>5891138.5634323666</v>
      </c>
      <c r="D21" s="16">
        <f t="shared" si="1"/>
        <v>371.91390458321285</v>
      </c>
    </row>
    <row r="22" spans="1:4" x14ac:dyDescent="0.2">
      <c r="A22" s="2" t="s">
        <v>78</v>
      </c>
      <c r="B22" s="16">
        <v>680320</v>
      </c>
      <c r="C22" s="16">
        <f t="shared" si="0"/>
        <v>1070716.2235156931</v>
      </c>
      <c r="D22" s="16">
        <f t="shared" si="1"/>
        <v>67.595465138117731</v>
      </c>
    </row>
    <row r="23" spans="1:4" x14ac:dyDescent="0.2">
      <c r="A23" s="2" t="s">
        <v>79</v>
      </c>
      <c r="B23" s="16">
        <f>884636.98+129243.44</f>
        <v>1013880.4199999999</v>
      </c>
      <c r="C23" s="16">
        <f t="shared" si="0"/>
        <v>1595687.6387566214</v>
      </c>
      <c r="D23" s="16">
        <f t="shared" si="1"/>
        <v>100.73747440076751</v>
      </c>
    </row>
    <row r="24" spans="1:4" x14ac:dyDescent="0.2">
      <c r="A24" s="2" t="s">
        <v>80</v>
      </c>
      <c r="B24" s="16">
        <v>133610</v>
      </c>
      <c r="C24" s="16">
        <f t="shared" si="0"/>
        <v>210281.03631222332</v>
      </c>
      <c r="D24" s="16">
        <f t="shared" si="1"/>
        <v>13.275267663899211</v>
      </c>
    </row>
    <row r="25" spans="1:4" x14ac:dyDescent="0.2">
      <c r="A25" s="2" t="s">
        <v>81</v>
      </c>
      <c r="B25" s="16">
        <v>1230157.26</v>
      </c>
      <c r="C25" s="16">
        <f t="shared" si="0"/>
        <v>1936073.2240087204</v>
      </c>
      <c r="D25" s="16">
        <f t="shared" si="1"/>
        <v>122.22638197132589</v>
      </c>
    </row>
    <row r="26" spans="1:4" x14ac:dyDescent="0.2">
      <c r="A26" s="2" t="s">
        <v>82</v>
      </c>
      <c r="B26" s="16">
        <v>451764.67</v>
      </c>
      <c r="C26" s="16">
        <f t="shared" si="0"/>
        <v>711006.23439001245</v>
      </c>
      <c r="D26" s="16">
        <f t="shared" si="1"/>
        <v>44.886587196640193</v>
      </c>
    </row>
    <row r="27" spans="1:4" x14ac:dyDescent="0.2">
      <c r="A27" s="2" t="s">
        <v>83</v>
      </c>
      <c r="B27" s="16">
        <v>1207443.03</v>
      </c>
      <c r="C27" s="16">
        <f t="shared" si="0"/>
        <v>1900324.6136993559</v>
      </c>
      <c r="D27" s="16">
        <f t="shared" si="1"/>
        <v>119.9695338085434</v>
      </c>
    </row>
    <row r="28" spans="1:4" x14ac:dyDescent="0.2">
      <c r="A28" s="2" t="s">
        <v>84</v>
      </c>
      <c r="B28" s="16">
        <v>4272695.82</v>
      </c>
      <c r="C28" s="16">
        <f t="shared" si="0"/>
        <v>6724548.3487501293</v>
      </c>
      <c r="D28" s="16">
        <f t="shared" si="1"/>
        <v>424.52795941114675</v>
      </c>
    </row>
    <row r="29" spans="1:4" x14ac:dyDescent="0.2">
      <c r="A29" s="2" t="s">
        <v>85</v>
      </c>
      <c r="B29" s="16">
        <v>5685033.8399999999</v>
      </c>
      <c r="C29" s="16">
        <f t="shared" si="0"/>
        <v>8947345.313563792</v>
      </c>
      <c r="D29" s="16">
        <f t="shared" si="1"/>
        <v>564.85551908034392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Gerenciamento executivo </vt:lpstr>
      <vt:lpstr>Executivo - CASAS</vt:lpstr>
      <vt:lpstr>CASA 01</vt:lpstr>
      <vt:lpstr>CASA 02</vt:lpstr>
      <vt:lpstr>CASA 03</vt:lpstr>
      <vt:lpstr>CASA 04</vt:lpstr>
      <vt:lpstr>COMPARATIVO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2023-06-15T14:21:20Z</dcterms:modified>
</cp:coreProperties>
</file>