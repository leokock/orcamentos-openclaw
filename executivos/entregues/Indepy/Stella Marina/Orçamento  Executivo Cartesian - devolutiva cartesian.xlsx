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postas Fechadas\Indepy Construções 07.2022\03. Custo\03.5 Custo - Determinação do orçamento\R01\"/>
    </mc:Choice>
  </mc:AlternateContent>
  <xr:revisionPtr revIDLastSave="0" documentId="13_ncr:1_{61306F91-39C7-439B-8AE0-E74FB32E0215}" xr6:coauthVersionLast="47" xr6:coauthVersionMax="47" xr10:uidLastSave="{00000000-0000-0000-0000-000000000000}"/>
  <bookViews>
    <workbookView xWindow="195" yWindow="345" windowWidth="23205" windowHeight="11280" tabRatio="596" activeTab="1" xr2:uid="{00000000-000D-0000-FFFF-FFFF00000000}"/>
  </bookViews>
  <sheets>
    <sheet name="Relatório" sheetId="1" r:id="rId1"/>
    <sheet name="Orçamento - comparativo " sheetId="2" r:id="rId2"/>
  </sheets>
  <definedNames>
    <definedName name="_xlnm._FilterDatabase" localSheetId="1" hidden="1">'Orçamento - comparativo '!$A$14:$AE$173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78" i="2" l="1"/>
  <c r="AF47" i="2" l="1"/>
  <c r="AF48" i="2" s="1"/>
  <c r="AC560" i="2"/>
  <c r="AT178" i="2"/>
  <c r="AC434" i="1" l="1"/>
  <c r="AW178" i="2" l="1"/>
  <c r="AY178" i="2" s="1"/>
</calcChain>
</file>

<file path=xl/sharedStrings.xml><?xml version="1.0" encoding="utf-8"?>
<sst xmlns="http://schemas.openxmlformats.org/spreadsheetml/2006/main" count="2803" uniqueCount="953">
  <si>
    <t>Orçamento</t>
  </si>
  <si>
    <t>Obra</t>
  </si>
  <si>
    <t>8 - BROOKLIN EMPREENDIMENTOS IMOBILIARIOS SPE LTDA 46.388.309/0001-00</t>
  </si>
  <si>
    <t>Unidade construtiva</t>
  </si>
  <si>
    <t>Tipo de obra</t>
  </si>
  <si>
    <t>1 - Construção Civil</t>
  </si>
  <si>
    <t>Endereço da obra</t>
  </si>
  <si>
    <t>Rua Stela Marina, 60 - Campo Belo - São Paulo/SP - 04601-090</t>
  </si>
  <si>
    <t>Versão do orçamento</t>
  </si>
  <si>
    <t>1 - 20/09/2022 - 10:27:36 - Orçamento Oficial Liberado</t>
  </si>
  <si>
    <t>Data base</t>
  </si>
  <si>
    <t>20/09/2022</t>
  </si>
  <si>
    <t>BDI</t>
  </si>
  <si>
    <t>não aplicado</t>
  </si>
  <si>
    <t>Encargos sociais</t>
  </si>
  <si>
    <t>Preços expressos em</t>
  </si>
  <si>
    <t>R$ (REAL)</t>
  </si>
  <si>
    <t>Código</t>
  </si>
  <si>
    <t>Descrição</t>
  </si>
  <si>
    <t>Un.</t>
  </si>
  <si>
    <t>Quantidade orçada</t>
  </si>
  <si>
    <t>Preço unitário</t>
  </si>
  <si>
    <t>Preço total</t>
  </si>
  <si>
    <t xml:space="preserve">01 </t>
  </si>
  <si>
    <t xml:space="preserve">01.001 </t>
  </si>
  <si>
    <t xml:space="preserve">01.001.001 </t>
  </si>
  <si>
    <t xml:space="preserve">01.001.001.001 </t>
  </si>
  <si>
    <t>vb</t>
  </si>
  <si>
    <t xml:space="preserve">01.001.002 </t>
  </si>
  <si>
    <t xml:space="preserve">01.001.002.001 </t>
  </si>
  <si>
    <t>FUNDAÇÃO PROFUNDA</t>
  </si>
  <si>
    <t>kg</t>
  </si>
  <si>
    <t xml:space="preserve">01.001.002.002 </t>
  </si>
  <si>
    <t xml:space="preserve">01.001.002.003 </t>
  </si>
  <si>
    <t xml:space="preserve">01.001.002.004 </t>
  </si>
  <si>
    <t>m3</t>
  </si>
  <si>
    <t xml:space="preserve">01.001.002.005 </t>
  </si>
  <si>
    <t>FUNDAÇÃO RASA</t>
  </si>
  <si>
    <t xml:space="preserve">01.001.002.006 </t>
  </si>
  <si>
    <t>m</t>
  </si>
  <si>
    <t xml:space="preserve">01.001.002.007 </t>
  </si>
  <si>
    <t xml:space="preserve">01.001.003 </t>
  </si>
  <si>
    <t xml:space="preserve">01.001.003.001 </t>
  </si>
  <si>
    <t>mes</t>
  </si>
  <si>
    <t xml:space="preserve">01.001.003.002 </t>
  </si>
  <si>
    <t xml:space="preserve">01.001.004 </t>
  </si>
  <si>
    <t xml:space="preserve">01.001.004.001 </t>
  </si>
  <si>
    <t>m2</t>
  </si>
  <si>
    <t>Total da unidade construtiva</t>
  </si>
  <si>
    <t>4 - GERENCIAMENTO TÉCNICO E ADMINISTRATIVO</t>
  </si>
  <si>
    <t>ESTUDOS, PROJETOS E CONSULTORIAS</t>
  </si>
  <si>
    <t>Estudos</t>
  </si>
  <si>
    <t>Memorial descritivo</t>
  </si>
  <si>
    <t xml:space="preserve">01.001.001.002 </t>
  </si>
  <si>
    <t>Levantamento topográfico</t>
  </si>
  <si>
    <t xml:space="preserve">01.001.001.003 </t>
  </si>
  <si>
    <t>Estudo ambiental</t>
  </si>
  <si>
    <t>Projetos</t>
  </si>
  <si>
    <t>Projeto Arquitetônico</t>
  </si>
  <si>
    <t>Projeto Elétrico</t>
  </si>
  <si>
    <t>Projeto Hidráulico</t>
  </si>
  <si>
    <t>Projeto Estrutura</t>
  </si>
  <si>
    <t>Projeto Fundações</t>
  </si>
  <si>
    <t xml:space="preserve">Projeto de comunicação e dados </t>
  </si>
  <si>
    <t>Projeto de exaustão</t>
  </si>
  <si>
    <t xml:space="preserve">01.001.002.008 </t>
  </si>
  <si>
    <t>Projeto de gás</t>
  </si>
  <si>
    <t xml:space="preserve">01.001.002.009 </t>
  </si>
  <si>
    <t xml:space="preserve">Projeto de impermeabilização </t>
  </si>
  <si>
    <t xml:space="preserve">01.001.002.010 </t>
  </si>
  <si>
    <t>Projeto de esquadrias</t>
  </si>
  <si>
    <t xml:space="preserve">01.001.002.011 </t>
  </si>
  <si>
    <t>Projeto acústico</t>
  </si>
  <si>
    <t xml:space="preserve">01.001.002.012 </t>
  </si>
  <si>
    <t>Projeto de paisagismo</t>
  </si>
  <si>
    <t xml:space="preserve">01.001.002.013 </t>
  </si>
  <si>
    <t>Modelagem BIM de complementares</t>
  </si>
  <si>
    <t xml:space="preserve">01.001.002.014 </t>
  </si>
  <si>
    <t>Compatibilização de projetos BIM</t>
  </si>
  <si>
    <t>Consultorias</t>
  </si>
  <si>
    <t>Orçamento e planejamento</t>
  </si>
  <si>
    <t>Auditoria de qualidade</t>
  </si>
  <si>
    <t>Ensaios e Laudos</t>
  </si>
  <si>
    <t xml:space="preserve">Laudo de vistoria técnica </t>
  </si>
  <si>
    <t xml:space="preserve">01.001.004.002 </t>
  </si>
  <si>
    <t xml:space="preserve">Laudo preventivo de danos à vizinhança </t>
  </si>
  <si>
    <t xml:space="preserve">01.001.004.003 </t>
  </si>
  <si>
    <t>Ensaio/Laudo Aterramento</t>
  </si>
  <si>
    <t xml:space="preserve">01.001.004.004 </t>
  </si>
  <si>
    <t>Ensaio/Laudo Fachada</t>
  </si>
  <si>
    <t xml:space="preserve">01.001.004.005 </t>
  </si>
  <si>
    <t>Ensaio/Laudo Desempenho - NBR 15575</t>
  </si>
  <si>
    <t xml:space="preserve">01.001.004.006 </t>
  </si>
  <si>
    <t>Controle Tecnologico de Concreto</t>
  </si>
  <si>
    <t xml:space="preserve">02 </t>
  </si>
  <si>
    <t>TAXAS, DOCUMENTOS</t>
  </si>
  <si>
    <t xml:space="preserve">02.001 </t>
  </si>
  <si>
    <t xml:space="preserve">02.001.001 </t>
  </si>
  <si>
    <t>Taxas</t>
  </si>
  <si>
    <t xml:space="preserve">02.001.001.001 </t>
  </si>
  <si>
    <t>Despesas de Seguros</t>
  </si>
  <si>
    <t xml:space="preserve">02.001.001.002 </t>
  </si>
  <si>
    <t xml:space="preserve">Taxa de aprovação na prefeitura </t>
  </si>
  <si>
    <t xml:space="preserve">02.001.001.003 </t>
  </si>
  <si>
    <t>Taxa de aprovação água e esgoto</t>
  </si>
  <si>
    <t xml:space="preserve">02.001.001.004 </t>
  </si>
  <si>
    <t>Taxa de aprovação elétrico</t>
  </si>
  <si>
    <t xml:space="preserve">02.001.001.005 </t>
  </si>
  <si>
    <t>Taxa de aprovação bombeiros</t>
  </si>
  <si>
    <t xml:space="preserve">02.001.001.006 </t>
  </si>
  <si>
    <t>Taxas de ART</t>
  </si>
  <si>
    <t xml:space="preserve">02.001.001.007 </t>
  </si>
  <si>
    <t>Alvará Construção</t>
  </si>
  <si>
    <t xml:space="preserve">02.001.001.008 </t>
  </si>
  <si>
    <t>Despesas com cartório</t>
  </si>
  <si>
    <t xml:space="preserve">02.001.001.009 </t>
  </si>
  <si>
    <t>Despesas de incorporação</t>
  </si>
  <si>
    <t xml:space="preserve">02.001.001.010 </t>
  </si>
  <si>
    <t>IPTU</t>
  </si>
  <si>
    <t xml:space="preserve">02.001.001.011 </t>
  </si>
  <si>
    <t>Alvará Habite-se</t>
  </si>
  <si>
    <t xml:space="preserve">02.001.002 </t>
  </si>
  <si>
    <t>Documentos</t>
  </si>
  <si>
    <t xml:space="preserve">02.001.002.001 </t>
  </si>
  <si>
    <t>As Built</t>
  </si>
  <si>
    <t xml:space="preserve">02.001.002.002 </t>
  </si>
  <si>
    <t xml:space="preserve">Laudo técnico de vistoria de entrega </t>
  </si>
  <si>
    <t xml:space="preserve">02.001.002.003 </t>
  </si>
  <si>
    <t>Manuais técnicos - Condomínio/Proprietários</t>
  </si>
  <si>
    <t xml:space="preserve">02.001.002.004 </t>
  </si>
  <si>
    <t>Certidão INSS</t>
  </si>
  <si>
    <t xml:space="preserve">03 </t>
  </si>
  <si>
    <t>SEGURANÇA, MEIO AMBIENTE E SAÚDE</t>
  </si>
  <si>
    <t xml:space="preserve">03.001 </t>
  </si>
  <si>
    <t xml:space="preserve">03.001.001 </t>
  </si>
  <si>
    <t>Segurança do trabalho</t>
  </si>
  <si>
    <t xml:space="preserve">03.001.001.001 </t>
  </si>
  <si>
    <t>Serviço de segurança do trabalho</t>
  </si>
  <si>
    <t xml:space="preserve">03.001.002 </t>
  </si>
  <si>
    <t>Equipamentos de proteção</t>
  </si>
  <si>
    <t xml:space="preserve">03.001.002.001 </t>
  </si>
  <si>
    <t>Equipamentos de proteção individual</t>
  </si>
  <si>
    <t xml:space="preserve">03.001.002.002 </t>
  </si>
  <si>
    <t>Bandeja de proteção primária</t>
  </si>
  <si>
    <t xml:space="preserve">03.001.002.003 </t>
  </si>
  <si>
    <t>Bandeja de proteção secundária</t>
  </si>
  <si>
    <t xml:space="preserve">03.001.002.004 </t>
  </si>
  <si>
    <t>Rede de proteção piso a piso</t>
  </si>
  <si>
    <t xml:space="preserve">03.001.002.005 </t>
  </si>
  <si>
    <t>Rede de proteção tipo SLQA intermediário</t>
  </si>
  <si>
    <t xml:space="preserve">03.001.002.006 </t>
  </si>
  <si>
    <t>Linha de vida</t>
  </si>
  <si>
    <t xml:space="preserve">03.001.002.007 </t>
  </si>
  <si>
    <t>Placas de sinalização de obra</t>
  </si>
  <si>
    <t xml:space="preserve">03.001.003 </t>
  </si>
  <si>
    <t>Meio ambiente</t>
  </si>
  <si>
    <t xml:space="preserve">03.001.003.001 </t>
  </si>
  <si>
    <t>Elaboração de PCMAT</t>
  </si>
  <si>
    <t>un</t>
  </si>
  <si>
    <t xml:space="preserve">04 </t>
  </si>
  <si>
    <t>ADMNISTRAÇÃO E CANTEIRO DE OBRA</t>
  </si>
  <si>
    <t xml:space="preserve">04.001 </t>
  </si>
  <si>
    <t xml:space="preserve">04.001.001 </t>
  </si>
  <si>
    <t>Equipe de gestão e apoio</t>
  </si>
  <si>
    <t xml:space="preserve">04.001.001.001 </t>
  </si>
  <si>
    <t>Engenheiro civil</t>
  </si>
  <si>
    <t xml:space="preserve">04.001.001.002 </t>
  </si>
  <si>
    <t>Mestre de Obras</t>
  </si>
  <si>
    <t xml:space="preserve">04.001.001.003 </t>
  </si>
  <si>
    <t>Almoxarife</t>
  </si>
  <si>
    <t xml:space="preserve">04.001.001.004 </t>
  </si>
  <si>
    <t>Auxiliar de engenharia</t>
  </si>
  <si>
    <t xml:space="preserve">04.001.001.005 </t>
  </si>
  <si>
    <t>Estagiário</t>
  </si>
  <si>
    <t xml:space="preserve">04.001.001.006 </t>
  </si>
  <si>
    <t>Equipe de limpeza de obra</t>
  </si>
  <si>
    <t xml:space="preserve">04.001.001.007 </t>
  </si>
  <si>
    <t>Equipe de vigilância de obra</t>
  </si>
  <si>
    <t xml:space="preserve">04.001.002 </t>
  </si>
  <si>
    <t>Canteiro de obras</t>
  </si>
  <si>
    <t xml:space="preserve">04.001.002.001 </t>
  </si>
  <si>
    <t>Demolição de alvenaria, mecanizada</t>
  </si>
  <si>
    <t xml:space="preserve">04.001.002.002 </t>
  </si>
  <si>
    <t>Limpeza manual de camada vegetal</t>
  </si>
  <si>
    <t xml:space="preserve">04.001.002.003 </t>
  </si>
  <si>
    <t>Montagem de barracão externo</t>
  </si>
  <si>
    <t xml:space="preserve">04.001.002.004 </t>
  </si>
  <si>
    <t>Montagem de barracão interno</t>
  </si>
  <si>
    <t xml:space="preserve">04.001.002.005 </t>
  </si>
  <si>
    <t>Instalação de rede provisória de água fria e esgoto</t>
  </si>
  <si>
    <t xml:space="preserve">04.001.002.006 </t>
  </si>
  <si>
    <t>Instalação de rede provisória elétrica, comunicação e dados</t>
  </si>
  <si>
    <t xml:space="preserve">04.001.002.007 </t>
  </si>
  <si>
    <t>Tapume com telha metálica</t>
  </si>
  <si>
    <t xml:space="preserve">04.001.002.008 </t>
  </si>
  <si>
    <t>Mobiliário de apoio à obra</t>
  </si>
  <si>
    <t xml:space="preserve">04.001.002.009 </t>
  </si>
  <si>
    <t>Equipamentos de apoio à obra</t>
  </si>
  <si>
    <t xml:space="preserve">04.001.003 </t>
  </si>
  <si>
    <t>Despesas de consumo e manutenção</t>
  </si>
  <si>
    <t xml:space="preserve">04.001.003.001 </t>
  </si>
  <si>
    <t xml:space="preserve">Despesas de consumos - Água e esgoto </t>
  </si>
  <si>
    <t xml:space="preserve">04.001.003.002 </t>
  </si>
  <si>
    <t>Despesas de consumos - Energia</t>
  </si>
  <si>
    <t xml:space="preserve">04.001.003.003 </t>
  </si>
  <si>
    <t xml:space="preserve">Despesas de consumos - Internet </t>
  </si>
  <si>
    <t xml:space="preserve">04.001.003.004 </t>
  </si>
  <si>
    <t>Despesas de consumos - Telefone</t>
  </si>
  <si>
    <t xml:space="preserve">04.001.003.005 </t>
  </si>
  <si>
    <t>Despesas de consumos - Coleta de Lixo</t>
  </si>
  <si>
    <t xml:space="preserve">04.001.003.006 </t>
  </si>
  <si>
    <t>Despesas de consumos - Alimentação</t>
  </si>
  <si>
    <t xml:space="preserve">04.001.003.007 </t>
  </si>
  <si>
    <t>Despesas de consumos - Material de expediente/escritório</t>
  </si>
  <si>
    <t xml:space="preserve">04.001.003.008 </t>
  </si>
  <si>
    <t>Despesas de consumos - Material de higiene</t>
  </si>
  <si>
    <t xml:space="preserve">04.001.003.009 </t>
  </si>
  <si>
    <t>Fretes</t>
  </si>
  <si>
    <t xml:space="preserve">04.001.003.010 </t>
  </si>
  <si>
    <t>Consumo de cópias</t>
  </si>
  <si>
    <t xml:space="preserve">04.001.003.011 </t>
  </si>
  <si>
    <t xml:space="preserve">Consumo gerenciamento eletrônico </t>
  </si>
  <si>
    <t xml:space="preserve">04.001.003.012 </t>
  </si>
  <si>
    <t>Despesas com vizinhos</t>
  </si>
  <si>
    <t xml:space="preserve">04.001.003.013 </t>
  </si>
  <si>
    <t>Esgotamento de sistema sanitário temporário</t>
  </si>
  <si>
    <t xml:space="preserve">04.001.003.014 </t>
  </si>
  <si>
    <t>Gerador autônomo de energia</t>
  </si>
  <si>
    <t xml:space="preserve">04.001.003.015 </t>
  </si>
  <si>
    <t>Manutenção provisória do canteiro</t>
  </si>
  <si>
    <t xml:space="preserve">04.001.003.016 </t>
  </si>
  <si>
    <t>Manutenção provisória elétrica</t>
  </si>
  <si>
    <t xml:space="preserve">04.001.003.017 </t>
  </si>
  <si>
    <t>Manutenção provisória hidrossanitária</t>
  </si>
  <si>
    <t xml:space="preserve">04.001.003.018 </t>
  </si>
  <si>
    <t>Manutenção provisória de vigilância e acessos</t>
  </si>
  <si>
    <t xml:space="preserve">05 </t>
  </si>
  <si>
    <t>EQUIPAMENTOS</t>
  </si>
  <si>
    <t xml:space="preserve">05.001 </t>
  </si>
  <si>
    <t xml:space="preserve">05.001.001 </t>
  </si>
  <si>
    <t>Equipamentos de Carga e Transporte</t>
  </si>
  <si>
    <t xml:space="preserve">05.001.001.001 </t>
  </si>
  <si>
    <t>Equipamentos de carga e transporte</t>
  </si>
  <si>
    <t xml:space="preserve">05.001.002 </t>
  </si>
  <si>
    <t>Equipamentos de Obra</t>
  </si>
  <si>
    <t xml:space="preserve">05.001.002.001 </t>
  </si>
  <si>
    <t xml:space="preserve">Ferramentas </t>
  </si>
  <si>
    <t xml:space="preserve">05.001.002.002 </t>
  </si>
  <si>
    <t>Mobilização e desmobilização de mini grua</t>
  </si>
  <si>
    <t xml:space="preserve">05.001.002.003 </t>
  </si>
  <si>
    <t xml:space="preserve">Locação de mini grua </t>
  </si>
  <si>
    <t xml:space="preserve">05.001.002.004 </t>
  </si>
  <si>
    <t>Manutenção provisória de mini grua</t>
  </si>
  <si>
    <t xml:space="preserve">05.001.002.005 </t>
  </si>
  <si>
    <t>Locação de elevador cremalheira</t>
  </si>
  <si>
    <t xml:space="preserve">05.001.002.006 </t>
  </si>
  <si>
    <t>Montagem e desmontagem de elevador cremalheira</t>
  </si>
  <si>
    <t xml:space="preserve">05.001.002.007 </t>
  </si>
  <si>
    <t>Manutenção provisória de elevador cremalheira</t>
  </si>
  <si>
    <t xml:space="preserve">05.001.003 </t>
  </si>
  <si>
    <t>Balancins e andaimes</t>
  </si>
  <si>
    <t xml:space="preserve">05.001.003.001 </t>
  </si>
  <si>
    <t>Locação de balancim</t>
  </si>
  <si>
    <t xml:space="preserve">05.001.003.002 </t>
  </si>
  <si>
    <t>Montagem e desmontagem de balancim</t>
  </si>
  <si>
    <t>5 - GERENCIAMENTO EXECUTIVO</t>
  </si>
  <si>
    <t>MOVIMENTAÇÃO DE TERRA</t>
  </si>
  <si>
    <t>Rebaixamento de Lençol</t>
  </si>
  <si>
    <t>Rebaixamento de lençol freático</t>
  </si>
  <si>
    <t>Corte e Escavação</t>
  </si>
  <si>
    <t>Escavação vertical de terreno - Incluindo Bota Fora</t>
  </si>
  <si>
    <t>Escavação mecânica de valas</t>
  </si>
  <si>
    <t xml:space="preserve">Reaterro mecanizado de valas </t>
  </si>
  <si>
    <t>Regularização e Apiloamento de Fundo de Valas</t>
  </si>
  <si>
    <t>Lastro de concreto magro</t>
  </si>
  <si>
    <t>Remoção de Terra</t>
  </si>
  <si>
    <t>Movimentação de bota - fora</t>
  </si>
  <si>
    <t>CONTENÇÕES</t>
  </si>
  <si>
    <t>Forma</t>
  </si>
  <si>
    <t>Contenção em perfil pranchado com pranchão de madeira</t>
  </si>
  <si>
    <t>Cravação de perfil metálico para fundação</t>
  </si>
  <si>
    <t>Armadura</t>
  </si>
  <si>
    <t>Armação de aço CA - 50, corte e dobra em obra</t>
  </si>
  <si>
    <t xml:space="preserve">02.001.003 </t>
  </si>
  <si>
    <t>Concreto</t>
  </si>
  <si>
    <t xml:space="preserve">02.001.003.001 </t>
  </si>
  <si>
    <t>Concreto usinado bombeável, fck 35MPa, slump = 8 +/- 2 B1, incluindo serviço de bombeamento</t>
  </si>
  <si>
    <t xml:space="preserve">02.001.004 </t>
  </si>
  <si>
    <t>Mão de Obra</t>
  </si>
  <si>
    <t xml:space="preserve">02.001.004.001 </t>
  </si>
  <si>
    <t>Mão de obra para execução de estrutura em concreto armado</t>
  </si>
  <si>
    <t>INFRAESTRUTURA</t>
  </si>
  <si>
    <t>Perfuração</t>
  </si>
  <si>
    <t>Perfuração de estaca hélice contínua, diâmetro 25cm</t>
  </si>
  <si>
    <t xml:space="preserve">03.001.001.002 </t>
  </si>
  <si>
    <t xml:space="preserve">Perfuração de estaca hélice contínua, diâmetro 60cm </t>
  </si>
  <si>
    <t xml:space="preserve">03.001.001.003 </t>
  </si>
  <si>
    <t xml:space="preserve">Perfuração de estaca hélice contínua, diâmetro 70cm </t>
  </si>
  <si>
    <t xml:space="preserve">03.001.001.004 </t>
  </si>
  <si>
    <t>Mobilização de equipamentos de fundação</t>
  </si>
  <si>
    <t>Concreto usinado bombeável, fck 30MPa, slump = 22 +/- 3 B0, incluindo serviço de bombeamento</t>
  </si>
  <si>
    <t xml:space="preserve">03.002 </t>
  </si>
  <si>
    <t xml:space="preserve">03.002.001 </t>
  </si>
  <si>
    <t xml:space="preserve">03.002.001.001 </t>
  </si>
  <si>
    <t xml:space="preserve">Material para fabricação de forma para estruturas de concreto com compensado resinado 17mm </t>
  </si>
  <si>
    <t xml:space="preserve">03.002.001.002 </t>
  </si>
  <si>
    <t>Material para montagem e desmontagem de forma para estruturas de concreto em compensado</t>
  </si>
  <si>
    <t xml:space="preserve">03.002.002 </t>
  </si>
  <si>
    <t xml:space="preserve">03.002.002.001 </t>
  </si>
  <si>
    <t>Armação de aço CA - 60, corte e dobra em obra</t>
  </si>
  <si>
    <t xml:space="preserve">03.002.002.002 </t>
  </si>
  <si>
    <t xml:space="preserve">03.002.003 </t>
  </si>
  <si>
    <t xml:space="preserve">03.002.003.001 </t>
  </si>
  <si>
    <t xml:space="preserve">03.002.004 </t>
  </si>
  <si>
    <t xml:space="preserve">03.002.004.001 </t>
  </si>
  <si>
    <t>SUPRAESTRUTURA</t>
  </si>
  <si>
    <t>Material para fabricação de forma para estruturas de concreto com compensado plastificado 18mm</t>
  </si>
  <si>
    <t xml:space="preserve">04.001.004 </t>
  </si>
  <si>
    <t>Complementares</t>
  </si>
  <si>
    <t xml:space="preserve">04.001.004.001 </t>
  </si>
  <si>
    <t>Locação de escoramento metálico</t>
  </si>
  <si>
    <t xml:space="preserve">04.001.004.002 </t>
  </si>
  <si>
    <t>Fabricação de escoras de viga do tipo garfo, em madeira</t>
  </si>
  <si>
    <t xml:space="preserve">04.001.005 </t>
  </si>
  <si>
    <t xml:space="preserve">04.001.005.001 </t>
  </si>
  <si>
    <t>ALVENARIA, VEDAÇÕES E DIVISÓRIAS</t>
  </si>
  <si>
    <t>Alvenaria de Vedação com Blocos Cerâmicos</t>
  </si>
  <si>
    <t>Alvenaria de vedação de blocos de concreto de 9x19x39cm (espessura 9cm) e argamassa industrializada de assentamento</t>
  </si>
  <si>
    <t xml:space="preserve">05.001.001.002 </t>
  </si>
  <si>
    <t xml:space="preserve">Alvenaria de vedação de blocos de concreto 14x19x39cm (espessura 14cm) e argamassa industrializada de assentamento </t>
  </si>
  <si>
    <t xml:space="preserve">05.001.001.003 </t>
  </si>
  <si>
    <t>Alvenaria de vedação de blocos de concreto 19x19x39cm (espessura 19cm) e argamassa industrializada de assentamento</t>
  </si>
  <si>
    <t>Serviços Complementares</t>
  </si>
  <si>
    <t>Verga / contraverga moldada in loco em concreto</t>
  </si>
  <si>
    <t>Encunhamento de alvenaria de vedação</t>
  </si>
  <si>
    <t>Mão de obra para vedações internas e externas - assentamento de blocos cerâmicos</t>
  </si>
  <si>
    <t xml:space="preserve">06 </t>
  </si>
  <si>
    <t>SISTEMAS E INSTALAÇÕES ELÉTRICAS</t>
  </si>
  <si>
    <t xml:space="preserve">06.001 </t>
  </si>
  <si>
    <t xml:space="preserve">06.001.001 </t>
  </si>
  <si>
    <t>Entrada de Energia</t>
  </si>
  <si>
    <t xml:space="preserve">06.001.001.001 </t>
  </si>
  <si>
    <t>Entrada de energia</t>
  </si>
  <si>
    <t xml:space="preserve">06.001.002 </t>
  </si>
  <si>
    <t>Quadros elétricos e disjuntores</t>
  </si>
  <si>
    <t xml:space="preserve">06.001.002.001 </t>
  </si>
  <si>
    <t xml:space="preserve">06.001.003 </t>
  </si>
  <si>
    <t>Eletrodutos e Eletrocalhas</t>
  </si>
  <si>
    <t xml:space="preserve">06.001.003.001 </t>
  </si>
  <si>
    <t xml:space="preserve">06.001.004 </t>
  </si>
  <si>
    <t>Fios e cabos elétricos</t>
  </si>
  <si>
    <t xml:space="preserve">06.001.004.001 </t>
  </si>
  <si>
    <t xml:space="preserve">06.001.005 </t>
  </si>
  <si>
    <t>Acabamentos elétricos</t>
  </si>
  <si>
    <t xml:space="preserve">06.001.005.001 </t>
  </si>
  <si>
    <t xml:space="preserve">06.001.006 </t>
  </si>
  <si>
    <t>Luminárias, lâmpadas e acessórios</t>
  </si>
  <si>
    <t xml:space="preserve">06.001.006.001 </t>
  </si>
  <si>
    <t xml:space="preserve">06.001.007 </t>
  </si>
  <si>
    <t xml:space="preserve">06.001.007.001 </t>
  </si>
  <si>
    <t>Mão de obra para instalações elétricas</t>
  </si>
  <si>
    <t xml:space="preserve">07 </t>
  </si>
  <si>
    <t>SISTEMAS E INSTALAÇÕES HIDROSSANITÁRIAS E DRENAGEM</t>
  </si>
  <si>
    <t xml:space="preserve">07.001 </t>
  </si>
  <si>
    <t xml:space="preserve">07.001.001 </t>
  </si>
  <si>
    <t>Instalações de água fria</t>
  </si>
  <si>
    <t xml:space="preserve">07.001.001.001 </t>
  </si>
  <si>
    <t xml:space="preserve">07.001.002 </t>
  </si>
  <si>
    <t>Instalações de água pluvial</t>
  </si>
  <si>
    <t xml:space="preserve">07.001.002.001 </t>
  </si>
  <si>
    <t xml:space="preserve">07.001.003 </t>
  </si>
  <si>
    <t>Instalações de esgoto</t>
  </si>
  <si>
    <t xml:space="preserve">07.001.003.001 </t>
  </si>
  <si>
    <t xml:space="preserve">07.001.004 </t>
  </si>
  <si>
    <t xml:space="preserve">07.001.004.001 </t>
  </si>
  <si>
    <t>Mão de obra para instalações hidrossanitárias</t>
  </si>
  <si>
    <t xml:space="preserve">08 </t>
  </si>
  <si>
    <t>LOUÇAS E METAIS</t>
  </si>
  <si>
    <t xml:space="preserve">08.001 </t>
  </si>
  <si>
    <t xml:space="preserve">08.001.001 </t>
  </si>
  <si>
    <t>Louças</t>
  </si>
  <si>
    <t xml:space="preserve">08.001.001.001 </t>
  </si>
  <si>
    <t>Bacia sanitária com caixa acoplada - Linha Comum</t>
  </si>
  <si>
    <t xml:space="preserve">08.001.001.002 </t>
  </si>
  <si>
    <t>Bacia sanitária com caixa acoplada - Linha PNE</t>
  </si>
  <si>
    <t xml:space="preserve">08.001.001.003 </t>
  </si>
  <si>
    <t>Cuba de louça de embutir</t>
  </si>
  <si>
    <t xml:space="preserve">08.001.001.004 </t>
  </si>
  <si>
    <t>Lavatório com coluna</t>
  </si>
  <si>
    <t xml:space="preserve">08.001.001.005 </t>
  </si>
  <si>
    <t>Lavatório de canto com coluna</t>
  </si>
  <si>
    <t xml:space="preserve">08.001.001.006 </t>
  </si>
  <si>
    <t>Tanque de louça de embutir</t>
  </si>
  <si>
    <t xml:space="preserve">08.001.002 </t>
  </si>
  <si>
    <t>Metais</t>
  </si>
  <si>
    <t xml:space="preserve">08.001.002.001 </t>
  </si>
  <si>
    <t>Cuba simples de aço inox de embutir</t>
  </si>
  <si>
    <t xml:space="preserve">08.001.002.002 </t>
  </si>
  <si>
    <t>Torneira de lavatório</t>
  </si>
  <si>
    <t xml:space="preserve">08.001.002.003 </t>
  </si>
  <si>
    <t>Torneira para pia</t>
  </si>
  <si>
    <t xml:space="preserve">08.001.002.004 </t>
  </si>
  <si>
    <t>Torneira para tanque</t>
  </si>
  <si>
    <t xml:space="preserve">08.001.002.005 </t>
  </si>
  <si>
    <t>Acabamentos de registros de gaveta</t>
  </si>
  <si>
    <t xml:space="preserve">08.001.002.006 </t>
  </si>
  <si>
    <t>Acabamentos de registros de pressão</t>
  </si>
  <si>
    <t xml:space="preserve">08.001.002.007 </t>
  </si>
  <si>
    <t>Barra de apoio para PNE</t>
  </si>
  <si>
    <t xml:space="preserve">08.001.002.008 </t>
  </si>
  <si>
    <t>Acabamento de ralo inox</t>
  </si>
  <si>
    <t xml:space="preserve">08.001.003 </t>
  </si>
  <si>
    <t>Chuveiros</t>
  </si>
  <si>
    <t xml:space="preserve">08.001.003.001 </t>
  </si>
  <si>
    <t>Chuveiro elétrico</t>
  </si>
  <si>
    <t xml:space="preserve">09 </t>
  </si>
  <si>
    <t xml:space="preserve">BANCADAS DE GRANITO </t>
  </si>
  <si>
    <t xml:space="preserve">09.001 </t>
  </si>
  <si>
    <t>BANCADAS DE GRANITO</t>
  </si>
  <si>
    <t xml:space="preserve">09.001.001 </t>
  </si>
  <si>
    <t>Tampos</t>
  </si>
  <si>
    <t xml:space="preserve">09.001.001.001 </t>
  </si>
  <si>
    <t>Tampo em granito branco</t>
  </si>
  <si>
    <t xml:space="preserve">09.001.002 </t>
  </si>
  <si>
    <t>Suportes</t>
  </si>
  <si>
    <t xml:space="preserve">09.001.002.001 </t>
  </si>
  <si>
    <t>Mão francesa para apoio de tampos</t>
  </si>
  <si>
    <t xml:space="preserve">10 </t>
  </si>
  <si>
    <t>INSTALAÇÕES PREVENTIVAS E GLP</t>
  </si>
  <si>
    <t xml:space="preserve">10.001 </t>
  </si>
  <si>
    <t xml:space="preserve">10.001.001 </t>
  </si>
  <si>
    <t>Instalações Preventivas</t>
  </si>
  <si>
    <t xml:space="preserve">10.001.001.001 </t>
  </si>
  <si>
    <t>Instalações do sistema preventivo de incêndio</t>
  </si>
  <si>
    <t xml:space="preserve">10.001.001.002 </t>
  </si>
  <si>
    <t>Instalações de proteção e aterramentos - SPDA</t>
  </si>
  <si>
    <t xml:space="preserve">10.001.002 </t>
  </si>
  <si>
    <t xml:space="preserve">10.001.002.001 </t>
  </si>
  <si>
    <t>Mão de obra para instalações de sistema preventivo de incêndio</t>
  </si>
  <si>
    <t xml:space="preserve">10.001.002.002 </t>
  </si>
  <si>
    <t>Mão de obra de instalações de proteção e aterramentos - SPDA</t>
  </si>
  <si>
    <t xml:space="preserve">11 </t>
  </si>
  <si>
    <t>EQUIPAMENTOS E SISTEMAS ESPECIAIS</t>
  </si>
  <si>
    <t xml:space="preserve">11.001 </t>
  </si>
  <si>
    <t xml:space="preserve">11.001.001 </t>
  </si>
  <si>
    <t>Sistemas Lógicos e Telecomunicação</t>
  </si>
  <si>
    <t xml:space="preserve">11.001.001.001 </t>
  </si>
  <si>
    <t>Sistemas lógicos e telecomunicação</t>
  </si>
  <si>
    <t xml:space="preserve">11.001.002 </t>
  </si>
  <si>
    <t>Equipamentos</t>
  </si>
  <si>
    <t xml:space="preserve">11.001.002.001 </t>
  </si>
  <si>
    <t>Elevadores definitivos de obra</t>
  </si>
  <si>
    <t xml:space="preserve">11.001.003 </t>
  </si>
  <si>
    <t>Sistemas Especiais</t>
  </si>
  <si>
    <t xml:space="preserve">11.001.003.001 </t>
  </si>
  <si>
    <t>Sistema de pressurização de escadas</t>
  </si>
  <si>
    <t xml:space="preserve">11.001.003.002 </t>
  </si>
  <si>
    <t xml:space="preserve">Aquecimento global </t>
  </si>
  <si>
    <t xml:space="preserve">11.001.004 </t>
  </si>
  <si>
    <t>Climatização e Exaustão</t>
  </si>
  <si>
    <t xml:space="preserve">11.001.004.001 </t>
  </si>
  <si>
    <t>Infraestrutura de climatização</t>
  </si>
  <si>
    <t>pto</t>
  </si>
  <si>
    <t xml:space="preserve">11.001.004.002 </t>
  </si>
  <si>
    <t>Equipamentos de ar condicionado</t>
  </si>
  <si>
    <t xml:space="preserve">11.001.004.003 </t>
  </si>
  <si>
    <t>Exaustão mecânica</t>
  </si>
  <si>
    <t xml:space="preserve">12 </t>
  </si>
  <si>
    <t>IMPERMEABILIZAÇÃO E TRATAMENTOS</t>
  </si>
  <si>
    <t xml:space="preserve">12.001 </t>
  </si>
  <si>
    <t xml:space="preserve">12.001.001 </t>
  </si>
  <si>
    <t>Impermeabilização em Baldrames</t>
  </si>
  <si>
    <t xml:space="preserve">12.001.001.001 </t>
  </si>
  <si>
    <t>Impermeabilização de vigas baldrames com tinta asfáltica</t>
  </si>
  <si>
    <t xml:space="preserve">12.001.002 </t>
  </si>
  <si>
    <t>Regularização e proteção mecânica</t>
  </si>
  <si>
    <t xml:space="preserve">12.001.002.001 </t>
  </si>
  <si>
    <t xml:space="preserve">Regularização de superfície para impermeabilização, com argamassa de cimento e areia traço 1:3 </t>
  </si>
  <si>
    <t xml:space="preserve">12.001.002.002 </t>
  </si>
  <si>
    <t>Proteção mecânica com argamassa cimento e areia, 1:3</t>
  </si>
  <si>
    <t xml:space="preserve">12.001.003 </t>
  </si>
  <si>
    <t>Impermeabilização Flexível com Manta</t>
  </si>
  <si>
    <t xml:space="preserve">12.001.003.001 </t>
  </si>
  <si>
    <t xml:space="preserve">Impermeabilização de superfície com manta asfáltica, duas camadas </t>
  </si>
  <si>
    <t xml:space="preserve">12.001.004 </t>
  </si>
  <si>
    <t>Impermeabilização Flexível com Membrana</t>
  </si>
  <si>
    <t xml:space="preserve">12.001.004.001 </t>
  </si>
  <si>
    <t>Impermeabilização de superfície com argamassa polimérica, 3 demãos</t>
  </si>
  <si>
    <t xml:space="preserve">12.001.004.002 </t>
  </si>
  <si>
    <t>Impermeabilização de superfície com argamassa polimérica, 4 demãos, reforçada com véu poliéster</t>
  </si>
  <si>
    <t xml:space="preserve">12.001.004.003 </t>
  </si>
  <si>
    <t>Impermeabilização de superfície com membrana à base de resina acrílica</t>
  </si>
  <si>
    <t xml:space="preserve">12.001.005 </t>
  </si>
  <si>
    <t>Tratamentos</t>
  </si>
  <si>
    <t xml:space="preserve">12.001.005.001 </t>
  </si>
  <si>
    <t>Tratamento de ralo com argamassa polimérica reforçado com véu poliéster</t>
  </si>
  <si>
    <t xml:space="preserve">12.001.006 </t>
  </si>
  <si>
    <t xml:space="preserve">12.001.006.001 </t>
  </si>
  <si>
    <t>Mão de obra para regularização de superfície</t>
  </si>
  <si>
    <t xml:space="preserve">13 </t>
  </si>
  <si>
    <t>REVESTIMENTOS INTERNOS EM PISO E PAREDE</t>
  </si>
  <si>
    <t xml:space="preserve">13.001 </t>
  </si>
  <si>
    <t xml:space="preserve">13.001.001 </t>
  </si>
  <si>
    <t>Revestimento Interno Argamassado em Piso</t>
  </si>
  <si>
    <t xml:space="preserve">13.001.001.001 </t>
  </si>
  <si>
    <t>Contrapiso em argamassa pronta, espessura 4cm</t>
  </si>
  <si>
    <t xml:space="preserve">13.001.001.002 </t>
  </si>
  <si>
    <t>Contrapiso em argamassa pronta, espessura 3cm</t>
  </si>
  <si>
    <t xml:space="preserve">13.001.001.003 </t>
  </si>
  <si>
    <t xml:space="preserve">Aplicação de resina acústica </t>
  </si>
  <si>
    <t xml:space="preserve">13.001.002 </t>
  </si>
  <si>
    <t>Revestimento Interno Argamassado em Parede</t>
  </si>
  <si>
    <t xml:space="preserve">13.001.002.001 </t>
  </si>
  <si>
    <t>Chapisco aplicado em alvenarias e estruturas de concreto internas, argamassa 1:3</t>
  </si>
  <si>
    <t xml:space="preserve">13.001.002.002 </t>
  </si>
  <si>
    <t>Emboço aplicado em paredes internas em argamassa industrializada</t>
  </si>
  <si>
    <t xml:space="preserve">13.001.002.003 </t>
  </si>
  <si>
    <t>Mão de obra para aplicação de gesso desempenado</t>
  </si>
  <si>
    <t xml:space="preserve">13.001.003 </t>
  </si>
  <si>
    <t xml:space="preserve">13.001.003.001 </t>
  </si>
  <si>
    <t>Mão de obra para execução de contrapiso</t>
  </si>
  <si>
    <t xml:space="preserve">13.001.003.002 </t>
  </si>
  <si>
    <t>Mão de obra para aplicação de emboço interno</t>
  </si>
  <si>
    <t xml:space="preserve">14 </t>
  </si>
  <si>
    <t>REVESTIMENTOS E ACABAMENTOS INTERNOS EM TETO</t>
  </si>
  <si>
    <t xml:space="preserve">14.001 </t>
  </si>
  <si>
    <t xml:space="preserve">14.001.001 </t>
  </si>
  <si>
    <t>Revestimento Interno Argamassado em Teto</t>
  </si>
  <si>
    <t xml:space="preserve">14.001.001.001 </t>
  </si>
  <si>
    <t>Estucagem de superfície de concreto</t>
  </si>
  <si>
    <t xml:space="preserve">14.001.002 </t>
  </si>
  <si>
    <t>Acabamento em Gesso</t>
  </si>
  <si>
    <t xml:space="preserve">14.001.002.001 </t>
  </si>
  <si>
    <t xml:space="preserve">Forro de gesso acartonado resistente ao fogo - material e mão de obra </t>
  </si>
  <si>
    <t xml:space="preserve">14.001.002.002 </t>
  </si>
  <si>
    <t>Forro de gesso acartonado - material e mão de obra</t>
  </si>
  <si>
    <t xml:space="preserve">14.001.002.003 </t>
  </si>
  <si>
    <t>Sanca de gesso - material e mão de obra</t>
  </si>
  <si>
    <t xml:space="preserve">14.001.002.004 </t>
  </si>
  <si>
    <t xml:space="preserve">14.001.003 </t>
  </si>
  <si>
    <t xml:space="preserve">14.001.003.001 </t>
  </si>
  <si>
    <t xml:space="preserve">Mão de obra para execução de estucamento </t>
  </si>
  <si>
    <t xml:space="preserve">15 </t>
  </si>
  <si>
    <t>ACABAMENTOS EM PISO E PAREDE</t>
  </si>
  <si>
    <t xml:space="preserve">15.001 </t>
  </si>
  <si>
    <t xml:space="preserve">15.001.001 </t>
  </si>
  <si>
    <t>Acabamentos em Piso</t>
  </si>
  <si>
    <t xml:space="preserve">15.001.001.001 </t>
  </si>
  <si>
    <t>Execução de passeio em piso intertravado, com bloco retangular 20 x 10cm, espessura 6cm</t>
  </si>
  <si>
    <t xml:space="preserve">15.001.001.002 </t>
  </si>
  <si>
    <t>Piso cimentado, acabamento liso, espessura 2cm</t>
  </si>
  <si>
    <t xml:space="preserve">15.001.001.003 </t>
  </si>
  <si>
    <t>Piso de borracha, espessura 15mm, assentado com argamassa</t>
  </si>
  <si>
    <t xml:space="preserve">15.001.001.004 </t>
  </si>
  <si>
    <t>Revestimento cerâmico em piso, placa 45x45cm, aplicação em áreas técnicas</t>
  </si>
  <si>
    <t xml:space="preserve">15.001.001.005 </t>
  </si>
  <si>
    <t>Revestimento porcelanato em piso, placa 80x80cm, aplicação em áreas comuns</t>
  </si>
  <si>
    <t xml:space="preserve">15.001.001.006 </t>
  </si>
  <si>
    <t xml:space="preserve">Revestimento porcelanato em piso, placa 60x60cm, aplicação em áreas privativas </t>
  </si>
  <si>
    <t xml:space="preserve">15.001.001.007 </t>
  </si>
  <si>
    <t>Revestimento porcelanato em piso, placa 60x60cm, aplicação em áreas externas</t>
  </si>
  <si>
    <t xml:space="preserve">15.001.002 </t>
  </si>
  <si>
    <t>Rodapés</t>
  </si>
  <si>
    <t xml:space="preserve">15.001.002.001 </t>
  </si>
  <si>
    <t>Rodapé em porcelanato, altura 7cm</t>
  </si>
  <si>
    <t xml:space="preserve">15.001.002.002 </t>
  </si>
  <si>
    <t>Rodapé em porcelanato, altura 10cm</t>
  </si>
  <si>
    <t xml:space="preserve">15.001.002.003 </t>
  </si>
  <si>
    <t>Rodapé em MDF, altura 7cm, fixação com cola=</t>
  </si>
  <si>
    <t xml:space="preserve">15.001.003 </t>
  </si>
  <si>
    <t>Soleiras</t>
  </si>
  <si>
    <t xml:space="preserve">15.001.003.001 </t>
  </si>
  <si>
    <t>Soleira em granito, largura 15cm, espessura 2cm</t>
  </si>
  <si>
    <t xml:space="preserve">15.001.004 </t>
  </si>
  <si>
    <t>Acabamentos em Parede</t>
  </si>
  <si>
    <t xml:space="preserve">15.001.004.001 </t>
  </si>
  <si>
    <t xml:space="preserve">Revestimento cerâmico em parede, placa 45x45cm, aplicação em áreas técnicas </t>
  </si>
  <si>
    <t xml:space="preserve">15.001.004.002 </t>
  </si>
  <si>
    <t>Revestimento porcelanato em parede, placa 30x60cm, aplicação em lavanderia e cozinha</t>
  </si>
  <si>
    <t xml:space="preserve">15.001.004.003 </t>
  </si>
  <si>
    <t>Revestimento porcelanato em parede, placa 60x60cm, aplicação em banheiros</t>
  </si>
  <si>
    <t xml:space="preserve">15.001.005 </t>
  </si>
  <si>
    <t>Peitoris</t>
  </si>
  <si>
    <t xml:space="preserve">15.001.005.001 </t>
  </si>
  <si>
    <t>Peitoril em granito, largura 15cm</t>
  </si>
  <si>
    <t xml:space="preserve">15.001.006 </t>
  </si>
  <si>
    <t xml:space="preserve">15.001.006.001 </t>
  </si>
  <si>
    <t xml:space="preserve">Mão de obra para execução de piso intertravado </t>
  </si>
  <si>
    <t xml:space="preserve">15.001.006.002 </t>
  </si>
  <si>
    <t>Mão de obra para piso cimentado</t>
  </si>
  <si>
    <t xml:space="preserve">15.001.006.003 </t>
  </si>
  <si>
    <t>Mão de obra para execução de piso de borracha</t>
  </si>
  <si>
    <t xml:space="preserve">15.001.006.004 </t>
  </si>
  <si>
    <t>Mão de obra para assentamento de revestimento cerâmico</t>
  </si>
  <si>
    <t xml:space="preserve">15.001.006.005 </t>
  </si>
  <si>
    <t>Mão de obra para execução de rodapé em porcelanato</t>
  </si>
  <si>
    <t xml:space="preserve">15.001.006.006 </t>
  </si>
  <si>
    <t>Mão de obra para execução de rodapé em MDF</t>
  </si>
  <si>
    <t xml:space="preserve">15.001.006.007 </t>
  </si>
  <si>
    <t>Mão de obra para execução de soleira e peitoril</t>
  </si>
  <si>
    <t xml:space="preserve">16 </t>
  </si>
  <si>
    <t>SISTEMAS DE PINTURA INTERNA</t>
  </si>
  <si>
    <t xml:space="preserve">16.001 </t>
  </si>
  <si>
    <t xml:space="preserve">16.001.001 </t>
  </si>
  <si>
    <t>Sistema de Pintura Interna em Piso</t>
  </si>
  <si>
    <t xml:space="preserve">16.001.001.001 </t>
  </si>
  <si>
    <t>Pintura de piso com tinta acrílica, 3 demãos</t>
  </si>
  <si>
    <t xml:space="preserve">16.001.002 </t>
  </si>
  <si>
    <t>Sistema de Pintura Interna em Parede</t>
  </si>
  <si>
    <t xml:space="preserve">16.001.002.001 </t>
  </si>
  <si>
    <t>Pintura de parede com tinta acrílica, massa PVA</t>
  </si>
  <si>
    <t xml:space="preserve">16.001.002.002 </t>
  </si>
  <si>
    <t>Textura acrílica em parede interna</t>
  </si>
  <si>
    <t xml:space="preserve">16.001.003 </t>
  </si>
  <si>
    <t>Sistema de Pintura Interna em Teto</t>
  </si>
  <si>
    <t xml:space="preserve">16.001.003.001 </t>
  </si>
  <si>
    <t>Pintura de teto com tinta acrílica, massa PVA, 2 demãos</t>
  </si>
  <si>
    <t xml:space="preserve">16.001.003.002 </t>
  </si>
  <si>
    <t xml:space="preserve">Pintura de teto com tinta acrílica, massa acrílica, 2 demãos </t>
  </si>
  <si>
    <t xml:space="preserve">16.001.003.003 </t>
  </si>
  <si>
    <t>Textura acrílica em teto</t>
  </si>
  <si>
    <t xml:space="preserve">16.001.004 </t>
  </si>
  <si>
    <t xml:space="preserve">16.001.004.001 </t>
  </si>
  <si>
    <t>Mão de obra para pintura de piso</t>
  </si>
  <si>
    <t xml:space="preserve">16.001.004.002 </t>
  </si>
  <si>
    <t>Mão de obra para execução de pintura interna</t>
  </si>
  <si>
    <t xml:space="preserve">16.001.004.003 </t>
  </si>
  <si>
    <t>Mão de obra para execução de textura acrílica</t>
  </si>
  <si>
    <t xml:space="preserve">17 </t>
  </si>
  <si>
    <t>ESQUADRIAS, VIDROS E FERRAGENS</t>
  </si>
  <si>
    <t xml:space="preserve">17.001 </t>
  </si>
  <si>
    <t xml:space="preserve">17.001.001 </t>
  </si>
  <si>
    <t>Contramarco</t>
  </si>
  <si>
    <t xml:space="preserve">17.001.001.001 </t>
  </si>
  <si>
    <t>Fixação de contramarco com alumínio</t>
  </si>
  <si>
    <t xml:space="preserve">17.001.002 </t>
  </si>
  <si>
    <t>Esquadrias de Alumínio</t>
  </si>
  <si>
    <t xml:space="preserve">17.001.002.001 </t>
  </si>
  <si>
    <t>Esquadrias de alumínio - Janelas</t>
  </si>
  <si>
    <t xml:space="preserve">17.001.002.002 </t>
  </si>
  <si>
    <t>Esquadrias de alumínio - Porta Janela</t>
  </si>
  <si>
    <t xml:space="preserve">17.001.002.003 </t>
  </si>
  <si>
    <t>Esquadrias de alumínio - Portas venezianas</t>
  </si>
  <si>
    <t xml:space="preserve">17.001.003 </t>
  </si>
  <si>
    <t>Esquadrias de Madeira</t>
  </si>
  <si>
    <t xml:space="preserve">17.001.003.001 </t>
  </si>
  <si>
    <t>Porta de abrir de madeira, 60x210cm</t>
  </si>
  <si>
    <t xml:space="preserve">17.001.003.002 </t>
  </si>
  <si>
    <t xml:space="preserve">Porta de abrir de madeira, 80x210cm </t>
  </si>
  <si>
    <t xml:space="preserve">17.001.003.003 </t>
  </si>
  <si>
    <t>Porta de abrir de madeira, 80x210cm, com chapa inox</t>
  </si>
  <si>
    <t xml:space="preserve">17.001.003.004 </t>
  </si>
  <si>
    <t xml:space="preserve">Porta de abrir de madeira, 50x80cm </t>
  </si>
  <si>
    <t xml:space="preserve">17.001.004 </t>
  </si>
  <si>
    <t>Esquadrias Metálicas e Serralheria</t>
  </si>
  <si>
    <t xml:space="preserve">17.001.004.001 </t>
  </si>
  <si>
    <t>Porta corta - fogo P120, em inox, 93x211cm</t>
  </si>
  <si>
    <t xml:space="preserve">17.001.004.002 </t>
  </si>
  <si>
    <t xml:space="preserve">Porta corta - fogo P120, em inox, 80x210cm </t>
  </si>
  <si>
    <t xml:space="preserve">17.001.004.003 </t>
  </si>
  <si>
    <t>Porta corta fogo P120, 150x180cm</t>
  </si>
  <si>
    <t xml:space="preserve">17.001.004.004 </t>
  </si>
  <si>
    <t>Porta corta fogo P120, 110x180cm</t>
  </si>
  <si>
    <t xml:space="preserve">17.001.004.005 </t>
  </si>
  <si>
    <t>Escada marinheiro</t>
  </si>
  <si>
    <t xml:space="preserve">17.001.004.006 </t>
  </si>
  <si>
    <t>Alçapão metálico</t>
  </si>
  <si>
    <t xml:space="preserve">17.001.004.007 </t>
  </si>
  <si>
    <t>Perfil vertical de ferro, aplicado em áreas técnicas</t>
  </si>
  <si>
    <t xml:space="preserve">17.001.004.008 </t>
  </si>
  <si>
    <t>Bicicletário</t>
  </si>
  <si>
    <t xml:space="preserve">17.001.005 </t>
  </si>
  <si>
    <t>Corrimão</t>
  </si>
  <si>
    <t xml:space="preserve">17.001.005.001 </t>
  </si>
  <si>
    <t>Corrimão metálico duplo, em aço galvanizado</t>
  </si>
  <si>
    <t xml:space="preserve">17.001.005.002 </t>
  </si>
  <si>
    <t>Pintura esmalte sintético, 2 demãos em corrimão</t>
  </si>
  <si>
    <t xml:space="preserve">17.001.006 </t>
  </si>
  <si>
    <t>Guarda Corpo</t>
  </si>
  <si>
    <t xml:space="preserve">17.001.006.001 </t>
  </si>
  <si>
    <t>Guarda - corpo de alumínio e vidro</t>
  </si>
  <si>
    <t xml:space="preserve">17.001.006.002 </t>
  </si>
  <si>
    <t xml:space="preserve">Gradil de alumínio </t>
  </si>
  <si>
    <t xml:space="preserve">17.001.007 </t>
  </si>
  <si>
    <t>Acessórios e Ferragens</t>
  </si>
  <si>
    <t xml:space="preserve">17.001.007.001 </t>
  </si>
  <si>
    <t xml:space="preserve">Dobradiça em aço </t>
  </si>
  <si>
    <t xml:space="preserve">17.001.007.002 </t>
  </si>
  <si>
    <t>Fechadura de embutir com cilindro, interna</t>
  </si>
  <si>
    <t xml:space="preserve">17.001.007.003 </t>
  </si>
  <si>
    <t>Fechadura para Banheiro</t>
  </si>
  <si>
    <t xml:space="preserve">17.001.008 </t>
  </si>
  <si>
    <t xml:space="preserve">17.001.008.001 </t>
  </si>
  <si>
    <t>Mão de obra para instalação de portas de madeira</t>
  </si>
  <si>
    <t xml:space="preserve">18 </t>
  </si>
  <si>
    <t>REVESTIMENTOS E ACABAMENTOS EM FACHADA</t>
  </si>
  <si>
    <t xml:space="preserve">18.001 </t>
  </si>
  <si>
    <t xml:space="preserve">18.001.001 </t>
  </si>
  <si>
    <t>Revestimento Argamassado em Fachada</t>
  </si>
  <si>
    <t xml:space="preserve">18.001.001.001 </t>
  </si>
  <si>
    <t>Chapisco aplicado em alvenaria e estruturas de concreto de fachada, argamassa industrializada</t>
  </si>
  <si>
    <t xml:space="preserve">18.001.001.002 </t>
  </si>
  <si>
    <t xml:space="preserve">Emboço aplicado em paredes externas, argamassa industrializada </t>
  </si>
  <si>
    <t xml:space="preserve">18.001.002 </t>
  </si>
  <si>
    <t>Pintura e Textura em Fachada</t>
  </si>
  <si>
    <t xml:space="preserve">18.001.002.001 </t>
  </si>
  <si>
    <t>Massa texturizada acrílica ibratin</t>
  </si>
  <si>
    <t xml:space="preserve">18.001.003 </t>
  </si>
  <si>
    <t>Tratamentos em Fachadas</t>
  </si>
  <si>
    <t xml:space="preserve">18.001.003.001 </t>
  </si>
  <si>
    <t>Mão de obra para execução de frisos em fachada</t>
  </si>
  <si>
    <t xml:space="preserve">18.001.004 </t>
  </si>
  <si>
    <t xml:space="preserve">18.001.004.001 </t>
  </si>
  <si>
    <t xml:space="preserve">Mão de obra para aplicação de reboco externo </t>
  </si>
  <si>
    <t xml:space="preserve">18.001.004.002 </t>
  </si>
  <si>
    <t>Mão de obra para aplicação de textura em fachada</t>
  </si>
  <si>
    <t xml:space="preserve">19 </t>
  </si>
  <si>
    <t>SERVIÇOS COMPLEMENTARES E FINAIS</t>
  </si>
  <si>
    <t xml:space="preserve">19.001 </t>
  </si>
  <si>
    <t xml:space="preserve">19.001.001 </t>
  </si>
  <si>
    <t>Ambientação</t>
  </si>
  <si>
    <t xml:space="preserve">19.001.001.001 </t>
  </si>
  <si>
    <t xml:space="preserve">19.001.002 </t>
  </si>
  <si>
    <t>Comunicação Visual</t>
  </si>
  <si>
    <t xml:space="preserve">19.001.002.001 </t>
  </si>
  <si>
    <t>Comunicação visual</t>
  </si>
  <si>
    <t xml:space="preserve">19.001.003 </t>
  </si>
  <si>
    <t>Paisagismo</t>
  </si>
  <si>
    <t xml:space="preserve">19.001.003.001 </t>
  </si>
  <si>
    <t xml:space="preserve">19.001.004 </t>
  </si>
  <si>
    <t>Serviços Finais</t>
  </si>
  <si>
    <t xml:space="preserve">19.001.004.001 </t>
  </si>
  <si>
    <t>Limpeza final de obra</t>
  </si>
  <si>
    <t xml:space="preserve">19.001.004.002 </t>
  </si>
  <si>
    <t>Desmobilização de canteiro</t>
  </si>
  <si>
    <t xml:space="preserve">19.001.005 </t>
  </si>
  <si>
    <t>Imprevistos e Contingências</t>
  </si>
  <si>
    <t xml:space="preserve">19.001.005.001 </t>
  </si>
  <si>
    <t xml:space="preserve">Imprevistos e Contingências </t>
  </si>
  <si>
    <t>Total da obra</t>
  </si>
  <si>
    <t>03/11/2022 - 10:54:56</t>
  </si>
  <si>
    <t>SIENGE / SOFTPLAN</t>
  </si>
  <si>
    <t xml:space="preserve">Bomba  de concreto </t>
  </si>
  <si>
    <t xml:space="preserve">Espaçador  rolete 5 cm </t>
  </si>
  <si>
    <t xml:space="preserve">Arrasamento de Estaca </t>
  </si>
  <si>
    <t xml:space="preserve">Mdo p/ acompanhamento de estacas </t>
  </si>
  <si>
    <t xml:space="preserve">Taxa de bomba </t>
  </si>
  <si>
    <t>m³</t>
  </si>
  <si>
    <t xml:space="preserve">Lastro de concreto </t>
  </si>
  <si>
    <t xml:space="preserve">Prego </t>
  </si>
  <si>
    <t xml:space="preserve"> </t>
  </si>
  <si>
    <t xml:space="preserve">Areia e Brita </t>
  </si>
  <si>
    <t xml:space="preserve">Protetor de vergalhão </t>
  </si>
  <si>
    <t xml:space="preserve">Pino de aço </t>
  </si>
  <si>
    <t xml:space="preserve">Cimento </t>
  </si>
  <si>
    <t>Arame</t>
  </si>
  <si>
    <t>Desmoldante p/ formas</t>
  </si>
  <si>
    <t>Espaçador plástico</t>
  </si>
  <si>
    <t>Espaçador treliça (H:6cm e H:8cm)</t>
  </si>
  <si>
    <t>Acabamento de laje sarrafeado</t>
  </si>
  <si>
    <t>Frete escoramento</t>
  </si>
  <si>
    <t>saco</t>
  </si>
  <si>
    <t>m²</t>
  </si>
  <si>
    <t xml:space="preserve">Alvenaria muros e muretas </t>
  </si>
  <si>
    <t>Tela de amarração 17,5 x 50cm (caixa c/ 50 pçs)</t>
  </si>
  <si>
    <t>Pino de aço 1/4x28 c/ arruela cônica 23mm (cx c/ 100pçs)</t>
  </si>
  <si>
    <t>uni</t>
  </si>
  <si>
    <t xml:space="preserve">cx </t>
  </si>
  <si>
    <t xml:space="preserve">Argamassa de assentamento </t>
  </si>
  <si>
    <t>Torneira para pia (apts)</t>
  </si>
  <si>
    <t xml:space="preserve">Acabamentos de registros - lavanderia </t>
  </si>
  <si>
    <t xml:space="preserve">Carenagem </t>
  </si>
  <si>
    <t xml:space="preserve">cristalização do poço do elevador </t>
  </si>
  <si>
    <t>Imp. Argamassa Polimérica (res. Inferior e superior)</t>
  </si>
  <si>
    <t xml:space="preserve">Piso do Elevador </t>
  </si>
  <si>
    <t xml:space="preserve">Mão de obra para aplicação de chapisco </t>
  </si>
  <si>
    <t>Forro de gesso tabicado placa standard ST</t>
  </si>
  <si>
    <t>Forro de gesso tabicado placa verde RU</t>
  </si>
  <si>
    <t>Tabica</t>
  </si>
  <si>
    <t xml:space="preserve">Alçapão 50x50 </t>
  </si>
  <si>
    <t xml:space="preserve">Caiação do poço do elevador </t>
  </si>
  <si>
    <t xml:space="preserve">Demolição da Calçada Existente </t>
  </si>
  <si>
    <t xml:space="preserve">Mini guia </t>
  </si>
  <si>
    <t>guias calçada</t>
  </si>
  <si>
    <t xml:space="preserve">Areia, pó de pedra,cimento e brita </t>
  </si>
  <si>
    <t xml:space="preserve">vb </t>
  </si>
  <si>
    <t>Revestimento porcelanato em piso, placa 80x80cm, aplicação em áreas comuns (Externas)</t>
  </si>
  <si>
    <t>UN</t>
  </si>
  <si>
    <t>Acessoórios (engate flexível, sifão, válvulas, etc)</t>
  </si>
  <si>
    <t>VB</t>
  </si>
  <si>
    <t>acabamento torneira pia  (apts)</t>
  </si>
  <si>
    <t>acabamento torneira wcs</t>
  </si>
  <si>
    <t>Argamassa Colante (sacos de 20 kg)</t>
  </si>
  <si>
    <t>Rejunte</t>
  </si>
  <si>
    <t>Frete</t>
  </si>
  <si>
    <t xml:space="preserve">manta acustica cobertura </t>
  </si>
  <si>
    <t>Guia calçadas</t>
  </si>
  <si>
    <t xml:space="preserve">Mão de obra para instalação de tento e baguete </t>
  </si>
  <si>
    <t xml:space="preserve">Peitoril de granito </t>
  </si>
  <si>
    <t xml:space="preserve">soleira </t>
  </si>
  <si>
    <t xml:space="preserve">tento e baguete </t>
  </si>
  <si>
    <t>Esmalte sintético - escada marinheiro</t>
  </si>
  <si>
    <t>Esmalte sintético Pcf</t>
  </si>
  <si>
    <t>Esmalte sintético - elementos de ferro terraços</t>
  </si>
  <si>
    <t>Esmalte sintético sobre portas de madeira - tipos</t>
  </si>
  <si>
    <t>Esmalte sintético sobre portas dos shafts (3,00 x 1,90)</t>
  </si>
  <si>
    <t>Esmalte sintético sobre portas dos shafts (1,00 x 0,60)</t>
  </si>
  <si>
    <t>Espuma p/ fixação</t>
  </si>
  <si>
    <t>Ferragens (dobradiças, fechaduras)</t>
  </si>
  <si>
    <t>Tela divisória elevador</t>
  </si>
  <si>
    <t xml:space="preserve">Mão civil - elevadores </t>
  </si>
  <si>
    <t xml:space="preserve">limpeza dos reservatórios com laudo </t>
  </si>
  <si>
    <t>Churrasqueira</t>
  </si>
  <si>
    <t xml:space="preserve">mobilização da equipe </t>
  </si>
  <si>
    <t xml:space="preserve">Locação da escavadeira hidráulica </t>
  </si>
  <si>
    <t xml:space="preserve">Frete da Máquina </t>
  </si>
  <si>
    <t>Escavação de solo para fundações</t>
  </si>
  <si>
    <t xml:space="preserve">Consultoria fundação </t>
  </si>
  <si>
    <t>Assessoria Contábil</t>
  </si>
  <si>
    <t>Licença para Tapume em calçada</t>
  </si>
  <si>
    <t>Mobus</t>
  </si>
  <si>
    <t>Snager</t>
  </si>
  <si>
    <t>Exames periódicos</t>
  </si>
  <si>
    <t>Materiais de primeiros socorros</t>
  </si>
  <si>
    <t>Equipamentos de proteção coletiva</t>
  </si>
  <si>
    <t>Administrativo De obra</t>
  </si>
  <si>
    <t>Operador de cremalheira</t>
  </si>
  <si>
    <t>Servente</t>
  </si>
  <si>
    <t>Pedreiro</t>
  </si>
  <si>
    <t>Locação de containers</t>
  </si>
  <si>
    <t>Manutenção tapume</t>
  </si>
  <si>
    <t>Portão de correr (acesso a obra)</t>
  </si>
  <si>
    <t xml:space="preserve">Reservatório de água 5.000L </t>
  </si>
  <si>
    <t>Bebedouros</t>
  </si>
  <si>
    <t>Radios</t>
  </si>
  <si>
    <t>Caçamba de entulho</t>
  </si>
  <si>
    <t>Despesas de consumos - café da manhã/ tarde</t>
  </si>
  <si>
    <t>Despesas de transporte  (Vale transporte)</t>
  </si>
  <si>
    <t>Dedetizações</t>
  </si>
  <si>
    <t>base do elevadore cremalheira  (mat +mo)</t>
  </si>
  <si>
    <t>1vb</t>
  </si>
  <si>
    <t xml:space="preserve">cabo de aço mini grua </t>
  </si>
  <si>
    <t xml:space="preserve">tela fachadeiro </t>
  </si>
  <si>
    <t xml:space="preserve">proteção do poço do elevador </t>
  </si>
  <si>
    <t xml:space="preserve">Dispositivo de ancoragem na cobertura </t>
  </si>
  <si>
    <t xml:space="preserve">Placas de sinalização diversas </t>
  </si>
  <si>
    <t xml:space="preserve">Exames admissionais, periodicos e demissionais </t>
  </si>
  <si>
    <t>Gabarito  de madeira ( mat + mo)</t>
  </si>
  <si>
    <t>bota fora excedente - fundação profunda</t>
  </si>
  <si>
    <t>bota fora excedente - fundação rasa</t>
  </si>
  <si>
    <t xml:space="preserve">Neutrol </t>
  </si>
  <si>
    <t>l</t>
  </si>
  <si>
    <t xml:space="preserve">Mão de obra para muros e muretas </t>
  </si>
  <si>
    <t>Apoio civil - instalações elétricas</t>
  </si>
  <si>
    <t xml:space="preserve">Espuma para shafts </t>
  </si>
  <si>
    <t xml:space="preserve">Fire Stop shaft + fitas intumescentes </t>
  </si>
  <si>
    <t>Apoio civil -  inst. Hidraulicas e comb. Incêndio - caixas e tampões</t>
  </si>
  <si>
    <t>sc</t>
  </si>
  <si>
    <t xml:space="preserve">Cola PVA chapisco rolado </t>
  </si>
  <si>
    <t>Mão de obra para instalação</t>
  </si>
  <si>
    <t>porta dos shaft</t>
  </si>
  <si>
    <t xml:space="preserve">chumbamento porta corta fogo </t>
  </si>
  <si>
    <t xml:space="preserve">mão de obra para aplicação de chapisco </t>
  </si>
  <si>
    <t xml:space="preserve">Vistoria de bombeiro - documento </t>
  </si>
  <si>
    <t>lava rodas (material+mo)</t>
  </si>
  <si>
    <t>Drenagem de tereno (poço de drenagem, mat + mo)</t>
  </si>
  <si>
    <t xml:space="preserve">Rádios </t>
  </si>
  <si>
    <t>caminhão pipa</t>
  </si>
  <si>
    <t>cerca concertina</t>
  </si>
  <si>
    <t>tela tapupe - proteções diversas</t>
  </si>
  <si>
    <t xml:space="preserve">material de primeiros socorros </t>
  </si>
  <si>
    <t>proteção periférica</t>
  </si>
  <si>
    <t xml:space="preserve">Divirgência entre preço para execução de alvenaria </t>
  </si>
  <si>
    <t>Divergência significativa na entre área da fachada (Considerar execução de todas as fachadas, muros e muretas)</t>
  </si>
  <si>
    <t xml:space="preserve">Verificar a consideração de muros e muretas em alvenaria, assim como o custo unitário para execução de alvenaria </t>
  </si>
  <si>
    <t xml:space="preserve">Divirgência entre quantitativos de concreto para execução da fundação rasa e mo civil. </t>
  </si>
  <si>
    <t xml:space="preserve">Verificar considerações de encargos, e equipe </t>
  </si>
  <si>
    <t>item ambientação, o que foi considerado ?</t>
  </si>
  <si>
    <t>Verificar o que foi considerado nesse item.  (Bancadas de granito  (Cozinhas, banheiros, áreas comuns),  soleiras (portas de entrada e áreas comuns), baguetes (Entrada de banheiros), tento (Box do benheiro), pingadeiras (Janelas e terraços dos apartamentos)</t>
  </si>
  <si>
    <t>Verificar consideração de custo para constrole téccnologico</t>
  </si>
  <si>
    <t xml:space="preserve">Verificar consideração de custo para segurança do trabalho de obra e demais itens acrescentados em vermelho. </t>
  </si>
  <si>
    <t>Verificar considerações de despesas de consumo</t>
  </si>
  <si>
    <t xml:space="preserve">Verificar considerações acrescentadas para canteiro de obras </t>
  </si>
  <si>
    <t xml:space="preserve">Verificar custo de consideração para balancim </t>
  </si>
  <si>
    <t>Verificar considerações de  pintura (Consideramos contratação de mat + mo com empreiteiro)</t>
  </si>
  <si>
    <t xml:space="preserve">Movimentação de bota fora </t>
  </si>
  <si>
    <t xml:space="preserve">Composição de aço </t>
  </si>
  <si>
    <t xml:space="preserve">Item 01.001.003.001 </t>
  </si>
  <si>
    <t xml:space="preserve">Impermeabilização </t>
  </si>
  <si>
    <t>Movimentação de terra</t>
  </si>
  <si>
    <t xml:space="preserve">Bota fora </t>
  </si>
  <si>
    <t>Composição de forma</t>
  </si>
  <si>
    <t xml:space="preserve">Composição </t>
  </si>
  <si>
    <t xml:space="preserve">Cotação de mão de obra </t>
  </si>
  <si>
    <t>Mão de obra</t>
  </si>
  <si>
    <t>Acabamentos de registro de gaveta</t>
  </si>
  <si>
    <t>Soleiras - lançadas em soleiras</t>
  </si>
  <si>
    <t xml:space="preserve">Peitoris e pingadeiras - Lançado em peitoris (podemos separar)  </t>
  </si>
  <si>
    <t>Tento - adicionar</t>
  </si>
  <si>
    <t xml:space="preserve">Adicionar em modelagem </t>
  </si>
  <si>
    <t xml:space="preserve">Tabica no valor do forro acartonado </t>
  </si>
  <si>
    <t xml:space="preserve">Considerado em estucamento - trocaremos composição para chapisco </t>
  </si>
  <si>
    <t>Fretes - custo indiretos</t>
  </si>
  <si>
    <t>Considerado as portas de aço, vamos substituir para madeira</t>
  </si>
  <si>
    <t>Custo da torneira</t>
  </si>
  <si>
    <t xml:space="preserve">Adicionar </t>
  </si>
  <si>
    <t>Informado pela Indepy</t>
  </si>
  <si>
    <t xml:space="preserve">Considerado padrão da região </t>
  </si>
  <si>
    <t xml:space="preserve">Não informado em formulário </t>
  </si>
  <si>
    <t xml:space="preserve">Demolição </t>
  </si>
  <si>
    <t xml:space="preserve">Por ser consideração de locação, o valor está incluso na mobilização e locação </t>
  </si>
  <si>
    <t>Fazer comporativo de corpo de prova por caminhão</t>
  </si>
  <si>
    <t>Considerar valor de empresa tercerizada para assessoria de segurança do trabalho</t>
  </si>
  <si>
    <t xml:space="preserve">Adicionar valor de encargos </t>
  </si>
  <si>
    <t xml:space="preserve">Tela fachadeira para execução de fachaça </t>
  </si>
  <si>
    <t>Proteçaõ de concretagem</t>
  </si>
  <si>
    <t>Levantar custo de cotações</t>
  </si>
  <si>
    <t>Adicionar</t>
  </si>
  <si>
    <t xml:space="preserve">Atualizar composição para escavadeira </t>
  </si>
  <si>
    <t xml:space="preserve">2 serventes </t>
  </si>
  <si>
    <t xml:space="preserve">Abrir separado a taxa de bombeamento </t>
  </si>
  <si>
    <t>Jogar para fundação rasa</t>
  </si>
  <si>
    <t xml:space="preserve">Composição de lastro </t>
  </si>
  <si>
    <t xml:space="preserve">Jogar para fundação rasa </t>
  </si>
  <si>
    <t>Dividir bota - fora de fundação profunda e bota - fora de fundação rasa</t>
  </si>
  <si>
    <t xml:space="preserve">Trazer para supraestrutura </t>
  </si>
  <si>
    <t>Separar o frete escoramento para essa etapa</t>
  </si>
  <si>
    <t>Separar em eap da argamassa</t>
  </si>
  <si>
    <t>Separar</t>
  </si>
  <si>
    <t xml:space="preserve">Separar </t>
  </si>
  <si>
    <t xml:space="preserve">Acessórios </t>
  </si>
  <si>
    <t xml:space="preserve">Soleira de pj adicionar o tento </t>
  </si>
  <si>
    <t>GRANITO</t>
  </si>
  <si>
    <t xml:space="preserve">Manter todos os itens como polimérico </t>
  </si>
  <si>
    <t xml:space="preserve">Adicionar cimento na composição </t>
  </si>
  <si>
    <t xml:space="preserve">Alçapão de gesso equipamentos de ar condicionado nas áreas comuns </t>
  </si>
  <si>
    <t xml:space="preserve">Puxar demolição de calçada </t>
  </si>
  <si>
    <t>Juntar material e mão de obra</t>
  </si>
  <si>
    <t>Substituir para madeira</t>
  </si>
  <si>
    <t xml:space="preserve">Relevantar quantitativo de fachada </t>
  </si>
  <si>
    <t>Atualizar a descrição do serviço - Mobiliário / equipamentos áreas comuns</t>
  </si>
  <si>
    <t>Considerar verba de 15.000,00</t>
  </si>
  <si>
    <t>Separar argamassa e rejunte</t>
  </si>
  <si>
    <t>Trazer ancoragem para serviços complementares</t>
  </si>
  <si>
    <t>Não precisa adicionar, apenas itens descritos abaixo</t>
  </si>
  <si>
    <t>consideração de elétrico para fachada cega</t>
  </si>
  <si>
    <t>seg</t>
  </si>
  <si>
    <t>repetido - não adicionado</t>
  </si>
  <si>
    <t>não adicionado - repetição</t>
  </si>
  <si>
    <t>onde está?</t>
  </si>
  <si>
    <t>separar da onde?</t>
  </si>
  <si>
    <t>separei areia e po de brita do primeiro item</t>
  </si>
  <si>
    <t>adicionado no granito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</si>
</sst>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2" formatCode="_-&quot;R$&quot;\ * #,##0_-;\-&quot;R$&quot;\ * #,##0_-;_-&quot;R$&quot;\ * &quot;-&quot;_-;_-@_-"/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#,###,##0.00"/>
    <numFmt numFmtId="165" formatCode="##,##0.00"/>
    <numFmt numFmtId="166" formatCode="0.0000"/>
    <numFmt numFmtId="167" formatCode="##,##0.0000"/>
    <numFmt numFmtId="168" formatCode="#,##0.0000"/>
    <numFmt numFmtId="169" formatCode="###,##0.0000"/>
    <numFmt numFmtId="170" formatCode="###,##0.00"/>
    <numFmt numFmtId="171" formatCode="##0.0000"/>
    <numFmt numFmtId="172" formatCode="#0.0000"/>
    <numFmt numFmtId="173" formatCode="##0.00"/>
    <numFmt numFmtId="174" formatCode="#0.00"/>
    <numFmt numFmtId="175" formatCode="##,###,##0.00"/>
  </numFmts>
  <fonts count="23" x14ac:knownFonts="1">
    <font>
      <sz val="10"/>
      <name val="Arial"/>
      <family val="2"/>
    </font>
    <font>
      <sz val="15"/>
      <color rgb="FF010000"/>
      <name val="Arial"/>
      <family val="2"/>
    </font>
    <font>
      <sz val="16"/>
      <color rgb="FF010000"/>
      <name val="Arial"/>
      <family val="2"/>
    </font>
    <font>
      <b/>
      <sz val="16"/>
      <color rgb="FF010000"/>
      <name val="Arial"/>
      <family val="2"/>
    </font>
    <font>
      <sz val="8"/>
      <color rgb="FF010000"/>
      <name val="Arial"/>
      <family val="2"/>
    </font>
    <font>
      <b/>
      <sz val="7"/>
      <color rgb="FF010000"/>
      <name val="Arial"/>
      <family val="2"/>
    </font>
    <font>
      <sz val="7"/>
      <color rgb="FF010000"/>
      <name val="Arial"/>
      <family val="2"/>
    </font>
    <font>
      <sz val="1"/>
      <color rgb="FF010000"/>
      <name val="Arial"/>
      <family val="2"/>
    </font>
    <font>
      <sz val="6"/>
      <color rgb="FF01000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color rgb="FFFF0000"/>
      <name val="Arial"/>
      <family val="2"/>
    </font>
    <font>
      <b/>
      <sz val="8"/>
      <name val="Arial"/>
      <family val="2"/>
    </font>
    <font>
      <b/>
      <sz val="9"/>
      <color rgb="FF010000"/>
      <name val="Arial"/>
      <family val="2"/>
    </font>
    <font>
      <sz val="9"/>
      <color rgb="FF010000"/>
      <name val="Arial"/>
      <family val="2"/>
    </font>
    <font>
      <sz val="9"/>
      <color rgb="FFFF0000"/>
      <name val="Arial"/>
      <family val="2"/>
    </font>
    <font>
      <sz val="9"/>
      <color theme="1"/>
      <name val="Arial"/>
      <family val="2"/>
    </font>
    <font>
      <b/>
      <sz val="9"/>
      <color rgb="FFFF0000"/>
      <name val="Arial"/>
      <family val="2"/>
    </font>
    <font>
      <sz val="12"/>
      <color rgb="FFFF0000"/>
      <name val="Arial"/>
      <family val="2"/>
    </font>
    <font>
      <sz val="9"/>
      <color theme="0"/>
      <name val="Arial"/>
      <family val="2"/>
    </font>
    <font>
      <sz val="12"/>
      <color rgb="FF00B050"/>
      <name val="Arial"/>
      <family val="2"/>
    </font>
    <font>
      <sz val="12"/>
      <color theme="0"/>
      <name val="Arial"/>
      <family val="2"/>
    </font>
    <font>
      <sz val="12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 style="hair">
        <color rgb="FF010000"/>
      </left>
      <right style="hair">
        <color rgb="FF010000"/>
      </right>
      <top style="hair">
        <color rgb="FF010000"/>
      </top>
      <bottom/>
      <diagonal/>
    </border>
    <border>
      <left/>
      <right style="hair">
        <color rgb="FF010000"/>
      </right>
      <top style="hair">
        <color rgb="FF010000"/>
      </top>
      <bottom/>
      <diagonal/>
    </border>
    <border>
      <left style="hair">
        <color rgb="FF010000"/>
      </left>
      <right style="hair">
        <color rgb="FF010000"/>
      </right>
      <top/>
      <bottom/>
      <diagonal/>
    </border>
    <border>
      <left/>
      <right style="hair">
        <color rgb="FF010000"/>
      </right>
      <top/>
      <bottom/>
      <diagonal/>
    </border>
    <border>
      <left style="hair">
        <color rgb="FF010000"/>
      </left>
      <right style="hair">
        <color rgb="FF010000"/>
      </right>
      <top/>
      <bottom style="hair">
        <color rgb="FF010000"/>
      </bottom>
      <diagonal/>
    </border>
    <border>
      <left/>
      <right style="hair">
        <color rgb="FF010000"/>
      </right>
      <top/>
      <bottom style="hair">
        <color rgb="FF010000"/>
      </bottom>
      <diagonal/>
    </border>
    <border>
      <left style="hair">
        <color rgb="FF010000"/>
      </left>
      <right style="hair">
        <color rgb="FF010000"/>
      </right>
      <top style="hair">
        <color rgb="FF010000"/>
      </top>
      <bottom style="hair">
        <color rgb="FF010000"/>
      </bottom>
      <diagonal/>
    </border>
    <border>
      <left/>
      <right/>
      <top/>
      <bottom style="hair">
        <color rgb="FF010000"/>
      </bottom>
      <diagonal/>
    </border>
    <border>
      <left/>
      <right/>
      <top style="hair">
        <color rgb="FF010000"/>
      </top>
      <bottom/>
      <diagonal/>
    </border>
    <border>
      <left style="hair">
        <color rgb="FF010000"/>
      </left>
      <right/>
      <top style="hair">
        <color rgb="FF010000"/>
      </top>
      <bottom style="hair">
        <color rgb="FF010000"/>
      </bottom>
      <diagonal/>
    </border>
    <border>
      <left/>
      <right/>
      <top style="hair">
        <color rgb="FF010000"/>
      </top>
      <bottom style="hair">
        <color rgb="FF010000"/>
      </bottom>
      <diagonal/>
    </border>
    <border>
      <left/>
      <right style="hair">
        <color rgb="FF010000"/>
      </right>
      <top style="hair">
        <color rgb="FF010000"/>
      </top>
      <bottom style="hair">
        <color rgb="FF010000"/>
      </bottom>
      <diagonal/>
    </border>
    <border>
      <left style="hair">
        <color rgb="FF010000"/>
      </left>
      <right/>
      <top style="hair">
        <color rgb="FF010000"/>
      </top>
      <bottom/>
      <diagonal/>
    </border>
    <border>
      <left style="thin">
        <color rgb="FFA0A0A0"/>
      </left>
      <right/>
      <top style="hair">
        <color rgb="FF010000"/>
      </top>
      <bottom style="hair">
        <color rgb="FF010000"/>
      </bottom>
      <diagonal/>
    </border>
    <border>
      <left style="hair">
        <color rgb="FF010000"/>
      </left>
      <right/>
      <top style="thin">
        <color rgb="FFA0A0A0"/>
      </top>
      <bottom style="hair">
        <color rgb="FF010000"/>
      </bottom>
      <diagonal/>
    </border>
    <border>
      <left/>
      <right/>
      <top style="thin">
        <color rgb="FFA0A0A0"/>
      </top>
      <bottom style="hair">
        <color rgb="FF010000"/>
      </bottom>
      <diagonal/>
    </border>
    <border>
      <left/>
      <right style="hair">
        <color rgb="FF010000"/>
      </right>
      <top style="thin">
        <color rgb="FFA0A0A0"/>
      </top>
      <bottom style="hair">
        <color rgb="FF010000"/>
      </bottom>
      <diagonal/>
    </border>
    <border>
      <left style="hair">
        <color rgb="FF010000"/>
      </left>
      <right/>
      <top/>
      <bottom/>
      <diagonal/>
    </border>
  </borders>
  <cellStyleXfs count="7">
    <xf numFmtId="0" fontId="0" fillId="0" borderId="0"/>
    <xf numFmtId="9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4" fontId="9" fillId="0" borderId="0" applyFont="0" applyFill="0" applyBorder="0" applyAlignment="0" applyProtection="0"/>
  </cellStyleXfs>
  <cellXfs count="285">
    <xf numFmtId="0" fontId="0" fillId="0" borderId="0" xfId="0"/>
    <xf numFmtId="0" fontId="6" fillId="0" borderId="7" xfId="0" applyFont="1" applyBorder="1" applyAlignment="1">
      <alignment horizontal="left" vertical="top" wrapText="1"/>
    </xf>
    <xf numFmtId="0" fontId="5" fillId="2" borderId="7" xfId="0" applyFont="1" applyFill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2" fontId="10" fillId="0" borderId="0" xfId="0" applyNumberFormat="1" applyFont="1" applyAlignment="1">
      <alignment horizontal="center" vertical="center"/>
    </xf>
    <xf numFmtId="0" fontId="11" fillId="0" borderId="0" xfId="0" applyFont="1"/>
    <xf numFmtId="0" fontId="0" fillId="0" borderId="0" xfId="0" applyAlignment="1">
      <alignment horizontal="center" vertical="center"/>
    </xf>
    <xf numFmtId="4" fontId="10" fillId="0" borderId="0" xfId="0" applyNumberFormat="1" applyFont="1" applyAlignment="1">
      <alignment horizontal="center" vertical="center"/>
    </xf>
    <xf numFmtId="44" fontId="10" fillId="0" borderId="0" xfId="6" applyFont="1" applyAlignment="1">
      <alignment horizontal="center" vertical="center"/>
    </xf>
    <xf numFmtId="0" fontId="13" fillId="0" borderId="7" xfId="0" applyFont="1" applyBorder="1" applyAlignment="1">
      <alignment horizontal="left" vertical="top" wrapText="1"/>
    </xf>
    <xf numFmtId="0" fontId="14" fillId="0" borderId="7" xfId="0" applyFont="1" applyBorder="1" applyAlignment="1">
      <alignment horizontal="left" vertical="top" wrapText="1"/>
    </xf>
    <xf numFmtId="0" fontId="15" fillId="0" borderId="7" xfId="0" applyFont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left" vertical="top" wrapText="1"/>
    </xf>
    <xf numFmtId="0" fontId="15" fillId="0" borderId="7" xfId="0" applyFont="1" applyBorder="1" applyAlignment="1">
      <alignment horizontal="left" vertical="top" wrapText="1"/>
    </xf>
    <xf numFmtId="0" fontId="14" fillId="0" borderId="5" xfId="0" applyFont="1" applyBorder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44" fontId="0" fillId="0" borderId="0" xfId="0" applyNumberFormat="1" applyAlignment="1">
      <alignment horizontal="center" vertical="center"/>
    </xf>
    <xf numFmtId="0" fontId="14" fillId="3" borderId="7" xfId="0" applyFont="1" applyFill="1" applyBorder="1" applyAlignment="1">
      <alignment horizontal="left" vertical="top" wrapText="1"/>
    </xf>
    <xf numFmtId="0" fontId="13" fillId="5" borderId="7" xfId="0" applyFont="1" applyFill="1" applyBorder="1" applyAlignment="1">
      <alignment horizontal="left" vertical="top" wrapText="1"/>
    </xf>
    <xf numFmtId="0" fontId="13" fillId="6" borderId="7" xfId="0" applyFont="1" applyFill="1" applyBorder="1" applyAlignment="1">
      <alignment horizontal="left" vertical="top" wrapText="1"/>
    </xf>
    <xf numFmtId="0" fontId="5" fillId="6" borderId="7" xfId="0" applyFont="1" applyFill="1" applyBorder="1" applyAlignment="1">
      <alignment horizontal="left" vertical="top" wrapText="1"/>
    </xf>
    <xf numFmtId="3" fontId="13" fillId="5" borderId="7" xfId="0" applyNumberFormat="1" applyFont="1" applyFill="1" applyBorder="1" applyAlignment="1">
      <alignment horizontal="left" vertical="top" wrapText="1"/>
    </xf>
    <xf numFmtId="0" fontId="13" fillId="5" borderId="5" xfId="0" applyFont="1" applyFill="1" applyBorder="1" applyAlignment="1">
      <alignment horizontal="left" vertical="top" wrapText="1"/>
    </xf>
    <xf numFmtId="0" fontId="13" fillId="5" borderId="1" xfId="0" applyFont="1" applyFill="1" applyBorder="1" applyAlignment="1">
      <alignment horizontal="left" vertical="top" wrapText="1"/>
    </xf>
    <xf numFmtId="3" fontId="13" fillId="6" borderId="7" xfId="0" applyNumberFormat="1" applyFont="1" applyFill="1" applyBorder="1" applyAlignment="1">
      <alignment horizontal="left" vertical="top" wrapText="1"/>
    </xf>
    <xf numFmtId="0" fontId="14" fillId="4" borderId="7" xfId="0" applyFont="1" applyFill="1" applyBorder="1" applyAlignment="1">
      <alignment horizontal="left" vertical="top" wrapText="1"/>
    </xf>
    <xf numFmtId="44" fontId="0" fillId="0" borderId="0" xfId="6" applyFont="1" applyFill="1" applyAlignment="1">
      <alignment horizontal="center" vertical="center"/>
    </xf>
    <xf numFmtId="44" fontId="12" fillId="0" borderId="0" xfId="6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3" borderId="7" xfId="0" applyFont="1" applyFill="1" applyBorder="1" applyAlignment="1">
      <alignment horizontal="left" vertical="top" wrapText="1"/>
    </xf>
    <xf numFmtId="0" fontId="5" fillId="0" borderId="0" xfId="0" applyFont="1" applyAlignment="1">
      <alignment vertical="top" wrapText="1"/>
    </xf>
    <xf numFmtId="0" fontId="18" fillId="0" borderId="0" xfId="0" applyFont="1"/>
    <xf numFmtId="0" fontId="18" fillId="0" borderId="0" xfId="0" applyFont="1" applyAlignment="1">
      <alignment horizontal="center" vertical="center"/>
    </xf>
    <xf numFmtId="4" fontId="18" fillId="0" borderId="0" xfId="0" applyNumberFormat="1" applyFont="1"/>
    <xf numFmtId="0" fontId="16" fillId="3" borderId="7" xfId="0" applyFont="1" applyFill="1" applyBorder="1" applyAlignment="1">
      <alignment horizontal="left" vertical="top" wrapText="1"/>
    </xf>
    <xf numFmtId="166" fontId="18" fillId="0" borderId="0" xfId="0" applyNumberFormat="1" applyFont="1"/>
    <xf numFmtId="3" fontId="14" fillId="0" borderId="7" xfId="0" applyNumberFormat="1" applyFont="1" applyBorder="1" applyAlignment="1">
      <alignment horizontal="left" vertical="top" wrapText="1"/>
    </xf>
    <xf numFmtId="0" fontId="18" fillId="0" borderId="18" xfId="0" applyFont="1" applyBorder="1" applyAlignment="1">
      <alignment vertical="center"/>
    </xf>
    <xf numFmtId="0" fontId="14" fillId="7" borderId="7" xfId="0" applyFont="1" applyFill="1" applyBorder="1" applyAlignment="1">
      <alignment horizontal="left" vertical="top" wrapText="1"/>
    </xf>
    <xf numFmtId="0" fontId="18" fillId="8" borderId="0" xfId="0" applyFont="1" applyFill="1" applyAlignment="1">
      <alignment horizontal="center" vertical="center"/>
    </xf>
    <xf numFmtId="0" fontId="18" fillId="8" borderId="0" xfId="0" applyFont="1" applyFill="1"/>
    <xf numFmtId="0" fontId="14" fillId="0" borderId="7" xfId="0" applyFont="1" applyFill="1" applyBorder="1" applyAlignment="1">
      <alignment horizontal="left" vertical="top" wrapText="1"/>
    </xf>
    <xf numFmtId="0" fontId="20" fillId="8" borderId="0" xfId="0" applyFont="1" applyFill="1"/>
    <xf numFmtId="0" fontId="18" fillId="0" borderId="0" xfId="0" applyFont="1" applyFill="1"/>
    <xf numFmtId="0" fontId="15" fillId="0" borderId="7" xfId="0" applyFont="1" applyFill="1" applyBorder="1" applyAlignment="1">
      <alignment horizontal="left" vertical="top" wrapText="1"/>
    </xf>
    <xf numFmtId="0" fontId="15" fillId="3" borderId="7" xfId="0" applyFont="1" applyFill="1" applyBorder="1" applyAlignment="1">
      <alignment horizontal="left" vertical="top" wrapText="1"/>
    </xf>
    <xf numFmtId="0" fontId="18" fillId="3" borderId="0" xfId="0" applyFont="1" applyFill="1"/>
    <xf numFmtId="0" fontId="22" fillId="0" borderId="0" xfId="0" applyFont="1"/>
    <xf numFmtId="0" fontId="21" fillId="0" borderId="0" xfId="0" applyFont="1" applyFill="1"/>
    <xf numFmtId="0" fontId="18" fillId="9" borderId="0" xfId="0" applyFont="1" applyFill="1"/>
    <xf numFmtId="0" fontId="18" fillId="9" borderId="0" xfId="0" applyFont="1" applyFill="1" applyAlignment="1">
      <alignment vertical="center"/>
    </xf>
    <xf numFmtId="0" fontId="13" fillId="0" borderId="7" xfId="0" applyFont="1" applyFill="1" applyBorder="1" applyAlignment="1">
      <alignment horizontal="left" vertical="top" wrapText="1"/>
    </xf>
    <xf numFmtId="0" fontId="22" fillId="8" borderId="0" xfId="0" applyFont="1" applyFill="1"/>
    <xf numFmtId="0" fontId="6" fillId="0" borderId="7" xfId="0" applyFont="1" applyBorder="1" applyAlignment="1">
      <alignment horizontal="left" vertical="top" wrapText="1"/>
    </xf>
    <xf numFmtId="168" fontId="6" fillId="0" borderId="7" xfId="0" applyNumberFormat="1" applyFont="1" applyBorder="1" applyAlignment="1">
      <alignment horizontal="right" vertical="top" wrapText="1"/>
    </xf>
    <xf numFmtId="0" fontId="6" fillId="0" borderId="7" xfId="0" applyFont="1" applyBorder="1" applyAlignment="1">
      <alignment horizontal="right" vertical="top" wrapText="1"/>
    </xf>
    <xf numFmtId="172" fontId="6" fillId="0" borderId="7" xfId="0" applyNumberFormat="1" applyFont="1" applyBorder="1" applyAlignment="1">
      <alignment horizontal="right" vertical="top" wrapText="1"/>
    </xf>
    <xf numFmtId="165" fontId="6" fillId="0" borderId="7" xfId="0" applyNumberFormat="1" applyFont="1" applyBorder="1" applyAlignment="1">
      <alignment horizontal="right" vertical="top" wrapText="1"/>
    </xf>
    <xf numFmtId="0" fontId="5" fillId="2" borderId="7" xfId="0" applyFont="1" applyFill="1" applyBorder="1" applyAlignment="1">
      <alignment horizontal="right" vertical="top" wrapText="1"/>
    </xf>
    <xf numFmtId="175" fontId="5" fillId="2" borderId="7" xfId="0" applyNumberFormat="1" applyFont="1" applyFill="1" applyBorder="1" applyAlignment="1">
      <alignment horizontal="right" vertical="top" wrapText="1"/>
    </xf>
    <xf numFmtId="0" fontId="7" fillId="0" borderId="8" xfId="0" applyFont="1" applyBorder="1" applyAlignment="1">
      <alignment horizontal="left" vertical="top" wrapText="1"/>
    </xf>
    <xf numFmtId="0" fontId="7" fillId="0" borderId="8" xfId="0" applyFont="1" applyBorder="1" applyAlignment="1">
      <alignment horizontal="center" vertical="top" wrapText="1"/>
    </xf>
    <xf numFmtId="0" fontId="7" fillId="0" borderId="8" xfId="0" applyFont="1" applyBorder="1" applyAlignment="1">
      <alignment horizontal="righ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center" vertical="top" wrapText="1"/>
    </xf>
    <xf numFmtId="0" fontId="8" fillId="0" borderId="9" xfId="0" applyFont="1" applyBorder="1" applyAlignment="1">
      <alignment horizontal="right" vertical="top" wrapText="1"/>
    </xf>
    <xf numFmtId="166" fontId="6" fillId="0" borderId="7" xfId="0" applyNumberFormat="1" applyFont="1" applyBorder="1" applyAlignment="1">
      <alignment horizontal="right" vertical="top" wrapText="1"/>
    </xf>
    <xf numFmtId="4" fontId="6" fillId="0" borderId="7" xfId="0" applyNumberFormat="1" applyFont="1" applyBorder="1" applyAlignment="1">
      <alignment horizontal="righ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170" fontId="5" fillId="0" borderId="7" xfId="0" applyNumberFormat="1" applyFont="1" applyBorder="1" applyAlignment="1">
      <alignment horizontal="right" vertical="top" wrapText="1"/>
    </xf>
    <xf numFmtId="169" fontId="6" fillId="0" borderId="7" xfId="0" applyNumberFormat="1" applyFont="1" applyBorder="1" applyAlignment="1">
      <alignment horizontal="right" vertical="top" wrapText="1"/>
    </xf>
    <xf numFmtId="170" fontId="6" fillId="0" borderId="7" xfId="0" applyNumberFormat="1" applyFont="1" applyBorder="1" applyAlignment="1">
      <alignment horizontal="right" vertical="top" wrapText="1"/>
    </xf>
    <xf numFmtId="167" fontId="6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71" fontId="6" fillId="0" borderId="7" xfId="0" applyNumberFormat="1" applyFont="1" applyBorder="1" applyAlignment="1">
      <alignment horizontal="right" vertical="top" wrapText="1"/>
    </xf>
    <xf numFmtId="173" fontId="6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4" fontId="5" fillId="0" borderId="7" xfId="0" applyNumberFormat="1" applyFont="1" applyBorder="1" applyAlignment="1">
      <alignment horizontal="right" vertical="top" wrapText="1"/>
    </xf>
    <xf numFmtId="174" fontId="6" fillId="0" borderId="7" xfId="0" applyNumberFormat="1" applyFont="1" applyBorder="1" applyAlignment="1">
      <alignment horizontal="right" vertical="top" wrapText="1"/>
    </xf>
    <xf numFmtId="174" fontId="5" fillId="0" borderId="7" xfId="0" applyNumberFormat="1" applyFont="1" applyBorder="1" applyAlignment="1">
      <alignment horizontal="right" vertical="top" wrapText="1"/>
    </xf>
    <xf numFmtId="164" fontId="6" fillId="0" borderId="7" xfId="0" applyNumberFormat="1" applyFont="1" applyBorder="1" applyAlignment="1">
      <alignment horizontal="right" vertical="top" wrapText="1"/>
    </xf>
    <xf numFmtId="0" fontId="4" fillId="0" borderId="8" xfId="0" applyFont="1" applyBorder="1" applyAlignment="1">
      <alignment horizontal="left" vertical="top" wrapText="1"/>
    </xf>
    <xf numFmtId="0" fontId="5" fillId="2" borderId="7" xfId="0" applyFont="1" applyFill="1" applyBorder="1" applyAlignment="1">
      <alignment horizontal="left" vertical="top" wrapText="1"/>
    </xf>
    <xf numFmtId="164" fontId="5" fillId="2" borderId="7" xfId="0" applyNumberFormat="1" applyFont="1" applyFill="1" applyBorder="1" applyAlignment="1">
      <alignment horizontal="right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top" wrapText="1"/>
    </xf>
    <xf numFmtId="0" fontId="4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top" wrapText="1"/>
    </xf>
    <xf numFmtId="0" fontId="18" fillId="8" borderId="18" xfId="0" applyFont="1" applyFill="1" applyBorder="1" applyAlignment="1">
      <alignment horizontal="left" vertical="center"/>
    </xf>
    <xf numFmtId="4" fontId="14" fillId="0" borderId="7" xfId="0" applyNumberFormat="1" applyFont="1" applyBorder="1" applyAlignment="1">
      <alignment horizontal="right" vertical="top" wrapText="1"/>
    </xf>
    <xf numFmtId="0" fontId="14" fillId="0" borderId="7" xfId="0" applyFont="1" applyBorder="1" applyAlignment="1">
      <alignment horizontal="right" vertical="top" wrapText="1"/>
    </xf>
    <xf numFmtId="0" fontId="15" fillId="0" borderId="7" xfId="0" applyFont="1" applyBorder="1" applyAlignment="1">
      <alignment horizontal="left" vertical="top" wrapText="1"/>
    </xf>
    <xf numFmtId="172" fontId="14" fillId="0" borderId="7" xfId="0" applyNumberFormat="1" applyFont="1" applyBorder="1" applyAlignment="1">
      <alignment horizontal="right" vertical="top" wrapText="1"/>
    </xf>
    <xf numFmtId="0" fontId="14" fillId="0" borderId="7" xfId="0" applyFont="1" applyBorder="1" applyAlignment="1">
      <alignment horizontal="left" vertical="top" wrapText="1"/>
    </xf>
    <xf numFmtId="166" fontId="14" fillId="0" borderId="7" xfId="0" applyNumberFormat="1" applyFont="1" applyBorder="1" applyAlignment="1">
      <alignment horizontal="right" vertical="top" wrapText="1"/>
    </xf>
    <xf numFmtId="169" fontId="14" fillId="0" borderId="7" xfId="0" applyNumberFormat="1" applyFont="1" applyBorder="1" applyAlignment="1">
      <alignment horizontal="right" vertical="top" wrapText="1"/>
    </xf>
    <xf numFmtId="170" fontId="14" fillId="0" borderId="7" xfId="0" applyNumberFormat="1" applyFont="1" applyBorder="1" applyAlignment="1">
      <alignment horizontal="right" vertical="top" wrapText="1"/>
    </xf>
    <xf numFmtId="0" fontId="18" fillId="0" borderId="18" xfId="0" applyFont="1" applyBorder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18" fillId="0" borderId="18" xfId="0" applyFont="1" applyBorder="1" applyAlignment="1">
      <alignment horizontal="center" wrapText="1"/>
    </xf>
    <xf numFmtId="0" fontId="18" fillId="0" borderId="0" xfId="0" applyFont="1" applyAlignment="1">
      <alignment horizont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18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172" fontId="15" fillId="4" borderId="7" xfId="0" applyNumberFormat="1" applyFont="1" applyFill="1" applyBorder="1" applyAlignment="1">
      <alignment horizontal="right" vertical="top" wrapText="1"/>
    </xf>
    <xf numFmtId="0" fontId="15" fillId="4" borderId="7" xfId="0" applyFont="1" applyFill="1" applyBorder="1" applyAlignment="1">
      <alignment horizontal="right" vertical="top" wrapText="1"/>
    </xf>
    <xf numFmtId="0" fontId="15" fillId="4" borderId="10" xfId="0" applyFont="1" applyFill="1" applyBorder="1" applyAlignment="1">
      <alignment horizontal="right" vertical="top" wrapText="1"/>
    </xf>
    <xf numFmtId="0" fontId="15" fillId="4" borderId="12" xfId="0" applyFont="1" applyFill="1" applyBorder="1" applyAlignment="1">
      <alignment horizontal="right" vertical="top" wrapText="1"/>
    </xf>
    <xf numFmtId="168" fontId="15" fillId="4" borderId="7" xfId="0" applyNumberFormat="1" applyFont="1" applyFill="1" applyBorder="1" applyAlignment="1">
      <alignment horizontal="right" vertical="top" wrapText="1"/>
    </xf>
    <xf numFmtId="0" fontId="15" fillId="4" borderId="11" xfId="0" applyFont="1" applyFill="1" applyBorder="1" applyAlignment="1">
      <alignment horizontal="right" vertical="top" wrapText="1"/>
    </xf>
    <xf numFmtId="165" fontId="15" fillId="4" borderId="7" xfId="0" applyNumberFormat="1" applyFont="1" applyFill="1" applyBorder="1" applyAlignment="1">
      <alignment horizontal="right" vertical="top" wrapText="1"/>
    </xf>
    <xf numFmtId="0" fontId="15" fillId="0" borderId="10" xfId="0" applyFont="1" applyFill="1" applyBorder="1" applyAlignment="1">
      <alignment horizontal="left" vertical="top" wrapText="1"/>
    </xf>
    <xf numFmtId="0" fontId="15" fillId="0" borderId="11" xfId="0" applyFont="1" applyFill="1" applyBorder="1" applyAlignment="1">
      <alignment horizontal="left" vertical="top" wrapText="1"/>
    </xf>
    <xf numFmtId="0" fontId="15" fillId="0" borderId="12" xfId="0" applyFont="1" applyFill="1" applyBorder="1" applyAlignment="1">
      <alignment horizontal="left" vertical="top" wrapText="1"/>
    </xf>
    <xf numFmtId="0" fontId="15" fillId="0" borderId="10" xfId="0" applyFont="1" applyBorder="1" applyAlignment="1">
      <alignment horizontal="left" vertical="top" wrapText="1"/>
    </xf>
    <xf numFmtId="0" fontId="15" fillId="0" borderId="11" xfId="0" applyFont="1" applyBorder="1" applyAlignment="1">
      <alignment horizontal="left" vertical="top" wrapText="1"/>
    </xf>
    <xf numFmtId="0" fontId="15" fillId="0" borderId="12" xfId="0" applyFont="1" applyBorder="1" applyAlignment="1">
      <alignment horizontal="left" vertical="top" wrapText="1"/>
    </xf>
    <xf numFmtId="172" fontId="14" fillId="0" borderId="10" xfId="0" applyNumberFormat="1" applyFont="1" applyBorder="1" applyAlignment="1">
      <alignment horizontal="right" vertical="top" wrapText="1"/>
    </xf>
    <xf numFmtId="172" fontId="14" fillId="0" borderId="11" xfId="0" applyNumberFormat="1" applyFont="1" applyBorder="1" applyAlignment="1">
      <alignment horizontal="right" vertical="top" wrapText="1"/>
    </xf>
    <xf numFmtId="172" fontId="14" fillId="0" borderId="12" xfId="0" applyNumberFormat="1" applyFont="1" applyBorder="1" applyAlignment="1">
      <alignment horizontal="right" vertical="top" wrapText="1"/>
    </xf>
    <xf numFmtId="165" fontId="14" fillId="0" borderId="7" xfId="0" applyNumberFormat="1" applyFont="1" applyBorder="1" applyAlignment="1">
      <alignment horizontal="right" vertical="top" wrapText="1"/>
    </xf>
    <xf numFmtId="0" fontId="15" fillId="9" borderId="7" xfId="0" applyFont="1" applyFill="1" applyBorder="1" applyAlignment="1">
      <alignment horizontal="left" vertical="top" wrapText="1"/>
    </xf>
    <xf numFmtId="171" fontId="15" fillId="0" borderId="7" xfId="0" applyNumberFormat="1" applyFont="1" applyBorder="1" applyAlignment="1">
      <alignment horizontal="right" vertical="top" wrapText="1"/>
    </xf>
    <xf numFmtId="0" fontId="15" fillId="0" borderId="7" xfId="0" applyFont="1" applyBorder="1" applyAlignment="1">
      <alignment horizontal="right" vertical="top" wrapText="1"/>
    </xf>
    <xf numFmtId="172" fontId="15" fillId="0" borderId="7" xfId="0" applyNumberFormat="1" applyFont="1" applyBorder="1" applyAlignment="1">
      <alignment horizontal="right" vertical="top" wrapText="1"/>
    </xf>
    <xf numFmtId="4" fontId="15" fillId="0" borderId="7" xfId="0" applyNumberFormat="1" applyFont="1" applyBorder="1" applyAlignment="1">
      <alignment horizontal="right" vertical="top" wrapText="1"/>
    </xf>
    <xf numFmtId="168" fontId="14" fillId="0" borderId="7" xfId="0" applyNumberFormat="1" applyFont="1" applyBorder="1" applyAlignment="1">
      <alignment horizontal="right" vertical="top" wrapText="1"/>
    </xf>
    <xf numFmtId="171" fontId="14" fillId="0" borderId="7" xfId="0" applyNumberFormat="1" applyFont="1" applyBorder="1" applyAlignment="1">
      <alignment horizontal="right" vertical="top" wrapText="1"/>
    </xf>
    <xf numFmtId="0" fontId="13" fillId="6" borderId="7" xfId="0" applyFont="1" applyFill="1" applyBorder="1" applyAlignment="1">
      <alignment horizontal="left" vertical="top" wrapText="1"/>
    </xf>
    <xf numFmtId="0" fontId="13" fillId="6" borderId="7" xfId="0" applyFont="1" applyFill="1" applyBorder="1" applyAlignment="1">
      <alignment horizontal="right" vertical="top" wrapText="1"/>
    </xf>
    <xf numFmtId="165" fontId="13" fillId="6" borderId="7" xfId="0" applyNumberFormat="1" applyFont="1" applyFill="1" applyBorder="1" applyAlignment="1">
      <alignment horizontal="right" vertical="top" wrapText="1"/>
    </xf>
    <xf numFmtId="0" fontId="13" fillId="5" borderId="7" xfId="0" applyFont="1" applyFill="1" applyBorder="1" applyAlignment="1">
      <alignment horizontal="left" vertical="top" wrapText="1"/>
    </xf>
    <xf numFmtId="173" fontId="15" fillId="0" borderId="7" xfId="0" applyNumberFormat="1" applyFont="1" applyBorder="1" applyAlignment="1">
      <alignment horizontal="right" vertical="top" wrapText="1"/>
    </xf>
    <xf numFmtId="0" fontId="15" fillId="0" borderId="0" xfId="0" applyFont="1" applyAlignment="1">
      <alignment horizontal="left" vertical="top" wrapText="1"/>
    </xf>
    <xf numFmtId="171" fontId="14" fillId="0" borderId="0" xfId="0" applyNumberFormat="1" applyFont="1" applyAlignment="1">
      <alignment horizontal="right" vertical="top" wrapText="1"/>
    </xf>
    <xf numFmtId="0" fontId="14" fillId="0" borderId="0" xfId="0" applyFont="1" applyAlignment="1">
      <alignment horizontal="right" vertical="top" wrapText="1"/>
    </xf>
    <xf numFmtId="165" fontId="14" fillId="0" borderId="0" xfId="0" applyNumberFormat="1" applyFont="1" applyAlignment="1">
      <alignment horizontal="right" vertical="top" wrapText="1"/>
    </xf>
    <xf numFmtId="0" fontId="14" fillId="0" borderId="10" xfId="0" applyFont="1" applyBorder="1" applyAlignment="1">
      <alignment horizontal="left" vertical="top" wrapText="1"/>
    </xf>
    <xf numFmtId="0" fontId="14" fillId="0" borderId="11" xfId="0" applyFont="1" applyBorder="1" applyAlignment="1">
      <alignment horizontal="left" vertical="top" wrapText="1"/>
    </xf>
    <xf numFmtId="0" fontId="14" fillId="0" borderId="12" xfId="0" applyFont="1" applyBorder="1" applyAlignment="1">
      <alignment horizontal="left" vertical="top" wrapText="1"/>
    </xf>
    <xf numFmtId="168" fontId="14" fillId="0" borderId="10" xfId="0" applyNumberFormat="1" applyFont="1" applyBorder="1" applyAlignment="1">
      <alignment horizontal="right" vertical="top" wrapText="1"/>
    </xf>
    <xf numFmtId="168" fontId="14" fillId="0" borderId="11" xfId="0" applyNumberFormat="1" applyFont="1" applyBorder="1" applyAlignment="1">
      <alignment horizontal="right" vertical="top" wrapText="1"/>
    </xf>
    <xf numFmtId="168" fontId="14" fillId="0" borderId="12" xfId="0" applyNumberFormat="1" applyFont="1" applyBorder="1" applyAlignment="1">
      <alignment horizontal="right" vertical="top" wrapText="1"/>
    </xf>
    <xf numFmtId="168" fontId="15" fillId="0" borderId="7" xfId="0" applyNumberFormat="1" applyFont="1" applyBorder="1" applyAlignment="1">
      <alignment horizontal="right" vertical="top" wrapText="1"/>
    </xf>
    <xf numFmtId="0" fontId="17" fillId="0" borderId="7" xfId="0" applyFont="1" applyBorder="1" applyAlignment="1">
      <alignment horizontal="right" vertical="top" wrapText="1"/>
    </xf>
    <xf numFmtId="170" fontId="17" fillId="0" borderId="7" xfId="0" applyNumberFormat="1" applyFont="1" applyBorder="1" applyAlignment="1">
      <alignment horizontal="right" vertical="top" wrapText="1"/>
    </xf>
    <xf numFmtId="165" fontId="14" fillId="0" borderId="10" xfId="0" applyNumberFormat="1" applyFont="1" applyBorder="1" applyAlignment="1">
      <alignment horizontal="right" vertical="top" wrapText="1"/>
    </xf>
    <xf numFmtId="165" fontId="14" fillId="0" borderId="11" xfId="0" applyNumberFormat="1" applyFont="1" applyBorder="1" applyAlignment="1">
      <alignment horizontal="right" vertical="top" wrapText="1"/>
    </xf>
    <xf numFmtId="165" fontId="14" fillId="0" borderId="12" xfId="0" applyNumberFormat="1" applyFont="1" applyBorder="1" applyAlignment="1">
      <alignment horizontal="right" vertical="top" wrapText="1"/>
    </xf>
    <xf numFmtId="169" fontId="15" fillId="0" borderId="7" xfId="0" applyNumberFormat="1" applyFont="1" applyBorder="1" applyAlignment="1">
      <alignment horizontal="right" vertical="top" wrapText="1"/>
    </xf>
    <xf numFmtId="166" fontId="15" fillId="0" borderId="7" xfId="0" applyNumberFormat="1" applyFont="1" applyBorder="1" applyAlignment="1">
      <alignment horizontal="right" vertical="top" wrapText="1"/>
    </xf>
    <xf numFmtId="170" fontId="15" fillId="0" borderId="7" xfId="0" applyNumberFormat="1" applyFont="1" applyBorder="1" applyAlignment="1">
      <alignment horizontal="right" vertical="top" wrapText="1"/>
    </xf>
    <xf numFmtId="164" fontId="13" fillId="6" borderId="7" xfId="0" applyNumberFormat="1" applyFont="1" applyFill="1" applyBorder="1" applyAlignment="1">
      <alignment horizontal="right" vertical="top" wrapText="1"/>
    </xf>
    <xf numFmtId="0" fontId="15" fillId="0" borderId="7" xfId="0" applyFont="1" applyBorder="1" applyAlignment="1">
      <alignment horizontal="center" vertical="top" wrapText="1"/>
    </xf>
    <xf numFmtId="0" fontId="13" fillId="5" borderId="7" xfId="0" applyFont="1" applyFill="1" applyBorder="1" applyAlignment="1">
      <alignment horizontal="right" vertical="top" wrapText="1"/>
    </xf>
    <xf numFmtId="164" fontId="13" fillId="5" borderId="7" xfId="0" applyNumberFormat="1" applyFont="1" applyFill="1" applyBorder="1" applyAlignment="1">
      <alignment horizontal="right" vertical="top" wrapText="1"/>
    </xf>
    <xf numFmtId="170" fontId="13" fillId="5" borderId="7" xfId="0" applyNumberFormat="1" applyFont="1" applyFill="1" applyBorder="1" applyAlignment="1">
      <alignment horizontal="right" vertical="top" wrapText="1"/>
    </xf>
    <xf numFmtId="0" fontId="14" fillId="4" borderId="7" xfId="0" applyFont="1" applyFill="1" applyBorder="1" applyAlignment="1">
      <alignment horizontal="left" vertical="top" wrapText="1"/>
    </xf>
    <xf numFmtId="171" fontId="14" fillId="3" borderId="7" xfId="0" applyNumberFormat="1" applyFont="1" applyFill="1" applyBorder="1" applyAlignment="1">
      <alignment horizontal="right" vertical="top" wrapText="1"/>
    </xf>
    <xf numFmtId="0" fontId="14" fillId="3" borderId="7" xfId="0" applyFont="1" applyFill="1" applyBorder="1" applyAlignment="1">
      <alignment horizontal="right" vertical="top" wrapText="1"/>
    </xf>
    <xf numFmtId="171" fontId="14" fillId="4" borderId="7" xfId="0" applyNumberFormat="1" applyFont="1" applyFill="1" applyBorder="1" applyAlignment="1">
      <alignment horizontal="right" vertical="top" wrapText="1"/>
    </xf>
    <xf numFmtId="0" fontId="14" fillId="4" borderId="7" xfId="0" applyFont="1" applyFill="1" applyBorder="1" applyAlignment="1">
      <alignment horizontal="right" vertical="top" wrapText="1"/>
    </xf>
    <xf numFmtId="170" fontId="14" fillId="4" borderId="7" xfId="0" applyNumberFormat="1" applyFont="1" applyFill="1" applyBorder="1" applyAlignment="1">
      <alignment horizontal="right" vertical="top" wrapText="1"/>
    </xf>
    <xf numFmtId="165" fontId="13" fillId="5" borderId="7" xfId="0" applyNumberFormat="1" applyFont="1" applyFill="1" applyBorder="1" applyAlignment="1">
      <alignment horizontal="right" vertical="top" wrapText="1"/>
    </xf>
    <xf numFmtId="0" fontId="5" fillId="6" borderId="7" xfId="0" applyFont="1" applyFill="1" applyBorder="1" applyAlignment="1">
      <alignment horizontal="left" vertical="top" wrapText="1"/>
    </xf>
    <xf numFmtId="0" fontId="5" fillId="6" borderId="7" xfId="0" applyFont="1" applyFill="1" applyBorder="1" applyAlignment="1">
      <alignment horizontal="right" vertical="top" wrapText="1"/>
    </xf>
    <xf numFmtId="170" fontId="13" fillId="6" borderId="7" xfId="0" applyNumberFormat="1" applyFont="1" applyFill="1" applyBorder="1" applyAlignment="1">
      <alignment horizontal="right" vertical="top" wrapText="1"/>
    </xf>
    <xf numFmtId="167" fontId="14" fillId="0" borderId="7" xfId="0" applyNumberFormat="1" applyFont="1" applyBorder="1" applyAlignment="1">
      <alignment horizontal="right" vertical="top" wrapText="1"/>
    </xf>
    <xf numFmtId="0" fontId="13" fillId="3" borderId="7" xfId="0" applyFont="1" applyFill="1" applyBorder="1" applyAlignment="1">
      <alignment horizontal="left" vertical="top" wrapText="1"/>
    </xf>
    <xf numFmtId="0" fontId="13" fillId="3" borderId="7" xfId="0" applyFont="1" applyFill="1" applyBorder="1" applyAlignment="1">
      <alignment horizontal="right" vertical="top" wrapText="1"/>
    </xf>
    <xf numFmtId="170" fontId="13" fillId="3" borderId="7" xfId="0" applyNumberFormat="1" applyFont="1" applyFill="1" applyBorder="1" applyAlignment="1">
      <alignment horizontal="right" vertical="top" wrapText="1"/>
    </xf>
    <xf numFmtId="0" fontId="16" fillId="3" borderId="7" xfId="0" applyFont="1" applyFill="1" applyBorder="1" applyAlignment="1">
      <alignment horizontal="left" vertical="top" wrapText="1"/>
    </xf>
    <xf numFmtId="168" fontId="16" fillId="3" borderId="7" xfId="0" applyNumberFormat="1" applyFont="1" applyFill="1" applyBorder="1" applyAlignment="1">
      <alignment horizontal="right" vertical="top" wrapText="1"/>
    </xf>
    <xf numFmtId="0" fontId="16" fillId="3" borderId="7" xfId="0" applyFont="1" applyFill="1" applyBorder="1" applyAlignment="1">
      <alignment horizontal="right" vertical="top" wrapText="1"/>
    </xf>
    <xf numFmtId="166" fontId="16" fillId="3" borderId="7" xfId="0" applyNumberFormat="1" applyFont="1" applyFill="1" applyBorder="1" applyAlignment="1">
      <alignment horizontal="right" vertical="top" wrapText="1"/>
    </xf>
    <xf numFmtId="165" fontId="16" fillId="3" borderId="7" xfId="0" applyNumberFormat="1" applyFont="1" applyFill="1" applyBorder="1" applyAlignment="1">
      <alignment horizontal="right" vertical="top" wrapText="1"/>
    </xf>
    <xf numFmtId="173" fontId="14" fillId="0" borderId="7" xfId="0" applyNumberFormat="1" applyFont="1" applyBorder="1" applyAlignment="1">
      <alignment horizontal="right" vertical="top" wrapText="1"/>
    </xf>
    <xf numFmtId="0" fontId="14" fillId="3" borderId="7" xfId="0" applyFont="1" applyFill="1" applyBorder="1" applyAlignment="1">
      <alignment horizontal="left" vertical="top" wrapText="1"/>
    </xf>
    <xf numFmtId="172" fontId="14" fillId="3" borderId="7" xfId="0" applyNumberFormat="1" applyFont="1" applyFill="1" applyBorder="1" applyAlignment="1">
      <alignment horizontal="right" vertical="top" wrapText="1"/>
    </xf>
    <xf numFmtId="168" fontId="14" fillId="3" borderId="7" xfId="0" applyNumberFormat="1" applyFont="1" applyFill="1" applyBorder="1" applyAlignment="1">
      <alignment horizontal="right" vertical="top" wrapText="1"/>
    </xf>
    <xf numFmtId="165" fontId="14" fillId="3" borderId="7" xfId="0" applyNumberFormat="1" applyFont="1" applyFill="1" applyBorder="1" applyAlignment="1">
      <alignment horizontal="right" vertical="top" wrapText="1"/>
    </xf>
    <xf numFmtId="0" fontId="15" fillId="0" borderId="7" xfId="0" applyFont="1" applyFill="1" applyBorder="1" applyAlignment="1">
      <alignment horizontal="left" vertical="top" wrapText="1"/>
    </xf>
    <xf numFmtId="0" fontId="19" fillId="7" borderId="7" xfId="0" applyFont="1" applyFill="1" applyBorder="1" applyAlignment="1">
      <alignment horizontal="left" vertical="top" wrapText="1"/>
    </xf>
    <xf numFmtId="0" fontId="15" fillId="7" borderId="7" xfId="0" applyFont="1" applyFill="1" applyBorder="1" applyAlignment="1">
      <alignment horizontal="left" vertical="top" wrapText="1"/>
    </xf>
    <xf numFmtId="172" fontId="14" fillId="7" borderId="7" xfId="0" applyNumberFormat="1" applyFont="1" applyFill="1" applyBorder="1" applyAlignment="1">
      <alignment horizontal="right" vertical="top" wrapText="1"/>
    </xf>
    <xf numFmtId="0" fontId="14" fillId="7" borderId="7" xfId="0" applyFont="1" applyFill="1" applyBorder="1" applyAlignment="1">
      <alignment horizontal="right" vertical="top" wrapText="1"/>
    </xf>
    <xf numFmtId="0" fontId="14" fillId="7" borderId="10" xfId="0" applyFont="1" applyFill="1" applyBorder="1" applyAlignment="1">
      <alignment horizontal="right" vertical="top" wrapText="1"/>
    </xf>
    <xf numFmtId="0" fontId="14" fillId="7" borderId="12" xfId="0" applyFont="1" applyFill="1" applyBorder="1" applyAlignment="1">
      <alignment horizontal="right" vertical="top" wrapText="1"/>
    </xf>
    <xf numFmtId="168" fontId="14" fillId="7" borderId="7" xfId="0" applyNumberFormat="1" applyFont="1" applyFill="1" applyBorder="1" applyAlignment="1">
      <alignment horizontal="right" vertical="top" wrapText="1"/>
    </xf>
    <xf numFmtId="0" fontId="14" fillId="7" borderId="11" xfId="0" applyFont="1" applyFill="1" applyBorder="1" applyAlignment="1">
      <alignment horizontal="right" vertical="top" wrapText="1"/>
    </xf>
    <xf numFmtId="165" fontId="14" fillId="7" borderId="7" xfId="0" applyNumberFormat="1" applyFont="1" applyFill="1" applyBorder="1" applyAlignment="1">
      <alignment horizontal="right" vertical="top" wrapText="1"/>
    </xf>
    <xf numFmtId="0" fontId="15" fillId="0" borderId="10" xfId="0" applyFont="1" applyBorder="1" applyAlignment="1">
      <alignment horizontal="right" vertical="top" wrapText="1"/>
    </xf>
    <xf numFmtId="0" fontId="15" fillId="0" borderId="12" xfId="0" applyFont="1" applyBorder="1" applyAlignment="1">
      <alignment horizontal="right" vertical="top" wrapText="1"/>
    </xf>
    <xf numFmtId="0" fontId="15" fillId="0" borderId="11" xfId="0" applyFont="1" applyBorder="1" applyAlignment="1">
      <alignment horizontal="right" vertical="top" wrapText="1"/>
    </xf>
    <xf numFmtId="165" fontId="15" fillId="8" borderId="7" xfId="0" applyNumberFormat="1" applyFont="1" applyFill="1" applyBorder="1" applyAlignment="1">
      <alignment horizontal="right" vertical="top" wrapText="1"/>
    </xf>
    <xf numFmtId="0" fontId="15" fillId="8" borderId="7" xfId="0" applyFont="1" applyFill="1" applyBorder="1" applyAlignment="1">
      <alignment horizontal="right" vertical="top" wrapText="1"/>
    </xf>
    <xf numFmtId="0" fontId="13" fillId="2" borderId="7" xfId="0" applyFont="1" applyFill="1" applyBorder="1" applyAlignment="1">
      <alignment horizontal="right" vertical="top" wrapText="1"/>
    </xf>
    <xf numFmtId="164" fontId="13" fillId="2" borderId="7" xfId="0" applyNumberFormat="1" applyFont="1" applyFill="1" applyBorder="1" applyAlignment="1">
      <alignment horizontal="right" vertical="top" wrapText="1"/>
    </xf>
    <xf numFmtId="0" fontId="14" fillId="0" borderId="8" xfId="0" applyFont="1" applyBorder="1" applyAlignment="1">
      <alignment horizontal="left" vertical="top" wrapText="1"/>
    </xf>
    <xf numFmtId="0" fontId="13" fillId="2" borderId="10" xfId="0" applyFont="1" applyFill="1" applyBorder="1" applyAlignment="1">
      <alignment horizontal="left" vertical="top" wrapText="1"/>
    </xf>
    <xf numFmtId="0" fontId="13" fillId="2" borderId="11" xfId="0" applyFont="1" applyFill="1" applyBorder="1" applyAlignment="1">
      <alignment horizontal="left" vertical="top" wrapText="1"/>
    </xf>
    <xf numFmtId="0" fontId="13" fillId="2" borderId="12" xfId="0" applyFont="1" applyFill="1" applyBorder="1" applyAlignment="1">
      <alignment horizontal="left" vertical="top" wrapText="1"/>
    </xf>
    <xf numFmtId="0" fontId="13" fillId="2" borderId="10" xfId="0" applyFont="1" applyFill="1" applyBorder="1" applyAlignment="1">
      <alignment horizontal="right" vertical="top" wrapText="1"/>
    </xf>
    <xf numFmtId="0" fontId="13" fillId="2" borderId="11" xfId="0" applyFont="1" applyFill="1" applyBorder="1" applyAlignment="1">
      <alignment horizontal="right" vertical="top" wrapText="1"/>
    </xf>
    <xf numFmtId="0" fontId="13" fillId="2" borderId="12" xfId="0" applyFont="1" applyFill="1" applyBorder="1" applyAlignment="1">
      <alignment horizontal="right" vertical="top" wrapText="1"/>
    </xf>
    <xf numFmtId="4" fontId="13" fillId="5" borderId="7" xfId="0" applyNumberFormat="1" applyFont="1" applyFill="1" applyBorder="1" applyAlignment="1">
      <alignment horizontal="right" vertical="top" wrapText="1"/>
    </xf>
    <xf numFmtId="0" fontId="13" fillId="0" borderId="7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right" vertical="top" wrapText="1"/>
    </xf>
    <xf numFmtId="165" fontId="13" fillId="0" borderId="7" xfId="0" applyNumberFormat="1" applyFont="1" applyBorder="1" applyAlignment="1">
      <alignment horizontal="right" vertical="top" wrapText="1"/>
    </xf>
    <xf numFmtId="0" fontId="15" fillId="0" borderId="9" xfId="0" applyFont="1" applyBorder="1" applyAlignment="1">
      <alignment horizontal="center"/>
    </xf>
    <xf numFmtId="0" fontId="15" fillId="0" borderId="13" xfId="0" applyFont="1" applyBorder="1" applyAlignment="1">
      <alignment horizontal="left" vertical="top" wrapText="1"/>
    </xf>
    <xf numFmtId="0" fontId="15" fillId="0" borderId="9" xfId="0" applyFont="1" applyBorder="1" applyAlignment="1">
      <alignment horizontal="left" vertical="top" wrapText="1"/>
    </xf>
    <xf numFmtId="0" fontId="15" fillId="0" borderId="13" xfId="0" applyFont="1" applyBorder="1" applyAlignment="1">
      <alignment horizontal="center"/>
    </xf>
    <xf numFmtId="170" fontId="14" fillId="0" borderId="10" xfId="0" applyNumberFormat="1" applyFont="1" applyBorder="1" applyAlignment="1">
      <alignment horizontal="center" vertical="top" wrapText="1"/>
    </xf>
    <xf numFmtId="170" fontId="14" fillId="0" borderId="11" xfId="0" applyNumberFormat="1" applyFont="1" applyBorder="1" applyAlignment="1">
      <alignment horizontal="center" vertical="top" wrapText="1"/>
    </xf>
    <xf numFmtId="170" fontId="14" fillId="0" borderId="12" xfId="0" applyNumberFormat="1" applyFont="1" applyBorder="1" applyAlignment="1">
      <alignment horizontal="center" vertical="top" wrapText="1"/>
    </xf>
    <xf numFmtId="0" fontId="15" fillId="0" borderId="7" xfId="0" applyFont="1" applyBorder="1" applyAlignment="1">
      <alignment horizontal="center" vertical="center" wrapText="1"/>
    </xf>
    <xf numFmtId="0" fontId="13" fillId="5" borderId="10" xfId="0" applyFont="1" applyFill="1" applyBorder="1" applyAlignment="1">
      <alignment horizontal="left" vertical="top" wrapText="1"/>
    </xf>
    <xf numFmtId="0" fontId="13" fillId="5" borderId="11" xfId="0" applyFont="1" applyFill="1" applyBorder="1" applyAlignment="1">
      <alignment horizontal="left" vertical="top" wrapText="1"/>
    </xf>
    <xf numFmtId="0" fontId="13" fillId="5" borderId="12" xfId="0" applyFont="1" applyFill="1" applyBorder="1" applyAlignment="1">
      <alignment horizontal="left" vertical="top" wrapText="1"/>
    </xf>
    <xf numFmtId="0" fontId="13" fillId="5" borderId="10" xfId="0" applyFont="1" applyFill="1" applyBorder="1" applyAlignment="1">
      <alignment horizontal="right" vertical="top" wrapText="1"/>
    </xf>
    <xf numFmtId="0" fontId="13" fillId="5" borderId="11" xfId="0" applyFont="1" applyFill="1" applyBorder="1" applyAlignment="1">
      <alignment horizontal="right" vertical="top" wrapText="1"/>
    </xf>
    <xf numFmtId="0" fontId="13" fillId="5" borderId="12" xfId="0" applyFont="1" applyFill="1" applyBorder="1" applyAlignment="1">
      <alignment horizontal="right" vertical="top" wrapText="1"/>
    </xf>
    <xf numFmtId="170" fontId="13" fillId="5" borderId="10" xfId="0" applyNumberFormat="1" applyFont="1" applyFill="1" applyBorder="1" applyAlignment="1">
      <alignment horizontal="right" vertical="top" wrapText="1"/>
    </xf>
    <xf numFmtId="170" fontId="13" fillId="5" borderId="11" xfId="0" applyNumberFormat="1" applyFont="1" applyFill="1" applyBorder="1" applyAlignment="1">
      <alignment horizontal="right" vertical="top" wrapText="1"/>
    </xf>
    <xf numFmtId="170" fontId="13" fillId="5" borderId="12" xfId="0" applyNumberFormat="1" applyFont="1" applyFill="1" applyBorder="1" applyAlignment="1">
      <alignment horizontal="right" vertical="top" wrapText="1"/>
    </xf>
    <xf numFmtId="164" fontId="15" fillId="0" borderId="7" xfId="0" applyNumberFormat="1" applyFont="1" applyBorder="1" applyAlignment="1">
      <alignment horizontal="right" vertical="top" wrapText="1"/>
    </xf>
    <xf numFmtId="164" fontId="14" fillId="0" borderId="7" xfId="0" applyNumberFormat="1" applyFont="1" applyBorder="1" applyAlignment="1">
      <alignment horizontal="right" vertical="top" wrapText="1"/>
    </xf>
    <xf numFmtId="170" fontId="13" fillId="0" borderId="7" xfId="0" applyNumberFormat="1" applyFont="1" applyBorder="1" applyAlignment="1">
      <alignment horizontal="right" vertical="top" wrapText="1"/>
    </xf>
    <xf numFmtId="166" fontId="14" fillId="3" borderId="7" xfId="0" applyNumberFormat="1" applyFont="1" applyFill="1" applyBorder="1" applyAlignment="1">
      <alignment horizontal="right" vertical="top" wrapText="1"/>
    </xf>
    <xf numFmtId="173" fontId="14" fillId="3" borderId="7" xfId="0" applyNumberFormat="1" applyFont="1" applyFill="1" applyBorder="1" applyAlignment="1">
      <alignment horizontal="right" vertical="top" wrapText="1"/>
    </xf>
    <xf numFmtId="165" fontId="13" fillId="3" borderId="7" xfId="0" applyNumberFormat="1" applyFont="1" applyFill="1" applyBorder="1" applyAlignment="1">
      <alignment horizontal="right" vertical="top" wrapText="1"/>
    </xf>
    <xf numFmtId="164" fontId="17" fillId="0" borderId="7" xfId="0" applyNumberFormat="1" applyFont="1" applyBorder="1" applyAlignment="1">
      <alignment horizontal="right" vertical="top" wrapText="1"/>
    </xf>
    <xf numFmtId="0" fontId="14" fillId="0" borderId="5" xfId="0" applyFont="1" applyBorder="1" applyAlignment="1">
      <alignment horizontal="left" vertical="top" wrapText="1"/>
    </xf>
    <xf numFmtId="171" fontId="14" fillId="3" borderId="5" xfId="0" applyNumberFormat="1" applyFont="1" applyFill="1" applyBorder="1" applyAlignment="1">
      <alignment horizontal="right" vertical="top" wrapText="1"/>
    </xf>
    <xf numFmtId="0" fontId="14" fillId="3" borderId="5" xfId="0" applyFont="1" applyFill="1" applyBorder="1" applyAlignment="1">
      <alignment horizontal="right" vertical="top" wrapText="1"/>
    </xf>
    <xf numFmtId="171" fontId="14" fillId="0" borderId="5" xfId="0" applyNumberFormat="1" applyFont="1" applyBorder="1" applyAlignment="1">
      <alignment horizontal="right" vertical="top" wrapText="1"/>
    </xf>
    <xf numFmtId="0" fontId="14" fillId="0" borderId="5" xfId="0" applyFont="1" applyBorder="1" applyAlignment="1">
      <alignment horizontal="right" vertical="top" wrapText="1"/>
    </xf>
    <xf numFmtId="165" fontId="14" fillId="0" borderId="5" xfId="0" applyNumberFormat="1" applyFont="1" applyBorder="1" applyAlignment="1">
      <alignment horizontal="right" vertical="top" wrapText="1"/>
    </xf>
    <xf numFmtId="4" fontId="13" fillId="0" borderId="7" xfId="0" applyNumberFormat="1" applyFont="1" applyBorder="1" applyAlignment="1">
      <alignment horizontal="right" vertical="top" wrapText="1"/>
    </xf>
    <xf numFmtId="0" fontId="13" fillId="5" borderId="1" xfId="0" applyFont="1" applyFill="1" applyBorder="1" applyAlignment="1">
      <alignment horizontal="left" vertical="top" wrapText="1"/>
    </xf>
    <xf numFmtId="0" fontId="13" fillId="5" borderId="1" xfId="0" applyFont="1" applyFill="1" applyBorder="1" applyAlignment="1">
      <alignment horizontal="right" vertical="top" wrapText="1"/>
    </xf>
    <xf numFmtId="165" fontId="13" fillId="5" borderId="1" xfId="0" applyNumberFormat="1" applyFont="1" applyFill="1" applyBorder="1" applyAlignment="1">
      <alignment horizontal="right" vertical="top" wrapText="1"/>
    </xf>
    <xf numFmtId="171" fontId="14" fillId="8" borderId="7" xfId="0" applyNumberFormat="1" applyFont="1" applyFill="1" applyBorder="1" applyAlignment="1">
      <alignment horizontal="right" vertical="top" wrapText="1"/>
    </xf>
    <xf numFmtId="0" fontId="14" fillId="8" borderId="7" xfId="0" applyFont="1" applyFill="1" applyBorder="1" applyAlignment="1">
      <alignment horizontal="right" vertical="top" wrapText="1"/>
    </xf>
    <xf numFmtId="166" fontId="14" fillId="4" borderId="7" xfId="0" applyNumberFormat="1" applyFont="1" applyFill="1" applyBorder="1" applyAlignment="1">
      <alignment horizontal="right" vertical="top" wrapText="1"/>
    </xf>
    <xf numFmtId="167" fontId="14" fillId="4" borderId="7" xfId="0" applyNumberFormat="1" applyFont="1" applyFill="1" applyBorder="1" applyAlignment="1">
      <alignment horizontal="right" vertical="top" wrapText="1"/>
    </xf>
    <xf numFmtId="165" fontId="14" fillId="4" borderId="7" xfId="0" applyNumberFormat="1" applyFont="1" applyFill="1" applyBorder="1" applyAlignment="1">
      <alignment horizontal="right" vertical="top" wrapText="1"/>
    </xf>
    <xf numFmtId="170" fontId="13" fillId="5" borderId="1" xfId="0" applyNumberFormat="1" applyFont="1" applyFill="1" applyBorder="1" applyAlignment="1">
      <alignment horizontal="right" vertical="top" wrapText="1"/>
    </xf>
    <xf numFmtId="0" fontId="14" fillId="0" borderId="0" xfId="0" applyFont="1" applyAlignment="1">
      <alignment horizontal="left" vertical="top" wrapText="1"/>
    </xf>
    <xf numFmtId="0" fontId="13" fillId="5" borderId="5" xfId="0" applyFont="1" applyFill="1" applyBorder="1" applyAlignment="1">
      <alignment horizontal="left" vertical="top" wrapText="1"/>
    </xf>
    <xf numFmtId="0" fontId="13" fillId="5" borderId="5" xfId="0" applyFont="1" applyFill="1" applyBorder="1" applyAlignment="1">
      <alignment horizontal="right" vertical="top" wrapText="1"/>
    </xf>
    <xf numFmtId="165" fontId="13" fillId="5" borderId="5" xfId="0" applyNumberFormat="1" applyFont="1" applyFill="1" applyBorder="1" applyAlignment="1">
      <alignment horizontal="right" vertical="top" wrapText="1"/>
    </xf>
    <xf numFmtId="172" fontId="14" fillId="0" borderId="0" xfId="0" applyNumberFormat="1" applyFont="1" applyAlignment="1">
      <alignment horizontal="right" vertical="top" wrapText="1"/>
    </xf>
    <xf numFmtId="174" fontId="13" fillId="5" borderId="7" xfId="0" applyNumberFormat="1" applyFont="1" applyFill="1" applyBorder="1" applyAlignment="1">
      <alignment horizontal="right" vertical="top" wrapText="1"/>
    </xf>
    <xf numFmtId="174" fontId="14" fillId="0" borderId="7" xfId="0" applyNumberFormat="1" applyFont="1" applyBorder="1" applyAlignment="1">
      <alignment horizontal="right" vertical="top" wrapText="1"/>
    </xf>
    <xf numFmtId="0" fontId="15" fillId="0" borderId="14" xfId="0" applyFont="1" applyBorder="1" applyAlignment="1">
      <alignment horizontal="left" vertical="top" wrapText="1"/>
    </xf>
    <xf numFmtId="175" fontId="13" fillId="2" borderId="7" xfId="0" applyNumberFormat="1" applyFont="1" applyFill="1" applyBorder="1" applyAlignment="1">
      <alignment horizontal="right" vertical="top" wrapText="1"/>
    </xf>
    <xf numFmtId="0" fontId="17" fillId="8" borderId="7" xfId="0" applyFont="1" applyFill="1" applyBorder="1" applyAlignment="1">
      <alignment horizontal="right" vertical="top" wrapText="1"/>
    </xf>
    <xf numFmtId="0" fontId="13" fillId="0" borderId="10" xfId="0" applyFont="1" applyBorder="1" applyAlignment="1">
      <alignment horizontal="left" vertical="top" wrapText="1"/>
    </xf>
    <xf numFmtId="0" fontId="13" fillId="0" borderId="11" xfId="0" applyFont="1" applyBorder="1" applyAlignment="1">
      <alignment horizontal="left" vertical="top" wrapText="1"/>
    </xf>
    <xf numFmtId="0" fontId="13" fillId="0" borderId="12" xfId="0" applyFont="1" applyBorder="1" applyAlignment="1">
      <alignment horizontal="left" vertical="top" wrapText="1"/>
    </xf>
    <xf numFmtId="0" fontId="13" fillId="0" borderId="10" xfId="0" applyFont="1" applyBorder="1" applyAlignment="1">
      <alignment horizontal="right" vertical="top" wrapText="1"/>
    </xf>
    <xf numFmtId="0" fontId="13" fillId="0" borderId="11" xfId="0" applyFont="1" applyBorder="1" applyAlignment="1">
      <alignment horizontal="right" vertical="top" wrapText="1"/>
    </xf>
    <xf numFmtId="0" fontId="13" fillId="0" borderId="12" xfId="0" applyFont="1" applyBorder="1" applyAlignment="1">
      <alignment horizontal="right" vertical="top" wrapText="1"/>
    </xf>
    <xf numFmtId="170" fontId="13" fillId="0" borderId="10" xfId="0" applyNumberFormat="1" applyFont="1" applyBorder="1" applyAlignment="1">
      <alignment horizontal="right" vertical="top" wrapText="1"/>
    </xf>
    <xf numFmtId="170" fontId="13" fillId="0" borderId="11" xfId="0" applyNumberFormat="1" applyFont="1" applyBorder="1" applyAlignment="1">
      <alignment horizontal="right" vertical="top" wrapText="1"/>
    </xf>
    <xf numFmtId="170" fontId="13" fillId="0" borderId="12" xfId="0" applyNumberFormat="1" applyFont="1" applyBorder="1" applyAlignment="1">
      <alignment horizontal="right" vertical="top" wrapText="1"/>
    </xf>
    <xf numFmtId="0" fontId="14" fillId="0" borderId="7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left" vertical="center" wrapText="1"/>
    </xf>
    <xf numFmtId="171" fontId="15" fillId="0" borderId="7" xfId="0" applyNumberFormat="1" applyFont="1" applyBorder="1" applyAlignment="1">
      <alignment horizontal="center" vertical="center" wrapText="1"/>
    </xf>
    <xf numFmtId="172" fontId="15" fillId="0" borderId="7" xfId="0" applyNumberFormat="1" applyFont="1" applyBorder="1" applyAlignment="1">
      <alignment horizontal="center" vertical="center" wrapText="1"/>
    </xf>
    <xf numFmtId="4" fontId="15" fillId="0" borderId="7" xfId="0" applyNumberFormat="1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5" fillId="4" borderId="7" xfId="0" applyFont="1" applyFill="1" applyBorder="1" applyAlignment="1">
      <alignment horizontal="left" vertical="top" wrapText="1"/>
    </xf>
    <xf numFmtId="0" fontId="15" fillId="0" borderId="15" xfId="0" applyFont="1" applyFill="1" applyBorder="1" applyAlignment="1">
      <alignment horizontal="left" vertical="top" wrapText="1"/>
    </xf>
    <xf numFmtId="0" fontId="15" fillId="0" borderId="16" xfId="0" applyFont="1" applyFill="1" applyBorder="1" applyAlignment="1">
      <alignment horizontal="left" vertical="top" wrapText="1"/>
    </xf>
    <xf numFmtId="0" fontId="15" fillId="0" borderId="17" xfId="0" applyFont="1" applyFill="1" applyBorder="1" applyAlignment="1">
      <alignment horizontal="left" vertical="top" wrapText="1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Moeda" xfId="6" builtinId="4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9525</xdr:rowOff>
    </xdr:from>
    <xdr:to>
      <xdr:col>3</xdr:col>
      <xdr:colOff>104775</xdr:colOff>
      <xdr:row>1</xdr:row>
      <xdr:rowOff>247650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9525"/>
          <a:ext cx="1171575" cy="495300"/>
        </a:xfrm>
        <a:prstGeom prst="rect">
          <a:avLst/>
        </a:prstGeom>
        <a:noFill/>
        <a:ln w="9525" cmpd="sng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9525</xdr:rowOff>
    </xdr:from>
    <xdr:to>
      <xdr:col>2</xdr:col>
      <xdr:colOff>199800</xdr:colOff>
      <xdr:row>1</xdr:row>
      <xdr:rowOff>192232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24D488-9E60-42E0-B4A7-107C187483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9525"/>
          <a:ext cx="1209675" cy="497205"/>
        </a:xfrm>
        <a:prstGeom prst="rect">
          <a:avLst/>
        </a:prstGeom>
        <a:noFill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83"/>
  <sheetViews>
    <sheetView topLeftCell="A399" zoomScale="160" zoomScaleNormal="160" workbookViewId="0">
      <selection activeCell="AC434" sqref="AC434:AE434"/>
    </sheetView>
  </sheetViews>
  <sheetFormatPr defaultColWidth="9.140625" defaultRowHeight="12.75" x14ac:dyDescent="0.2"/>
  <cols>
    <col min="1" max="1" width="10.28515625" customWidth="1"/>
    <col min="2" max="2" width="1.140625" customWidth="1"/>
    <col min="3" max="3" width="7.42578125" customWidth="1"/>
    <col min="4" max="4" width="6.5703125" customWidth="1"/>
    <col min="5" max="5" width="4.5703125" customWidth="1"/>
    <col min="6" max="6" width="2.7109375" customWidth="1"/>
    <col min="7" max="7" width="1.140625" customWidth="1"/>
    <col min="8" max="8" width="3.7109375" customWidth="1"/>
    <col min="9" max="9" width="2.7109375" customWidth="1"/>
    <col min="10" max="10" width="1.140625" customWidth="1"/>
    <col min="11" max="11" width="5.5703125" customWidth="1"/>
    <col min="12" max="12" width="1.85546875" customWidth="1"/>
    <col min="13" max="13" width="1.140625" customWidth="1"/>
    <col min="14" max="15" width="1.85546875" customWidth="1"/>
    <col min="16" max="16" width="3.7109375" customWidth="1"/>
    <col min="17" max="17" width="2.7109375" customWidth="1"/>
    <col min="18" max="18" width="1.140625" customWidth="1"/>
    <col min="19" max="19" width="1.85546875" customWidth="1"/>
    <col min="20" max="20" width="1.140625" customWidth="1"/>
    <col min="21" max="21" width="1.85546875" customWidth="1"/>
    <col min="22" max="22" width="3.7109375" customWidth="1"/>
    <col min="23" max="24" width="1.140625" customWidth="1"/>
    <col min="25" max="25" width="2.7109375" customWidth="1"/>
    <col min="26" max="26" width="1.140625" customWidth="1"/>
    <col min="27" max="27" width="3.7109375" customWidth="1"/>
    <col min="28" max="28" width="2.7109375" customWidth="1"/>
    <col min="29" max="29" width="1.140625" customWidth="1"/>
    <col min="30" max="30" width="1.85546875" customWidth="1"/>
    <col min="31" max="31" width="9.42578125" customWidth="1"/>
  </cols>
  <sheetData>
    <row r="1" spans="1:31" ht="20.65" customHeight="1" x14ac:dyDescent="0.2">
      <c r="A1" s="85"/>
      <c r="B1" s="85"/>
      <c r="C1" s="85"/>
      <c r="D1" s="85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</row>
    <row r="2" spans="1:31" ht="20.85" customHeight="1" x14ac:dyDescent="0.2">
      <c r="A2" s="86"/>
      <c r="B2" s="86"/>
      <c r="C2" s="86"/>
      <c r="D2" s="86"/>
      <c r="E2" s="88" t="s">
        <v>0</v>
      </c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</row>
    <row r="3" spans="1:31" ht="20.65" customHeight="1" x14ac:dyDescent="0.2">
      <c r="A3" s="89"/>
      <c r="B3" s="89"/>
      <c r="C3" s="89"/>
      <c r="D3" s="89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</row>
    <row r="4" spans="1:31" ht="10.9" customHeight="1" x14ac:dyDescent="0.2">
      <c r="A4" s="91"/>
      <c r="B4" s="91"/>
      <c r="C4" s="91"/>
      <c r="D4" s="91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</row>
    <row r="5" spans="1:31" ht="9.75" customHeight="1" x14ac:dyDescent="0.2">
      <c r="A5" s="82"/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</row>
    <row r="6" spans="1:31" ht="9.75" customHeight="1" x14ac:dyDescent="0.2">
      <c r="A6" s="58" t="s">
        <v>1</v>
      </c>
      <c r="B6" s="58"/>
      <c r="C6" s="58"/>
      <c r="D6" s="53" t="s">
        <v>2</v>
      </c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</row>
    <row r="7" spans="1:31" ht="9.75" customHeight="1" x14ac:dyDescent="0.2">
      <c r="A7" s="58" t="s">
        <v>3</v>
      </c>
      <c r="B7" s="58"/>
      <c r="C7" s="58"/>
      <c r="D7" s="53" t="s">
        <v>49</v>
      </c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</row>
    <row r="8" spans="1:31" ht="9.75" customHeight="1" x14ac:dyDescent="0.2">
      <c r="A8" s="58" t="s">
        <v>4</v>
      </c>
      <c r="B8" s="58"/>
      <c r="C8" s="58"/>
      <c r="D8" s="53" t="s">
        <v>5</v>
      </c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</row>
    <row r="9" spans="1:31" ht="19.149999999999999" customHeight="1" x14ac:dyDescent="0.2">
      <c r="A9" s="58" t="s">
        <v>6</v>
      </c>
      <c r="B9" s="58"/>
      <c r="C9" s="58"/>
      <c r="D9" s="53" t="s">
        <v>7</v>
      </c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</row>
    <row r="10" spans="1:31" ht="9.75" customHeight="1" x14ac:dyDescent="0.2">
      <c r="A10" s="58" t="s">
        <v>8</v>
      </c>
      <c r="B10" s="58"/>
      <c r="C10" s="58"/>
      <c r="D10" s="53" t="s">
        <v>9</v>
      </c>
      <c r="E10" s="53"/>
      <c r="F10" s="53"/>
      <c r="G10" s="53"/>
      <c r="H10" s="53"/>
      <c r="I10" s="53"/>
      <c r="J10" s="53"/>
      <c r="K10" s="53"/>
      <c r="L10" s="58" t="s">
        <v>10</v>
      </c>
      <c r="M10" s="58"/>
      <c r="N10" s="58"/>
      <c r="O10" s="58"/>
      <c r="P10" s="58"/>
      <c r="Q10" s="58"/>
      <c r="R10" s="58"/>
      <c r="S10" s="58"/>
      <c r="T10" s="58"/>
      <c r="U10" s="58"/>
      <c r="V10" s="53" t="s">
        <v>11</v>
      </c>
      <c r="W10" s="53"/>
      <c r="X10" s="53"/>
      <c r="Y10" s="53"/>
      <c r="Z10" s="53"/>
      <c r="AA10" s="53"/>
      <c r="AB10" s="53"/>
      <c r="AC10" s="53"/>
      <c r="AD10" s="53"/>
      <c r="AE10" s="53"/>
    </row>
    <row r="11" spans="1:31" ht="9.75" customHeight="1" x14ac:dyDescent="0.2">
      <c r="A11" s="58" t="s">
        <v>12</v>
      </c>
      <c r="B11" s="58"/>
      <c r="C11" s="58"/>
      <c r="D11" s="53" t="s">
        <v>13</v>
      </c>
      <c r="E11" s="53"/>
      <c r="F11" s="53"/>
      <c r="G11" s="53"/>
      <c r="H11" s="53"/>
      <c r="I11" s="53"/>
      <c r="J11" s="53"/>
      <c r="K11" s="53"/>
      <c r="L11" s="58" t="s">
        <v>14</v>
      </c>
      <c r="M11" s="58"/>
      <c r="N11" s="58"/>
      <c r="O11" s="58"/>
      <c r="P11" s="58"/>
      <c r="Q11" s="58"/>
      <c r="R11" s="58"/>
      <c r="S11" s="58"/>
      <c r="T11" s="58"/>
      <c r="U11" s="58"/>
      <c r="V11" s="53" t="s">
        <v>13</v>
      </c>
      <c r="W11" s="53"/>
      <c r="X11" s="53"/>
      <c r="Y11" s="53"/>
      <c r="Z11" s="53"/>
      <c r="AA11" s="53"/>
      <c r="AB11" s="53"/>
      <c r="AC11" s="53"/>
      <c r="AD11" s="53"/>
      <c r="AE11" s="53"/>
    </row>
    <row r="12" spans="1:31" ht="10.9" customHeight="1" x14ac:dyDescent="0.2">
      <c r="A12" s="58" t="s">
        <v>15</v>
      </c>
      <c r="B12" s="58"/>
      <c r="C12" s="58"/>
      <c r="D12" s="53" t="s">
        <v>16</v>
      </c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</row>
    <row r="13" spans="1:31" ht="9.75" customHeight="1" x14ac:dyDescent="0.2">
      <c r="A13" s="82"/>
      <c r="B13" s="82"/>
      <c r="C13" s="82"/>
      <c r="D13" s="82"/>
      <c r="E13" s="82"/>
      <c r="F13" s="82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</row>
    <row r="14" spans="1:31" ht="9.75" customHeight="1" x14ac:dyDescent="0.2">
      <c r="A14" s="2" t="s">
        <v>17</v>
      </c>
      <c r="B14" s="83" t="s">
        <v>18</v>
      </c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 t="s">
        <v>19</v>
      </c>
      <c r="O14" s="83"/>
      <c r="P14" s="83"/>
      <c r="Q14" s="58" t="s">
        <v>20</v>
      </c>
      <c r="R14" s="58"/>
      <c r="S14" s="58"/>
      <c r="T14" s="58"/>
      <c r="U14" s="58"/>
      <c r="V14" s="58"/>
      <c r="W14" s="58" t="s">
        <v>21</v>
      </c>
      <c r="X14" s="58"/>
      <c r="Y14" s="58"/>
      <c r="Z14" s="58"/>
      <c r="AA14" s="58"/>
      <c r="AB14" s="58"/>
      <c r="AC14" s="58" t="s">
        <v>22</v>
      </c>
      <c r="AD14" s="58"/>
      <c r="AE14" s="58"/>
    </row>
    <row r="15" spans="1:31" ht="9.75" customHeight="1" x14ac:dyDescent="0.2">
      <c r="A15" s="3" t="s">
        <v>23</v>
      </c>
      <c r="B15" s="68" t="s">
        <v>50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70">
        <v>395793.17</v>
      </c>
      <c r="AD15" s="69"/>
      <c r="AE15" s="69"/>
    </row>
    <row r="16" spans="1:31" ht="9.75" customHeight="1" x14ac:dyDescent="0.2">
      <c r="A16" s="3" t="s">
        <v>24</v>
      </c>
      <c r="B16" s="68" t="s">
        <v>50</v>
      </c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70">
        <v>395793.17</v>
      </c>
      <c r="AD16" s="69"/>
      <c r="AE16" s="69"/>
    </row>
    <row r="17" spans="1:31" ht="9.6" customHeight="1" x14ac:dyDescent="0.2">
      <c r="A17" s="3" t="s">
        <v>25</v>
      </c>
      <c r="B17" s="68" t="s">
        <v>51</v>
      </c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74">
        <v>14300</v>
      </c>
      <c r="AD17" s="69"/>
      <c r="AE17" s="69"/>
    </row>
    <row r="18" spans="1:31" ht="9.75" customHeight="1" x14ac:dyDescent="0.2">
      <c r="A18" s="1" t="s">
        <v>26</v>
      </c>
      <c r="B18" s="53" t="s">
        <v>52</v>
      </c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 t="s">
        <v>27</v>
      </c>
      <c r="O18" s="53"/>
      <c r="P18" s="53"/>
      <c r="Q18" s="66">
        <v>1</v>
      </c>
      <c r="R18" s="55"/>
      <c r="S18" s="55"/>
      <c r="T18" s="55"/>
      <c r="U18" s="55"/>
      <c r="V18" s="55"/>
      <c r="W18" s="54">
        <v>2000</v>
      </c>
      <c r="X18" s="55"/>
      <c r="Y18" s="55"/>
      <c r="Z18" s="55"/>
      <c r="AA18" s="55"/>
      <c r="AB18" s="55"/>
      <c r="AC18" s="67">
        <v>2000</v>
      </c>
      <c r="AD18" s="55"/>
      <c r="AE18" s="55"/>
    </row>
    <row r="19" spans="1:31" ht="9.6" customHeight="1" x14ac:dyDescent="0.2">
      <c r="A19" s="1" t="s">
        <v>53</v>
      </c>
      <c r="B19" s="53" t="s">
        <v>54</v>
      </c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 t="s">
        <v>27</v>
      </c>
      <c r="O19" s="53"/>
      <c r="P19" s="53"/>
      <c r="Q19" s="66">
        <v>1</v>
      </c>
      <c r="R19" s="55"/>
      <c r="S19" s="55"/>
      <c r="T19" s="55"/>
      <c r="U19" s="55"/>
      <c r="V19" s="55"/>
      <c r="W19" s="73">
        <v>10000</v>
      </c>
      <c r="X19" s="55"/>
      <c r="Y19" s="55"/>
      <c r="Z19" s="55"/>
      <c r="AA19" s="55"/>
      <c r="AB19" s="55"/>
      <c r="AC19" s="57">
        <v>10000</v>
      </c>
      <c r="AD19" s="55"/>
      <c r="AE19" s="55"/>
    </row>
    <row r="20" spans="1:31" ht="9.6" customHeight="1" x14ac:dyDescent="0.2">
      <c r="A20" s="1" t="s">
        <v>55</v>
      </c>
      <c r="B20" s="53" t="s">
        <v>56</v>
      </c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 t="s">
        <v>27</v>
      </c>
      <c r="O20" s="53"/>
      <c r="P20" s="53"/>
      <c r="Q20" s="66">
        <v>1</v>
      </c>
      <c r="R20" s="55"/>
      <c r="S20" s="55"/>
      <c r="T20" s="55"/>
      <c r="U20" s="55"/>
      <c r="V20" s="55"/>
      <c r="W20" s="54">
        <v>2300</v>
      </c>
      <c r="X20" s="55"/>
      <c r="Y20" s="55"/>
      <c r="Z20" s="55"/>
      <c r="AA20" s="55"/>
      <c r="AB20" s="55"/>
      <c r="AC20" s="67">
        <v>2300</v>
      </c>
      <c r="AD20" s="55"/>
      <c r="AE20" s="55"/>
    </row>
    <row r="21" spans="1:31" ht="9.6" customHeight="1" x14ac:dyDescent="0.2">
      <c r="A21" s="3" t="s">
        <v>28</v>
      </c>
      <c r="B21" s="68" t="s">
        <v>57</v>
      </c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70">
        <v>278470</v>
      </c>
      <c r="AD21" s="69"/>
      <c r="AE21" s="69"/>
    </row>
    <row r="22" spans="1:31" ht="9.6" customHeight="1" x14ac:dyDescent="0.2">
      <c r="A22" s="1" t="s">
        <v>29</v>
      </c>
      <c r="B22" s="53" t="s">
        <v>58</v>
      </c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 t="s">
        <v>27</v>
      </c>
      <c r="O22" s="53"/>
      <c r="P22" s="53"/>
      <c r="Q22" s="66">
        <v>1</v>
      </c>
      <c r="R22" s="55"/>
      <c r="S22" s="55"/>
      <c r="T22" s="55"/>
      <c r="U22" s="55"/>
      <c r="V22" s="55"/>
      <c r="W22" s="73">
        <v>44900</v>
      </c>
      <c r="X22" s="55"/>
      <c r="Y22" s="55"/>
      <c r="Z22" s="55"/>
      <c r="AA22" s="55"/>
      <c r="AB22" s="55"/>
      <c r="AC22" s="57">
        <v>44900</v>
      </c>
      <c r="AD22" s="55"/>
      <c r="AE22" s="55"/>
    </row>
    <row r="23" spans="1:31" ht="9.6" customHeight="1" x14ac:dyDescent="0.2">
      <c r="A23" s="1" t="s">
        <v>32</v>
      </c>
      <c r="B23" s="53" t="s">
        <v>59</v>
      </c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 t="s">
        <v>27</v>
      </c>
      <c r="O23" s="53"/>
      <c r="P23" s="53"/>
      <c r="Q23" s="66">
        <v>1</v>
      </c>
      <c r="R23" s="55"/>
      <c r="S23" s="55"/>
      <c r="T23" s="55"/>
      <c r="U23" s="55"/>
      <c r="V23" s="55"/>
      <c r="W23" s="73">
        <v>14900</v>
      </c>
      <c r="X23" s="55"/>
      <c r="Y23" s="55"/>
      <c r="Z23" s="55"/>
      <c r="AA23" s="55"/>
      <c r="AB23" s="55"/>
      <c r="AC23" s="57">
        <v>14900</v>
      </c>
      <c r="AD23" s="55"/>
      <c r="AE23" s="55"/>
    </row>
    <row r="24" spans="1:31" ht="9.6" customHeight="1" x14ac:dyDescent="0.2">
      <c r="A24" s="1" t="s">
        <v>33</v>
      </c>
      <c r="B24" s="53" t="s">
        <v>60</v>
      </c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 t="s">
        <v>27</v>
      </c>
      <c r="O24" s="53"/>
      <c r="P24" s="53"/>
      <c r="Q24" s="66">
        <v>1</v>
      </c>
      <c r="R24" s="55"/>
      <c r="S24" s="55"/>
      <c r="T24" s="55"/>
      <c r="U24" s="55"/>
      <c r="V24" s="55"/>
      <c r="W24" s="73">
        <v>20000</v>
      </c>
      <c r="X24" s="55"/>
      <c r="Y24" s="55"/>
      <c r="Z24" s="55"/>
      <c r="AA24" s="55"/>
      <c r="AB24" s="55"/>
      <c r="AC24" s="57">
        <v>20000</v>
      </c>
      <c r="AD24" s="55"/>
      <c r="AE24" s="55"/>
    </row>
    <row r="25" spans="1:31" ht="9.6" customHeight="1" x14ac:dyDescent="0.2">
      <c r="A25" s="1" t="s">
        <v>34</v>
      </c>
      <c r="B25" s="53" t="s">
        <v>61</v>
      </c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 t="s">
        <v>27</v>
      </c>
      <c r="O25" s="53"/>
      <c r="P25" s="53"/>
      <c r="Q25" s="66">
        <v>1</v>
      </c>
      <c r="R25" s="55"/>
      <c r="S25" s="55"/>
      <c r="T25" s="55"/>
      <c r="U25" s="55"/>
      <c r="V25" s="55"/>
      <c r="W25" s="73">
        <v>37700</v>
      </c>
      <c r="X25" s="55"/>
      <c r="Y25" s="55"/>
      <c r="Z25" s="55"/>
      <c r="AA25" s="55"/>
      <c r="AB25" s="55"/>
      <c r="AC25" s="57">
        <v>37700</v>
      </c>
      <c r="AD25" s="55"/>
      <c r="AE25" s="55"/>
    </row>
    <row r="26" spans="1:31" ht="9.75" customHeight="1" x14ac:dyDescent="0.2">
      <c r="A26" s="1" t="s">
        <v>36</v>
      </c>
      <c r="B26" s="53" t="s">
        <v>62</v>
      </c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 t="s">
        <v>27</v>
      </c>
      <c r="O26" s="53"/>
      <c r="P26" s="53"/>
      <c r="Q26" s="66">
        <v>1</v>
      </c>
      <c r="R26" s="55"/>
      <c r="S26" s="55"/>
      <c r="T26" s="55"/>
      <c r="U26" s="55"/>
      <c r="V26" s="55"/>
      <c r="W26" s="54">
        <v>8200</v>
      </c>
      <c r="X26" s="55"/>
      <c r="Y26" s="55"/>
      <c r="Z26" s="55"/>
      <c r="AA26" s="55"/>
      <c r="AB26" s="55"/>
      <c r="AC26" s="67">
        <v>8200</v>
      </c>
      <c r="AD26" s="55"/>
      <c r="AE26" s="55"/>
    </row>
    <row r="27" spans="1:31" ht="9.6" customHeight="1" x14ac:dyDescent="0.2">
      <c r="A27" s="1" t="s">
        <v>38</v>
      </c>
      <c r="B27" s="53" t="s">
        <v>63</v>
      </c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 t="s">
        <v>27</v>
      </c>
      <c r="O27" s="53"/>
      <c r="P27" s="53"/>
      <c r="Q27" s="66">
        <v>1</v>
      </c>
      <c r="R27" s="55"/>
      <c r="S27" s="55"/>
      <c r="T27" s="55"/>
      <c r="U27" s="55"/>
      <c r="V27" s="55"/>
      <c r="W27" s="73">
        <v>20000</v>
      </c>
      <c r="X27" s="55"/>
      <c r="Y27" s="55"/>
      <c r="Z27" s="55"/>
      <c r="AA27" s="55"/>
      <c r="AB27" s="55"/>
      <c r="AC27" s="57">
        <v>20000</v>
      </c>
      <c r="AD27" s="55"/>
      <c r="AE27" s="55"/>
    </row>
    <row r="28" spans="1:31" ht="9.6" customHeight="1" x14ac:dyDescent="0.2">
      <c r="A28" s="1" t="s">
        <v>40</v>
      </c>
      <c r="B28" s="53" t="s">
        <v>64</v>
      </c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 t="s">
        <v>27</v>
      </c>
      <c r="O28" s="53"/>
      <c r="P28" s="53"/>
      <c r="Q28" s="66">
        <v>1</v>
      </c>
      <c r="R28" s="55"/>
      <c r="S28" s="55"/>
      <c r="T28" s="55"/>
      <c r="U28" s="55"/>
      <c r="V28" s="55"/>
      <c r="W28" s="73">
        <v>25000</v>
      </c>
      <c r="X28" s="55"/>
      <c r="Y28" s="55"/>
      <c r="Z28" s="55"/>
      <c r="AA28" s="55"/>
      <c r="AB28" s="55"/>
      <c r="AC28" s="57">
        <v>25000</v>
      </c>
      <c r="AD28" s="55"/>
      <c r="AE28" s="55"/>
    </row>
    <row r="29" spans="1:31" ht="9.6" customHeight="1" x14ac:dyDescent="0.2">
      <c r="A29" s="1" t="s">
        <v>65</v>
      </c>
      <c r="B29" s="53" t="s">
        <v>66</v>
      </c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 t="s">
        <v>27</v>
      </c>
      <c r="O29" s="53"/>
      <c r="P29" s="53"/>
      <c r="Q29" s="66">
        <v>1</v>
      </c>
      <c r="R29" s="55"/>
      <c r="S29" s="55"/>
      <c r="T29" s="55"/>
      <c r="U29" s="55"/>
      <c r="V29" s="55"/>
      <c r="W29" s="73">
        <v>20000</v>
      </c>
      <c r="X29" s="55"/>
      <c r="Y29" s="55"/>
      <c r="Z29" s="55"/>
      <c r="AA29" s="55"/>
      <c r="AB29" s="55"/>
      <c r="AC29" s="57">
        <v>20000</v>
      </c>
      <c r="AD29" s="55"/>
      <c r="AE29" s="55"/>
    </row>
    <row r="30" spans="1:31" ht="9.6" customHeight="1" x14ac:dyDescent="0.2">
      <c r="A30" s="1" t="s">
        <v>67</v>
      </c>
      <c r="B30" s="53" t="s">
        <v>68</v>
      </c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 t="s">
        <v>27</v>
      </c>
      <c r="O30" s="53"/>
      <c r="P30" s="53"/>
      <c r="Q30" s="66">
        <v>1</v>
      </c>
      <c r="R30" s="55"/>
      <c r="S30" s="55"/>
      <c r="T30" s="55"/>
      <c r="U30" s="55"/>
      <c r="V30" s="55"/>
      <c r="W30" s="54">
        <v>6500</v>
      </c>
      <c r="X30" s="55"/>
      <c r="Y30" s="55"/>
      <c r="Z30" s="55"/>
      <c r="AA30" s="55"/>
      <c r="AB30" s="55"/>
      <c r="AC30" s="67">
        <v>6500</v>
      </c>
      <c r="AD30" s="55"/>
      <c r="AE30" s="55"/>
    </row>
    <row r="31" spans="1:31" ht="9.6" customHeight="1" x14ac:dyDescent="0.2">
      <c r="A31" s="1" t="s">
        <v>69</v>
      </c>
      <c r="B31" s="53" t="s">
        <v>70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 t="s">
        <v>27</v>
      </c>
      <c r="O31" s="53"/>
      <c r="P31" s="53"/>
      <c r="Q31" s="66">
        <v>1</v>
      </c>
      <c r="R31" s="55"/>
      <c r="S31" s="55"/>
      <c r="T31" s="55"/>
      <c r="U31" s="55"/>
      <c r="V31" s="55"/>
      <c r="W31" s="73">
        <v>13470</v>
      </c>
      <c r="X31" s="55"/>
      <c r="Y31" s="55"/>
      <c r="Z31" s="55"/>
      <c r="AA31" s="55"/>
      <c r="AB31" s="55"/>
      <c r="AC31" s="57">
        <v>13470</v>
      </c>
      <c r="AD31" s="55"/>
      <c r="AE31" s="55"/>
    </row>
    <row r="32" spans="1:31" ht="9.6" customHeight="1" x14ac:dyDescent="0.2">
      <c r="A32" s="1" t="s">
        <v>71</v>
      </c>
      <c r="B32" s="53" t="s">
        <v>72</v>
      </c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 t="s">
        <v>27</v>
      </c>
      <c r="O32" s="53"/>
      <c r="P32" s="53"/>
      <c r="Q32" s="66">
        <v>1</v>
      </c>
      <c r="R32" s="55"/>
      <c r="S32" s="55"/>
      <c r="T32" s="55"/>
      <c r="U32" s="55"/>
      <c r="V32" s="55"/>
      <c r="W32" s="73">
        <v>30000</v>
      </c>
      <c r="X32" s="55"/>
      <c r="Y32" s="55"/>
      <c r="Z32" s="55"/>
      <c r="AA32" s="55"/>
      <c r="AB32" s="55"/>
      <c r="AC32" s="57">
        <v>30000</v>
      </c>
      <c r="AD32" s="55"/>
      <c r="AE32" s="55"/>
    </row>
    <row r="33" spans="1:31" ht="9.75" customHeight="1" x14ac:dyDescent="0.2">
      <c r="A33" s="1" t="s">
        <v>73</v>
      </c>
      <c r="B33" s="53" t="s">
        <v>74</v>
      </c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 t="s">
        <v>27</v>
      </c>
      <c r="O33" s="53"/>
      <c r="P33" s="53"/>
      <c r="Q33" s="66">
        <v>1</v>
      </c>
      <c r="R33" s="55"/>
      <c r="S33" s="55"/>
      <c r="T33" s="55"/>
      <c r="U33" s="55"/>
      <c r="V33" s="55"/>
      <c r="W33" s="54">
        <v>7000</v>
      </c>
      <c r="X33" s="55"/>
      <c r="Y33" s="55"/>
      <c r="Z33" s="55"/>
      <c r="AA33" s="55"/>
      <c r="AB33" s="55"/>
      <c r="AC33" s="67">
        <v>7000</v>
      </c>
      <c r="AD33" s="55"/>
      <c r="AE33" s="55"/>
    </row>
    <row r="34" spans="1:31" ht="9.6" customHeight="1" x14ac:dyDescent="0.2">
      <c r="A34" s="1" t="s">
        <v>75</v>
      </c>
      <c r="B34" s="53" t="s">
        <v>76</v>
      </c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 t="s">
        <v>27</v>
      </c>
      <c r="O34" s="53"/>
      <c r="P34" s="53"/>
      <c r="Q34" s="66">
        <v>1</v>
      </c>
      <c r="R34" s="55"/>
      <c r="S34" s="55"/>
      <c r="T34" s="55"/>
      <c r="U34" s="55"/>
      <c r="V34" s="55"/>
      <c r="W34" s="73">
        <v>18000</v>
      </c>
      <c r="X34" s="55"/>
      <c r="Y34" s="55"/>
      <c r="Z34" s="55"/>
      <c r="AA34" s="55"/>
      <c r="AB34" s="55"/>
      <c r="AC34" s="57">
        <v>18000</v>
      </c>
      <c r="AD34" s="55"/>
      <c r="AE34" s="55"/>
    </row>
    <row r="35" spans="1:31" ht="9.75" customHeight="1" x14ac:dyDescent="0.2">
      <c r="A35" s="1" t="s">
        <v>77</v>
      </c>
      <c r="B35" s="53" t="s">
        <v>78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 t="s">
        <v>27</v>
      </c>
      <c r="O35" s="53"/>
      <c r="P35" s="53"/>
      <c r="Q35" s="66">
        <v>1</v>
      </c>
      <c r="R35" s="55"/>
      <c r="S35" s="55"/>
      <c r="T35" s="55"/>
      <c r="U35" s="55"/>
      <c r="V35" s="55"/>
      <c r="W35" s="73">
        <v>12800</v>
      </c>
      <c r="X35" s="55"/>
      <c r="Y35" s="55"/>
      <c r="Z35" s="55"/>
      <c r="AA35" s="55"/>
      <c r="AB35" s="55"/>
      <c r="AC35" s="57">
        <v>12800</v>
      </c>
      <c r="AD35" s="55"/>
      <c r="AE35" s="55"/>
    </row>
    <row r="36" spans="1:31" ht="9.6" customHeight="1" x14ac:dyDescent="0.2">
      <c r="A36" s="3" t="s">
        <v>41</v>
      </c>
      <c r="B36" s="68" t="s">
        <v>79</v>
      </c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9"/>
      <c r="R36" s="69"/>
      <c r="S36" s="69"/>
      <c r="T36" s="69"/>
      <c r="U36" s="69"/>
      <c r="V36" s="69"/>
      <c r="W36" s="69"/>
      <c r="X36" s="69"/>
      <c r="Y36" s="69"/>
      <c r="Z36" s="69"/>
      <c r="AA36" s="69"/>
      <c r="AB36" s="69"/>
      <c r="AC36" s="74">
        <v>46228.85</v>
      </c>
      <c r="AD36" s="69"/>
      <c r="AE36" s="69"/>
    </row>
    <row r="37" spans="1:31" ht="9.6" customHeight="1" x14ac:dyDescent="0.2">
      <c r="A37" s="1" t="s">
        <v>42</v>
      </c>
      <c r="B37" s="53" t="s">
        <v>80</v>
      </c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 t="s">
        <v>27</v>
      </c>
      <c r="O37" s="53"/>
      <c r="P37" s="53"/>
      <c r="Q37" s="66">
        <v>1</v>
      </c>
      <c r="R37" s="55"/>
      <c r="S37" s="55"/>
      <c r="T37" s="55"/>
      <c r="U37" s="55"/>
      <c r="V37" s="55"/>
      <c r="W37" s="73">
        <v>21228.85</v>
      </c>
      <c r="X37" s="55"/>
      <c r="Y37" s="55"/>
      <c r="Z37" s="55"/>
      <c r="AA37" s="55"/>
      <c r="AB37" s="55"/>
      <c r="AC37" s="57">
        <v>21228.85</v>
      </c>
      <c r="AD37" s="55"/>
      <c r="AE37" s="55"/>
    </row>
    <row r="38" spans="1:31" ht="9.6" customHeight="1" x14ac:dyDescent="0.2">
      <c r="A38" s="1" t="s">
        <v>44</v>
      </c>
      <c r="B38" s="53" t="s">
        <v>81</v>
      </c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 t="s">
        <v>27</v>
      </c>
      <c r="O38" s="53"/>
      <c r="P38" s="53"/>
      <c r="Q38" s="66">
        <v>1</v>
      </c>
      <c r="R38" s="55"/>
      <c r="S38" s="55"/>
      <c r="T38" s="55"/>
      <c r="U38" s="55"/>
      <c r="V38" s="55"/>
      <c r="W38" s="73">
        <v>25000</v>
      </c>
      <c r="X38" s="55"/>
      <c r="Y38" s="55"/>
      <c r="Z38" s="55"/>
      <c r="AA38" s="55"/>
      <c r="AB38" s="55"/>
      <c r="AC38" s="57">
        <v>25000</v>
      </c>
      <c r="AD38" s="55"/>
      <c r="AE38" s="55"/>
    </row>
    <row r="39" spans="1:31" ht="9.6" customHeight="1" x14ac:dyDescent="0.2">
      <c r="A39" s="3" t="s">
        <v>45</v>
      </c>
      <c r="B39" s="68" t="s">
        <v>82</v>
      </c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74">
        <v>56794.32</v>
      </c>
      <c r="AD39" s="69"/>
      <c r="AE39" s="69"/>
    </row>
    <row r="40" spans="1:31" ht="9.6" customHeight="1" x14ac:dyDescent="0.2">
      <c r="A40" s="1" t="s">
        <v>46</v>
      </c>
      <c r="B40" s="53" t="s">
        <v>83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 t="s">
        <v>27</v>
      </c>
      <c r="O40" s="53"/>
      <c r="P40" s="53"/>
      <c r="Q40" s="66">
        <v>1</v>
      </c>
      <c r="R40" s="55"/>
      <c r="S40" s="55"/>
      <c r="T40" s="55"/>
      <c r="U40" s="55"/>
      <c r="V40" s="55"/>
      <c r="W40" s="73">
        <v>15000</v>
      </c>
      <c r="X40" s="55"/>
      <c r="Y40" s="55"/>
      <c r="Z40" s="55"/>
      <c r="AA40" s="55"/>
      <c r="AB40" s="55"/>
      <c r="AC40" s="57">
        <v>15000</v>
      </c>
      <c r="AD40" s="55"/>
      <c r="AE40" s="55"/>
    </row>
    <row r="41" spans="1:31" ht="9.6" customHeight="1" x14ac:dyDescent="0.2">
      <c r="A41" s="1" t="s">
        <v>84</v>
      </c>
      <c r="B41" s="53" t="s">
        <v>85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 t="s">
        <v>27</v>
      </c>
      <c r="O41" s="53"/>
      <c r="P41" s="53"/>
      <c r="Q41" s="66">
        <v>1</v>
      </c>
      <c r="R41" s="55"/>
      <c r="S41" s="55"/>
      <c r="T41" s="55"/>
      <c r="U41" s="55"/>
      <c r="V41" s="55"/>
      <c r="W41" s="73">
        <v>11000</v>
      </c>
      <c r="X41" s="55"/>
      <c r="Y41" s="55"/>
      <c r="Z41" s="55"/>
      <c r="AA41" s="55"/>
      <c r="AB41" s="55"/>
      <c r="AC41" s="57">
        <v>11000</v>
      </c>
      <c r="AD41" s="55"/>
      <c r="AE41" s="55"/>
    </row>
    <row r="42" spans="1:31" ht="9.6" customHeight="1" x14ac:dyDescent="0.2">
      <c r="A42" s="1" t="s">
        <v>86</v>
      </c>
      <c r="B42" s="53" t="s">
        <v>87</v>
      </c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 t="s">
        <v>27</v>
      </c>
      <c r="O42" s="53"/>
      <c r="P42" s="53"/>
      <c r="Q42" s="66">
        <v>1</v>
      </c>
      <c r="R42" s="55"/>
      <c r="S42" s="55"/>
      <c r="T42" s="55"/>
      <c r="U42" s="55"/>
      <c r="V42" s="55"/>
      <c r="W42" s="54">
        <v>3500</v>
      </c>
      <c r="X42" s="55"/>
      <c r="Y42" s="55"/>
      <c r="Z42" s="55"/>
      <c r="AA42" s="55"/>
      <c r="AB42" s="55"/>
      <c r="AC42" s="67">
        <v>3500</v>
      </c>
      <c r="AD42" s="55"/>
      <c r="AE42" s="55"/>
    </row>
    <row r="43" spans="1:31" ht="9.6" customHeight="1" x14ac:dyDescent="0.2">
      <c r="A43" s="1" t="s">
        <v>88</v>
      </c>
      <c r="B43" s="53" t="s">
        <v>89</v>
      </c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 t="s">
        <v>27</v>
      </c>
      <c r="O43" s="53"/>
      <c r="P43" s="53"/>
      <c r="Q43" s="66">
        <v>1</v>
      </c>
      <c r="R43" s="55"/>
      <c r="S43" s="55"/>
      <c r="T43" s="55"/>
      <c r="U43" s="55"/>
      <c r="V43" s="55"/>
      <c r="W43" s="54">
        <v>5000</v>
      </c>
      <c r="X43" s="55"/>
      <c r="Y43" s="55"/>
      <c r="Z43" s="55"/>
      <c r="AA43" s="55"/>
      <c r="AB43" s="55"/>
      <c r="AC43" s="67">
        <v>5000</v>
      </c>
      <c r="AD43" s="55"/>
      <c r="AE43" s="55"/>
    </row>
    <row r="44" spans="1:31" ht="9.6" customHeight="1" x14ac:dyDescent="0.2">
      <c r="A44" s="1" t="s">
        <v>90</v>
      </c>
      <c r="B44" s="53" t="s">
        <v>91</v>
      </c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 t="s">
        <v>27</v>
      </c>
      <c r="O44" s="53"/>
      <c r="P44" s="53"/>
      <c r="Q44" s="66">
        <v>1</v>
      </c>
      <c r="R44" s="55"/>
      <c r="S44" s="55"/>
      <c r="T44" s="55"/>
      <c r="U44" s="55"/>
      <c r="V44" s="55"/>
      <c r="W44" s="54">
        <v>6900</v>
      </c>
      <c r="X44" s="55"/>
      <c r="Y44" s="55"/>
      <c r="Z44" s="55"/>
      <c r="AA44" s="55"/>
      <c r="AB44" s="55"/>
      <c r="AC44" s="67">
        <v>6900</v>
      </c>
      <c r="AD44" s="55"/>
      <c r="AE44" s="55"/>
    </row>
    <row r="45" spans="1:31" ht="9.6" customHeight="1" x14ac:dyDescent="0.2">
      <c r="A45" s="1" t="s">
        <v>92</v>
      </c>
      <c r="B45" s="53" t="s">
        <v>93</v>
      </c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 t="s">
        <v>35</v>
      </c>
      <c r="O45" s="53"/>
      <c r="P45" s="53"/>
      <c r="Q45" s="54">
        <v>1924.29</v>
      </c>
      <c r="R45" s="55"/>
      <c r="S45" s="55"/>
      <c r="T45" s="55"/>
      <c r="U45" s="55"/>
      <c r="V45" s="55"/>
      <c r="W45" s="66">
        <v>8</v>
      </c>
      <c r="X45" s="55"/>
      <c r="Y45" s="55"/>
      <c r="Z45" s="55"/>
      <c r="AA45" s="55"/>
      <c r="AB45" s="55"/>
      <c r="AC45" s="57">
        <v>15394.32</v>
      </c>
      <c r="AD45" s="55"/>
      <c r="AE45" s="55"/>
    </row>
    <row r="46" spans="1:31" ht="9.6" customHeight="1" x14ac:dyDescent="0.2">
      <c r="A46" s="3" t="s">
        <v>94</v>
      </c>
      <c r="B46" s="68" t="s">
        <v>95</v>
      </c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70">
        <v>175600</v>
      </c>
      <c r="AD46" s="69"/>
      <c r="AE46" s="69"/>
    </row>
    <row r="47" spans="1:31" ht="9.6" customHeight="1" x14ac:dyDescent="0.2">
      <c r="A47" s="3" t="s">
        <v>96</v>
      </c>
      <c r="B47" s="68" t="s">
        <v>95</v>
      </c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70">
        <v>175600</v>
      </c>
      <c r="AD47" s="69"/>
      <c r="AE47" s="69"/>
    </row>
    <row r="48" spans="1:31" ht="9.6" customHeight="1" x14ac:dyDescent="0.2">
      <c r="A48" s="3" t="s">
        <v>97</v>
      </c>
      <c r="B48" s="68" t="s">
        <v>98</v>
      </c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70">
        <v>132200</v>
      </c>
      <c r="AD48" s="69"/>
      <c r="AE48" s="69"/>
    </row>
    <row r="49" spans="1:31" ht="9.6" customHeight="1" x14ac:dyDescent="0.2">
      <c r="A49" s="1" t="s">
        <v>99</v>
      </c>
      <c r="B49" s="53" t="s">
        <v>100</v>
      </c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 t="s">
        <v>27</v>
      </c>
      <c r="O49" s="53"/>
      <c r="P49" s="53"/>
      <c r="Q49" s="66">
        <v>1</v>
      </c>
      <c r="R49" s="55"/>
      <c r="S49" s="55"/>
      <c r="T49" s="55"/>
      <c r="U49" s="55"/>
      <c r="V49" s="55"/>
      <c r="W49" s="73">
        <v>14600</v>
      </c>
      <c r="X49" s="55"/>
      <c r="Y49" s="55"/>
      <c r="Z49" s="55"/>
      <c r="AA49" s="55"/>
      <c r="AB49" s="55"/>
      <c r="AC49" s="57">
        <v>14600</v>
      </c>
      <c r="AD49" s="55"/>
      <c r="AE49" s="55"/>
    </row>
    <row r="50" spans="1:31" ht="9.6" customHeight="1" x14ac:dyDescent="0.2">
      <c r="A50" s="1" t="s">
        <v>101</v>
      </c>
      <c r="B50" s="53" t="s">
        <v>102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 t="s">
        <v>27</v>
      </c>
      <c r="O50" s="53"/>
      <c r="P50" s="53"/>
      <c r="Q50" s="66">
        <v>1</v>
      </c>
      <c r="R50" s="55"/>
      <c r="S50" s="55"/>
      <c r="T50" s="55"/>
      <c r="U50" s="55"/>
      <c r="V50" s="55"/>
      <c r="W50" s="73">
        <v>20000</v>
      </c>
      <c r="X50" s="55"/>
      <c r="Y50" s="55"/>
      <c r="Z50" s="55"/>
      <c r="AA50" s="55"/>
      <c r="AB50" s="55"/>
      <c r="AC50" s="57">
        <v>20000</v>
      </c>
      <c r="AD50" s="55"/>
      <c r="AE50" s="55"/>
    </row>
    <row r="51" spans="1:31" ht="9.75" customHeight="1" x14ac:dyDescent="0.2">
      <c r="A51" s="1" t="s">
        <v>103</v>
      </c>
      <c r="B51" s="53" t="s">
        <v>104</v>
      </c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 t="s">
        <v>27</v>
      </c>
      <c r="O51" s="53"/>
      <c r="P51" s="53"/>
      <c r="Q51" s="66">
        <v>1</v>
      </c>
      <c r="R51" s="55"/>
      <c r="S51" s="55"/>
      <c r="T51" s="55"/>
      <c r="U51" s="55"/>
      <c r="V51" s="55"/>
      <c r="W51" s="73">
        <v>20000</v>
      </c>
      <c r="X51" s="55"/>
      <c r="Y51" s="55"/>
      <c r="Z51" s="55"/>
      <c r="AA51" s="55"/>
      <c r="AB51" s="55"/>
      <c r="AC51" s="57">
        <v>20000</v>
      </c>
      <c r="AD51" s="55"/>
      <c r="AE51" s="55"/>
    </row>
    <row r="52" spans="1:31" ht="10.9" customHeight="1" x14ac:dyDescent="0.2">
      <c r="A52" s="1" t="s">
        <v>105</v>
      </c>
      <c r="B52" s="53" t="s">
        <v>106</v>
      </c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 t="s">
        <v>27</v>
      </c>
      <c r="O52" s="53"/>
      <c r="P52" s="53"/>
      <c r="Q52" s="66">
        <v>1</v>
      </c>
      <c r="R52" s="55"/>
      <c r="S52" s="55"/>
      <c r="T52" s="55"/>
      <c r="U52" s="55"/>
      <c r="V52" s="55"/>
      <c r="W52" s="73">
        <v>40000</v>
      </c>
      <c r="X52" s="55"/>
      <c r="Y52" s="55"/>
      <c r="Z52" s="55"/>
      <c r="AA52" s="55"/>
      <c r="AB52" s="55"/>
      <c r="AC52" s="57">
        <v>40000</v>
      </c>
      <c r="AD52" s="55"/>
      <c r="AE52" s="55"/>
    </row>
    <row r="53" spans="1:31" ht="9.75" customHeight="1" x14ac:dyDescent="0.2">
      <c r="A53" s="1" t="s">
        <v>107</v>
      </c>
      <c r="B53" s="53" t="s">
        <v>108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 t="s">
        <v>27</v>
      </c>
      <c r="O53" s="53"/>
      <c r="P53" s="53"/>
      <c r="Q53" s="66">
        <v>1</v>
      </c>
      <c r="R53" s="55"/>
      <c r="S53" s="55"/>
      <c r="T53" s="55"/>
      <c r="U53" s="55"/>
      <c r="V53" s="55"/>
      <c r="W53" s="54">
        <v>5000</v>
      </c>
      <c r="X53" s="55"/>
      <c r="Y53" s="55"/>
      <c r="Z53" s="55"/>
      <c r="AA53" s="55"/>
      <c r="AB53" s="55"/>
      <c r="AC53" s="67">
        <v>5000</v>
      </c>
      <c r="AD53" s="55"/>
      <c r="AE53" s="55"/>
    </row>
    <row r="54" spans="1:31" ht="9.75" customHeight="1" x14ac:dyDescent="0.2">
      <c r="A54" s="1" t="s">
        <v>109</v>
      </c>
      <c r="B54" s="53" t="s">
        <v>110</v>
      </c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 t="s">
        <v>27</v>
      </c>
      <c r="O54" s="53"/>
      <c r="P54" s="53"/>
      <c r="Q54" s="66">
        <v>1</v>
      </c>
      <c r="R54" s="55"/>
      <c r="S54" s="55"/>
      <c r="T54" s="55"/>
      <c r="U54" s="55"/>
      <c r="V54" s="55"/>
      <c r="W54" s="75">
        <v>500</v>
      </c>
      <c r="X54" s="55"/>
      <c r="Y54" s="55"/>
      <c r="Z54" s="55"/>
      <c r="AA54" s="55"/>
      <c r="AB54" s="55"/>
      <c r="AC54" s="76">
        <v>500</v>
      </c>
      <c r="AD54" s="55"/>
      <c r="AE54" s="55"/>
    </row>
    <row r="55" spans="1:31" ht="9.75" customHeight="1" x14ac:dyDescent="0.2">
      <c r="A55" s="1" t="s">
        <v>111</v>
      </c>
      <c r="B55" s="53" t="s">
        <v>112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 t="s">
        <v>27</v>
      </c>
      <c r="O55" s="53"/>
      <c r="P55" s="53"/>
      <c r="Q55" s="66">
        <v>1</v>
      </c>
      <c r="R55" s="55"/>
      <c r="S55" s="55"/>
      <c r="T55" s="55"/>
      <c r="U55" s="55"/>
      <c r="V55" s="55"/>
      <c r="W55" s="54">
        <v>7000</v>
      </c>
      <c r="X55" s="55"/>
      <c r="Y55" s="55"/>
      <c r="Z55" s="55"/>
      <c r="AA55" s="55"/>
      <c r="AB55" s="55"/>
      <c r="AC55" s="67">
        <v>7000</v>
      </c>
      <c r="AD55" s="55"/>
      <c r="AE55" s="55"/>
    </row>
    <row r="56" spans="1:31" ht="9.75" customHeight="1" x14ac:dyDescent="0.2">
      <c r="A56" s="1" t="s">
        <v>113</v>
      </c>
      <c r="B56" s="53" t="s">
        <v>114</v>
      </c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 t="s">
        <v>27</v>
      </c>
      <c r="O56" s="53"/>
      <c r="P56" s="53"/>
      <c r="Q56" s="66">
        <v>1</v>
      </c>
      <c r="R56" s="55"/>
      <c r="S56" s="55"/>
      <c r="T56" s="55"/>
      <c r="U56" s="55"/>
      <c r="V56" s="55"/>
      <c r="W56" s="54">
        <v>2000</v>
      </c>
      <c r="X56" s="55"/>
      <c r="Y56" s="55"/>
      <c r="Z56" s="55"/>
      <c r="AA56" s="55"/>
      <c r="AB56" s="55"/>
      <c r="AC56" s="67">
        <v>2000</v>
      </c>
      <c r="AD56" s="55"/>
      <c r="AE56" s="55"/>
    </row>
    <row r="57" spans="1:31" ht="19.149999999999999" customHeight="1" x14ac:dyDescent="0.2">
      <c r="A57" s="1" t="s">
        <v>115</v>
      </c>
      <c r="B57" s="53" t="s">
        <v>116</v>
      </c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 t="s">
        <v>27</v>
      </c>
      <c r="O57" s="53"/>
      <c r="P57" s="53"/>
      <c r="Q57" s="66">
        <v>1</v>
      </c>
      <c r="R57" s="55"/>
      <c r="S57" s="55"/>
      <c r="T57" s="55"/>
      <c r="U57" s="55"/>
      <c r="V57" s="55"/>
      <c r="W57" s="54">
        <v>3500</v>
      </c>
      <c r="X57" s="55"/>
      <c r="Y57" s="55"/>
      <c r="Z57" s="55"/>
      <c r="AA57" s="55"/>
      <c r="AB57" s="55"/>
      <c r="AC57" s="67">
        <v>3500</v>
      </c>
      <c r="AD57" s="55"/>
      <c r="AE57" s="55"/>
    </row>
    <row r="58" spans="1:31" ht="9.75" customHeight="1" x14ac:dyDescent="0.2">
      <c r="A58" s="1" t="s">
        <v>117</v>
      </c>
      <c r="B58" s="53" t="s">
        <v>118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 t="s">
        <v>27</v>
      </c>
      <c r="O58" s="53"/>
      <c r="P58" s="53"/>
      <c r="Q58" s="66">
        <v>1</v>
      </c>
      <c r="R58" s="55"/>
      <c r="S58" s="55"/>
      <c r="T58" s="55"/>
      <c r="U58" s="55"/>
      <c r="V58" s="55"/>
      <c r="W58" s="73">
        <v>15000</v>
      </c>
      <c r="X58" s="55"/>
      <c r="Y58" s="55"/>
      <c r="Z58" s="55"/>
      <c r="AA58" s="55"/>
      <c r="AB58" s="55"/>
      <c r="AC58" s="57">
        <v>15000</v>
      </c>
      <c r="AD58" s="55"/>
      <c r="AE58" s="55"/>
    </row>
    <row r="59" spans="1:31" ht="9.75" customHeight="1" x14ac:dyDescent="0.2">
      <c r="A59" s="1" t="s">
        <v>119</v>
      </c>
      <c r="B59" s="53" t="s">
        <v>120</v>
      </c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 t="s">
        <v>27</v>
      </c>
      <c r="O59" s="53"/>
      <c r="P59" s="53"/>
      <c r="Q59" s="66">
        <v>1</v>
      </c>
      <c r="R59" s="55"/>
      <c r="S59" s="55"/>
      <c r="T59" s="55"/>
      <c r="U59" s="55"/>
      <c r="V59" s="55"/>
      <c r="W59" s="54">
        <v>4600</v>
      </c>
      <c r="X59" s="55"/>
      <c r="Y59" s="55"/>
      <c r="Z59" s="55"/>
      <c r="AA59" s="55"/>
      <c r="AB59" s="55"/>
      <c r="AC59" s="67">
        <v>4600</v>
      </c>
      <c r="AD59" s="55"/>
      <c r="AE59" s="55"/>
    </row>
    <row r="60" spans="1:31" ht="10.9" customHeight="1" x14ac:dyDescent="0.2">
      <c r="A60" s="3" t="s">
        <v>121</v>
      </c>
      <c r="B60" s="68" t="s">
        <v>122</v>
      </c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  <c r="AB60" s="69"/>
      <c r="AC60" s="74">
        <v>43400</v>
      </c>
      <c r="AD60" s="69"/>
      <c r="AE60" s="69"/>
    </row>
    <row r="61" spans="1:31" ht="9.75" customHeight="1" x14ac:dyDescent="0.2">
      <c r="A61" s="1" t="s">
        <v>123</v>
      </c>
      <c r="B61" s="53" t="s">
        <v>124</v>
      </c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 t="s">
        <v>27</v>
      </c>
      <c r="O61" s="53"/>
      <c r="P61" s="53"/>
      <c r="Q61" s="66">
        <v>1</v>
      </c>
      <c r="R61" s="55"/>
      <c r="S61" s="55"/>
      <c r="T61" s="55"/>
      <c r="U61" s="55"/>
      <c r="V61" s="55"/>
      <c r="W61" s="54">
        <v>3800</v>
      </c>
      <c r="X61" s="55"/>
      <c r="Y61" s="55"/>
      <c r="Z61" s="55"/>
      <c r="AA61" s="55"/>
      <c r="AB61" s="55"/>
      <c r="AC61" s="67">
        <v>3800</v>
      </c>
      <c r="AD61" s="55"/>
      <c r="AE61" s="55"/>
    </row>
    <row r="62" spans="1:31" ht="9.75" customHeight="1" x14ac:dyDescent="0.2">
      <c r="A62" s="1" t="s">
        <v>125</v>
      </c>
      <c r="B62" s="53" t="s">
        <v>126</v>
      </c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 t="s">
        <v>27</v>
      </c>
      <c r="O62" s="53"/>
      <c r="P62" s="53"/>
      <c r="Q62" s="66">
        <v>1</v>
      </c>
      <c r="R62" s="55"/>
      <c r="S62" s="55"/>
      <c r="T62" s="55"/>
      <c r="U62" s="55"/>
      <c r="V62" s="55"/>
      <c r="W62" s="54">
        <v>5000</v>
      </c>
      <c r="X62" s="55"/>
      <c r="Y62" s="55"/>
      <c r="Z62" s="55"/>
      <c r="AA62" s="55"/>
      <c r="AB62" s="55"/>
      <c r="AC62" s="67">
        <v>5000</v>
      </c>
      <c r="AD62" s="55"/>
      <c r="AE62" s="55"/>
    </row>
    <row r="63" spans="1:31" ht="9.75" customHeight="1" x14ac:dyDescent="0.2">
      <c r="A63" s="1" t="s">
        <v>127</v>
      </c>
      <c r="B63" s="53" t="s">
        <v>128</v>
      </c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 t="s">
        <v>27</v>
      </c>
      <c r="O63" s="53"/>
      <c r="P63" s="53"/>
      <c r="Q63" s="66">
        <v>1</v>
      </c>
      <c r="R63" s="55"/>
      <c r="S63" s="55"/>
      <c r="T63" s="55"/>
      <c r="U63" s="55"/>
      <c r="V63" s="55"/>
      <c r="W63" s="73">
        <v>30000</v>
      </c>
      <c r="X63" s="55"/>
      <c r="Y63" s="55"/>
      <c r="Z63" s="55"/>
      <c r="AA63" s="55"/>
      <c r="AB63" s="55"/>
      <c r="AC63" s="57">
        <v>30000</v>
      </c>
      <c r="AD63" s="55"/>
      <c r="AE63" s="55"/>
    </row>
    <row r="64" spans="1:31" ht="9.75" customHeight="1" x14ac:dyDescent="0.2">
      <c r="A64" s="1" t="s">
        <v>129</v>
      </c>
      <c r="B64" s="53" t="s">
        <v>130</v>
      </c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 t="s">
        <v>27</v>
      </c>
      <c r="O64" s="53"/>
      <c r="P64" s="53"/>
      <c r="Q64" s="66">
        <v>1</v>
      </c>
      <c r="R64" s="55"/>
      <c r="S64" s="55"/>
      <c r="T64" s="55"/>
      <c r="U64" s="55"/>
      <c r="V64" s="55"/>
      <c r="W64" s="54">
        <v>4600</v>
      </c>
      <c r="X64" s="55"/>
      <c r="Y64" s="55"/>
      <c r="Z64" s="55"/>
      <c r="AA64" s="55"/>
      <c r="AB64" s="55"/>
      <c r="AC64" s="67">
        <v>4600</v>
      </c>
      <c r="AD64" s="55"/>
      <c r="AE64" s="55"/>
    </row>
    <row r="65" spans="1:31" ht="9.6" customHeight="1" x14ac:dyDescent="0.2">
      <c r="A65" s="3" t="s">
        <v>131</v>
      </c>
      <c r="B65" s="68" t="s">
        <v>132</v>
      </c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70">
        <v>442589.87</v>
      </c>
      <c r="AD65" s="69"/>
      <c r="AE65" s="69"/>
    </row>
    <row r="66" spans="1:31" ht="9.6" customHeight="1" x14ac:dyDescent="0.2">
      <c r="A66" s="3" t="s">
        <v>133</v>
      </c>
      <c r="B66" s="68" t="s">
        <v>132</v>
      </c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70">
        <v>442589.87</v>
      </c>
      <c r="AD66" s="69"/>
      <c r="AE66" s="69"/>
    </row>
    <row r="67" spans="1:31" ht="9.6" customHeight="1" x14ac:dyDescent="0.2">
      <c r="A67" s="3" t="s">
        <v>134</v>
      </c>
      <c r="B67" s="68" t="s">
        <v>135</v>
      </c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74">
        <v>84000</v>
      </c>
      <c r="AD67" s="69"/>
      <c r="AE67" s="69"/>
    </row>
    <row r="68" spans="1:31" ht="9.75" customHeight="1" x14ac:dyDescent="0.2">
      <c r="A68" s="1" t="s">
        <v>136</v>
      </c>
      <c r="B68" s="53" t="s">
        <v>137</v>
      </c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 t="s">
        <v>43</v>
      </c>
      <c r="O68" s="53"/>
      <c r="P68" s="53"/>
      <c r="Q68" s="56">
        <v>24</v>
      </c>
      <c r="R68" s="55"/>
      <c r="S68" s="55"/>
      <c r="T68" s="55"/>
      <c r="U68" s="55"/>
      <c r="V68" s="55"/>
      <c r="W68" s="54">
        <v>3500</v>
      </c>
      <c r="X68" s="55"/>
      <c r="Y68" s="55"/>
      <c r="Z68" s="55"/>
      <c r="AA68" s="55"/>
      <c r="AB68" s="55"/>
      <c r="AC68" s="57">
        <v>84000</v>
      </c>
      <c r="AD68" s="55"/>
      <c r="AE68" s="55"/>
    </row>
    <row r="69" spans="1:31" ht="9.6" customHeight="1" x14ac:dyDescent="0.2">
      <c r="A69" s="3" t="s">
        <v>138</v>
      </c>
      <c r="B69" s="68" t="s">
        <v>139</v>
      </c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70">
        <v>353589.87</v>
      </c>
      <c r="AD69" s="69"/>
      <c r="AE69" s="69"/>
    </row>
    <row r="70" spans="1:31" ht="9.6" customHeight="1" x14ac:dyDescent="0.2">
      <c r="A70" s="1" t="s">
        <v>140</v>
      </c>
      <c r="B70" s="53" t="s">
        <v>141</v>
      </c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 t="s">
        <v>27</v>
      </c>
      <c r="O70" s="53"/>
      <c r="P70" s="53"/>
      <c r="Q70" s="66">
        <v>1</v>
      </c>
      <c r="R70" s="55"/>
      <c r="S70" s="55"/>
      <c r="T70" s="55"/>
      <c r="U70" s="55"/>
      <c r="V70" s="55"/>
      <c r="W70" s="54">
        <v>9310</v>
      </c>
      <c r="X70" s="55"/>
      <c r="Y70" s="55"/>
      <c r="Z70" s="55"/>
      <c r="AA70" s="55"/>
      <c r="AB70" s="55"/>
      <c r="AC70" s="67">
        <v>9310</v>
      </c>
      <c r="AD70" s="55"/>
      <c r="AE70" s="55"/>
    </row>
    <row r="71" spans="1:31" ht="9.6" customHeight="1" x14ac:dyDescent="0.2">
      <c r="A71" s="1" t="s">
        <v>142</v>
      </c>
      <c r="B71" s="53" t="s">
        <v>143</v>
      </c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 t="s">
        <v>39</v>
      </c>
      <c r="O71" s="53"/>
      <c r="P71" s="53"/>
      <c r="Q71" s="56">
        <v>74.989999999999995</v>
      </c>
      <c r="R71" s="55"/>
      <c r="S71" s="55"/>
      <c r="T71" s="55"/>
      <c r="U71" s="55"/>
      <c r="V71" s="55"/>
      <c r="W71" s="75">
        <v>304.09550000000002</v>
      </c>
      <c r="X71" s="55"/>
      <c r="Y71" s="55"/>
      <c r="Z71" s="55"/>
      <c r="AA71" s="55"/>
      <c r="AB71" s="55"/>
      <c r="AC71" s="57">
        <v>22804.12</v>
      </c>
      <c r="AD71" s="55"/>
      <c r="AE71" s="55"/>
    </row>
    <row r="72" spans="1:31" ht="9.6" customHeight="1" x14ac:dyDescent="0.2">
      <c r="A72" s="1" t="s">
        <v>144</v>
      </c>
      <c r="B72" s="53" t="s">
        <v>145</v>
      </c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 t="s">
        <v>39</v>
      </c>
      <c r="O72" s="53"/>
      <c r="P72" s="53"/>
      <c r="Q72" s="75">
        <v>224.97</v>
      </c>
      <c r="R72" s="55"/>
      <c r="S72" s="55"/>
      <c r="T72" s="55"/>
      <c r="U72" s="55"/>
      <c r="V72" s="55"/>
      <c r="W72" s="75">
        <v>263.87709999999998</v>
      </c>
      <c r="X72" s="55"/>
      <c r="Y72" s="55"/>
      <c r="Z72" s="55"/>
      <c r="AA72" s="55"/>
      <c r="AB72" s="55"/>
      <c r="AC72" s="57">
        <v>59364.43</v>
      </c>
      <c r="AD72" s="55"/>
      <c r="AE72" s="55"/>
    </row>
    <row r="73" spans="1:31" ht="9.6" customHeight="1" x14ac:dyDescent="0.2">
      <c r="A73" s="1" t="s">
        <v>146</v>
      </c>
      <c r="B73" s="53" t="s">
        <v>147</v>
      </c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 t="s">
        <v>47</v>
      </c>
      <c r="O73" s="53"/>
      <c r="P73" s="53"/>
      <c r="Q73" s="54">
        <v>4488</v>
      </c>
      <c r="R73" s="55"/>
      <c r="S73" s="55"/>
      <c r="T73" s="55"/>
      <c r="U73" s="55"/>
      <c r="V73" s="55"/>
      <c r="W73" s="56">
        <v>24.707699999999999</v>
      </c>
      <c r="X73" s="55"/>
      <c r="Y73" s="55"/>
      <c r="Z73" s="55"/>
      <c r="AA73" s="55"/>
      <c r="AB73" s="55"/>
      <c r="AC73" s="72">
        <v>110888.16</v>
      </c>
      <c r="AD73" s="55"/>
      <c r="AE73" s="55"/>
    </row>
    <row r="74" spans="1:31" ht="9.6" customHeight="1" x14ac:dyDescent="0.2">
      <c r="A74" s="1" t="s">
        <v>148</v>
      </c>
      <c r="B74" s="53" t="s">
        <v>149</v>
      </c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 t="s">
        <v>47</v>
      </c>
      <c r="O74" s="53"/>
      <c r="P74" s="53"/>
      <c r="Q74" s="54">
        <v>1102.5</v>
      </c>
      <c r="R74" s="55"/>
      <c r="S74" s="55"/>
      <c r="T74" s="55"/>
      <c r="U74" s="55"/>
      <c r="V74" s="55"/>
      <c r="W74" s="75">
        <v>104.2668</v>
      </c>
      <c r="X74" s="55"/>
      <c r="Y74" s="55"/>
      <c r="Z74" s="55"/>
      <c r="AA74" s="55"/>
      <c r="AB74" s="55"/>
      <c r="AC74" s="72">
        <v>114954.15</v>
      </c>
      <c r="AD74" s="55"/>
      <c r="AE74" s="55"/>
    </row>
    <row r="75" spans="1:31" ht="9.6" customHeight="1" x14ac:dyDescent="0.2">
      <c r="A75" s="1" t="s">
        <v>150</v>
      </c>
      <c r="B75" s="53" t="s">
        <v>151</v>
      </c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 t="s">
        <v>39</v>
      </c>
      <c r="O75" s="53"/>
      <c r="P75" s="53"/>
      <c r="Q75" s="75">
        <v>300</v>
      </c>
      <c r="R75" s="55"/>
      <c r="S75" s="55"/>
      <c r="T75" s="55"/>
      <c r="U75" s="55"/>
      <c r="V75" s="55"/>
      <c r="W75" s="75">
        <v>115.8967</v>
      </c>
      <c r="X75" s="55"/>
      <c r="Y75" s="55"/>
      <c r="Z75" s="55"/>
      <c r="AA75" s="55"/>
      <c r="AB75" s="55"/>
      <c r="AC75" s="57">
        <v>34769.01</v>
      </c>
      <c r="AD75" s="55"/>
      <c r="AE75" s="55"/>
    </row>
    <row r="76" spans="1:31" ht="9.6" customHeight="1" x14ac:dyDescent="0.2">
      <c r="A76" s="1" t="s">
        <v>152</v>
      </c>
      <c r="B76" s="53" t="s">
        <v>153</v>
      </c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 t="s">
        <v>27</v>
      </c>
      <c r="O76" s="53"/>
      <c r="P76" s="53"/>
      <c r="Q76" s="66">
        <v>1</v>
      </c>
      <c r="R76" s="55"/>
      <c r="S76" s="55"/>
      <c r="T76" s="55"/>
      <c r="U76" s="55"/>
      <c r="V76" s="55"/>
      <c r="W76" s="54">
        <v>1500</v>
      </c>
      <c r="X76" s="55"/>
      <c r="Y76" s="55"/>
      <c r="Z76" s="55"/>
      <c r="AA76" s="55"/>
      <c r="AB76" s="55"/>
      <c r="AC76" s="67">
        <v>1500</v>
      </c>
      <c r="AD76" s="55"/>
      <c r="AE76" s="55"/>
    </row>
    <row r="77" spans="1:31" ht="9.6" customHeight="1" x14ac:dyDescent="0.2">
      <c r="A77" s="3" t="s">
        <v>154</v>
      </c>
      <c r="B77" s="68" t="s">
        <v>155</v>
      </c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9"/>
      <c r="R77" s="69"/>
      <c r="S77" s="69"/>
      <c r="T77" s="69"/>
      <c r="U77" s="69"/>
      <c r="V77" s="69"/>
      <c r="W77" s="69"/>
      <c r="X77" s="69"/>
      <c r="Y77" s="69"/>
      <c r="Z77" s="69"/>
      <c r="AA77" s="69"/>
      <c r="AB77" s="69"/>
      <c r="AC77" s="78">
        <v>5000</v>
      </c>
      <c r="AD77" s="69"/>
      <c r="AE77" s="69"/>
    </row>
    <row r="78" spans="1:31" ht="9.6" customHeight="1" x14ac:dyDescent="0.2">
      <c r="A78" s="1" t="s">
        <v>156</v>
      </c>
      <c r="B78" s="53" t="s">
        <v>157</v>
      </c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 t="s">
        <v>158</v>
      </c>
      <c r="O78" s="53"/>
      <c r="P78" s="53"/>
      <c r="Q78" s="66">
        <v>1</v>
      </c>
      <c r="R78" s="55"/>
      <c r="S78" s="55"/>
      <c r="T78" s="55"/>
      <c r="U78" s="55"/>
      <c r="V78" s="55"/>
      <c r="W78" s="54">
        <v>5000</v>
      </c>
      <c r="X78" s="55"/>
      <c r="Y78" s="55"/>
      <c r="Z78" s="55"/>
      <c r="AA78" s="55"/>
      <c r="AB78" s="55"/>
      <c r="AC78" s="67">
        <v>5000</v>
      </c>
      <c r="AD78" s="55"/>
      <c r="AE78" s="55"/>
    </row>
    <row r="79" spans="1:31" ht="9.6" customHeight="1" x14ac:dyDescent="0.2">
      <c r="A79" s="3" t="s">
        <v>159</v>
      </c>
      <c r="B79" s="68" t="s">
        <v>160</v>
      </c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9"/>
      <c r="R79" s="69"/>
      <c r="S79" s="69"/>
      <c r="T79" s="69"/>
      <c r="U79" s="69"/>
      <c r="V79" s="69"/>
      <c r="W79" s="69"/>
      <c r="X79" s="69"/>
      <c r="Y79" s="69"/>
      <c r="Z79" s="69"/>
      <c r="AA79" s="69"/>
      <c r="AB79" s="69"/>
      <c r="AC79" s="77">
        <v>1382296.48</v>
      </c>
      <c r="AD79" s="69"/>
      <c r="AE79" s="69"/>
    </row>
    <row r="80" spans="1:31" ht="9.6" customHeight="1" x14ac:dyDescent="0.2">
      <c r="A80" s="3" t="s">
        <v>161</v>
      </c>
      <c r="B80" s="68" t="s">
        <v>160</v>
      </c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69"/>
      <c r="AB80" s="69"/>
      <c r="AC80" s="77">
        <v>1382296.48</v>
      </c>
      <c r="AD80" s="69"/>
      <c r="AE80" s="69"/>
    </row>
    <row r="81" spans="1:31" ht="9.6" customHeight="1" x14ac:dyDescent="0.2">
      <c r="A81" s="3" t="s">
        <v>162</v>
      </c>
      <c r="B81" s="68" t="s">
        <v>163</v>
      </c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9"/>
      <c r="R81" s="69"/>
      <c r="S81" s="69"/>
      <c r="T81" s="69"/>
      <c r="U81" s="69"/>
      <c r="V81" s="69"/>
      <c r="W81" s="69"/>
      <c r="X81" s="69"/>
      <c r="Y81" s="69"/>
      <c r="Z81" s="69"/>
      <c r="AA81" s="69"/>
      <c r="AB81" s="69"/>
      <c r="AC81" s="77">
        <v>1012980</v>
      </c>
      <c r="AD81" s="69"/>
      <c r="AE81" s="69"/>
    </row>
    <row r="82" spans="1:31" ht="9.6" customHeight="1" x14ac:dyDescent="0.2">
      <c r="A82" s="1" t="s">
        <v>164</v>
      </c>
      <c r="B82" s="53" t="s">
        <v>165</v>
      </c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 t="s">
        <v>43</v>
      </c>
      <c r="O82" s="53"/>
      <c r="P82" s="53"/>
      <c r="Q82" s="56">
        <v>24</v>
      </c>
      <c r="R82" s="55"/>
      <c r="S82" s="55"/>
      <c r="T82" s="55"/>
      <c r="U82" s="55"/>
      <c r="V82" s="55"/>
      <c r="W82" s="73">
        <v>19000</v>
      </c>
      <c r="X82" s="55"/>
      <c r="Y82" s="55"/>
      <c r="Z82" s="55"/>
      <c r="AA82" s="55"/>
      <c r="AB82" s="55"/>
      <c r="AC82" s="72">
        <v>456000</v>
      </c>
      <c r="AD82" s="55"/>
      <c r="AE82" s="55"/>
    </row>
    <row r="83" spans="1:31" ht="9.75" customHeight="1" x14ac:dyDescent="0.2">
      <c r="A83" s="1" t="s">
        <v>166</v>
      </c>
      <c r="B83" s="53" t="s">
        <v>167</v>
      </c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 t="s">
        <v>43</v>
      </c>
      <c r="O83" s="53"/>
      <c r="P83" s="53"/>
      <c r="Q83" s="56">
        <v>24</v>
      </c>
      <c r="R83" s="55"/>
      <c r="S83" s="55"/>
      <c r="T83" s="55"/>
      <c r="U83" s="55"/>
      <c r="V83" s="55"/>
      <c r="W83" s="73">
        <v>10000</v>
      </c>
      <c r="X83" s="55"/>
      <c r="Y83" s="55"/>
      <c r="Z83" s="55"/>
      <c r="AA83" s="55"/>
      <c r="AB83" s="55"/>
      <c r="AC83" s="72">
        <v>240000</v>
      </c>
      <c r="AD83" s="55"/>
      <c r="AE83" s="55"/>
    </row>
    <row r="84" spans="1:31" ht="9.6" customHeight="1" x14ac:dyDescent="0.2">
      <c r="A84" s="1" t="s">
        <v>168</v>
      </c>
      <c r="B84" s="53" t="s">
        <v>169</v>
      </c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 t="s">
        <v>43</v>
      </c>
      <c r="O84" s="53"/>
      <c r="P84" s="53"/>
      <c r="Q84" s="56">
        <v>24</v>
      </c>
      <c r="R84" s="55"/>
      <c r="S84" s="55"/>
      <c r="T84" s="55"/>
      <c r="U84" s="55"/>
      <c r="V84" s="55"/>
      <c r="W84" s="54">
        <v>2000</v>
      </c>
      <c r="X84" s="55"/>
      <c r="Y84" s="55"/>
      <c r="Z84" s="55"/>
      <c r="AA84" s="55"/>
      <c r="AB84" s="55"/>
      <c r="AC84" s="57">
        <v>48000</v>
      </c>
      <c r="AD84" s="55"/>
      <c r="AE84" s="55"/>
    </row>
    <row r="85" spans="1:31" ht="9.6" customHeight="1" x14ac:dyDescent="0.2">
      <c r="A85" s="1" t="s">
        <v>170</v>
      </c>
      <c r="B85" s="53" t="s">
        <v>171</v>
      </c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 t="s">
        <v>43</v>
      </c>
      <c r="O85" s="53"/>
      <c r="P85" s="53"/>
      <c r="Q85" s="56">
        <v>24</v>
      </c>
      <c r="R85" s="55"/>
      <c r="S85" s="55"/>
      <c r="T85" s="55"/>
      <c r="U85" s="55"/>
      <c r="V85" s="55"/>
      <c r="W85" s="54">
        <v>5000</v>
      </c>
      <c r="X85" s="55"/>
      <c r="Y85" s="55"/>
      <c r="Z85" s="55"/>
      <c r="AA85" s="55"/>
      <c r="AB85" s="55"/>
      <c r="AC85" s="72">
        <v>120000</v>
      </c>
      <c r="AD85" s="55"/>
      <c r="AE85" s="55"/>
    </row>
    <row r="86" spans="1:31" ht="9.75" customHeight="1" x14ac:dyDescent="0.2">
      <c r="A86" s="1" t="s">
        <v>172</v>
      </c>
      <c r="B86" s="53" t="s">
        <v>173</v>
      </c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 t="s">
        <v>43</v>
      </c>
      <c r="O86" s="53"/>
      <c r="P86" s="53"/>
      <c r="Q86" s="56">
        <v>24</v>
      </c>
      <c r="R86" s="55"/>
      <c r="S86" s="55"/>
      <c r="T86" s="55"/>
      <c r="U86" s="55"/>
      <c r="V86" s="55"/>
      <c r="W86" s="54">
        <v>1200</v>
      </c>
      <c r="X86" s="55"/>
      <c r="Y86" s="55"/>
      <c r="Z86" s="55"/>
      <c r="AA86" s="55"/>
      <c r="AB86" s="55"/>
      <c r="AC86" s="57">
        <v>28800</v>
      </c>
      <c r="AD86" s="55"/>
      <c r="AE86" s="55"/>
    </row>
    <row r="87" spans="1:31" ht="9.6" customHeight="1" x14ac:dyDescent="0.2">
      <c r="A87" s="1" t="s">
        <v>174</v>
      </c>
      <c r="B87" s="53" t="s">
        <v>175</v>
      </c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 t="s">
        <v>43</v>
      </c>
      <c r="O87" s="53"/>
      <c r="P87" s="53"/>
      <c r="Q87" s="56">
        <v>24</v>
      </c>
      <c r="R87" s="55"/>
      <c r="S87" s="55"/>
      <c r="T87" s="55"/>
      <c r="U87" s="55"/>
      <c r="V87" s="55"/>
      <c r="W87" s="54">
        <v>2007.5</v>
      </c>
      <c r="X87" s="55"/>
      <c r="Y87" s="55"/>
      <c r="Z87" s="55"/>
      <c r="AA87" s="55"/>
      <c r="AB87" s="55"/>
      <c r="AC87" s="57">
        <v>48180</v>
      </c>
      <c r="AD87" s="55"/>
      <c r="AE87" s="55"/>
    </row>
    <row r="88" spans="1:31" ht="9.6" customHeight="1" x14ac:dyDescent="0.2">
      <c r="A88" s="1" t="s">
        <v>176</v>
      </c>
      <c r="B88" s="53" t="s">
        <v>177</v>
      </c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 t="s">
        <v>43</v>
      </c>
      <c r="O88" s="53"/>
      <c r="P88" s="53"/>
      <c r="Q88" s="56">
        <v>24</v>
      </c>
      <c r="R88" s="55"/>
      <c r="S88" s="55"/>
      <c r="T88" s="55"/>
      <c r="U88" s="55"/>
      <c r="V88" s="55"/>
      <c r="W88" s="54">
        <v>3000</v>
      </c>
      <c r="X88" s="55"/>
      <c r="Y88" s="55"/>
      <c r="Z88" s="55"/>
      <c r="AA88" s="55"/>
      <c r="AB88" s="55"/>
      <c r="AC88" s="57">
        <v>72000</v>
      </c>
      <c r="AD88" s="55"/>
      <c r="AE88" s="55"/>
    </row>
    <row r="89" spans="1:31" ht="9.6" customHeight="1" x14ac:dyDescent="0.2">
      <c r="A89" s="3" t="s">
        <v>178</v>
      </c>
      <c r="B89" s="68" t="s">
        <v>179</v>
      </c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9"/>
      <c r="R89" s="69"/>
      <c r="S89" s="69"/>
      <c r="T89" s="69"/>
      <c r="U89" s="69"/>
      <c r="V89" s="69"/>
      <c r="W89" s="69"/>
      <c r="X89" s="69"/>
      <c r="Y89" s="69"/>
      <c r="Z89" s="69"/>
      <c r="AA89" s="69"/>
      <c r="AB89" s="69"/>
      <c r="AC89" s="70">
        <v>189036.48</v>
      </c>
      <c r="AD89" s="69"/>
      <c r="AE89" s="69"/>
    </row>
    <row r="90" spans="1:31" ht="9.6" customHeight="1" x14ac:dyDescent="0.2">
      <c r="A90" s="1" t="s">
        <v>180</v>
      </c>
      <c r="B90" s="53" t="s">
        <v>181</v>
      </c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 t="s">
        <v>47</v>
      </c>
      <c r="O90" s="53"/>
      <c r="P90" s="53"/>
      <c r="Q90" s="75">
        <v>571.98</v>
      </c>
      <c r="R90" s="55"/>
      <c r="S90" s="55"/>
      <c r="T90" s="55"/>
      <c r="U90" s="55"/>
      <c r="V90" s="55"/>
      <c r="W90" s="56">
        <v>80.631</v>
      </c>
      <c r="X90" s="55"/>
      <c r="Y90" s="55"/>
      <c r="Z90" s="55"/>
      <c r="AA90" s="55"/>
      <c r="AB90" s="55"/>
      <c r="AC90" s="57">
        <v>46119.32</v>
      </c>
      <c r="AD90" s="55"/>
      <c r="AE90" s="55"/>
    </row>
    <row r="91" spans="1:31" ht="9.6" customHeight="1" x14ac:dyDescent="0.2">
      <c r="A91" s="1" t="s">
        <v>182</v>
      </c>
      <c r="B91" s="53" t="s">
        <v>183</v>
      </c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 t="s">
        <v>47</v>
      </c>
      <c r="O91" s="53"/>
      <c r="P91" s="53"/>
      <c r="Q91" s="75">
        <v>572.54</v>
      </c>
      <c r="R91" s="55"/>
      <c r="S91" s="55"/>
      <c r="T91" s="55"/>
      <c r="U91" s="55"/>
      <c r="V91" s="55"/>
      <c r="W91" s="56">
        <v>14</v>
      </c>
      <c r="X91" s="55"/>
      <c r="Y91" s="55"/>
      <c r="Z91" s="55"/>
      <c r="AA91" s="55"/>
      <c r="AB91" s="55"/>
      <c r="AC91" s="67">
        <v>8015.56</v>
      </c>
      <c r="AD91" s="55"/>
      <c r="AE91" s="55"/>
    </row>
    <row r="92" spans="1:31" ht="9.6" customHeight="1" x14ac:dyDescent="0.2">
      <c r="A92" s="1" t="s">
        <v>184</v>
      </c>
      <c r="B92" s="53" t="s">
        <v>185</v>
      </c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 t="s">
        <v>47</v>
      </c>
      <c r="O92" s="53"/>
      <c r="P92" s="53"/>
      <c r="Q92" s="75">
        <v>173.56399999999999</v>
      </c>
      <c r="R92" s="55"/>
      <c r="S92" s="55"/>
      <c r="T92" s="55"/>
      <c r="U92" s="55"/>
      <c r="V92" s="55"/>
      <c r="W92" s="75">
        <v>183.81319999999999</v>
      </c>
      <c r="X92" s="55"/>
      <c r="Y92" s="55"/>
      <c r="Z92" s="55"/>
      <c r="AA92" s="55"/>
      <c r="AB92" s="55"/>
      <c r="AC92" s="57">
        <v>31903.35</v>
      </c>
      <c r="AD92" s="55"/>
      <c r="AE92" s="55"/>
    </row>
    <row r="93" spans="1:31" ht="9.75" customHeight="1" x14ac:dyDescent="0.2">
      <c r="A93" s="1" t="s">
        <v>186</v>
      </c>
      <c r="B93" s="53" t="s">
        <v>187</v>
      </c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 t="s">
        <v>47</v>
      </c>
      <c r="O93" s="53"/>
      <c r="P93" s="53"/>
      <c r="Q93" s="75">
        <v>433.91</v>
      </c>
      <c r="R93" s="55"/>
      <c r="S93" s="55"/>
      <c r="T93" s="55"/>
      <c r="U93" s="55"/>
      <c r="V93" s="55"/>
      <c r="W93" s="75">
        <v>105.5551</v>
      </c>
      <c r="X93" s="55"/>
      <c r="Y93" s="55"/>
      <c r="Z93" s="55"/>
      <c r="AA93" s="55"/>
      <c r="AB93" s="55"/>
      <c r="AC93" s="57">
        <v>45801.41</v>
      </c>
      <c r="AD93" s="55"/>
      <c r="AE93" s="55"/>
    </row>
    <row r="94" spans="1:31" ht="9.75" customHeight="1" x14ac:dyDescent="0.2">
      <c r="A94" s="1" t="s">
        <v>188</v>
      </c>
      <c r="B94" s="53" t="s">
        <v>189</v>
      </c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 t="s">
        <v>27</v>
      </c>
      <c r="O94" s="53"/>
      <c r="P94" s="53"/>
      <c r="Q94" s="66">
        <v>1</v>
      </c>
      <c r="R94" s="55"/>
      <c r="S94" s="55"/>
      <c r="T94" s="55"/>
      <c r="U94" s="55"/>
      <c r="V94" s="55"/>
      <c r="W94" s="54">
        <v>5000</v>
      </c>
      <c r="X94" s="55"/>
      <c r="Y94" s="55"/>
      <c r="Z94" s="55"/>
      <c r="AA94" s="55"/>
      <c r="AB94" s="55"/>
      <c r="AC94" s="67">
        <v>5000</v>
      </c>
      <c r="AD94" s="55"/>
      <c r="AE94" s="55"/>
    </row>
    <row r="95" spans="1:31" ht="9.75" customHeight="1" x14ac:dyDescent="0.2">
      <c r="A95" s="1" t="s">
        <v>190</v>
      </c>
      <c r="B95" s="53" t="s">
        <v>191</v>
      </c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 t="s">
        <v>27</v>
      </c>
      <c r="O95" s="53"/>
      <c r="P95" s="53"/>
      <c r="Q95" s="66">
        <v>1</v>
      </c>
      <c r="R95" s="55"/>
      <c r="S95" s="55"/>
      <c r="T95" s="55"/>
      <c r="U95" s="55"/>
      <c r="V95" s="55"/>
      <c r="W95" s="54">
        <v>4000</v>
      </c>
      <c r="X95" s="55"/>
      <c r="Y95" s="55"/>
      <c r="Z95" s="55"/>
      <c r="AA95" s="55"/>
      <c r="AB95" s="55"/>
      <c r="AC95" s="67">
        <v>4000</v>
      </c>
      <c r="AD95" s="55"/>
      <c r="AE95" s="55"/>
    </row>
    <row r="96" spans="1:31" ht="9.6" customHeight="1" x14ac:dyDescent="0.2">
      <c r="A96" s="1" t="s">
        <v>192</v>
      </c>
      <c r="B96" s="53" t="s">
        <v>193</v>
      </c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 t="s">
        <v>47</v>
      </c>
      <c r="O96" s="53"/>
      <c r="P96" s="53"/>
      <c r="Q96" s="56">
        <v>22.42</v>
      </c>
      <c r="R96" s="55"/>
      <c r="S96" s="55"/>
      <c r="T96" s="55"/>
      <c r="U96" s="55"/>
      <c r="V96" s="55"/>
      <c r="W96" s="56">
        <v>89.064999999999998</v>
      </c>
      <c r="X96" s="55"/>
      <c r="Y96" s="55"/>
      <c r="Z96" s="55"/>
      <c r="AA96" s="55"/>
      <c r="AB96" s="55"/>
      <c r="AC96" s="67">
        <v>1996.84</v>
      </c>
      <c r="AD96" s="55"/>
      <c r="AE96" s="55"/>
    </row>
    <row r="97" spans="1:31" ht="9.6" customHeight="1" x14ac:dyDescent="0.2">
      <c r="A97" s="1" t="s">
        <v>194</v>
      </c>
      <c r="B97" s="53" t="s">
        <v>195</v>
      </c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 t="s">
        <v>27</v>
      </c>
      <c r="O97" s="53"/>
      <c r="P97" s="53"/>
      <c r="Q97" s="66">
        <v>1</v>
      </c>
      <c r="R97" s="55"/>
      <c r="S97" s="55"/>
      <c r="T97" s="55"/>
      <c r="U97" s="55"/>
      <c r="V97" s="55"/>
      <c r="W97" s="73">
        <v>14000</v>
      </c>
      <c r="X97" s="55"/>
      <c r="Y97" s="55"/>
      <c r="Z97" s="55"/>
      <c r="AA97" s="55"/>
      <c r="AB97" s="55"/>
      <c r="AC97" s="57">
        <v>14000</v>
      </c>
      <c r="AD97" s="55"/>
      <c r="AE97" s="55"/>
    </row>
    <row r="98" spans="1:31" ht="9.6" customHeight="1" x14ac:dyDescent="0.2">
      <c r="A98" s="1" t="s">
        <v>196</v>
      </c>
      <c r="B98" s="53" t="s">
        <v>197</v>
      </c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 t="s">
        <v>27</v>
      </c>
      <c r="O98" s="53"/>
      <c r="P98" s="53"/>
      <c r="Q98" s="66">
        <v>1</v>
      </c>
      <c r="R98" s="55"/>
      <c r="S98" s="55"/>
      <c r="T98" s="55"/>
      <c r="U98" s="55"/>
      <c r="V98" s="55"/>
      <c r="W98" s="73">
        <v>32200</v>
      </c>
      <c r="X98" s="55"/>
      <c r="Y98" s="55"/>
      <c r="Z98" s="55"/>
      <c r="AA98" s="55"/>
      <c r="AB98" s="55"/>
      <c r="AC98" s="57">
        <v>32200</v>
      </c>
      <c r="AD98" s="55"/>
      <c r="AE98" s="55"/>
    </row>
    <row r="99" spans="1:31" ht="9.6" customHeight="1" x14ac:dyDescent="0.2">
      <c r="A99" s="3" t="s">
        <v>198</v>
      </c>
      <c r="B99" s="68" t="s">
        <v>199</v>
      </c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9"/>
      <c r="R99" s="69"/>
      <c r="S99" s="69"/>
      <c r="T99" s="69"/>
      <c r="U99" s="69"/>
      <c r="V99" s="69"/>
      <c r="W99" s="69"/>
      <c r="X99" s="69"/>
      <c r="Y99" s="69"/>
      <c r="Z99" s="69"/>
      <c r="AA99" s="69"/>
      <c r="AB99" s="69"/>
      <c r="AC99" s="70">
        <v>180280</v>
      </c>
      <c r="AD99" s="69"/>
      <c r="AE99" s="69"/>
    </row>
    <row r="100" spans="1:31" ht="9.6" customHeight="1" x14ac:dyDescent="0.2">
      <c r="A100" s="1" t="s">
        <v>200</v>
      </c>
      <c r="B100" s="53" t="s">
        <v>201</v>
      </c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 t="s">
        <v>43</v>
      </c>
      <c r="O100" s="53"/>
      <c r="P100" s="53"/>
      <c r="Q100" s="56">
        <v>24</v>
      </c>
      <c r="R100" s="55"/>
      <c r="S100" s="55"/>
      <c r="T100" s="55"/>
      <c r="U100" s="55"/>
      <c r="V100" s="55"/>
      <c r="W100" s="75">
        <v>500</v>
      </c>
      <c r="X100" s="55"/>
      <c r="Y100" s="55"/>
      <c r="Z100" s="55"/>
      <c r="AA100" s="55"/>
      <c r="AB100" s="55"/>
      <c r="AC100" s="57">
        <v>12000</v>
      </c>
      <c r="AD100" s="55"/>
      <c r="AE100" s="55"/>
    </row>
    <row r="101" spans="1:31" ht="9.6" customHeight="1" x14ac:dyDescent="0.2">
      <c r="A101" s="1" t="s">
        <v>202</v>
      </c>
      <c r="B101" s="53" t="s">
        <v>203</v>
      </c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 t="s">
        <v>43</v>
      </c>
      <c r="O101" s="53"/>
      <c r="P101" s="53"/>
      <c r="Q101" s="56">
        <v>24</v>
      </c>
      <c r="R101" s="55"/>
      <c r="S101" s="55"/>
      <c r="T101" s="55"/>
      <c r="U101" s="55"/>
      <c r="V101" s="55"/>
      <c r="W101" s="75">
        <v>800</v>
      </c>
      <c r="X101" s="55"/>
      <c r="Y101" s="55"/>
      <c r="Z101" s="55"/>
      <c r="AA101" s="55"/>
      <c r="AB101" s="55"/>
      <c r="AC101" s="57">
        <v>19200</v>
      </c>
      <c r="AD101" s="55"/>
      <c r="AE101" s="55"/>
    </row>
    <row r="102" spans="1:31" ht="9.6" customHeight="1" x14ac:dyDescent="0.2">
      <c r="A102" s="1" t="s">
        <v>204</v>
      </c>
      <c r="B102" s="53" t="s">
        <v>205</v>
      </c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 t="s">
        <v>43</v>
      </c>
      <c r="O102" s="53"/>
      <c r="P102" s="53"/>
      <c r="Q102" s="56">
        <v>24</v>
      </c>
      <c r="R102" s="55"/>
      <c r="S102" s="55"/>
      <c r="T102" s="55"/>
      <c r="U102" s="55"/>
      <c r="V102" s="55"/>
      <c r="W102" s="75">
        <v>100</v>
      </c>
      <c r="X102" s="55"/>
      <c r="Y102" s="55"/>
      <c r="Z102" s="55"/>
      <c r="AA102" s="55"/>
      <c r="AB102" s="55"/>
      <c r="AC102" s="67">
        <v>2400</v>
      </c>
      <c r="AD102" s="55"/>
      <c r="AE102" s="55"/>
    </row>
    <row r="103" spans="1:31" ht="9.6" customHeight="1" x14ac:dyDescent="0.2">
      <c r="A103" s="1" t="s">
        <v>206</v>
      </c>
      <c r="B103" s="53" t="s">
        <v>207</v>
      </c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 t="s">
        <v>43</v>
      </c>
      <c r="O103" s="53"/>
      <c r="P103" s="53"/>
      <c r="Q103" s="56">
        <v>24</v>
      </c>
      <c r="R103" s="55"/>
      <c r="S103" s="55"/>
      <c r="T103" s="55"/>
      <c r="U103" s="55"/>
      <c r="V103" s="55"/>
      <c r="W103" s="56">
        <v>70</v>
      </c>
      <c r="X103" s="55"/>
      <c r="Y103" s="55"/>
      <c r="Z103" s="55"/>
      <c r="AA103" s="55"/>
      <c r="AB103" s="55"/>
      <c r="AC103" s="67">
        <v>1680</v>
      </c>
      <c r="AD103" s="55"/>
      <c r="AE103" s="55"/>
    </row>
    <row r="104" spans="1:31" ht="9.6" customHeight="1" x14ac:dyDescent="0.2">
      <c r="A104" s="1" t="s">
        <v>208</v>
      </c>
      <c r="B104" s="53" t="s">
        <v>209</v>
      </c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 t="s">
        <v>43</v>
      </c>
      <c r="O104" s="53"/>
      <c r="P104" s="53"/>
      <c r="Q104" s="56">
        <v>24</v>
      </c>
      <c r="R104" s="55"/>
      <c r="S104" s="55"/>
      <c r="T104" s="55"/>
      <c r="U104" s="55"/>
      <c r="V104" s="55"/>
      <c r="W104" s="56">
        <v>50</v>
      </c>
      <c r="X104" s="55"/>
      <c r="Y104" s="55"/>
      <c r="Z104" s="55"/>
      <c r="AA104" s="55"/>
      <c r="AB104" s="55"/>
      <c r="AC104" s="67">
        <v>1200</v>
      </c>
      <c r="AD104" s="55"/>
      <c r="AE104" s="55"/>
    </row>
    <row r="105" spans="1:31" ht="9.6" customHeight="1" x14ac:dyDescent="0.2">
      <c r="A105" s="1" t="s">
        <v>210</v>
      </c>
      <c r="B105" s="53" t="s">
        <v>211</v>
      </c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 t="s">
        <v>43</v>
      </c>
      <c r="O105" s="53"/>
      <c r="P105" s="53"/>
      <c r="Q105" s="56">
        <v>24</v>
      </c>
      <c r="R105" s="55"/>
      <c r="S105" s="55"/>
      <c r="T105" s="55"/>
      <c r="U105" s="55"/>
      <c r="V105" s="55"/>
      <c r="W105" s="75">
        <v>750</v>
      </c>
      <c r="X105" s="55"/>
      <c r="Y105" s="55"/>
      <c r="Z105" s="55"/>
      <c r="AA105" s="55"/>
      <c r="AB105" s="55"/>
      <c r="AC105" s="57">
        <v>18000</v>
      </c>
      <c r="AD105" s="55"/>
      <c r="AE105" s="55"/>
    </row>
    <row r="106" spans="1:31" ht="9.6" customHeight="1" x14ac:dyDescent="0.2">
      <c r="A106" s="1" t="s">
        <v>212</v>
      </c>
      <c r="B106" s="53" t="s">
        <v>213</v>
      </c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 t="s">
        <v>43</v>
      </c>
      <c r="O106" s="53"/>
      <c r="P106" s="53"/>
      <c r="Q106" s="56">
        <v>24</v>
      </c>
      <c r="R106" s="55"/>
      <c r="S106" s="55"/>
      <c r="T106" s="55"/>
      <c r="U106" s="55"/>
      <c r="V106" s="55"/>
      <c r="W106" s="75">
        <v>300</v>
      </c>
      <c r="X106" s="55"/>
      <c r="Y106" s="55"/>
      <c r="Z106" s="55"/>
      <c r="AA106" s="55"/>
      <c r="AB106" s="55"/>
      <c r="AC106" s="67">
        <v>7200</v>
      </c>
      <c r="AD106" s="55"/>
      <c r="AE106" s="55"/>
    </row>
    <row r="107" spans="1:31" ht="9.75" customHeight="1" x14ac:dyDescent="0.2">
      <c r="A107" s="1" t="s">
        <v>214</v>
      </c>
      <c r="B107" s="53" t="s">
        <v>215</v>
      </c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 t="s">
        <v>43</v>
      </c>
      <c r="O107" s="53"/>
      <c r="P107" s="53"/>
      <c r="Q107" s="56">
        <v>24</v>
      </c>
      <c r="R107" s="55"/>
      <c r="S107" s="55"/>
      <c r="T107" s="55"/>
      <c r="U107" s="55"/>
      <c r="V107" s="55"/>
      <c r="W107" s="75">
        <v>400</v>
      </c>
      <c r="X107" s="55"/>
      <c r="Y107" s="55"/>
      <c r="Z107" s="55"/>
      <c r="AA107" s="55"/>
      <c r="AB107" s="55"/>
      <c r="AC107" s="67">
        <v>9600</v>
      </c>
      <c r="AD107" s="55"/>
      <c r="AE107" s="55"/>
    </row>
    <row r="108" spans="1:31" ht="9.6" customHeight="1" x14ac:dyDescent="0.2">
      <c r="A108" s="1" t="s">
        <v>216</v>
      </c>
      <c r="B108" s="53" t="s">
        <v>217</v>
      </c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 t="s">
        <v>27</v>
      </c>
      <c r="O108" s="53"/>
      <c r="P108" s="53"/>
      <c r="Q108" s="66">
        <v>1</v>
      </c>
      <c r="R108" s="55"/>
      <c r="S108" s="55"/>
      <c r="T108" s="55"/>
      <c r="U108" s="55"/>
      <c r="V108" s="55"/>
      <c r="W108" s="73">
        <v>12700</v>
      </c>
      <c r="X108" s="55"/>
      <c r="Y108" s="55"/>
      <c r="Z108" s="55"/>
      <c r="AA108" s="55"/>
      <c r="AB108" s="55"/>
      <c r="AC108" s="57">
        <v>12700</v>
      </c>
      <c r="AD108" s="55"/>
      <c r="AE108" s="55"/>
    </row>
    <row r="109" spans="1:31" ht="9.6" customHeight="1" x14ac:dyDescent="0.2">
      <c r="A109" s="1" t="s">
        <v>218</v>
      </c>
      <c r="B109" s="53" t="s">
        <v>219</v>
      </c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 t="s">
        <v>43</v>
      </c>
      <c r="O109" s="53"/>
      <c r="P109" s="53"/>
      <c r="Q109" s="56">
        <v>24</v>
      </c>
      <c r="R109" s="55"/>
      <c r="S109" s="55"/>
      <c r="T109" s="55"/>
      <c r="U109" s="55"/>
      <c r="V109" s="55"/>
      <c r="W109" s="75">
        <v>200</v>
      </c>
      <c r="X109" s="55"/>
      <c r="Y109" s="55"/>
      <c r="Z109" s="55"/>
      <c r="AA109" s="55"/>
      <c r="AB109" s="55"/>
      <c r="AC109" s="67">
        <v>4800</v>
      </c>
      <c r="AD109" s="55"/>
      <c r="AE109" s="55"/>
    </row>
    <row r="110" spans="1:31" ht="9.6" customHeight="1" x14ac:dyDescent="0.2">
      <c r="A110" s="1" t="s">
        <v>220</v>
      </c>
      <c r="B110" s="53" t="s">
        <v>221</v>
      </c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 t="s">
        <v>43</v>
      </c>
      <c r="O110" s="53"/>
      <c r="P110" s="53"/>
      <c r="Q110" s="56">
        <v>24</v>
      </c>
      <c r="R110" s="55"/>
      <c r="S110" s="55"/>
      <c r="T110" s="55"/>
      <c r="U110" s="55"/>
      <c r="V110" s="55"/>
      <c r="W110" s="75">
        <v>900</v>
      </c>
      <c r="X110" s="55"/>
      <c r="Y110" s="55"/>
      <c r="Z110" s="55"/>
      <c r="AA110" s="55"/>
      <c r="AB110" s="55"/>
      <c r="AC110" s="57">
        <v>21600</v>
      </c>
      <c r="AD110" s="55"/>
      <c r="AE110" s="55"/>
    </row>
    <row r="111" spans="1:31" ht="9.6" customHeight="1" x14ac:dyDescent="0.2">
      <c r="A111" s="1" t="s">
        <v>222</v>
      </c>
      <c r="B111" s="53" t="s">
        <v>223</v>
      </c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 t="s">
        <v>43</v>
      </c>
      <c r="O111" s="53"/>
      <c r="P111" s="53"/>
      <c r="Q111" s="56">
        <v>24</v>
      </c>
      <c r="R111" s="55"/>
      <c r="S111" s="55"/>
      <c r="T111" s="55"/>
      <c r="U111" s="55"/>
      <c r="V111" s="55"/>
      <c r="W111" s="75">
        <v>150</v>
      </c>
      <c r="X111" s="55"/>
      <c r="Y111" s="55"/>
      <c r="Z111" s="55"/>
      <c r="AA111" s="55"/>
      <c r="AB111" s="55"/>
      <c r="AC111" s="67">
        <v>3600</v>
      </c>
      <c r="AD111" s="55"/>
      <c r="AE111" s="55"/>
    </row>
    <row r="112" spans="1:31" ht="9.75" customHeight="1" x14ac:dyDescent="0.2">
      <c r="A112" s="1" t="s">
        <v>224</v>
      </c>
      <c r="B112" s="53" t="s">
        <v>225</v>
      </c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 t="s">
        <v>43</v>
      </c>
      <c r="O112" s="53"/>
      <c r="P112" s="53"/>
      <c r="Q112" s="56">
        <v>24</v>
      </c>
      <c r="R112" s="55"/>
      <c r="S112" s="55"/>
      <c r="T112" s="55"/>
      <c r="U112" s="55"/>
      <c r="V112" s="55"/>
      <c r="W112" s="54">
        <v>1500</v>
      </c>
      <c r="X112" s="55"/>
      <c r="Y112" s="55"/>
      <c r="Z112" s="55"/>
      <c r="AA112" s="55"/>
      <c r="AB112" s="55"/>
      <c r="AC112" s="57">
        <v>36000</v>
      </c>
      <c r="AD112" s="55"/>
      <c r="AE112" s="55"/>
    </row>
    <row r="113" spans="1:31" ht="9.75" customHeight="1" x14ac:dyDescent="0.2">
      <c r="A113" s="1" t="s">
        <v>226</v>
      </c>
      <c r="B113" s="53" t="s">
        <v>227</v>
      </c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 t="s">
        <v>27</v>
      </c>
      <c r="O113" s="53"/>
      <c r="P113" s="53"/>
      <c r="Q113" s="66">
        <v>1</v>
      </c>
      <c r="R113" s="55"/>
      <c r="S113" s="55"/>
      <c r="T113" s="55"/>
      <c r="U113" s="55"/>
      <c r="V113" s="55"/>
      <c r="W113" s="54">
        <v>7500</v>
      </c>
      <c r="X113" s="55"/>
      <c r="Y113" s="55"/>
      <c r="Z113" s="55"/>
      <c r="AA113" s="55"/>
      <c r="AB113" s="55"/>
      <c r="AC113" s="67">
        <v>7500</v>
      </c>
      <c r="AD113" s="55"/>
      <c r="AE113" s="55"/>
    </row>
    <row r="114" spans="1:31" ht="9.75" customHeight="1" x14ac:dyDescent="0.2">
      <c r="A114" s="1" t="s">
        <v>228</v>
      </c>
      <c r="B114" s="53" t="s">
        <v>229</v>
      </c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 t="s">
        <v>43</v>
      </c>
      <c r="O114" s="53"/>
      <c r="P114" s="53"/>
      <c r="Q114" s="56">
        <v>24</v>
      </c>
      <c r="R114" s="55"/>
      <c r="S114" s="55"/>
      <c r="T114" s="55"/>
      <c r="U114" s="55"/>
      <c r="V114" s="55"/>
      <c r="W114" s="75">
        <v>500</v>
      </c>
      <c r="X114" s="55"/>
      <c r="Y114" s="55"/>
      <c r="Z114" s="55"/>
      <c r="AA114" s="55"/>
      <c r="AB114" s="55"/>
      <c r="AC114" s="57">
        <v>12000</v>
      </c>
      <c r="AD114" s="55"/>
      <c r="AE114" s="55"/>
    </row>
    <row r="115" spans="1:31" ht="9.6" customHeight="1" x14ac:dyDescent="0.2">
      <c r="A115" s="1" t="s">
        <v>230</v>
      </c>
      <c r="B115" s="53" t="s">
        <v>231</v>
      </c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 t="s">
        <v>43</v>
      </c>
      <c r="O115" s="53"/>
      <c r="P115" s="53"/>
      <c r="Q115" s="56">
        <v>24</v>
      </c>
      <c r="R115" s="55"/>
      <c r="S115" s="55"/>
      <c r="T115" s="55"/>
      <c r="U115" s="55"/>
      <c r="V115" s="55"/>
      <c r="W115" s="75">
        <v>200</v>
      </c>
      <c r="X115" s="55"/>
      <c r="Y115" s="55"/>
      <c r="Z115" s="55"/>
      <c r="AA115" s="55"/>
      <c r="AB115" s="55"/>
      <c r="AC115" s="67">
        <v>4800</v>
      </c>
      <c r="AD115" s="55"/>
      <c r="AE115" s="55"/>
    </row>
    <row r="116" spans="1:31" ht="9.75" customHeight="1" x14ac:dyDescent="0.2">
      <c r="A116" s="1" t="s">
        <v>232</v>
      </c>
      <c r="B116" s="53" t="s">
        <v>233</v>
      </c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 t="s">
        <v>43</v>
      </c>
      <c r="O116" s="53"/>
      <c r="P116" s="53"/>
      <c r="Q116" s="56">
        <v>24</v>
      </c>
      <c r="R116" s="55"/>
      <c r="S116" s="55"/>
      <c r="T116" s="55"/>
      <c r="U116" s="55"/>
      <c r="V116" s="55"/>
      <c r="W116" s="75">
        <v>100</v>
      </c>
      <c r="X116" s="55"/>
      <c r="Y116" s="55"/>
      <c r="Z116" s="55"/>
      <c r="AA116" s="55"/>
      <c r="AB116" s="55"/>
      <c r="AC116" s="67">
        <v>2400</v>
      </c>
      <c r="AD116" s="55"/>
      <c r="AE116" s="55"/>
    </row>
    <row r="117" spans="1:31" ht="9.6" customHeight="1" x14ac:dyDescent="0.2">
      <c r="A117" s="1" t="s">
        <v>234</v>
      </c>
      <c r="B117" s="53" t="s">
        <v>235</v>
      </c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 t="s">
        <v>43</v>
      </c>
      <c r="O117" s="53"/>
      <c r="P117" s="53"/>
      <c r="Q117" s="56">
        <v>24</v>
      </c>
      <c r="R117" s="55"/>
      <c r="S117" s="55"/>
      <c r="T117" s="55"/>
      <c r="U117" s="55"/>
      <c r="V117" s="55"/>
      <c r="W117" s="75">
        <v>150</v>
      </c>
      <c r="X117" s="55"/>
      <c r="Y117" s="55"/>
      <c r="Z117" s="55"/>
      <c r="AA117" s="55"/>
      <c r="AB117" s="55"/>
      <c r="AC117" s="67">
        <v>3600</v>
      </c>
      <c r="AD117" s="55"/>
      <c r="AE117" s="55"/>
    </row>
    <row r="118" spans="1:31" ht="9.6" customHeight="1" x14ac:dyDescent="0.2">
      <c r="A118" s="3" t="s">
        <v>236</v>
      </c>
      <c r="B118" s="68" t="s">
        <v>237</v>
      </c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9"/>
      <c r="R118" s="69"/>
      <c r="S118" s="69"/>
      <c r="T118" s="69"/>
      <c r="U118" s="69"/>
      <c r="V118" s="69"/>
      <c r="W118" s="69"/>
      <c r="X118" s="69"/>
      <c r="Y118" s="69"/>
      <c r="Z118" s="69"/>
      <c r="AA118" s="69"/>
      <c r="AB118" s="69"/>
      <c r="AC118" s="70">
        <v>332060</v>
      </c>
      <c r="AD118" s="69"/>
      <c r="AE118" s="69"/>
    </row>
    <row r="119" spans="1:31" ht="9.6" customHeight="1" x14ac:dyDescent="0.2">
      <c r="A119" s="3" t="s">
        <v>238</v>
      </c>
      <c r="B119" s="68" t="s">
        <v>237</v>
      </c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9"/>
      <c r="R119" s="69"/>
      <c r="S119" s="69"/>
      <c r="T119" s="69"/>
      <c r="U119" s="69"/>
      <c r="V119" s="69"/>
      <c r="W119" s="69"/>
      <c r="X119" s="69"/>
      <c r="Y119" s="69"/>
      <c r="Z119" s="69"/>
      <c r="AA119" s="69"/>
      <c r="AB119" s="69"/>
      <c r="AC119" s="70">
        <v>332060</v>
      </c>
      <c r="AD119" s="69"/>
      <c r="AE119" s="69"/>
    </row>
    <row r="120" spans="1:31" ht="9.6" customHeight="1" x14ac:dyDescent="0.2">
      <c r="A120" s="3" t="s">
        <v>239</v>
      </c>
      <c r="B120" s="68" t="s">
        <v>240</v>
      </c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9"/>
      <c r="R120" s="69"/>
      <c r="S120" s="69"/>
      <c r="T120" s="69"/>
      <c r="U120" s="69"/>
      <c r="V120" s="69"/>
      <c r="W120" s="69"/>
      <c r="X120" s="69"/>
      <c r="Y120" s="69"/>
      <c r="Z120" s="69"/>
      <c r="AA120" s="69"/>
      <c r="AB120" s="69"/>
      <c r="AC120" s="74">
        <v>15600</v>
      </c>
      <c r="AD120" s="69"/>
      <c r="AE120" s="69"/>
    </row>
    <row r="121" spans="1:31" ht="9.6" customHeight="1" x14ac:dyDescent="0.2">
      <c r="A121" s="1" t="s">
        <v>241</v>
      </c>
      <c r="B121" s="53" t="s">
        <v>242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 t="s">
        <v>27</v>
      </c>
      <c r="O121" s="53"/>
      <c r="P121" s="53"/>
      <c r="Q121" s="66">
        <v>1</v>
      </c>
      <c r="R121" s="55"/>
      <c r="S121" s="55"/>
      <c r="T121" s="55"/>
      <c r="U121" s="55"/>
      <c r="V121" s="55"/>
      <c r="W121" s="73">
        <v>15600</v>
      </c>
      <c r="X121" s="55"/>
      <c r="Y121" s="55"/>
      <c r="Z121" s="55"/>
      <c r="AA121" s="55"/>
      <c r="AB121" s="55"/>
      <c r="AC121" s="57">
        <v>15600</v>
      </c>
      <c r="AD121" s="55"/>
      <c r="AE121" s="55"/>
    </row>
    <row r="122" spans="1:31" ht="9.6" customHeight="1" x14ac:dyDescent="0.2">
      <c r="A122" s="3" t="s">
        <v>243</v>
      </c>
      <c r="B122" s="68" t="s">
        <v>244</v>
      </c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9"/>
      <c r="R122" s="69"/>
      <c r="S122" s="69"/>
      <c r="T122" s="69"/>
      <c r="U122" s="69"/>
      <c r="V122" s="69"/>
      <c r="W122" s="69"/>
      <c r="X122" s="69"/>
      <c r="Y122" s="69"/>
      <c r="Z122" s="69"/>
      <c r="AA122" s="69"/>
      <c r="AB122" s="69"/>
      <c r="AC122" s="70">
        <v>293460</v>
      </c>
      <c r="AD122" s="69"/>
      <c r="AE122" s="69"/>
    </row>
    <row r="123" spans="1:31" ht="9.6" customHeight="1" x14ac:dyDescent="0.2">
      <c r="A123" s="1" t="s">
        <v>245</v>
      </c>
      <c r="B123" s="53" t="s">
        <v>246</v>
      </c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 t="s">
        <v>27</v>
      </c>
      <c r="O123" s="53"/>
      <c r="P123" s="53"/>
      <c r="Q123" s="66">
        <v>1</v>
      </c>
      <c r="R123" s="55"/>
      <c r="S123" s="55"/>
      <c r="T123" s="55"/>
      <c r="U123" s="55"/>
      <c r="V123" s="55"/>
      <c r="W123" s="73">
        <v>14700</v>
      </c>
      <c r="X123" s="55"/>
      <c r="Y123" s="55"/>
      <c r="Z123" s="55"/>
      <c r="AA123" s="55"/>
      <c r="AB123" s="55"/>
      <c r="AC123" s="57">
        <v>14700</v>
      </c>
      <c r="AD123" s="55"/>
      <c r="AE123" s="55"/>
    </row>
    <row r="124" spans="1:31" ht="9.75" customHeight="1" x14ac:dyDescent="0.2">
      <c r="A124" s="1" t="s">
        <v>247</v>
      </c>
      <c r="B124" s="53" t="s">
        <v>248</v>
      </c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 t="s">
        <v>158</v>
      </c>
      <c r="O124" s="53"/>
      <c r="P124" s="53"/>
      <c r="Q124" s="66">
        <v>2</v>
      </c>
      <c r="R124" s="55"/>
      <c r="S124" s="55"/>
      <c r="T124" s="55"/>
      <c r="U124" s="55"/>
      <c r="V124" s="55"/>
      <c r="W124" s="54">
        <v>3500</v>
      </c>
      <c r="X124" s="55"/>
      <c r="Y124" s="55"/>
      <c r="Z124" s="55"/>
      <c r="AA124" s="55"/>
      <c r="AB124" s="55"/>
      <c r="AC124" s="67">
        <v>7000</v>
      </c>
      <c r="AD124" s="55"/>
      <c r="AE124" s="55"/>
    </row>
    <row r="125" spans="1:31" ht="9.6" customHeight="1" x14ac:dyDescent="0.2">
      <c r="A125" s="1" t="s">
        <v>249</v>
      </c>
      <c r="B125" s="53" t="s">
        <v>250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 t="s">
        <v>43</v>
      </c>
      <c r="O125" s="53"/>
      <c r="P125" s="53"/>
      <c r="Q125" s="56">
        <v>11</v>
      </c>
      <c r="R125" s="55"/>
      <c r="S125" s="55"/>
      <c r="T125" s="55"/>
      <c r="U125" s="55"/>
      <c r="V125" s="55"/>
      <c r="W125" s="54">
        <v>7500</v>
      </c>
      <c r="X125" s="55"/>
      <c r="Y125" s="55"/>
      <c r="Z125" s="55"/>
      <c r="AA125" s="55"/>
      <c r="AB125" s="55"/>
      <c r="AC125" s="57">
        <v>82500</v>
      </c>
      <c r="AD125" s="55"/>
      <c r="AE125" s="55"/>
    </row>
    <row r="126" spans="1:31" ht="9.75" customHeight="1" x14ac:dyDescent="0.2">
      <c r="A126" s="1" t="s">
        <v>251</v>
      </c>
      <c r="B126" s="53" t="s">
        <v>252</v>
      </c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 t="s">
        <v>43</v>
      </c>
      <c r="O126" s="53"/>
      <c r="P126" s="53"/>
      <c r="Q126" s="56">
        <v>11</v>
      </c>
      <c r="R126" s="55"/>
      <c r="S126" s="55"/>
      <c r="T126" s="55"/>
      <c r="U126" s="55"/>
      <c r="V126" s="55"/>
      <c r="W126" s="54">
        <v>2300</v>
      </c>
      <c r="X126" s="55"/>
      <c r="Y126" s="55"/>
      <c r="Z126" s="55"/>
      <c r="AA126" s="55"/>
      <c r="AB126" s="55"/>
      <c r="AC126" s="57">
        <v>25300</v>
      </c>
      <c r="AD126" s="55"/>
      <c r="AE126" s="55"/>
    </row>
    <row r="127" spans="1:31" ht="9.75" customHeight="1" x14ac:dyDescent="0.2">
      <c r="A127" s="1" t="s">
        <v>253</v>
      </c>
      <c r="B127" s="53" t="s">
        <v>254</v>
      </c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 t="s">
        <v>43</v>
      </c>
      <c r="O127" s="53"/>
      <c r="P127" s="53"/>
      <c r="Q127" s="56">
        <v>12</v>
      </c>
      <c r="R127" s="55"/>
      <c r="S127" s="55"/>
      <c r="T127" s="55"/>
      <c r="U127" s="55"/>
      <c r="V127" s="55"/>
      <c r="W127" s="54">
        <v>9000</v>
      </c>
      <c r="X127" s="55"/>
      <c r="Y127" s="55"/>
      <c r="Z127" s="55"/>
      <c r="AA127" s="55"/>
      <c r="AB127" s="55"/>
      <c r="AC127" s="72">
        <v>108000</v>
      </c>
      <c r="AD127" s="55"/>
      <c r="AE127" s="55"/>
    </row>
    <row r="128" spans="1:31" ht="9.75" customHeight="1" x14ac:dyDescent="0.2">
      <c r="A128" s="1" t="s">
        <v>255</v>
      </c>
      <c r="B128" s="53" t="s">
        <v>256</v>
      </c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 t="s">
        <v>158</v>
      </c>
      <c r="O128" s="53"/>
      <c r="P128" s="53"/>
      <c r="Q128" s="66">
        <v>2</v>
      </c>
      <c r="R128" s="55"/>
      <c r="S128" s="55"/>
      <c r="T128" s="55"/>
      <c r="U128" s="55"/>
      <c r="V128" s="55"/>
      <c r="W128" s="54">
        <v>9500</v>
      </c>
      <c r="X128" s="55"/>
      <c r="Y128" s="55"/>
      <c r="Z128" s="55"/>
      <c r="AA128" s="55"/>
      <c r="AB128" s="55"/>
      <c r="AC128" s="57">
        <v>19000</v>
      </c>
      <c r="AD128" s="55"/>
      <c r="AE128" s="55"/>
    </row>
    <row r="129" spans="1:31" ht="9.6" customHeight="1" x14ac:dyDescent="0.2">
      <c r="A129" s="1" t="s">
        <v>257</v>
      </c>
      <c r="B129" s="53" t="s">
        <v>258</v>
      </c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 t="s">
        <v>43</v>
      </c>
      <c r="O129" s="53"/>
      <c r="P129" s="53"/>
      <c r="Q129" s="56">
        <v>12</v>
      </c>
      <c r="R129" s="55"/>
      <c r="S129" s="55"/>
      <c r="T129" s="55"/>
      <c r="U129" s="55"/>
      <c r="V129" s="55"/>
      <c r="W129" s="54">
        <v>3080</v>
      </c>
      <c r="X129" s="55"/>
      <c r="Y129" s="55"/>
      <c r="Z129" s="55"/>
      <c r="AA129" s="55"/>
      <c r="AB129" s="55"/>
      <c r="AC129" s="57">
        <v>36960</v>
      </c>
      <c r="AD129" s="55"/>
      <c r="AE129" s="55"/>
    </row>
    <row r="130" spans="1:31" ht="9.6" customHeight="1" x14ac:dyDescent="0.2">
      <c r="A130" s="3" t="s">
        <v>259</v>
      </c>
      <c r="B130" s="68" t="s">
        <v>260</v>
      </c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9"/>
      <c r="R130" s="69"/>
      <c r="S130" s="69"/>
      <c r="T130" s="69"/>
      <c r="U130" s="69"/>
      <c r="V130" s="69"/>
      <c r="W130" s="69"/>
      <c r="X130" s="69"/>
      <c r="Y130" s="69"/>
      <c r="Z130" s="69"/>
      <c r="AA130" s="69"/>
      <c r="AB130" s="69"/>
      <c r="AC130" s="74">
        <v>23000</v>
      </c>
      <c r="AD130" s="69"/>
      <c r="AE130" s="69"/>
    </row>
    <row r="131" spans="1:31" ht="9.6" customHeight="1" x14ac:dyDescent="0.2">
      <c r="A131" s="1" t="s">
        <v>261</v>
      </c>
      <c r="B131" s="53" t="s">
        <v>262</v>
      </c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 t="s">
        <v>43</v>
      </c>
      <c r="O131" s="53"/>
      <c r="P131" s="53"/>
      <c r="Q131" s="66">
        <v>6</v>
      </c>
      <c r="R131" s="55"/>
      <c r="S131" s="55"/>
      <c r="T131" s="55"/>
      <c r="U131" s="55"/>
      <c r="V131" s="55"/>
      <c r="W131" s="54">
        <v>2500</v>
      </c>
      <c r="X131" s="55"/>
      <c r="Y131" s="55"/>
      <c r="Z131" s="55"/>
      <c r="AA131" s="55"/>
      <c r="AB131" s="55"/>
      <c r="AC131" s="57">
        <v>15000</v>
      </c>
      <c r="AD131" s="55"/>
      <c r="AE131" s="55"/>
    </row>
    <row r="132" spans="1:31" ht="9.6" customHeight="1" x14ac:dyDescent="0.2">
      <c r="A132" s="1" t="s">
        <v>263</v>
      </c>
      <c r="B132" s="53" t="s">
        <v>264</v>
      </c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 t="s">
        <v>158</v>
      </c>
      <c r="O132" s="53"/>
      <c r="P132" s="53"/>
      <c r="Q132" s="66">
        <v>8</v>
      </c>
      <c r="R132" s="55"/>
      <c r="S132" s="55"/>
      <c r="T132" s="55"/>
      <c r="U132" s="55"/>
      <c r="V132" s="55"/>
      <c r="W132" s="54">
        <v>1000</v>
      </c>
      <c r="X132" s="55"/>
      <c r="Y132" s="55"/>
      <c r="Z132" s="55"/>
      <c r="AA132" s="55"/>
      <c r="AB132" s="55"/>
      <c r="AC132" s="67">
        <v>8000</v>
      </c>
      <c r="AD132" s="55"/>
      <c r="AE132" s="55"/>
    </row>
    <row r="133" spans="1:31" ht="9.6" customHeight="1" x14ac:dyDescent="0.2">
      <c r="A133" s="58" t="s">
        <v>48</v>
      </c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84">
        <v>2728339.52</v>
      </c>
      <c r="AD133" s="58"/>
      <c r="AE133" s="58"/>
    </row>
    <row r="134" spans="1:31" ht="9.6" customHeight="1" x14ac:dyDescent="0.2">
      <c r="A134" s="82"/>
      <c r="B134" s="82"/>
      <c r="C134" s="82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  <c r="AA134" s="82"/>
      <c r="AB134" s="82"/>
      <c r="AC134" s="82"/>
      <c r="AD134" s="82"/>
      <c r="AE134" s="82"/>
    </row>
    <row r="135" spans="1:31" ht="9.6" customHeight="1" x14ac:dyDescent="0.2">
      <c r="A135" s="58" t="s">
        <v>1</v>
      </c>
      <c r="B135" s="58"/>
      <c r="C135" s="58"/>
      <c r="D135" s="53" t="s">
        <v>2</v>
      </c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  <c r="AE135" s="53"/>
    </row>
    <row r="136" spans="1:31" ht="9.75" customHeight="1" x14ac:dyDescent="0.2">
      <c r="A136" s="58" t="s">
        <v>3</v>
      </c>
      <c r="B136" s="58"/>
      <c r="C136" s="58"/>
      <c r="D136" s="53" t="s">
        <v>265</v>
      </c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</row>
    <row r="137" spans="1:31" ht="9.6" customHeight="1" x14ac:dyDescent="0.2">
      <c r="A137" s="58" t="s">
        <v>4</v>
      </c>
      <c r="B137" s="58"/>
      <c r="C137" s="58"/>
      <c r="D137" s="53" t="s">
        <v>5</v>
      </c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</row>
    <row r="138" spans="1:31" ht="9.6" customHeight="1" x14ac:dyDescent="0.2">
      <c r="A138" s="58" t="s">
        <v>6</v>
      </c>
      <c r="B138" s="58"/>
      <c r="C138" s="58"/>
      <c r="D138" s="53" t="s">
        <v>7</v>
      </c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  <c r="AE138" s="53"/>
    </row>
    <row r="139" spans="1:31" ht="9.6" customHeight="1" x14ac:dyDescent="0.2">
      <c r="A139" s="58" t="s">
        <v>8</v>
      </c>
      <c r="B139" s="58"/>
      <c r="C139" s="58"/>
      <c r="D139" s="53" t="s">
        <v>9</v>
      </c>
      <c r="E139" s="53"/>
      <c r="F139" s="53"/>
      <c r="G139" s="53"/>
      <c r="H139" s="53"/>
      <c r="I139" s="53"/>
      <c r="J139" s="53"/>
      <c r="K139" s="53"/>
      <c r="L139" s="58" t="s">
        <v>10</v>
      </c>
      <c r="M139" s="58"/>
      <c r="N139" s="58"/>
      <c r="O139" s="58"/>
      <c r="P139" s="58"/>
      <c r="Q139" s="58"/>
      <c r="R139" s="58"/>
      <c r="S139" s="58"/>
      <c r="T139" s="58"/>
      <c r="U139" s="58"/>
      <c r="V139" s="53" t="s">
        <v>11</v>
      </c>
      <c r="W139" s="53"/>
      <c r="X139" s="53"/>
      <c r="Y139" s="53"/>
      <c r="Z139" s="53"/>
      <c r="AA139" s="53"/>
      <c r="AB139" s="53"/>
      <c r="AC139" s="53"/>
      <c r="AD139" s="53"/>
      <c r="AE139" s="53"/>
    </row>
    <row r="140" spans="1:31" ht="9.6" customHeight="1" x14ac:dyDescent="0.2">
      <c r="A140" s="58" t="s">
        <v>12</v>
      </c>
      <c r="B140" s="58"/>
      <c r="C140" s="58"/>
      <c r="D140" s="53" t="s">
        <v>13</v>
      </c>
      <c r="E140" s="53"/>
      <c r="F140" s="53"/>
      <c r="G140" s="53"/>
      <c r="H140" s="53"/>
      <c r="I140" s="53"/>
      <c r="J140" s="53"/>
      <c r="K140" s="53"/>
      <c r="L140" s="58" t="s">
        <v>14</v>
      </c>
      <c r="M140" s="58"/>
      <c r="N140" s="58"/>
      <c r="O140" s="58"/>
      <c r="P140" s="58"/>
      <c r="Q140" s="58"/>
      <c r="R140" s="58"/>
      <c r="S140" s="58"/>
      <c r="T140" s="58"/>
      <c r="U140" s="58"/>
      <c r="V140" s="53" t="s">
        <v>13</v>
      </c>
      <c r="W140" s="53"/>
      <c r="X140" s="53"/>
      <c r="Y140" s="53"/>
      <c r="Z140" s="53"/>
      <c r="AA140" s="53"/>
      <c r="AB140" s="53"/>
      <c r="AC140" s="53"/>
      <c r="AD140" s="53"/>
      <c r="AE140" s="53"/>
    </row>
    <row r="141" spans="1:31" ht="9.6" customHeight="1" x14ac:dyDescent="0.2">
      <c r="A141" s="58" t="s">
        <v>15</v>
      </c>
      <c r="B141" s="58"/>
      <c r="C141" s="58"/>
      <c r="D141" s="53" t="s">
        <v>16</v>
      </c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</row>
    <row r="142" spans="1:31" ht="9.6" customHeight="1" x14ac:dyDescent="0.2">
      <c r="A142" s="82"/>
      <c r="B142" s="82"/>
      <c r="C142" s="82"/>
      <c r="D142" s="82"/>
      <c r="E142" s="82"/>
      <c r="F142" s="82"/>
      <c r="G142" s="82"/>
      <c r="H142" s="82"/>
      <c r="I142" s="82"/>
      <c r="J142" s="82"/>
      <c r="K142" s="82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  <c r="AA142" s="82"/>
      <c r="AB142" s="82"/>
      <c r="AC142" s="82"/>
      <c r="AD142" s="82"/>
      <c r="AE142" s="82"/>
    </row>
    <row r="143" spans="1:31" ht="9.6" customHeight="1" x14ac:dyDescent="0.2">
      <c r="A143" s="2" t="s">
        <v>17</v>
      </c>
      <c r="B143" s="83" t="s">
        <v>18</v>
      </c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 t="s">
        <v>19</v>
      </c>
      <c r="O143" s="83"/>
      <c r="P143" s="83"/>
      <c r="Q143" s="58" t="s">
        <v>20</v>
      </c>
      <c r="R143" s="58"/>
      <c r="S143" s="58"/>
      <c r="T143" s="58"/>
      <c r="U143" s="58"/>
      <c r="V143" s="58"/>
      <c r="W143" s="58" t="s">
        <v>21</v>
      </c>
      <c r="X143" s="58"/>
      <c r="Y143" s="58"/>
      <c r="Z143" s="58"/>
      <c r="AA143" s="58"/>
      <c r="AB143" s="58"/>
      <c r="AC143" s="58" t="s">
        <v>22</v>
      </c>
      <c r="AD143" s="58"/>
      <c r="AE143" s="58"/>
    </row>
    <row r="144" spans="1:31" ht="9.6" customHeight="1" x14ac:dyDescent="0.2">
      <c r="A144" s="3" t="s">
        <v>23</v>
      </c>
      <c r="B144" s="68" t="s">
        <v>266</v>
      </c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9"/>
      <c r="R144" s="69"/>
      <c r="S144" s="69"/>
      <c r="T144" s="69"/>
      <c r="U144" s="69"/>
      <c r="V144" s="69"/>
      <c r="W144" s="69"/>
      <c r="X144" s="69"/>
      <c r="Y144" s="69"/>
      <c r="Z144" s="69"/>
      <c r="AA144" s="69"/>
      <c r="AB144" s="69"/>
      <c r="AC144" s="70">
        <v>110109.75999999999</v>
      </c>
      <c r="AD144" s="69"/>
      <c r="AE144" s="69"/>
    </row>
    <row r="145" spans="1:31" ht="9.6" customHeight="1" x14ac:dyDescent="0.2">
      <c r="A145" s="3" t="s">
        <v>24</v>
      </c>
      <c r="B145" s="68" t="s">
        <v>266</v>
      </c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9"/>
      <c r="R145" s="69"/>
      <c r="S145" s="69"/>
      <c r="T145" s="69"/>
      <c r="U145" s="69"/>
      <c r="V145" s="69"/>
      <c r="W145" s="69"/>
      <c r="X145" s="69"/>
      <c r="Y145" s="69"/>
      <c r="Z145" s="69"/>
      <c r="AA145" s="69"/>
      <c r="AB145" s="69"/>
      <c r="AC145" s="70">
        <v>110109.75999999999</v>
      </c>
      <c r="AD145" s="69"/>
      <c r="AE145" s="69"/>
    </row>
    <row r="146" spans="1:31" ht="9.75" customHeight="1" x14ac:dyDescent="0.2">
      <c r="A146" s="3" t="s">
        <v>25</v>
      </c>
      <c r="B146" s="68" t="s">
        <v>267</v>
      </c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9"/>
      <c r="R146" s="69"/>
      <c r="S146" s="69"/>
      <c r="T146" s="69"/>
      <c r="U146" s="69"/>
      <c r="V146" s="69"/>
      <c r="W146" s="69"/>
      <c r="X146" s="69"/>
      <c r="Y146" s="69"/>
      <c r="Z146" s="69"/>
      <c r="AA146" s="69"/>
      <c r="AB146" s="69"/>
      <c r="AC146" s="74">
        <v>20000</v>
      </c>
      <c r="AD146" s="69"/>
      <c r="AE146" s="69"/>
    </row>
    <row r="147" spans="1:31" ht="9.6" customHeight="1" x14ac:dyDescent="0.2">
      <c r="A147" s="1" t="s">
        <v>26</v>
      </c>
      <c r="B147" s="53" t="s">
        <v>268</v>
      </c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 t="s">
        <v>43</v>
      </c>
      <c r="O147" s="53"/>
      <c r="P147" s="53"/>
      <c r="Q147" s="66">
        <v>2</v>
      </c>
      <c r="R147" s="55"/>
      <c r="S147" s="55"/>
      <c r="T147" s="55"/>
      <c r="U147" s="55"/>
      <c r="V147" s="55"/>
      <c r="W147" s="73">
        <v>10000</v>
      </c>
      <c r="X147" s="55"/>
      <c r="Y147" s="55"/>
      <c r="Z147" s="55"/>
      <c r="AA147" s="55"/>
      <c r="AB147" s="55"/>
      <c r="AC147" s="57">
        <v>20000</v>
      </c>
      <c r="AD147" s="55"/>
      <c r="AE147" s="55"/>
    </row>
    <row r="148" spans="1:31" ht="9.6" customHeight="1" x14ac:dyDescent="0.2">
      <c r="A148" s="3" t="s">
        <v>28</v>
      </c>
      <c r="B148" s="68" t="s">
        <v>269</v>
      </c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9"/>
      <c r="R148" s="69"/>
      <c r="S148" s="69"/>
      <c r="T148" s="69"/>
      <c r="U148" s="69"/>
      <c r="V148" s="69"/>
      <c r="W148" s="69"/>
      <c r="X148" s="69"/>
      <c r="Y148" s="69"/>
      <c r="Z148" s="69"/>
      <c r="AA148" s="69"/>
      <c r="AB148" s="69"/>
      <c r="AC148" s="74">
        <v>15193.02</v>
      </c>
      <c r="AD148" s="69"/>
      <c r="AE148" s="69"/>
    </row>
    <row r="149" spans="1:31" ht="9.6" customHeight="1" x14ac:dyDescent="0.2">
      <c r="A149" s="1" t="s">
        <v>29</v>
      </c>
      <c r="B149" s="53" t="s">
        <v>270</v>
      </c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 t="s">
        <v>35</v>
      </c>
      <c r="O149" s="53"/>
      <c r="P149" s="53"/>
      <c r="Q149" s="75">
        <v>115.59</v>
      </c>
      <c r="R149" s="55"/>
      <c r="S149" s="55"/>
      <c r="T149" s="55"/>
      <c r="U149" s="55"/>
      <c r="V149" s="55"/>
      <c r="W149" s="56">
        <v>60</v>
      </c>
      <c r="X149" s="55"/>
      <c r="Y149" s="55"/>
      <c r="Z149" s="55"/>
      <c r="AA149" s="55"/>
      <c r="AB149" s="55"/>
      <c r="AC149" s="67">
        <v>6935.4</v>
      </c>
      <c r="AD149" s="55"/>
      <c r="AE149" s="55"/>
    </row>
    <row r="150" spans="1:31" ht="9.6" customHeight="1" x14ac:dyDescent="0.2">
      <c r="A150" s="1" t="s">
        <v>32</v>
      </c>
      <c r="B150" s="53" t="s">
        <v>271</v>
      </c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 t="s">
        <v>35</v>
      </c>
      <c r="O150" s="53"/>
      <c r="P150" s="53"/>
      <c r="Q150" s="75">
        <v>386.47</v>
      </c>
      <c r="R150" s="55"/>
      <c r="S150" s="55"/>
      <c r="T150" s="55"/>
      <c r="U150" s="55"/>
      <c r="V150" s="55"/>
      <c r="W150" s="56">
        <v>13.217499999999999</v>
      </c>
      <c r="X150" s="55"/>
      <c r="Y150" s="55"/>
      <c r="Z150" s="55"/>
      <c r="AA150" s="55"/>
      <c r="AB150" s="55"/>
      <c r="AC150" s="67">
        <v>5108.17</v>
      </c>
      <c r="AD150" s="55"/>
      <c r="AE150" s="55"/>
    </row>
    <row r="151" spans="1:31" ht="9.6" customHeight="1" x14ac:dyDescent="0.2">
      <c r="A151" s="1" t="s">
        <v>33</v>
      </c>
      <c r="B151" s="53" t="s">
        <v>272</v>
      </c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 t="s">
        <v>35</v>
      </c>
      <c r="O151" s="53"/>
      <c r="P151" s="53"/>
      <c r="Q151" s="75">
        <v>192.48</v>
      </c>
      <c r="R151" s="55"/>
      <c r="S151" s="55"/>
      <c r="T151" s="55"/>
      <c r="U151" s="55"/>
      <c r="V151" s="55"/>
      <c r="W151" s="56">
        <v>16.362500000000001</v>
      </c>
      <c r="X151" s="55"/>
      <c r="Y151" s="55"/>
      <c r="Z151" s="55"/>
      <c r="AA151" s="55"/>
      <c r="AB151" s="55"/>
      <c r="AC151" s="67">
        <v>3149.45</v>
      </c>
      <c r="AD151" s="55"/>
      <c r="AE151" s="55"/>
    </row>
    <row r="152" spans="1:31" ht="9.6" customHeight="1" x14ac:dyDescent="0.2">
      <c r="A152" s="3" t="s">
        <v>41</v>
      </c>
      <c r="B152" s="68" t="s">
        <v>273</v>
      </c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9"/>
      <c r="R152" s="69"/>
      <c r="S152" s="69"/>
      <c r="T152" s="69"/>
      <c r="U152" s="69"/>
      <c r="V152" s="69"/>
      <c r="W152" s="69"/>
      <c r="X152" s="69"/>
      <c r="Y152" s="69"/>
      <c r="Z152" s="69"/>
      <c r="AA152" s="69"/>
      <c r="AB152" s="69"/>
      <c r="AC152" s="78">
        <v>6589.52</v>
      </c>
      <c r="AD152" s="69"/>
      <c r="AE152" s="69"/>
    </row>
    <row r="153" spans="1:31" ht="9.6" customHeight="1" x14ac:dyDescent="0.2">
      <c r="A153" s="1" t="s">
        <v>42</v>
      </c>
      <c r="B153" s="53" t="s">
        <v>274</v>
      </c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 t="s">
        <v>35</v>
      </c>
      <c r="O153" s="53"/>
      <c r="P153" s="53"/>
      <c r="Q153" s="56">
        <v>21.08</v>
      </c>
      <c r="R153" s="55"/>
      <c r="S153" s="55"/>
      <c r="T153" s="55"/>
      <c r="U153" s="55"/>
      <c r="V153" s="55"/>
      <c r="W153" s="75">
        <v>312.59570000000002</v>
      </c>
      <c r="X153" s="55"/>
      <c r="Y153" s="55"/>
      <c r="Z153" s="55"/>
      <c r="AA153" s="55"/>
      <c r="AB153" s="55"/>
      <c r="AC153" s="67">
        <v>6589.52</v>
      </c>
      <c r="AD153" s="55"/>
      <c r="AE153" s="55"/>
    </row>
    <row r="154" spans="1:31" ht="9.6" customHeight="1" x14ac:dyDescent="0.2">
      <c r="A154" s="3" t="s">
        <v>45</v>
      </c>
      <c r="B154" s="68" t="s">
        <v>275</v>
      </c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9"/>
      <c r="R154" s="69"/>
      <c r="S154" s="69"/>
      <c r="T154" s="69"/>
      <c r="U154" s="69"/>
      <c r="V154" s="69"/>
      <c r="W154" s="69"/>
      <c r="X154" s="69"/>
      <c r="Y154" s="69"/>
      <c r="Z154" s="69"/>
      <c r="AA154" s="69"/>
      <c r="AB154" s="69"/>
      <c r="AC154" s="74">
        <v>68327.22</v>
      </c>
      <c r="AD154" s="69"/>
      <c r="AE154" s="69"/>
    </row>
    <row r="155" spans="1:31" ht="9.6" customHeight="1" x14ac:dyDescent="0.2">
      <c r="A155" s="1" t="s">
        <v>46</v>
      </c>
      <c r="B155" s="53" t="s">
        <v>276</v>
      </c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 t="s">
        <v>35</v>
      </c>
      <c r="O155" s="53"/>
      <c r="P155" s="53"/>
      <c r="Q155" s="54">
        <v>1138.787</v>
      </c>
      <c r="R155" s="55"/>
      <c r="S155" s="55"/>
      <c r="T155" s="55"/>
      <c r="U155" s="55"/>
      <c r="V155" s="55"/>
      <c r="W155" s="56">
        <v>60</v>
      </c>
      <c r="X155" s="55"/>
      <c r="Y155" s="55"/>
      <c r="Z155" s="55"/>
      <c r="AA155" s="55"/>
      <c r="AB155" s="55"/>
      <c r="AC155" s="57">
        <v>68327.22</v>
      </c>
      <c r="AD155" s="55"/>
      <c r="AE155" s="55"/>
    </row>
    <row r="156" spans="1:31" ht="9.6" customHeight="1" x14ac:dyDescent="0.2">
      <c r="A156" s="3" t="s">
        <v>94</v>
      </c>
      <c r="B156" s="68" t="s">
        <v>277</v>
      </c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9"/>
      <c r="R156" s="69"/>
      <c r="S156" s="69"/>
      <c r="T156" s="69"/>
      <c r="U156" s="69"/>
      <c r="V156" s="69"/>
      <c r="W156" s="69"/>
      <c r="X156" s="69"/>
      <c r="Y156" s="69"/>
      <c r="Z156" s="69"/>
      <c r="AA156" s="69"/>
      <c r="AB156" s="69"/>
      <c r="AC156" s="70">
        <v>111987.72</v>
      </c>
      <c r="AD156" s="69"/>
      <c r="AE156" s="69"/>
    </row>
    <row r="157" spans="1:31" ht="9.6" customHeight="1" x14ac:dyDescent="0.2">
      <c r="A157" s="3" t="s">
        <v>96</v>
      </c>
      <c r="B157" s="68" t="s">
        <v>277</v>
      </c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9"/>
      <c r="R157" s="69"/>
      <c r="S157" s="69"/>
      <c r="T157" s="69"/>
      <c r="U157" s="69"/>
      <c r="V157" s="69"/>
      <c r="W157" s="69"/>
      <c r="X157" s="69"/>
      <c r="Y157" s="69"/>
      <c r="Z157" s="69"/>
      <c r="AA157" s="69"/>
      <c r="AB157" s="69"/>
      <c r="AC157" s="70">
        <v>111987.72</v>
      </c>
      <c r="AD157" s="69"/>
      <c r="AE157" s="69"/>
    </row>
    <row r="158" spans="1:31" ht="9.6" customHeight="1" x14ac:dyDescent="0.2">
      <c r="A158" s="3" t="s">
        <v>97</v>
      </c>
      <c r="B158" s="68" t="s">
        <v>278</v>
      </c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9"/>
      <c r="R158" s="69"/>
      <c r="S158" s="69"/>
      <c r="T158" s="69"/>
      <c r="U158" s="69"/>
      <c r="V158" s="69"/>
      <c r="W158" s="69"/>
      <c r="X158" s="69"/>
      <c r="Y158" s="69"/>
      <c r="Z158" s="69"/>
      <c r="AA158" s="69"/>
      <c r="AB158" s="69"/>
      <c r="AC158" s="74">
        <v>36221.56</v>
      </c>
      <c r="AD158" s="69"/>
      <c r="AE158" s="69"/>
    </row>
    <row r="159" spans="1:31" ht="9.6" customHeight="1" x14ac:dyDescent="0.2">
      <c r="A159" s="1" t="s">
        <v>99</v>
      </c>
      <c r="B159" s="53" t="s">
        <v>279</v>
      </c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 t="s">
        <v>47</v>
      </c>
      <c r="O159" s="53"/>
      <c r="P159" s="53"/>
      <c r="Q159" s="56">
        <v>10.220000000000001</v>
      </c>
      <c r="R159" s="55"/>
      <c r="S159" s="55"/>
      <c r="T159" s="55"/>
      <c r="U159" s="55"/>
      <c r="V159" s="55"/>
      <c r="W159" s="75">
        <v>141.05240000000001</v>
      </c>
      <c r="X159" s="55"/>
      <c r="Y159" s="55"/>
      <c r="Z159" s="55"/>
      <c r="AA159" s="55"/>
      <c r="AB159" s="55"/>
      <c r="AC159" s="67">
        <v>1441.56</v>
      </c>
      <c r="AD159" s="55"/>
      <c r="AE159" s="55"/>
    </row>
    <row r="160" spans="1:31" ht="9.6" customHeight="1" x14ac:dyDescent="0.2">
      <c r="A160" s="1" t="s">
        <v>101</v>
      </c>
      <c r="B160" s="53" t="s">
        <v>280</v>
      </c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 t="s">
        <v>27</v>
      </c>
      <c r="O160" s="53"/>
      <c r="P160" s="53"/>
      <c r="Q160" s="66">
        <v>1</v>
      </c>
      <c r="R160" s="55"/>
      <c r="S160" s="55"/>
      <c r="T160" s="55"/>
      <c r="U160" s="55"/>
      <c r="V160" s="55"/>
      <c r="W160" s="73">
        <v>34780</v>
      </c>
      <c r="X160" s="55"/>
      <c r="Y160" s="55"/>
      <c r="Z160" s="55"/>
      <c r="AA160" s="55"/>
      <c r="AB160" s="55"/>
      <c r="AC160" s="57">
        <v>34780</v>
      </c>
      <c r="AD160" s="55"/>
      <c r="AE160" s="55"/>
    </row>
    <row r="161" spans="1:31" ht="9.6" customHeight="1" x14ac:dyDescent="0.2">
      <c r="A161" s="3" t="s">
        <v>121</v>
      </c>
      <c r="B161" s="68" t="s">
        <v>281</v>
      </c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9"/>
      <c r="R161" s="69"/>
      <c r="S161" s="69"/>
      <c r="T161" s="69"/>
      <c r="U161" s="69"/>
      <c r="V161" s="69"/>
      <c r="W161" s="69"/>
      <c r="X161" s="69"/>
      <c r="Y161" s="69"/>
      <c r="Z161" s="69"/>
      <c r="AA161" s="69"/>
      <c r="AB161" s="69"/>
      <c r="AC161" s="74">
        <v>32992.43</v>
      </c>
      <c r="AD161" s="69"/>
      <c r="AE161" s="69"/>
    </row>
    <row r="162" spans="1:31" ht="9.6" customHeight="1" x14ac:dyDescent="0.2">
      <c r="A162" s="1" t="s">
        <v>123</v>
      </c>
      <c r="B162" s="53" t="s">
        <v>282</v>
      </c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 t="s">
        <v>31</v>
      </c>
      <c r="O162" s="53"/>
      <c r="P162" s="53"/>
      <c r="Q162" s="54">
        <v>3923</v>
      </c>
      <c r="R162" s="55"/>
      <c r="S162" s="55"/>
      <c r="T162" s="55"/>
      <c r="U162" s="55"/>
      <c r="V162" s="55"/>
      <c r="W162" s="66">
        <v>8.41</v>
      </c>
      <c r="X162" s="55"/>
      <c r="Y162" s="55"/>
      <c r="Z162" s="55"/>
      <c r="AA162" s="55"/>
      <c r="AB162" s="55"/>
      <c r="AC162" s="57">
        <v>32992.43</v>
      </c>
      <c r="AD162" s="55"/>
      <c r="AE162" s="55"/>
    </row>
    <row r="163" spans="1:31" ht="9.6" customHeight="1" x14ac:dyDescent="0.2">
      <c r="A163" s="3" t="s">
        <v>283</v>
      </c>
      <c r="B163" s="68" t="s">
        <v>284</v>
      </c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9"/>
      <c r="R163" s="69"/>
      <c r="S163" s="69"/>
      <c r="T163" s="69"/>
      <c r="U163" s="69"/>
      <c r="V163" s="69"/>
      <c r="W163" s="69"/>
      <c r="X163" s="69"/>
      <c r="Y163" s="69"/>
      <c r="Z163" s="69"/>
      <c r="AA163" s="69"/>
      <c r="AB163" s="69"/>
      <c r="AC163" s="74">
        <v>16480.330000000002</v>
      </c>
      <c r="AD163" s="69"/>
      <c r="AE163" s="69"/>
    </row>
    <row r="164" spans="1:31" ht="9.6" customHeight="1" x14ac:dyDescent="0.2">
      <c r="A164" s="1" t="s">
        <v>285</v>
      </c>
      <c r="B164" s="53" t="s">
        <v>286</v>
      </c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 t="s">
        <v>35</v>
      </c>
      <c r="O164" s="53"/>
      <c r="P164" s="53"/>
      <c r="Q164" s="56">
        <v>26.83</v>
      </c>
      <c r="R164" s="55"/>
      <c r="S164" s="55"/>
      <c r="T164" s="55"/>
      <c r="U164" s="55"/>
      <c r="V164" s="55"/>
      <c r="W164" s="75">
        <v>614.25</v>
      </c>
      <c r="X164" s="55"/>
      <c r="Y164" s="55"/>
      <c r="Z164" s="55"/>
      <c r="AA164" s="55"/>
      <c r="AB164" s="55"/>
      <c r="AC164" s="57">
        <v>16480.330000000002</v>
      </c>
      <c r="AD164" s="55"/>
      <c r="AE164" s="55"/>
    </row>
    <row r="165" spans="1:31" ht="9.75" customHeight="1" x14ac:dyDescent="0.2">
      <c r="A165" s="3" t="s">
        <v>287</v>
      </c>
      <c r="B165" s="68" t="s">
        <v>288</v>
      </c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9"/>
      <c r="R165" s="69"/>
      <c r="S165" s="69"/>
      <c r="T165" s="69"/>
      <c r="U165" s="69"/>
      <c r="V165" s="69"/>
      <c r="W165" s="69"/>
      <c r="X165" s="69"/>
      <c r="Y165" s="69"/>
      <c r="Z165" s="69"/>
      <c r="AA165" s="69"/>
      <c r="AB165" s="69"/>
      <c r="AC165" s="74">
        <v>26293.4</v>
      </c>
      <c r="AD165" s="69"/>
      <c r="AE165" s="69"/>
    </row>
    <row r="166" spans="1:31" ht="9.75" customHeight="1" x14ac:dyDescent="0.2">
      <c r="A166" s="1" t="s">
        <v>289</v>
      </c>
      <c r="B166" s="53" t="s">
        <v>290</v>
      </c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 t="s">
        <v>35</v>
      </c>
      <c r="O166" s="53"/>
      <c r="P166" s="53"/>
      <c r="Q166" s="56">
        <v>26.83</v>
      </c>
      <c r="R166" s="55"/>
      <c r="S166" s="55"/>
      <c r="T166" s="55"/>
      <c r="U166" s="55"/>
      <c r="V166" s="55"/>
      <c r="W166" s="75">
        <v>980</v>
      </c>
      <c r="X166" s="55"/>
      <c r="Y166" s="55"/>
      <c r="Z166" s="55"/>
      <c r="AA166" s="55"/>
      <c r="AB166" s="55"/>
      <c r="AC166" s="57">
        <v>26293.4</v>
      </c>
      <c r="AD166" s="55"/>
      <c r="AE166" s="55"/>
    </row>
    <row r="167" spans="1:31" ht="9.75" customHeight="1" x14ac:dyDescent="0.2">
      <c r="A167" s="3" t="s">
        <v>131</v>
      </c>
      <c r="B167" s="68" t="s">
        <v>291</v>
      </c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9"/>
      <c r="R167" s="69"/>
      <c r="S167" s="69"/>
      <c r="T167" s="69"/>
      <c r="U167" s="69"/>
      <c r="V167" s="69"/>
      <c r="W167" s="69"/>
      <c r="X167" s="69"/>
      <c r="Y167" s="69"/>
      <c r="Z167" s="69"/>
      <c r="AA167" s="69"/>
      <c r="AB167" s="69"/>
      <c r="AC167" s="70">
        <v>988103.12</v>
      </c>
      <c r="AD167" s="69"/>
      <c r="AE167" s="69"/>
    </row>
    <row r="168" spans="1:31" ht="9.6" customHeight="1" x14ac:dyDescent="0.2">
      <c r="A168" s="3" t="s">
        <v>133</v>
      </c>
      <c r="B168" s="68" t="s">
        <v>30</v>
      </c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9"/>
      <c r="R168" s="69"/>
      <c r="S168" s="69"/>
      <c r="T168" s="69"/>
      <c r="U168" s="69"/>
      <c r="V168" s="69"/>
      <c r="W168" s="69"/>
      <c r="X168" s="69"/>
      <c r="Y168" s="69"/>
      <c r="Z168" s="69"/>
      <c r="AA168" s="69"/>
      <c r="AB168" s="69"/>
      <c r="AC168" s="70">
        <v>581588.49</v>
      </c>
      <c r="AD168" s="69"/>
      <c r="AE168" s="69"/>
    </row>
    <row r="169" spans="1:31" ht="9.75" customHeight="1" x14ac:dyDescent="0.2">
      <c r="A169" s="3" t="s">
        <v>134</v>
      </c>
      <c r="B169" s="68" t="s">
        <v>292</v>
      </c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9"/>
      <c r="R169" s="69"/>
      <c r="S169" s="69"/>
      <c r="T169" s="69"/>
      <c r="U169" s="69"/>
      <c r="V169" s="69"/>
      <c r="W169" s="69"/>
      <c r="X169" s="69"/>
      <c r="Y169" s="69"/>
      <c r="Z169" s="69"/>
      <c r="AA169" s="69"/>
      <c r="AB169" s="69"/>
      <c r="AC169" s="70">
        <v>134447.94</v>
      </c>
      <c r="AD169" s="69"/>
      <c r="AE169" s="69"/>
    </row>
    <row r="170" spans="1:31" ht="9.6" customHeight="1" x14ac:dyDescent="0.2">
      <c r="A170" s="1" t="s">
        <v>136</v>
      </c>
      <c r="B170" s="53" t="s">
        <v>293</v>
      </c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 t="s">
        <v>39</v>
      </c>
      <c r="O170" s="53"/>
      <c r="P170" s="53"/>
      <c r="Q170" s="75">
        <v>190</v>
      </c>
      <c r="R170" s="55"/>
      <c r="S170" s="55"/>
      <c r="T170" s="55"/>
      <c r="U170" s="55"/>
      <c r="V170" s="55"/>
      <c r="W170" s="56">
        <v>42</v>
      </c>
      <c r="X170" s="55"/>
      <c r="Y170" s="55"/>
      <c r="Z170" s="55"/>
      <c r="AA170" s="55"/>
      <c r="AB170" s="55"/>
      <c r="AC170" s="67">
        <v>7980</v>
      </c>
      <c r="AD170" s="55"/>
      <c r="AE170" s="55"/>
    </row>
    <row r="171" spans="1:31" ht="9.6" customHeight="1" x14ac:dyDescent="0.2">
      <c r="A171" s="1" t="s">
        <v>294</v>
      </c>
      <c r="B171" s="53" t="s">
        <v>295</v>
      </c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 t="s">
        <v>39</v>
      </c>
      <c r="O171" s="53"/>
      <c r="P171" s="53"/>
      <c r="Q171" s="75">
        <v>247</v>
      </c>
      <c r="R171" s="55"/>
      <c r="S171" s="55"/>
      <c r="T171" s="55"/>
      <c r="U171" s="55"/>
      <c r="V171" s="55"/>
      <c r="W171" s="56">
        <v>84</v>
      </c>
      <c r="X171" s="55"/>
      <c r="Y171" s="55"/>
      <c r="Z171" s="55"/>
      <c r="AA171" s="55"/>
      <c r="AB171" s="55"/>
      <c r="AC171" s="57">
        <v>20748</v>
      </c>
      <c r="AD171" s="55"/>
      <c r="AE171" s="55"/>
    </row>
    <row r="172" spans="1:31" ht="9.6" customHeight="1" x14ac:dyDescent="0.2">
      <c r="A172" s="1" t="s">
        <v>296</v>
      </c>
      <c r="B172" s="53" t="s">
        <v>297</v>
      </c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 t="s">
        <v>39</v>
      </c>
      <c r="O172" s="53"/>
      <c r="P172" s="53"/>
      <c r="Q172" s="54">
        <v>1007</v>
      </c>
      <c r="R172" s="55"/>
      <c r="S172" s="55"/>
      <c r="T172" s="55"/>
      <c r="U172" s="55"/>
      <c r="V172" s="55"/>
      <c r="W172" s="56">
        <v>98</v>
      </c>
      <c r="X172" s="55"/>
      <c r="Y172" s="55"/>
      <c r="Z172" s="55"/>
      <c r="AA172" s="55"/>
      <c r="AB172" s="55"/>
      <c r="AC172" s="57">
        <v>98686</v>
      </c>
      <c r="AD172" s="55"/>
      <c r="AE172" s="55"/>
    </row>
    <row r="173" spans="1:31" ht="9.6" customHeight="1" x14ac:dyDescent="0.2">
      <c r="A173" s="1" t="s">
        <v>298</v>
      </c>
      <c r="B173" s="53" t="s">
        <v>299</v>
      </c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 t="s">
        <v>158</v>
      </c>
      <c r="O173" s="53"/>
      <c r="P173" s="53"/>
      <c r="Q173" s="66">
        <v>1</v>
      </c>
      <c r="R173" s="55"/>
      <c r="S173" s="55"/>
      <c r="T173" s="55"/>
      <c r="U173" s="55"/>
      <c r="V173" s="55"/>
      <c r="W173" s="54">
        <v>7033.94</v>
      </c>
      <c r="X173" s="55"/>
      <c r="Y173" s="55"/>
      <c r="Z173" s="55"/>
      <c r="AA173" s="55"/>
      <c r="AB173" s="55"/>
      <c r="AC173" s="67">
        <v>7033.94</v>
      </c>
      <c r="AD173" s="55"/>
      <c r="AE173" s="55"/>
    </row>
    <row r="174" spans="1:31" ht="9.6" customHeight="1" x14ac:dyDescent="0.2">
      <c r="A174" s="3" t="s">
        <v>138</v>
      </c>
      <c r="B174" s="68" t="s">
        <v>281</v>
      </c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9"/>
      <c r="R174" s="69"/>
      <c r="S174" s="69"/>
      <c r="T174" s="69"/>
      <c r="U174" s="69"/>
      <c r="V174" s="69"/>
      <c r="W174" s="69"/>
      <c r="X174" s="69"/>
      <c r="Y174" s="69"/>
      <c r="Z174" s="69"/>
      <c r="AA174" s="69"/>
      <c r="AB174" s="69"/>
      <c r="AC174" s="74">
        <v>65084.15</v>
      </c>
      <c r="AD174" s="69"/>
      <c r="AE174" s="69"/>
    </row>
    <row r="175" spans="1:31" ht="9.6" customHeight="1" x14ac:dyDescent="0.2">
      <c r="A175" s="1" t="s">
        <v>140</v>
      </c>
      <c r="B175" s="53" t="s">
        <v>282</v>
      </c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 t="s">
        <v>31</v>
      </c>
      <c r="O175" s="53"/>
      <c r="P175" s="53"/>
      <c r="Q175" s="54">
        <v>7738.9</v>
      </c>
      <c r="R175" s="55"/>
      <c r="S175" s="55"/>
      <c r="T175" s="55"/>
      <c r="U175" s="55"/>
      <c r="V175" s="55"/>
      <c r="W175" s="66">
        <v>8.41</v>
      </c>
      <c r="X175" s="55"/>
      <c r="Y175" s="55"/>
      <c r="Z175" s="55"/>
      <c r="AA175" s="55"/>
      <c r="AB175" s="55"/>
      <c r="AC175" s="57">
        <v>65084.15</v>
      </c>
      <c r="AD175" s="55"/>
      <c r="AE175" s="55"/>
    </row>
    <row r="176" spans="1:31" ht="9.6" customHeight="1" x14ac:dyDescent="0.2">
      <c r="A176" s="3" t="s">
        <v>154</v>
      </c>
      <c r="B176" s="68" t="s">
        <v>284</v>
      </c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9"/>
      <c r="R176" s="69"/>
      <c r="S176" s="69"/>
      <c r="T176" s="69"/>
      <c r="U176" s="69"/>
      <c r="V176" s="69"/>
      <c r="W176" s="69"/>
      <c r="X176" s="69"/>
      <c r="Y176" s="69"/>
      <c r="Z176" s="69"/>
      <c r="AA176" s="69"/>
      <c r="AB176" s="69"/>
      <c r="AC176" s="70">
        <v>382056.4</v>
      </c>
      <c r="AD176" s="69"/>
      <c r="AE176" s="69"/>
    </row>
    <row r="177" spans="1:31" ht="9.75" customHeight="1" x14ac:dyDescent="0.2">
      <c r="A177" s="1" t="s">
        <v>156</v>
      </c>
      <c r="B177" s="53" t="s">
        <v>300</v>
      </c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 t="s">
        <v>35</v>
      </c>
      <c r="O177" s="53"/>
      <c r="P177" s="53"/>
      <c r="Q177" s="75">
        <v>682</v>
      </c>
      <c r="R177" s="55"/>
      <c r="S177" s="55"/>
      <c r="T177" s="55"/>
      <c r="U177" s="55"/>
      <c r="V177" s="55"/>
      <c r="W177" s="75">
        <v>560.20000000000005</v>
      </c>
      <c r="X177" s="55"/>
      <c r="Y177" s="55"/>
      <c r="Z177" s="55"/>
      <c r="AA177" s="55"/>
      <c r="AB177" s="55"/>
      <c r="AC177" s="72">
        <v>382056.4</v>
      </c>
      <c r="AD177" s="55"/>
      <c r="AE177" s="55"/>
    </row>
    <row r="178" spans="1:31" ht="9.6" customHeight="1" x14ac:dyDescent="0.2">
      <c r="A178" s="3" t="s">
        <v>301</v>
      </c>
      <c r="B178" s="68" t="s">
        <v>37</v>
      </c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9"/>
      <c r="R178" s="69"/>
      <c r="S178" s="69"/>
      <c r="T178" s="69"/>
      <c r="U178" s="69"/>
      <c r="V178" s="69"/>
      <c r="W178" s="69"/>
      <c r="X178" s="69"/>
      <c r="Y178" s="69"/>
      <c r="Z178" s="69"/>
      <c r="AA178" s="69"/>
      <c r="AB178" s="69"/>
      <c r="AC178" s="70">
        <v>406514.63</v>
      </c>
      <c r="AD178" s="69"/>
      <c r="AE178" s="69"/>
    </row>
    <row r="179" spans="1:31" ht="9.6" customHeight="1" x14ac:dyDescent="0.2">
      <c r="A179" s="3" t="s">
        <v>302</v>
      </c>
      <c r="B179" s="68" t="s">
        <v>278</v>
      </c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9"/>
      <c r="R179" s="69"/>
      <c r="S179" s="69"/>
      <c r="T179" s="69"/>
      <c r="U179" s="69"/>
      <c r="V179" s="69"/>
      <c r="W179" s="69"/>
      <c r="X179" s="69"/>
      <c r="Y179" s="69"/>
      <c r="Z179" s="69"/>
      <c r="AA179" s="69"/>
      <c r="AB179" s="69"/>
      <c r="AC179" s="74">
        <v>18536.96</v>
      </c>
      <c r="AD179" s="69"/>
      <c r="AE179" s="69"/>
    </row>
    <row r="180" spans="1:31" ht="9.75" customHeight="1" x14ac:dyDescent="0.2">
      <c r="A180" s="1" t="s">
        <v>303</v>
      </c>
      <c r="B180" s="53" t="s">
        <v>304</v>
      </c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 t="s">
        <v>47</v>
      </c>
      <c r="O180" s="53"/>
      <c r="P180" s="53"/>
      <c r="Q180" s="75">
        <v>146.15</v>
      </c>
      <c r="R180" s="55"/>
      <c r="S180" s="55"/>
      <c r="T180" s="55"/>
      <c r="U180" s="55"/>
      <c r="V180" s="55"/>
      <c r="W180" s="75">
        <v>125.0651</v>
      </c>
      <c r="X180" s="55"/>
      <c r="Y180" s="55"/>
      <c r="Z180" s="55"/>
      <c r="AA180" s="55"/>
      <c r="AB180" s="55"/>
      <c r="AC180" s="57">
        <v>18278.259999999998</v>
      </c>
      <c r="AD180" s="55"/>
      <c r="AE180" s="55"/>
    </row>
    <row r="181" spans="1:31" ht="10.9" customHeight="1" x14ac:dyDescent="0.2">
      <c r="A181" s="1" t="s">
        <v>305</v>
      </c>
      <c r="B181" s="53" t="s">
        <v>306</v>
      </c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 t="s">
        <v>47</v>
      </c>
      <c r="O181" s="53"/>
      <c r="P181" s="53"/>
      <c r="Q181" s="75">
        <v>312.74</v>
      </c>
      <c r="R181" s="55"/>
      <c r="S181" s="55"/>
      <c r="T181" s="55"/>
      <c r="U181" s="55"/>
      <c r="V181" s="55"/>
      <c r="W181" s="66">
        <v>0.82720000000000005</v>
      </c>
      <c r="X181" s="55"/>
      <c r="Y181" s="55"/>
      <c r="Z181" s="55"/>
      <c r="AA181" s="55"/>
      <c r="AB181" s="55"/>
      <c r="AC181" s="76">
        <v>258.7</v>
      </c>
      <c r="AD181" s="55"/>
      <c r="AE181" s="55"/>
    </row>
    <row r="182" spans="1:31" ht="9.75" customHeight="1" x14ac:dyDescent="0.2">
      <c r="A182" s="3" t="s">
        <v>307</v>
      </c>
      <c r="B182" s="68" t="s">
        <v>281</v>
      </c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9"/>
      <c r="R182" s="69"/>
      <c r="S182" s="69"/>
      <c r="T182" s="69"/>
      <c r="U182" s="69"/>
      <c r="V182" s="69"/>
      <c r="W182" s="69"/>
      <c r="X182" s="69"/>
      <c r="Y182" s="69"/>
      <c r="Z182" s="69"/>
      <c r="AA182" s="69"/>
      <c r="AB182" s="69"/>
      <c r="AC182" s="70">
        <v>121482.84</v>
      </c>
      <c r="AD182" s="69"/>
      <c r="AE182" s="69"/>
    </row>
    <row r="183" spans="1:31" ht="9.75" customHeight="1" x14ac:dyDescent="0.2">
      <c r="A183" s="1" t="s">
        <v>308</v>
      </c>
      <c r="B183" s="53" t="s">
        <v>309</v>
      </c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 t="s">
        <v>31</v>
      </c>
      <c r="O183" s="53"/>
      <c r="P183" s="53"/>
      <c r="Q183" s="75">
        <v>200</v>
      </c>
      <c r="R183" s="55"/>
      <c r="S183" s="55"/>
      <c r="T183" s="55"/>
      <c r="U183" s="55"/>
      <c r="V183" s="55"/>
      <c r="W183" s="66">
        <v>9.7995999999999999</v>
      </c>
      <c r="X183" s="55"/>
      <c r="Y183" s="55"/>
      <c r="Z183" s="55"/>
      <c r="AA183" s="55"/>
      <c r="AB183" s="55"/>
      <c r="AC183" s="67">
        <v>1959.92</v>
      </c>
      <c r="AD183" s="55"/>
      <c r="AE183" s="55"/>
    </row>
    <row r="184" spans="1:31" ht="9.75" customHeight="1" x14ac:dyDescent="0.2">
      <c r="A184" s="1" t="s">
        <v>310</v>
      </c>
      <c r="B184" s="53" t="s">
        <v>282</v>
      </c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 t="s">
        <v>31</v>
      </c>
      <c r="O184" s="53"/>
      <c r="P184" s="53"/>
      <c r="Q184" s="73">
        <v>14212</v>
      </c>
      <c r="R184" s="55"/>
      <c r="S184" s="55"/>
      <c r="T184" s="55"/>
      <c r="U184" s="55"/>
      <c r="V184" s="55"/>
      <c r="W184" s="66">
        <v>8.41</v>
      </c>
      <c r="X184" s="55"/>
      <c r="Y184" s="55"/>
      <c r="Z184" s="55"/>
      <c r="AA184" s="55"/>
      <c r="AB184" s="55"/>
      <c r="AC184" s="72">
        <v>119522.92</v>
      </c>
      <c r="AD184" s="55"/>
      <c r="AE184" s="55"/>
    </row>
    <row r="185" spans="1:31" ht="9.75" customHeight="1" x14ac:dyDescent="0.2">
      <c r="A185" s="3" t="s">
        <v>311</v>
      </c>
      <c r="B185" s="68" t="s">
        <v>284</v>
      </c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9"/>
      <c r="R185" s="69"/>
      <c r="S185" s="69"/>
      <c r="T185" s="69"/>
      <c r="U185" s="69"/>
      <c r="V185" s="69"/>
      <c r="W185" s="69"/>
      <c r="X185" s="69"/>
      <c r="Y185" s="69"/>
      <c r="Z185" s="69"/>
      <c r="AA185" s="69"/>
      <c r="AB185" s="69"/>
      <c r="AC185" s="70">
        <v>102678.03</v>
      </c>
      <c r="AD185" s="69"/>
      <c r="AE185" s="69"/>
    </row>
    <row r="186" spans="1:31" ht="19.149999999999999" customHeight="1" x14ac:dyDescent="0.2">
      <c r="A186" s="1" t="s">
        <v>312</v>
      </c>
      <c r="B186" s="53" t="s">
        <v>286</v>
      </c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 t="s">
        <v>35</v>
      </c>
      <c r="O186" s="53"/>
      <c r="P186" s="53"/>
      <c r="Q186" s="75">
        <v>167.16</v>
      </c>
      <c r="R186" s="55"/>
      <c r="S186" s="55"/>
      <c r="T186" s="55"/>
      <c r="U186" s="55"/>
      <c r="V186" s="55"/>
      <c r="W186" s="75">
        <v>614.25</v>
      </c>
      <c r="X186" s="55"/>
      <c r="Y186" s="55"/>
      <c r="Z186" s="55"/>
      <c r="AA186" s="55"/>
      <c r="AB186" s="55"/>
      <c r="AC186" s="72">
        <v>102678.03</v>
      </c>
      <c r="AD186" s="55"/>
      <c r="AE186" s="55"/>
    </row>
    <row r="187" spans="1:31" ht="9.75" customHeight="1" x14ac:dyDescent="0.2">
      <c r="A187" s="3" t="s">
        <v>313</v>
      </c>
      <c r="B187" s="68" t="s">
        <v>288</v>
      </c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9"/>
      <c r="R187" s="69"/>
      <c r="S187" s="69"/>
      <c r="T187" s="69"/>
      <c r="U187" s="69"/>
      <c r="V187" s="69"/>
      <c r="W187" s="69"/>
      <c r="X187" s="69"/>
      <c r="Y187" s="69"/>
      <c r="Z187" s="69"/>
      <c r="AA187" s="69"/>
      <c r="AB187" s="69"/>
      <c r="AC187" s="70">
        <v>163816.79999999999</v>
      </c>
      <c r="AD187" s="69"/>
      <c r="AE187" s="69"/>
    </row>
    <row r="188" spans="1:31" ht="9.75" customHeight="1" x14ac:dyDescent="0.2">
      <c r="A188" s="1" t="s">
        <v>314</v>
      </c>
      <c r="B188" s="53" t="s">
        <v>290</v>
      </c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 t="s">
        <v>35</v>
      </c>
      <c r="O188" s="53"/>
      <c r="P188" s="53"/>
      <c r="Q188" s="75">
        <v>167.16</v>
      </c>
      <c r="R188" s="55"/>
      <c r="S188" s="55"/>
      <c r="T188" s="55"/>
      <c r="U188" s="55"/>
      <c r="V188" s="55"/>
      <c r="W188" s="75">
        <v>980</v>
      </c>
      <c r="X188" s="55"/>
      <c r="Y188" s="55"/>
      <c r="Z188" s="55"/>
      <c r="AA188" s="55"/>
      <c r="AB188" s="55"/>
      <c r="AC188" s="72">
        <v>163816.79999999999</v>
      </c>
      <c r="AD188" s="55"/>
      <c r="AE188" s="55"/>
    </row>
    <row r="189" spans="1:31" ht="10.9" customHeight="1" x14ac:dyDescent="0.2">
      <c r="A189" s="3" t="s">
        <v>159</v>
      </c>
      <c r="B189" s="68" t="s">
        <v>315</v>
      </c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9"/>
      <c r="R189" s="69"/>
      <c r="S189" s="69"/>
      <c r="T189" s="69"/>
      <c r="U189" s="69"/>
      <c r="V189" s="69"/>
      <c r="W189" s="69"/>
      <c r="X189" s="69"/>
      <c r="Y189" s="69"/>
      <c r="Z189" s="69"/>
      <c r="AA189" s="69"/>
      <c r="AB189" s="69"/>
      <c r="AC189" s="77">
        <v>2961640.34</v>
      </c>
      <c r="AD189" s="69"/>
      <c r="AE189" s="69"/>
    </row>
    <row r="190" spans="1:31" ht="9.75" customHeight="1" x14ac:dyDescent="0.2">
      <c r="A190" s="3" t="s">
        <v>161</v>
      </c>
      <c r="B190" s="68" t="s">
        <v>315</v>
      </c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9"/>
      <c r="R190" s="69"/>
      <c r="S190" s="69"/>
      <c r="T190" s="69"/>
      <c r="U190" s="69"/>
      <c r="V190" s="69"/>
      <c r="W190" s="69"/>
      <c r="X190" s="69"/>
      <c r="Y190" s="69"/>
      <c r="Z190" s="69"/>
      <c r="AA190" s="69"/>
      <c r="AB190" s="69"/>
      <c r="AC190" s="77">
        <v>2961640.34</v>
      </c>
      <c r="AD190" s="69"/>
      <c r="AE190" s="69"/>
    </row>
    <row r="191" spans="1:31" ht="9.75" customHeight="1" x14ac:dyDescent="0.2">
      <c r="A191" s="3" t="s">
        <v>162</v>
      </c>
      <c r="B191" s="68" t="s">
        <v>278</v>
      </c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9"/>
      <c r="R191" s="69"/>
      <c r="S191" s="69"/>
      <c r="T191" s="69"/>
      <c r="U191" s="69"/>
      <c r="V191" s="69"/>
      <c r="W191" s="69"/>
      <c r="X191" s="69"/>
      <c r="Y191" s="69"/>
      <c r="Z191" s="69"/>
      <c r="AA191" s="69"/>
      <c r="AB191" s="69"/>
      <c r="AC191" s="70">
        <v>117444.93</v>
      </c>
      <c r="AD191" s="69"/>
      <c r="AE191" s="69"/>
    </row>
    <row r="192" spans="1:31" ht="9.75" customHeight="1" x14ac:dyDescent="0.2">
      <c r="A192" s="1" t="s">
        <v>164</v>
      </c>
      <c r="B192" s="53" t="s">
        <v>316</v>
      </c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 t="s">
        <v>47</v>
      </c>
      <c r="O192" s="53"/>
      <c r="P192" s="53"/>
      <c r="Q192" s="75">
        <v>954.78</v>
      </c>
      <c r="R192" s="55"/>
      <c r="S192" s="55"/>
      <c r="T192" s="55"/>
      <c r="U192" s="55"/>
      <c r="V192" s="55"/>
      <c r="W192" s="75">
        <v>114.4576</v>
      </c>
      <c r="X192" s="55"/>
      <c r="Y192" s="55"/>
      <c r="Z192" s="55"/>
      <c r="AA192" s="55"/>
      <c r="AB192" s="55"/>
      <c r="AC192" s="72">
        <v>109281.83</v>
      </c>
      <c r="AD192" s="55"/>
      <c r="AE192" s="55"/>
    </row>
    <row r="193" spans="1:31" ht="9.75" customHeight="1" x14ac:dyDescent="0.2">
      <c r="A193" s="1" t="s">
        <v>166</v>
      </c>
      <c r="B193" s="53" t="s">
        <v>306</v>
      </c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 t="s">
        <v>47</v>
      </c>
      <c r="O193" s="53"/>
      <c r="P193" s="53"/>
      <c r="Q193" s="54">
        <v>9868.35</v>
      </c>
      <c r="R193" s="55"/>
      <c r="S193" s="55"/>
      <c r="T193" s="55"/>
      <c r="U193" s="55"/>
      <c r="V193" s="55"/>
      <c r="W193" s="66">
        <v>0.82720000000000005</v>
      </c>
      <c r="X193" s="55"/>
      <c r="Y193" s="55"/>
      <c r="Z193" s="55"/>
      <c r="AA193" s="55"/>
      <c r="AB193" s="55"/>
      <c r="AC193" s="67">
        <v>8163.1</v>
      </c>
      <c r="AD193" s="55"/>
      <c r="AE193" s="55"/>
    </row>
    <row r="194" spans="1:31" ht="9.6" customHeight="1" x14ac:dyDescent="0.2">
      <c r="A194" s="3" t="s">
        <v>178</v>
      </c>
      <c r="B194" s="68" t="s">
        <v>281</v>
      </c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9"/>
      <c r="R194" s="69"/>
      <c r="S194" s="69"/>
      <c r="T194" s="69"/>
      <c r="U194" s="69"/>
      <c r="V194" s="69"/>
      <c r="W194" s="69"/>
      <c r="X194" s="69"/>
      <c r="Y194" s="69"/>
      <c r="Z194" s="69"/>
      <c r="AA194" s="69"/>
      <c r="AB194" s="69"/>
      <c r="AC194" s="70">
        <v>954168.65</v>
      </c>
      <c r="AD194" s="69"/>
      <c r="AE194" s="69"/>
    </row>
    <row r="195" spans="1:31" ht="9.75" customHeight="1" x14ac:dyDescent="0.2">
      <c r="A195" s="1" t="s">
        <v>180</v>
      </c>
      <c r="B195" s="53" t="s">
        <v>309</v>
      </c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 t="s">
        <v>31</v>
      </c>
      <c r="O195" s="53"/>
      <c r="P195" s="53"/>
      <c r="Q195" s="54">
        <v>6896</v>
      </c>
      <c r="R195" s="55"/>
      <c r="S195" s="55"/>
      <c r="T195" s="55"/>
      <c r="U195" s="55"/>
      <c r="V195" s="55"/>
      <c r="W195" s="66">
        <v>9.7995999999999999</v>
      </c>
      <c r="X195" s="55"/>
      <c r="Y195" s="55"/>
      <c r="Z195" s="55"/>
      <c r="AA195" s="55"/>
      <c r="AB195" s="55"/>
      <c r="AC195" s="57">
        <v>67578.039999999994</v>
      </c>
      <c r="AD195" s="55"/>
      <c r="AE195" s="55"/>
    </row>
    <row r="196" spans="1:31" ht="9.6" customHeight="1" x14ac:dyDescent="0.2">
      <c r="A196" s="1" t="s">
        <v>182</v>
      </c>
      <c r="B196" s="53" t="s">
        <v>282</v>
      </c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 t="s">
        <v>31</v>
      </c>
      <c r="O196" s="53"/>
      <c r="P196" s="53"/>
      <c r="Q196" s="71">
        <v>105421</v>
      </c>
      <c r="R196" s="55"/>
      <c r="S196" s="55"/>
      <c r="T196" s="55"/>
      <c r="U196" s="55"/>
      <c r="V196" s="55"/>
      <c r="W196" s="66">
        <v>8.41</v>
      </c>
      <c r="X196" s="55"/>
      <c r="Y196" s="55"/>
      <c r="Z196" s="55"/>
      <c r="AA196" s="55"/>
      <c r="AB196" s="55"/>
      <c r="AC196" s="72">
        <v>886590.61</v>
      </c>
      <c r="AD196" s="55"/>
      <c r="AE196" s="55"/>
    </row>
    <row r="197" spans="1:31" ht="9.6" customHeight="1" x14ac:dyDescent="0.2">
      <c r="A197" s="3" t="s">
        <v>198</v>
      </c>
      <c r="B197" s="68" t="s">
        <v>284</v>
      </c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9"/>
      <c r="R197" s="69"/>
      <c r="S197" s="69"/>
      <c r="T197" s="69"/>
      <c r="U197" s="69"/>
      <c r="V197" s="69"/>
      <c r="W197" s="69"/>
      <c r="X197" s="69"/>
      <c r="Y197" s="69"/>
      <c r="Z197" s="69"/>
      <c r="AA197" s="69"/>
      <c r="AB197" s="69"/>
      <c r="AC197" s="70">
        <v>643918.28</v>
      </c>
      <c r="AD197" s="69"/>
      <c r="AE197" s="69"/>
    </row>
    <row r="198" spans="1:31" ht="9.6" customHeight="1" x14ac:dyDescent="0.2">
      <c r="A198" s="1" t="s">
        <v>200</v>
      </c>
      <c r="B198" s="53" t="s">
        <v>286</v>
      </c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 t="s">
        <v>35</v>
      </c>
      <c r="O198" s="53"/>
      <c r="P198" s="53"/>
      <c r="Q198" s="54">
        <v>1048.3</v>
      </c>
      <c r="R198" s="55"/>
      <c r="S198" s="55"/>
      <c r="T198" s="55"/>
      <c r="U198" s="55"/>
      <c r="V198" s="55"/>
      <c r="W198" s="75">
        <v>614.25</v>
      </c>
      <c r="X198" s="55"/>
      <c r="Y198" s="55"/>
      <c r="Z198" s="55"/>
      <c r="AA198" s="55"/>
      <c r="AB198" s="55"/>
      <c r="AC198" s="72">
        <v>643918.28</v>
      </c>
      <c r="AD198" s="55"/>
      <c r="AE198" s="55"/>
    </row>
    <row r="199" spans="1:31" ht="9.75" customHeight="1" x14ac:dyDescent="0.2">
      <c r="A199" s="3" t="s">
        <v>317</v>
      </c>
      <c r="B199" s="68" t="s">
        <v>318</v>
      </c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9"/>
      <c r="R199" s="69"/>
      <c r="S199" s="69"/>
      <c r="T199" s="69"/>
      <c r="U199" s="69"/>
      <c r="V199" s="69"/>
      <c r="W199" s="69"/>
      <c r="X199" s="69"/>
      <c r="Y199" s="69"/>
      <c r="Z199" s="69"/>
      <c r="AA199" s="69"/>
      <c r="AB199" s="69"/>
      <c r="AC199" s="70">
        <v>218774.48</v>
      </c>
      <c r="AD199" s="69"/>
      <c r="AE199" s="69"/>
    </row>
    <row r="200" spans="1:31" ht="9.6" customHeight="1" x14ac:dyDescent="0.2">
      <c r="A200" s="1" t="s">
        <v>319</v>
      </c>
      <c r="B200" s="53" t="s">
        <v>320</v>
      </c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 t="s">
        <v>47</v>
      </c>
      <c r="O200" s="53"/>
      <c r="P200" s="53"/>
      <c r="Q200" s="54">
        <v>4245.7700000000004</v>
      </c>
      <c r="R200" s="55"/>
      <c r="S200" s="55"/>
      <c r="T200" s="55"/>
      <c r="U200" s="55"/>
      <c r="V200" s="55"/>
      <c r="W200" s="56">
        <v>45</v>
      </c>
      <c r="X200" s="55"/>
      <c r="Y200" s="55"/>
      <c r="Z200" s="55"/>
      <c r="AA200" s="55"/>
      <c r="AB200" s="55"/>
      <c r="AC200" s="72">
        <v>191059.65</v>
      </c>
      <c r="AD200" s="55"/>
      <c r="AE200" s="55"/>
    </row>
    <row r="201" spans="1:31" ht="9.75" customHeight="1" x14ac:dyDescent="0.2">
      <c r="A201" s="1" t="s">
        <v>321</v>
      </c>
      <c r="B201" s="53" t="s">
        <v>322</v>
      </c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 t="s">
        <v>39</v>
      </c>
      <c r="O201" s="53"/>
      <c r="P201" s="53"/>
      <c r="Q201" s="54">
        <v>1049.8599999999999</v>
      </c>
      <c r="R201" s="55"/>
      <c r="S201" s="55"/>
      <c r="T201" s="55"/>
      <c r="U201" s="55"/>
      <c r="V201" s="55"/>
      <c r="W201" s="56">
        <v>26.398599999999998</v>
      </c>
      <c r="X201" s="55"/>
      <c r="Y201" s="55"/>
      <c r="Z201" s="55"/>
      <c r="AA201" s="55"/>
      <c r="AB201" s="55"/>
      <c r="AC201" s="57">
        <v>27714.83</v>
      </c>
      <c r="AD201" s="55"/>
      <c r="AE201" s="55"/>
    </row>
    <row r="202" spans="1:31" ht="9.6" customHeight="1" x14ac:dyDescent="0.2">
      <c r="A202" s="3" t="s">
        <v>323</v>
      </c>
      <c r="B202" s="68" t="s">
        <v>288</v>
      </c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9"/>
      <c r="R202" s="69"/>
      <c r="S202" s="69"/>
      <c r="T202" s="69"/>
      <c r="U202" s="69"/>
      <c r="V202" s="69"/>
      <c r="W202" s="69"/>
      <c r="X202" s="69"/>
      <c r="Y202" s="69"/>
      <c r="Z202" s="69"/>
      <c r="AA202" s="69"/>
      <c r="AB202" s="69"/>
      <c r="AC202" s="77">
        <v>1027334</v>
      </c>
      <c r="AD202" s="69"/>
      <c r="AE202" s="69"/>
    </row>
    <row r="203" spans="1:31" ht="9.75" customHeight="1" x14ac:dyDescent="0.2">
      <c r="A203" s="1" t="s">
        <v>324</v>
      </c>
      <c r="B203" s="53" t="s">
        <v>290</v>
      </c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 t="s">
        <v>35</v>
      </c>
      <c r="O203" s="53"/>
      <c r="P203" s="53"/>
      <c r="Q203" s="54">
        <v>1048.3</v>
      </c>
      <c r="R203" s="55"/>
      <c r="S203" s="55"/>
      <c r="T203" s="55"/>
      <c r="U203" s="55"/>
      <c r="V203" s="55"/>
      <c r="W203" s="75">
        <v>980</v>
      </c>
      <c r="X203" s="55"/>
      <c r="Y203" s="55"/>
      <c r="Z203" s="55"/>
      <c r="AA203" s="55"/>
      <c r="AB203" s="55"/>
      <c r="AC203" s="81">
        <v>1027334</v>
      </c>
      <c r="AD203" s="55"/>
      <c r="AE203" s="55"/>
    </row>
    <row r="204" spans="1:31" ht="9.75" customHeight="1" x14ac:dyDescent="0.2">
      <c r="A204" s="3" t="s">
        <v>236</v>
      </c>
      <c r="B204" s="68" t="s">
        <v>325</v>
      </c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9"/>
      <c r="R204" s="69"/>
      <c r="S204" s="69"/>
      <c r="T204" s="69"/>
      <c r="U204" s="69"/>
      <c r="V204" s="69"/>
      <c r="W204" s="69"/>
      <c r="X204" s="69"/>
      <c r="Y204" s="69"/>
      <c r="Z204" s="69"/>
      <c r="AA204" s="69"/>
      <c r="AB204" s="69"/>
      <c r="AC204" s="70">
        <v>584956.74</v>
      </c>
      <c r="AD204" s="69"/>
      <c r="AE204" s="69"/>
    </row>
    <row r="205" spans="1:31" ht="9.75" customHeight="1" x14ac:dyDescent="0.2">
      <c r="A205" s="3" t="s">
        <v>238</v>
      </c>
      <c r="B205" s="68" t="s">
        <v>325</v>
      </c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9"/>
      <c r="R205" s="69"/>
      <c r="S205" s="69"/>
      <c r="T205" s="69"/>
      <c r="U205" s="69"/>
      <c r="V205" s="69"/>
      <c r="W205" s="69"/>
      <c r="X205" s="69"/>
      <c r="Y205" s="69"/>
      <c r="Z205" s="69"/>
      <c r="AA205" s="69"/>
      <c r="AB205" s="69"/>
      <c r="AC205" s="70">
        <v>584956.74</v>
      </c>
      <c r="AD205" s="69"/>
      <c r="AE205" s="69"/>
    </row>
    <row r="206" spans="1:31" ht="9.6" customHeight="1" x14ac:dyDescent="0.2">
      <c r="A206" s="3" t="s">
        <v>239</v>
      </c>
      <c r="B206" s="68" t="s">
        <v>326</v>
      </c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9"/>
      <c r="R206" s="69"/>
      <c r="S206" s="69"/>
      <c r="T206" s="69"/>
      <c r="U206" s="69"/>
      <c r="V206" s="69"/>
      <c r="W206" s="69"/>
      <c r="X206" s="69"/>
      <c r="Y206" s="69"/>
      <c r="Z206" s="69"/>
      <c r="AA206" s="69"/>
      <c r="AB206" s="69"/>
      <c r="AC206" s="70">
        <v>380581.36</v>
      </c>
      <c r="AD206" s="69"/>
      <c r="AE206" s="69"/>
    </row>
    <row r="207" spans="1:31" ht="9.6" customHeight="1" x14ac:dyDescent="0.2">
      <c r="A207" s="1" t="s">
        <v>241</v>
      </c>
      <c r="B207" s="53" t="s">
        <v>327</v>
      </c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 t="s">
        <v>47</v>
      </c>
      <c r="O207" s="53"/>
      <c r="P207" s="53"/>
      <c r="Q207" s="54">
        <v>1879</v>
      </c>
      <c r="R207" s="55"/>
      <c r="S207" s="55"/>
      <c r="T207" s="55"/>
      <c r="U207" s="55"/>
      <c r="V207" s="55"/>
      <c r="W207" s="56">
        <v>42.127099999999999</v>
      </c>
      <c r="X207" s="55"/>
      <c r="Y207" s="55"/>
      <c r="Z207" s="55"/>
      <c r="AA207" s="55"/>
      <c r="AB207" s="55"/>
      <c r="AC207" s="57">
        <v>79156.820000000007</v>
      </c>
      <c r="AD207" s="55"/>
      <c r="AE207" s="55"/>
    </row>
    <row r="208" spans="1:31" ht="9.75" customHeight="1" x14ac:dyDescent="0.2">
      <c r="A208" s="1" t="s">
        <v>328</v>
      </c>
      <c r="B208" s="53" t="s">
        <v>329</v>
      </c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 t="s">
        <v>47</v>
      </c>
      <c r="O208" s="53"/>
      <c r="P208" s="53"/>
      <c r="Q208" s="54">
        <v>1155</v>
      </c>
      <c r="R208" s="55"/>
      <c r="S208" s="55"/>
      <c r="T208" s="55"/>
      <c r="U208" s="55"/>
      <c r="V208" s="55"/>
      <c r="W208" s="56">
        <v>52.924100000000003</v>
      </c>
      <c r="X208" s="55"/>
      <c r="Y208" s="55"/>
      <c r="Z208" s="55"/>
      <c r="AA208" s="55"/>
      <c r="AB208" s="55"/>
      <c r="AC208" s="57">
        <v>61127.34</v>
      </c>
      <c r="AD208" s="55"/>
      <c r="AE208" s="55"/>
    </row>
    <row r="209" spans="1:31" ht="9.6" customHeight="1" x14ac:dyDescent="0.2">
      <c r="A209" s="1" t="s">
        <v>330</v>
      </c>
      <c r="B209" s="53" t="s">
        <v>331</v>
      </c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 t="s">
        <v>47</v>
      </c>
      <c r="O209" s="53"/>
      <c r="P209" s="53"/>
      <c r="Q209" s="54">
        <v>3569</v>
      </c>
      <c r="R209" s="55"/>
      <c r="S209" s="55"/>
      <c r="T209" s="55"/>
      <c r="U209" s="55"/>
      <c r="V209" s="55"/>
      <c r="W209" s="56">
        <v>67.328999999999994</v>
      </c>
      <c r="X209" s="55"/>
      <c r="Y209" s="55"/>
      <c r="Z209" s="55"/>
      <c r="AA209" s="55"/>
      <c r="AB209" s="55"/>
      <c r="AC209" s="72">
        <v>240297.2</v>
      </c>
      <c r="AD209" s="55"/>
      <c r="AE209" s="55"/>
    </row>
    <row r="210" spans="1:31" ht="9.75" customHeight="1" x14ac:dyDescent="0.2">
      <c r="A210" s="3" t="s">
        <v>243</v>
      </c>
      <c r="B210" s="68" t="s">
        <v>332</v>
      </c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9"/>
      <c r="R210" s="69"/>
      <c r="S210" s="69"/>
      <c r="T210" s="69"/>
      <c r="U210" s="69"/>
      <c r="V210" s="69"/>
      <c r="W210" s="69"/>
      <c r="X210" s="69"/>
      <c r="Y210" s="69"/>
      <c r="Z210" s="69"/>
      <c r="AA210" s="69"/>
      <c r="AB210" s="69"/>
      <c r="AC210" s="74">
        <v>32697.38</v>
      </c>
      <c r="AD210" s="69"/>
      <c r="AE210" s="69"/>
    </row>
    <row r="211" spans="1:31" ht="19.149999999999999" customHeight="1" x14ac:dyDescent="0.2">
      <c r="A211" s="1" t="s">
        <v>245</v>
      </c>
      <c r="B211" s="53" t="s">
        <v>333</v>
      </c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 t="s">
        <v>39</v>
      </c>
      <c r="O211" s="53"/>
      <c r="P211" s="53"/>
      <c r="Q211" s="75">
        <v>735.29</v>
      </c>
      <c r="R211" s="55"/>
      <c r="S211" s="55"/>
      <c r="T211" s="55"/>
      <c r="U211" s="55"/>
      <c r="V211" s="55"/>
      <c r="W211" s="56">
        <v>41.713000000000001</v>
      </c>
      <c r="X211" s="55"/>
      <c r="Y211" s="55"/>
      <c r="Z211" s="55"/>
      <c r="AA211" s="55"/>
      <c r="AB211" s="55"/>
      <c r="AC211" s="57">
        <v>30671.15</v>
      </c>
      <c r="AD211" s="55"/>
      <c r="AE211" s="55"/>
    </row>
    <row r="212" spans="1:31" ht="9.75" customHeight="1" x14ac:dyDescent="0.2">
      <c r="A212" s="1" t="s">
        <v>247</v>
      </c>
      <c r="B212" s="53" t="s">
        <v>334</v>
      </c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 t="s">
        <v>39</v>
      </c>
      <c r="O212" s="53"/>
      <c r="P212" s="53"/>
      <c r="Q212" s="54">
        <v>3236.27</v>
      </c>
      <c r="R212" s="55"/>
      <c r="S212" s="55"/>
      <c r="T212" s="55"/>
      <c r="U212" s="55"/>
      <c r="V212" s="55"/>
      <c r="W212" s="66">
        <v>0.62609999999999999</v>
      </c>
      <c r="X212" s="55"/>
      <c r="Y212" s="55"/>
      <c r="Z212" s="55"/>
      <c r="AA212" s="55"/>
      <c r="AB212" s="55"/>
      <c r="AC212" s="67">
        <v>2026.23</v>
      </c>
      <c r="AD212" s="55"/>
      <c r="AE212" s="55"/>
    </row>
    <row r="213" spans="1:31" ht="9.6" customHeight="1" x14ac:dyDescent="0.2">
      <c r="A213" s="3" t="s">
        <v>259</v>
      </c>
      <c r="B213" s="68" t="s">
        <v>288</v>
      </c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9"/>
      <c r="R213" s="69"/>
      <c r="S213" s="69"/>
      <c r="T213" s="69"/>
      <c r="U213" s="69"/>
      <c r="V213" s="69"/>
      <c r="W213" s="69"/>
      <c r="X213" s="69"/>
      <c r="Y213" s="69"/>
      <c r="Z213" s="69"/>
      <c r="AA213" s="69"/>
      <c r="AB213" s="69"/>
      <c r="AC213" s="70">
        <v>171678</v>
      </c>
      <c r="AD213" s="69"/>
      <c r="AE213" s="69"/>
    </row>
    <row r="214" spans="1:31" ht="9.75" customHeight="1" x14ac:dyDescent="0.2">
      <c r="A214" s="1" t="s">
        <v>261</v>
      </c>
      <c r="B214" s="53" t="s">
        <v>335</v>
      </c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 t="s">
        <v>47</v>
      </c>
      <c r="O214" s="53"/>
      <c r="P214" s="53"/>
      <c r="Q214" s="54">
        <v>6603</v>
      </c>
      <c r="R214" s="55"/>
      <c r="S214" s="55"/>
      <c r="T214" s="55"/>
      <c r="U214" s="55"/>
      <c r="V214" s="55"/>
      <c r="W214" s="56">
        <v>26</v>
      </c>
      <c r="X214" s="55"/>
      <c r="Y214" s="55"/>
      <c r="Z214" s="55"/>
      <c r="AA214" s="55"/>
      <c r="AB214" s="55"/>
      <c r="AC214" s="72">
        <v>171678</v>
      </c>
      <c r="AD214" s="55"/>
      <c r="AE214" s="55"/>
    </row>
    <row r="215" spans="1:31" ht="9.75" customHeight="1" x14ac:dyDescent="0.2">
      <c r="A215" s="3" t="s">
        <v>336</v>
      </c>
      <c r="B215" s="68" t="s">
        <v>337</v>
      </c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9"/>
      <c r="R215" s="69"/>
      <c r="S215" s="69"/>
      <c r="T215" s="69"/>
      <c r="U215" s="69"/>
      <c r="V215" s="69"/>
      <c r="W215" s="69"/>
      <c r="X215" s="69"/>
      <c r="Y215" s="69"/>
      <c r="Z215" s="69"/>
      <c r="AA215" s="69"/>
      <c r="AB215" s="69"/>
      <c r="AC215" s="70">
        <v>832170.92</v>
      </c>
      <c r="AD215" s="69"/>
      <c r="AE215" s="69"/>
    </row>
    <row r="216" spans="1:31" ht="9.75" customHeight="1" x14ac:dyDescent="0.2">
      <c r="A216" s="3" t="s">
        <v>338</v>
      </c>
      <c r="B216" s="68" t="s">
        <v>337</v>
      </c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9"/>
      <c r="R216" s="69"/>
      <c r="S216" s="69"/>
      <c r="T216" s="69"/>
      <c r="U216" s="69"/>
      <c r="V216" s="69"/>
      <c r="W216" s="69"/>
      <c r="X216" s="69"/>
      <c r="Y216" s="69"/>
      <c r="Z216" s="69"/>
      <c r="AA216" s="69"/>
      <c r="AB216" s="69"/>
      <c r="AC216" s="70">
        <v>832170.92</v>
      </c>
      <c r="AD216" s="69"/>
      <c r="AE216" s="69"/>
    </row>
    <row r="217" spans="1:31" ht="9.6" customHeight="1" x14ac:dyDescent="0.2">
      <c r="A217" s="3" t="s">
        <v>339</v>
      </c>
      <c r="B217" s="68" t="s">
        <v>340</v>
      </c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9"/>
      <c r="R217" s="69"/>
      <c r="S217" s="69"/>
      <c r="T217" s="69"/>
      <c r="U217" s="69"/>
      <c r="V217" s="69"/>
      <c r="W217" s="69"/>
      <c r="X217" s="69"/>
      <c r="Y217" s="69"/>
      <c r="Z217" s="69"/>
      <c r="AA217" s="69"/>
      <c r="AB217" s="69"/>
      <c r="AC217" s="74">
        <v>33966.160000000003</v>
      </c>
      <c r="AD217" s="69"/>
      <c r="AE217" s="69"/>
    </row>
    <row r="218" spans="1:31" ht="9.6" customHeight="1" x14ac:dyDescent="0.2">
      <c r="A218" s="1" t="s">
        <v>341</v>
      </c>
      <c r="B218" s="53" t="s">
        <v>342</v>
      </c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 t="s">
        <v>27</v>
      </c>
      <c r="O218" s="53"/>
      <c r="P218" s="53"/>
      <c r="Q218" s="66">
        <v>1</v>
      </c>
      <c r="R218" s="55"/>
      <c r="S218" s="55"/>
      <c r="T218" s="55"/>
      <c r="U218" s="55"/>
      <c r="V218" s="55"/>
      <c r="W218" s="73">
        <v>33966.160000000003</v>
      </c>
      <c r="X218" s="55"/>
      <c r="Y218" s="55"/>
      <c r="Z218" s="55"/>
      <c r="AA218" s="55"/>
      <c r="AB218" s="55"/>
      <c r="AC218" s="57">
        <v>33966.160000000003</v>
      </c>
      <c r="AD218" s="55"/>
      <c r="AE218" s="55"/>
    </row>
    <row r="219" spans="1:31" ht="9.6" customHeight="1" x14ac:dyDescent="0.2">
      <c r="A219" s="3" t="s">
        <v>343</v>
      </c>
      <c r="B219" s="68" t="s">
        <v>344</v>
      </c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9"/>
      <c r="R219" s="69"/>
      <c r="S219" s="69"/>
      <c r="T219" s="69"/>
      <c r="U219" s="69"/>
      <c r="V219" s="69"/>
      <c r="W219" s="69"/>
      <c r="X219" s="69"/>
      <c r="Y219" s="69"/>
      <c r="Z219" s="69"/>
      <c r="AA219" s="69"/>
      <c r="AB219" s="69"/>
      <c r="AC219" s="70">
        <v>106144.25</v>
      </c>
      <c r="AD219" s="69"/>
      <c r="AE219" s="69"/>
    </row>
    <row r="220" spans="1:31" ht="9.6" customHeight="1" x14ac:dyDescent="0.2">
      <c r="A220" s="1" t="s">
        <v>345</v>
      </c>
      <c r="B220" s="53" t="s">
        <v>344</v>
      </c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 t="s">
        <v>27</v>
      </c>
      <c r="O220" s="53"/>
      <c r="P220" s="53"/>
      <c r="Q220" s="66">
        <v>1</v>
      </c>
      <c r="R220" s="55"/>
      <c r="S220" s="55"/>
      <c r="T220" s="55"/>
      <c r="U220" s="55"/>
      <c r="V220" s="55"/>
      <c r="W220" s="71">
        <v>106144.25</v>
      </c>
      <c r="X220" s="55"/>
      <c r="Y220" s="55"/>
      <c r="Z220" s="55"/>
      <c r="AA220" s="55"/>
      <c r="AB220" s="55"/>
      <c r="AC220" s="72">
        <v>106144.25</v>
      </c>
      <c r="AD220" s="55"/>
      <c r="AE220" s="55"/>
    </row>
    <row r="221" spans="1:31" ht="9.75" customHeight="1" x14ac:dyDescent="0.2">
      <c r="A221" s="3" t="s">
        <v>346</v>
      </c>
      <c r="B221" s="68" t="s">
        <v>347</v>
      </c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9"/>
      <c r="R221" s="69"/>
      <c r="S221" s="69"/>
      <c r="T221" s="69"/>
      <c r="U221" s="69"/>
      <c r="V221" s="69"/>
      <c r="W221" s="69"/>
      <c r="X221" s="69"/>
      <c r="Y221" s="69"/>
      <c r="Z221" s="69"/>
      <c r="AA221" s="69"/>
      <c r="AB221" s="69"/>
      <c r="AC221" s="74">
        <v>84915.4</v>
      </c>
      <c r="AD221" s="69"/>
      <c r="AE221" s="69"/>
    </row>
    <row r="222" spans="1:31" ht="9.6" customHeight="1" x14ac:dyDescent="0.2">
      <c r="A222" s="1" t="s">
        <v>348</v>
      </c>
      <c r="B222" s="53" t="s">
        <v>347</v>
      </c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 t="s">
        <v>27</v>
      </c>
      <c r="O222" s="53"/>
      <c r="P222" s="53"/>
      <c r="Q222" s="66">
        <v>1</v>
      </c>
      <c r="R222" s="55"/>
      <c r="S222" s="55"/>
      <c r="T222" s="55"/>
      <c r="U222" s="55"/>
      <c r="V222" s="55"/>
      <c r="W222" s="73">
        <v>84915.4</v>
      </c>
      <c r="X222" s="55"/>
      <c r="Y222" s="55"/>
      <c r="Z222" s="55"/>
      <c r="AA222" s="55"/>
      <c r="AB222" s="55"/>
      <c r="AC222" s="57">
        <v>84915.4</v>
      </c>
      <c r="AD222" s="55"/>
      <c r="AE222" s="55"/>
    </row>
    <row r="223" spans="1:31" ht="9.75" customHeight="1" x14ac:dyDescent="0.2">
      <c r="A223" s="3" t="s">
        <v>349</v>
      </c>
      <c r="B223" s="68" t="s">
        <v>350</v>
      </c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9"/>
      <c r="R223" s="69"/>
      <c r="S223" s="69"/>
      <c r="T223" s="69"/>
      <c r="U223" s="69"/>
      <c r="V223" s="69"/>
      <c r="W223" s="69"/>
      <c r="X223" s="69"/>
      <c r="Y223" s="69"/>
      <c r="Z223" s="69"/>
      <c r="AA223" s="69"/>
      <c r="AB223" s="69"/>
      <c r="AC223" s="70">
        <v>169830.8</v>
      </c>
      <c r="AD223" s="69"/>
      <c r="AE223" s="69"/>
    </row>
    <row r="224" spans="1:31" ht="19.149999999999999" customHeight="1" x14ac:dyDescent="0.2">
      <c r="A224" s="1" t="s">
        <v>351</v>
      </c>
      <c r="B224" s="53" t="s">
        <v>350</v>
      </c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 t="s">
        <v>27</v>
      </c>
      <c r="O224" s="53"/>
      <c r="P224" s="53"/>
      <c r="Q224" s="66">
        <v>1</v>
      </c>
      <c r="R224" s="55"/>
      <c r="S224" s="55"/>
      <c r="T224" s="55"/>
      <c r="U224" s="55"/>
      <c r="V224" s="55"/>
      <c r="W224" s="71">
        <v>169830.8</v>
      </c>
      <c r="X224" s="55"/>
      <c r="Y224" s="55"/>
      <c r="Z224" s="55"/>
      <c r="AA224" s="55"/>
      <c r="AB224" s="55"/>
      <c r="AC224" s="72">
        <v>169830.8</v>
      </c>
      <c r="AD224" s="55"/>
      <c r="AE224" s="55"/>
    </row>
    <row r="225" spans="1:31" ht="9.75" customHeight="1" x14ac:dyDescent="0.2">
      <c r="A225" s="3" t="s">
        <v>352</v>
      </c>
      <c r="B225" s="68" t="s">
        <v>353</v>
      </c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9"/>
      <c r="R225" s="69"/>
      <c r="S225" s="69"/>
      <c r="T225" s="69"/>
      <c r="U225" s="69"/>
      <c r="V225" s="69"/>
      <c r="W225" s="69"/>
      <c r="X225" s="69"/>
      <c r="Y225" s="69"/>
      <c r="Z225" s="69"/>
      <c r="AA225" s="69"/>
      <c r="AB225" s="69"/>
      <c r="AC225" s="70">
        <v>118881.56</v>
      </c>
      <c r="AD225" s="69"/>
      <c r="AE225" s="69"/>
    </row>
    <row r="226" spans="1:31" ht="9.75" customHeight="1" x14ac:dyDescent="0.2">
      <c r="A226" s="1" t="s">
        <v>354</v>
      </c>
      <c r="B226" s="53" t="s">
        <v>353</v>
      </c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 t="s">
        <v>27</v>
      </c>
      <c r="O226" s="53"/>
      <c r="P226" s="53"/>
      <c r="Q226" s="66">
        <v>1</v>
      </c>
      <c r="R226" s="55"/>
      <c r="S226" s="55"/>
      <c r="T226" s="55"/>
      <c r="U226" s="55"/>
      <c r="V226" s="55"/>
      <c r="W226" s="71">
        <v>118881.56</v>
      </c>
      <c r="X226" s="55"/>
      <c r="Y226" s="55"/>
      <c r="Z226" s="55"/>
      <c r="AA226" s="55"/>
      <c r="AB226" s="55"/>
      <c r="AC226" s="72">
        <v>118881.56</v>
      </c>
      <c r="AD226" s="55"/>
      <c r="AE226" s="55"/>
    </row>
    <row r="227" spans="1:31" ht="19.149999999999999" customHeight="1" x14ac:dyDescent="0.2">
      <c r="A227" s="3" t="s">
        <v>355</v>
      </c>
      <c r="B227" s="68" t="s">
        <v>356</v>
      </c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9"/>
      <c r="R227" s="69"/>
      <c r="S227" s="69"/>
      <c r="T227" s="69"/>
      <c r="U227" s="69"/>
      <c r="V227" s="69"/>
      <c r="W227" s="69"/>
      <c r="X227" s="69"/>
      <c r="Y227" s="69"/>
      <c r="Z227" s="69"/>
      <c r="AA227" s="69"/>
      <c r="AB227" s="69"/>
      <c r="AC227" s="74">
        <v>84915.4</v>
      </c>
      <c r="AD227" s="69"/>
      <c r="AE227" s="69"/>
    </row>
    <row r="228" spans="1:31" ht="19.149999999999999" customHeight="1" x14ac:dyDescent="0.2">
      <c r="A228" s="1" t="s">
        <v>357</v>
      </c>
      <c r="B228" s="53" t="s">
        <v>356</v>
      </c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 t="s">
        <v>27</v>
      </c>
      <c r="O228" s="53"/>
      <c r="P228" s="53"/>
      <c r="Q228" s="66">
        <v>1</v>
      </c>
      <c r="R228" s="55"/>
      <c r="S228" s="55"/>
      <c r="T228" s="55"/>
      <c r="U228" s="55"/>
      <c r="V228" s="55"/>
      <c r="W228" s="73">
        <v>84915.4</v>
      </c>
      <c r="X228" s="55"/>
      <c r="Y228" s="55"/>
      <c r="Z228" s="55"/>
      <c r="AA228" s="55"/>
      <c r="AB228" s="55"/>
      <c r="AC228" s="57">
        <v>84915.4</v>
      </c>
      <c r="AD228" s="55"/>
      <c r="AE228" s="55"/>
    </row>
    <row r="229" spans="1:31" ht="9.75" customHeight="1" x14ac:dyDescent="0.2">
      <c r="A229" s="3" t="s">
        <v>358</v>
      </c>
      <c r="B229" s="68" t="s">
        <v>288</v>
      </c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9"/>
      <c r="R229" s="69"/>
      <c r="S229" s="69"/>
      <c r="T229" s="69"/>
      <c r="U229" s="69"/>
      <c r="V229" s="69"/>
      <c r="W229" s="69"/>
      <c r="X229" s="69"/>
      <c r="Y229" s="69"/>
      <c r="Z229" s="69"/>
      <c r="AA229" s="69"/>
      <c r="AB229" s="69"/>
      <c r="AC229" s="70">
        <v>233517.35</v>
      </c>
      <c r="AD229" s="69"/>
      <c r="AE229" s="69"/>
    </row>
    <row r="230" spans="1:31" ht="9.6" customHeight="1" x14ac:dyDescent="0.2">
      <c r="A230" s="1" t="s">
        <v>359</v>
      </c>
      <c r="B230" s="53" t="s">
        <v>360</v>
      </c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 t="s">
        <v>47</v>
      </c>
      <c r="O230" s="53"/>
      <c r="P230" s="53"/>
      <c r="Q230" s="54">
        <v>4245.7700000000004</v>
      </c>
      <c r="R230" s="55"/>
      <c r="S230" s="55"/>
      <c r="T230" s="55"/>
      <c r="U230" s="55"/>
      <c r="V230" s="55"/>
      <c r="W230" s="56">
        <v>55</v>
      </c>
      <c r="X230" s="55"/>
      <c r="Y230" s="55"/>
      <c r="Z230" s="55"/>
      <c r="AA230" s="55"/>
      <c r="AB230" s="55"/>
      <c r="AC230" s="72">
        <v>233517.35</v>
      </c>
      <c r="AD230" s="55"/>
      <c r="AE230" s="55"/>
    </row>
    <row r="231" spans="1:31" ht="9.6" customHeight="1" x14ac:dyDescent="0.2">
      <c r="A231" s="3" t="s">
        <v>361</v>
      </c>
      <c r="B231" s="68" t="s">
        <v>362</v>
      </c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9"/>
      <c r="R231" s="69"/>
      <c r="S231" s="69"/>
      <c r="T231" s="69"/>
      <c r="U231" s="69"/>
      <c r="V231" s="69"/>
      <c r="W231" s="69"/>
      <c r="X231" s="69"/>
      <c r="Y231" s="69"/>
      <c r="Z231" s="69"/>
      <c r="AA231" s="69"/>
      <c r="AB231" s="69"/>
      <c r="AC231" s="70">
        <v>424577</v>
      </c>
      <c r="AD231" s="69"/>
      <c r="AE231" s="69"/>
    </row>
    <row r="232" spans="1:31" ht="9.75" customHeight="1" x14ac:dyDescent="0.2">
      <c r="A232" s="3" t="s">
        <v>363</v>
      </c>
      <c r="B232" s="68" t="s">
        <v>362</v>
      </c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9"/>
      <c r="R232" s="69"/>
      <c r="S232" s="69"/>
      <c r="T232" s="69"/>
      <c r="U232" s="69"/>
      <c r="V232" s="69"/>
      <c r="W232" s="69"/>
      <c r="X232" s="69"/>
      <c r="Y232" s="69"/>
      <c r="Z232" s="69"/>
      <c r="AA232" s="69"/>
      <c r="AB232" s="69"/>
      <c r="AC232" s="70">
        <v>424577</v>
      </c>
      <c r="AD232" s="69"/>
      <c r="AE232" s="69"/>
    </row>
    <row r="233" spans="1:31" ht="19.149999999999999" customHeight="1" x14ac:dyDescent="0.2">
      <c r="A233" s="3" t="s">
        <v>364</v>
      </c>
      <c r="B233" s="68" t="s">
        <v>365</v>
      </c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9"/>
      <c r="R233" s="69"/>
      <c r="S233" s="69"/>
      <c r="T233" s="69"/>
      <c r="U233" s="69"/>
      <c r="V233" s="69"/>
      <c r="W233" s="69"/>
      <c r="X233" s="69"/>
      <c r="Y233" s="69"/>
      <c r="Z233" s="69"/>
      <c r="AA233" s="69"/>
      <c r="AB233" s="69"/>
      <c r="AC233" s="74">
        <v>93406.94</v>
      </c>
      <c r="AD233" s="69"/>
      <c r="AE233" s="69"/>
    </row>
    <row r="234" spans="1:31" ht="9.75" customHeight="1" x14ac:dyDescent="0.2">
      <c r="A234" s="1" t="s">
        <v>366</v>
      </c>
      <c r="B234" s="53" t="s">
        <v>365</v>
      </c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 t="s">
        <v>27</v>
      </c>
      <c r="O234" s="53"/>
      <c r="P234" s="53"/>
      <c r="Q234" s="66">
        <v>1</v>
      </c>
      <c r="R234" s="55"/>
      <c r="S234" s="55"/>
      <c r="T234" s="55"/>
      <c r="U234" s="55"/>
      <c r="V234" s="55"/>
      <c r="W234" s="73">
        <v>93406.94</v>
      </c>
      <c r="X234" s="55"/>
      <c r="Y234" s="55"/>
      <c r="Z234" s="55"/>
      <c r="AA234" s="55"/>
      <c r="AB234" s="55"/>
      <c r="AC234" s="57">
        <v>93406.94</v>
      </c>
      <c r="AD234" s="55"/>
      <c r="AE234" s="55"/>
    </row>
    <row r="235" spans="1:31" ht="9.6" customHeight="1" x14ac:dyDescent="0.2">
      <c r="A235" s="3" t="s">
        <v>367</v>
      </c>
      <c r="B235" s="68" t="s">
        <v>368</v>
      </c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9"/>
      <c r="R235" s="69"/>
      <c r="S235" s="69"/>
      <c r="T235" s="69"/>
      <c r="U235" s="69"/>
      <c r="V235" s="69"/>
      <c r="W235" s="69"/>
      <c r="X235" s="69"/>
      <c r="Y235" s="69"/>
      <c r="Z235" s="69"/>
      <c r="AA235" s="69"/>
      <c r="AB235" s="69"/>
      <c r="AC235" s="74">
        <v>42457.7</v>
      </c>
      <c r="AD235" s="69"/>
      <c r="AE235" s="69"/>
    </row>
    <row r="236" spans="1:31" ht="9.75" customHeight="1" x14ac:dyDescent="0.2">
      <c r="A236" s="1" t="s">
        <v>369</v>
      </c>
      <c r="B236" s="53" t="s">
        <v>368</v>
      </c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 t="s">
        <v>27</v>
      </c>
      <c r="O236" s="53"/>
      <c r="P236" s="53"/>
      <c r="Q236" s="66">
        <v>1</v>
      </c>
      <c r="R236" s="55"/>
      <c r="S236" s="55"/>
      <c r="T236" s="55"/>
      <c r="U236" s="55"/>
      <c r="V236" s="55"/>
      <c r="W236" s="73">
        <v>42457.7</v>
      </c>
      <c r="X236" s="55"/>
      <c r="Y236" s="55"/>
      <c r="Z236" s="55"/>
      <c r="AA236" s="55"/>
      <c r="AB236" s="55"/>
      <c r="AC236" s="57">
        <v>42457.7</v>
      </c>
      <c r="AD236" s="55"/>
      <c r="AE236" s="55"/>
    </row>
    <row r="237" spans="1:31" ht="9.75" customHeight="1" x14ac:dyDescent="0.2">
      <c r="A237" s="3" t="s">
        <v>370</v>
      </c>
      <c r="B237" s="68" t="s">
        <v>371</v>
      </c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9"/>
      <c r="R237" s="69"/>
      <c r="S237" s="69"/>
      <c r="T237" s="69"/>
      <c r="U237" s="69"/>
      <c r="V237" s="69"/>
      <c r="W237" s="69"/>
      <c r="X237" s="69"/>
      <c r="Y237" s="69"/>
      <c r="Z237" s="69"/>
      <c r="AA237" s="69"/>
      <c r="AB237" s="69"/>
      <c r="AC237" s="74">
        <v>76423.86</v>
      </c>
      <c r="AD237" s="69"/>
      <c r="AE237" s="69"/>
    </row>
    <row r="238" spans="1:31" ht="9.75" customHeight="1" x14ac:dyDescent="0.2">
      <c r="A238" s="1" t="s">
        <v>372</v>
      </c>
      <c r="B238" s="53" t="s">
        <v>371</v>
      </c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 t="s">
        <v>27</v>
      </c>
      <c r="O238" s="53"/>
      <c r="P238" s="53"/>
      <c r="Q238" s="66">
        <v>1</v>
      </c>
      <c r="R238" s="55"/>
      <c r="S238" s="55"/>
      <c r="T238" s="55"/>
      <c r="U238" s="55"/>
      <c r="V238" s="55"/>
      <c r="W238" s="73">
        <v>76423.86</v>
      </c>
      <c r="X238" s="55"/>
      <c r="Y238" s="55"/>
      <c r="Z238" s="55"/>
      <c r="AA238" s="55"/>
      <c r="AB238" s="55"/>
      <c r="AC238" s="57">
        <v>76423.86</v>
      </c>
      <c r="AD238" s="55"/>
      <c r="AE238" s="55"/>
    </row>
    <row r="239" spans="1:31" ht="19.149999999999999" customHeight="1" x14ac:dyDescent="0.2">
      <c r="A239" s="3" t="s">
        <v>373</v>
      </c>
      <c r="B239" s="68" t="s">
        <v>288</v>
      </c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9"/>
      <c r="R239" s="69"/>
      <c r="S239" s="69"/>
      <c r="T239" s="69"/>
      <c r="U239" s="69"/>
      <c r="V239" s="69"/>
      <c r="W239" s="69"/>
      <c r="X239" s="69"/>
      <c r="Y239" s="69"/>
      <c r="Z239" s="69"/>
      <c r="AA239" s="69"/>
      <c r="AB239" s="69"/>
      <c r="AC239" s="70">
        <v>212288.5</v>
      </c>
      <c r="AD239" s="69"/>
      <c r="AE239" s="69"/>
    </row>
    <row r="240" spans="1:31" ht="19.149999999999999" customHeight="1" x14ac:dyDescent="0.2">
      <c r="A240" s="1" t="s">
        <v>374</v>
      </c>
      <c r="B240" s="53" t="s">
        <v>375</v>
      </c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 t="s">
        <v>47</v>
      </c>
      <c r="O240" s="53"/>
      <c r="P240" s="53"/>
      <c r="Q240" s="54">
        <v>4245.7700000000004</v>
      </c>
      <c r="R240" s="55"/>
      <c r="S240" s="55"/>
      <c r="T240" s="55"/>
      <c r="U240" s="55"/>
      <c r="V240" s="55"/>
      <c r="W240" s="56">
        <v>50</v>
      </c>
      <c r="X240" s="55"/>
      <c r="Y240" s="55"/>
      <c r="Z240" s="55"/>
      <c r="AA240" s="55"/>
      <c r="AB240" s="55"/>
      <c r="AC240" s="72">
        <v>212288.5</v>
      </c>
      <c r="AD240" s="55"/>
      <c r="AE240" s="55"/>
    </row>
    <row r="241" spans="1:31" ht="9.75" customHeight="1" x14ac:dyDescent="0.2">
      <c r="A241" s="3" t="s">
        <v>376</v>
      </c>
      <c r="B241" s="68" t="s">
        <v>377</v>
      </c>
      <c r="C241" s="68"/>
      <c r="D241" s="68"/>
      <c r="E241" s="68"/>
      <c r="F241" s="68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9"/>
      <c r="R241" s="69"/>
      <c r="S241" s="69"/>
      <c r="T241" s="69"/>
      <c r="U241" s="69"/>
      <c r="V241" s="69"/>
      <c r="W241" s="69"/>
      <c r="X241" s="69"/>
      <c r="Y241" s="69"/>
      <c r="Z241" s="69"/>
      <c r="AA241" s="69"/>
      <c r="AB241" s="69"/>
      <c r="AC241" s="70">
        <v>376104.07</v>
      </c>
      <c r="AD241" s="69"/>
      <c r="AE241" s="69"/>
    </row>
    <row r="242" spans="1:31" ht="9.6" customHeight="1" x14ac:dyDescent="0.2">
      <c r="A242" s="3" t="s">
        <v>378</v>
      </c>
      <c r="B242" s="68" t="s">
        <v>377</v>
      </c>
      <c r="C242" s="68"/>
      <c r="D242" s="68"/>
      <c r="E242" s="68"/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9"/>
      <c r="R242" s="69"/>
      <c r="S242" s="69"/>
      <c r="T242" s="69"/>
      <c r="U242" s="69"/>
      <c r="V242" s="69"/>
      <c r="W242" s="69"/>
      <c r="X242" s="69"/>
      <c r="Y242" s="69"/>
      <c r="Z242" s="69"/>
      <c r="AA242" s="69"/>
      <c r="AB242" s="69"/>
      <c r="AC242" s="70">
        <v>376104.07</v>
      </c>
      <c r="AD242" s="69"/>
      <c r="AE242" s="69"/>
    </row>
    <row r="243" spans="1:31" ht="9.6" customHeight="1" x14ac:dyDescent="0.2">
      <c r="A243" s="3" t="s">
        <v>379</v>
      </c>
      <c r="B243" s="68" t="s">
        <v>380</v>
      </c>
      <c r="C243" s="68"/>
      <c r="D243" s="68"/>
      <c r="E243" s="68"/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9"/>
      <c r="R243" s="69"/>
      <c r="S243" s="69"/>
      <c r="T243" s="69"/>
      <c r="U243" s="69"/>
      <c r="V243" s="69"/>
      <c r="W243" s="69"/>
      <c r="X243" s="69"/>
      <c r="Y243" s="69"/>
      <c r="Z243" s="69"/>
      <c r="AA243" s="69"/>
      <c r="AB243" s="69"/>
      <c r="AC243" s="70">
        <v>196578.17</v>
      </c>
      <c r="AD243" s="69"/>
      <c r="AE243" s="69"/>
    </row>
    <row r="244" spans="1:31" ht="9.75" customHeight="1" x14ac:dyDescent="0.2">
      <c r="A244" s="1" t="s">
        <v>381</v>
      </c>
      <c r="B244" s="53" t="s">
        <v>382</v>
      </c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 t="s">
        <v>158</v>
      </c>
      <c r="O244" s="53"/>
      <c r="P244" s="53"/>
      <c r="Q244" s="75">
        <v>115</v>
      </c>
      <c r="R244" s="55"/>
      <c r="S244" s="55"/>
      <c r="T244" s="55"/>
      <c r="U244" s="55"/>
      <c r="V244" s="55"/>
      <c r="W244" s="75">
        <v>984.49</v>
      </c>
      <c r="X244" s="55"/>
      <c r="Y244" s="55"/>
      <c r="Z244" s="55"/>
      <c r="AA244" s="55"/>
      <c r="AB244" s="55"/>
      <c r="AC244" s="72">
        <v>113216.35</v>
      </c>
      <c r="AD244" s="55"/>
      <c r="AE244" s="55"/>
    </row>
    <row r="245" spans="1:31" ht="19.149999999999999" customHeight="1" x14ac:dyDescent="0.2">
      <c r="A245" s="1" t="s">
        <v>383</v>
      </c>
      <c r="B245" s="53" t="s">
        <v>384</v>
      </c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 t="s">
        <v>158</v>
      </c>
      <c r="O245" s="53"/>
      <c r="P245" s="53"/>
      <c r="Q245" s="56">
        <v>14</v>
      </c>
      <c r="R245" s="55"/>
      <c r="S245" s="55"/>
      <c r="T245" s="55"/>
      <c r="U245" s="55"/>
      <c r="V245" s="55"/>
      <c r="W245" s="54">
        <v>1125.3800000000001</v>
      </c>
      <c r="X245" s="55"/>
      <c r="Y245" s="55"/>
      <c r="Z245" s="55"/>
      <c r="AA245" s="55"/>
      <c r="AB245" s="55"/>
      <c r="AC245" s="57">
        <v>15755.32</v>
      </c>
      <c r="AD245" s="55"/>
      <c r="AE245" s="55"/>
    </row>
    <row r="246" spans="1:31" ht="9.75" customHeight="1" x14ac:dyDescent="0.2">
      <c r="A246" s="1" t="s">
        <v>385</v>
      </c>
      <c r="B246" s="53" t="s">
        <v>386</v>
      </c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 t="s">
        <v>158</v>
      </c>
      <c r="O246" s="53"/>
      <c r="P246" s="53"/>
      <c r="Q246" s="75">
        <v>227</v>
      </c>
      <c r="R246" s="55"/>
      <c r="S246" s="55"/>
      <c r="T246" s="55"/>
      <c r="U246" s="55"/>
      <c r="V246" s="55"/>
      <c r="W246" s="75">
        <v>225.57</v>
      </c>
      <c r="X246" s="55"/>
      <c r="Y246" s="55"/>
      <c r="Z246" s="55"/>
      <c r="AA246" s="55"/>
      <c r="AB246" s="55"/>
      <c r="AC246" s="57">
        <v>51204.39</v>
      </c>
      <c r="AD246" s="55"/>
      <c r="AE246" s="55"/>
    </row>
    <row r="247" spans="1:31" ht="9.6" customHeight="1" x14ac:dyDescent="0.2">
      <c r="A247" s="1" t="s">
        <v>387</v>
      </c>
      <c r="B247" s="53" t="s">
        <v>388</v>
      </c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 t="s">
        <v>158</v>
      </c>
      <c r="O247" s="53"/>
      <c r="P247" s="53"/>
      <c r="Q247" s="66">
        <v>5</v>
      </c>
      <c r="R247" s="55"/>
      <c r="S247" s="55"/>
      <c r="T247" s="55"/>
      <c r="U247" s="55"/>
      <c r="V247" s="55"/>
      <c r="W247" s="75">
        <v>499.8</v>
      </c>
      <c r="X247" s="55"/>
      <c r="Y247" s="55"/>
      <c r="Z247" s="55"/>
      <c r="AA247" s="55"/>
      <c r="AB247" s="55"/>
      <c r="AC247" s="67">
        <v>2499</v>
      </c>
      <c r="AD247" s="55"/>
      <c r="AE247" s="55"/>
    </row>
    <row r="248" spans="1:31" ht="9.6" customHeight="1" x14ac:dyDescent="0.2">
      <c r="A248" s="1" t="s">
        <v>389</v>
      </c>
      <c r="B248" s="53" t="s">
        <v>390</v>
      </c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 t="s">
        <v>158</v>
      </c>
      <c r="O248" s="53"/>
      <c r="P248" s="53"/>
      <c r="Q248" s="56">
        <v>24</v>
      </c>
      <c r="R248" s="55"/>
      <c r="S248" s="55"/>
      <c r="T248" s="55"/>
      <c r="U248" s="55"/>
      <c r="V248" s="55"/>
      <c r="W248" s="75">
        <v>499.8</v>
      </c>
      <c r="X248" s="55"/>
      <c r="Y248" s="55"/>
      <c r="Z248" s="55"/>
      <c r="AA248" s="55"/>
      <c r="AB248" s="55"/>
      <c r="AC248" s="57">
        <v>11995.2</v>
      </c>
      <c r="AD248" s="55"/>
      <c r="AE248" s="55"/>
    </row>
    <row r="249" spans="1:31" ht="9.75" customHeight="1" x14ac:dyDescent="0.2">
      <c r="A249" s="1" t="s">
        <v>391</v>
      </c>
      <c r="B249" s="53" t="s">
        <v>392</v>
      </c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 t="s">
        <v>158</v>
      </c>
      <c r="O249" s="53"/>
      <c r="P249" s="53"/>
      <c r="Q249" s="66">
        <v>3</v>
      </c>
      <c r="R249" s="55"/>
      <c r="S249" s="55"/>
      <c r="T249" s="55"/>
      <c r="U249" s="55"/>
      <c r="V249" s="55"/>
      <c r="W249" s="75">
        <v>635.97</v>
      </c>
      <c r="X249" s="55"/>
      <c r="Y249" s="55"/>
      <c r="Z249" s="55"/>
      <c r="AA249" s="55"/>
      <c r="AB249" s="55"/>
      <c r="AC249" s="67">
        <v>1907.91</v>
      </c>
      <c r="AD249" s="55"/>
      <c r="AE249" s="55"/>
    </row>
    <row r="250" spans="1:31" ht="9.6" customHeight="1" x14ac:dyDescent="0.2">
      <c r="A250" s="3" t="s">
        <v>393</v>
      </c>
      <c r="B250" s="68" t="s">
        <v>394</v>
      </c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9"/>
      <c r="R250" s="69"/>
      <c r="S250" s="69"/>
      <c r="T250" s="69"/>
      <c r="U250" s="69"/>
      <c r="V250" s="69"/>
      <c r="W250" s="69"/>
      <c r="X250" s="69"/>
      <c r="Y250" s="69"/>
      <c r="Z250" s="69"/>
      <c r="AA250" s="69"/>
      <c r="AB250" s="69"/>
      <c r="AC250" s="70">
        <v>156574.1</v>
      </c>
      <c r="AD250" s="69"/>
      <c r="AE250" s="69"/>
    </row>
    <row r="251" spans="1:31" ht="9.75" customHeight="1" x14ac:dyDescent="0.2">
      <c r="A251" s="1" t="s">
        <v>395</v>
      </c>
      <c r="B251" s="53" t="s">
        <v>396</v>
      </c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 t="s">
        <v>158</v>
      </c>
      <c r="O251" s="53"/>
      <c r="P251" s="53"/>
      <c r="Q251" s="75">
        <v>244</v>
      </c>
      <c r="R251" s="55"/>
      <c r="S251" s="55"/>
      <c r="T251" s="55"/>
      <c r="U251" s="55"/>
      <c r="V251" s="55"/>
      <c r="W251" s="75">
        <v>235.57</v>
      </c>
      <c r="X251" s="55"/>
      <c r="Y251" s="55"/>
      <c r="Z251" s="55"/>
      <c r="AA251" s="55"/>
      <c r="AB251" s="55"/>
      <c r="AC251" s="57">
        <v>57479.08</v>
      </c>
      <c r="AD251" s="55"/>
      <c r="AE251" s="55"/>
    </row>
    <row r="252" spans="1:31" ht="9.75" customHeight="1" x14ac:dyDescent="0.2">
      <c r="A252" s="1" t="s">
        <v>397</v>
      </c>
      <c r="B252" s="53" t="s">
        <v>398</v>
      </c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 t="s">
        <v>158</v>
      </c>
      <c r="O252" s="53"/>
      <c r="P252" s="53"/>
      <c r="Q252" s="75">
        <v>130</v>
      </c>
      <c r="R252" s="55"/>
      <c r="S252" s="55"/>
      <c r="T252" s="55"/>
      <c r="U252" s="55"/>
      <c r="V252" s="55"/>
      <c r="W252" s="75">
        <v>240.8</v>
      </c>
      <c r="X252" s="55"/>
      <c r="Y252" s="55"/>
      <c r="Z252" s="55"/>
      <c r="AA252" s="55"/>
      <c r="AB252" s="55"/>
      <c r="AC252" s="57">
        <v>31304</v>
      </c>
      <c r="AD252" s="55"/>
      <c r="AE252" s="55"/>
    </row>
    <row r="253" spans="1:31" ht="9.75" customHeight="1" x14ac:dyDescent="0.2">
      <c r="A253" s="1" t="s">
        <v>399</v>
      </c>
      <c r="B253" s="53" t="s">
        <v>400</v>
      </c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 t="s">
        <v>158</v>
      </c>
      <c r="O253" s="53"/>
      <c r="P253" s="53"/>
      <c r="Q253" s="66">
        <v>2</v>
      </c>
      <c r="R253" s="55"/>
      <c r="S253" s="55"/>
      <c r="T253" s="55"/>
      <c r="U253" s="55"/>
      <c r="V253" s="55"/>
      <c r="W253" s="75">
        <v>274.99</v>
      </c>
      <c r="X253" s="55"/>
      <c r="Y253" s="55"/>
      <c r="Z253" s="55"/>
      <c r="AA253" s="55"/>
      <c r="AB253" s="55"/>
      <c r="AC253" s="76">
        <v>549.98</v>
      </c>
      <c r="AD253" s="55"/>
      <c r="AE253" s="55"/>
    </row>
    <row r="254" spans="1:31" ht="19.149999999999999" customHeight="1" x14ac:dyDescent="0.2">
      <c r="A254" s="1" t="s">
        <v>401</v>
      </c>
      <c r="B254" s="53" t="s">
        <v>402</v>
      </c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 t="s">
        <v>158</v>
      </c>
      <c r="O254" s="53"/>
      <c r="P254" s="53"/>
      <c r="Q254" s="66">
        <v>3</v>
      </c>
      <c r="R254" s="55"/>
      <c r="S254" s="55"/>
      <c r="T254" s="55"/>
      <c r="U254" s="55"/>
      <c r="V254" s="55"/>
      <c r="W254" s="75">
        <v>270.56</v>
      </c>
      <c r="X254" s="55"/>
      <c r="Y254" s="55"/>
      <c r="Z254" s="55"/>
      <c r="AA254" s="55"/>
      <c r="AB254" s="55"/>
      <c r="AC254" s="76">
        <v>811.68</v>
      </c>
      <c r="AD254" s="55"/>
      <c r="AE254" s="55"/>
    </row>
    <row r="255" spans="1:31" ht="19.149999999999999" customHeight="1" x14ac:dyDescent="0.2">
      <c r="A255" s="1" t="s">
        <v>403</v>
      </c>
      <c r="B255" s="53" t="s">
        <v>404</v>
      </c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 t="s">
        <v>158</v>
      </c>
      <c r="O255" s="53"/>
      <c r="P255" s="53"/>
      <c r="Q255" s="75">
        <v>247</v>
      </c>
      <c r="R255" s="55"/>
      <c r="S255" s="55"/>
      <c r="T255" s="55"/>
      <c r="U255" s="55"/>
      <c r="V255" s="55"/>
      <c r="W255" s="56">
        <v>66.92</v>
      </c>
      <c r="X255" s="55"/>
      <c r="Y255" s="55"/>
      <c r="Z255" s="55"/>
      <c r="AA255" s="55"/>
      <c r="AB255" s="55"/>
      <c r="AC255" s="57">
        <v>16529.240000000002</v>
      </c>
      <c r="AD255" s="55"/>
      <c r="AE255" s="55"/>
    </row>
    <row r="256" spans="1:31" ht="19.149999999999999" customHeight="1" x14ac:dyDescent="0.2">
      <c r="A256" s="1" t="s">
        <v>405</v>
      </c>
      <c r="B256" s="53" t="s">
        <v>406</v>
      </c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 t="s">
        <v>158</v>
      </c>
      <c r="O256" s="53"/>
      <c r="P256" s="53"/>
      <c r="Q256" s="75">
        <v>115</v>
      </c>
      <c r="R256" s="55"/>
      <c r="S256" s="55"/>
      <c r="T256" s="55"/>
      <c r="U256" s="55"/>
      <c r="V256" s="55"/>
      <c r="W256" s="56">
        <v>66.92</v>
      </c>
      <c r="X256" s="55"/>
      <c r="Y256" s="55"/>
      <c r="Z256" s="55"/>
      <c r="AA256" s="55"/>
      <c r="AB256" s="55"/>
      <c r="AC256" s="67">
        <v>7695.8</v>
      </c>
      <c r="AD256" s="55"/>
      <c r="AE256" s="55"/>
    </row>
    <row r="257" spans="1:31" ht="9.75" customHeight="1" x14ac:dyDescent="0.2">
      <c r="A257" s="1" t="s">
        <v>407</v>
      </c>
      <c r="B257" s="53" t="s">
        <v>408</v>
      </c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 t="s">
        <v>158</v>
      </c>
      <c r="O257" s="53"/>
      <c r="P257" s="53"/>
      <c r="Q257" s="56">
        <v>88</v>
      </c>
      <c r="R257" s="55"/>
      <c r="S257" s="55"/>
      <c r="T257" s="55"/>
      <c r="U257" s="55"/>
      <c r="V257" s="55"/>
      <c r="W257" s="75">
        <v>374.9</v>
      </c>
      <c r="X257" s="55"/>
      <c r="Y257" s="55"/>
      <c r="Z257" s="55"/>
      <c r="AA257" s="55"/>
      <c r="AB257" s="55"/>
      <c r="AC257" s="57">
        <v>32991.199999999997</v>
      </c>
      <c r="AD257" s="55"/>
      <c r="AE257" s="55"/>
    </row>
    <row r="258" spans="1:31" ht="9.6" customHeight="1" x14ac:dyDescent="0.2">
      <c r="A258" s="1" t="s">
        <v>409</v>
      </c>
      <c r="B258" s="53" t="s">
        <v>410</v>
      </c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 t="s">
        <v>158</v>
      </c>
      <c r="O258" s="53"/>
      <c r="P258" s="53"/>
      <c r="Q258" s="75">
        <v>252</v>
      </c>
      <c r="R258" s="55"/>
      <c r="S258" s="55"/>
      <c r="T258" s="55"/>
      <c r="U258" s="55"/>
      <c r="V258" s="55"/>
      <c r="W258" s="56">
        <v>36.56</v>
      </c>
      <c r="X258" s="55"/>
      <c r="Y258" s="55"/>
      <c r="Z258" s="55"/>
      <c r="AA258" s="55"/>
      <c r="AB258" s="55"/>
      <c r="AC258" s="67">
        <v>9213.1200000000008</v>
      </c>
      <c r="AD258" s="55"/>
      <c r="AE258" s="55"/>
    </row>
    <row r="259" spans="1:31" ht="9.6" customHeight="1" x14ac:dyDescent="0.2">
      <c r="A259" s="3" t="s">
        <v>411</v>
      </c>
      <c r="B259" s="68" t="s">
        <v>412</v>
      </c>
      <c r="C259" s="68"/>
      <c r="D259" s="68"/>
      <c r="E259" s="68"/>
      <c r="F259" s="68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9"/>
      <c r="R259" s="69"/>
      <c r="S259" s="69"/>
      <c r="T259" s="69"/>
      <c r="U259" s="69"/>
      <c r="V259" s="69"/>
      <c r="W259" s="69"/>
      <c r="X259" s="69"/>
      <c r="Y259" s="69"/>
      <c r="Z259" s="69"/>
      <c r="AA259" s="69"/>
      <c r="AB259" s="69"/>
      <c r="AC259" s="74">
        <v>22951.8</v>
      </c>
      <c r="AD259" s="69"/>
      <c r="AE259" s="69"/>
    </row>
    <row r="260" spans="1:31" ht="9.75" customHeight="1" x14ac:dyDescent="0.2">
      <c r="A260" s="1" t="s">
        <v>413</v>
      </c>
      <c r="B260" s="53" t="s">
        <v>414</v>
      </c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 t="s">
        <v>158</v>
      </c>
      <c r="O260" s="53"/>
      <c r="P260" s="53"/>
      <c r="Q260" s="75">
        <v>123</v>
      </c>
      <c r="R260" s="55"/>
      <c r="S260" s="55"/>
      <c r="T260" s="55"/>
      <c r="U260" s="55"/>
      <c r="V260" s="55"/>
      <c r="W260" s="75">
        <v>186.6</v>
      </c>
      <c r="X260" s="55"/>
      <c r="Y260" s="55"/>
      <c r="Z260" s="55"/>
      <c r="AA260" s="55"/>
      <c r="AB260" s="55"/>
      <c r="AC260" s="57">
        <v>22951.8</v>
      </c>
      <c r="AD260" s="55"/>
      <c r="AE260" s="55"/>
    </row>
    <row r="261" spans="1:31" ht="19.149999999999999" customHeight="1" x14ac:dyDescent="0.2">
      <c r="A261" s="3" t="s">
        <v>415</v>
      </c>
      <c r="B261" s="68" t="s">
        <v>416</v>
      </c>
      <c r="C261" s="68"/>
      <c r="D261" s="68"/>
      <c r="E261" s="68"/>
      <c r="F261" s="68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9"/>
      <c r="R261" s="69"/>
      <c r="S261" s="69"/>
      <c r="T261" s="69"/>
      <c r="U261" s="69"/>
      <c r="V261" s="69"/>
      <c r="W261" s="69"/>
      <c r="X261" s="69"/>
      <c r="Y261" s="69"/>
      <c r="Z261" s="69"/>
      <c r="AA261" s="69"/>
      <c r="AB261" s="69"/>
      <c r="AC261" s="74">
        <v>82295.88</v>
      </c>
      <c r="AD261" s="69"/>
      <c r="AE261" s="69"/>
    </row>
    <row r="262" spans="1:31" ht="9.75" customHeight="1" x14ac:dyDescent="0.2">
      <c r="A262" s="3" t="s">
        <v>417</v>
      </c>
      <c r="B262" s="68" t="s">
        <v>418</v>
      </c>
      <c r="C262" s="68"/>
      <c r="D262" s="68"/>
      <c r="E262" s="68"/>
      <c r="F262" s="68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9"/>
      <c r="R262" s="69"/>
      <c r="S262" s="69"/>
      <c r="T262" s="69"/>
      <c r="U262" s="69"/>
      <c r="V262" s="69"/>
      <c r="W262" s="69"/>
      <c r="X262" s="69"/>
      <c r="Y262" s="69"/>
      <c r="Z262" s="69"/>
      <c r="AA262" s="69"/>
      <c r="AB262" s="69"/>
      <c r="AC262" s="74">
        <v>82295.88</v>
      </c>
      <c r="AD262" s="69"/>
      <c r="AE262" s="69"/>
    </row>
    <row r="263" spans="1:31" ht="9.75" customHeight="1" x14ac:dyDescent="0.2">
      <c r="A263" s="3" t="s">
        <v>419</v>
      </c>
      <c r="B263" s="68" t="s">
        <v>420</v>
      </c>
      <c r="C263" s="68"/>
      <c r="D263" s="68"/>
      <c r="E263" s="68"/>
      <c r="F263" s="68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9"/>
      <c r="R263" s="69"/>
      <c r="S263" s="69"/>
      <c r="T263" s="69"/>
      <c r="U263" s="69"/>
      <c r="V263" s="69"/>
      <c r="W263" s="69"/>
      <c r="X263" s="69"/>
      <c r="Y263" s="69"/>
      <c r="Z263" s="69"/>
      <c r="AA263" s="69"/>
      <c r="AB263" s="69"/>
      <c r="AC263" s="74">
        <v>77231.5</v>
      </c>
      <c r="AD263" s="69"/>
      <c r="AE263" s="69"/>
    </row>
    <row r="264" spans="1:31" ht="9.75" customHeight="1" x14ac:dyDescent="0.2">
      <c r="A264" s="1" t="s">
        <v>421</v>
      </c>
      <c r="B264" s="53" t="s">
        <v>422</v>
      </c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 t="s">
        <v>47</v>
      </c>
      <c r="O264" s="53"/>
      <c r="P264" s="53"/>
      <c r="Q264" s="75">
        <v>186.1</v>
      </c>
      <c r="R264" s="55"/>
      <c r="S264" s="55"/>
      <c r="T264" s="55"/>
      <c r="U264" s="55"/>
      <c r="V264" s="55"/>
      <c r="W264" s="75">
        <v>415</v>
      </c>
      <c r="X264" s="55"/>
      <c r="Y264" s="55"/>
      <c r="Z264" s="55"/>
      <c r="AA264" s="55"/>
      <c r="AB264" s="55"/>
      <c r="AC264" s="57">
        <v>77231.5</v>
      </c>
      <c r="AD264" s="55"/>
      <c r="AE264" s="55"/>
    </row>
    <row r="265" spans="1:31" ht="9.6" customHeight="1" x14ac:dyDescent="0.2">
      <c r="A265" s="3" t="s">
        <v>423</v>
      </c>
      <c r="B265" s="68" t="s">
        <v>424</v>
      </c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9"/>
      <c r="R265" s="69"/>
      <c r="S265" s="69"/>
      <c r="T265" s="69"/>
      <c r="U265" s="69"/>
      <c r="V265" s="69"/>
      <c r="W265" s="69"/>
      <c r="X265" s="69"/>
      <c r="Y265" s="69"/>
      <c r="Z265" s="69"/>
      <c r="AA265" s="69"/>
      <c r="AB265" s="69"/>
      <c r="AC265" s="78">
        <v>5064.38</v>
      </c>
      <c r="AD265" s="69"/>
      <c r="AE265" s="69"/>
    </row>
    <row r="266" spans="1:31" ht="9.75" customHeight="1" x14ac:dyDescent="0.2">
      <c r="A266" s="1" t="s">
        <v>425</v>
      </c>
      <c r="B266" s="53" t="s">
        <v>426</v>
      </c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 t="s">
        <v>158</v>
      </c>
      <c r="O266" s="53"/>
      <c r="P266" s="53"/>
      <c r="Q266" s="75">
        <v>362</v>
      </c>
      <c r="R266" s="55"/>
      <c r="S266" s="55"/>
      <c r="T266" s="55"/>
      <c r="U266" s="55"/>
      <c r="V266" s="55"/>
      <c r="W266" s="56">
        <v>13.99</v>
      </c>
      <c r="X266" s="55"/>
      <c r="Y266" s="55"/>
      <c r="Z266" s="55"/>
      <c r="AA266" s="55"/>
      <c r="AB266" s="55"/>
      <c r="AC266" s="67">
        <v>5064.38</v>
      </c>
      <c r="AD266" s="55"/>
      <c r="AE266" s="55"/>
    </row>
    <row r="267" spans="1:31" ht="9.6" customHeight="1" x14ac:dyDescent="0.2">
      <c r="A267" s="3" t="s">
        <v>427</v>
      </c>
      <c r="B267" s="68" t="s">
        <v>428</v>
      </c>
      <c r="C267" s="68"/>
      <c r="D267" s="68"/>
      <c r="E267" s="68"/>
      <c r="F267" s="68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9"/>
      <c r="R267" s="69"/>
      <c r="S267" s="69"/>
      <c r="T267" s="69"/>
      <c r="U267" s="69"/>
      <c r="V267" s="69"/>
      <c r="W267" s="69"/>
      <c r="X267" s="69"/>
      <c r="Y267" s="69"/>
      <c r="Z267" s="69"/>
      <c r="AA267" s="69"/>
      <c r="AB267" s="69"/>
      <c r="AC267" s="70">
        <v>123127.33</v>
      </c>
      <c r="AD267" s="69"/>
      <c r="AE267" s="69"/>
    </row>
    <row r="268" spans="1:31" ht="9.75" customHeight="1" x14ac:dyDescent="0.2">
      <c r="A268" s="3" t="s">
        <v>429</v>
      </c>
      <c r="B268" s="68" t="s">
        <v>428</v>
      </c>
      <c r="C268" s="68"/>
      <c r="D268" s="68"/>
      <c r="E268" s="68"/>
      <c r="F268" s="68"/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9"/>
      <c r="R268" s="69"/>
      <c r="S268" s="69"/>
      <c r="T268" s="69"/>
      <c r="U268" s="69"/>
      <c r="V268" s="69"/>
      <c r="W268" s="69"/>
      <c r="X268" s="69"/>
      <c r="Y268" s="69"/>
      <c r="Z268" s="69"/>
      <c r="AA268" s="69"/>
      <c r="AB268" s="69"/>
      <c r="AC268" s="70">
        <v>123127.33</v>
      </c>
      <c r="AD268" s="69"/>
      <c r="AE268" s="69"/>
    </row>
    <row r="269" spans="1:31" ht="9.6" customHeight="1" x14ac:dyDescent="0.2">
      <c r="A269" s="3" t="s">
        <v>430</v>
      </c>
      <c r="B269" s="68" t="s">
        <v>431</v>
      </c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9"/>
      <c r="R269" s="69"/>
      <c r="S269" s="69"/>
      <c r="T269" s="69"/>
      <c r="U269" s="69"/>
      <c r="V269" s="69"/>
      <c r="W269" s="69"/>
      <c r="X269" s="69"/>
      <c r="Y269" s="69"/>
      <c r="Z269" s="69"/>
      <c r="AA269" s="69"/>
      <c r="AB269" s="69"/>
      <c r="AC269" s="74">
        <v>72178.09</v>
      </c>
      <c r="AD269" s="69"/>
      <c r="AE269" s="69"/>
    </row>
    <row r="270" spans="1:31" ht="9.75" customHeight="1" x14ac:dyDescent="0.2">
      <c r="A270" s="1" t="s">
        <v>432</v>
      </c>
      <c r="B270" s="53" t="s">
        <v>433</v>
      </c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 t="s">
        <v>27</v>
      </c>
      <c r="O270" s="53"/>
      <c r="P270" s="53"/>
      <c r="Q270" s="66">
        <v>1</v>
      </c>
      <c r="R270" s="55"/>
      <c r="S270" s="55"/>
      <c r="T270" s="55"/>
      <c r="U270" s="55"/>
      <c r="V270" s="55"/>
      <c r="W270" s="73">
        <v>50949.24</v>
      </c>
      <c r="X270" s="55"/>
      <c r="Y270" s="55"/>
      <c r="Z270" s="55"/>
      <c r="AA270" s="55"/>
      <c r="AB270" s="55"/>
      <c r="AC270" s="57">
        <v>50949.24</v>
      </c>
      <c r="AD270" s="55"/>
      <c r="AE270" s="55"/>
    </row>
    <row r="271" spans="1:31" ht="9.6" customHeight="1" x14ac:dyDescent="0.2">
      <c r="A271" s="1" t="s">
        <v>434</v>
      </c>
      <c r="B271" s="53" t="s">
        <v>435</v>
      </c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 t="s">
        <v>27</v>
      </c>
      <c r="O271" s="53"/>
      <c r="P271" s="53"/>
      <c r="Q271" s="66">
        <v>1</v>
      </c>
      <c r="R271" s="55"/>
      <c r="S271" s="55"/>
      <c r="T271" s="55"/>
      <c r="U271" s="55"/>
      <c r="V271" s="55"/>
      <c r="W271" s="73">
        <v>21228.85</v>
      </c>
      <c r="X271" s="55"/>
      <c r="Y271" s="55"/>
      <c r="Z271" s="55"/>
      <c r="AA271" s="55"/>
      <c r="AB271" s="55"/>
      <c r="AC271" s="57">
        <v>21228.85</v>
      </c>
      <c r="AD271" s="55"/>
      <c r="AE271" s="55"/>
    </row>
    <row r="272" spans="1:31" ht="9.75" customHeight="1" x14ac:dyDescent="0.2">
      <c r="A272" s="3" t="s">
        <v>436</v>
      </c>
      <c r="B272" s="68" t="s">
        <v>288</v>
      </c>
      <c r="C272" s="68"/>
      <c r="D272" s="68"/>
      <c r="E272" s="68"/>
      <c r="F272" s="68"/>
      <c r="G272" s="68"/>
      <c r="H272" s="68"/>
      <c r="I272" s="68"/>
      <c r="J272" s="68"/>
      <c r="K272" s="68"/>
      <c r="L272" s="68"/>
      <c r="M272" s="68"/>
      <c r="N272" s="68"/>
      <c r="O272" s="68"/>
      <c r="P272" s="68"/>
      <c r="Q272" s="69"/>
      <c r="R272" s="69"/>
      <c r="S272" s="69"/>
      <c r="T272" s="69"/>
      <c r="U272" s="69"/>
      <c r="V272" s="69"/>
      <c r="W272" s="69"/>
      <c r="X272" s="69"/>
      <c r="Y272" s="69"/>
      <c r="Z272" s="69"/>
      <c r="AA272" s="69"/>
      <c r="AB272" s="69"/>
      <c r="AC272" s="74">
        <v>50949.24</v>
      </c>
      <c r="AD272" s="69"/>
      <c r="AE272" s="69"/>
    </row>
    <row r="273" spans="1:31" ht="9.6" customHeight="1" x14ac:dyDescent="0.2">
      <c r="A273" s="1" t="s">
        <v>437</v>
      </c>
      <c r="B273" s="53" t="s">
        <v>438</v>
      </c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 t="s">
        <v>47</v>
      </c>
      <c r="O273" s="53"/>
      <c r="P273" s="53"/>
      <c r="Q273" s="54">
        <v>4245.7700000000004</v>
      </c>
      <c r="R273" s="55"/>
      <c r="S273" s="55"/>
      <c r="T273" s="55"/>
      <c r="U273" s="55"/>
      <c r="V273" s="55"/>
      <c r="W273" s="66">
        <v>8</v>
      </c>
      <c r="X273" s="55"/>
      <c r="Y273" s="55"/>
      <c r="Z273" s="55"/>
      <c r="AA273" s="55"/>
      <c r="AB273" s="55"/>
      <c r="AC273" s="57">
        <v>33966.160000000003</v>
      </c>
      <c r="AD273" s="55"/>
      <c r="AE273" s="55"/>
    </row>
    <row r="274" spans="1:31" ht="9.75" customHeight="1" x14ac:dyDescent="0.2">
      <c r="A274" s="1" t="s">
        <v>439</v>
      </c>
      <c r="B274" s="53" t="s">
        <v>440</v>
      </c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 t="s">
        <v>47</v>
      </c>
      <c r="O274" s="53"/>
      <c r="P274" s="53"/>
      <c r="Q274" s="54">
        <v>4245.7700000000004</v>
      </c>
      <c r="R274" s="55"/>
      <c r="S274" s="55"/>
      <c r="T274" s="55"/>
      <c r="U274" s="55"/>
      <c r="V274" s="55"/>
      <c r="W274" s="66">
        <v>4</v>
      </c>
      <c r="X274" s="55"/>
      <c r="Y274" s="55"/>
      <c r="Z274" s="55"/>
      <c r="AA274" s="55"/>
      <c r="AB274" s="55"/>
      <c r="AC274" s="57">
        <v>16983.080000000002</v>
      </c>
      <c r="AD274" s="55"/>
      <c r="AE274" s="55"/>
    </row>
    <row r="275" spans="1:31" ht="9.6" customHeight="1" x14ac:dyDescent="0.2">
      <c r="A275" s="3" t="s">
        <v>441</v>
      </c>
      <c r="B275" s="68" t="s">
        <v>442</v>
      </c>
      <c r="C275" s="68"/>
      <c r="D275" s="68"/>
      <c r="E275" s="68"/>
      <c r="F275" s="68"/>
      <c r="G275" s="68"/>
      <c r="H275" s="68"/>
      <c r="I275" s="68"/>
      <c r="J275" s="68"/>
      <c r="K275" s="68"/>
      <c r="L275" s="68"/>
      <c r="M275" s="68"/>
      <c r="N275" s="68"/>
      <c r="O275" s="68"/>
      <c r="P275" s="68"/>
      <c r="Q275" s="69"/>
      <c r="R275" s="69"/>
      <c r="S275" s="69"/>
      <c r="T275" s="69"/>
      <c r="U275" s="69"/>
      <c r="V275" s="69"/>
      <c r="W275" s="69"/>
      <c r="X275" s="69"/>
      <c r="Y275" s="69"/>
      <c r="Z275" s="69"/>
      <c r="AA275" s="69"/>
      <c r="AB275" s="69"/>
      <c r="AC275" s="77">
        <v>1047453.08</v>
      </c>
      <c r="AD275" s="69"/>
      <c r="AE275" s="69"/>
    </row>
    <row r="276" spans="1:31" ht="9.75" customHeight="1" x14ac:dyDescent="0.2">
      <c r="A276" s="3" t="s">
        <v>443</v>
      </c>
      <c r="B276" s="68" t="s">
        <v>442</v>
      </c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9"/>
      <c r="R276" s="69"/>
      <c r="S276" s="69"/>
      <c r="T276" s="69"/>
      <c r="U276" s="69"/>
      <c r="V276" s="69"/>
      <c r="W276" s="69"/>
      <c r="X276" s="69"/>
      <c r="Y276" s="69"/>
      <c r="Z276" s="69"/>
      <c r="AA276" s="69"/>
      <c r="AB276" s="69"/>
      <c r="AC276" s="77">
        <v>1047453.08</v>
      </c>
      <c r="AD276" s="69"/>
      <c r="AE276" s="69"/>
    </row>
    <row r="277" spans="1:31" ht="9.6" customHeight="1" x14ac:dyDescent="0.2">
      <c r="A277" s="3" t="s">
        <v>444</v>
      </c>
      <c r="B277" s="68" t="s">
        <v>445</v>
      </c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9"/>
      <c r="R277" s="69"/>
      <c r="S277" s="69"/>
      <c r="T277" s="69"/>
      <c r="U277" s="69"/>
      <c r="V277" s="69"/>
      <c r="W277" s="69"/>
      <c r="X277" s="69"/>
      <c r="Y277" s="69"/>
      <c r="Z277" s="69"/>
      <c r="AA277" s="69"/>
      <c r="AB277" s="69"/>
      <c r="AC277" s="74">
        <v>50953.08</v>
      </c>
      <c r="AD277" s="69"/>
      <c r="AE277" s="69"/>
    </row>
    <row r="278" spans="1:31" ht="19.350000000000001" customHeight="1" x14ac:dyDescent="0.2">
      <c r="A278" s="1" t="s">
        <v>446</v>
      </c>
      <c r="B278" s="53" t="s">
        <v>447</v>
      </c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 t="s">
        <v>27</v>
      </c>
      <c r="O278" s="53"/>
      <c r="P278" s="53"/>
      <c r="Q278" s="66">
        <v>1</v>
      </c>
      <c r="R278" s="55"/>
      <c r="S278" s="55"/>
      <c r="T278" s="55"/>
      <c r="U278" s="55"/>
      <c r="V278" s="55"/>
      <c r="W278" s="73">
        <v>50953.08</v>
      </c>
      <c r="X278" s="55"/>
      <c r="Y278" s="55"/>
      <c r="Z278" s="55"/>
      <c r="AA278" s="55"/>
      <c r="AB278" s="55"/>
      <c r="AC278" s="57">
        <v>50953.08</v>
      </c>
      <c r="AD278" s="55"/>
      <c r="AE278" s="55"/>
    </row>
    <row r="279" spans="1:31" ht="19.350000000000001" customHeight="1" x14ac:dyDescent="0.2">
      <c r="A279" s="3" t="s">
        <v>448</v>
      </c>
      <c r="B279" s="68" t="s">
        <v>449</v>
      </c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9"/>
      <c r="R279" s="69"/>
      <c r="S279" s="69"/>
      <c r="T279" s="69"/>
      <c r="U279" s="69"/>
      <c r="V279" s="69"/>
      <c r="W279" s="69"/>
      <c r="X279" s="69"/>
      <c r="Y279" s="69"/>
      <c r="Z279" s="69"/>
      <c r="AA279" s="69"/>
      <c r="AB279" s="69"/>
      <c r="AC279" s="70">
        <v>648000</v>
      </c>
      <c r="AD279" s="69"/>
      <c r="AE279" s="69"/>
    </row>
    <row r="280" spans="1:31" ht="9.75" customHeight="1" x14ac:dyDescent="0.2">
      <c r="A280" s="1" t="s">
        <v>450</v>
      </c>
      <c r="B280" s="53" t="s">
        <v>451</v>
      </c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 t="s">
        <v>158</v>
      </c>
      <c r="O280" s="53"/>
      <c r="P280" s="53"/>
      <c r="Q280" s="66">
        <v>2</v>
      </c>
      <c r="R280" s="55"/>
      <c r="S280" s="55"/>
      <c r="T280" s="55"/>
      <c r="U280" s="55"/>
      <c r="V280" s="55"/>
      <c r="W280" s="71">
        <v>324000</v>
      </c>
      <c r="X280" s="55"/>
      <c r="Y280" s="55"/>
      <c r="Z280" s="55"/>
      <c r="AA280" s="55"/>
      <c r="AB280" s="55"/>
      <c r="AC280" s="72">
        <v>648000</v>
      </c>
      <c r="AD280" s="55"/>
      <c r="AE280" s="55"/>
    </row>
    <row r="281" spans="1:31" ht="9.6" customHeight="1" x14ac:dyDescent="0.2">
      <c r="A281" s="3" t="s">
        <v>452</v>
      </c>
      <c r="B281" s="68" t="s">
        <v>453</v>
      </c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9"/>
      <c r="R281" s="69"/>
      <c r="S281" s="69"/>
      <c r="T281" s="69"/>
      <c r="U281" s="69"/>
      <c r="V281" s="69"/>
      <c r="W281" s="69"/>
      <c r="X281" s="69"/>
      <c r="Y281" s="69"/>
      <c r="Z281" s="69"/>
      <c r="AA281" s="69"/>
      <c r="AB281" s="69"/>
      <c r="AC281" s="70">
        <v>147500</v>
      </c>
      <c r="AD281" s="69"/>
      <c r="AE281" s="69"/>
    </row>
    <row r="282" spans="1:31" ht="9.75" customHeight="1" x14ac:dyDescent="0.2">
      <c r="A282" s="1" t="s">
        <v>454</v>
      </c>
      <c r="B282" s="53" t="s">
        <v>455</v>
      </c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 t="s">
        <v>27</v>
      </c>
      <c r="O282" s="53"/>
      <c r="P282" s="53"/>
      <c r="Q282" s="66">
        <v>1</v>
      </c>
      <c r="R282" s="55"/>
      <c r="S282" s="55"/>
      <c r="T282" s="55"/>
      <c r="U282" s="55"/>
      <c r="V282" s="55"/>
      <c r="W282" s="73">
        <v>97500</v>
      </c>
      <c r="X282" s="55"/>
      <c r="Y282" s="55"/>
      <c r="Z282" s="55"/>
      <c r="AA282" s="55"/>
      <c r="AB282" s="55"/>
      <c r="AC282" s="57">
        <v>97500</v>
      </c>
      <c r="AD282" s="55"/>
      <c r="AE282" s="55"/>
    </row>
    <row r="283" spans="1:31" ht="9.6" customHeight="1" x14ac:dyDescent="0.2">
      <c r="A283" s="1" t="s">
        <v>456</v>
      </c>
      <c r="B283" s="53" t="s">
        <v>457</v>
      </c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 t="s">
        <v>27</v>
      </c>
      <c r="O283" s="53"/>
      <c r="P283" s="53"/>
      <c r="Q283" s="66">
        <v>1</v>
      </c>
      <c r="R283" s="55"/>
      <c r="S283" s="55"/>
      <c r="T283" s="55"/>
      <c r="U283" s="55"/>
      <c r="V283" s="55"/>
      <c r="W283" s="73">
        <v>50000</v>
      </c>
      <c r="X283" s="55"/>
      <c r="Y283" s="55"/>
      <c r="Z283" s="55"/>
      <c r="AA283" s="55"/>
      <c r="AB283" s="55"/>
      <c r="AC283" s="57">
        <v>50000</v>
      </c>
      <c r="AD283" s="55"/>
      <c r="AE283" s="55"/>
    </row>
    <row r="284" spans="1:31" ht="9.75" customHeight="1" x14ac:dyDescent="0.2">
      <c r="A284" s="3" t="s">
        <v>458</v>
      </c>
      <c r="B284" s="68" t="s">
        <v>459</v>
      </c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9"/>
      <c r="R284" s="69"/>
      <c r="S284" s="69"/>
      <c r="T284" s="69"/>
      <c r="U284" s="69"/>
      <c r="V284" s="69"/>
      <c r="W284" s="69"/>
      <c r="X284" s="69"/>
      <c r="Y284" s="69"/>
      <c r="Z284" s="69"/>
      <c r="AA284" s="69"/>
      <c r="AB284" s="69"/>
      <c r="AC284" s="70">
        <v>201000</v>
      </c>
      <c r="AD284" s="69"/>
      <c r="AE284" s="69"/>
    </row>
    <row r="285" spans="1:31" ht="9.6" customHeight="1" x14ac:dyDescent="0.2">
      <c r="A285" s="1" t="s">
        <v>460</v>
      </c>
      <c r="B285" s="53" t="s">
        <v>461</v>
      </c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 t="s">
        <v>462</v>
      </c>
      <c r="O285" s="53"/>
      <c r="P285" s="53"/>
      <c r="Q285" s="75">
        <v>120</v>
      </c>
      <c r="R285" s="55"/>
      <c r="S285" s="55"/>
      <c r="T285" s="55"/>
      <c r="U285" s="55"/>
      <c r="V285" s="55"/>
      <c r="W285" s="75">
        <v>600</v>
      </c>
      <c r="X285" s="55"/>
      <c r="Y285" s="55"/>
      <c r="Z285" s="55"/>
      <c r="AA285" s="55"/>
      <c r="AB285" s="55"/>
      <c r="AC285" s="57">
        <v>72000</v>
      </c>
      <c r="AD285" s="55"/>
      <c r="AE285" s="55"/>
    </row>
    <row r="286" spans="1:31" ht="9.75" customHeight="1" x14ac:dyDescent="0.2">
      <c r="A286" s="1" t="s">
        <v>463</v>
      </c>
      <c r="B286" s="53" t="s">
        <v>464</v>
      </c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 t="s">
        <v>462</v>
      </c>
      <c r="O286" s="53"/>
      <c r="P286" s="53"/>
      <c r="Q286" s="66">
        <v>7</v>
      </c>
      <c r="R286" s="55"/>
      <c r="S286" s="55"/>
      <c r="T286" s="55"/>
      <c r="U286" s="55"/>
      <c r="V286" s="55"/>
      <c r="W286" s="54">
        <v>3000</v>
      </c>
      <c r="X286" s="55"/>
      <c r="Y286" s="55"/>
      <c r="Z286" s="55"/>
      <c r="AA286" s="55"/>
      <c r="AB286" s="55"/>
      <c r="AC286" s="57">
        <v>21000</v>
      </c>
      <c r="AD286" s="55"/>
      <c r="AE286" s="55"/>
    </row>
    <row r="287" spans="1:31" ht="9.6" customHeight="1" x14ac:dyDescent="0.2">
      <c r="A287" s="1" t="s">
        <v>465</v>
      </c>
      <c r="B287" s="53" t="s">
        <v>466</v>
      </c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 t="s">
        <v>462</v>
      </c>
      <c r="O287" s="53"/>
      <c r="P287" s="53"/>
      <c r="Q287" s="75">
        <v>120</v>
      </c>
      <c r="R287" s="55"/>
      <c r="S287" s="55"/>
      <c r="T287" s="55"/>
      <c r="U287" s="55"/>
      <c r="V287" s="55"/>
      <c r="W287" s="75">
        <v>900</v>
      </c>
      <c r="X287" s="55"/>
      <c r="Y287" s="55"/>
      <c r="Z287" s="55"/>
      <c r="AA287" s="55"/>
      <c r="AB287" s="55"/>
      <c r="AC287" s="72">
        <v>108000</v>
      </c>
      <c r="AD287" s="55"/>
      <c r="AE287" s="55"/>
    </row>
    <row r="288" spans="1:31" ht="9.75" customHeight="1" x14ac:dyDescent="0.2">
      <c r="A288" s="3" t="s">
        <v>467</v>
      </c>
      <c r="B288" s="68" t="s">
        <v>468</v>
      </c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9"/>
      <c r="R288" s="69"/>
      <c r="S288" s="69"/>
      <c r="T288" s="69"/>
      <c r="U288" s="69"/>
      <c r="V288" s="69"/>
      <c r="W288" s="69"/>
      <c r="X288" s="69"/>
      <c r="Y288" s="69"/>
      <c r="Z288" s="69"/>
      <c r="AA288" s="69"/>
      <c r="AB288" s="69"/>
      <c r="AC288" s="70">
        <v>281543.65000000002</v>
      </c>
      <c r="AD288" s="69"/>
      <c r="AE288" s="69"/>
    </row>
    <row r="289" spans="1:31" ht="9.75" customHeight="1" x14ac:dyDescent="0.2">
      <c r="A289" s="3" t="s">
        <v>469</v>
      </c>
      <c r="B289" s="68" t="s">
        <v>468</v>
      </c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9"/>
      <c r="R289" s="69"/>
      <c r="S289" s="69"/>
      <c r="T289" s="69"/>
      <c r="U289" s="69"/>
      <c r="V289" s="69"/>
      <c r="W289" s="69"/>
      <c r="X289" s="69"/>
      <c r="Y289" s="69"/>
      <c r="Z289" s="69"/>
      <c r="AA289" s="69"/>
      <c r="AB289" s="69"/>
      <c r="AC289" s="70">
        <v>281543.65000000002</v>
      </c>
      <c r="AD289" s="69"/>
      <c r="AE289" s="69"/>
    </row>
    <row r="290" spans="1:31" ht="9.75" customHeight="1" x14ac:dyDescent="0.2">
      <c r="A290" s="3" t="s">
        <v>470</v>
      </c>
      <c r="B290" s="68" t="s">
        <v>471</v>
      </c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9"/>
      <c r="R290" s="69"/>
      <c r="S290" s="69"/>
      <c r="T290" s="69"/>
      <c r="U290" s="69"/>
      <c r="V290" s="69"/>
      <c r="W290" s="69"/>
      <c r="X290" s="69"/>
      <c r="Y290" s="69"/>
      <c r="Z290" s="69"/>
      <c r="AA290" s="69"/>
      <c r="AB290" s="69"/>
      <c r="AC290" s="78">
        <v>4294</v>
      </c>
      <c r="AD290" s="69"/>
      <c r="AE290" s="69"/>
    </row>
    <row r="291" spans="1:31" ht="9.6" customHeight="1" x14ac:dyDescent="0.2">
      <c r="A291" s="1" t="s">
        <v>472</v>
      </c>
      <c r="B291" s="53" t="s">
        <v>473</v>
      </c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 t="s">
        <v>47</v>
      </c>
      <c r="O291" s="53"/>
      <c r="P291" s="53"/>
      <c r="Q291" s="75">
        <v>113</v>
      </c>
      <c r="R291" s="55"/>
      <c r="S291" s="55"/>
      <c r="T291" s="55"/>
      <c r="U291" s="55"/>
      <c r="V291" s="55"/>
      <c r="W291" s="56">
        <v>38</v>
      </c>
      <c r="X291" s="55"/>
      <c r="Y291" s="55"/>
      <c r="Z291" s="55"/>
      <c r="AA291" s="55"/>
      <c r="AB291" s="55"/>
      <c r="AC291" s="67">
        <v>4294</v>
      </c>
      <c r="AD291" s="55"/>
      <c r="AE291" s="55"/>
    </row>
    <row r="292" spans="1:31" ht="9.6" customHeight="1" x14ac:dyDescent="0.2">
      <c r="A292" s="3" t="s">
        <v>474</v>
      </c>
      <c r="B292" s="68" t="s">
        <v>475</v>
      </c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9"/>
      <c r="R292" s="69"/>
      <c r="S292" s="69"/>
      <c r="T292" s="69"/>
      <c r="U292" s="69"/>
      <c r="V292" s="69"/>
      <c r="W292" s="69"/>
      <c r="X292" s="69"/>
      <c r="Y292" s="69"/>
      <c r="Z292" s="69"/>
      <c r="AA292" s="69"/>
      <c r="AB292" s="69"/>
      <c r="AC292" s="74">
        <v>23717.15</v>
      </c>
      <c r="AD292" s="69"/>
      <c r="AE292" s="69"/>
    </row>
    <row r="293" spans="1:31" ht="9.6" customHeight="1" x14ac:dyDescent="0.2">
      <c r="A293" s="1" t="s">
        <v>476</v>
      </c>
      <c r="B293" s="53" t="s">
        <v>477</v>
      </c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 t="s">
        <v>47</v>
      </c>
      <c r="O293" s="53"/>
      <c r="P293" s="53"/>
      <c r="Q293" s="54">
        <v>1943</v>
      </c>
      <c r="R293" s="55"/>
      <c r="S293" s="55"/>
      <c r="T293" s="55"/>
      <c r="U293" s="55"/>
      <c r="V293" s="55"/>
      <c r="W293" s="66">
        <v>5.8220000000000001</v>
      </c>
      <c r="X293" s="55"/>
      <c r="Y293" s="55"/>
      <c r="Z293" s="55"/>
      <c r="AA293" s="55"/>
      <c r="AB293" s="55"/>
      <c r="AC293" s="57">
        <v>11312.15</v>
      </c>
      <c r="AD293" s="55"/>
      <c r="AE293" s="55"/>
    </row>
    <row r="294" spans="1:31" ht="9.6" customHeight="1" x14ac:dyDescent="0.2">
      <c r="A294" s="1" t="s">
        <v>478</v>
      </c>
      <c r="B294" s="53" t="s">
        <v>479</v>
      </c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 t="s">
        <v>47</v>
      </c>
      <c r="O294" s="53"/>
      <c r="P294" s="53"/>
      <c r="Q294" s="75">
        <v>827</v>
      </c>
      <c r="R294" s="55"/>
      <c r="S294" s="55"/>
      <c r="T294" s="55"/>
      <c r="U294" s="55"/>
      <c r="V294" s="55"/>
      <c r="W294" s="56">
        <v>15</v>
      </c>
      <c r="X294" s="55"/>
      <c r="Y294" s="55"/>
      <c r="Z294" s="55"/>
      <c r="AA294" s="55"/>
      <c r="AB294" s="55"/>
      <c r="AC294" s="57">
        <v>12405</v>
      </c>
      <c r="AD294" s="55"/>
      <c r="AE294" s="55"/>
    </row>
    <row r="295" spans="1:31" ht="9.6" customHeight="1" x14ac:dyDescent="0.2">
      <c r="A295" s="3" t="s">
        <v>480</v>
      </c>
      <c r="B295" s="68" t="s">
        <v>481</v>
      </c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9"/>
      <c r="R295" s="69"/>
      <c r="S295" s="69"/>
      <c r="T295" s="69"/>
      <c r="U295" s="69"/>
      <c r="V295" s="69"/>
      <c r="W295" s="69"/>
      <c r="X295" s="69"/>
      <c r="Y295" s="69"/>
      <c r="Z295" s="69"/>
      <c r="AA295" s="69"/>
      <c r="AB295" s="69"/>
      <c r="AC295" s="74">
        <v>90090</v>
      </c>
      <c r="AD295" s="69"/>
      <c r="AE295" s="69"/>
    </row>
    <row r="296" spans="1:31" ht="9.6" customHeight="1" x14ac:dyDescent="0.2">
      <c r="A296" s="1" t="s">
        <v>482</v>
      </c>
      <c r="B296" s="53" t="s">
        <v>483</v>
      </c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 t="s">
        <v>47</v>
      </c>
      <c r="O296" s="53"/>
      <c r="P296" s="53"/>
      <c r="Q296" s="75">
        <v>455</v>
      </c>
      <c r="R296" s="55"/>
      <c r="S296" s="55"/>
      <c r="T296" s="55"/>
      <c r="U296" s="55"/>
      <c r="V296" s="55"/>
      <c r="W296" s="75">
        <v>198</v>
      </c>
      <c r="X296" s="55"/>
      <c r="Y296" s="55"/>
      <c r="Z296" s="55"/>
      <c r="AA296" s="55"/>
      <c r="AB296" s="55"/>
      <c r="AC296" s="57">
        <v>90090</v>
      </c>
      <c r="AD296" s="55"/>
      <c r="AE296" s="55"/>
    </row>
    <row r="297" spans="1:31" ht="9.75" customHeight="1" x14ac:dyDescent="0.2">
      <c r="A297" s="3" t="s">
        <v>484</v>
      </c>
      <c r="B297" s="68" t="s">
        <v>485</v>
      </c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9"/>
      <c r="R297" s="69"/>
      <c r="S297" s="69"/>
      <c r="T297" s="69"/>
      <c r="U297" s="69"/>
      <c r="V297" s="69"/>
      <c r="W297" s="69"/>
      <c r="X297" s="69"/>
      <c r="Y297" s="69"/>
      <c r="Z297" s="69"/>
      <c r="AA297" s="69"/>
      <c r="AB297" s="69"/>
      <c r="AC297" s="70">
        <v>113449.3</v>
      </c>
      <c r="AD297" s="69"/>
      <c r="AE297" s="69"/>
    </row>
    <row r="298" spans="1:31" ht="9.6" customHeight="1" x14ac:dyDescent="0.2">
      <c r="A298" s="1" t="s">
        <v>486</v>
      </c>
      <c r="B298" s="53" t="s">
        <v>487</v>
      </c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 t="s">
        <v>47</v>
      </c>
      <c r="O298" s="53"/>
      <c r="P298" s="53"/>
      <c r="Q298" s="75">
        <v>728</v>
      </c>
      <c r="R298" s="55"/>
      <c r="S298" s="55"/>
      <c r="T298" s="55"/>
      <c r="U298" s="55"/>
      <c r="V298" s="55"/>
      <c r="W298" s="56">
        <v>68</v>
      </c>
      <c r="X298" s="55"/>
      <c r="Y298" s="55"/>
      <c r="Z298" s="55"/>
      <c r="AA298" s="55"/>
      <c r="AB298" s="55"/>
      <c r="AC298" s="57">
        <v>49504</v>
      </c>
      <c r="AD298" s="55"/>
      <c r="AE298" s="55"/>
    </row>
    <row r="299" spans="1:31" ht="9.6" customHeight="1" x14ac:dyDescent="0.2">
      <c r="A299" s="1" t="s">
        <v>488</v>
      </c>
      <c r="B299" s="53" t="s">
        <v>489</v>
      </c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 t="s">
        <v>47</v>
      </c>
      <c r="O299" s="53"/>
      <c r="P299" s="53"/>
      <c r="Q299" s="75">
        <v>567</v>
      </c>
      <c r="R299" s="55"/>
      <c r="S299" s="55"/>
      <c r="T299" s="55"/>
      <c r="U299" s="55"/>
      <c r="V299" s="55"/>
      <c r="W299" s="56">
        <v>75</v>
      </c>
      <c r="X299" s="55"/>
      <c r="Y299" s="55"/>
      <c r="Z299" s="55"/>
      <c r="AA299" s="55"/>
      <c r="AB299" s="55"/>
      <c r="AC299" s="57">
        <v>42525</v>
      </c>
      <c r="AD299" s="55"/>
      <c r="AE299" s="55"/>
    </row>
    <row r="300" spans="1:31" ht="9.6" customHeight="1" x14ac:dyDescent="0.2">
      <c r="A300" s="1" t="s">
        <v>490</v>
      </c>
      <c r="B300" s="53" t="s">
        <v>491</v>
      </c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 t="s">
        <v>47</v>
      </c>
      <c r="O300" s="53"/>
      <c r="P300" s="53"/>
      <c r="Q300" s="75">
        <v>165</v>
      </c>
      <c r="R300" s="55"/>
      <c r="S300" s="55"/>
      <c r="T300" s="55"/>
      <c r="U300" s="55"/>
      <c r="V300" s="55"/>
      <c r="W300" s="75">
        <v>129.82</v>
      </c>
      <c r="X300" s="55"/>
      <c r="Y300" s="55"/>
      <c r="Z300" s="55"/>
      <c r="AA300" s="55"/>
      <c r="AB300" s="55"/>
      <c r="AC300" s="57">
        <v>21420.3</v>
      </c>
      <c r="AD300" s="55"/>
      <c r="AE300" s="55"/>
    </row>
    <row r="301" spans="1:31" ht="9.6" customHeight="1" x14ac:dyDescent="0.2">
      <c r="A301" s="3" t="s">
        <v>492</v>
      </c>
      <c r="B301" s="68" t="s">
        <v>493</v>
      </c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9"/>
      <c r="R301" s="69"/>
      <c r="S301" s="69"/>
      <c r="T301" s="69"/>
      <c r="U301" s="69"/>
      <c r="V301" s="69"/>
      <c r="W301" s="69"/>
      <c r="X301" s="69"/>
      <c r="Y301" s="69"/>
      <c r="Z301" s="69"/>
      <c r="AA301" s="69"/>
      <c r="AB301" s="69"/>
      <c r="AC301" s="74">
        <v>15019.2</v>
      </c>
      <c r="AD301" s="69"/>
      <c r="AE301" s="69"/>
    </row>
    <row r="302" spans="1:31" ht="9.6" customHeight="1" x14ac:dyDescent="0.2">
      <c r="A302" s="1" t="s">
        <v>494</v>
      </c>
      <c r="B302" s="53" t="s">
        <v>495</v>
      </c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 t="s">
        <v>158</v>
      </c>
      <c r="O302" s="53"/>
      <c r="P302" s="53"/>
      <c r="Q302" s="75">
        <v>252</v>
      </c>
      <c r="R302" s="55"/>
      <c r="S302" s="55"/>
      <c r="T302" s="55"/>
      <c r="U302" s="55"/>
      <c r="V302" s="55"/>
      <c r="W302" s="56">
        <v>59.6</v>
      </c>
      <c r="X302" s="55"/>
      <c r="Y302" s="55"/>
      <c r="Z302" s="55"/>
      <c r="AA302" s="55"/>
      <c r="AB302" s="55"/>
      <c r="AC302" s="57">
        <v>15019.2</v>
      </c>
      <c r="AD302" s="55"/>
      <c r="AE302" s="55"/>
    </row>
    <row r="303" spans="1:31" ht="9.6" customHeight="1" x14ac:dyDescent="0.2">
      <c r="A303" s="3" t="s">
        <v>496</v>
      </c>
      <c r="B303" s="68" t="s">
        <v>288</v>
      </c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9"/>
      <c r="R303" s="69"/>
      <c r="S303" s="69"/>
      <c r="T303" s="69"/>
      <c r="U303" s="69"/>
      <c r="V303" s="69"/>
      <c r="W303" s="69"/>
      <c r="X303" s="69"/>
      <c r="Y303" s="69"/>
      <c r="Z303" s="69"/>
      <c r="AA303" s="69"/>
      <c r="AB303" s="69"/>
      <c r="AC303" s="74">
        <v>34974</v>
      </c>
      <c r="AD303" s="69"/>
      <c r="AE303" s="69"/>
    </row>
    <row r="304" spans="1:31" ht="9.6" customHeight="1" x14ac:dyDescent="0.2">
      <c r="A304" s="1" t="s">
        <v>497</v>
      </c>
      <c r="B304" s="53" t="s">
        <v>498</v>
      </c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 t="s">
        <v>47</v>
      </c>
      <c r="O304" s="53"/>
      <c r="P304" s="53"/>
      <c r="Q304" s="54">
        <v>1943</v>
      </c>
      <c r="R304" s="55"/>
      <c r="S304" s="55"/>
      <c r="T304" s="55"/>
      <c r="U304" s="55"/>
      <c r="V304" s="55"/>
      <c r="W304" s="56">
        <v>18</v>
      </c>
      <c r="X304" s="55"/>
      <c r="Y304" s="55"/>
      <c r="Z304" s="55"/>
      <c r="AA304" s="55"/>
      <c r="AB304" s="55"/>
      <c r="AC304" s="57">
        <v>34974</v>
      </c>
      <c r="AD304" s="55"/>
      <c r="AE304" s="55"/>
    </row>
    <row r="305" spans="1:31" ht="9.6" customHeight="1" x14ac:dyDescent="0.2">
      <c r="A305" s="3" t="s">
        <v>499</v>
      </c>
      <c r="B305" s="68" t="s">
        <v>500</v>
      </c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9"/>
      <c r="R305" s="69"/>
      <c r="S305" s="69"/>
      <c r="T305" s="69"/>
      <c r="U305" s="69"/>
      <c r="V305" s="69"/>
      <c r="W305" s="69"/>
      <c r="X305" s="69"/>
      <c r="Y305" s="69"/>
      <c r="Z305" s="69"/>
      <c r="AA305" s="69"/>
      <c r="AB305" s="69"/>
      <c r="AC305" s="70">
        <v>746319.35</v>
      </c>
      <c r="AD305" s="69"/>
      <c r="AE305" s="69"/>
    </row>
    <row r="306" spans="1:31" ht="9.75" customHeight="1" x14ac:dyDescent="0.2">
      <c r="A306" s="3" t="s">
        <v>501</v>
      </c>
      <c r="B306" s="68" t="s">
        <v>500</v>
      </c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9"/>
      <c r="R306" s="69"/>
      <c r="S306" s="69"/>
      <c r="T306" s="69"/>
      <c r="U306" s="69"/>
      <c r="V306" s="69"/>
      <c r="W306" s="69"/>
      <c r="X306" s="69"/>
      <c r="Y306" s="69"/>
      <c r="Z306" s="69"/>
      <c r="AA306" s="69"/>
      <c r="AB306" s="69"/>
      <c r="AC306" s="70">
        <v>746319.35</v>
      </c>
      <c r="AD306" s="69"/>
      <c r="AE306" s="69"/>
    </row>
    <row r="307" spans="1:31" ht="9.6" customHeight="1" x14ac:dyDescent="0.2">
      <c r="A307" s="3" t="s">
        <v>502</v>
      </c>
      <c r="B307" s="68" t="s">
        <v>503</v>
      </c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9"/>
      <c r="R307" s="69"/>
      <c r="S307" s="69"/>
      <c r="T307" s="69"/>
      <c r="U307" s="69"/>
      <c r="V307" s="69"/>
      <c r="W307" s="69"/>
      <c r="X307" s="69"/>
      <c r="Y307" s="69"/>
      <c r="Z307" s="69"/>
      <c r="AA307" s="69"/>
      <c r="AB307" s="69"/>
      <c r="AC307" s="70">
        <v>151419.79999999999</v>
      </c>
      <c r="AD307" s="69"/>
      <c r="AE307" s="69"/>
    </row>
    <row r="308" spans="1:31" ht="9.75" customHeight="1" x14ac:dyDescent="0.2">
      <c r="A308" s="1" t="s">
        <v>504</v>
      </c>
      <c r="B308" s="53" t="s">
        <v>505</v>
      </c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 t="s">
        <v>47</v>
      </c>
      <c r="O308" s="53"/>
      <c r="P308" s="53"/>
      <c r="Q308" s="54">
        <v>3050</v>
      </c>
      <c r="R308" s="55"/>
      <c r="S308" s="55"/>
      <c r="T308" s="55"/>
      <c r="U308" s="55"/>
      <c r="V308" s="55"/>
      <c r="W308" s="56">
        <v>10.1</v>
      </c>
      <c r="X308" s="55"/>
      <c r="Y308" s="55"/>
      <c r="Z308" s="55"/>
      <c r="AA308" s="55"/>
      <c r="AB308" s="55"/>
      <c r="AC308" s="57">
        <v>30805</v>
      </c>
      <c r="AD308" s="55"/>
      <c r="AE308" s="55"/>
    </row>
    <row r="309" spans="1:31" ht="9.75" customHeight="1" x14ac:dyDescent="0.2">
      <c r="A309" s="1" t="s">
        <v>506</v>
      </c>
      <c r="B309" s="53" t="s">
        <v>507</v>
      </c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 t="s">
        <v>47</v>
      </c>
      <c r="O309" s="53"/>
      <c r="P309" s="53"/>
      <c r="Q309" s="75">
        <v>684</v>
      </c>
      <c r="R309" s="55"/>
      <c r="S309" s="55"/>
      <c r="T309" s="55"/>
      <c r="U309" s="55"/>
      <c r="V309" s="55"/>
      <c r="W309" s="66">
        <v>7.5750000000000002</v>
      </c>
      <c r="X309" s="55"/>
      <c r="Y309" s="55"/>
      <c r="Z309" s="55"/>
      <c r="AA309" s="55"/>
      <c r="AB309" s="55"/>
      <c r="AC309" s="67">
        <v>5181.3</v>
      </c>
      <c r="AD309" s="55"/>
      <c r="AE309" s="55"/>
    </row>
    <row r="310" spans="1:31" ht="9.75" customHeight="1" x14ac:dyDescent="0.2">
      <c r="A310" s="1" t="s">
        <v>508</v>
      </c>
      <c r="B310" s="53" t="s">
        <v>509</v>
      </c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 t="s">
        <v>47</v>
      </c>
      <c r="O310" s="53"/>
      <c r="P310" s="53"/>
      <c r="Q310" s="54">
        <v>1118</v>
      </c>
      <c r="R310" s="55"/>
      <c r="S310" s="55"/>
      <c r="T310" s="55"/>
      <c r="U310" s="55"/>
      <c r="V310" s="55"/>
      <c r="W310" s="75">
        <v>103.25</v>
      </c>
      <c r="X310" s="55"/>
      <c r="Y310" s="55"/>
      <c r="Z310" s="55"/>
      <c r="AA310" s="55"/>
      <c r="AB310" s="55"/>
      <c r="AC310" s="72">
        <v>115433.5</v>
      </c>
      <c r="AD310" s="55"/>
      <c r="AE310" s="55"/>
    </row>
    <row r="311" spans="1:31" ht="9.6" customHeight="1" x14ac:dyDescent="0.2">
      <c r="A311" s="3" t="s">
        <v>510</v>
      </c>
      <c r="B311" s="68" t="s">
        <v>511</v>
      </c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9"/>
      <c r="R311" s="69"/>
      <c r="S311" s="69"/>
      <c r="T311" s="69"/>
      <c r="U311" s="69"/>
      <c r="V311" s="69"/>
      <c r="W311" s="69"/>
      <c r="X311" s="69"/>
      <c r="Y311" s="69"/>
      <c r="Z311" s="69"/>
      <c r="AA311" s="69"/>
      <c r="AB311" s="69"/>
      <c r="AC311" s="70">
        <v>458303.55</v>
      </c>
      <c r="AD311" s="69"/>
      <c r="AE311" s="69"/>
    </row>
    <row r="312" spans="1:31" ht="9.75" customHeight="1" x14ac:dyDescent="0.2">
      <c r="A312" s="1" t="s">
        <v>512</v>
      </c>
      <c r="B312" s="53" t="s">
        <v>513</v>
      </c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 t="s">
        <v>47</v>
      </c>
      <c r="O312" s="53"/>
      <c r="P312" s="53"/>
      <c r="Q312" s="54">
        <v>2891</v>
      </c>
      <c r="R312" s="55"/>
      <c r="S312" s="55"/>
      <c r="T312" s="55"/>
      <c r="U312" s="55"/>
      <c r="V312" s="55"/>
      <c r="W312" s="66">
        <v>1.5932999999999999</v>
      </c>
      <c r="X312" s="55"/>
      <c r="Y312" s="55"/>
      <c r="Z312" s="55"/>
      <c r="AA312" s="55"/>
      <c r="AB312" s="55"/>
      <c r="AC312" s="67">
        <v>4606.2299999999996</v>
      </c>
      <c r="AD312" s="55"/>
      <c r="AE312" s="55"/>
    </row>
    <row r="313" spans="1:31" ht="9.6" customHeight="1" x14ac:dyDescent="0.2">
      <c r="A313" s="1" t="s">
        <v>514</v>
      </c>
      <c r="B313" s="53" t="s">
        <v>515</v>
      </c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 t="s">
        <v>47</v>
      </c>
      <c r="O313" s="53"/>
      <c r="P313" s="53"/>
      <c r="Q313" s="54">
        <v>2891</v>
      </c>
      <c r="R313" s="55"/>
      <c r="S313" s="55"/>
      <c r="T313" s="55"/>
      <c r="U313" s="55"/>
      <c r="V313" s="55"/>
      <c r="W313" s="56">
        <v>70.528300000000002</v>
      </c>
      <c r="X313" s="55"/>
      <c r="Y313" s="55"/>
      <c r="Z313" s="55"/>
      <c r="AA313" s="55"/>
      <c r="AB313" s="55"/>
      <c r="AC313" s="72">
        <v>203897.32</v>
      </c>
      <c r="AD313" s="55"/>
      <c r="AE313" s="55"/>
    </row>
    <row r="314" spans="1:31" ht="9.75" customHeight="1" x14ac:dyDescent="0.2">
      <c r="A314" s="1" t="s">
        <v>516</v>
      </c>
      <c r="B314" s="53" t="s">
        <v>517</v>
      </c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 t="s">
        <v>47</v>
      </c>
      <c r="O314" s="53"/>
      <c r="P314" s="53"/>
      <c r="Q314" s="54">
        <v>6245</v>
      </c>
      <c r="R314" s="55"/>
      <c r="S314" s="55"/>
      <c r="T314" s="55"/>
      <c r="U314" s="55"/>
      <c r="V314" s="55"/>
      <c r="W314" s="56">
        <v>40</v>
      </c>
      <c r="X314" s="55"/>
      <c r="Y314" s="55"/>
      <c r="Z314" s="55"/>
      <c r="AA314" s="55"/>
      <c r="AB314" s="55"/>
      <c r="AC314" s="72">
        <v>249800</v>
      </c>
      <c r="AD314" s="55"/>
      <c r="AE314" s="55"/>
    </row>
    <row r="315" spans="1:31" ht="9.75" customHeight="1" x14ac:dyDescent="0.2">
      <c r="A315" s="3" t="s">
        <v>518</v>
      </c>
      <c r="B315" s="68" t="s">
        <v>288</v>
      </c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9"/>
      <c r="R315" s="69"/>
      <c r="S315" s="69"/>
      <c r="T315" s="69"/>
      <c r="U315" s="69"/>
      <c r="V315" s="69"/>
      <c r="W315" s="69"/>
      <c r="X315" s="69"/>
      <c r="Y315" s="69"/>
      <c r="Z315" s="69"/>
      <c r="AA315" s="69"/>
      <c r="AB315" s="69"/>
      <c r="AC315" s="70">
        <v>136596</v>
      </c>
      <c r="AD315" s="69"/>
      <c r="AE315" s="69"/>
    </row>
    <row r="316" spans="1:31" ht="9.75" customHeight="1" x14ac:dyDescent="0.2">
      <c r="A316" s="1" t="s">
        <v>519</v>
      </c>
      <c r="B316" s="53" t="s">
        <v>520</v>
      </c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 t="s">
        <v>47</v>
      </c>
      <c r="O316" s="53"/>
      <c r="P316" s="53"/>
      <c r="Q316" s="54">
        <v>3734</v>
      </c>
      <c r="R316" s="55"/>
      <c r="S316" s="55"/>
      <c r="T316" s="55"/>
      <c r="U316" s="55"/>
      <c r="V316" s="55"/>
      <c r="W316" s="56">
        <v>18</v>
      </c>
      <c r="X316" s="55"/>
      <c r="Y316" s="55"/>
      <c r="Z316" s="55"/>
      <c r="AA316" s="55"/>
      <c r="AB316" s="55"/>
      <c r="AC316" s="57">
        <v>67212</v>
      </c>
      <c r="AD316" s="55"/>
      <c r="AE316" s="55"/>
    </row>
    <row r="317" spans="1:31" ht="9.6" customHeight="1" x14ac:dyDescent="0.2">
      <c r="A317" s="1" t="s">
        <v>521</v>
      </c>
      <c r="B317" s="53" t="s">
        <v>522</v>
      </c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 t="s">
        <v>47</v>
      </c>
      <c r="O317" s="53"/>
      <c r="P317" s="53"/>
      <c r="Q317" s="54">
        <v>2891</v>
      </c>
      <c r="R317" s="55"/>
      <c r="S317" s="55"/>
      <c r="T317" s="55"/>
      <c r="U317" s="55"/>
      <c r="V317" s="55"/>
      <c r="W317" s="56">
        <v>24</v>
      </c>
      <c r="X317" s="55"/>
      <c r="Y317" s="55"/>
      <c r="Z317" s="55"/>
      <c r="AA317" s="55"/>
      <c r="AB317" s="55"/>
      <c r="AC317" s="57">
        <v>69384</v>
      </c>
      <c r="AD317" s="55"/>
      <c r="AE317" s="55"/>
    </row>
    <row r="318" spans="1:31" ht="9.6" customHeight="1" x14ac:dyDescent="0.2">
      <c r="A318" s="3" t="s">
        <v>523</v>
      </c>
      <c r="B318" s="68" t="s">
        <v>524</v>
      </c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9"/>
      <c r="R318" s="69"/>
      <c r="S318" s="69"/>
      <c r="T318" s="69"/>
      <c r="U318" s="69"/>
      <c r="V318" s="69"/>
      <c r="W318" s="69"/>
      <c r="X318" s="69"/>
      <c r="Y318" s="69"/>
      <c r="Z318" s="69"/>
      <c r="AA318" s="69"/>
      <c r="AB318" s="69"/>
      <c r="AC318" s="70">
        <v>210520.1</v>
      </c>
      <c r="AD318" s="69"/>
      <c r="AE318" s="69"/>
    </row>
    <row r="319" spans="1:31" ht="9.75" customHeight="1" x14ac:dyDescent="0.2">
      <c r="A319" s="3" t="s">
        <v>525</v>
      </c>
      <c r="B319" s="68" t="s">
        <v>524</v>
      </c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9"/>
      <c r="R319" s="69"/>
      <c r="S319" s="69"/>
      <c r="T319" s="69"/>
      <c r="U319" s="69"/>
      <c r="V319" s="69"/>
      <c r="W319" s="69"/>
      <c r="X319" s="69"/>
      <c r="Y319" s="69"/>
      <c r="Z319" s="69"/>
      <c r="AA319" s="69"/>
      <c r="AB319" s="69"/>
      <c r="AC319" s="70">
        <v>210520.1</v>
      </c>
      <c r="AD319" s="69"/>
      <c r="AE319" s="69"/>
    </row>
    <row r="320" spans="1:31" ht="9.6" customHeight="1" x14ac:dyDescent="0.2">
      <c r="A320" s="3" t="s">
        <v>526</v>
      </c>
      <c r="B320" s="68" t="s">
        <v>527</v>
      </c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9"/>
      <c r="R320" s="69"/>
      <c r="S320" s="69"/>
      <c r="T320" s="69"/>
      <c r="U320" s="69"/>
      <c r="V320" s="69"/>
      <c r="W320" s="69"/>
      <c r="X320" s="69"/>
      <c r="Y320" s="69"/>
      <c r="Z320" s="69"/>
      <c r="AA320" s="69"/>
      <c r="AB320" s="69"/>
      <c r="AC320" s="80">
        <v>38.26</v>
      </c>
      <c r="AD320" s="69"/>
      <c r="AE320" s="69"/>
    </row>
    <row r="321" spans="1:31" ht="9.6" customHeight="1" x14ac:dyDescent="0.2">
      <c r="A321" s="1" t="s">
        <v>528</v>
      </c>
      <c r="B321" s="53" t="s">
        <v>529</v>
      </c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 t="s">
        <v>47</v>
      </c>
      <c r="O321" s="53"/>
      <c r="P321" s="53"/>
      <c r="Q321" s="75">
        <v>325.92</v>
      </c>
      <c r="R321" s="55"/>
      <c r="S321" s="55"/>
      <c r="T321" s="55"/>
      <c r="U321" s="55"/>
      <c r="V321" s="55"/>
      <c r="W321" s="66">
        <v>0.1174</v>
      </c>
      <c r="X321" s="55"/>
      <c r="Y321" s="55"/>
      <c r="Z321" s="55"/>
      <c r="AA321" s="55"/>
      <c r="AB321" s="55"/>
      <c r="AC321" s="79">
        <v>38.26</v>
      </c>
      <c r="AD321" s="55"/>
      <c r="AE321" s="55"/>
    </row>
    <row r="322" spans="1:31" ht="9.75" customHeight="1" x14ac:dyDescent="0.2">
      <c r="A322" s="3" t="s">
        <v>530</v>
      </c>
      <c r="B322" s="68" t="s">
        <v>531</v>
      </c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9"/>
      <c r="R322" s="69"/>
      <c r="S322" s="69"/>
      <c r="T322" s="69"/>
      <c r="U322" s="69"/>
      <c r="V322" s="69"/>
      <c r="W322" s="69"/>
      <c r="X322" s="69"/>
      <c r="Y322" s="69"/>
      <c r="Z322" s="69"/>
      <c r="AA322" s="69"/>
      <c r="AB322" s="69"/>
      <c r="AC322" s="70">
        <v>204941.2</v>
      </c>
      <c r="AD322" s="69"/>
      <c r="AE322" s="69"/>
    </row>
    <row r="323" spans="1:31" ht="9.75" customHeight="1" x14ac:dyDescent="0.2">
      <c r="A323" s="1" t="s">
        <v>532</v>
      </c>
      <c r="B323" s="53" t="s">
        <v>533</v>
      </c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 t="s">
        <v>47</v>
      </c>
      <c r="O323" s="53"/>
      <c r="P323" s="53"/>
      <c r="Q323" s="56">
        <v>18.98</v>
      </c>
      <c r="R323" s="55"/>
      <c r="S323" s="55"/>
      <c r="T323" s="55"/>
      <c r="U323" s="55"/>
      <c r="V323" s="55"/>
      <c r="W323" s="75">
        <v>115</v>
      </c>
      <c r="X323" s="55"/>
      <c r="Y323" s="55"/>
      <c r="Z323" s="55"/>
      <c r="AA323" s="55"/>
      <c r="AB323" s="55"/>
      <c r="AC323" s="67">
        <v>2182.6999999999998</v>
      </c>
      <c r="AD323" s="55"/>
      <c r="AE323" s="55"/>
    </row>
    <row r="324" spans="1:31" ht="9.75" customHeight="1" x14ac:dyDescent="0.2">
      <c r="A324" s="1" t="s">
        <v>534</v>
      </c>
      <c r="B324" s="53" t="s">
        <v>535</v>
      </c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 t="s">
        <v>47</v>
      </c>
      <c r="O324" s="53"/>
      <c r="P324" s="53"/>
      <c r="Q324" s="54">
        <v>1023.51</v>
      </c>
      <c r="R324" s="55"/>
      <c r="S324" s="55"/>
      <c r="T324" s="55"/>
      <c r="U324" s="55"/>
      <c r="V324" s="55"/>
      <c r="W324" s="75">
        <v>110</v>
      </c>
      <c r="X324" s="55"/>
      <c r="Y324" s="55"/>
      <c r="Z324" s="55"/>
      <c r="AA324" s="55"/>
      <c r="AB324" s="55"/>
      <c r="AC324" s="72">
        <v>112586.1</v>
      </c>
      <c r="AD324" s="55"/>
      <c r="AE324" s="55"/>
    </row>
    <row r="325" spans="1:31" ht="9.6" customHeight="1" x14ac:dyDescent="0.2">
      <c r="A325" s="1" t="s">
        <v>536</v>
      </c>
      <c r="B325" s="53" t="s">
        <v>537</v>
      </c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 t="s">
        <v>39</v>
      </c>
      <c r="O325" s="53"/>
      <c r="P325" s="53"/>
      <c r="Q325" s="75">
        <v>299.54000000000002</v>
      </c>
      <c r="R325" s="55"/>
      <c r="S325" s="55"/>
      <c r="T325" s="55"/>
      <c r="U325" s="55"/>
      <c r="V325" s="55"/>
      <c r="W325" s="56">
        <v>80</v>
      </c>
      <c r="X325" s="55"/>
      <c r="Y325" s="55"/>
      <c r="Z325" s="55"/>
      <c r="AA325" s="55"/>
      <c r="AB325" s="55"/>
      <c r="AC325" s="57">
        <v>23963.200000000001</v>
      </c>
      <c r="AD325" s="55"/>
      <c r="AE325" s="55"/>
    </row>
    <row r="326" spans="1:31" ht="9.75" customHeight="1" x14ac:dyDescent="0.2">
      <c r="A326" s="1" t="s">
        <v>538</v>
      </c>
      <c r="B326" s="53" t="s">
        <v>517</v>
      </c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 t="s">
        <v>47</v>
      </c>
      <c r="O326" s="53"/>
      <c r="P326" s="53"/>
      <c r="Q326" s="54">
        <v>1655.23</v>
      </c>
      <c r="R326" s="55"/>
      <c r="S326" s="55"/>
      <c r="T326" s="55"/>
      <c r="U326" s="55"/>
      <c r="V326" s="55"/>
      <c r="W326" s="56">
        <v>40</v>
      </c>
      <c r="X326" s="55"/>
      <c r="Y326" s="55"/>
      <c r="Z326" s="55"/>
      <c r="AA326" s="55"/>
      <c r="AB326" s="55"/>
      <c r="AC326" s="57">
        <v>66209.2</v>
      </c>
      <c r="AD326" s="55"/>
      <c r="AE326" s="55"/>
    </row>
    <row r="327" spans="1:31" ht="9.6" customHeight="1" x14ac:dyDescent="0.2">
      <c r="A327" s="3" t="s">
        <v>539</v>
      </c>
      <c r="B327" s="68" t="s">
        <v>288</v>
      </c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9"/>
      <c r="R327" s="69"/>
      <c r="S327" s="69"/>
      <c r="T327" s="69"/>
      <c r="U327" s="69"/>
      <c r="V327" s="69"/>
      <c r="W327" s="69"/>
      <c r="X327" s="69"/>
      <c r="Y327" s="69"/>
      <c r="Z327" s="69"/>
      <c r="AA327" s="69"/>
      <c r="AB327" s="69"/>
      <c r="AC327" s="78">
        <v>5540.64</v>
      </c>
      <c r="AD327" s="69"/>
      <c r="AE327" s="69"/>
    </row>
    <row r="328" spans="1:31" ht="9.75" customHeight="1" x14ac:dyDescent="0.2">
      <c r="A328" s="1" t="s">
        <v>540</v>
      </c>
      <c r="B328" s="53" t="s">
        <v>541</v>
      </c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 t="s">
        <v>47</v>
      </c>
      <c r="O328" s="53"/>
      <c r="P328" s="53"/>
      <c r="Q328" s="75">
        <v>325.92</v>
      </c>
      <c r="R328" s="55"/>
      <c r="S328" s="55"/>
      <c r="T328" s="55"/>
      <c r="U328" s="55"/>
      <c r="V328" s="55"/>
      <c r="W328" s="56">
        <v>17</v>
      </c>
      <c r="X328" s="55"/>
      <c r="Y328" s="55"/>
      <c r="Z328" s="55"/>
      <c r="AA328" s="55"/>
      <c r="AB328" s="55"/>
      <c r="AC328" s="67">
        <v>5540.64</v>
      </c>
      <c r="AD328" s="55"/>
      <c r="AE328" s="55"/>
    </row>
    <row r="329" spans="1:31" ht="9.6" customHeight="1" x14ac:dyDescent="0.2">
      <c r="A329" s="3" t="s">
        <v>542</v>
      </c>
      <c r="B329" s="68" t="s">
        <v>543</v>
      </c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9"/>
      <c r="R329" s="69"/>
      <c r="S329" s="69"/>
      <c r="T329" s="69"/>
      <c r="U329" s="69"/>
      <c r="V329" s="69"/>
      <c r="W329" s="69"/>
      <c r="X329" s="69"/>
      <c r="Y329" s="69"/>
      <c r="Z329" s="69"/>
      <c r="AA329" s="69"/>
      <c r="AB329" s="69"/>
      <c r="AC329" s="70">
        <v>793154.65</v>
      </c>
      <c r="AD329" s="69"/>
      <c r="AE329" s="69"/>
    </row>
    <row r="330" spans="1:31" ht="9.6" customHeight="1" x14ac:dyDescent="0.2">
      <c r="A330" s="3" t="s">
        <v>544</v>
      </c>
      <c r="B330" s="68" t="s">
        <v>543</v>
      </c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9"/>
      <c r="R330" s="69"/>
      <c r="S330" s="69"/>
      <c r="T330" s="69"/>
      <c r="U330" s="69"/>
      <c r="V330" s="69"/>
      <c r="W330" s="69"/>
      <c r="X330" s="69"/>
      <c r="Y330" s="69"/>
      <c r="Z330" s="69"/>
      <c r="AA330" s="69"/>
      <c r="AB330" s="69"/>
      <c r="AC330" s="70">
        <v>793154.65</v>
      </c>
      <c r="AD330" s="69"/>
      <c r="AE330" s="69"/>
    </row>
    <row r="331" spans="1:31" ht="9.75" customHeight="1" x14ac:dyDescent="0.2">
      <c r="A331" s="3" t="s">
        <v>545</v>
      </c>
      <c r="B331" s="68" t="s">
        <v>546</v>
      </c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9"/>
      <c r="R331" s="69"/>
      <c r="S331" s="69"/>
      <c r="T331" s="69"/>
      <c r="U331" s="69"/>
      <c r="V331" s="69"/>
      <c r="W331" s="69"/>
      <c r="X331" s="69"/>
      <c r="Y331" s="69"/>
      <c r="Z331" s="69"/>
      <c r="AA331" s="69"/>
      <c r="AB331" s="69"/>
      <c r="AC331" s="70">
        <v>278158.86</v>
      </c>
      <c r="AD331" s="69"/>
      <c r="AE331" s="69"/>
    </row>
    <row r="332" spans="1:31" ht="9.6" customHeight="1" x14ac:dyDescent="0.2">
      <c r="A332" s="1" t="s">
        <v>547</v>
      </c>
      <c r="B332" s="53" t="s">
        <v>548</v>
      </c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 t="s">
        <v>47</v>
      </c>
      <c r="O332" s="53"/>
      <c r="P332" s="53"/>
      <c r="Q332" s="56">
        <v>92</v>
      </c>
      <c r="R332" s="55"/>
      <c r="S332" s="55"/>
      <c r="T332" s="55"/>
      <c r="U332" s="55"/>
      <c r="V332" s="55"/>
      <c r="W332" s="56">
        <v>89.342600000000004</v>
      </c>
      <c r="X332" s="55"/>
      <c r="Y332" s="55"/>
      <c r="Z332" s="55"/>
      <c r="AA332" s="55"/>
      <c r="AB332" s="55"/>
      <c r="AC332" s="67">
        <v>8219.52</v>
      </c>
      <c r="AD332" s="55"/>
      <c r="AE332" s="55"/>
    </row>
    <row r="333" spans="1:31" ht="9.6" customHeight="1" x14ac:dyDescent="0.2">
      <c r="A333" s="1" t="s">
        <v>549</v>
      </c>
      <c r="B333" s="53" t="s">
        <v>550</v>
      </c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 t="s">
        <v>47</v>
      </c>
      <c r="O333" s="53"/>
      <c r="P333" s="53"/>
      <c r="Q333" s="56">
        <v>94</v>
      </c>
      <c r="R333" s="55"/>
      <c r="S333" s="55"/>
      <c r="T333" s="55"/>
      <c r="U333" s="55"/>
      <c r="V333" s="55"/>
      <c r="W333" s="56">
        <v>18.269100000000002</v>
      </c>
      <c r="X333" s="55"/>
      <c r="Y333" s="55"/>
      <c r="Z333" s="55"/>
      <c r="AA333" s="55"/>
      <c r="AB333" s="55"/>
      <c r="AC333" s="67">
        <v>1717.3</v>
      </c>
      <c r="AD333" s="55"/>
      <c r="AE333" s="55"/>
    </row>
    <row r="334" spans="1:31" ht="9.6" customHeight="1" x14ac:dyDescent="0.2">
      <c r="A334" s="1" t="s">
        <v>551</v>
      </c>
      <c r="B334" s="53" t="s">
        <v>552</v>
      </c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 t="s">
        <v>47</v>
      </c>
      <c r="O334" s="53"/>
      <c r="P334" s="53"/>
      <c r="Q334" s="56">
        <v>52</v>
      </c>
      <c r="R334" s="55"/>
      <c r="S334" s="55"/>
      <c r="T334" s="55"/>
      <c r="U334" s="55"/>
      <c r="V334" s="55"/>
      <c r="W334" s="75">
        <v>181.7</v>
      </c>
      <c r="X334" s="55"/>
      <c r="Y334" s="55"/>
      <c r="Z334" s="55"/>
      <c r="AA334" s="55"/>
      <c r="AB334" s="55"/>
      <c r="AC334" s="67">
        <v>9448.4</v>
      </c>
      <c r="AD334" s="55"/>
      <c r="AE334" s="55"/>
    </row>
    <row r="335" spans="1:31" ht="9.75" customHeight="1" x14ac:dyDescent="0.2">
      <c r="A335" s="1" t="s">
        <v>553</v>
      </c>
      <c r="B335" s="53" t="s">
        <v>554</v>
      </c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 t="s">
        <v>47</v>
      </c>
      <c r="O335" s="53"/>
      <c r="P335" s="53"/>
      <c r="Q335" s="66">
        <v>3</v>
      </c>
      <c r="R335" s="55"/>
      <c r="S335" s="55"/>
      <c r="T335" s="55"/>
      <c r="U335" s="55"/>
      <c r="V335" s="55"/>
      <c r="W335" s="56">
        <v>56.295499999999997</v>
      </c>
      <c r="X335" s="55"/>
      <c r="Y335" s="55"/>
      <c r="Z335" s="55"/>
      <c r="AA335" s="55"/>
      <c r="AB335" s="55"/>
      <c r="AC335" s="76">
        <v>168.89</v>
      </c>
      <c r="AD335" s="55"/>
      <c r="AE335" s="55"/>
    </row>
    <row r="336" spans="1:31" ht="9.75" customHeight="1" x14ac:dyDescent="0.2">
      <c r="A336" s="1" t="s">
        <v>555</v>
      </c>
      <c r="B336" s="53" t="s">
        <v>556</v>
      </c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 t="s">
        <v>47</v>
      </c>
      <c r="O336" s="53"/>
      <c r="P336" s="53"/>
      <c r="Q336" s="75">
        <v>670</v>
      </c>
      <c r="R336" s="55"/>
      <c r="S336" s="55"/>
      <c r="T336" s="55"/>
      <c r="U336" s="55"/>
      <c r="V336" s="55"/>
      <c r="W336" s="56">
        <v>88.538499999999999</v>
      </c>
      <c r="X336" s="55"/>
      <c r="Y336" s="55"/>
      <c r="Z336" s="55"/>
      <c r="AA336" s="55"/>
      <c r="AB336" s="55"/>
      <c r="AC336" s="57">
        <v>59320.800000000003</v>
      </c>
      <c r="AD336" s="55"/>
      <c r="AE336" s="55"/>
    </row>
    <row r="337" spans="1:31" ht="9.75" customHeight="1" x14ac:dyDescent="0.2">
      <c r="A337" s="1" t="s">
        <v>557</v>
      </c>
      <c r="B337" s="53" t="s">
        <v>558</v>
      </c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 t="s">
        <v>47</v>
      </c>
      <c r="O337" s="53"/>
      <c r="P337" s="53"/>
      <c r="Q337" s="54">
        <v>2155</v>
      </c>
      <c r="R337" s="55"/>
      <c r="S337" s="55"/>
      <c r="T337" s="55"/>
      <c r="U337" s="55"/>
      <c r="V337" s="55"/>
      <c r="W337" s="56">
        <v>76.584800000000001</v>
      </c>
      <c r="X337" s="55"/>
      <c r="Y337" s="55"/>
      <c r="Z337" s="55"/>
      <c r="AA337" s="55"/>
      <c r="AB337" s="55"/>
      <c r="AC337" s="72">
        <v>165040.24</v>
      </c>
      <c r="AD337" s="55"/>
      <c r="AE337" s="55"/>
    </row>
    <row r="338" spans="1:31" ht="9.6" customHeight="1" x14ac:dyDescent="0.2">
      <c r="A338" s="1" t="s">
        <v>559</v>
      </c>
      <c r="B338" s="53" t="s">
        <v>560</v>
      </c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 t="s">
        <v>47</v>
      </c>
      <c r="O338" s="53"/>
      <c r="P338" s="53"/>
      <c r="Q338" s="75">
        <v>412</v>
      </c>
      <c r="R338" s="55"/>
      <c r="S338" s="55"/>
      <c r="T338" s="55"/>
      <c r="U338" s="55"/>
      <c r="V338" s="55"/>
      <c r="W338" s="56">
        <v>83.115799999999993</v>
      </c>
      <c r="X338" s="55"/>
      <c r="Y338" s="55"/>
      <c r="Z338" s="55"/>
      <c r="AA338" s="55"/>
      <c r="AB338" s="55"/>
      <c r="AC338" s="57">
        <v>34243.71</v>
      </c>
      <c r="AD338" s="55"/>
      <c r="AE338" s="55"/>
    </row>
    <row r="339" spans="1:31" ht="9.75" customHeight="1" x14ac:dyDescent="0.2">
      <c r="A339" s="3" t="s">
        <v>561</v>
      </c>
      <c r="B339" s="68" t="s">
        <v>562</v>
      </c>
      <c r="C339" s="68"/>
      <c r="D339" s="68"/>
      <c r="E339" s="68"/>
      <c r="F339" s="68"/>
      <c r="G339" s="68"/>
      <c r="H339" s="68"/>
      <c r="I339" s="68"/>
      <c r="J339" s="68"/>
      <c r="K339" s="68"/>
      <c r="L339" s="68"/>
      <c r="M339" s="68"/>
      <c r="N339" s="68"/>
      <c r="O339" s="68"/>
      <c r="P339" s="68"/>
      <c r="Q339" s="69"/>
      <c r="R339" s="69"/>
      <c r="S339" s="69"/>
      <c r="T339" s="69"/>
      <c r="U339" s="69"/>
      <c r="V339" s="69"/>
      <c r="W339" s="69"/>
      <c r="X339" s="69"/>
      <c r="Y339" s="69"/>
      <c r="Z339" s="69"/>
      <c r="AA339" s="69"/>
      <c r="AB339" s="69"/>
      <c r="AC339" s="74">
        <v>12492.92</v>
      </c>
      <c r="AD339" s="69"/>
      <c r="AE339" s="69"/>
    </row>
    <row r="340" spans="1:31" ht="19.149999999999999" customHeight="1" x14ac:dyDescent="0.2">
      <c r="A340" s="1" t="s">
        <v>563</v>
      </c>
      <c r="B340" s="53" t="s">
        <v>564</v>
      </c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 t="s">
        <v>39</v>
      </c>
      <c r="O340" s="53"/>
      <c r="P340" s="53"/>
      <c r="Q340" s="75">
        <v>671.31</v>
      </c>
      <c r="R340" s="55"/>
      <c r="S340" s="55"/>
      <c r="T340" s="55"/>
      <c r="U340" s="55"/>
      <c r="V340" s="55"/>
      <c r="W340" s="66">
        <v>5.7923999999999998</v>
      </c>
      <c r="X340" s="55"/>
      <c r="Y340" s="55"/>
      <c r="Z340" s="55"/>
      <c r="AA340" s="55"/>
      <c r="AB340" s="55"/>
      <c r="AC340" s="67">
        <v>3888.5</v>
      </c>
      <c r="AD340" s="55"/>
      <c r="AE340" s="55"/>
    </row>
    <row r="341" spans="1:31" ht="9.6" customHeight="1" x14ac:dyDescent="0.2">
      <c r="A341" s="1" t="s">
        <v>565</v>
      </c>
      <c r="B341" s="53" t="s">
        <v>566</v>
      </c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 t="s">
        <v>39</v>
      </c>
      <c r="O341" s="53"/>
      <c r="P341" s="53"/>
      <c r="Q341" s="75">
        <v>978.79</v>
      </c>
      <c r="R341" s="55"/>
      <c r="S341" s="55"/>
      <c r="T341" s="55"/>
      <c r="U341" s="55"/>
      <c r="V341" s="55"/>
      <c r="W341" s="66">
        <v>8.2714999999999996</v>
      </c>
      <c r="X341" s="55"/>
      <c r="Y341" s="55"/>
      <c r="Z341" s="55"/>
      <c r="AA341" s="55"/>
      <c r="AB341" s="55"/>
      <c r="AC341" s="67">
        <v>8096.06</v>
      </c>
      <c r="AD341" s="55"/>
      <c r="AE341" s="55"/>
    </row>
    <row r="342" spans="1:31" ht="9.75" customHeight="1" x14ac:dyDescent="0.2">
      <c r="A342" s="1" t="s">
        <v>567</v>
      </c>
      <c r="B342" s="53" t="s">
        <v>568</v>
      </c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 t="s">
        <v>39</v>
      </c>
      <c r="O342" s="53"/>
      <c r="P342" s="53"/>
      <c r="Q342" s="56">
        <v>19.86</v>
      </c>
      <c r="R342" s="55"/>
      <c r="S342" s="55"/>
      <c r="T342" s="55"/>
      <c r="U342" s="55"/>
      <c r="V342" s="55"/>
      <c r="W342" s="56">
        <v>25.597100000000001</v>
      </c>
      <c r="X342" s="55"/>
      <c r="Y342" s="55"/>
      <c r="Z342" s="55"/>
      <c r="AA342" s="55"/>
      <c r="AB342" s="55"/>
      <c r="AC342" s="76">
        <v>508.36</v>
      </c>
      <c r="AD342" s="55"/>
      <c r="AE342" s="55"/>
    </row>
    <row r="343" spans="1:31" ht="19.149999999999999" customHeight="1" x14ac:dyDescent="0.2">
      <c r="A343" s="3" t="s">
        <v>569</v>
      </c>
      <c r="B343" s="68" t="s">
        <v>570</v>
      </c>
      <c r="C343" s="68"/>
      <c r="D343" s="68"/>
      <c r="E343" s="68"/>
      <c r="F343" s="68"/>
      <c r="G343" s="68"/>
      <c r="H343" s="68"/>
      <c r="I343" s="68"/>
      <c r="J343" s="68"/>
      <c r="K343" s="68"/>
      <c r="L343" s="68"/>
      <c r="M343" s="68"/>
      <c r="N343" s="68"/>
      <c r="O343" s="68"/>
      <c r="P343" s="68"/>
      <c r="Q343" s="69"/>
      <c r="R343" s="69"/>
      <c r="S343" s="69"/>
      <c r="T343" s="69"/>
      <c r="U343" s="69"/>
      <c r="V343" s="69"/>
      <c r="W343" s="69"/>
      <c r="X343" s="69"/>
      <c r="Y343" s="69"/>
      <c r="Z343" s="69"/>
      <c r="AA343" s="69"/>
      <c r="AB343" s="69"/>
      <c r="AC343" s="78">
        <v>3126.45</v>
      </c>
      <c r="AD343" s="69"/>
      <c r="AE343" s="69"/>
    </row>
    <row r="344" spans="1:31" ht="9.75" customHeight="1" x14ac:dyDescent="0.2">
      <c r="A344" s="1" t="s">
        <v>571</v>
      </c>
      <c r="B344" s="53" t="s">
        <v>572</v>
      </c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 t="s">
        <v>39</v>
      </c>
      <c r="O344" s="53"/>
      <c r="P344" s="53"/>
      <c r="Q344" s="56">
        <v>43.33</v>
      </c>
      <c r="R344" s="55"/>
      <c r="S344" s="55"/>
      <c r="T344" s="55"/>
      <c r="U344" s="55"/>
      <c r="V344" s="55"/>
      <c r="W344" s="56">
        <v>72.154300000000006</v>
      </c>
      <c r="X344" s="55"/>
      <c r="Y344" s="55"/>
      <c r="Z344" s="55"/>
      <c r="AA344" s="55"/>
      <c r="AB344" s="55"/>
      <c r="AC344" s="67">
        <v>3126.45</v>
      </c>
      <c r="AD344" s="55"/>
      <c r="AE344" s="55"/>
    </row>
    <row r="345" spans="1:31" ht="19.149999999999999" customHeight="1" x14ac:dyDescent="0.2">
      <c r="A345" s="3" t="s">
        <v>573</v>
      </c>
      <c r="B345" s="68" t="s">
        <v>574</v>
      </c>
      <c r="C345" s="68"/>
      <c r="D345" s="68"/>
      <c r="E345" s="68"/>
      <c r="F345" s="68"/>
      <c r="G345" s="68"/>
      <c r="H345" s="68"/>
      <c r="I345" s="68"/>
      <c r="J345" s="68"/>
      <c r="K345" s="68"/>
      <c r="L345" s="68"/>
      <c r="M345" s="68"/>
      <c r="N345" s="68"/>
      <c r="O345" s="68"/>
      <c r="P345" s="68"/>
      <c r="Q345" s="69"/>
      <c r="R345" s="69"/>
      <c r="S345" s="69"/>
      <c r="T345" s="69"/>
      <c r="U345" s="69"/>
      <c r="V345" s="69"/>
      <c r="W345" s="69"/>
      <c r="X345" s="69"/>
      <c r="Y345" s="69"/>
      <c r="Z345" s="69"/>
      <c r="AA345" s="69"/>
      <c r="AB345" s="69"/>
      <c r="AC345" s="70">
        <v>211876.2</v>
      </c>
      <c r="AD345" s="69"/>
      <c r="AE345" s="69"/>
    </row>
    <row r="346" spans="1:31" ht="19.149999999999999" customHeight="1" x14ac:dyDescent="0.2">
      <c r="A346" s="1" t="s">
        <v>575</v>
      </c>
      <c r="B346" s="53" t="s">
        <v>576</v>
      </c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 t="s">
        <v>47</v>
      </c>
      <c r="O346" s="53"/>
      <c r="P346" s="53"/>
      <c r="Q346" s="56">
        <v>20</v>
      </c>
      <c r="R346" s="55"/>
      <c r="S346" s="55"/>
      <c r="T346" s="55"/>
      <c r="U346" s="55"/>
      <c r="V346" s="55"/>
      <c r="W346" s="56">
        <v>58.628700000000002</v>
      </c>
      <c r="X346" s="55"/>
      <c r="Y346" s="55"/>
      <c r="Z346" s="55"/>
      <c r="AA346" s="55"/>
      <c r="AB346" s="55"/>
      <c r="AC346" s="67">
        <v>1172.57</v>
      </c>
      <c r="AD346" s="55"/>
      <c r="AE346" s="55"/>
    </row>
    <row r="347" spans="1:31" ht="19.149999999999999" customHeight="1" x14ac:dyDescent="0.2">
      <c r="A347" s="1" t="s">
        <v>577</v>
      </c>
      <c r="B347" s="53" t="s">
        <v>578</v>
      </c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 t="s">
        <v>47</v>
      </c>
      <c r="O347" s="53"/>
      <c r="P347" s="53"/>
      <c r="Q347" s="75">
        <v>775</v>
      </c>
      <c r="R347" s="55"/>
      <c r="S347" s="55"/>
      <c r="T347" s="55"/>
      <c r="U347" s="55"/>
      <c r="V347" s="55"/>
      <c r="W347" s="56">
        <v>61.576799999999999</v>
      </c>
      <c r="X347" s="55"/>
      <c r="Y347" s="55"/>
      <c r="Z347" s="55"/>
      <c r="AA347" s="55"/>
      <c r="AB347" s="55"/>
      <c r="AC347" s="57">
        <v>47722.02</v>
      </c>
      <c r="AD347" s="55"/>
      <c r="AE347" s="55"/>
    </row>
    <row r="348" spans="1:31" ht="9.75" customHeight="1" x14ac:dyDescent="0.2">
      <c r="A348" s="1" t="s">
        <v>579</v>
      </c>
      <c r="B348" s="53" t="s">
        <v>580</v>
      </c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 t="s">
        <v>47</v>
      </c>
      <c r="O348" s="53"/>
      <c r="P348" s="53"/>
      <c r="Q348" s="54">
        <v>2096</v>
      </c>
      <c r="R348" s="55"/>
      <c r="S348" s="55"/>
      <c r="T348" s="55"/>
      <c r="U348" s="55"/>
      <c r="V348" s="55"/>
      <c r="W348" s="56">
        <v>77.758399999999995</v>
      </c>
      <c r="X348" s="55"/>
      <c r="Y348" s="55"/>
      <c r="Z348" s="55"/>
      <c r="AA348" s="55"/>
      <c r="AB348" s="55"/>
      <c r="AC348" s="72">
        <v>162981.60999999999</v>
      </c>
      <c r="AD348" s="55"/>
      <c r="AE348" s="55"/>
    </row>
    <row r="349" spans="1:31" ht="19.149999999999999" customHeight="1" x14ac:dyDescent="0.2">
      <c r="A349" s="3" t="s">
        <v>581</v>
      </c>
      <c r="B349" s="68" t="s">
        <v>582</v>
      </c>
      <c r="C349" s="68"/>
      <c r="D349" s="68"/>
      <c r="E349" s="68"/>
      <c r="F349" s="68"/>
      <c r="G349" s="68"/>
      <c r="H349" s="68"/>
      <c r="I349" s="68"/>
      <c r="J349" s="68"/>
      <c r="K349" s="68"/>
      <c r="L349" s="68"/>
      <c r="M349" s="68"/>
      <c r="N349" s="68"/>
      <c r="O349" s="68"/>
      <c r="P349" s="68"/>
      <c r="Q349" s="69"/>
      <c r="R349" s="69"/>
      <c r="S349" s="69"/>
      <c r="T349" s="69"/>
      <c r="U349" s="69"/>
      <c r="V349" s="69"/>
      <c r="W349" s="69"/>
      <c r="X349" s="69"/>
      <c r="Y349" s="69"/>
      <c r="Z349" s="69"/>
      <c r="AA349" s="69"/>
      <c r="AB349" s="69"/>
      <c r="AC349" s="74">
        <v>26763.64</v>
      </c>
      <c r="AD349" s="69"/>
      <c r="AE349" s="69"/>
    </row>
    <row r="350" spans="1:31" ht="9.75" customHeight="1" x14ac:dyDescent="0.2">
      <c r="A350" s="1" t="s">
        <v>583</v>
      </c>
      <c r="B350" s="53" t="s">
        <v>584</v>
      </c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 t="s">
        <v>39</v>
      </c>
      <c r="O350" s="53"/>
      <c r="P350" s="53"/>
      <c r="Q350" s="75">
        <v>357.45</v>
      </c>
      <c r="R350" s="55"/>
      <c r="S350" s="55"/>
      <c r="T350" s="55"/>
      <c r="U350" s="55"/>
      <c r="V350" s="55"/>
      <c r="W350" s="56">
        <v>74.873800000000003</v>
      </c>
      <c r="X350" s="55"/>
      <c r="Y350" s="55"/>
      <c r="Z350" s="55"/>
      <c r="AA350" s="55"/>
      <c r="AB350" s="55"/>
      <c r="AC350" s="57">
        <v>26763.64</v>
      </c>
      <c r="AD350" s="55"/>
      <c r="AE350" s="55"/>
    </row>
    <row r="351" spans="1:31" ht="9.6" customHeight="1" x14ac:dyDescent="0.2">
      <c r="A351" s="3" t="s">
        <v>585</v>
      </c>
      <c r="B351" s="68" t="s">
        <v>288</v>
      </c>
      <c r="C351" s="68"/>
      <c r="D351" s="68"/>
      <c r="E351" s="68"/>
      <c r="F351" s="68"/>
      <c r="G351" s="68"/>
      <c r="H351" s="68"/>
      <c r="I351" s="68"/>
      <c r="J351" s="68"/>
      <c r="K351" s="68"/>
      <c r="L351" s="68"/>
      <c r="M351" s="68"/>
      <c r="N351" s="68"/>
      <c r="O351" s="68"/>
      <c r="P351" s="68"/>
      <c r="Q351" s="69"/>
      <c r="R351" s="69"/>
      <c r="S351" s="69"/>
      <c r="T351" s="69"/>
      <c r="U351" s="69"/>
      <c r="V351" s="69"/>
      <c r="W351" s="69"/>
      <c r="X351" s="69"/>
      <c r="Y351" s="69"/>
      <c r="Z351" s="69"/>
      <c r="AA351" s="69"/>
      <c r="AB351" s="69"/>
      <c r="AC351" s="70">
        <v>260736.58</v>
      </c>
      <c r="AD351" s="69"/>
      <c r="AE351" s="69"/>
    </row>
    <row r="352" spans="1:31" ht="9.75" customHeight="1" x14ac:dyDescent="0.2">
      <c r="A352" s="1" t="s">
        <v>586</v>
      </c>
      <c r="B352" s="53" t="s">
        <v>587</v>
      </c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 t="s">
        <v>47</v>
      </c>
      <c r="O352" s="53"/>
      <c r="P352" s="53"/>
      <c r="Q352" s="56">
        <v>92</v>
      </c>
      <c r="R352" s="55"/>
      <c r="S352" s="55"/>
      <c r="T352" s="55"/>
      <c r="U352" s="55"/>
      <c r="V352" s="55"/>
      <c r="W352" s="56">
        <v>80</v>
      </c>
      <c r="X352" s="55"/>
      <c r="Y352" s="55"/>
      <c r="Z352" s="55"/>
      <c r="AA352" s="55"/>
      <c r="AB352" s="55"/>
      <c r="AC352" s="67">
        <v>7360</v>
      </c>
      <c r="AD352" s="55"/>
      <c r="AE352" s="55"/>
    </row>
    <row r="353" spans="1:31" ht="9.75" customHeight="1" x14ac:dyDescent="0.2">
      <c r="A353" s="1" t="s">
        <v>588</v>
      </c>
      <c r="B353" s="53" t="s">
        <v>589</v>
      </c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 t="s">
        <v>47</v>
      </c>
      <c r="O353" s="53"/>
      <c r="P353" s="53"/>
      <c r="Q353" s="56">
        <v>94</v>
      </c>
      <c r="R353" s="55"/>
      <c r="S353" s="55"/>
      <c r="T353" s="55"/>
      <c r="U353" s="55"/>
      <c r="V353" s="55"/>
      <c r="W353" s="56">
        <v>18</v>
      </c>
      <c r="X353" s="55"/>
      <c r="Y353" s="55"/>
      <c r="Z353" s="55"/>
      <c r="AA353" s="55"/>
      <c r="AB353" s="55"/>
      <c r="AC353" s="67">
        <v>1692</v>
      </c>
      <c r="AD353" s="55"/>
      <c r="AE353" s="55"/>
    </row>
    <row r="354" spans="1:31" ht="9.75" customHeight="1" x14ac:dyDescent="0.2">
      <c r="A354" s="1" t="s">
        <v>590</v>
      </c>
      <c r="B354" s="53" t="s">
        <v>591</v>
      </c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 t="s">
        <v>47</v>
      </c>
      <c r="O354" s="53"/>
      <c r="P354" s="53"/>
      <c r="Q354" s="56">
        <v>52</v>
      </c>
      <c r="R354" s="55"/>
      <c r="S354" s="55"/>
      <c r="T354" s="55"/>
      <c r="U354" s="55"/>
      <c r="V354" s="55"/>
      <c r="W354" s="56">
        <v>30</v>
      </c>
      <c r="X354" s="55"/>
      <c r="Y354" s="55"/>
      <c r="Z354" s="55"/>
      <c r="AA354" s="55"/>
      <c r="AB354" s="55"/>
      <c r="AC354" s="67">
        <v>1560</v>
      </c>
      <c r="AD354" s="55"/>
      <c r="AE354" s="55"/>
    </row>
    <row r="355" spans="1:31" ht="9.6" customHeight="1" x14ac:dyDescent="0.2">
      <c r="A355" s="1" t="s">
        <v>592</v>
      </c>
      <c r="B355" s="53" t="s">
        <v>593</v>
      </c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 t="s">
        <v>47</v>
      </c>
      <c r="O355" s="53"/>
      <c r="P355" s="53"/>
      <c r="Q355" s="54">
        <v>6131</v>
      </c>
      <c r="R355" s="55"/>
      <c r="S355" s="55"/>
      <c r="T355" s="55"/>
      <c r="U355" s="55"/>
      <c r="V355" s="55"/>
      <c r="W355" s="56">
        <v>32</v>
      </c>
      <c r="X355" s="55"/>
      <c r="Y355" s="55"/>
      <c r="Z355" s="55"/>
      <c r="AA355" s="55"/>
      <c r="AB355" s="55"/>
      <c r="AC355" s="72">
        <v>196192</v>
      </c>
      <c r="AD355" s="55"/>
      <c r="AE355" s="55"/>
    </row>
    <row r="356" spans="1:31" ht="9.6" customHeight="1" x14ac:dyDescent="0.2">
      <c r="A356" s="1" t="s">
        <v>594</v>
      </c>
      <c r="B356" s="53" t="s">
        <v>595</v>
      </c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 t="s">
        <v>39</v>
      </c>
      <c r="O356" s="53"/>
      <c r="P356" s="53"/>
      <c r="Q356" s="54">
        <v>1650.1</v>
      </c>
      <c r="R356" s="55"/>
      <c r="S356" s="55"/>
      <c r="T356" s="55"/>
      <c r="U356" s="55"/>
      <c r="V356" s="55"/>
      <c r="W356" s="56">
        <v>22</v>
      </c>
      <c r="X356" s="55"/>
      <c r="Y356" s="55"/>
      <c r="Z356" s="55"/>
      <c r="AA356" s="55"/>
      <c r="AB356" s="55"/>
      <c r="AC356" s="57">
        <v>36302.199999999997</v>
      </c>
      <c r="AD356" s="55"/>
      <c r="AE356" s="55"/>
    </row>
    <row r="357" spans="1:31" ht="9.6" customHeight="1" x14ac:dyDescent="0.2">
      <c r="A357" s="1" t="s">
        <v>596</v>
      </c>
      <c r="B357" s="53" t="s">
        <v>597</v>
      </c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 t="s">
        <v>39</v>
      </c>
      <c r="O357" s="53"/>
      <c r="P357" s="53"/>
      <c r="Q357" s="56">
        <v>19.86</v>
      </c>
      <c r="R357" s="55"/>
      <c r="S357" s="55"/>
      <c r="T357" s="55"/>
      <c r="U357" s="55"/>
      <c r="V357" s="55"/>
      <c r="W357" s="56">
        <v>22</v>
      </c>
      <c r="X357" s="55"/>
      <c r="Y357" s="55"/>
      <c r="Z357" s="55"/>
      <c r="AA357" s="55"/>
      <c r="AB357" s="55"/>
      <c r="AC357" s="76">
        <v>436.92</v>
      </c>
      <c r="AD357" s="55"/>
      <c r="AE357" s="55"/>
    </row>
    <row r="358" spans="1:31" ht="9.75" customHeight="1" x14ac:dyDescent="0.2">
      <c r="A358" s="1" t="s">
        <v>598</v>
      </c>
      <c r="B358" s="53" t="s">
        <v>599</v>
      </c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 t="s">
        <v>39</v>
      </c>
      <c r="O358" s="53"/>
      <c r="P358" s="53"/>
      <c r="Q358" s="75">
        <v>400.78</v>
      </c>
      <c r="R358" s="55"/>
      <c r="S358" s="55"/>
      <c r="T358" s="55"/>
      <c r="U358" s="55"/>
      <c r="V358" s="55"/>
      <c r="W358" s="56">
        <v>42.9</v>
      </c>
      <c r="X358" s="55"/>
      <c r="Y358" s="55"/>
      <c r="Z358" s="55"/>
      <c r="AA358" s="55"/>
      <c r="AB358" s="55"/>
      <c r="AC358" s="57">
        <v>17193.46</v>
      </c>
      <c r="AD358" s="55"/>
      <c r="AE358" s="55"/>
    </row>
    <row r="359" spans="1:31" ht="19.149999999999999" customHeight="1" x14ac:dyDescent="0.2">
      <c r="A359" s="3" t="s">
        <v>600</v>
      </c>
      <c r="B359" s="68" t="s">
        <v>601</v>
      </c>
      <c r="C359" s="68"/>
      <c r="D359" s="68"/>
      <c r="E359" s="68"/>
      <c r="F359" s="68"/>
      <c r="G359" s="68"/>
      <c r="H359" s="68"/>
      <c r="I359" s="68"/>
      <c r="J359" s="68"/>
      <c r="K359" s="68"/>
      <c r="L359" s="68"/>
      <c r="M359" s="68"/>
      <c r="N359" s="68"/>
      <c r="O359" s="68"/>
      <c r="P359" s="68"/>
      <c r="Q359" s="69"/>
      <c r="R359" s="69"/>
      <c r="S359" s="69"/>
      <c r="T359" s="69"/>
      <c r="U359" s="69"/>
      <c r="V359" s="69"/>
      <c r="W359" s="69"/>
      <c r="X359" s="69"/>
      <c r="Y359" s="69"/>
      <c r="Z359" s="69"/>
      <c r="AA359" s="69"/>
      <c r="AB359" s="69"/>
      <c r="AC359" s="70">
        <v>509419.31</v>
      </c>
      <c r="AD359" s="69"/>
      <c r="AE359" s="69"/>
    </row>
    <row r="360" spans="1:31" ht="9.6" customHeight="1" x14ac:dyDescent="0.2">
      <c r="A360" s="3" t="s">
        <v>602</v>
      </c>
      <c r="B360" s="68" t="s">
        <v>601</v>
      </c>
      <c r="C360" s="68"/>
      <c r="D360" s="68"/>
      <c r="E360" s="68"/>
      <c r="F360" s="68"/>
      <c r="G360" s="68"/>
      <c r="H360" s="68"/>
      <c r="I360" s="68"/>
      <c r="J360" s="68"/>
      <c r="K360" s="68"/>
      <c r="L360" s="68"/>
      <c r="M360" s="68"/>
      <c r="N360" s="68"/>
      <c r="O360" s="68"/>
      <c r="P360" s="68"/>
      <c r="Q360" s="69"/>
      <c r="R360" s="69"/>
      <c r="S360" s="69"/>
      <c r="T360" s="69"/>
      <c r="U360" s="69"/>
      <c r="V360" s="69"/>
      <c r="W360" s="69"/>
      <c r="X360" s="69"/>
      <c r="Y360" s="69"/>
      <c r="Z360" s="69"/>
      <c r="AA360" s="69"/>
      <c r="AB360" s="69"/>
      <c r="AC360" s="70">
        <v>509419.31</v>
      </c>
      <c r="AD360" s="69"/>
      <c r="AE360" s="69"/>
    </row>
    <row r="361" spans="1:31" ht="9.6" customHeight="1" x14ac:dyDescent="0.2">
      <c r="A361" s="3" t="s">
        <v>603</v>
      </c>
      <c r="B361" s="68" t="s">
        <v>604</v>
      </c>
      <c r="C361" s="68"/>
      <c r="D361" s="68"/>
      <c r="E361" s="68"/>
      <c r="F361" s="68"/>
      <c r="G361" s="68"/>
      <c r="H361" s="68"/>
      <c r="I361" s="68"/>
      <c r="J361" s="68"/>
      <c r="K361" s="68"/>
      <c r="L361" s="68"/>
      <c r="M361" s="68"/>
      <c r="N361" s="68"/>
      <c r="O361" s="68"/>
      <c r="P361" s="68"/>
      <c r="Q361" s="69"/>
      <c r="R361" s="69"/>
      <c r="S361" s="69"/>
      <c r="T361" s="69"/>
      <c r="U361" s="69"/>
      <c r="V361" s="69"/>
      <c r="W361" s="69"/>
      <c r="X361" s="69"/>
      <c r="Y361" s="69"/>
      <c r="Z361" s="69"/>
      <c r="AA361" s="69"/>
      <c r="AB361" s="69"/>
      <c r="AC361" s="78">
        <v>2241.65</v>
      </c>
      <c r="AD361" s="69"/>
      <c r="AE361" s="69"/>
    </row>
    <row r="362" spans="1:31" ht="9.75" customHeight="1" x14ac:dyDescent="0.2">
      <c r="A362" s="1" t="s">
        <v>605</v>
      </c>
      <c r="B362" s="53" t="s">
        <v>606</v>
      </c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 t="s">
        <v>47</v>
      </c>
      <c r="O362" s="53"/>
      <c r="P362" s="53"/>
      <c r="Q362" s="75">
        <v>233</v>
      </c>
      <c r="R362" s="55"/>
      <c r="S362" s="55"/>
      <c r="T362" s="55"/>
      <c r="U362" s="55"/>
      <c r="V362" s="55"/>
      <c r="W362" s="66">
        <v>9.6207999999999991</v>
      </c>
      <c r="X362" s="55"/>
      <c r="Y362" s="55"/>
      <c r="Z362" s="55"/>
      <c r="AA362" s="55"/>
      <c r="AB362" s="55"/>
      <c r="AC362" s="67">
        <v>2241.65</v>
      </c>
      <c r="AD362" s="55"/>
      <c r="AE362" s="55"/>
    </row>
    <row r="363" spans="1:31" ht="9.6" customHeight="1" x14ac:dyDescent="0.2">
      <c r="A363" s="3" t="s">
        <v>607</v>
      </c>
      <c r="B363" s="68" t="s">
        <v>608</v>
      </c>
      <c r="C363" s="68"/>
      <c r="D363" s="68"/>
      <c r="E363" s="68"/>
      <c r="F363" s="68"/>
      <c r="G363" s="68"/>
      <c r="H363" s="68"/>
      <c r="I363" s="68"/>
      <c r="J363" s="68"/>
      <c r="K363" s="68"/>
      <c r="L363" s="68"/>
      <c r="M363" s="68"/>
      <c r="N363" s="68"/>
      <c r="O363" s="68"/>
      <c r="P363" s="68"/>
      <c r="Q363" s="69"/>
      <c r="R363" s="69"/>
      <c r="S363" s="69"/>
      <c r="T363" s="69"/>
      <c r="U363" s="69"/>
      <c r="V363" s="69"/>
      <c r="W363" s="69"/>
      <c r="X363" s="69"/>
      <c r="Y363" s="69"/>
      <c r="Z363" s="69"/>
      <c r="AA363" s="69"/>
      <c r="AB363" s="69"/>
      <c r="AC363" s="70">
        <v>124537.54</v>
      </c>
      <c r="AD363" s="69"/>
      <c r="AE363" s="69"/>
    </row>
    <row r="364" spans="1:31" ht="9.6" customHeight="1" x14ac:dyDescent="0.2">
      <c r="A364" s="1" t="s">
        <v>609</v>
      </c>
      <c r="B364" s="53" t="s">
        <v>610</v>
      </c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 t="s">
        <v>47</v>
      </c>
      <c r="O364" s="53"/>
      <c r="P364" s="53"/>
      <c r="Q364" s="54">
        <v>7087</v>
      </c>
      <c r="R364" s="55"/>
      <c r="S364" s="55"/>
      <c r="T364" s="55"/>
      <c r="U364" s="55"/>
      <c r="V364" s="55"/>
      <c r="W364" s="56">
        <v>17.2241</v>
      </c>
      <c r="X364" s="55"/>
      <c r="Y364" s="55"/>
      <c r="Z364" s="55"/>
      <c r="AA364" s="55"/>
      <c r="AB364" s="55"/>
      <c r="AC364" s="72">
        <v>122067.2</v>
      </c>
      <c r="AD364" s="55"/>
      <c r="AE364" s="55"/>
    </row>
    <row r="365" spans="1:31" ht="9.75" customHeight="1" x14ac:dyDescent="0.2">
      <c r="A365" s="1" t="s">
        <v>611</v>
      </c>
      <c r="B365" s="53" t="s">
        <v>612</v>
      </c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 t="s">
        <v>47</v>
      </c>
      <c r="O365" s="53"/>
      <c r="P365" s="53"/>
      <c r="Q365" s="75">
        <v>301</v>
      </c>
      <c r="R365" s="55"/>
      <c r="S365" s="55"/>
      <c r="T365" s="55"/>
      <c r="U365" s="55"/>
      <c r="V365" s="55"/>
      <c r="W365" s="66">
        <v>8.2071000000000005</v>
      </c>
      <c r="X365" s="55"/>
      <c r="Y365" s="55"/>
      <c r="Z365" s="55"/>
      <c r="AA365" s="55"/>
      <c r="AB365" s="55"/>
      <c r="AC365" s="67">
        <v>2470.34</v>
      </c>
      <c r="AD365" s="55"/>
      <c r="AE365" s="55"/>
    </row>
    <row r="366" spans="1:31" ht="9.75" customHeight="1" x14ac:dyDescent="0.2">
      <c r="A366" s="3" t="s">
        <v>613</v>
      </c>
      <c r="B366" s="68" t="s">
        <v>614</v>
      </c>
      <c r="C366" s="68"/>
      <c r="D366" s="68"/>
      <c r="E366" s="68"/>
      <c r="F366" s="68"/>
      <c r="G366" s="68"/>
      <c r="H366" s="68"/>
      <c r="I366" s="68"/>
      <c r="J366" s="68"/>
      <c r="K366" s="68"/>
      <c r="L366" s="68"/>
      <c r="M366" s="68"/>
      <c r="N366" s="68"/>
      <c r="O366" s="68"/>
      <c r="P366" s="68"/>
      <c r="Q366" s="69"/>
      <c r="R366" s="69"/>
      <c r="S366" s="69"/>
      <c r="T366" s="69"/>
      <c r="U366" s="69"/>
      <c r="V366" s="69"/>
      <c r="W366" s="69"/>
      <c r="X366" s="69"/>
      <c r="Y366" s="69"/>
      <c r="Z366" s="69"/>
      <c r="AA366" s="69"/>
      <c r="AB366" s="69"/>
      <c r="AC366" s="74">
        <v>51400.62</v>
      </c>
      <c r="AD366" s="69"/>
      <c r="AE366" s="69"/>
    </row>
    <row r="367" spans="1:31" ht="9.75" customHeight="1" x14ac:dyDescent="0.2">
      <c r="A367" s="1" t="s">
        <v>615</v>
      </c>
      <c r="B367" s="53" t="s">
        <v>616</v>
      </c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 t="s">
        <v>47</v>
      </c>
      <c r="O367" s="53"/>
      <c r="P367" s="53"/>
      <c r="Q367" s="54">
        <v>2940.11</v>
      </c>
      <c r="R367" s="55"/>
      <c r="S367" s="55"/>
      <c r="T367" s="55"/>
      <c r="U367" s="55"/>
      <c r="V367" s="55"/>
      <c r="W367" s="56">
        <v>14.909700000000001</v>
      </c>
      <c r="X367" s="55"/>
      <c r="Y367" s="55"/>
      <c r="Z367" s="55"/>
      <c r="AA367" s="55"/>
      <c r="AB367" s="55"/>
      <c r="AC367" s="57">
        <v>43836.160000000003</v>
      </c>
      <c r="AD367" s="55"/>
      <c r="AE367" s="55"/>
    </row>
    <row r="368" spans="1:31" ht="9.6" customHeight="1" x14ac:dyDescent="0.2">
      <c r="A368" s="1" t="s">
        <v>617</v>
      </c>
      <c r="B368" s="53" t="s">
        <v>618</v>
      </c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 t="s">
        <v>47</v>
      </c>
      <c r="O368" s="53"/>
      <c r="P368" s="53"/>
      <c r="Q368" s="75">
        <v>301.8</v>
      </c>
      <c r="R368" s="55"/>
      <c r="S368" s="55"/>
      <c r="T368" s="55"/>
      <c r="U368" s="55"/>
      <c r="V368" s="55"/>
      <c r="W368" s="56">
        <v>19.1569</v>
      </c>
      <c r="X368" s="55"/>
      <c r="Y368" s="55"/>
      <c r="Z368" s="55"/>
      <c r="AA368" s="55"/>
      <c r="AB368" s="55"/>
      <c r="AC368" s="67">
        <v>5781.55</v>
      </c>
      <c r="AD368" s="55"/>
      <c r="AE368" s="55"/>
    </row>
    <row r="369" spans="1:31" ht="9.75" customHeight="1" x14ac:dyDescent="0.2">
      <c r="A369" s="1" t="s">
        <v>619</v>
      </c>
      <c r="B369" s="53" t="s">
        <v>620</v>
      </c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 t="s">
        <v>47</v>
      </c>
      <c r="O369" s="53"/>
      <c r="P369" s="53"/>
      <c r="Q369" s="75">
        <v>217.24</v>
      </c>
      <c r="R369" s="55"/>
      <c r="S369" s="55"/>
      <c r="T369" s="55"/>
      <c r="U369" s="55"/>
      <c r="V369" s="55"/>
      <c r="W369" s="66">
        <v>8.2071000000000005</v>
      </c>
      <c r="X369" s="55"/>
      <c r="Y369" s="55"/>
      <c r="Z369" s="55"/>
      <c r="AA369" s="55"/>
      <c r="AB369" s="55"/>
      <c r="AC369" s="67">
        <v>1782.91</v>
      </c>
      <c r="AD369" s="55"/>
      <c r="AE369" s="55"/>
    </row>
    <row r="370" spans="1:31" ht="19.149999999999999" customHeight="1" x14ac:dyDescent="0.2">
      <c r="A370" s="3" t="s">
        <v>621</v>
      </c>
      <c r="B370" s="68" t="s">
        <v>288</v>
      </c>
      <c r="C370" s="68"/>
      <c r="D370" s="68"/>
      <c r="E370" s="68"/>
      <c r="F370" s="68"/>
      <c r="G370" s="68"/>
      <c r="H370" s="68"/>
      <c r="I370" s="68"/>
      <c r="J370" s="68"/>
      <c r="K370" s="68"/>
      <c r="L370" s="68"/>
      <c r="M370" s="68"/>
      <c r="N370" s="68"/>
      <c r="O370" s="68"/>
      <c r="P370" s="68"/>
      <c r="Q370" s="69"/>
      <c r="R370" s="69"/>
      <c r="S370" s="69"/>
      <c r="T370" s="69"/>
      <c r="U370" s="69"/>
      <c r="V370" s="69"/>
      <c r="W370" s="69"/>
      <c r="X370" s="69"/>
      <c r="Y370" s="69"/>
      <c r="Z370" s="69"/>
      <c r="AA370" s="69"/>
      <c r="AB370" s="69"/>
      <c r="AC370" s="70">
        <v>331239.5</v>
      </c>
      <c r="AD370" s="69"/>
      <c r="AE370" s="69"/>
    </row>
    <row r="371" spans="1:31" ht="9.6" customHeight="1" x14ac:dyDescent="0.2">
      <c r="A371" s="1" t="s">
        <v>622</v>
      </c>
      <c r="B371" s="53" t="s">
        <v>623</v>
      </c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 t="s">
        <v>47</v>
      </c>
      <c r="O371" s="53"/>
      <c r="P371" s="53"/>
      <c r="Q371" s="75">
        <v>233</v>
      </c>
      <c r="R371" s="55"/>
      <c r="S371" s="55"/>
      <c r="T371" s="55"/>
      <c r="U371" s="55"/>
      <c r="V371" s="55"/>
      <c r="W371" s="56">
        <v>25</v>
      </c>
      <c r="X371" s="55"/>
      <c r="Y371" s="55"/>
      <c r="Z371" s="55"/>
      <c r="AA371" s="55"/>
      <c r="AB371" s="55"/>
      <c r="AC371" s="67">
        <v>5825</v>
      </c>
      <c r="AD371" s="55"/>
      <c r="AE371" s="55"/>
    </row>
    <row r="372" spans="1:31" ht="9.6" customHeight="1" x14ac:dyDescent="0.2">
      <c r="A372" s="1" t="s">
        <v>624</v>
      </c>
      <c r="B372" s="53" t="s">
        <v>625</v>
      </c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 t="s">
        <v>47</v>
      </c>
      <c r="O372" s="53"/>
      <c r="P372" s="53"/>
      <c r="Q372" s="73">
        <v>10328.91</v>
      </c>
      <c r="R372" s="55"/>
      <c r="S372" s="55"/>
      <c r="T372" s="55"/>
      <c r="U372" s="55"/>
      <c r="V372" s="55"/>
      <c r="W372" s="56">
        <v>30</v>
      </c>
      <c r="X372" s="55"/>
      <c r="Y372" s="55"/>
      <c r="Z372" s="55"/>
      <c r="AA372" s="55"/>
      <c r="AB372" s="55"/>
      <c r="AC372" s="72">
        <v>309867.3</v>
      </c>
      <c r="AD372" s="55"/>
      <c r="AE372" s="55"/>
    </row>
    <row r="373" spans="1:31" ht="9.6" customHeight="1" x14ac:dyDescent="0.2">
      <c r="A373" s="1" t="s">
        <v>626</v>
      </c>
      <c r="B373" s="53" t="s">
        <v>627</v>
      </c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 t="s">
        <v>47</v>
      </c>
      <c r="O373" s="53"/>
      <c r="P373" s="53"/>
      <c r="Q373" s="75">
        <v>518.24</v>
      </c>
      <c r="R373" s="55"/>
      <c r="S373" s="55"/>
      <c r="T373" s="55"/>
      <c r="U373" s="55"/>
      <c r="V373" s="55"/>
      <c r="W373" s="56">
        <v>30</v>
      </c>
      <c r="X373" s="55"/>
      <c r="Y373" s="55"/>
      <c r="Z373" s="55"/>
      <c r="AA373" s="55"/>
      <c r="AB373" s="55"/>
      <c r="AC373" s="57">
        <v>15547.2</v>
      </c>
      <c r="AD373" s="55"/>
      <c r="AE373" s="55"/>
    </row>
    <row r="374" spans="1:31" ht="9.75" customHeight="1" x14ac:dyDescent="0.2">
      <c r="A374" s="3" t="s">
        <v>628</v>
      </c>
      <c r="B374" s="68" t="s">
        <v>629</v>
      </c>
      <c r="C374" s="68"/>
      <c r="D374" s="68"/>
      <c r="E374" s="68"/>
      <c r="F374" s="68"/>
      <c r="G374" s="68"/>
      <c r="H374" s="68"/>
      <c r="I374" s="68"/>
      <c r="J374" s="68"/>
      <c r="K374" s="68"/>
      <c r="L374" s="68"/>
      <c r="M374" s="68"/>
      <c r="N374" s="68"/>
      <c r="O374" s="68"/>
      <c r="P374" s="68"/>
      <c r="Q374" s="69"/>
      <c r="R374" s="69"/>
      <c r="S374" s="69"/>
      <c r="T374" s="69"/>
      <c r="U374" s="69"/>
      <c r="V374" s="69"/>
      <c r="W374" s="69"/>
      <c r="X374" s="69"/>
      <c r="Y374" s="69"/>
      <c r="Z374" s="69"/>
      <c r="AA374" s="69"/>
      <c r="AB374" s="69"/>
      <c r="AC374" s="77">
        <v>1915759.04</v>
      </c>
      <c r="AD374" s="69"/>
      <c r="AE374" s="69"/>
    </row>
    <row r="375" spans="1:31" ht="9.6" customHeight="1" x14ac:dyDescent="0.2">
      <c r="A375" s="3" t="s">
        <v>630</v>
      </c>
      <c r="B375" s="68" t="s">
        <v>629</v>
      </c>
      <c r="C375" s="68"/>
      <c r="D375" s="68"/>
      <c r="E375" s="68"/>
      <c r="F375" s="68"/>
      <c r="G375" s="68"/>
      <c r="H375" s="68"/>
      <c r="I375" s="68"/>
      <c r="J375" s="68"/>
      <c r="K375" s="68"/>
      <c r="L375" s="68"/>
      <c r="M375" s="68"/>
      <c r="N375" s="68"/>
      <c r="O375" s="68"/>
      <c r="P375" s="68"/>
      <c r="Q375" s="69"/>
      <c r="R375" s="69"/>
      <c r="S375" s="69"/>
      <c r="T375" s="69"/>
      <c r="U375" s="69"/>
      <c r="V375" s="69"/>
      <c r="W375" s="69"/>
      <c r="X375" s="69"/>
      <c r="Y375" s="69"/>
      <c r="Z375" s="69"/>
      <c r="AA375" s="69"/>
      <c r="AB375" s="69"/>
      <c r="AC375" s="77">
        <v>1915759.04</v>
      </c>
      <c r="AD375" s="69"/>
      <c r="AE375" s="69"/>
    </row>
    <row r="376" spans="1:31" ht="9.75" customHeight="1" x14ac:dyDescent="0.2">
      <c r="A376" s="3" t="s">
        <v>631</v>
      </c>
      <c r="B376" s="68" t="s">
        <v>632</v>
      </c>
      <c r="C376" s="68"/>
      <c r="D376" s="68"/>
      <c r="E376" s="68"/>
      <c r="F376" s="68"/>
      <c r="G376" s="68"/>
      <c r="H376" s="68"/>
      <c r="I376" s="68"/>
      <c r="J376" s="68"/>
      <c r="K376" s="68"/>
      <c r="L376" s="68"/>
      <c r="M376" s="68"/>
      <c r="N376" s="68"/>
      <c r="O376" s="68"/>
      <c r="P376" s="68"/>
      <c r="Q376" s="69"/>
      <c r="R376" s="69"/>
      <c r="S376" s="69"/>
      <c r="T376" s="69"/>
      <c r="U376" s="69"/>
      <c r="V376" s="69"/>
      <c r="W376" s="69"/>
      <c r="X376" s="69"/>
      <c r="Y376" s="69"/>
      <c r="Z376" s="69"/>
      <c r="AA376" s="69"/>
      <c r="AB376" s="69"/>
      <c r="AC376" s="78">
        <v>1530.04</v>
      </c>
      <c r="AD376" s="69"/>
      <c r="AE376" s="69"/>
    </row>
    <row r="377" spans="1:31" ht="9.75" customHeight="1" x14ac:dyDescent="0.2">
      <c r="A377" s="1" t="s">
        <v>633</v>
      </c>
      <c r="B377" s="53" t="s">
        <v>634</v>
      </c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 t="s">
        <v>39</v>
      </c>
      <c r="O377" s="53"/>
      <c r="P377" s="53"/>
      <c r="Q377" s="54">
        <v>1568.31</v>
      </c>
      <c r="R377" s="55"/>
      <c r="S377" s="55"/>
      <c r="T377" s="55"/>
      <c r="U377" s="55"/>
      <c r="V377" s="55"/>
      <c r="W377" s="66">
        <v>0.97560000000000002</v>
      </c>
      <c r="X377" s="55"/>
      <c r="Y377" s="55"/>
      <c r="Z377" s="55"/>
      <c r="AA377" s="55"/>
      <c r="AB377" s="55"/>
      <c r="AC377" s="67">
        <v>1530.04</v>
      </c>
      <c r="AD377" s="55"/>
      <c r="AE377" s="55"/>
    </row>
    <row r="378" spans="1:31" ht="9.75" customHeight="1" x14ac:dyDescent="0.2">
      <c r="A378" s="3" t="s">
        <v>635</v>
      </c>
      <c r="B378" s="68" t="s">
        <v>636</v>
      </c>
      <c r="C378" s="68"/>
      <c r="D378" s="68"/>
      <c r="E378" s="68"/>
      <c r="F378" s="68"/>
      <c r="G378" s="68"/>
      <c r="H378" s="68"/>
      <c r="I378" s="68"/>
      <c r="J378" s="68"/>
      <c r="K378" s="68"/>
      <c r="L378" s="68"/>
      <c r="M378" s="68"/>
      <c r="N378" s="68"/>
      <c r="O378" s="68"/>
      <c r="P378" s="68"/>
      <c r="Q378" s="69"/>
      <c r="R378" s="69"/>
      <c r="S378" s="69"/>
      <c r="T378" s="69"/>
      <c r="U378" s="69"/>
      <c r="V378" s="69"/>
      <c r="W378" s="69"/>
      <c r="X378" s="69"/>
      <c r="Y378" s="69"/>
      <c r="Z378" s="69"/>
      <c r="AA378" s="69"/>
      <c r="AB378" s="69"/>
      <c r="AC378" s="77">
        <v>1010268.54</v>
      </c>
      <c r="AD378" s="69"/>
      <c r="AE378" s="69"/>
    </row>
    <row r="379" spans="1:31" ht="19.149999999999999" customHeight="1" x14ac:dyDescent="0.2">
      <c r="A379" s="1" t="s">
        <v>637</v>
      </c>
      <c r="B379" s="53" t="s">
        <v>638</v>
      </c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 t="s">
        <v>47</v>
      </c>
      <c r="O379" s="53"/>
      <c r="P379" s="53"/>
      <c r="Q379" s="56">
        <v>90.9</v>
      </c>
      <c r="R379" s="55"/>
      <c r="S379" s="55"/>
      <c r="T379" s="55"/>
      <c r="U379" s="55"/>
      <c r="V379" s="55"/>
      <c r="W379" s="54">
        <v>1024.6099999999999</v>
      </c>
      <c r="X379" s="55"/>
      <c r="Y379" s="55"/>
      <c r="Z379" s="55"/>
      <c r="AA379" s="55"/>
      <c r="AB379" s="55"/>
      <c r="AC379" s="57">
        <v>93137.05</v>
      </c>
      <c r="AD379" s="55"/>
      <c r="AE379" s="55"/>
    </row>
    <row r="380" spans="1:31" ht="9.6" customHeight="1" x14ac:dyDescent="0.2">
      <c r="A380" s="1" t="s">
        <v>639</v>
      </c>
      <c r="B380" s="53" t="s">
        <v>640</v>
      </c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 t="s">
        <v>47</v>
      </c>
      <c r="O380" s="53"/>
      <c r="P380" s="53"/>
      <c r="Q380" s="75">
        <v>765.18</v>
      </c>
      <c r="R380" s="55"/>
      <c r="S380" s="55"/>
      <c r="T380" s="55"/>
      <c r="U380" s="55"/>
      <c r="V380" s="55"/>
      <c r="W380" s="54">
        <v>1165.47</v>
      </c>
      <c r="X380" s="55"/>
      <c r="Y380" s="55"/>
      <c r="Z380" s="55"/>
      <c r="AA380" s="55"/>
      <c r="AB380" s="55"/>
      <c r="AC380" s="72">
        <v>891794.33</v>
      </c>
      <c r="AD380" s="55"/>
      <c r="AE380" s="55"/>
    </row>
    <row r="381" spans="1:31" ht="9.6" customHeight="1" x14ac:dyDescent="0.2">
      <c r="A381" s="1" t="s">
        <v>641</v>
      </c>
      <c r="B381" s="53" t="s">
        <v>642</v>
      </c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 t="s">
        <v>47</v>
      </c>
      <c r="O381" s="53"/>
      <c r="P381" s="53"/>
      <c r="Q381" s="56">
        <v>16.25</v>
      </c>
      <c r="R381" s="55"/>
      <c r="S381" s="55"/>
      <c r="T381" s="55"/>
      <c r="U381" s="55"/>
      <c r="V381" s="55"/>
      <c r="W381" s="54">
        <v>1559.21</v>
      </c>
      <c r="X381" s="55"/>
      <c r="Y381" s="55"/>
      <c r="Z381" s="55"/>
      <c r="AA381" s="55"/>
      <c r="AB381" s="55"/>
      <c r="AC381" s="57">
        <v>25337.16</v>
      </c>
      <c r="AD381" s="55"/>
      <c r="AE381" s="55"/>
    </row>
    <row r="382" spans="1:31" ht="19.149999999999999" customHeight="1" x14ac:dyDescent="0.2">
      <c r="A382" s="3" t="s">
        <v>643</v>
      </c>
      <c r="B382" s="68" t="s">
        <v>644</v>
      </c>
      <c r="C382" s="68"/>
      <c r="D382" s="68"/>
      <c r="E382" s="68"/>
      <c r="F382" s="68"/>
      <c r="G382" s="68"/>
      <c r="H382" s="68"/>
      <c r="I382" s="68"/>
      <c r="J382" s="68"/>
      <c r="K382" s="68"/>
      <c r="L382" s="68"/>
      <c r="M382" s="68"/>
      <c r="N382" s="68"/>
      <c r="O382" s="68"/>
      <c r="P382" s="68"/>
      <c r="Q382" s="69"/>
      <c r="R382" s="69"/>
      <c r="S382" s="69"/>
      <c r="T382" s="69"/>
      <c r="U382" s="69"/>
      <c r="V382" s="69"/>
      <c r="W382" s="69"/>
      <c r="X382" s="69"/>
      <c r="Y382" s="69"/>
      <c r="Z382" s="69"/>
      <c r="AA382" s="69"/>
      <c r="AB382" s="69"/>
      <c r="AC382" s="70">
        <v>102893.65</v>
      </c>
      <c r="AD382" s="69"/>
      <c r="AE382" s="69"/>
    </row>
    <row r="383" spans="1:31" ht="19.149999999999999" customHeight="1" x14ac:dyDescent="0.2">
      <c r="A383" s="1" t="s">
        <v>645</v>
      </c>
      <c r="B383" s="53" t="s">
        <v>646</v>
      </c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 t="s">
        <v>158</v>
      </c>
      <c r="O383" s="53"/>
      <c r="P383" s="53"/>
      <c r="Q383" s="75">
        <v>107</v>
      </c>
      <c r="R383" s="55"/>
      <c r="S383" s="55"/>
      <c r="T383" s="55"/>
      <c r="U383" s="55"/>
      <c r="V383" s="55"/>
      <c r="W383" s="75">
        <v>305.89960000000002</v>
      </c>
      <c r="X383" s="55"/>
      <c r="Y383" s="55"/>
      <c r="Z383" s="55"/>
      <c r="AA383" s="55"/>
      <c r="AB383" s="55"/>
      <c r="AC383" s="57">
        <v>32731.26</v>
      </c>
      <c r="AD383" s="55"/>
      <c r="AE383" s="55"/>
    </row>
    <row r="384" spans="1:31" ht="19.149999999999999" customHeight="1" x14ac:dyDescent="0.2">
      <c r="A384" s="1" t="s">
        <v>647</v>
      </c>
      <c r="B384" s="53" t="s">
        <v>648</v>
      </c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 t="s">
        <v>158</v>
      </c>
      <c r="O384" s="53"/>
      <c r="P384" s="53"/>
      <c r="Q384" s="75">
        <v>129</v>
      </c>
      <c r="R384" s="55"/>
      <c r="S384" s="55"/>
      <c r="T384" s="55"/>
      <c r="U384" s="55"/>
      <c r="V384" s="55"/>
      <c r="W384" s="75">
        <v>438.3596</v>
      </c>
      <c r="X384" s="55"/>
      <c r="Y384" s="55"/>
      <c r="Z384" s="55"/>
      <c r="AA384" s="55"/>
      <c r="AB384" s="55"/>
      <c r="AC384" s="57">
        <v>56548.39</v>
      </c>
      <c r="AD384" s="55"/>
      <c r="AE384" s="55"/>
    </row>
    <row r="385" spans="1:31" ht="19.149999999999999" customHeight="1" x14ac:dyDescent="0.2">
      <c r="A385" s="1" t="s">
        <v>649</v>
      </c>
      <c r="B385" s="53" t="s">
        <v>650</v>
      </c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 t="s">
        <v>158</v>
      </c>
      <c r="O385" s="53"/>
      <c r="P385" s="53"/>
      <c r="Q385" s="56">
        <v>14</v>
      </c>
      <c r="R385" s="55"/>
      <c r="S385" s="55"/>
      <c r="T385" s="55"/>
      <c r="U385" s="55"/>
      <c r="V385" s="55"/>
      <c r="W385" s="75">
        <v>688.37959999999998</v>
      </c>
      <c r="X385" s="55"/>
      <c r="Y385" s="55"/>
      <c r="Z385" s="55"/>
      <c r="AA385" s="55"/>
      <c r="AB385" s="55"/>
      <c r="AC385" s="67">
        <v>9637.31</v>
      </c>
      <c r="AD385" s="55"/>
      <c r="AE385" s="55"/>
    </row>
    <row r="386" spans="1:31" ht="9.75" customHeight="1" x14ac:dyDescent="0.2">
      <c r="A386" s="1" t="s">
        <v>651</v>
      </c>
      <c r="B386" s="53" t="s">
        <v>652</v>
      </c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 t="s">
        <v>158</v>
      </c>
      <c r="O386" s="53"/>
      <c r="P386" s="53"/>
      <c r="Q386" s="56">
        <v>13</v>
      </c>
      <c r="R386" s="55"/>
      <c r="S386" s="55"/>
      <c r="T386" s="55"/>
      <c r="U386" s="55"/>
      <c r="V386" s="55"/>
      <c r="W386" s="75">
        <v>305.89960000000002</v>
      </c>
      <c r="X386" s="55"/>
      <c r="Y386" s="55"/>
      <c r="Z386" s="55"/>
      <c r="AA386" s="55"/>
      <c r="AB386" s="55"/>
      <c r="AC386" s="67">
        <v>3976.69</v>
      </c>
      <c r="AD386" s="55"/>
      <c r="AE386" s="55"/>
    </row>
    <row r="387" spans="1:31" ht="9.6" customHeight="1" x14ac:dyDescent="0.2">
      <c r="A387" s="3" t="s">
        <v>653</v>
      </c>
      <c r="B387" s="68" t="s">
        <v>654</v>
      </c>
      <c r="C387" s="68"/>
      <c r="D387" s="68"/>
      <c r="E387" s="68"/>
      <c r="F387" s="68"/>
      <c r="G387" s="68"/>
      <c r="H387" s="68"/>
      <c r="I387" s="68"/>
      <c r="J387" s="68"/>
      <c r="K387" s="68"/>
      <c r="L387" s="68"/>
      <c r="M387" s="68"/>
      <c r="N387" s="68"/>
      <c r="O387" s="68"/>
      <c r="P387" s="68"/>
      <c r="Q387" s="69"/>
      <c r="R387" s="69"/>
      <c r="S387" s="69"/>
      <c r="T387" s="69"/>
      <c r="U387" s="69"/>
      <c r="V387" s="69"/>
      <c r="W387" s="69"/>
      <c r="X387" s="69"/>
      <c r="Y387" s="69"/>
      <c r="Z387" s="69"/>
      <c r="AA387" s="69"/>
      <c r="AB387" s="69"/>
      <c r="AC387" s="70">
        <v>226588</v>
      </c>
      <c r="AD387" s="69"/>
      <c r="AE387" s="69"/>
    </row>
    <row r="388" spans="1:31" ht="9.6" customHeight="1" x14ac:dyDescent="0.2">
      <c r="A388" s="1" t="s">
        <v>655</v>
      </c>
      <c r="B388" s="53" t="s">
        <v>656</v>
      </c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 t="s">
        <v>158</v>
      </c>
      <c r="O388" s="53"/>
      <c r="P388" s="53"/>
      <c r="Q388" s="56">
        <v>17</v>
      </c>
      <c r="R388" s="55"/>
      <c r="S388" s="55"/>
      <c r="T388" s="55"/>
      <c r="U388" s="55"/>
      <c r="V388" s="55"/>
      <c r="W388" s="54">
        <v>3250</v>
      </c>
      <c r="X388" s="55"/>
      <c r="Y388" s="55"/>
      <c r="Z388" s="55"/>
      <c r="AA388" s="55"/>
      <c r="AB388" s="55"/>
      <c r="AC388" s="57">
        <v>55250</v>
      </c>
      <c r="AD388" s="55"/>
      <c r="AE388" s="55"/>
    </row>
    <row r="389" spans="1:31" ht="9.6" customHeight="1" x14ac:dyDescent="0.2">
      <c r="A389" s="1" t="s">
        <v>657</v>
      </c>
      <c r="B389" s="53" t="s">
        <v>658</v>
      </c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 t="s">
        <v>158</v>
      </c>
      <c r="O389" s="53"/>
      <c r="P389" s="53"/>
      <c r="Q389" s="66">
        <v>2</v>
      </c>
      <c r="R389" s="55"/>
      <c r="S389" s="55"/>
      <c r="T389" s="55"/>
      <c r="U389" s="55"/>
      <c r="V389" s="55"/>
      <c r="W389" s="54">
        <v>3250</v>
      </c>
      <c r="X389" s="55"/>
      <c r="Y389" s="55"/>
      <c r="Z389" s="55"/>
      <c r="AA389" s="55"/>
      <c r="AB389" s="55"/>
      <c r="AC389" s="67">
        <v>6500</v>
      </c>
      <c r="AD389" s="55"/>
      <c r="AE389" s="55"/>
    </row>
    <row r="390" spans="1:31" ht="9.75" customHeight="1" x14ac:dyDescent="0.2">
      <c r="A390" s="1" t="s">
        <v>659</v>
      </c>
      <c r="B390" s="53" t="s">
        <v>660</v>
      </c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 t="s">
        <v>158</v>
      </c>
      <c r="O390" s="53"/>
      <c r="P390" s="53"/>
      <c r="Q390" s="56">
        <v>14</v>
      </c>
      <c r="R390" s="55"/>
      <c r="S390" s="55"/>
      <c r="T390" s="55"/>
      <c r="U390" s="55"/>
      <c r="V390" s="55"/>
      <c r="W390" s="54">
        <v>5500</v>
      </c>
      <c r="X390" s="55"/>
      <c r="Y390" s="55"/>
      <c r="Z390" s="55"/>
      <c r="AA390" s="55"/>
      <c r="AB390" s="55"/>
      <c r="AC390" s="57">
        <v>77000</v>
      </c>
      <c r="AD390" s="55"/>
      <c r="AE390" s="55"/>
    </row>
    <row r="391" spans="1:31" ht="9.6" customHeight="1" x14ac:dyDescent="0.2">
      <c r="A391" s="1" t="s">
        <v>661</v>
      </c>
      <c r="B391" s="53" t="s">
        <v>662</v>
      </c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 t="s">
        <v>158</v>
      </c>
      <c r="O391" s="53"/>
      <c r="P391" s="53"/>
      <c r="Q391" s="56">
        <v>14</v>
      </c>
      <c r="R391" s="55"/>
      <c r="S391" s="55"/>
      <c r="T391" s="55"/>
      <c r="U391" s="55"/>
      <c r="V391" s="55"/>
      <c r="W391" s="54">
        <v>5750</v>
      </c>
      <c r="X391" s="55"/>
      <c r="Y391" s="55"/>
      <c r="Z391" s="55"/>
      <c r="AA391" s="55"/>
      <c r="AB391" s="55"/>
      <c r="AC391" s="57">
        <v>80500</v>
      </c>
      <c r="AD391" s="55"/>
      <c r="AE391" s="55"/>
    </row>
    <row r="392" spans="1:31" ht="9.75" customHeight="1" x14ac:dyDescent="0.2">
      <c r="A392" s="1" t="s">
        <v>663</v>
      </c>
      <c r="B392" s="53" t="s">
        <v>664</v>
      </c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 t="s">
        <v>158</v>
      </c>
      <c r="O392" s="53"/>
      <c r="P392" s="53"/>
      <c r="Q392" s="66">
        <v>3</v>
      </c>
      <c r="R392" s="55"/>
      <c r="S392" s="55"/>
      <c r="T392" s="55"/>
      <c r="U392" s="55"/>
      <c r="V392" s="55"/>
      <c r="W392" s="75">
        <v>486</v>
      </c>
      <c r="X392" s="55"/>
      <c r="Y392" s="55"/>
      <c r="Z392" s="55"/>
      <c r="AA392" s="55"/>
      <c r="AB392" s="55"/>
      <c r="AC392" s="67">
        <v>1458</v>
      </c>
      <c r="AD392" s="55"/>
      <c r="AE392" s="55"/>
    </row>
    <row r="393" spans="1:31" ht="19.149999999999999" customHeight="1" x14ac:dyDescent="0.2">
      <c r="A393" s="1" t="s">
        <v>665</v>
      </c>
      <c r="B393" s="53" t="s">
        <v>666</v>
      </c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 t="s">
        <v>158</v>
      </c>
      <c r="O393" s="53"/>
      <c r="P393" s="53"/>
      <c r="Q393" s="66">
        <v>4</v>
      </c>
      <c r="R393" s="55"/>
      <c r="S393" s="55"/>
      <c r="T393" s="55"/>
      <c r="U393" s="55"/>
      <c r="V393" s="55"/>
      <c r="W393" s="75">
        <v>140</v>
      </c>
      <c r="X393" s="55"/>
      <c r="Y393" s="55"/>
      <c r="Z393" s="55"/>
      <c r="AA393" s="55"/>
      <c r="AB393" s="55"/>
      <c r="AC393" s="76">
        <v>560</v>
      </c>
      <c r="AD393" s="55"/>
      <c r="AE393" s="55"/>
    </row>
    <row r="394" spans="1:31" ht="19.149999999999999" customHeight="1" x14ac:dyDescent="0.2">
      <c r="A394" s="1" t="s">
        <v>667</v>
      </c>
      <c r="B394" s="53" t="s">
        <v>668</v>
      </c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 t="s">
        <v>158</v>
      </c>
      <c r="O394" s="53"/>
      <c r="P394" s="53"/>
      <c r="Q394" s="56">
        <v>24</v>
      </c>
      <c r="R394" s="55"/>
      <c r="S394" s="55"/>
      <c r="T394" s="55"/>
      <c r="U394" s="55"/>
      <c r="V394" s="55"/>
      <c r="W394" s="75">
        <v>180</v>
      </c>
      <c r="X394" s="55"/>
      <c r="Y394" s="55"/>
      <c r="Z394" s="55"/>
      <c r="AA394" s="55"/>
      <c r="AB394" s="55"/>
      <c r="AC394" s="67">
        <v>4320</v>
      </c>
      <c r="AD394" s="55"/>
      <c r="AE394" s="55"/>
    </row>
    <row r="395" spans="1:31" ht="19.149999999999999" customHeight="1" x14ac:dyDescent="0.2">
      <c r="A395" s="1" t="s">
        <v>669</v>
      </c>
      <c r="B395" s="53" t="s">
        <v>670</v>
      </c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 t="s">
        <v>27</v>
      </c>
      <c r="O395" s="53"/>
      <c r="P395" s="53"/>
      <c r="Q395" s="66">
        <v>1</v>
      </c>
      <c r="R395" s="55"/>
      <c r="S395" s="55"/>
      <c r="T395" s="55"/>
      <c r="U395" s="55"/>
      <c r="V395" s="55"/>
      <c r="W395" s="54">
        <v>1000</v>
      </c>
      <c r="X395" s="55"/>
      <c r="Y395" s="55"/>
      <c r="Z395" s="55"/>
      <c r="AA395" s="55"/>
      <c r="AB395" s="55"/>
      <c r="AC395" s="67">
        <v>1000</v>
      </c>
      <c r="AD395" s="55"/>
      <c r="AE395" s="55"/>
    </row>
    <row r="396" spans="1:31" ht="9.75" customHeight="1" x14ac:dyDescent="0.2">
      <c r="A396" s="3" t="s">
        <v>671</v>
      </c>
      <c r="B396" s="68" t="s">
        <v>672</v>
      </c>
      <c r="C396" s="68"/>
      <c r="D396" s="68"/>
      <c r="E396" s="68"/>
      <c r="F396" s="68"/>
      <c r="G396" s="68"/>
      <c r="H396" s="68"/>
      <c r="I396" s="68"/>
      <c r="J396" s="68"/>
      <c r="K396" s="68"/>
      <c r="L396" s="68"/>
      <c r="M396" s="68"/>
      <c r="N396" s="68"/>
      <c r="O396" s="68"/>
      <c r="P396" s="68"/>
      <c r="Q396" s="69"/>
      <c r="R396" s="69"/>
      <c r="S396" s="69"/>
      <c r="T396" s="69"/>
      <c r="U396" s="69"/>
      <c r="V396" s="69"/>
      <c r="W396" s="69"/>
      <c r="X396" s="69"/>
      <c r="Y396" s="69"/>
      <c r="Z396" s="69"/>
      <c r="AA396" s="69"/>
      <c r="AB396" s="69"/>
      <c r="AC396" s="74">
        <v>27086.95</v>
      </c>
      <c r="AD396" s="69"/>
      <c r="AE396" s="69"/>
    </row>
    <row r="397" spans="1:31" ht="9.6" customHeight="1" x14ac:dyDescent="0.2">
      <c r="A397" s="1" t="s">
        <v>673</v>
      </c>
      <c r="B397" s="53" t="s">
        <v>674</v>
      </c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 t="s">
        <v>39</v>
      </c>
      <c r="O397" s="53"/>
      <c r="P397" s="53"/>
      <c r="Q397" s="75">
        <v>265.41000000000003</v>
      </c>
      <c r="R397" s="55"/>
      <c r="S397" s="55"/>
      <c r="T397" s="55"/>
      <c r="U397" s="55"/>
      <c r="V397" s="55"/>
      <c r="W397" s="56">
        <v>95</v>
      </c>
      <c r="X397" s="55"/>
      <c r="Y397" s="55"/>
      <c r="Z397" s="55"/>
      <c r="AA397" s="55"/>
      <c r="AB397" s="55"/>
      <c r="AC397" s="57">
        <v>25213.95</v>
      </c>
      <c r="AD397" s="55"/>
      <c r="AE397" s="55"/>
    </row>
    <row r="398" spans="1:31" ht="9.75" customHeight="1" x14ac:dyDescent="0.2">
      <c r="A398" s="1" t="s">
        <v>675</v>
      </c>
      <c r="B398" s="53" t="s">
        <v>676</v>
      </c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 t="s">
        <v>39</v>
      </c>
      <c r="O398" s="53"/>
      <c r="P398" s="53"/>
      <c r="Q398" s="75">
        <v>265.41000000000003</v>
      </c>
      <c r="R398" s="55"/>
      <c r="S398" s="55"/>
      <c r="T398" s="55"/>
      <c r="U398" s="55"/>
      <c r="V398" s="55"/>
      <c r="W398" s="66">
        <v>7.0570000000000004</v>
      </c>
      <c r="X398" s="55"/>
      <c r="Y398" s="55"/>
      <c r="Z398" s="55"/>
      <c r="AA398" s="55"/>
      <c r="AB398" s="55"/>
      <c r="AC398" s="67">
        <v>1873</v>
      </c>
      <c r="AD398" s="55"/>
      <c r="AE398" s="55"/>
    </row>
    <row r="399" spans="1:31" ht="9.6" customHeight="1" x14ac:dyDescent="0.2">
      <c r="A399" s="3" t="s">
        <v>677</v>
      </c>
      <c r="B399" s="68" t="s">
        <v>678</v>
      </c>
      <c r="C399" s="68"/>
      <c r="D399" s="68"/>
      <c r="E399" s="68"/>
      <c r="F399" s="68"/>
      <c r="G399" s="68"/>
      <c r="H399" s="68"/>
      <c r="I399" s="68"/>
      <c r="J399" s="68"/>
      <c r="K399" s="68"/>
      <c r="L399" s="68"/>
      <c r="M399" s="68"/>
      <c r="N399" s="68"/>
      <c r="O399" s="68"/>
      <c r="P399" s="68"/>
      <c r="Q399" s="69"/>
      <c r="R399" s="69"/>
      <c r="S399" s="69"/>
      <c r="T399" s="69"/>
      <c r="U399" s="69"/>
      <c r="V399" s="69"/>
      <c r="W399" s="69"/>
      <c r="X399" s="69"/>
      <c r="Y399" s="69"/>
      <c r="Z399" s="69"/>
      <c r="AA399" s="69"/>
      <c r="AB399" s="69"/>
      <c r="AC399" s="70">
        <v>496874</v>
      </c>
      <c r="AD399" s="69"/>
      <c r="AE399" s="69"/>
    </row>
    <row r="400" spans="1:31" ht="9.6" customHeight="1" x14ac:dyDescent="0.2">
      <c r="A400" s="1" t="s">
        <v>679</v>
      </c>
      <c r="B400" s="53" t="s">
        <v>680</v>
      </c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 t="s">
        <v>47</v>
      </c>
      <c r="O400" s="53"/>
      <c r="P400" s="53"/>
      <c r="Q400" s="75">
        <v>346.73</v>
      </c>
      <c r="R400" s="55"/>
      <c r="S400" s="55"/>
      <c r="T400" s="55"/>
      <c r="U400" s="55"/>
      <c r="V400" s="55"/>
      <c r="W400" s="54">
        <v>1000</v>
      </c>
      <c r="X400" s="55"/>
      <c r="Y400" s="55"/>
      <c r="Z400" s="55"/>
      <c r="AA400" s="55"/>
      <c r="AB400" s="55"/>
      <c r="AC400" s="72">
        <v>346730</v>
      </c>
      <c r="AD400" s="55"/>
      <c r="AE400" s="55"/>
    </row>
    <row r="401" spans="1:31" ht="9.6" customHeight="1" x14ac:dyDescent="0.2">
      <c r="A401" s="1" t="s">
        <v>681</v>
      </c>
      <c r="B401" s="53" t="s">
        <v>682</v>
      </c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 t="s">
        <v>47</v>
      </c>
      <c r="O401" s="53"/>
      <c r="P401" s="53"/>
      <c r="Q401" s="75">
        <v>176.64</v>
      </c>
      <c r="R401" s="55"/>
      <c r="S401" s="55"/>
      <c r="T401" s="55"/>
      <c r="U401" s="55"/>
      <c r="V401" s="55"/>
      <c r="W401" s="75">
        <v>850</v>
      </c>
      <c r="X401" s="55"/>
      <c r="Y401" s="55"/>
      <c r="Z401" s="55"/>
      <c r="AA401" s="55"/>
      <c r="AB401" s="55"/>
      <c r="AC401" s="72">
        <v>150144</v>
      </c>
      <c r="AD401" s="55"/>
      <c r="AE401" s="55"/>
    </row>
    <row r="402" spans="1:31" ht="9.6" customHeight="1" x14ac:dyDescent="0.2">
      <c r="A402" s="3" t="s">
        <v>683</v>
      </c>
      <c r="B402" s="68" t="s">
        <v>684</v>
      </c>
      <c r="C402" s="68"/>
      <c r="D402" s="68"/>
      <c r="E402" s="68"/>
      <c r="F402" s="68"/>
      <c r="G402" s="68"/>
      <c r="H402" s="68"/>
      <c r="I402" s="68"/>
      <c r="J402" s="68"/>
      <c r="K402" s="68"/>
      <c r="L402" s="68"/>
      <c r="M402" s="68"/>
      <c r="N402" s="68"/>
      <c r="O402" s="68"/>
      <c r="P402" s="68"/>
      <c r="Q402" s="69"/>
      <c r="R402" s="69"/>
      <c r="S402" s="69"/>
      <c r="T402" s="69"/>
      <c r="U402" s="69"/>
      <c r="V402" s="69"/>
      <c r="W402" s="69"/>
      <c r="X402" s="69"/>
      <c r="Y402" s="69"/>
      <c r="Z402" s="69"/>
      <c r="AA402" s="69"/>
      <c r="AB402" s="69"/>
      <c r="AC402" s="74">
        <v>29477.86</v>
      </c>
      <c r="AD402" s="69"/>
      <c r="AE402" s="69"/>
    </row>
    <row r="403" spans="1:31" ht="9.6" customHeight="1" x14ac:dyDescent="0.2">
      <c r="A403" s="1" t="s">
        <v>685</v>
      </c>
      <c r="B403" s="53" t="s">
        <v>686</v>
      </c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 t="s">
        <v>158</v>
      </c>
      <c r="O403" s="53"/>
      <c r="P403" s="53"/>
      <c r="Q403" s="75">
        <v>789</v>
      </c>
      <c r="R403" s="55"/>
      <c r="S403" s="55"/>
      <c r="T403" s="55"/>
      <c r="U403" s="55"/>
      <c r="V403" s="55"/>
      <c r="W403" s="66">
        <v>9.9700000000000006</v>
      </c>
      <c r="X403" s="55"/>
      <c r="Y403" s="55"/>
      <c r="Z403" s="55"/>
      <c r="AA403" s="55"/>
      <c r="AB403" s="55"/>
      <c r="AC403" s="67">
        <v>7866.33</v>
      </c>
      <c r="AD403" s="55"/>
      <c r="AE403" s="55"/>
    </row>
    <row r="404" spans="1:31" ht="9.6" customHeight="1" x14ac:dyDescent="0.2">
      <c r="A404" s="1" t="s">
        <v>687</v>
      </c>
      <c r="B404" s="53" t="s">
        <v>688</v>
      </c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 t="s">
        <v>158</v>
      </c>
      <c r="O404" s="53"/>
      <c r="P404" s="53"/>
      <c r="Q404" s="75">
        <v>129</v>
      </c>
      <c r="R404" s="55"/>
      <c r="S404" s="55"/>
      <c r="T404" s="55"/>
      <c r="U404" s="55"/>
      <c r="V404" s="55"/>
      <c r="W404" s="75">
        <v>110.68</v>
      </c>
      <c r="X404" s="55"/>
      <c r="Y404" s="55"/>
      <c r="Z404" s="55"/>
      <c r="AA404" s="55"/>
      <c r="AB404" s="55"/>
      <c r="AC404" s="57">
        <v>14277.72</v>
      </c>
      <c r="AD404" s="55"/>
      <c r="AE404" s="55"/>
    </row>
    <row r="405" spans="1:31" ht="9.6" customHeight="1" x14ac:dyDescent="0.2">
      <c r="A405" s="1" t="s">
        <v>689</v>
      </c>
      <c r="B405" s="53" t="s">
        <v>690</v>
      </c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 t="s">
        <v>158</v>
      </c>
      <c r="O405" s="53"/>
      <c r="P405" s="53"/>
      <c r="Q405" s="75">
        <v>121</v>
      </c>
      <c r="R405" s="55"/>
      <c r="S405" s="55"/>
      <c r="T405" s="55"/>
      <c r="U405" s="55"/>
      <c r="V405" s="55"/>
      <c r="W405" s="56">
        <v>60.61</v>
      </c>
      <c r="X405" s="55"/>
      <c r="Y405" s="55"/>
      <c r="Z405" s="55"/>
      <c r="AA405" s="55"/>
      <c r="AB405" s="55"/>
      <c r="AC405" s="67">
        <v>7333.81</v>
      </c>
      <c r="AD405" s="55"/>
      <c r="AE405" s="55"/>
    </row>
    <row r="406" spans="1:31" ht="9.75" customHeight="1" x14ac:dyDescent="0.2">
      <c r="A406" s="3" t="s">
        <v>691</v>
      </c>
      <c r="B406" s="68" t="s">
        <v>288</v>
      </c>
      <c r="C406" s="68"/>
      <c r="D406" s="68"/>
      <c r="E406" s="68"/>
      <c r="F406" s="68"/>
      <c r="G406" s="68"/>
      <c r="H406" s="68"/>
      <c r="I406" s="68"/>
      <c r="J406" s="68"/>
      <c r="K406" s="68"/>
      <c r="L406" s="68"/>
      <c r="M406" s="68"/>
      <c r="N406" s="68"/>
      <c r="O406" s="68"/>
      <c r="P406" s="68"/>
      <c r="Q406" s="69"/>
      <c r="R406" s="69"/>
      <c r="S406" s="69"/>
      <c r="T406" s="69"/>
      <c r="U406" s="69"/>
      <c r="V406" s="69"/>
      <c r="W406" s="69"/>
      <c r="X406" s="69"/>
      <c r="Y406" s="69"/>
      <c r="Z406" s="69"/>
      <c r="AA406" s="69"/>
      <c r="AB406" s="69"/>
      <c r="AC406" s="74">
        <v>21040</v>
      </c>
      <c r="AD406" s="69"/>
      <c r="AE406" s="69"/>
    </row>
    <row r="407" spans="1:31" ht="9.75" customHeight="1" x14ac:dyDescent="0.2">
      <c r="A407" s="1" t="s">
        <v>692</v>
      </c>
      <c r="B407" s="53" t="s">
        <v>693</v>
      </c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 t="s">
        <v>158</v>
      </c>
      <c r="O407" s="53"/>
      <c r="P407" s="53"/>
      <c r="Q407" s="75">
        <v>263</v>
      </c>
      <c r="R407" s="55"/>
      <c r="S407" s="55"/>
      <c r="T407" s="55"/>
      <c r="U407" s="55"/>
      <c r="V407" s="55"/>
      <c r="W407" s="56">
        <v>80</v>
      </c>
      <c r="X407" s="55"/>
      <c r="Y407" s="55"/>
      <c r="Z407" s="55"/>
      <c r="AA407" s="55"/>
      <c r="AB407" s="55"/>
      <c r="AC407" s="57">
        <v>21040</v>
      </c>
      <c r="AD407" s="55"/>
      <c r="AE407" s="55"/>
    </row>
    <row r="408" spans="1:31" ht="9.75" customHeight="1" x14ac:dyDescent="0.2">
      <c r="A408" s="3" t="s">
        <v>694</v>
      </c>
      <c r="B408" s="68" t="s">
        <v>695</v>
      </c>
      <c r="C408" s="68"/>
      <c r="D408" s="68"/>
      <c r="E408" s="68"/>
      <c r="F408" s="68"/>
      <c r="G408" s="68"/>
      <c r="H408" s="68"/>
      <c r="I408" s="68"/>
      <c r="J408" s="68"/>
      <c r="K408" s="68"/>
      <c r="L408" s="68"/>
      <c r="M408" s="68"/>
      <c r="N408" s="68"/>
      <c r="O408" s="68"/>
      <c r="P408" s="68"/>
      <c r="Q408" s="69"/>
      <c r="R408" s="69"/>
      <c r="S408" s="69"/>
      <c r="T408" s="69"/>
      <c r="U408" s="69"/>
      <c r="V408" s="69"/>
      <c r="W408" s="69"/>
      <c r="X408" s="69"/>
      <c r="Y408" s="69"/>
      <c r="Z408" s="69"/>
      <c r="AA408" s="69"/>
      <c r="AB408" s="69"/>
      <c r="AC408" s="70">
        <v>256815.37</v>
      </c>
      <c r="AD408" s="69"/>
      <c r="AE408" s="69"/>
    </row>
    <row r="409" spans="1:31" ht="9.6" customHeight="1" x14ac:dyDescent="0.2">
      <c r="A409" s="3" t="s">
        <v>696</v>
      </c>
      <c r="B409" s="68" t="s">
        <v>695</v>
      </c>
      <c r="C409" s="68"/>
      <c r="D409" s="68"/>
      <c r="E409" s="68"/>
      <c r="F409" s="68"/>
      <c r="G409" s="68"/>
      <c r="H409" s="68"/>
      <c r="I409" s="68"/>
      <c r="J409" s="68"/>
      <c r="K409" s="68"/>
      <c r="L409" s="68"/>
      <c r="M409" s="68"/>
      <c r="N409" s="68"/>
      <c r="O409" s="68"/>
      <c r="P409" s="68"/>
      <c r="Q409" s="69"/>
      <c r="R409" s="69"/>
      <c r="S409" s="69"/>
      <c r="T409" s="69"/>
      <c r="U409" s="69"/>
      <c r="V409" s="69"/>
      <c r="W409" s="69"/>
      <c r="X409" s="69"/>
      <c r="Y409" s="69"/>
      <c r="Z409" s="69"/>
      <c r="AA409" s="69"/>
      <c r="AB409" s="69"/>
      <c r="AC409" s="70">
        <v>256815.37</v>
      </c>
      <c r="AD409" s="69"/>
      <c r="AE409" s="69"/>
    </row>
    <row r="410" spans="1:31" ht="9.75" customHeight="1" x14ac:dyDescent="0.2">
      <c r="A410" s="3" t="s">
        <v>697</v>
      </c>
      <c r="B410" s="68" t="s">
        <v>698</v>
      </c>
      <c r="C410" s="68"/>
      <c r="D410" s="68"/>
      <c r="E410" s="68"/>
      <c r="F410" s="68"/>
      <c r="G410" s="68"/>
      <c r="H410" s="68"/>
      <c r="I410" s="68"/>
      <c r="J410" s="68"/>
      <c r="K410" s="68"/>
      <c r="L410" s="68"/>
      <c r="M410" s="68"/>
      <c r="N410" s="68"/>
      <c r="O410" s="68"/>
      <c r="P410" s="68"/>
      <c r="Q410" s="69"/>
      <c r="R410" s="69"/>
      <c r="S410" s="69"/>
      <c r="T410" s="69"/>
      <c r="U410" s="69"/>
      <c r="V410" s="69"/>
      <c r="W410" s="69"/>
      <c r="X410" s="69"/>
      <c r="Y410" s="69"/>
      <c r="Z410" s="69"/>
      <c r="AA410" s="69"/>
      <c r="AB410" s="69"/>
      <c r="AC410" s="74">
        <v>98867.38</v>
      </c>
      <c r="AD410" s="69"/>
      <c r="AE410" s="69"/>
    </row>
    <row r="411" spans="1:31" ht="9.6" customHeight="1" x14ac:dyDescent="0.2">
      <c r="A411" s="1" t="s">
        <v>699</v>
      </c>
      <c r="B411" s="53" t="s">
        <v>700</v>
      </c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 t="s">
        <v>47</v>
      </c>
      <c r="O411" s="53"/>
      <c r="P411" s="53"/>
      <c r="Q411" s="54">
        <v>1534</v>
      </c>
      <c r="R411" s="55"/>
      <c r="S411" s="55"/>
      <c r="T411" s="55"/>
      <c r="U411" s="55"/>
      <c r="V411" s="55"/>
      <c r="W411" s="66">
        <v>3.0017</v>
      </c>
      <c r="X411" s="55"/>
      <c r="Y411" s="55"/>
      <c r="Z411" s="55"/>
      <c r="AA411" s="55"/>
      <c r="AB411" s="55"/>
      <c r="AC411" s="67">
        <v>4604.6099999999997</v>
      </c>
      <c r="AD411" s="55"/>
      <c r="AE411" s="55"/>
    </row>
    <row r="412" spans="1:31" ht="9.6" customHeight="1" x14ac:dyDescent="0.2">
      <c r="A412" s="1" t="s">
        <v>701</v>
      </c>
      <c r="B412" s="53" t="s">
        <v>702</v>
      </c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 t="s">
        <v>47</v>
      </c>
      <c r="O412" s="53"/>
      <c r="P412" s="53"/>
      <c r="Q412" s="54">
        <v>1534</v>
      </c>
      <c r="R412" s="55"/>
      <c r="S412" s="55"/>
      <c r="T412" s="55"/>
      <c r="U412" s="55"/>
      <c r="V412" s="55"/>
      <c r="W412" s="56">
        <v>61.448999999999998</v>
      </c>
      <c r="X412" s="55"/>
      <c r="Y412" s="55"/>
      <c r="Z412" s="55"/>
      <c r="AA412" s="55"/>
      <c r="AB412" s="55"/>
      <c r="AC412" s="57">
        <v>94262.77</v>
      </c>
      <c r="AD412" s="55"/>
      <c r="AE412" s="55"/>
    </row>
    <row r="413" spans="1:31" ht="9.75" customHeight="1" x14ac:dyDescent="0.2">
      <c r="A413" s="3" t="s">
        <v>703</v>
      </c>
      <c r="B413" s="68" t="s">
        <v>704</v>
      </c>
      <c r="C413" s="68"/>
      <c r="D413" s="68"/>
      <c r="E413" s="68"/>
      <c r="F413" s="68"/>
      <c r="G413" s="68"/>
      <c r="H413" s="68"/>
      <c r="I413" s="68"/>
      <c r="J413" s="68"/>
      <c r="K413" s="68"/>
      <c r="L413" s="68"/>
      <c r="M413" s="68"/>
      <c r="N413" s="68"/>
      <c r="O413" s="68"/>
      <c r="P413" s="68"/>
      <c r="Q413" s="69"/>
      <c r="R413" s="69"/>
      <c r="S413" s="69"/>
      <c r="T413" s="69"/>
      <c r="U413" s="69"/>
      <c r="V413" s="69"/>
      <c r="W413" s="69"/>
      <c r="X413" s="69"/>
      <c r="Y413" s="69"/>
      <c r="Z413" s="69"/>
      <c r="AA413" s="69"/>
      <c r="AB413" s="69"/>
      <c r="AC413" s="74">
        <v>34275.39</v>
      </c>
      <c r="AD413" s="69"/>
      <c r="AE413" s="69"/>
    </row>
    <row r="414" spans="1:31" ht="9.6" customHeight="1" x14ac:dyDescent="0.2">
      <c r="A414" s="1" t="s">
        <v>705</v>
      </c>
      <c r="B414" s="53" t="s">
        <v>706</v>
      </c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 t="s">
        <v>47</v>
      </c>
      <c r="O414" s="53"/>
      <c r="P414" s="53"/>
      <c r="Q414" s="54">
        <v>1534</v>
      </c>
      <c r="R414" s="55"/>
      <c r="S414" s="55"/>
      <c r="T414" s="55"/>
      <c r="U414" s="55"/>
      <c r="V414" s="55"/>
      <c r="W414" s="56">
        <v>22.343800000000002</v>
      </c>
      <c r="X414" s="55"/>
      <c r="Y414" s="55"/>
      <c r="Z414" s="55"/>
      <c r="AA414" s="55"/>
      <c r="AB414" s="55"/>
      <c r="AC414" s="57">
        <v>34275.39</v>
      </c>
      <c r="AD414" s="55"/>
      <c r="AE414" s="55"/>
    </row>
    <row r="415" spans="1:31" ht="9.6" customHeight="1" x14ac:dyDescent="0.2">
      <c r="A415" s="3" t="s">
        <v>707</v>
      </c>
      <c r="B415" s="68" t="s">
        <v>708</v>
      </c>
      <c r="C415" s="68"/>
      <c r="D415" s="68"/>
      <c r="E415" s="68"/>
      <c r="F415" s="68"/>
      <c r="G415" s="68"/>
      <c r="H415" s="68"/>
      <c r="I415" s="68"/>
      <c r="J415" s="68"/>
      <c r="K415" s="68"/>
      <c r="L415" s="68"/>
      <c r="M415" s="68"/>
      <c r="N415" s="68"/>
      <c r="O415" s="68"/>
      <c r="P415" s="68"/>
      <c r="Q415" s="69"/>
      <c r="R415" s="69"/>
      <c r="S415" s="69"/>
      <c r="T415" s="69"/>
      <c r="U415" s="69"/>
      <c r="V415" s="69"/>
      <c r="W415" s="69"/>
      <c r="X415" s="69"/>
      <c r="Y415" s="69"/>
      <c r="Z415" s="69"/>
      <c r="AA415" s="69"/>
      <c r="AB415" s="69"/>
      <c r="AC415" s="74">
        <v>25496.6</v>
      </c>
      <c r="AD415" s="69"/>
      <c r="AE415" s="69"/>
    </row>
    <row r="416" spans="1:31" ht="9.6" customHeight="1" x14ac:dyDescent="0.2">
      <c r="A416" s="1" t="s">
        <v>709</v>
      </c>
      <c r="B416" s="53" t="s">
        <v>710</v>
      </c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 t="s">
        <v>39</v>
      </c>
      <c r="O416" s="53"/>
      <c r="P416" s="53"/>
      <c r="Q416" s="54">
        <v>1274.83</v>
      </c>
      <c r="R416" s="55"/>
      <c r="S416" s="55"/>
      <c r="T416" s="55"/>
      <c r="U416" s="55"/>
      <c r="V416" s="55"/>
      <c r="W416" s="56">
        <v>20</v>
      </c>
      <c r="X416" s="55"/>
      <c r="Y416" s="55"/>
      <c r="Z416" s="55"/>
      <c r="AA416" s="55"/>
      <c r="AB416" s="55"/>
      <c r="AC416" s="57">
        <v>25496.6</v>
      </c>
      <c r="AD416" s="55"/>
      <c r="AE416" s="55"/>
    </row>
    <row r="417" spans="1:31" ht="9.75" customHeight="1" x14ac:dyDescent="0.2">
      <c r="A417" s="3" t="s">
        <v>711</v>
      </c>
      <c r="B417" s="68" t="s">
        <v>288</v>
      </c>
      <c r="C417" s="68"/>
      <c r="D417" s="68"/>
      <c r="E417" s="68"/>
      <c r="F417" s="68"/>
      <c r="G417" s="68"/>
      <c r="H417" s="68"/>
      <c r="I417" s="68"/>
      <c r="J417" s="68"/>
      <c r="K417" s="68"/>
      <c r="L417" s="68"/>
      <c r="M417" s="68"/>
      <c r="N417" s="68"/>
      <c r="O417" s="68"/>
      <c r="P417" s="68"/>
      <c r="Q417" s="69"/>
      <c r="R417" s="69"/>
      <c r="S417" s="69"/>
      <c r="T417" s="69"/>
      <c r="U417" s="69"/>
      <c r="V417" s="69"/>
      <c r="W417" s="69"/>
      <c r="X417" s="69"/>
      <c r="Y417" s="69"/>
      <c r="Z417" s="69"/>
      <c r="AA417" s="69"/>
      <c r="AB417" s="69"/>
      <c r="AC417" s="74">
        <v>98176</v>
      </c>
      <c r="AD417" s="69"/>
      <c r="AE417" s="69"/>
    </row>
    <row r="418" spans="1:31" ht="9.6" customHeight="1" x14ac:dyDescent="0.2">
      <c r="A418" s="1" t="s">
        <v>712</v>
      </c>
      <c r="B418" s="53" t="s">
        <v>713</v>
      </c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 t="s">
        <v>47</v>
      </c>
      <c r="O418" s="53"/>
      <c r="P418" s="53"/>
      <c r="Q418" s="54">
        <v>1534</v>
      </c>
      <c r="R418" s="55"/>
      <c r="S418" s="55"/>
      <c r="T418" s="55"/>
      <c r="U418" s="55"/>
      <c r="V418" s="55"/>
      <c r="W418" s="56">
        <v>34</v>
      </c>
      <c r="X418" s="55"/>
      <c r="Y418" s="55"/>
      <c r="Z418" s="55"/>
      <c r="AA418" s="55"/>
      <c r="AB418" s="55"/>
      <c r="AC418" s="57">
        <v>52156</v>
      </c>
      <c r="AD418" s="55"/>
      <c r="AE418" s="55"/>
    </row>
    <row r="419" spans="1:31" ht="9.6" customHeight="1" x14ac:dyDescent="0.2">
      <c r="A419" s="1" t="s">
        <v>714</v>
      </c>
      <c r="B419" s="53" t="s">
        <v>715</v>
      </c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 t="s">
        <v>47</v>
      </c>
      <c r="O419" s="53"/>
      <c r="P419" s="53"/>
      <c r="Q419" s="54">
        <v>1534</v>
      </c>
      <c r="R419" s="55"/>
      <c r="S419" s="55"/>
      <c r="T419" s="55"/>
      <c r="U419" s="55"/>
      <c r="V419" s="55"/>
      <c r="W419" s="56">
        <v>30</v>
      </c>
      <c r="X419" s="55"/>
      <c r="Y419" s="55"/>
      <c r="Z419" s="55"/>
      <c r="AA419" s="55"/>
      <c r="AB419" s="55"/>
      <c r="AC419" s="57">
        <v>46020</v>
      </c>
      <c r="AD419" s="55"/>
      <c r="AE419" s="55"/>
    </row>
    <row r="420" spans="1:31" ht="9.6" customHeight="1" x14ac:dyDescent="0.2">
      <c r="A420" s="3" t="s">
        <v>716</v>
      </c>
      <c r="B420" s="68" t="s">
        <v>717</v>
      </c>
      <c r="C420" s="68"/>
      <c r="D420" s="68"/>
      <c r="E420" s="68"/>
      <c r="F420" s="68"/>
      <c r="G420" s="68"/>
      <c r="H420" s="68"/>
      <c r="I420" s="68"/>
      <c r="J420" s="68"/>
      <c r="K420" s="68"/>
      <c r="L420" s="68"/>
      <c r="M420" s="68"/>
      <c r="N420" s="68"/>
      <c r="O420" s="68"/>
      <c r="P420" s="68"/>
      <c r="Q420" s="69"/>
      <c r="R420" s="69"/>
      <c r="S420" s="69"/>
      <c r="T420" s="69"/>
      <c r="U420" s="69"/>
      <c r="V420" s="69"/>
      <c r="W420" s="69"/>
      <c r="X420" s="69"/>
      <c r="Y420" s="69"/>
      <c r="Z420" s="69"/>
      <c r="AA420" s="69"/>
      <c r="AB420" s="69"/>
      <c r="AC420" s="70">
        <v>812089.24</v>
      </c>
      <c r="AD420" s="69"/>
      <c r="AE420" s="69"/>
    </row>
    <row r="421" spans="1:31" ht="9.75" customHeight="1" x14ac:dyDescent="0.2">
      <c r="A421" s="3" t="s">
        <v>718</v>
      </c>
      <c r="B421" s="68" t="s">
        <v>717</v>
      </c>
      <c r="C421" s="68"/>
      <c r="D421" s="68"/>
      <c r="E421" s="68"/>
      <c r="F421" s="68"/>
      <c r="G421" s="68"/>
      <c r="H421" s="68"/>
      <c r="I421" s="68"/>
      <c r="J421" s="68"/>
      <c r="K421" s="68"/>
      <c r="L421" s="68"/>
      <c r="M421" s="68"/>
      <c r="N421" s="68"/>
      <c r="O421" s="68"/>
      <c r="P421" s="68"/>
      <c r="Q421" s="69"/>
      <c r="R421" s="69"/>
      <c r="S421" s="69"/>
      <c r="T421" s="69"/>
      <c r="U421" s="69"/>
      <c r="V421" s="69"/>
      <c r="W421" s="69"/>
      <c r="X421" s="69"/>
      <c r="Y421" s="69"/>
      <c r="Z421" s="69"/>
      <c r="AA421" s="69"/>
      <c r="AB421" s="69"/>
      <c r="AC421" s="70">
        <v>812089.24</v>
      </c>
      <c r="AD421" s="69"/>
      <c r="AE421" s="69"/>
    </row>
    <row r="422" spans="1:31" ht="9.75" customHeight="1" x14ac:dyDescent="0.2">
      <c r="A422" s="3" t="s">
        <v>719</v>
      </c>
      <c r="B422" s="68" t="s">
        <v>720</v>
      </c>
      <c r="C422" s="68"/>
      <c r="D422" s="68"/>
      <c r="E422" s="68"/>
      <c r="F422" s="68"/>
      <c r="G422" s="68"/>
      <c r="H422" s="68"/>
      <c r="I422" s="68"/>
      <c r="J422" s="68"/>
      <c r="K422" s="68"/>
      <c r="L422" s="68"/>
      <c r="M422" s="68"/>
      <c r="N422" s="68"/>
      <c r="O422" s="68"/>
      <c r="P422" s="68"/>
      <c r="Q422" s="69"/>
      <c r="R422" s="69"/>
      <c r="S422" s="69"/>
      <c r="T422" s="69"/>
      <c r="U422" s="69"/>
      <c r="V422" s="69"/>
      <c r="W422" s="69"/>
      <c r="X422" s="69"/>
      <c r="Y422" s="69"/>
      <c r="Z422" s="69"/>
      <c r="AA422" s="69"/>
      <c r="AB422" s="69"/>
      <c r="AC422" s="70">
        <v>499640</v>
      </c>
      <c r="AD422" s="69"/>
      <c r="AE422" s="69"/>
    </row>
    <row r="423" spans="1:31" ht="9.75" customHeight="1" x14ac:dyDescent="0.2">
      <c r="A423" s="1" t="s">
        <v>721</v>
      </c>
      <c r="B423" s="53" t="s">
        <v>720</v>
      </c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 t="s">
        <v>27</v>
      </c>
      <c r="O423" s="53"/>
      <c r="P423" s="53"/>
      <c r="Q423" s="66">
        <v>1</v>
      </c>
      <c r="R423" s="55"/>
      <c r="S423" s="55"/>
      <c r="T423" s="55"/>
      <c r="U423" s="55"/>
      <c r="V423" s="55"/>
      <c r="W423" s="71">
        <v>499640</v>
      </c>
      <c r="X423" s="55"/>
      <c r="Y423" s="55"/>
      <c r="Z423" s="55"/>
      <c r="AA423" s="55"/>
      <c r="AB423" s="55"/>
      <c r="AC423" s="72">
        <v>499640</v>
      </c>
      <c r="AD423" s="55"/>
      <c r="AE423" s="55"/>
    </row>
    <row r="424" spans="1:31" ht="9.6" customHeight="1" x14ac:dyDescent="0.2">
      <c r="A424" s="3" t="s">
        <v>722</v>
      </c>
      <c r="B424" s="68" t="s">
        <v>723</v>
      </c>
      <c r="C424" s="68"/>
      <c r="D424" s="68"/>
      <c r="E424" s="68"/>
      <c r="F424" s="68"/>
      <c r="G424" s="68"/>
      <c r="H424" s="68"/>
      <c r="I424" s="68"/>
      <c r="J424" s="68"/>
      <c r="K424" s="68"/>
      <c r="L424" s="68"/>
      <c r="M424" s="68"/>
      <c r="N424" s="68"/>
      <c r="O424" s="68"/>
      <c r="P424" s="68"/>
      <c r="Q424" s="69"/>
      <c r="R424" s="69"/>
      <c r="S424" s="69"/>
      <c r="T424" s="69"/>
      <c r="U424" s="69"/>
      <c r="V424" s="69"/>
      <c r="W424" s="69"/>
      <c r="X424" s="69"/>
      <c r="Y424" s="69"/>
      <c r="Z424" s="69"/>
      <c r="AA424" s="69"/>
      <c r="AB424" s="69"/>
      <c r="AC424" s="74">
        <v>50000</v>
      </c>
      <c r="AD424" s="69"/>
      <c r="AE424" s="69"/>
    </row>
    <row r="425" spans="1:31" ht="9.75" customHeight="1" x14ac:dyDescent="0.2">
      <c r="A425" s="1" t="s">
        <v>724</v>
      </c>
      <c r="B425" s="53" t="s">
        <v>725</v>
      </c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 t="s">
        <v>27</v>
      </c>
      <c r="O425" s="53"/>
      <c r="P425" s="53"/>
      <c r="Q425" s="66">
        <v>1</v>
      </c>
      <c r="R425" s="55"/>
      <c r="S425" s="55"/>
      <c r="T425" s="55"/>
      <c r="U425" s="55"/>
      <c r="V425" s="55"/>
      <c r="W425" s="73">
        <v>50000</v>
      </c>
      <c r="X425" s="55"/>
      <c r="Y425" s="55"/>
      <c r="Z425" s="55"/>
      <c r="AA425" s="55"/>
      <c r="AB425" s="55"/>
      <c r="AC425" s="57">
        <v>50000</v>
      </c>
      <c r="AD425" s="55"/>
      <c r="AE425" s="55"/>
    </row>
    <row r="426" spans="1:31" ht="9.6" customHeight="1" x14ac:dyDescent="0.2">
      <c r="A426" s="3" t="s">
        <v>726</v>
      </c>
      <c r="B426" s="68" t="s">
        <v>727</v>
      </c>
      <c r="C426" s="68"/>
      <c r="D426" s="68"/>
      <c r="E426" s="68"/>
      <c r="F426" s="68"/>
      <c r="G426" s="68"/>
      <c r="H426" s="68"/>
      <c r="I426" s="68"/>
      <c r="J426" s="68"/>
      <c r="K426" s="68"/>
      <c r="L426" s="68"/>
      <c r="M426" s="68"/>
      <c r="N426" s="68"/>
      <c r="O426" s="68"/>
      <c r="P426" s="68"/>
      <c r="Q426" s="69"/>
      <c r="R426" s="69"/>
      <c r="S426" s="69"/>
      <c r="T426" s="69"/>
      <c r="U426" s="69"/>
      <c r="V426" s="69"/>
      <c r="W426" s="69"/>
      <c r="X426" s="69"/>
      <c r="Y426" s="69"/>
      <c r="Z426" s="69"/>
      <c r="AA426" s="69"/>
      <c r="AB426" s="69"/>
      <c r="AC426" s="74">
        <v>35000</v>
      </c>
      <c r="AD426" s="69"/>
      <c r="AE426" s="69"/>
    </row>
    <row r="427" spans="1:31" ht="9.6" customHeight="1" x14ac:dyDescent="0.2">
      <c r="A427" s="1" t="s">
        <v>728</v>
      </c>
      <c r="B427" s="53" t="s">
        <v>727</v>
      </c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 t="s">
        <v>27</v>
      </c>
      <c r="O427" s="53"/>
      <c r="P427" s="53"/>
      <c r="Q427" s="66">
        <v>1</v>
      </c>
      <c r="R427" s="55"/>
      <c r="S427" s="55"/>
      <c r="T427" s="55"/>
      <c r="U427" s="55"/>
      <c r="V427" s="55"/>
      <c r="W427" s="73">
        <v>35000</v>
      </c>
      <c r="X427" s="55"/>
      <c r="Y427" s="55"/>
      <c r="Z427" s="55"/>
      <c r="AA427" s="55"/>
      <c r="AB427" s="55"/>
      <c r="AC427" s="57">
        <v>35000</v>
      </c>
      <c r="AD427" s="55"/>
      <c r="AE427" s="55"/>
    </row>
    <row r="428" spans="1:31" ht="9.6" customHeight="1" x14ac:dyDescent="0.2">
      <c r="A428" s="3" t="s">
        <v>729</v>
      </c>
      <c r="B428" s="68" t="s">
        <v>730</v>
      </c>
      <c r="C428" s="68"/>
      <c r="D428" s="68"/>
      <c r="E428" s="68"/>
      <c r="F428" s="68"/>
      <c r="G428" s="68"/>
      <c r="H428" s="68"/>
      <c r="I428" s="68"/>
      <c r="J428" s="68"/>
      <c r="K428" s="68"/>
      <c r="L428" s="68"/>
      <c r="M428" s="68"/>
      <c r="N428" s="68"/>
      <c r="O428" s="68"/>
      <c r="P428" s="68"/>
      <c r="Q428" s="69"/>
      <c r="R428" s="69"/>
      <c r="S428" s="69"/>
      <c r="T428" s="69"/>
      <c r="U428" s="69"/>
      <c r="V428" s="69"/>
      <c r="W428" s="69"/>
      <c r="X428" s="69"/>
      <c r="Y428" s="69"/>
      <c r="Z428" s="69"/>
      <c r="AA428" s="69"/>
      <c r="AB428" s="69"/>
      <c r="AC428" s="74">
        <v>57449.24</v>
      </c>
      <c r="AD428" s="69"/>
      <c r="AE428" s="69"/>
    </row>
    <row r="429" spans="1:31" ht="9.75" customHeight="1" x14ac:dyDescent="0.2">
      <c r="A429" s="1" t="s">
        <v>731</v>
      </c>
      <c r="B429" s="53" t="s">
        <v>732</v>
      </c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 t="s">
        <v>47</v>
      </c>
      <c r="O429" s="53"/>
      <c r="P429" s="53"/>
      <c r="Q429" s="54">
        <v>4245.7700000000004</v>
      </c>
      <c r="R429" s="55"/>
      <c r="S429" s="55"/>
      <c r="T429" s="55"/>
      <c r="U429" s="55"/>
      <c r="V429" s="55"/>
      <c r="W429" s="56">
        <v>12</v>
      </c>
      <c r="X429" s="55"/>
      <c r="Y429" s="55"/>
      <c r="Z429" s="55"/>
      <c r="AA429" s="55"/>
      <c r="AB429" s="55"/>
      <c r="AC429" s="57">
        <v>50949.24</v>
      </c>
      <c r="AD429" s="55"/>
      <c r="AE429" s="55"/>
    </row>
    <row r="430" spans="1:31" ht="9.6" customHeight="1" x14ac:dyDescent="0.2">
      <c r="A430" s="1" t="s">
        <v>733</v>
      </c>
      <c r="B430" s="53" t="s">
        <v>734</v>
      </c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 t="s">
        <v>27</v>
      </c>
      <c r="O430" s="53"/>
      <c r="P430" s="53"/>
      <c r="Q430" s="66">
        <v>1</v>
      </c>
      <c r="R430" s="55"/>
      <c r="S430" s="55"/>
      <c r="T430" s="55"/>
      <c r="U430" s="55"/>
      <c r="V430" s="55"/>
      <c r="W430" s="54">
        <v>6500</v>
      </c>
      <c r="X430" s="55"/>
      <c r="Y430" s="55"/>
      <c r="Z430" s="55"/>
      <c r="AA430" s="55"/>
      <c r="AB430" s="55"/>
      <c r="AC430" s="67">
        <v>6500</v>
      </c>
      <c r="AD430" s="55"/>
      <c r="AE430" s="55"/>
    </row>
    <row r="431" spans="1:31" ht="9.6" customHeight="1" x14ac:dyDescent="0.2">
      <c r="A431" s="3" t="s">
        <v>735</v>
      </c>
      <c r="B431" s="68" t="s">
        <v>736</v>
      </c>
      <c r="C431" s="68"/>
      <c r="D431" s="68"/>
      <c r="E431" s="68"/>
      <c r="F431" s="68"/>
      <c r="G431" s="68"/>
      <c r="H431" s="68"/>
      <c r="I431" s="68"/>
      <c r="J431" s="68"/>
      <c r="K431" s="68"/>
      <c r="L431" s="68"/>
      <c r="M431" s="68"/>
      <c r="N431" s="68"/>
      <c r="O431" s="68"/>
      <c r="P431" s="68"/>
      <c r="Q431" s="69"/>
      <c r="R431" s="69"/>
      <c r="S431" s="69"/>
      <c r="T431" s="69"/>
      <c r="U431" s="69"/>
      <c r="V431" s="69"/>
      <c r="W431" s="69"/>
      <c r="X431" s="69"/>
      <c r="Y431" s="69"/>
      <c r="Z431" s="69"/>
      <c r="AA431" s="69"/>
      <c r="AB431" s="69"/>
      <c r="AC431" s="70">
        <v>170000</v>
      </c>
      <c r="AD431" s="69"/>
      <c r="AE431" s="69"/>
    </row>
    <row r="432" spans="1:31" ht="9.6" customHeight="1" x14ac:dyDescent="0.2">
      <c r="A432" s="1" t="s">
        <v>737</v>
      </c>
      <c r="B432" s="53" t="s">
        <v>738</v>
      </c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 t="s">
        <v>27</v>
      </c>
      <c r="O432" s="53"/>
      <c r="P432" s="53"/>
      <c r="Q432" s="66">
        <v>1</v>
      </c>
      <c r="R432" s="55"/>
      <c r="S432" s="55"/>
      <c r="T432" s="55"/>
      <c r="U432" s="55"/>
      <c r="V432" s="55"/>
      <c r="W432" s="71">
        <v>170000</v>
      </c>
      <c r="X432" s="55"/>
      <c r="Y432" s="55"/>
      <c r="Z432" s="55"/>
      <c r="AA432" s="55"/>
      <c r="AB432" s="55"/>
      <c r="AC432" s="72">
        <v>170000</v>
      </c>
      <c r="AD432" s="55"/>
      <c r="AE432" s="55"/>
    </row>
    <row r="433" spans="1:31" ht="9.6" customHeight="1" x14ac:dyDescent="0.2">
      <c r="A433" s="58" t="s">
        <v>48</v>
      </c>
      <c r="B433" s="58"/>
      <c r="C433" s="58"/>
      <c r="D433" s="58"/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  <c r="AA433" s="58"/>
      <c r="AB433" s="58"/>
      <c r="AC433" s="59">
        <v>13168146.67</v>
      </c>
      <c r="AD433" s="58"/>
      <c r="AE433" s="58"/>
    </row>
    <row r="434" spans="1:31" ht="9.75" customHeight="1" x14ac:dyDescent="0.2">
      <c r="A434" s="58" t="s">
        <v>739</v>
      </c>
      <c r="B434" s="58"/>
      <c r="C434" s="58"/>
      <c r="D434" s="58"/>
      <c r="E434" s="58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  <c r="AA434" s="58"/>
      <c r="AB434" s="58"/>
      <c r="AC434" s="59">
        <f>23661252.34-7764766.15</f>
        <v>15896486.189999999</v>
      </c>
      <c r="AD434" s="58"/>
      <c r="AE434" s="58"/>
    </row>
    <row r="435" spans="1:31" ht="9.6" customHeight="1" x14ac:dyDescent="0.2">
      <c r="A435" s="60"/>
      <c r="B435" s="60"/>
      <c r="C435" s="60"/>
      <c r="D435" s="60"/>
      <c r="E435" s="60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</row>
    <row r="436" spans="1:31" ht="9.6" customHeight="1" x14ac:dyDescent="0.2">
      <c r="A436" s="63" t="s">
        <v>740</v>
      </c>
      <c r="B436" s="63"/>
      <c r="C436" s="63"/>
      <c r="D436" s="63"/>
      <c r="E436" s="63"/>
      <c r="F436" s="64" t="s">
        <v>741</v>
      </c>
      <c r="G436" s="64"/>
      <c r="H436" s="64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5"/>
      <c r="V436" s="65"/>
      <c r="W436" s="65"/>
      <c r="X436" s="65"/>
      <c r="Y436" s="65"/>
      <c r="Z436" s="65"/>
      <c r="AA436" s="65"/>
      <c r="AB436" s="65"/>
      <c r="AC436" s="65"/>
      <c r="AD436" s="65"/>
      <c r="AE436" s="65"/>
    </row>
    <row r="437" spans="1:31" ht="9.6" customHeight="1" x14ac:dyDescent="0.2"/>
    <row r="438" spans="1:31" ht="9.6" customHeight="1" x14ac:dyDescent="0.2"/>
    <row r="439" spans="1:31" ht="9.6" customHeight="1" x14ac:dyDescent="0.2"/>
    <row r="440" spans="1:31" ht="9.6" customHeight="1" x14ac:dyDescent="0.2"/>
    <row r="441" spans="1:31" ht="9.6" customHeight="1" x14ac:dyDescent="0.2"/>
    <row r="442" spans="1:31" ht="9.6" customHeight="1" x14ac:dyDescent="0.2"/>
    <row r="443" spans="1:31" ht="9.75" customHeight="1" x14ac:dyDescent="0.2"/>
    <row r="444" spans="1:31" ht="9.6" customHeight="1" x14ac:dyDescent="0.2"/>
    <row r="445" spans="1:31" ht="9.6" customHeight="1" x14ac:dyDescent="0.2"/>
    <row r="446" spans="1:31" ht="9.75" customHeight="1" x14ac:dyDescent="0.2"/>
    <row r="447" spans="1:31" ht="9.6" customHeight="1" x14ac:dyDescent="0.2"/>
    <row r="448" spans="1:31" ht="9.6" customHeight="1" x14ac:dyDescent="0.2"/>
    <row r="449" ht="9.75" customHeight="1" x14ac:dyDescent="0.2"/>
    <row r="450" ht="9.6" customHeight="1" x14ac:dyDescent="0.2"/>
    <row r="451" ht="9.6" customHeight="1" x14ac:dyDescent="0.2"/>
    <row r="452" ht="9.6" customHeight="1" x14ac:dyDescent="0.2"/>
    <row r="453" ht="9.75" customHeight="1" x14ac:dyDescent="0.2"/>
    <row r="454" ht="9.6" customHeight="1" x14ac:dyDescent="0.2"/>
    <row r="455" ht="9.75" customHeight="1" x14ac:dyDescent="0.2"/>
    <row r="456" ht="9.75" customHeight="1" x14ac:dyDescent="0.2"/>
    <row r="457" ht="9.75" customHeight="1" x14ac:dyDescent="0.2"/>
    <row r="458" ht="19.149999999999999" customHeight="1" x14ac:dyDescent="0.2"/>
    <row r="459" ht="9.6" customHeight="1" x14ac:dyDescent="0.2"/>
    <row r="460" ht="9.75" customHeight="1" x14ac:dyDescent="0.2"/>
    <row r="461" ht="9.6" customHeight="1" x14ac:dyDescent="0.2"/>
    <row r="462" ht="9.75" customHeight="1" x14ac:dyDescent="0.2"/>
    <row r="463" ht="9.6" customHeight="1" x14ac:dyDescent="0.2"/>
    <row r="464" ht="9.75" customHeight="1" x14ac:dyDescent="0.2"/>
    <row r="465" ht="9.6" customHeight="1" x14ac:dyDescent="0.2"/>
    <row r="466" ht="9.6" customHeight="1" x14ac:dyDescent="0.2"/>
    <row r="467" ht="9.75" customHeight="1" x14ac:dyDescent="0.2"/>
    <row r="468" ht="9.75" customHeight="1" x14ac:dyDescent="0.2"/>
    <row r="469" ht="9.75" customHeight="1" x14ac:dyDescent="0.2"/>
    <row r="470" ht="9.6" customHeight="1" x14ac:dyDescent="0.2"/>
    <row r="471" ht="9.75" customHeight="1" x14ac:dyDescent="0.2"/>
    <row r="472" ht="9.6" customHeight="1" x14ac:dyDescent="0.2"/>
    <row r="473" ht="9.75" customHeight="1" x14ac:dyDescent="0.2"/>
    <row r="474" ht="9.6" customHeight="1" x14ac:dyDescent="0.2"/>
    <row r="475" ht="9.75" customHeight="1" x14ac:dyDescent="0.2"/>
    <row r="476" ht="9.6" customHeight="1" x14ac:dyDescent="0.2"/>
    <row r="477" ht="9.6" customHeight="1" x14ac:dyDescent="0.2"/>
    <row r="478" ht="9.75" customHeight="1" x14ac:dyDescent="0.2"/>
    <row r="479" ht="9.6" customHeight="1" x14ac:dyDescent="0.2"/>
    <row r="480" ht="9.75" customHeight="1" x14ac:dyDescent="0.2"/>
    <row r="481" ht="9.75" customHeight="1" x14ac:dyDescent="0.2"/>
    <row r="482" ht="2.25" customHeight="1" x14ac:dyDescent="0.2"/>
    <row r="483" ht="8.4499999999999993" customHeight="1" x14ac:dyDescent="0.2"/>
  </sheetData>
  <mergeCells count="2104">
    <mergeCell ref="A1:D2"/>
    <mergeCell ref="E1:AE1"/>
    <mergeCell ref="E2:AE2"/>
    <mergeCell ref="A3:D3"/>
    <mergeCell ref="E3:AE3"/>
    <mergeCell ref="A4:D4"/>
    <mergeCell ref="E4:AE4"/>
    <mergeCell ref="A5:AE5"/>
    <mergeCell ref="A6:C6"/>
    <mergeCell ref="D6:AE6"/>
    <mergeCell ref="A7:C7"/>
    <mergeCell ref="D7:AE7"/>
    <mergeCell ref="A8:C8"/>
    <mergeCell ref="D8:AE8"/>
    <mergeCell ref="A9:C9"/>
    <mergeCell ref="D9:AE9"/>
    <mergeCell ref="A10:C10"/>
    <mergeCell ref="D10:K10"/>
    <mergeCell ref="L10:U10"/>
    <mergeCell ref="V10:AE10"/>
    <mergeCell ref="A11:C11"/>
    <mergeCell ref="D11:K11"/>
    <mergeCell ref="L11:U11"/>
    <mergeCell ref="V11:AE11"/>
    <mergeCell ref="A12:C12"/>
    <mergeCell ref="D12:AE12"/>
    <mergeCell ref="A13:AE13"/>
    <mergeCell ref="B14:M14"/>
    <mergeCell ref="N14:P14"/>
    <mergeCell ref="Q14:V14"/>
    <mergeCell ref="W14:AB14"/>
    <mergeCell ref="AC14:AE14"/>
    <mergeCell ref="B15:M15"/>
    <mergeCell ref="N15:P15"/>
    <mergeCell ref="Q15:V15"/>
    <mergeCell ref="W15:AB15"/>
    <mergeCell ref="AC15:AE15"/>
    <mergeCell ref="B16:M16"/>
    <mergeCell ref="N16:P16"/>
    <mergeCell ref="Q16:V16"/>
    <mergeCell ref="W16:AB16"/>
    <mergeCell ref="AC16:AE16"/>
    <mergeCell ref="B17:M17"/>
    <mergeCell ref="N17:P17"/>
    <mergeCell ref="Q17:V17"/>
    <mergeCell ref="W17:AB17"/>
    <mergeCell ref="AC17:AE17"/>
    <mergeCell ref="B18:M18"/>
    <mergeCell ref="N18:P18"/>
    <mergeCell ref="Q18:V18"/>
    <mergeCell ref="W18:AB18"/>
    <mergeCell ref="AC18:AE18"/>
    <mergeCell ref="B19:M19"/>
    <mergeCell ref="N19:P19"/>
    <mergeCell ref="Q19:V19"/>
    <mergeCell ref="W19:AB19"/>
    <mergeCell ref="AC19:AE19"/>
    <mergeCell ref="B20:M20"/>
    <mergeCell ref="N20:P20"/>
    <mergeCell ref="Q20:V20"/>
    <mergeCell ref="W20:AB20"/>
    <mergeCell ref="AC20:AE20"/>
    <mergeCell ref="B21:M21"/>
    <mergeCell ref="N21:P21"/>
    <mergeCell ref="Q21:V21"/>
    <mergeCell ref="W21:AB21"/>
    <mergeCell ref="AC21:AE21"/>
    <mergeCell ref="B22:M22"/>
    <mergeCell ref="N22:P22"/>
    <mergeCell ref="Q22:V22"/>
    <mergeCell ref="W22:AB22"/>
    <mergeCell ref="AC22:AE22"/>
    <mergeCell ref="B23:M23"/>
    <mergeCell ref="N23:P23"/>
    <mergeCell ref="Q23:V23"/>
    <mergeCell ref="W23:AB23"/>
    <mergeCell ref="AC23:AE23"/>
    <mergeCell ref="B24:M24"/>
    <mergeCell ref="N24:P24"/>
    <mergeCell ref="Q24:V24"/>
    <mergeCell ref="W24:AB24"/>
    <mergeCell ref="AC24:AE24"/>
    <mergeCell ref="B25:M25"/>
    <mergeCell ref="N25:P25"/>
    <mergeCell ref="Q25:V25"/>
    <mergeCell ref="W25:AB25"/>
    <mergeCell ref="AC25:AE25"/>
    <mergeCell ref="B26:M26"/>
    <mergeCell ref="N26:P26"/>
    <mergeCell ref="Q26:V26"/>
    <mergeCell ref="W26:AB26"/>
    <mergeCell ref="AC26:AE26"/>
    <mergeCell ref="B27:M27"/>
    <mergeCell ref="N27:P27"/>
    <mergeCell ref="Q27:V27"/>
    <mergeCell ref="W27:AB27"/>
    <mergeCell ref="AC27:AE27"/>
    <mergeCell ref="B28:M28"/>
    <mergeCell ref="N28:P28"/>
    <mergeCell ref="Q28:V28"/>
    <mergeCell ref="W28:AB28"/>
    <mergeCell ref="AC28:AE28"/>
    <mergeCell ref="B29:M29"/>
    <mergeCell ref="N29:P29"/>
    <mergeCell ref="Q29:V29"/>
    <mergeCell ref="W29:AB29"/>
    <mergeCell ref="AC29:AE29"/>
    <mergeCell ref="B30:M30"/>
    <mergeCell ref="N30:P30"/>
    <mergeCell ref="Q30:V30"/>
    <mergeCell ref="W30:AB30"/>
    <mergeCell ref="AC30:AE30"/>
    <mergeCell ref="B31:M31"/>
    <mergeCell ref="N31:P31"/>
    <mergeCell ref="Q31:V31"/>
    <mergeCell ref="W31:AB31"/>
    <mergeCell ref="AC31:AE31"/>
    <mergeCell ref="B32:M32"/>
    <mergeCell ref="N32:P32"/>
    <mergeCell ref="Q32:V32"/>
    <mergeCell ref="W32:AB32"/>
    <mergeCell ref="AC32:AE32"/>
    <mergeCell ref="B33:M33"/>
    <mergeCell ref="N33:P33"/>
    <mergeCell ref="Q33:V33"/>
    <mergeCell ref="W33:AB33"/>
    <mergeCell ref="AC33:AE33"/>
    <mergeCell ref="B34:M34"/>
    <mergeCell ref="N34:P34"/>
    <mergeCell ref="Q34:V34"/>
    <mergeCell ref="W34:AB34"/>
    <mergeCell ref="AC34:AE34"/>
    <mergeCell ref="B35:M35"/>
    <mergeCell ref="N35:P35"/>
    <mergeCell ref="Q35:V35"/>
    <mergeCell ref="W35:AB35"/>
    <mergeCell ref="AC35:AE35"/>
    <mergeCell ref="B36:M36"/>
    <mergeCell ref="N36:P36"/>
    <mergeCell ref="Q36:V36"/>
    <mergeCell ref="W36:AB36"/>
    <mergeCell ref="AC36:AE36"/>
    <mergeCell ref="B37:M37"/>
    <mergeCell ref="N37:P37"/>
    <mergeCell ref="Q37:V37"/>
    <mergeCell ref="W37:AB37"/>
    <mergeCell ref="AC37:AE37"/>
    <mergeCell ref="B38:M38"/>
    <mergeCell ref="N38:P38"/>
    <mergeCell ref="Q38:V38"/>
    <mergeCell ref="W38:AB38"/>
    <mergeCell ref="AC38:AE38"/>
    <mergeCell ref="B39:M39"/>
    <mergeCell ref="N39:P39"/>
    <mergeCell ref="Q39:V39"/>
    <mergeCell ref="W39:AB39"/>
    <mergeCell ref="AC39:AE39"/>
    <mergeCell ref="B40:M40"/>
    <mergeCell ref="N40:P40"/>
    <mergeCell ref="Q40:V40"/>
    <mergeCell ref="W40:AB40"/>
    <mergeCell ref="AC40:AE40"/>
    <mergeCell ref="B41:M41"/>
    <mergeCell ref="N41:P41"/>
    <mergeCell ref="Q41:V41"/>
    <mergeCell ref="W41:AB41"/>
    <mergeCell ref="AC41:AE41"/>
    <mergeCell ref="B42:M42"/>
    <mergeCell ref="N42:P42"/>
    <mergeCell ref="Q42:V42"/>
    <mergeCell ref="W42:AB42"/>
    <mergeCell ref="AC42:AE42"/>
    <mergeCell ref="B43:M43"/>
    <mergeCell ref="N43:P43"/>
    <mergeCell ref="Q43:V43"/>
    <mergeCell ref="W43:AB43"/>
    <mergeCell ref="AC43:AE43"/>
    <mergeCell ref="B44:M44"/>
    <mergeCell ref="N44:P44"/>
    <mergeCell ref="Q44:V44"/>
    <mergeCell ref="W44:AB44"/>
    <mergeCell ref="AC44:AE44"/>
    <mergeCell ref="B45:M45"/>
    <mergeCell ref="N45:P45"/>
    <mergeCell ref="Q45:V45"/>
    <mergeCell ref="W45:AB45"/>
    <mergeCell ref="AC45:AE45"/>
    <mergeCell ref="B46:M46"/>
    <mergeCell ref="N46:P46"/>
    <mergeCell ref="Q46:V46"/>
    <mergeCell ref="W46:AB46"/>
    <mergeCell ref="AC46:AE46"/>
    <mergeCell ref="B47:M47"/>
    <mergeCell ref="N47:P47"/>
    <mergeCell ref="Q47:V47"/>
    <mergeCell ref="W47:AB47"/>
    <mergeCell ref="AC47:AE47"/>
    <mergeCell ref="B48:M48"/>
    <mergeCell ref="N48:P48"/>
    <mergeCell ref="Q48:V48"/>
    <mergeCell ref="W48:AB48"/>
    <mergeCell ref="AC48:AE48"/>
    <mergeCell ref="B49:M49"/>
    <mergeCell ref="N49:P49"/>
    <mergeCell ref="Q49:V49"/>
    <mergeCell ref="W49:AB49"/>
    <mergeCell ref="AC49:AE49"/>
    <mergeCell ref="B50:M50"/>
    <mergeCell ref="N50:P50"/>
    <mergeCell ref="Q50:V50"/>
    <mergeCell ref="W50:AB50"/>
    <mergeCell ref="AC50:AE50"/>
    <mergeCell ref="B51:M51"/>
    <mergeCell ref="N51:P51"/>
    <mergeCell ref="Q51:V51"/>
    <mergeCell ref="W51:AB51"/>
    <mergeCell ref="AC51:AE51"/>
    <mergeCell ref="B52:M52"/>
    <mergeCell ref="N52:P52"/>
    <mergeCell ref="Q52:V52"/>
    <mergeCell ref="W52:AB52"/>
    <mergeCell ref="AC52:AE52"/>
    <mergeCell ref="B53:M53"/>
    <mergeCell ref="N53:P53"/>
    <mergeCell ref="Q53:V53"/>
    <mergeCell ref="W53:AB53"/>
    <mergeCell ref="AC53:AE53"/>
    <mergeCell ref="B54:M54"/>
    <mergeCell ref="N54:P54"/>
    <mergeCell ref="Q54:V54"/>
    <mergeCell ref="W54:AB54"/>
    <mergeCell ref="AC54:AE54"/>
    <mergeCell ref="B55:M55"/>
    <mergeCell ref="N55:P55"/>
    <mergeCell ref="Q55:V55"/>
    <mergeCell ref="W55:AB55"/>
    <mergeCell ref="AC55:AE55"/>
    <mergeCell ref="B56:M56"/>
    <mergeCell ref="N56:P56"/>
    <mergeCell ref="Q56:V56"/>
    <mergeCell ref="W56:AB56"/>
    <mergeCell ref="AC56:AE56"/>
    <mergeCell ref="B57:M57"/>
    <mergeCell ref="N57:P57"/>
    <mergeCell ref="Q57:V57"/>
    <mergeCell ref="W57:AB57"/>
    <mergeCell ref="AC57:AE57"/>
    <mergeCell ref="B58:M58"/>
    <mergeCell ref="N58:P58"/>
    <mergeCell ref="Q58:V58"/>
    <mergeCell ref="W58:AB58"/>
    <mergeCell ref="AC58:AE58"/>
    <mergeCell ref="B59:M59"/>
    <mergeCell ref="N59:P59"/>
    <mergeCell ref="Q59:V59"/>
    <mergeCell ref="W59:AB59"/>
    <mergeCell ref="AC59:AE59"/>
    <mergeCell ref="B60:M60"/>
    <mergeCell ref="N60:P60"/>
    <mergeCell ref="Q60:V60"/>
    <mergeCell ref="W60:AB60"/>
    <mergeCell ref="AC60:AE60"/>
    <mergeCell ref="B61:M61"/>
    <mergeCell ref="N61:P61"/>
    <mergeCell ref="Q61:V61"/>
    <mergeCell ref="W61:AB61"/>
    <mergeCell ref="AC61:AE61"/>
    <mergeCell ref="B62:M62"/>
    <mergeCell ref="N62:P62"/>
    <mergeCell ref="Q62:V62"/>
    <mergeCell ref="W62:AB62"/>
    <mergeCell ref="AC62:AE62"/>
    <mergeCell ref="B63:M63"/>
    <mergeCell ref="N63:P63"/>
    <mergeCell ref="Q63:V63"/>
    <mergeCell ref="W63:AB63"/>
    <mergeCell ref="AC63:AE63"/>
    <mergeCell ref="B64:M64"/>
    <mergeCell ref="N64:P64"/>
    <mergeCell ref="Q64:V64"/>
    <mergeCell ref="W64:AB64"/>
    <mergeCell ref="AC64:AE64"/>
    <mergeCell ref="B65:M65"/>
    <mergeCell ref="N65:P65"/>
    <mergeCell ref="Q65:V65"/>
    <mergeCell ref="W65:AB65"/>
    <mergeCell ref="AC65:AE65"/>
    <mergeCell ref="B66:M66"/>
    <mergeCell ref="N66:P66"/>
    <mergeCell ref="Q66:V66"/>
    <mergeCell ref="W66:AB66"/>
    <mergeCell ref="AC66:AE66"/>
    <mergeCell ref="B67:M67"/>
    <mergeCell ref="N67:P67"/>
    <mergeCell ref="Q67:V67"/>
    <mergeCell ref="W67:AB67"/>
    <mergeCell ref="AC67:AE67"/>
    <mergeCell ref="B68:M68"/>
    <mergeCell ref="N68:P68"/>
    <mergeCell ref="Q68:V68"/>
    <mergeCell ref="W68:AB68"/>
    <mergeCell ref="AC68:AE68"/>
    <mergeCell ref="B69:M69"/>
    <mergeCell ref="N69:P69"/>
    <mergeCell ref="Q69:V69"/>
    <mergeCell ref="W69:AB69"/>
    <mergeCell ref="AC69:AE69"/>
    <mergeCell ref="B70:M70"/>
    <mergeCell ref="N70:P70"/>
    <mergeCell ref="Q70:V70"/>
    <mergeCell ref="W70:AB70"/>
    <mergeCell ref="AC70:AE70"/>
    <mergeCell ref="B71:M71"/>
    <mergeCell ref="N71:P71"/>
    <mergeCell ref="Q71:V71"/>
    <mergeCell ref="W71:AB71"/>
    <mergeCell ref="AC71:AE71"/>
    <mergeCell ref="B72:M72"/>
    <mergeCell ref="N72:P72"/>
    <mergeCell ref="Q72:V72"/>
    <mergeCell ref="W72:AB72"/>
    <mergeCell ref="AC72:AE72"/>
    <mergeCell ref="B73:M73"/>
    <mergeCell ref="N73:P73"/>
    <mergeCell ref="Q73:V73"/>
    <mergeCell ref="W73:AB73"/>
    <mergeCell ref="AC73:AE73"/>
    <mergeCell ref="B74:M74"/>
    <mergeCell ref="N74:P74"/>
    <mergeCell ref="Q74:V74"/>
    <mergeCell ref="W74:AB74"/>
    <mergeCell ref="AC74:AE74"/>
    <mergeCell ref="B75:M75"/>
    <mergeCell ref="N75:P75"/>
    <mergeCell ref="Q75:V75"/>
    <mergeCell ref="W75:AB75"/>
    <mergeCell ref="AC75:AE75"/>
    <mergeCell ref="B76:M76"/>
    <mergeCell ref="N76:P76"/>
    <mergeCell ref="Q76:V76"/>
    <mergeCell ref="W76:AB76"/>
    <mergeCell ref="AC76:AE76"/>
    <mergeCell ref="B77:M77"/>
    <mergeCell ref="N77:P77"/>
    <mergeCell ref="Q77:V77"/>
    <mergeCell ref="W77:AB77"/>
    <mergeCell ref="AC77:AE77"/>
    <mergeCell ref="B78:M78"/>
    <mergeCell ref="N78:P78"/>
    <mergeCell ref="Q78:V78"/>
    <mergeCell ref="W78:AB78"/>
    <mergeCell ref="AC78:AE78"/>
    <mergeCell ref="B79:M79"/>
    <mergeCell ref="N79:P79"/>
    <mergeCell ref="Q79:V79"/>
    <mergeCell ref="W79:AB79"/>
    <mergeCell ref="AC79:AE79"/>
    <mergeCell ref="B80:M80"/>
    <mergeCell ref="N80:P80"/>
    <mergeCell ref="Q80:V80"/>
    <mergeCell ref="W80:AB80"/>
    <mergeCell ref="AC80:AE80"/>
    <mergeCell ref="B81:M81"/>
    <mergeCell ref="N81:P81"/>
    <mergeCell ref="Q81:V81"/>
    <mergeCell ref="W81:AB81"/>
    <mergeCell ref="AC81:AE81"/>
    <mergeCell ref="B82:M82"/>
    <mergeCell ref="N82:P82"/>
    <mergeCell ref="Q82:V82"/>
    <mergeCell ref="W82:AB82"/>
    <mergeCell ref="AC82:AE82"/>
    <mergeCell ref="B83:M83"/>
    <mergeCell ref="N83:P83"/>
    <mergeCell ref="Q83:V83"/>
    <mergeCell ref="W83:AB83"/>
    <mergeCell ref="AC83:AE83"/>
    <mergeCell ref="B84:M84"/>
    <mergeCell ref="N84:P84"/>
    <mergeCell ref="Q84:V84"/>
    <mergeCell ref="W84:AB84"/>
    <mergeCell ref="AC84:AE84"/>
    <mergeCell ref="B85:M85"/>
    <mergeCell ref="N85:P85"/>
    <mergeCell ref="Q85:V85"/>
    <mergeCell ref="W85:AB85"/>
    <mergeCell ref="AC85:AE85"/>
    <mergeCell ref="B86:M86"/>
    <mergeCell ref="N86:P86"/>
    <mergeCell ref="Q86:V86"/>
    <mergeCell ref="W86:AB86"/>
    <mergeCell ref="AC86:AE86"/>
    <mergeCell ref="B87:M87"/>
    <mergeCell ref="N87:P87"/>
    <mergeCell ref="Q87:V87"/>
    <mergeCell ref="W87:AB87"/>
    <mergeCell ref="AC87:AE87"/>
    <mergeCell ref="B88:M88"/>
    <mergeCell ref="N88:P88"/>
    <mergeCell ref="Q88:V88"/>
    <mergeCell ref="W88:AB88"/>
    <mergeCell ref="AC88:AE88"/>
    <mergeCell ref="B89:M89"/>
    <mergeCell ref="N89:P89"/>
    <mergeCell ref="Q89:V89"/>
    <mergeCell ref="W89:AB89"/>
    <mergeCell ref="AC89:AE89"/>
    <mergeCell ref="B90:M90"/>
    <mergeCell ref="N90:P90"/>
    <mergeCell ref="Q90:V90"/>
    <mergeCell ref="W90:AB90"/>
    <mergeCell ref="AC90:AE90"/>
    <mergeCell ref="B91:M91"/>
    <mergeCell ref="N91:P91"/>
    <mergeCell ref="Q91:V91"/>
    <mergeCell ref="W91:AB91"/>
    <mergeCell ref="AC91:AE91"/>
    <mergeCell ref="B92:M92"/>
    <mergeCell ref="N92:P92"/>
    <mergeCell ref="Q92:V92"/>
    <mergeCell ref="W92:AB92"/>
    <mergeCell ref="AC92:AE92"/>
    <mergeCell ref="B93:M93"/>
    <mergeCell ref="N93:P93"/>
    <mergeCell ref="Q93:V93"/>
    <mergeCell ref="W93:AB93"/>
    <mergeCell ref="AC93:AE93"/>
    <mergeCell ref="B94:M94"/>
    <mergeCell ref="N94:P94"/>
    <mergeCell ref="Q94:V94"/>
    <mergeCell ref="W94:AB94"/>
    <mergeCell ref="AC94:AE94"/>
    <mergeCell ref="B95:M95"/>
    <mergeCell ref="N95:P95"/>
    <mergeCell ref="Q95:V95"/>
    <mergeCell ref="W95:AB95"/>
    <mergeCell ref="AC95:AE95"/>
    <mergeCell ref="B96:M96"/>
    <mergeCell ref="N96:P96"/>
    <mergeCell ref="Q96:V96"/>
    <mergeCell ref="W96:AB96"/>
    <mergeCell ref="AC96:AE96"/>
    <mergeCell ref="B97:M97"/>
    <mergeCell ref="N97:P97"/>
    <mergeCell ref="Q97:V97"/>
    <mergeCell ref="W97:AB97"/>
    <mergeCell ref="AC97:AE97"/>
    <mergeCell ref="B98:M98"/>
    <mergeCell ref="N98:P98"/>
    <mergeCell ref="Q98:V98"/>
    <mergeCell ref="W98:AB98"/>
    <mergeCell ref="AC98:AE98"/>
    <mergeCell ref="B99:M99"/>
    <mergeCell ref="N99:P99"/>
    <mergeCell ref="Q99:V99"/>
    <mergeCell ref="W99:AB99"/>
    <mergeCell ref="AC99:AE99"/>
    <mergeCell ref="B100:M100"/>
    <mergeCell ref="N100:P100"/>
    <mergeCell ref="Q100:V100"/>
    <mergeCell ref="W100:AB100"/>
    <mergeCell ref="AC100:AE100"/>
    <mergeCell ref="B101:M101"/>
    <mergeCell ref="N101:P101"/>
    <mergeCell ref="Q101:V101"/>
    <mergeCell ref="W101:AB101"/>
    <mergeCell ref="AC101:AE101"/>
    <mergeCell ref="B102:M102"/>
    <mergeCell ref="N102:P102"/>
    <mergeCell ref="Q102:V102"/>
    <mergeCell ref="W102:AB102"/>
    <mergeCell ref="AC102:AE102"/>
    <mergeCell ref="B103:M103"/>
    <mergeCell ref="N103:P103"/>
    <mergeCell ref="Q103:V103"/>
    <mergeCell ref="W103:AB103"/>
    <mergeCell ref="AC103:AE103"/>
    <mergeCell ref="B104:M104"/>
    <mergeCell ref="N104:P104"/>
    <mergeCell ref="Q104:V104"/>
    <mergeCell ref="W104:AB104"/>
    <mergeCell ref="AC104:AE104"/>
    <mergeCell ref="B105:M105"/>
    <mergeCell ref="N105:P105"/>
    <mergeCell ref="Q105:V105"/>
    <mergeCell ref="W105:AB105"/>
    <mergeCell ref="AC105:AE105"/>
    <mergeCell ref="B106:M106"/>
    <mergeCell ref="N106:P106"/>
    <mergeCell ref="Q106:V106"/>
    <mergeCell ref="W106:AB106"/>
    <mergeCell ref="AC106:AE106"/>
    <mergeCell ref="B107:M107"/>
    <mergeCell ref="N107:P107"/>
    <mergeCell ref="Q107:V107"/>
    <mergeCell ref="W107:AB107"/>
    <mergeCell ref="AC107:AE107"/>
    <mergeCell ref="B108:M108"/>
    <mergeCell ref="N108:P108"/>
    <mergeCell ref="Q108:V108"/>
    <mergeCell ref="W108:AB108"/>
    <mergeCell ref="AC108:AE108"/>
    <mergeCell ref="B109:M109"/>
    <mergeCell ref="N109:P109"/>
    <mergeCell ref="Q109:V109"/>
    <mergeCell ref="W109:AB109"/>
    <mergeCell ref="AC109:AE109"/>
    <mergeCell ref="B110:M110"/>
    <mergeCell ref="N110:P110"/>
    <mergeCell ref="Q110:V110"/>
    <mergeCell ref="W110:AB110"/>
    <mergeCell ref="AC110:AE110"/>
    <mergeCell ref="B111:M111"/>
    <mergeCell ref="N111:P111"/>
    <mergeCell ref="Q111:V111"/>
    <mergeCell ref="W111:AB111"/>
    <mergeCell ref="AC111:AE111"/>
    <mergeCell ref="B112:M112"/>
    <mergeCell ref="N112:P112"/>
    <mergeCell ref="Q112:V112"/>
    <mergeCell ref="W112:AB112"/>
    <mergeCell ref="AC112:AE112"/>
    <mergeCell ref="B113:M113"/>
    <mergeCell ref="N113:P113"/>
    <mergeCell ref="Q113:V113"/>
    <mergeCell ref="W113:AB113"/>
    <mergeCell ref="AC113:AE113"/>
    <mergeCell ref="B114:M114"/>
    <mergeCell ref="N114:P114"/>
    <mergeCell ref="Q114:V114"/>
    <mergeCell ref="W114:AB114"/>
    <mergeCell ref="AC114:AE114"/>
    <mergeCell ref="B115:M115"/>
    <mergeCell ref="N115:P115"/>
    <mergeCell ref="Q115:V115"/>
    <mergeCell ref="W115:AB115"/>
    <mergeCell ref="AC115:AE115"/>
    <mergeCell ref="B116:M116"/>
    <mergeCell ref="N116:P116"/>
    <mergeCell ref="Q116:V116"/>
    <mergeCell ref="W116:AB116"/>
    <mergeCell ref="AC116:AE116"/>
    <mergeCell ref="B117:M117"/>
    <mergeCell ref="N117:P117"/>
    <mergeCell ref="Q117:V117"/>
    <mergeCell ref="W117:AB117"/>
    <mergeCell ref="AC117:AE117"/>
    <mergeCell ref="B118:M118"/>
    <mergeCell ref="N118:P118"/>
    <mergeCell ref="Q118:V118"/>
    <mergeCell ref="W118:AB118"/>
    <mergeCell ref="AC118:AE118"/>
    <mergeCell ref="B119:M119"/>
    <mergeCell ref="N119:P119"/>
    <mergeCell ref="Q119:V119"/>
    <mergeCell ref="W119:AB119"/>
    <mergeCell ref="AC119:AE119"/>
    <mergeCell ref="B120:M120"/>
    <mergeCell ref="N120:P120"/>
    <mergeCell ref="Q120:V120"/>
    <mergeCell ref="W120:AB120"/>
    <mergeCell ref="AC120:AE120"/>
    <mergeCell ref="B121:M121"/>
    <mergeCell ref="N121:P121"/>
    <mergeCell ref="Q121:V121"/>
    <mergeCell ref="W121:AB121"/>
    <mergeCell ref="AC121:AE121"/>
    <mergeCell ref="B122:M122"/>
    <mergeCell ref="N122:P122"/>
    <mergeCell ref="Q122:V122"/>
    <mergeCell ref="W122:AB122"/>
    <mergeCell ref="AC122:AE122"/>
    <mergeCell ref="B123:M123"/>
    <mergeCell ref="N123:P123"/>
    <mergeCell ref="Q123:V123"/>
    <mergeCell ref="W123:AB123"/>
    <mergeCell ref="AC123:AE123"/>
    <mergeCell ref="B124:M124"/>
    <mergeCell ref="N124:P124"/>
    <mergeCell ref="Q124:V124"/>
    <mergeCell ref="W124:AB124"/>
    <mergeCell ref="AC124:AE124"/>
    <mergeCell ref="B125:M125"/>
    <mergeCell ref="N125:P125"/>
    <mergeCell ref="Q125:V125"/>
    <mergeCell ref="W125:AB125"/>
    <mergeCell ref="AC125:AE125"/>
    <mergeCell ref="B126:M126"/>
    <mergeCell ref="N126:P126"/>
    <mergeCell ref="Q126:V126"/>
    <mergeCell ref="W126:AB126"/>
    <mergeCell ref="AC126:AE126"/>
    <mergeCell ref="B127:M127"/>
    <mergeCell ref="N127:P127"/>
    <mergeCell ref="Q127:V127"/>
    <mergeCell ref="W127:AB127"/>
    <mergeCell ref="AC127:AE127"/>
    <mergeCell ref="B128:M128"/>
    <mergeCell ref="N128:P128"/>
    <mergeCell ref="Q128:V128"/>
    <mergeCell ref="W128:AB128"/>
    <mergeCell ref="AC128:AE128"/>
    <mergeCell ref="B129:M129"/>
    <mergeCell ref="N129:P129"/>
    <mergeCell ref="Q129:V129"/>
    <mergeCell ref="W129:AB129"/>
    <mergeCell ref="AC129:AE129"/>
    <mergeCell ref="B130:M130"/>
    <mergeCell ref="N130:P130"/>
    <mergeCell ref="Q130:V130"/>
    <mergeCell ref="W130:AB130"/>
    <mergeCell ref="AC130:AE130"/>
    <mergeCell ref="B131:M131"/>
    <mergeCell ref="N131:P131"/>
    <mergeCell ref="Q131:V131"/>
    <mergeCell ref="W131:AB131"/>
    <mergeCell ref="AC131:AE131"/>
    <mergeCell ref="B132:M132"/>
    <mergeCell ref="N132:P132"/>
    <mergeCell ref="Q132:V132"/>
    <mergeCell ref="W132:AB132"/>
    <mergeCell ref="AC132:AE132"/>
    <mergeCell ref="A133:AB133"/>
    <mergeCell ref="AC133:AE133"/>
    <mergeCell ref="A134:AE134"/>
    <mergeCell ref="A135:C135"/>
    <mergeCell ref="D135:AE135"/>
    <mergeCell ref="A136:C136"/>
    <mergeCell ref="D136:AE136"/>
    <mergeCell ref="A137:C137"/>
    <mergeCell ref="D137:AE137"/>
    <mergeCell ref="A138:C138"/>
    <mergeCell ref="D138:AE138"/>
    <mergeCell ref="A139:C139"/>
    <mergeCell ref="D139:K139"/>
    <mergeCell ref="L139:U139"/>
    <mergeCell ref="V139:AE139"/>
    <mergeCell ref="A140:C140"/>
    <mergeCell ref="D140:K140"/>
    <mergeCell ref="L140:U140"/>
    <mergeCell ref="V140:AE140"/>
    <mergeCell ref="A141:C141"/>
    <mergeCell ref="D141:AE141"/>
    <mergeCell ref="A142:AE142"/>
    <mergeCell ref="B143:M143"/>
    <mergeCell ref="N143:P143"/>
    <mergeCell ref="Q143:V143"/>
    <mergeCell ref="W143:AB143"/>
    <mergeCell ref="AC143:AE143"/>
    <mergeCell ref="B144:M144"/>
    <mergeCell ref="N144:P144"/>
    <mergeCell ref="Q144:V144"/>
    <mergeCell ref="W144:AB144"/>
    <mergeCell ref="AC144:AE144"/>
    <mergeCell ref="B145:M145"/>
    <mergeCell ref="N145:P145"/>
    <mergeCell ref="Q145:V145"/>
    <mergeCell ref="W145:AB145"/>
    <mergeCell ref="AC145:AE145"/>
    <mergeCell ref="B146:M146"/>
    <mergeCell ref="N146:P146"/>
    <mergeCell ref="Q146:V146"/>
    <mergeCell ref="W146:AB146"/>
    <mergeCell ref="AC146:AE146"/>
    <mergeCell ref="B147:M147"/>
    <mergeCell ref="N147:P147"/>
    <mergeCell ref="Q147:V147"/>
    <mergeCell ref="W147:AB147"/>
    <mergeCell ref="AC147:AE147"/>
    <mergeCell ref="B148:M148"/>
    <mergeCell ref="N148:P148"/>
    <mergeCell ref="Q148:V148"/>
    <mergeCell ref="W148:AB148"/>
    <mergeCell ref="AC148:AE148"/>
    <mergeCell ref="B149:M149"/>
    <mergeCell ref="N149:P149"/>
    <mergeCell ref="Q149:V149"/>
    <mergeCell ref="W149:AB149"/>
    <mergeCell ref="AC149:AE149"/>
    <mergeCell ref="B150:M150"/>
    <mergeCell ref="N150:P150"/>
    <mergeCell ref="Q150:V150"/>
    <mergeCell ref="W150:AB150"/>
    <mergeCell ref="AC150:AE150"/>
    <mergeCell ref="B151:M151"/>
    <mergeCell ref="N151:P151"/>
    <mergeCell ref="Q151:V151"/>
    <mergeCell ref="W151:AB151"/>
    <mergeCell ref="AC151:AE151"/>
    <mergeCell ref="B152:M152"/>
    <mergeCell ref="N152:P152"/>
    <mergeCell ref="Q152:V152"/>
    <mergeCell ref="W152:AB152"/>
    <mergeCell ref="AC152:AE152"/>
    <mergeCell ref="B153:M153"/>
    <mergeCell ref="N153:P153"/>
    <mergeCell ref="Q153:V153"/>
    <mergeCell ref="W153:AB153"/>
    <mergeCell ref="AC153:AE153"/>
    <mergeCell ref="B154:M154"/>
    <mergeCell ref="N154:P154"/>
    <mergeCell ref="Q154:V154"/>
    <mergeCell ref="W154:AB154"/>
    <mergeCell ref="AC154:AE154"/>
    <mergeCell ref="B155:M155"/>
    <mergeCell ref="N155:P155"/>
    <mergeCell ref="Q155:V155"/>
    <mergeCell ref="W155:AB155"/>
    <mergeCell ref="AC155:AE155"/>
    <mergeCell ref="B156:M156"/>
    <mergeCell ref="N156:P156"/>
    <mergeCell ref="Q156:V156"/>
    <mergeCell ref="W156:AB156"/>
    <mergeCell ref="AC156:AE156"/>
    <mergeCell ref="B157:M157"/>
    <mergeCell ref="N157:P157"/>
    <mergeCell ref="Q157:V157"/>
    <mergeCell ref="W157:AB157"/>
    <mergeCell ref="AC157:AE157"/>
    <mergeCell ref="B158:M158"/>
    <mergeCell ref="N158:P158"/>
    <mergeCell ref="Q158:V158"/>
    <mergeCell ref="W158:AB158"/>
    <mergeCell ref="AC158:AE158"/>
    <mergeCell ref="B159:M159"/>
    <mergeCell ref="N159:P159"/>
    <mergeCell ref="Q159:V159"/>
    <mergeCell ref="W159:AB159"/>
    <mergeCell ref="AC159:AE159"/>
    <mergeCell ref="B160:M160"/>
    <mergeCell ref="N160:P160"/>
    <mergeCell ref="Q160:V160"/>
    <mergeCell ref="W160:AB160"/>
    <mergeCell ref="AC160:AE160"/>
    <mergeCell ref="B161:M161"/>
    <mergeCell ref="N161:P161"/>
    <mergeCell ref="Q161:V161"/>
    <mergeCell ref="W161:AB161"/>
    <mergeCell ref="AC161:AE161"/>
    <mergeCell ref="B162:M162"/>
    <mergeCell ref="N162:P162"/>
    <mergeCell ref="Q162:V162"/>
    <mergeCell ref="W162:AB162"/>
    <mergeCell ref="AC162:AE162"/>
    <mergeCell ref="B163:M163"/>
    <mergeCell ref="N163:P163"/>
    <mergeCell ref="Q163:V163"/>
    <mergeCell ref="W163:AB163"/>
    <mergeCell ref="AC163:AE163"/>
    <mergeCell ref="B164:M164"/>
    <mergeCell ref="N164:P164"/>
    <mergeCell ref="Q164:V164"/>
    <mergeCell ref="W164:AB164"/>
    <mergeCell ref="AC164:AE164"/>
    <mergeCell ref="B165:M165"/>
    <mergeCell ref="N165:P165"/>
    <mergeCell ref="Q165:V165"/>
    <mergeCell ref="W165:AB165"/>
    <mergeCell ref="AC165:AE165"/>
    <mergeCell ref="B166:M166"/>
    <mergeCell ref="N166:P166"/>
    <mergeCell ref="Q166:V166"/>
    <mergeCell ref="W166:AB166"/>
    <mergeCell ref="AC166:AE166"/>
    <mergeCell ref="B167:M167"/>
    <mergeCell ref="N167:P167"/>
    <mergeCell ref="Q167:V167"/>
    <mergeCell ref="W167:AB167"/>
    <mergeCell ref="AC167:AE167"/>
    <mergeCell ref="B168:M168"/>
    <mergeCell ref="N168:P168"/>
    <mergeCell ref="Q168:V168"/>
    <mergeCell ref="W168:AB168"/>
    <mergeCell ref="AC168:AE168"/>
    <mergeCell ref="B169:M169"/>
    <mergeCell ref="N169:P169"/>
    <mergeCell ref="Q169:V169"/>
    <mergeCell ref="W169:AB169"/>
    <mergeCell ref="AC169:AE169"/>
    <mergeCell ref="B170:M170"/>
    <mergeCell ref="N170:P170"/>
    <mergeCell ref="Q170:V170"/>
    <mergeCell ref="W170:AB170"/>
    <mergeCell ref="AC170:AE170"/>
    <mergeCell ref="B171:M171"/>
    <mergeCell ref="N171:P171"/>
    <mergeCell ref="Q171:V171"/>
    <mergeCell ref="W171:AB171"/>
    <mergeCell ref="AC171:AE171"/>
    <mergeCell ref="B172:M172"/>
    <mergeCell ref="N172:P172"/>
    <mergeCell ref="Q172:V172"/>
    <mergeCell ref="W172:AB172"/>
    <mergeCell ref="AC172:AE172"/>
    <mergeCell ref="B173:M173"/>
    <mergeCell ref="N173:P173"/>
    <mergeCell ref="Q173:V173"/>
    <mergeCell ref="W173:AB173"/>
    <mergeCell ref="AC173:AE173"/>
    <mergeCell ref="B174:M174"/>
    <mergeCell ref="N174:P174"/>
    <mergeCell ref="Q174:V174"/>
    <mergeCell ref="W174:AB174"/>
    <mergeCell ref="AC174:AE174"/>
    <mergeCell ref="B175:M175"/>
    <mergeCell ref="N175:P175"/>
    <mergeCell ref="Q175:V175"/>
    <mergeCell ref="W175:AB175"/>
    <mergeCell ref="AC175:AE175"/>
    <mergeCell ref="B176:M176"/>
    <mergeCell ref="N176:P176"/>
    <mergeCell ref="Q176:V176"/>
    <mergeCell ref="W176:AB176"/>
    <mergeCell ref="AC176:AE176"/>
    <mergeCell ref="B177:M177"/>
    <mergeCell ref="N177:P177"/>
    <mergeCell ref="Q177:V177"/>
    <mergeCell ref="W177:AB177"/>
    <mergeCell ref="AC177:AE177"/>
    <mergeCell ref="B178:M178"/>
    <mergeCell ref="N178:P178"/>
    <mergeCell ref="Q178:V178"/>
    <mergeCell ref="W178:AB178"/>
    <mergeCell ref="AC178:AE178"/>
    <mergeCell ref="B179:M179"/>
    <mergeCell ref="N179:P179"/>
    <mergeCell ref="Q179:V179"/>
    <mergeCell ref="W179:AB179"/>
    <mergeCell ref="AC179:AE179"/>
    <mergeCell ref="B180:M180"/>
    <mergeCell ref="N180:P180"/>
    <mergeCell ref="Q180:V180"/>
    <mergeCell ref="W180:AB180"/>
    <mergeCell ref="AC180:AE180"/>
    <mergeCell ref="B181:M181"/>
    <mergeCell ref="N181:P181"/>
    <mergeCell ref="Q181:V181"/>
    <mergeCell ref="W181:AB181"/>
    <mergeCell ref="AC181:AE181"/>
    <mergeCell ref="B182:M182"/>
    <mergeCell ref="N182:P182"/>
    <mergeCell ref="Q182:V182"/>
    <mergeCell ref="W182:AB182"/>
    <mergeCell ref="AC182:AE182"/>
    <mergeCell ref="B183:M183"/>
    <mergeCell ref="N183:P183"/>
    <mergeCell ref="Q183:V183"/>
    <mergeCell ref="W183:AB183"/>
    <mergeCell ref="AC183:AE183"/>
    <mergeCell ref="B184:M184"/>
    <mergeCell ref="N184:P184"/>
    <mergeCell ref="Q184:V184"/>
    <mergeCell ref="W184:AB184"/>
    <mergeCell ref="AC184:AE184"/>
    <mergeCell ref="B185:M185"/>
    <mergeCell ref="N185:P185"/>
    <mergeCell ref="Q185:V185"/>
    <mergeCell ref="W185:AB185"/>
    <mergeCell ref="AC185:AE185"/>
    <mergeCell ref="B186:M186"/>
    <mergeCell ref="N186:P186"/>
    <mergeCell ref="Q186:V186"/>
    <mergeCell ref="W186:AB186"/>
    <mergeCell ref="AC186:AE186"/>
    <mergeCell ref="B187:M187"/>
    <mergeCell ref="N187:P187"/>
    <mergeCell ref="Q187:V187"/>
    <mergeCell ref="W187:AB187"/>
    <mergeCell ref="AC187:AE187"/>
    <mergeCell ref="B188:M188"/>
    <mergeCell ref="N188:P188"/>
    <mergeCell ref="Q188:V188"/>
    <mergeCell ref="W188:AB188"/>
    <mergeCell ref="AC188:AE188"/>
    <mergeCell ref="B189:M189"/>
    <mergeCell ref="N189:P189"/>
    <mergeCell ref="Q189:V189"/>
    <mergeCell ref="W189:AB189"/>
    <mergeCell ref="AC189:AE189"/>
    <mergeCell ref="B190:M190"/>
    <mergeCell ref="N190:P190"/>
    <mergeCell ref="Q190:V190"/>
    <mergeCell ref="W190:AB190"/>
    <mergeCell ref="AC190:AE190"/>
    <mergeCell ref="B191:M191"/>
    <mergeCell ref="N191:P191"/>
    <mergeCell ref="Q191:V191"/>
    <mergeCell ref="W191:AB191"/>
    <mergeCell ref="AC191:AE191"/>
    <mergeCell ref="B192:M192"/>
    <mergeCell ref="N192:P192"/>
    <mergeCell ref="Q192:V192"/>
    <mergeCell ref="W192:AB192"/>
    <mergeCell ref="AC192:AE192"/>
    <mergeCell ref="B193:M193"/>
    <mergeCell ref="N193:P193"/>
    <mergeCell ref="Q193:V193"/>
    <mergeCell ref="W193:AB193"/>
    <mergeCell ref="AC193:AE193"/>
    <mergeCell ref="B194:M194"/>
    <mergeCell ref="N194:P194"/>
    <mergeCell ref="Q194:V194"/>
    <mergeCell ref="W194:AB194"/>
    <mergeCell ref="AC194:AE194"/>
    <mergeCell ref="B195:M195"/>
    <mergeCell ref="N195:P195"/>
    <mergeCell ref="Q195:V195"/>
    <mergeCell ref="W195:AB195"/>
    <mergeCell ref="AC195:AE195"/>
    <mergeCell ref="B196:M196"/>
    <mergeCell ref="N196:P196"/>
    <mergeCell ref="Q196:V196"/>
    <mergeCell ref="W196:AB196"/>
    <mergeCell ref="AC196:AE196"/>
    <mergeCell ref="B197:M197"/>
    <mergeCell ref="N197:P197"/>
    <mergeCell ref="Q197:V197"/>
    <mergeCell ref="W197:AB197"/>
    <mergeCell ref="AC197:AE197"/>
    <mergeCell ref="B198:M198"/>
    <mergeCell ref="N198:P198"/>
    <mergeCell ref="Q198:V198"/>
    <mergeCell ref="W198:AB198"/>
    <mergeCell ref="AC198:AE198"/>
    <mergeCell ref="B199:M199"/>
    <mergeCell ref="N199:P199"/>
    <mergeCell ref="Q199:V199"/>
    <mergeCell ref="W199:AB199"/>
    <mergeCell ref="AC199:AE199"/>
    <mergeCell ref="B200:M200"/>
    <mergeCell ref="N200:P200"/>
    <mergeCell ref="Q200:V200"/>
    <mergeCell ref="W200:AB200"/>
    <mergeCell ref="AC200:AE200"/>
    <mergeCell ref="B201:M201"/>
    <mergeCell ref="N201:P201"/>
    <mergeCell ref="Q201:V201"/>
    <mergeCell ref="W201:AB201"/>
    <mergeCell ref="AC201:AE201"/>
    <mergeCell ref="B202:M202"/>
    <mergeCell ref="N202:P202"/>
    <mergeCell ref="Q202:V202"/>
    <mergeCell ref="W202:AB202"/>
    <mergeCell ref="AC202:AE202"/>
    <mergeCell ref="B203:M203"/>
    <mergeCell ref="N203:P203"/>
    <mergeCell ref="Q203:V203"/>
    <mergeCell ref="W203:AB203"/>
    <mergeCell ref="AC203:AE203"/>
    <mergeCell ref="B204:M204"/>
    <mergeCell ref="N204:P204"/>
    <mergeCell ref="Q204:V204"/>
    <mergeCell ref="W204:AB204"/>
    <mergeCell ref="AC204:AE204"/>
    <mergeCell ref="B205:M205"/>
    <mergeCell ref="N205:P205"/>
    <mergeCell ref="Q205:V205"/>
    <mergeCell ref="W205:AB205"/>
    <mergeCell ref="AC205:AE205"/>
    <mergeCell ref="B206:M206"/>
    <mergeCell ref="N206:P206"/>
    <mergeCell ref="Q206:V206"/>
    <mergeCell ref="W206:AB206"/>
    <mergeCell ref="AC206:AE206"/>
    <mergeCell ref="B207:M207"/>
    <mergeCell ref="N207:P207"/>
    <mergeCell ref="Q207:V207"/>
    <mergeCell ref="W207:AB207"/>
    <mergeCell ref="AC207:AE207"/>
    <mergeCell ref="B208:M208"/>
    <mergeCell ref="N208:P208"/>
    <mergeCell ref="Q208:V208"/>
    <mergeCell ref="W208:AB208"/>
    <mergeCell ref="AC208:AE208"/>
    <mergeCell ref="B209:M209"/>
    <mergeCell ref="N209:P209"/>
    <mergeCell ref="Q209:V209"/>
    <mergeCell ref="W209:AB209"/>
    <mergeCell ref="AC209:AE209"/>
    <mergeCell ref="B210:M210"/>
    <mergeCell ref="N210:P210"/>
    <mergeCell ref="Q210:V210"/>
    <mergeCell ref="W210:AB210"/>
    <mergeCell ref="AC210:AE210"/>
    <mergeCell ref="B211:M211"/>
    <mergeCell ref="N211:P211"/>
    <mergeCell ref="Q211:V211"/>
    <mergeCell ref="W211:AB211"/>
    <mergeCell ref="AC211:AE211"/>
    <mergeCell ref="B212:M212"/>
    <mergeCell ref="N212:P212"/>
    <mergeCell ref="Q212:V212"/>
    <mergeCell ref="W212:AB212"/>
    <mergeCell ref="AC212:AE212"/>
    <mergeCell ref="B213:M213"/>
    <mergeCell ref="N213:P213"/>
    <mergeCell ref="Q213:V213"/>
    <mergeCell ref="W213:AB213"/>
    <mergeCell ref="AC213:AE213"/>
    <mergeCell ref="B214:M214"/>
    <mergeCell ref="N214:P214"/>
    <mergeCell ref="Q214:V214"/>
    <mergeCell ref="W214:AB214"/>
    <mergeCell ref="AC214:AE214"/>
    <mergeCell ref="B215:M215"/>
    <mergeCell ref="N215:P215"/>
    <mergeCell ref="Q215:V215"/>
    <mergeCell ref="W215:AB215"/>
    <mergeCell ref="AC215:AE215"/>
    <mergeCell ref="B216:M216"/>
    <mergeCell ref="N216:P216"/>
    <mergeCell ref="Q216:V216"/>
    <mergeCell ref="W216:AB216"/>
    <mergeCell ref="AC216:AE216"/>
    <mergeCell ref="B217:M217"/>
    <mergeCell ref="N217:P217"/>
    <mergeCell ref="Q217:V217"/>
    <mergeCell ref="W217:AB217"/>
    <mergeCell ref="AC217:AE217"/>
    <mergeCell ref="B218:M218"/>
    <mergeCell ref="N218:P218"/>
    <mergeCell ref="Q218:V218"/>
    <mergeCell ref="W218:AB218"/>
    <mergeCell ref="AC218:AE218"/>
    <mergeCell ref="B219:M219"/>
    <mergeCell ref="N219:P219"/>
    <mergeCell ref="Q219:V219"/>
    <mergeCell ref="W219:AB219"/>
    <mergeCell ref="AC219:AE219"/>
    <mergeCell ref="B220:M220"/>
    <mergeCell ref="N220:P220"/>
    <mergeCell ref="Q220:V220"/>
    <mergeCell ref="W220:AB220"/>
    <mergeCell ref="AC220:AE220"/>
    <mergeCell ref="B221:M221"/>
    <mergeCell ref="N221:P221"/>
    <mergeCell ref="Q221:V221"/>
    <mergeCell ref="W221:AB221"/>
    <mergeCell ref="AC221:AE221"/>
    <mergeCell ref="B222:M222"/>
    <mergeCell ref="N222:P222"/>
    <mergeCell ref="Q222:V222"/>
    <mergeCell ref="W222:AB222"/>
    <mergeCell ref="AC222:AE222"/>
    <mergeCell ref="B223:M223"/>
    <mergeCell ref="N223:P223"/>
    <mergeCell ref="Q223:V223"/>
    <mergeCell ref="W223:AB223"/>
    <mergeCell ref="AC223:AE223"/>
    <mergeCell ref="B224:M224"/>
    <mergeCell ref="N224:P224"/>
    <mergeCell ref="Q224:V224"/>
    <mergeCell ref="W224:AB224"/>
    <mergeCell ref="AC224:AE224"/>
    <mergeCell ref="B225:M225"/>
    <mergeCell ref="N225:P225"/>
    <mergeCell ref="Q225:V225"/>
    <mergeCell ref="W225:AB225"/>
    <mergeCell ref="AC225:AE225"/>
    <mergeCell ref="B226:M226"/>
    <mergeCell ref="N226:P226"/>
    <mergeCell ref="Q226:V226"/>
    <mergeCell ref="W226:AB226"/>
    <mergeCell ref="AC226:AE226"/>
    <mergeCell ref="B227:M227"/>
    <mergeCell ref="N227:P227"/>
    <mergeCell ref="Q227:V227"/>
    <mergeCell ref="W227:AB227"/>
    <mergeCell ref="AC227:AE227"/>
    <mergeCell ref="B228:M228"/>
    <mergeCell ref="N228:P228"/>
    <mergeCell ref="Q228:V228"/>
    <mergeCell ref="W228:AB228"/>
    <mergeCell ref="AC228:AE228"/>
    <mergeCell ref="B229:M229"/>
    <mergeCell ref="N229:P229"/>
    <mergeCell ref="Q229:V229"/>
    <mergeCell ref="W229:AB229"/>
    <mergeCell ref="AC229:AE229"/>
    <mergeCell ref="B230:M230"/>
    <mergeCell ref="N230:P230"/>
    <mergeCell ref="Q230:V230"/>
    <mergeCell ref="W230:AB230"/>
    <mergeCell ref="AC230:AE230"/>
    <mergeCell ref="B231:M231"/>
    <mergeCell ref="N231:P231"/>
    <mergeCell ref="Q231:V231"/>
    <mergeCell ref="W231:AB231"/>
    <mergeCell ref="AC231:AE231"/>
    <mergeCell ref="B232:M232"/>
    <mergeCell ref="N232:P232"/>
    <mergeCell ref="Q232:V232"/>
    <mergeCell ref="W232:AB232"/>
    <mergeCell ref="AC232:AE232"/>
    <mergeCell ref="B233:M233"/>
    <mergeCell ref="N233:P233"/>
    <mergeCell ref="Q233:V233"/>
    <mergeCell ref="W233:AB233"/>
    <mergeCell ref="AC233:AE233"/>
    <mergeCell ref="B234:M234"/>
    <mergeCell ref="N234:P234"/>
    <mergeCell ref="Q234:V234"/>
    <mergeCell ref="W234:AB234"/>
    <mergeCell ref="AC234:AE234"/>
    <mergeCell ref="B235:M235"/>
    <mergeCell ref="N235:P235"/>
    <mergeCell ref="Q235:V235"/>
    <mergeCell ref="W235:AB235"/>
    <mergeCell ref="AC235:AE235"/>
    <mergeCell ref="B236:M236"/>
    <mergeCell ref="N236:P236"/>
    <mergeCell ref="Q236:V236"/>
    <mergeCell ref="W236:AB236"/>
    <mergeCell ref="AC236:AE236"/>
    <mergeCell ref="B237:M237"/>
    <mergeCell ref="N237:P237"/>
    <mergeCell ref="Q237:V237"/>
    <mergeCell ref="W237:AB237"/>
    <mergeCell ref="AC237:AE237"/>
    <mergeCell ref="B238:M238"/>
    <mergeCell ref="N238:P238"/>
    <mergeCell ref="Q238:V238"/>
    <mergeCell ref="W238:AB238"/>
    <mergeCell ref="AC238:AE238"/>
    <mergeCell ref="B239:M239"/>
    <mergeCell ref="N239:P239"/>
    <mergeCell ref="Q239:V239"/>
    <mergeCell ref="W239:AB239"/>
    <mergeCell ref="AC239:AE239"/>
    <mergeCell ref="B240:M240"/>
    <mergeCell ref="N240:P240"/>
    <mergeCell ref="Q240:V240"/>
    <mergeCell ref="W240:AB240"/>
    <mergeCell ref="AC240:AE240"/>
    <mergeCell ref="B241:M241"/>
    <mergeCell ref="N241:P241"/>
    <mergeCell ref="Q241:V241"/>
    <mergeCell ref="W241:AB241"/>
    <mergeCell ref="AC241:AE241"/>
    <mergeCell ref="B242:M242"/>
    <mergeCell ref="N242:P242"/>
    <mergeCell ref="Q242:V242"/>
    <mergeCell ref="W242:AB242"/>
    <mergeCell ref="AC242:AE242"/>
    <mergeCell ref="B243:M243"/>
    <mergeCell ref="N243:P243"/>
    <mergeCell ref="Q243:V243"/>
    <mergeCell ref="W243:AB243"/>
    <mergeCell ref="AC243:AE243"/>
    <mergeCell ref="B244:M244"/>
    <mergeCell ref="N244:P244"/>
    <mergeCell ref="Q244:V244"/>
    <mergeCell ref="W244:AB244"/>
    <mergeCell ref="AC244:AE244"/>
    <mergeCell ref="B245:M245"/>
    <mergeCell ref="N245:P245"/>
    <mergeCell ref="Q245:V245"/>
    <mergeCell ref="W245:AB245"/>
    <mergeCell ref="AC245:AE245"/>
    <mergeCell ref="B246:M246"/>
    <mergeCell ref="N246:P246"/>
    <mergeCell ref="Q246:V246"/>
    <mergeCell ref="W246:AB246"/>
    <mergeCell ref="AC246:AE246"/>
    <mergeCell ref="B247:M247"/>
    <mergeCell ref="N247:P247"/>
    <mergeCell ref="Q247:V247"/>
    <mergeCell ref="W247:AB247"/>
    <mergeCell ref="AC247:AE247"/>
    <mergeCell ref="B248:M248"/>
    <mergeCell ref="N248:P248"/>
    <mergeCell ref="Q248:V248"/>
    <mergeCell ref="W248:AB248"/>
    <mergeCell ref="AC248:AE248"/>
    <mergeCell ref="B249:M249"/>
    <mergeCell ref="N249:P249"/>
    <mergeCell ref="Q249:V249"/>
    <mergeCell ref="W249:AB249"/>
    <mergeCell ref="AC249:AE249"/>
    <mergeCell ref="B250:M250"/>
    <mergeCell ref="N250:P250"/>
    <mergeCell ref="Q250:V250"/>
    <mergeCell ref="W250:AB250"/>
    <mergeCell ref="AC250:AE250"/>
    <mergeCell ref="B251:M251"/>
    <mergeCell ref="N251:P251"/>
    <mergeCell ref="Q251:V251"/>
    <mergeCell ref="W251:AB251"/>
    <mergeCell ref="AC251:AE251"/>
    <mergeCell ref="B252:M252"/>
    <mergeCell ref="N252:P252"/>
    <mergeCell ref="Q252:V252"/>
    <mergeCell ref="W252:AB252"/>
    <mergeCell ref="AC252:AE252"/>
    <mergeCell ref="B253:M253"/>
    <mergeCell ref="N253:P253"/>
    <mergeCell ref="Q253:V253"/>
    <mergeCell ref="W253:AB253"/>
    <mergeCell ref="AC253:AE253"/>
    <mergeCell ref="B254:M254"/>
    <mergeCell ref="N254:P254"/>
    <mergeCell ref="Q254:V254"/>
    <mergeCell ref="W254:AB254"/>
    <mergeCell ref="AC254:AE254"/>
    <mergeCell ref="B255:M255"/>
    <mergeCell ref="N255:P255"/>
    <mergeCell ref="Q255:V255"/>
    <mergeCell ref="W255:AB255"/>
    <mergeCell ref="AC255:AE255"/>
    <mergeCell ref="B256:M256"/>
    <mergeCell ref="N256:P256"/>
    <mergeCell ref="Q256:V256"/>
    <mergeCell ref="W256:AB256"/>
    <mergeCell ref="AC256:AE256"/>
    <mergeCell ref="B257:M257"/>
    <mergeCell ref="N257:P257"/>
    <mergeCell ref="Q257:V257"/>
    <mergeCell ref="W257:AB257"/>
    <mergeCell ref="AC257:AE257"/>
    <mergeCell ref="B258:M258"/>
    <mergeCell ref="N258:P258"/>
    <mergeCell ref="Q258:V258"/>
    <mergeCell ref="W258:AB258"/>
    <mergeCell ref="AC258:AE258"/>
    <mergeCell ref="B259:M259"/>
    <mergeCell ref="N259:P259"/>
    <mergeCell ref="Q259:V259"/>
    <mergeCell ref="W259:AB259"/>
    <mergeCell ref="AC259:AE259"/>
    <mergeCell ref="B260:M260"/>
    <mergeCell ref="N260:P260"/>
    <mergeCell ref="Q260:V260"/>
    <mergeCell ref="W260:AB260"/>
    <mergeCell ref="AC260:AE260"/>
    <mergeCell ref="B261:M261"/>
    <mergeCell ref="N261:P261"/>
    <mergeCell ref="Q261:V261"/>
    <mergeCell ref="W261:AB261"/>
    <mergeCell ref="AC261:AE261"/>
    <mergeCell ref="B262:M262"/>
    <mergeCell ref="N262:P262"/>
    <mergeCell ref="Q262:V262"/>
    <mergeCell ref="W262:AB262"/>
    <mergeCell ref="AC262:AE262"/>
    <mergeCell ref="B263:M263"/>
    <mergeCell ref="N263:P263"/>
    <mergeCell ref="Q263:V263"/>
    <mergeCell ref="W263:AB263"/>
    <mergeCell ref="AC263:AE263"/>
    <mergeCell ref="B264:M264"/>
    <mergeCell ref="N264:P264"/>
    <mergeCell ref="Q264:V264"/>
    <mergeCell ref="W264:AB264"/>
    <mergeCell ref="AC264:AE264"/>
    <mergeCell ref="B265:M265"/>
    <mergeCell ref="N265:P265"/>
    <mergeCell ref="Q265:V265"/>
    <mergeCell ref="W265:AB265"/>
    <mergeCell ref="AC265:AE265"/>
    <mergeCell ref="B266:M266"/>
    <mergeCell ref="N266:P266"/>
    <mergeCell ref="Q266:V266"/>
    <mergeCell ref="W266:AB266"/>
    <mergeCell ref="AC266:AE266"/>
    <mergeCell ref="B267:M267"/>
    <mergeCell ref="N267:P267"/>
    <mergeCell ref="Q267:V267"/>
    <mergeCell ref="W267:AB267"/>
    <mergeCell ref="AC267:AE267"/>
    <mergeCell ref="B268:M268"/>
    <mergeCell ref="N268:P268"/>
    <mergeCell ref="Q268:V268"/>
    <mergeCell ref="W268:AB268"/>
    <mergeCell ref="AC268:AE268"/>
    <mergeCell ref="B269:M269"/>
    <mergeCell ref="N269:P269"/>
    <mergeCell ref="Q269:V269"/>
    <mergeCell ref="W269:AB269"/>
    <mergeCell ref="AC269:AE269"/>
    <mergeCell ref="B270:M270"/>
    <mergeCell ref="N270:P270"/>
    <mergeCell ref="Q270:V270"/>
    <mergeCell ref="W270:AB270"/>
    <mergeCell ref="AC270:AE270"/>
    <mergeCell ref="B271:M271"/>
    <mergeCell ref="N271:P271"/>
    <mergeCell ref="Q271:V271"/>
    <mergeCell ref="W271:AB271"/>
    <mergeCell ref="AC271:AE271"/>
    <mergeCell ref="B272:M272"/>
    <mergeCell ref="N272:P272"/>
    <mergeCell ref="Q272:V272"/>
    <mergeCell ref="W272:AB272"/>
    <mergeCell ref="AC272:AE272"/>
    <mergeCell ref="B273:M273"/>
    <mergeCell ref="N273:P273"/>
    <mergeCell ref="Q273:V273"/>
    <mergeCell ref="W273:AB273"/>
    <mergeCell ref="AC273:AE273"/>
    <mergeCell ref="B274:M274"/>
    <mergeCell ref="N274:P274"/>
    <mergeCell ref="Q274:V274"/>
    <mergeCell ref="W274:AB274"/>
    <mergeCell ref="AC274:AE274"/>
    <mergeCell ref="B275:M275"/>
    <mergeCell ref="N275:P275"/>
    <mergeCell ref="Q275:V275"/>
    <mergeCell ref="W275:AB275"/>
    <mergeCell ref="AC275:AE275"/>
    <mergeCell ref="B276:M276"/>
    <mergeCell ref="N276:P276"/>
    <mergeCell ref="Q276:V276"/>
    <mergeCell ref="W276:AB276"/>
    <mergeCell ref="AC276:AE276"/>
    <mergeCell ref="B277:M277"/>
    <mergeCell ref="N277:P277"/>
    <mergeCell ref="Q277:V277"/>
    <mergeCell ref="W277:AB277"/>
    <mergeCell ref="AC277:AE277"/>
    <mergeCell ref="B278:M278"/>
    <mergeCell ref="N278:P278"/>
    <mergeCell ref="Q278:V278"/>
    <mergeCell ref="W278:AB278"/>
    <mergeCell ref="AC278:AE278"/>
    <mergeCell ref="B279:M279"/>
    <mergeCell ref="N279:P279"/>
    <mergeCell ref="Q279:V279"/>
    <mergeCell ref="W279:AB279"/>
    <mergeCell ref="AC279:AE279"/>
    <mergeCell ref="B280:M280"/>
    <mergeCell ref="N280:P280"/>
    <mergeCell ref="Q280:V280"/>
    <mergeCell ref="W280:AB280"/>
    <mergeCell ref="AC280:AE280"/>
    <mergeCell ref="B281:M281"/>
    <mergeCell ref="N281:P281"/>
    <mergeCell ref="Q281:V281"/>
    <mergeCell ref="W281:AB281"/>
    <mergeCell ref="AC281:AE281"/>
    <mergeCell ref="B282:M282"/>
    <mergeCell ref="N282:P282"/>
    <mergeCell ref="Q282:V282"/>
    <mergeCell ref="W282:AB282"/>
    <mergeCell ref="AC282:AE282"/>
    <mergeCell ref="B283:M283"/>
    <mergeCell ref="N283:P283"/>
    <mergeCell ref="Q283:V283"/>
    <mergeCell ref="W283:AB283"/>
    <mergeCell ref="AC283:AE283"/>
    <mergeCell ref="B284:M284"/>
    <mergeCell ref="N284:P284"/>
    <mergeCell ref="Q284:V284"/>
    <mergeCell ref="W284:AB284"/>
    <mergeCell ref="AC284:AE284"/>
    <mergeCell ref="B285:M285"/>
    <mergeCell ref="N285:P285"/>
    <mergeCell ref="Q285:V285"/>
    <mergeCell ref="W285:AB285"/>
    <mergeCell ref="AC285:AE285"/>
    <mergeCell ref="B286:M286"/>
    <mergeCell ref="N286:P286"/>
    <mergeCell ref="Q286:V286"/>
    <mergeCell ref="W286:AB286"/>
    <mergeCell ref="AC286:AE286"/>
    <mergeCell ref="B287:M287"/>
    <mergeCell ref="N287:P287"/>
    <mergeCell ref="Q287:V287"/>
    <mergeCell ref="W287:AB287"/>
    <mergeCell ref="AC287:AE287"/>
    <mergeCell ref="B288:M288"/>
    <mergeCell ref="N288:P288"/>
    <mergeCell ref="Q288:V288"/>
    <mergeCell ref="W288:AB288"/>
    <mergeCell ref="AC288:AE288"/>
    <mergeCell ref="B289:M289"/>
    <mergeCell ref="N289:P289"/>
    <mergeCell ref="Q289:V289"/>
    <mergeCell ref="W289:AB289"/>
    <mergeCell ref="AC289:AE289"/>
    <mergeCell ref="B290:M290"/>
    <mergeCell ref="N290:P290"/>
    <mergeCell ref="Q290:V290"/>
    <mergeCell ref="W290:AB290"/>
    <mergeCell ref="AC290:AE290"/>
    <mergeCell ref="B291:M291"/>
    <mergeCell ref="N291:P291"/>
    <mergeCell ref="Q291:V291"/>
    <mergeCell ref="W291:AB291"/>
    <mergeCell ref="AC291:AE291"/>
    <mergeCell ref="B292:M292"/>
    <mergeCell ref="N292:P292"/>
    <mergeCell ref="Q292:V292"/>
    <mergeCell ref="W292:AB292"/>
    <mergeCell ref="AC292:AE292"/>
    <mergeCell ref="B293:M293"/>
    <mergeCell ref="N293:P293"/>
    <mergeCell ref="Q293:V293"/>
    <mergeCell ref="W293:AB293"/>
    <mergeCell ref="AC293:AE293"/>
    <mergeCell ref="B294:M294"/>
    <mergeCell ref="N294:P294"/>
    <mergeCell ref="Q294:V294"/>
    <mergeCell ref="W294:AB294"/>
    <mergeCell ref="AC294:AE294"/>
    <mergeCell ref="B295:M295"/>
    <mergeCell ref="N295:P295"/>
    <mergeCell ref="Q295:V295"/>
    <mergeCell ref="W295:AB295"/>
    <mergeCell ref="AC295:AE295"/>
    <mergeCell ref="B296:M296"/>
    <mergeCell ref="N296:P296"/>
    <mergeCell ref="Q296:V296"/>
    <mergeCell ref="W296:AB296"/>
    <mergeCell ref="AC296:AE296"/>
    <mergeCell ref="B297:M297"/>
    <mergeCell ref="N297:P297"/>
    <mergeCell ref="Q297:V297"/>
    <mergeCell ref="W297:AB297"/>
    <mergeCell ref="AC297:AE297"/>
    <mergeCell ref="B298:M298"/>
    <mergeCell ref="N298:P298"/>
    <mergeCell ref="Q298:V298"/>
    <mergeCell ref="W298:AB298"/>
    <mergeCell ref="AC298:AE298"/>
    <mergeCell ref="B299:M299"/>
    <mergeCell ref="N299:P299"/>
    <mergeCell ref="Q299:V299"/>
    <mergeCell ref="W299:AB299"/>
    <mergeCell ref="AC299:AE299"/>
    <mergeCell ref="B300:M300"/>
    <mergeCell ref="N300:P300"/>
    <mergeCell ref="Q300:V300"/>
    <mergeCell ref="W300:AB300"/>
    <mergeCell ref="AC300:AE300"/>
    <mergeCell ref="B301:M301"/>
    <mergeCell ref="N301:P301"/>
    <mergeCell ref="Q301:V301"/>
    <mergeCell ref="W301:AB301"/>
    <mergeCell ref="AC301:AE301"/>
    <mergeCell ref="B302:M302"/>
    <mergeCell ref="N302:P302"/>
    <mergeCell ref="Q302:V302"/>
    <mergeCell ref="W302:AB302"/>
    <mergeCell ref="AC302:AE302"/>
    <mergeCell ref="B303:M303"/>
    <mergeCell ref="N303:P303"/>
    <mergeCell ref="Q303:V303"/>
    <mergeCell ref="W303:AB303"/>
    <mergeCell ref="AC303:AE303"/>
    <mergeCell ref="B304:M304"/>
    <mergeCell ref="N304:P304"/>
    <mergeCell ref="Q304:V304"/>
    <mergeCell ref="W304:AB304"/>
    <mergeCell ref="AC304:AE304"/>
    <mergeCell ref="B305:M305"/>
    <mergeCell ref="N305:P305"/>
    <mergeCell ref="Q305:V305"/>
    <mergeCell ref="W305:AB305"/>
    <mergeCell ref="AC305:AE305"/>
    <mergeCell ref="B306:M306"/>
    <mergeCell ref="N306:P306"/>
    <mergeCell ref="Q306:V306"/>
    <mergeCell ref="W306:AB306"/>
    <mergeCell ref="AC306:AE306"/>
    <mergeCell ref="B307:M307"/>
    <mergeCell ref="N307:P307"/>
    <mergeCell ref="Q307:V307"/>
    <mergeCell ref="W307:AB307"/>
    <mergeCell ref="AC307:AE307"/>
    <mergeCell ref="B308:M308"/>
    <mergeCell ref="N308:P308"/>
    <mergeCell ref="Q308:V308"/>
    <mergeCell ref="W308:AB308"/>
    <mergeCell ref="AC308:AE308"/>
    <mergeCell ref="B309:M309"/>
    <mergeCell ref="N309:P309"/>
    <mergeCell ref="Q309:V309"/>
    <mergeCell ref="W309:AB309"/>
    <mergeCell ref="AC309:AE309"/>
    <mergeCell ref="B310:M310"/>
    <mergeCell ref="N310:P310"/>
    <mergeCell ref="Q310:V310"/>
    <mergeCell ref="W310:AB310"/>
    <mergeCell ref="AC310:AE310"/>
    <mergeCell ref="B311:M311"/>
    <mergeCell ref="N311:P311"/>
    <mergeCell ref="Q311:V311"/>
    <mergeCell ref="W311:AB311"/>
    <mergeCell ref="AC311:AE311"/>
    <mergeCell ref="B312:M312"/>
    <mergeCell ref="N312:P312"/>
    <mergeCell ref="Q312:V312"/>
    <mergeCell ref="W312:AB312"/>
    <mergeCell ref="AC312:AE312"/>
    <mergeCell ref="B313:M313"/>
    <mergeCell ref="N313:P313"/>
    <mergeCell ref="Q313:V313"/>
    <mergeCell ref="W313:AB313"/>
    <mergeCell ref="AC313:AE313"/>
    <mergeCell ref="B314:M314"/>
    <mergeCell ref="N314:P314"/>
    <mergeCell ref="Q314:V314"/>
    <mergeCell ref="W314:AB314"/>
    <mergeCell ref="AC314:AE314"/>
    <mergeCell ref="B315:M315"/>
    <mergeCell ref="N315:P315"/>
    <mergeCell ref="Q315:V315"/>
    <mergeCell ref="W315:AB315"/>
    <mergeCell ref="AC315:AE315"/>
    <mergeCell ref="B316:M316"/>
    <mergeCell ref="N316:P316"/>
    <mergeCell ref="Q316:V316"/>
    <mergeCell ref="W316:AB316"/>
    <mergeCell ref="AC316:AE316"/>
    <mergeCell ref="B317:M317"/>
    <mergeCell ref="N317:P317"/>
    <mergeCell ref="Q317:V317"/>
    <mergeCell ref="W317:AB317"/>
    <mergeCell ref="AC317:AE317"/>
    <mergeCell ref="B318:M318"/>
    <mergeCell ref="N318:P318"/>
    <mergeCell ref="Q318:V318"/>
    <mergeCell ref="W318:AB318"/>
    <mergeCell ref="AC318:AE318"/>
    <mergeCell ref="B319:M319"/>
    <mergeCell ref="N319:P319"/>
    <mergeCell ref="Q319:V319"/>
    <mergeCell ref="W319:AB319"/>
    <mergeCell ref="AC319:AE319"/>
    <mergeCell ref="B320:M320"/>
    <mergeCell ref="N320:P320"/>
    <mergeCell ref="Q320:V320"/>
    <mergeCell ref="W320:AB320"/>
    <mergeCell ref="AC320:AE320"/>
    <mergeCell ref="B321:M321"/>
    <mergeCell ref="N321:P321"/>
    <mergeCell ref="Q321:V321"/>
    <mergeCell ref="W321:AB321"/>
    <mergeCell ref="AC321:AE321"/>
    <mergeCell ref="B322:M322"/>
    <mergeCell ref="N322:P322"/>
    <mergeCell ref="Q322:V322"/>
    <mergeCell ref="W322:AB322"/>
    <mergeCell ref="AC322:AE322"/>
    <mergeCell ref="B323:M323"/>
    <mergeCell ref="N323:P323"/>
    <mergeCell ref="Q323:V323"/>
    <mergeCell ref="W323:AB323"/>
    <mergeCell ref="AC323:AE323"/>
    <mergeCell ref="B324:M324"/>
    <mergeCell ref="N324:P324"/>
    <mergeCell ref="Q324:V324"/>
    <mergeCell ref="W324:AB324"/>
    <mergeCell ref="AC324:AE324"/>
    <mergeCell ref="B325:M325"/>
    <mergeCell ref="N325:P325"/>
    <mergeCell ref="Q325:V325"/>
    <mergeCell ref="W325:AB325"/>
    <mergeCell ref="AC325:AE325"/>
    <mergeCell ref="B326:M326"/>
    <mergeCell ref="N326:P326"/>
    <mergeCell ref="Q326:V326"/>
    <mergeCell ref="W326:AB326"/>
    <mergeCell ref="AC326:AE326"/>
    <mergeCell ref="B327:M327"/>
    <mergeCell ref="N327:P327"/>
    <mergeCell ref="Q327:V327"/>
    <mergeCell ref="W327:AB327"/>
    <mergeCell ref="AC327:AE327"/>
    <mergeCell ref="B328:M328"/>
    <mergeCell ref="N328:P328"/>
    <mergeCell ref="Q328:V328"/>
    <mergeCell ref="W328:AB328"/>
    <mergeCell ref="AC328:AE328"/>
    <mergeCell ref="B329:M329"/>
    <mergeCell ref="N329:P329"/>
    <mergeCell ref="Q329:V329"/>
    <mergeCell ref="W329:AB329"/>
    <mergeCell ref="AC329:AE329"/>
    <mergeCell ref="B330:M330"/>
    <mergeCell ref="N330:P330"/>
    <mergeCell ref="Q330:V330"/>
    <mergeCell ref="W330:AB330"/>
    <mergeCell ref="AC330:AE330"/>
    <mergeCell ref="B331:M331"/>
    <mergeCell ref="N331:P331"/>
    <mergeCell ref="Q331:V331"/>
    <mergeCell ref="W331:AB331"/>
    <mergeCell ref="AC331:AE331"/>
    <mergeCell ref="B332:M332"/>
    <mergeCell ref="N332:P332"/>
    <mergeCell ref="Q332:V332"/>
    <mergeCell ref="W332:AB332"/>
    <mergeCell ref="AC332:AE332"/>
    <mergeCell ref="B333:M333"/>
    <mergeCell ref="N333:P333"/>
    <mergeCell ref="Q333:V333"/>
    <mergeCell ref="W333:AB333"/>
    <mergeCell ref="AC333:AE333"/>
    <mergeCell ref="B334:M334"/>
    <mergeCell ref="N334:P334"/>
    <mergeCell ref="Q334:V334"/>
    <mergeCell ref="W334:AB334"/>
    <mergeCell ref="AC334:AE334"/>
    <mergeCell ref="B335:M335"/>
    <mergeCell ref="N335:P335"/>
    <mergeCell ref="Q335:V335"/>
    <mergeCell ref="W335:AB335"/>
    <mergeCell ref="AC335:AE335"/>
    <mergeCell ref="B336:M336"/>
    <mergeCell ref="N336:P336"/>
    <mergeCell ref="Q336:V336"/>
    <mergeCell ref="W336:AB336"/>
    <mergeCell ref="AC336:AE336"/>
    <mergeCell ref="B337:M337"/>
    <mergeCell ref="N337:P337"/>
    <mergeCell ref="Q337:V337"/>
    <mergeCell ref="W337:AB337"/>
    <mergeCell ref="AC337:AE337"/>
    <mergeCell ref="B338:M338"/>
    <mergeCell ref="N338:P338"/>
    <mergeCell ref="Q338:V338"/>
    <mergeCell ref="W338:AB338"/>
    <mergeCell ref="AC338:AE338"/>
    <mergeCell ref="B339:M339"/>
    <mergeCell ref="N339:P339"/>
    <mergeCell ref="Q339:V339"/>
    <mergeCell ref="W339:AB339"/>
    <mergeCell ref="AC339:AE339"/>
    <mergeCell ref="B340:M340"/>
    <mergeCell ref="N340:P340"/>
    <mergeCell ref="Q340:V340"/>
    <mergeCell ref="W340:AB340"/>
    <mergeCell ref="AC340:AE340"/>
    <mergeCell ref="B341:M341"/>
    <mergeCell ref="N341:P341"/>
    <mergeCell ref="Q341:V341"/>
    <mergeCell ref="W341:AB341"/>
    <mergeCell ref="AC341:AE341"/>
    <mergeCell ref="B342:M342"/>
    <mergeCell ref="N342:P342"/>
    <mergeCell ref="Q342:V342"/>
    <mergeCell ref="W342:AB342"/>
    <mergeCell ref="AC342:AE342"/>
    <mergeCell ref="B343:M343"/>
    <mergeCell ref="N343:P343"/>
    <mergeCell ref="Q343:V343"/>
    <mergeCell ref="W343:AB343"/>
    <mergeCell ref="AC343:AE343"/>
    <mergeCell ref="B344:M344"/>
    <mergeCell ref="N344:P344"/>
    <mergeCell ref="Q344:V344"/>
    <mergeCell ref="W344:AB344"/>
    <mergeCell ref="AC344:AE344"/>
    <mergeCell ref="B345:M345"/>
    <mergeCell ref="N345:P345"/>
    <mergeCell ref="Q345:V345"/>
    <mergeCell ref="W345:AB345"/>
    <mergeCell ref="AC345:AE345"/>
    <mergeCell ref="B346:M346"/>
    <mergeCell ref="N346:P346"/>
    <mergeCell ref="Q346:V346"/>
    <mergeCell ref="W346:AB346"/>
    <mergeCell ref="AC346:AE346"/>
    <mergeCell ref="B347:M347"/>
    <mergeCell ref="N347:P347"/>
    <mergeCell ref="Q347:V347"/>
    <mergeCell ref="W347:AB347"/>
    <mergeCell ref="AC347:AE347"/>
    <mergeCell ref="B348:M348"/>
    <mergeCell ref="N348:P348"/>
    <mergeCell ref="Q348:V348"/>
    <mergeCell ref="W348:AB348"/>
    <mergeCell ref="AC348:AE348"/>
    <mergeCell ref="B349:M349"/>
    <mergeCell ref="N349:P349"/>
    <mergeCell ref="Q349:V349"/>
    <mergeCell ref="W349:AB349"/>
    <mergeCell ref="AC349:AE349"/>
    <mergeCell ref="B350:M350"/>
    <mergeCell ref="N350:P350"/>
    <mergeCell ref="Q350:V350"/>
    <mergeCell ref="W350:AB350"/>
    <mergeCell ref="AC350:AE350"/>
    <mergeCell ref="B351:M351"/>
    <mergeCell ref="N351:P351"/>
    <mergeCell ref="Q351:V351"/>
    <mergeCell ref="W351:AB351"/>
    <mergeCell ref="AC351:AE351"/>
    <mergeCell ref="B352:M352"/>
    <mergeCell ref="N352:P352"/>
    <mergeCell ref="Q352:V352"/>
    <mergeCell ref="W352:AB352"/>
    <mergeCell ref="AC352:AE352"/>
    <mergeCell ref="B353:M353"/>
    <mergeCell ref="N353:P353"/>
    <mergeCell ref="Q353:V353"/>
    <mergeCell ref="W353:AB353"/>
    <mergeCell ref="AC353:AE353"/>
    <mergeCell ref="B354:M354"/>
    <mergeCell ref="N354:P354"/>
    <mergeCell ref="Q354:V354"/>
    <mergeCell ref="W354:AB354"/>
    <mergeCell ref="AC354:AE354"/>
    <mergeCell ref="B355:M355"/>
    <mergeCell ref="N355:P355"/>
    <mergeCell ref="Q355:V355"/>
    <mergeCell ref="W355:AB355"/>
    <mergeCell ref="AC355:AE355"/>
    <mergeCell ref="B356:M356"/>
    <mergeCell ref="N356:P356"/>
    <mergeCell ref="Q356:V356"/>
    <mergeCell ref="W356:AB356"/>
    <mergeCell ref="AC356:AE356"/>
    <mergeCell ref="B357:M357"/>
    <mergeCell ref="N357:P357"/>
    <mergeCell ref="Q357:V357"/>
    <mergeCell ref="W357:AB357"/>
    <mergeCell ref="AC357:AE357"/>
    <mergeCell ref="B358:M358"/>
    <mergeCell ref="N358:P358"/>
    <mergeCell ref="Q358:V358"/>
    <mergeCell ref="W358:AB358"/>
    <mergeCell ref="AC358:AE358"/>
    <mergeCell ref="B359:M359"/>
    <mergeCell ref="N359:P359"/>
    <mergeCell ref="Q359:V359"/>
    <mergeCell ref="W359:AB359"/>
    <mergeCell ref="AC359:AE359"/>
    <mergeCell ref="B360:M360"/>
    <mergeCell ref="N360:P360"/>
    <mergeCell ref="Q360:V360"/>
    <mergeCell ref="W360:AB360"/>
    <mergeCell ref="AC360:AE360"/>
    <mergeCell ref="B361:M361"/>
    <mergeCell ref="N361:P361"/>
    <mergeCell ref="Q361:V361"/>
    <mergeCell ref="W361:AB361"/>
    <mergeCell ref="AC361:AE361"/>
    <mergeCell ref="B362:M362"/>
    <mergeCell ref="N362:P362"/>
    <mergeCell ref="Q362:V362"/>
    <mergeCell ref="W362:AB362"/>
    <mergeCell ref="AC362:AE362"/>
    <mergeCell ref="B363:M363"/>
    <mergeCell ref="N363:P363"/>
    <mergeCell ref="Q363:V363"/>
    <mergeCell ref="W363:AB363"/>
    <mergeCell ref="AC363:AE363"/>
    <mergeCell ref="B364:M364"/>
    <mergeCell ref="N364:P364"/>
    <mergeCell ref="Q364:V364"/>
    <mergeCell ref="W364:AB364"/>
    <mergeCell ref="AC364:AE364"/>
    <mergeCell ref="B365:M365"/>
    <mergeCell ref="N365:P365"/>
    <mergeCell ref="Q365:V365"/>
    <mergeCell ref="W365:AB365"/>
    <mergeCell ref="AC365:AE365"/>
    <mergeCell ref="B366:M366"/>
    <mergeCell ref="N366:P366"/>
    <mergeCell ref="Q366:V366"/>
    <mergeCell ref="W366:AB366"/>
    <mergeCell ref="AC366:AE366"/>
    <mergeCell ref="B367:M367"/>
    <mergeCell ref="N367:P367"/>
    <mergeCell ref="Q367:V367"/>
    <mergeCell ref="W367:AB367"/>
    <mergeCell ref="AC367:AE367"/>
    <mergeCell ref="B368:M368"/>
    <mergeCell ref="N368:P368"/>
    <mergeCell ref="Q368:V368"/>
    <mergeCell ref="W368:AB368"/>
    <mergeCell ref="AC368:AE368"/>
    <mergeCell ref="B369:M369"/>
    <mergeCell ref="N369:P369"/>
    <mergeCell ref="Q369:V369"/>
    <mergeCell ref="W369:AB369"/>
    <mergeCell ref="AC369:AE369"/>
    <mergeCell ref="B370:M370"/>
    <mergeCell ref="N370:P370"/>
    <mergeCell ref="Q370:V370"/>
    <mergeCell ref="W370:AB370"/>
    <mergeCell ref="AC370:AE370"/>
    <mergeCell ref="B371:M371"/>
    <mergeCell ref="N371:P371"/>
    <mergeCell ref="Q371:V371"/>
    <mergeCell ref="W371:AB371"/>
    <mergeCell ref="AC371:AE371"/>
    <mergeCell ref="B372:M372"/>
    <mergeCell ref="N372:P372"/>
    <mergeCell ref="Q372:V372"/>
    <mergeCell ref="W372:AB372"/>
    <mergeCell ref="AC372:AE372"/>
    <mergeCell ref="B373:M373"/>
    <mergeCell ref="N373:P373"/>
    <mergeCell ref="Q373:V373"/>
    <mergeCell ref="W373:AB373"/>
    <mergeCell ref="AC373:AE373"/>
    <mergeCell ref="B374:M374"/>
    <mergeCell ref="N374:P374"/>
    <mergeCell ref="Q374:V374"/>
    <mergeCell ref="W374:AB374"/>
    <mergeCell ref="AC374:AE374"/>
    <mergeCell ref="B375:M375"/>
    <mergeCell ref="N375:P375"/>
    <mergeCell ref="Q375:V375"/>
    <mergeCell ref="W375:AB375"/>
    <mergeCell ref="AC375:AE375"/>
    <mergeCell ref="B376:M376"/>
    <mergeCell ref="N376:P376"/>
    <mergeCell ref="Q376:V376"/>
    <mergeCell ref="W376:AB376"/>
    <mergeCell ref="AC376:AE376"/>
    <mergeCell ref="B377:M377"/>
    <mergeCell ref="N377:P377"/>
    <mergeCell ref="Q377:V377"/>
    <mergeCell ref="W377:AB377"/>
    <mergeCell ref="AC377:AE377"/>
    <mergeCell ref="B378:M378"/>
    <mergeCell ref="N378:P378"/>
    <mergeCell ref="Q378:V378"/>
    <mergeCell ref="W378:AB378"/>
    <mergeCell ref="AC378:AE378"/>
    <mergeCell ref="B379:M379"/>
    <mergeCell ref="N379:P379"/>
    <mergeCell ref="Q379:V379"/>
    <mergeCell ref="W379:AB379"/>
    <mergeCell ref="AC379:AE379"/>
    <mergeCell ref="B380:M380"/>
    <mergeCell ref="N380:P380"/>
    <mergeCell ref="Q380:V380"/>
    <mergeCell ref="W380:AB380"/>
    <mergeCell ref="AC380:AE380"/>
    <mergeCell ref="B381:M381"/>
    <mergeCell ref="N381:P381"/>
    <mergeCell ref="Q381:V381"/>
    <mergeCell ref="W381:AB381"/>
    <mergeCell ref="AC381:AE381"/>
    <mergeCell ref="B382:M382"/>
    <mergeCell ref="N382:P382"/>
    <mergeCell ref="Q382:V382"/>
    <mergeCell ref="W382:AB382"/>
    <mergeCell ref="AC382:AE382"/>
    <mergeCell ref="B383:M383"/>
    <mergeCell ref="N383:P383"/>
    <mergeCell ref="Q383:V383"/>
    <mergeCell ref="W383:AB383"/>
    <mergeCell ref="AC383:AE383"/>
    <mergeCell ref="B384:M384"/>
    <mergeCell ref="N384:P384"/>
    <mergeCell ref="Q384:V384"/>
    <mergeCell ref="W384:AB384"/>
    <mergeCell ref="AC384:AE384"/>
    <mergeCell ref="B385:M385"/>
    <mergeCell ref="N385:P385"/>
    <mergeCell ref="Q385:V385"/>
    <mergeCell ref="W385:AB385"/>
    <mergeCell ref="AC385:AE385"/>
    <mergeCell ref="B386:M386"/>
    <mergeCell ref="N386:P386"/>
    <mergeCell ref="Q386:V386"/>
    <mergeCell ref="W386:AB386"/>
    <mergeCell ref="AC386:AE386"/>
    <mergeCell ref="B387:M387"/>
    <mergeCell ref="N387:P387"/>
    <mergeCell ref="Q387:V387"/>
    <mergeCell ref="W387:AB387"/>
    <mergeCell ref="AC387:AE387"/>
    <mergeCell ref="B388:M388"/>
    <mergeCell ref="N388:P388"/>
    <mergeCell ref="Q388:V388"/>
    <mergeCell ref="W388:AB388"/>
    <mergeCell ref="AC388:AE388"/>
    <mergeCell ref="B389:M389"/>
    <mergeCell ref="N389:P389"/>
    <mergeCell ref="Q389:V389"/>
    <mergeCell ref="W389:AB389"/>
    <mergeCell ref="AC389:AE389"/>
    <mergeCell ref="B390:M390"/>
    <mergeCell ref="N390:P390"/>
    <mergeCell ref="Q390:V390"/>
    <mergeCell ref="W390:AB390"/>
    <mergeCell ref="AC390:AE390"/>
    <mergeCell ref="B391:M391"/>
    <mergeCell ref="N391:P391"/>
    <mergeCell ref="Q391:V391"/>
    <mergeCell ref="W391:AB391"/>
    <mergeCell ref="AC391:AE391"/>
    <mergeCell ref="B392:M392"/>
    <mergeCell ref="N392:P392"/>
    <mergeCell ref="Q392:V392"/>
    <mergeCell ref="W392:AB392"/>
    <mergeCell ref="AC392:AE392"/>
    <mergeCell ref="B393:M393"/>
    <mergeCell ref="N393:P393"/>
    <mergeCell ref="Q393:V393"/>
    <mergeCell ref="W393:AB393"/>
    <mergeCell ref="AC393:AE393"/>
    <mergeCell ref="B394:M394"/>
    <mergeCell ref="N394:P394"/>
    <mergeCell ref="Q394:V394"/>
    <mergeCell ref="W394:AB394"/>
    <mergeCell ref="AC394:AE394"/>
    <mergeCell ref="B395:M395"/>
    <mergeCell ref="N395:P395"/>
    <mergeCell ref="Q395:V395"/>
    <mergeCell ref="W395:AB395"/>
    <mergeCell ref="AC395:AE395"/>
    <mergeCell ref="B396:M396"/>
    <mergeCell ref="N396:P396"/>
    <mergeCell ref="Q396:V396"/>
    <mergeCell ref="W396:AB396"/>
    <mergeCell ref="AC396:AE396"/>
    <mergeCell ref="B397:M397"/>
    <mergeCell ref="N397:P397"/>
    <mergeCell ref="Q397:V397"/>
    <mergeCell ref="W397:AB397"/>
    <mergeCell ref="AC397:AE397"/>
    <mergeCell ref="B398:M398"/>
    <mergeCell ref="N398:P398"/>
    <mergeCell ref="Q398:V398"/>
    <mergeCell ref="W398:AB398"/>
    <mergeCell ref="AC398:AE398"/>
    <mergeCell ref="B399:M399"/>
    <mergeCell ref="N399:P399"/>
    <mergeCell ref="Q399:V399"/>
    <mergeCell ref="W399:AB399"/>
    <mergeCell ref="AC399:AE399"/>
    <mergeCell ref="B400:M400"/>
    <mergeCell ref="N400:P400"/>
    <mergeCell ref="Q400:V400"/>
    <mergeCell ref="W400:AB400"/>
    <mergeCell ref="AC400:AE400"/>
    <mergeCell ref="B401:M401"/>
    <mergeCell ref="N401:P401"/>
    <mergeCell ref="Q401:V401"/>
    <mergeCell ref="W401:AB401"/>
    <mergeCell ref="AC401:AE401"/>
    <mergeCell ref="B402:M402"/>
    <mergeCell ref="N402:P402"/>
    <mergeCell ref="Q402:V402"/>
    <mergeCell ref="W402:AB402"/>
    <mergeCell ref="AC402:AE402"/>
    <mergeCell ref="B403:M403"/>
    <mergeCell ref="N403:P403"/>
    <mergeCell ref="Q403:V403"/>
    <mergeCell ref="W403:AB403"/>
    <mergeCell ref="AC403:AE403"/>
    <mergeCell ref="B404:M404"/>
    <mergeCell ref="N404:P404"/>
    <mergeCell ref="Q404:V404"/>
    <mergeCell ref="W404:AB404"/>
    <mergeCell ref="AC404:AE404"/>
    <mergeCell ref="B405:M405"/>
    <mergeCell ref="N405:P405"/>
    <mergeCell ref="Q405:V405"/>
    <mergeCell ref="W405:AB405"/>
    <mergeCell ref="AC405:AE405"/>
    <mergeCell ref="B406:M406"/>
    <mergeCell ref="N406:P406"/>
    <mergeCell ref="Q406:V406"/>
    <mergeCell ref="W406:AB406"/>
    <mergeCell ref="AC406:AE406"/>
    <mergeCell ref="B407:M407"/>
    <mergeCell ref="N407:P407"/>
    <mergeCell ref="Q407:V407"/>
    <mergeCell ref="W407:AB407"/>
    <mergeCell ref="AC407:AE407"/>
    <mergeCell ref="B408:M408"/>
    <mergeCell ref="N408:P408"/>
    <mergeCell ref="Q408:V408"/>
    <mergeCell ref="W408:AB408"/>
    <mergeCell ref="AC408:AE408"/>
    <mergeCell ref="B409:M409"/>
    <mergeCell ref="N409:P409"/>
    <mergeCell ref="Q409:V409"/>
    <mergeCell ref="W409:AB409"/>
    <mergeCell ref="AC409:AE409"/>
    <mergeCell ref="B410:M410"/>
    <mergeCell ref="N410:P410"/>
    <mergeCell ref="Q410:V410"/>
    <mergeCell ref="W410:AB410"/>
    <mergeCell ref="AC410:AE410"/>
    <mergeCell ref="B411:M411"/>
    <mergeCell ref="N411:P411"/>
    <mergeCell ref="Q411:V411"/>
    <mergeCell ref="W411:AB411"/>
    <mergeCell ref="AC411:AE411"/>
    <mergeCell ref="B412:M412"/>
    <mergeCell ref="N412:P412"/>
    <mergeCell ref="Q412:V412"/>
    <mergeCell ref="W412:AB412"/>
    <mergeCell ref="AC412:AE412"/>
    <mergeCell ref="B413:M413"/>
    <mergeCell ref="N413:P413"/>
    <mergeCell ref="Q413:V413"/>
    <mergeCell ref="W413:AB413"/>
    <mergeCell ref="AC413:AE413"/>
    <mergeCell ref="B414:M414"/>
    <mergeCell ref="N414:P414"/>
    <mergeCell ref="Q414:V414"/>
    <mergeCell ref="W414:AB414"/>
    <mergeCell ref="AC414:AE414"/>
    <mergeCell ref="B415:M415"/>
    <mergeCell ref="N415:P415"/>
    <mergeCell ref="Q415:V415"/>
    <mergeCell ref="W415:AB415"/>
    <mergeCell ref="AC415:AE415"/>
    <mergeCell ref="B416:M416"/>
    <mergeCell ref="N416:P416"/>
    <mergeCell ref="Q416:V416"/>
    <mergeCell ref="W416:AB416"/>
    <mergeCell ref="AC416:AE416"/>
    <mergeCell ref="B417:M417"/>
    <mergeCell ref="N417:P417"/>
    <mergeCell ref="Q417:V417"/>
    <mergeCell ref="W417:AB417"/>
    <mergeCell ref="AC417:AE417"/>
    <mergeCell ref="B418:M418"/>
    <mergeCell ref="N418:P418"/>
    <mergeCell ref="Q418:V418"/>
    <mergeCell ref="W418:AB418"/>
    <mergeCell ref="AC418:AE418"/>
    <mergeCell ref="B419:M419"/>
    <mergeCell ref="N419:P419"/>
    <mergeCell ref="Q419:V419"/>
    <mergeCell ref="W419:AB419"/>
    <mergeCell ref="AC419:AE419"/>
    <mergeCell ref="B420:M420"/>
    <mergeCell ref="N420:P420"/>
    <mergeCell ref="Q420:V420"/>
    <mergeCell ref="W420:AB420"/>
    <mergeCell ref="AC420:AE420"/>
    <mergeCell ref="B421:M421"/>
    <mergeCell ref="N421:P421"/>
    <mergeCell ref="Q421:V421"/>
    <mergeCell ref="W421:AB421"/>
    <mergeCell ref="AC421:AE421"/>
    <mergeCell ref="B422:M422"/>
    <mergeCell ref="N422:P422"/>
    <mergeCell ref="Q422:V422"/>
    <mergeCell ref="W422:AB422"/>
    <mergeCell ref="AC422:AE422"/>
    <mergeCell ref="B423:M423"/>
    <mergeCell ref="N423:P423"/>
    <mergeCell ref="Q423:V423"/>
    <mergeCell ref="W423:AB423"/>
    <mergeCell ref="AC423:AE423"/>
    <mergeCell ref="B424:M424"/>
    <mergeCell ref="N424:P424"/>
    <mergeCell ref="Q424:V424"/>
    <mergeCell ref="W424:AB424"/>
    <mergeCell ref="AC424:AE424"/>
    <mergeCell ref="B425:M425"/>
    <mergeCell ref="N425:P425"/>
    <mergeCell ref="Q425:V425"/>
    <mergeCell ref="W425:AB425"/>
    <mergeCell ref="AC425:AE425"/>
    <mergeCell ref="B426:M426"/>
    <mergeCell ref="N426:P426"/>
    <mergeCell ref="Q426:V426"/>
    <mergeCell ref="W426:AB426"/>
    <mergeCell ref="AC426:AE426"/>
    <mergeCell ref="B427:M427"/>
    <mergeCell ref="N427:P427"/>
    <mergeCell ref="Q427:V427"/>
    <mergeCell ref="W427:AB427"/>
    <mergeCell ref="AC427:AE427"/>
    <mergeCell ref="B428:M428"/>
    <mergeCell ref="N428:P428"/>
    <mergeCell ref="Q428:V428"/>
    <mergeCell ref="W428:AB428"/>
    <mergeCell ref="AC428:AE428"/>
    <mergeCell ref="B429:M429"/>
    <mergeCell ref="N429:P429"/>
    <mergeCell ref="Q429:V429"/>
    <mergeCell ref="W429:AB429"/>
    <mergeCell ref="AC429:AE429"/>
    <mergeCell ref="A434:AB434"/>
    <mergeCell ref="AC434:AE434"/>
    <mergeCell ref="A435:E435"/>
    <mergeCell ref="F435:T435"/>
    <mergeCell ref="U435:AE435"/>
    <mergeCell ref="A436:E436"/>
    <mergeCell ref="F436:T436"/>
    <mergeCell ref="U436:AE436"/>
    <mergeCell ref="B430:M430"/>
    <mergeCell ref="N430:P430"/>
    <mergeCell ref="Q430:V430"/>
    <mergeCell ref="W430:AB430"/>
    <mergeCell ref="AC430:AE430"/>
    <mergeCell ref="B431:M431"/>
    <mergeCell ref="N431:P431"/>
    <mergeCell ref="Q431:V431"/>
    <mergeCell ref="W431:AB431"/>
    <mergeCell ref="AC431:AE431"/>
    <mergeCell ref="B432:M432"/>
    <mergeCell ref="N432:P432"/>
    <mergeCell ref="Q432:V432"/>
    <mergeCell ref="W432:AB432"/>
    <mergeCell ref="AC432:AE432"/>
    <mergeCell ref="A433:AB433"/>
    <mergeCell ref="AC433:AE433"/>
  </mergeCells>
  <pageMargins left="0.52999994886203072" right="0.52999994886203072" top="0.52999994886203072" bottom="0.68999998212799307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4CFCB-EB59-46B9-B684-21CB504A403F}">
  <dimension ref="A1:AY578"/>
  <sheetViews>
    <sheetView tabSelected="1" topLeftCell="A467" zoomScaleNormal="100" workbookViewId="0">
      <selection activeCell="AF414" sqref="AF414"/>
    </sheetView>
  </sheetViews>
  <sheetFormatPr defaultColWidth="9.140625" defaultRowHeight="25.15" customHeight="1" outlineLevelRow="2" x14ac:dyDescent="0.2"/>
  <cols>
    <col min="1" max="1" width="16.28515625" customWidth="1"/>
    <col min="2" max="2" width="1.140625" customWidth="1"/>
    <col min="3" max="3" width="7.42578125" customWidth="1"/>
    <col min="4" max="4" width="6.5703125" customWidth="1"/>
    <col min="5" max="5" width="4.5703125" customWidth="1"/>
    <col min="6" max="6" width="2.7109375" customWidth="1"/>
    <col min="7" max="7" width="1.140625" customWidth="1"/>
    <col min="8" max="8" width="3.7109375" customWidth="1"/>
    <col min="9" max="9" width="2.7109375" customWidth="1"/>
    <col min="10" max="10" width="1.140625" customWidth="1"/>
    <col min="11" max="11" width="5.5703125" customWidth="1"/>
    <col min="12" max="12" width="1.85546875" customWidth="1"/>
    <col min="13" max="13" width="1.140625" customWidth="1"/>
    <col min="14" max="15" width="1.85546875" customWidth="1"/>
    <col min="16" max="16" width="3.7109375" customWidth="1"/>
    <col min="17" max="17" width="2.7109375" customWidth="1"/>
    <col min="18" max="18" width="1.140625" customWidth="1"/>
    <col min="19" max="19" width="1.85546875" customWidth="1"/>
    <col min="20" max="20" width="1.140625" customWidth="1"/>
    <col min="21" max="21" width="1.85546875" customWidth="1"/>
    <col min="22" max="22" width="3.7109375" customWidth="1"/>
    <col min="23" max="24" width="1.140625" customWidth="1"/>
    <col min="25" max="25" width="2.7109375" customWidth="1"/>
    <col min="26" max="26" width="1.140625" customWidth="1"/>
    <col min="27" max="27" width="3.7109375" customWidth="1"/>
    <col min="28" max="28" width="4" customWidth="1"/>
    <col min="29" max="29" width="1.140625" customWidth="1"/>
    <col min="30" max="30" width="1.85546875" customWidth="1"/>
    <col min="31" max="31" width="10.85546875" customWidth="1"/>
    <col min="32" max="32" width="76.7109375" bestFit="1" customWidth="1"/>
    <col min="33" max="33" width="31.140625" customWidth="1"/>
    <col min="34" max="34" width="14.42578125" style="4" customWidth="1"/>
    <col min="35" max="35" width="11.5703125" style="7" customWidth="1"/>
    <col min="36" max="36" width="13.140625" style="6" customWidth="1"/>
    <col min="37" max="37" width="17" style="6" customWidth="1"/>
    <col min="38" max="38" width="9.28515625" customWidth="1"/>
    <col min="39" max="39" width="21.28515625" style="6" customWidth="1"/>
    <col min="42" max="42" width="12.42578125" customWidth="1"/>
  </cols>
  <sheetData>
    <row r="1" spans="1:39" ht="25.15" customHeight="1" x14ac:dyDescent="0.2">
      <c r="A1" s="85"/>
      <c r="B1" s="85"/>
      <c r="C1" s="85"/>
      <c r="D1" s="85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H1"/>
      <c r="AI1"/>
      <c r="AJ1"/>
      <c r="AK1"/>
      <c r="AM1"/>
    </row>
    <row r="2" spans="1:39" ht="25.15" customHeight="1" x14ac:dyDescent="0.2">
      <c r="A2" s="86"/>
      <c r="B2" s="86"/>
      <c r="C2" s="86"/>
      <c r="D2" s="86"/>
      <c r="E2" s="88" t="s">
        <v>0</v>
      </c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H2"/>
      <c r="AI2"/>
      <c r="AJ2"/>
      <c r="AK2"/>
      <c r="AM2"/>
    </row>
    <row r="3" spans="1:39" ht="25.15" customHeight="1" x14ac:dyDescent="0.2">
      <c r="A3" s="89"/>
      <c r="B3" s="89"/>
      <c r="C3" s="89"/>
      <c r="D3" s="89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H3"/>
      <c r="AI3"/>
      <c r="AJ3"/>
      <c r="AK3"/>
      <c r="AM3"/>
    </row>
    <row r="4" spans="1:39" ht="25.15" customHeight="1" x14ac:dyDescent="0.2">
      <c r="A4" s="91"/>
      <c r="B4" s="91"/>
      <c r="C4" s="91"/>
      <c r="D4" s="91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H4"/>
      <c r="AI4"/>
      <c r="AJ4"/>
      <c r="AK4"/>
      <c r="AM4"/>
    </row>
    <row r="5" spans="1:39" ht="25.15" customHeight="1" x14ac:dyDescent="0.2">
      <c r="A5" s="82"/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H5"/>
      <c r="AI5"/>
      <c r="AJ5"/>
      <c r="AK5"/>
      <c r="AM5"/>
    </row>
    <row r="6" spans="1:39" ht="25.15" customHeight="1" x14ac:dyDescent="0.2">
      <c r="A6" s="58" t="s">
        <v>1</v>
      </c>
      <c r="B6" s="58"/>
      <c r="C6" s="58"/>
      <c r="D6" s="53" t="s">
        <v>2</v>
      </c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H6"/>
      <c r="AI6"/>
      <c r="AJ6"/>
      <c r="AK6"/>
      <c r="AM6"/>
    </row>
    <row r="7" spans="1:39" ht="25.15" customHeight="1" x14ac:dyDescent="0.2">
      <c r="A7" s="58" t="s">
        <v>3</v>
      </c>
      <c r="B7" s="58"/>
      <c r="C7" s="58"/>
      <c r="D7" s="53" t="s">
        <v>49</v>
      </c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H7"/>
      <c r="AI7"/>
      <c r="AJ7"/>
      <c r="AK7"/>
      <c r="AM7"/>
    </row>
    <row r="8" spans="1:39" ht="25.15" customHeight="1" x14ac:dyDescent="0.2">
      <c r="A8" s="58" t="s">
        <v>4</v>
      </c>
      <c r="B8" s="58"/>
      <c r="C8" s="58"/>
      <c r="D8" s="53" t="s">
        <v>5</v>
      </c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H8"/>
      <c r="AI8"/>
      <c r="AJ8"/>
      <c r="AK8"/>
      <c r="AM8"/>
    </row>
    <row r="9" spans="1:39" ht="25.15" customHeight="1" x14ac:dyDescent="0.2">
      <c r="A9" s="58" t="s">
        <v>6</v>
      </c>
      <c r="B9" s="58"/>
      <c r="C9" s="58"/>
      <c r="D9" s="53" t="s">
        <v>7</v>
      </c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H9"/>
      <c r="AI9"/>
      <c r="AJ9"/>
      <c r="AK9"/>
      <c r="AM9"/>
    </row>
    <row r="10" spans="1:39" ht="25.15" customHeight="1" x14ac:dyDescent="0.2">
      <c r="A10" s="58" t="s">
        <v>8</v>
      </c>
      <c r="B10" s="58"/>
      <c r="C10" s="58"/>
      <c r="D10" s="53" t="s">
        <v>9</v>
      </c>
      <c r="E10" s="53"/>
      <c r="F10" s="53"/>
      <c r="G10" s="53"/>
      <c r="H10" s="53"/>
      <c r="I10" s="53"/>
      <c r="J10" s="53"/>
      <c r="K10" s="53"/>
      <c r="L10" s="58" t="s">
        <v>10</v>
      </c>
      <c r="M10" s="58"/>
      <c r="N10" s="58"/>
      <c r="O10" s="58"/>
      <c r="P10" s="58"/>
      <c r="Q10" s="58"/>
      <c r="R10" s="58"/>
      <c r="S10" s="58"/>
      <c r="T10" s="58"/>
      <c r="U10" s="58"/>
      <c r="V10" s="53" t="s">
        <v>11</v>
      </c>
      <c r="W10" s="53"/>
      <c r="X10" s="53"/>
      <c r="Y10" s="53"/>
      <c r="Z10" s="53"/>
      <c r="AA10" s="53"/>
      <c r="AB10" s="53"/>
      <c r="AC10" s="53"/>
      <c r="AD10" s="53"/>
      <c r="AE10" s="53"/>
      <c r="AH10"/>
      <c r="AI10"/>
      <c r="AJ10"/>
      <c r="AK10"/>
      <c r="AM10"/>
    </row>
    <row r="11" spans="1:39" ht="25.15" customHeight="1" x14ac:dyDescent="0.2">
      <c r="A11" s="58" t="s">
        <v>12</v>
      </c>
      <c r="B11" s="58"/>
      <c r="C11" s="58"/>
      <c r="D11" s="53" t="s">
        <v>13</v>
      </c>
      <c r="E11" s="53"/>
      <c r="F11" s="53"/>
      <c r="G11" s="53"/>
      <c r="H11" s="53"/>
      <c r="I11" s="53"/>
      <c r="J11" s="53"/>
      <c r="K11" s="53"/>
      <c r="L11" s="58" t="s">
        <v>14</v>
      </c>
      <c r="M11" s="58"/>
      <c r="N11" s="58"/>
      <c r="O11" s="58"/>
      <c r="P11" s="58"/>
      <c r="Q11" s="58"/>
      <c r="R11" s="58"/>
      <c r="S11" s="58"/>
      <c r="T11" s="58"/>
      <c r="U11" s="58"/>
      <c r="V11" s="53" t="s">
        <v>13</v>
      </c>
      <c r="W11" s="53"/>
      <c r="X11" s="53"/>
      <c r="Y11" s="53"/>
      <c r="Z11" s="53"/>
      <c r="AA11" s="53"/>
      <c r="AB11" s="53"/>
      <c r="AC11" s="53"/>
      <c r="AD11" s="53"/>
      <c r="AE11" s="53"/>
      <c r="AH11"/>
      <c r="AI11"/>
      <c r="AJ11"/>
      <c r="AK11"/>
      <c r="AM11"/>
    </row>
    <row r="12" spans="1:39" ht="25.15" customHeight="1" x14ac:dyDescent="0.2">
      <c r="A12" s="58" t="s">
        <v>15</v>
      </c>
      <c r="B12" s="58"/>
      <c r="C12" s="58"/>
      <c r="D12" s="53" t="s">
        <v>16</v>
      </c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H12"/>
      <c r="AI12"/>
      <c r="AJ12"/>
      <c r="AK12"/>
      <c r="AM12"/>
    </row>
    <row r="13" spans="1:39" ht="25.15" customHeight="1" x14ac:dyDescent="0.2">
      <c r="A13" s="82"/>
      <c r="B13" s="82"/>
      <c r="C13" s="82"/>
      <c r="D13" s="82"/>
      <c r="E13" s="82"/>
      <c r="F13" s="82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H13"/>
      <c r="AI13"/>
      <c r="AJ13"/>
      <c r="AK13"/>
      <c r="AM13"/>
    </row>
    <row r="14" spans="1:39" ht="25.15" customHeight="1" x14ac:dyDescent="0.2">
      <c r="A14" s="2" t="s">
        <v>17</v>
      </c>
      <c r="B14" s="83" t="s">
        <v>18</v>
      </c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 t="s">
        <v>19</v>
      </c>
      <c r="O14" s="83"/>
      <c r="P14" s="83"/>
      <c r="Q14" s="58" t="s">
        <v>20</v>
      </c>
      <c r="R14" s="58"/>
      <c r="S14" s="58"/>
      <c r="T14" s="58"/>
      <c r="U14" s="58"/>
      <c r="V14" s="58"/>
      <c r="W14" s="58" t="s">
        <v>21</v>
      </c>
      <c r="X14" s="58"/>
      <c r="Y14" s="58"/>
      <c r="Z14" s="58"/>
      <c r="AA14" s="58"/>
      <c r="AB14" s="58"/>
      <c r="AC14" s="58" t="s">
        <v>22</v>
      </c>
      <c r="AD14" s="58"/>
      <c r="AE14" s="58"/>
      <c r="AF14" s="31"/>
      <c r="AG14" s="31"/>
      <c r="AH14"/>
      <c r="AI14"/>
      <c r="AJ14"/>
      <c r="AK14"/>
      <c r="AM14"/>
    </row>
    <row r="15" spans="1:39" ht="25.15" customHeight="1" x14ac:dyDescent="0.2">
      <c r="A15" s="20" t="s">
        <v>23</v>
      </c>
      <c r="B15" s="170" t="s">
        <v>50</v>
      </c>
      <c r="C15" s="170"/>
      <c r="D15" s="170"/>
      <c r="E15" s="170"/>
      <c r="F15" s="170"/>
      <c r="G15" s="170"/>
      <c r="H15" s="170"/>
      <c r="I15" s="170"/>
      <c r="J15" s="170"/>
      <c r="K15" s="170"/>
      <c r="L15" s="170"/>
      <c r="M15" s="170"/>
      <c r="N15" s="170"/>
      <c r="O15" s="170"/>
      <c r="P15" s="170"/>
      <c r="Q15" s="171"/>
      <c r="R15" s="171"/>
      <c r="S15" s="171"/>
      <c r="T15" s="171"/>
      <c r="U15" s="171"/>
      <c r="V15" s="171"/>
      <c r="W15" s="171"/>
      <c r="X15" s="171"/>
      <c r="Y15" s="171"/>
      <c r="Z15" s="171"/>
      <c r="AA15" s="171"/>
      <c r="AB15" s="171"/>
      <c r="AC15" s="172">
        <v>395793.17</v>
      </c>
      <c r="AD15" s="135"/>
      <c r="AE15" s="135"/>
      <c r="AF15" s="31"/>
      <c r="AG15" s="31"/>
      <c r="AH15"/>
      <c r="AI15"/>
      <c r="AJ15"/>
      <c r="AK15"/>
      <c r="AM15"/>
    </row>
    <row r="16" spans="1:39" ht="25.15" customHeight="1" outlineLevel="1" x14ac:dyDescent="0.2">
      <c r="A16" s="18" t="s">
        <v>24</v>
      </c>
      <c r="B16" s="137" t="s">
        <v>50</v>
      </c>
      <c r="C16" s="137"/>
      <c r="D16" s="137"/>
      <c r="E16" s="137"/>
      <c r="F16" s="137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60"/>
      <c r="R16" s="160"/>
      <c r="S16" s="160"/>
      <c r="T16" s="160"/>
      <c r="U16" s="160"/>
      <c r="V16" s="160"/>
      <c r="W16" s="160"/>
      <c r="X16" s="160"/>
      <c r="Y16" s="160"/>
      <c r="Z16" s="160"/>
      <c r="AA16" s="160"/>
      <c r="AB16" s="160"/>
      <c r="AC16" s="162">
        <v>395793.17</v>
      </c>
      <c r="AD16" s="160"/>
      <c r="AE16" s="160"/>
      <c r="AF16" s="31"/>
      <c r="AG16" s="31"/>
      <c r="AH16"/>
      <c r="AI16"/>
      <c r="AJ16"/>
      <c r="AK16"/>
      <c r="AM16"/>
    </row>
    <row r="17" spans="1:39" ht="25.15" customHeight="1" outlineLevel="1" x14ac:dyDescent="0.2">
      <c r="A17" s="18" t="s">
        <v>25</v>
      </c>
      <c r="B17" s="137" t="s">
        <v>51</v>
      </c>
      <c r="C17" s="137"/>
      <c r="D17" s="137"/>
      <c r="E17" s="137"/>
      <c r="F17" s="137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60"/>
      <c r="R17" s="160"/>
      <c r="S17" s="160"/>
      <c r="T17" s="160"/>
      <c r="U17" s="160"/>
      <c r="V17" s="160"/>
      <c r="W17" s="160"/>
      <c r="X17" s="160"/>
      <c r="Y17" s="160"/>
      <c r="Z17" s="160"/>
      <c r="AA17" s="160"/>
      <c r="AB17" s="160"/>
      <c r="AC17" s="169">
        <v>14300</v>
      </c>
      <c r="AD17" s="160"/>
      <c r="AE17" s="160"/>
      <c r="AF17" s="31"/>
      <c r="AG17" s="31"/>
      <c r="AH17"/>
      <c r="AI17"/>
      <c r="AJ17"/>
      <c r="AK17"/>
      <c r="AM17"/>
    </row>
    <row r="18" spans="1:39" ht="25.15" customHeight="1" outlineLevel="1" x14ac:dyDescent="0.2">
      <c r="A18" s="10" t="s">
        <v>26</v>
      </c>
      <c r="B18" s="98" t="s">
        <v>52</v>
      </c>
      <c r="C18" s="98"/>
      <c r="D18" s="98"/>
      <c r="E18" s="98"/>
      <c r="F18" s="98"/>
      <c r="G18" s="98"/>
      <c r="H18" s="98"/>
      <c r="I18" s="98"/>
      <c r="J18" s="98"/>
      <c r="K18" s="98"/>
      <c r="L18" s="98"/>
      <c r="M18" s="98"/>
      <c r="N18" s="98" t="s">
        <v>27</v>
      </c>
      <c r="O18" s="98"/>
      <c r="P18" s="98"/>
      <c r="Q18" s="99">
        <v>1</v>
      </c>
      <c r="R18" s="95"/>
      <c r="S18" s="95"/>
      <c r="T18" s="95"/>
      <c r="U18" s="95"/>
      <c r="V18" s="95"/>
      <c r="W18" s="132">
        <v>2000</v>
      </c>
      <c r="X18" s="95"/>
      <c r="Y18" s="95"/>
      <c r="Z18" s="95"/>
      <c r="AA18" s="95"/>
      <c r="AB18" s="95"/>
      <c r="AC18" s="94">
        <v>2000</v>
      </c>
      <c r="AD18" s="95"/>
      <c r="AE18" s="95"/>
      <c r="AF18" s="31"/>
      <c r="AG18" s="31"/>
      <c r="AH18"/>
      <c r="AI18"/>
      <c r="AJ18"/>
      <c r="AK18"/>
      <c r="AM18"/>
    </row>
    <row r="19" spans="1:39" ht="25.15" customHeight="1" outlineLevel="1" x14ac:dyDescent="0.2">
      <c r="A19" s="10" t="s">
        <v>53</v>
      </c>
      <c r="B19" s="98" t="s">
        <v>54</v>
      </c>
      <c r="C19" s="98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 t="s">
        <v>27</v>
      </c>
      <c r="O19" s="98"/>
      <c r="P19" s="98"/>
      <c r="Q19" s="99">
        <v>1</v>
      </c>
      <c r="R19" s="95"/>
      <c r="S19" s="95"/>
      <c r="T19" s="95"/>
      <c r="U19" s="95"/>
      <c r="V19" s="95"/>
      <c r="W19" s="173">
        <v>10000</v>
      </c>
      <c r="X19" s="95"/>
      <c r="Y19" s="95"/>
      <c r="Z19" s="95"/>
      <c r="AA19" s="95"/>
      <c r="AB19" s="95"/>
      <c r="AC19" s="126">
        <v>10000</v>
      </c>
      <c r="AD19" s="95"/>
      <c r="AE19" s="95"/>
      <c r="AF19" s="31"/>
      <c r="AG19" s="31"/>
      <c r="AH19"/>
      <c r="AI19"/>
      <c r="AJ19"/>
      <c r="AK19"/>
      <c r="AM19"/>
    </row>
    <row r="20" spans="1:39" ht="25.15" customHeight="1" outlineLevel="1" x14ac:dyDescent="0.2">
      <c r="A20" s="10" t="s">
        <v>55</v>
      </c>
      <c r="B20" s="98" t="s">
        <v>56</v>
      </c>
      <c r="C20" s="98"/>
      <c r="D20" s="98"/>
      <c r="E20" s="98"/>
      <c r="F20" s="98"/>
      <c r="G20" s="98"/>
      <c r="H20" s="98"/>
      <c r="I20" s="98"/>
      <c r="J20" s="98"/>
      <c r="K20" s="98"/>
      <c r="L20" s="98"/>
      <c r="M20" s="98"/>
      <c r="N20" s="98" t="s">
        <v>27</v>
      </c>
      <c r="O20" s="98"/>
      <c r="P20" s="98"/>
      <c r="Q20" s="99">
        <v>1</v>
      </c>
      <c r="R20" s="95"/>
      <c r="S20" s="95"/>
      <c r="T20" s="95"/>
      <c r="U20" s="95"/>
      <c r="V20" s="95"/>
      <c r="W20" s="132">
        <v>2300</v>
      </c>
      <c r="X20" s="95"/>
      <c r="Y20" s="95"/>
      <c r="Z20" s="95"/>
      <c r="AA20" s="95"/>
      <c r="AB20" s="95"/>
      <c r="AC20" s="94">
        <v>2300</v>
      </c>
      <c r="AD20" s="95"/>
      <c r="AE20" s="95"/>
      <c r="AF20" s="31"/>
      <c r="AG20" s="31"/>
      <c r="AH20"/>
      <c r="AI20"/>
      <c r="AJ20"/>
      <c r="AK20"/>
      <c r="AM20"/>
    </row>
    <row r="21" spans="1:39" ht="25.15" customHeight="1" x14ac:dyDescent="0.2">
      <c r="A21" s="19" t="s">
        <v>28</v>
      </c>
      <c r="B21" s="134" t="s">
        <v>57</v>
      </c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4"/>
      <c r="Q21" s="135"/>
      <c r="R21" s="135"/>
      <c r="S21" s="135"/>
      <c r="T21" s="135"/>
      <c r="U21" s="135"/>
      <c r="V21" s="135"/>
      <c r="W21" s="135"/>
      <c r="X21" s="135"/>
      <c r="Y21" s="135"/>
      <c r="Z21" s="135"/>
      <c r="AA21" s="135"/>
      <c r="AB21" s="135"/>
      <c r="AC21" s="172">
        <v>278470</v>
      </c>
      <c r="AD21" s="135"/>
      <c r="AE21" s="135"/>
      <c r="AF21" s="31"/>
      <c r="AG21" s="31"/>
      <c r="AH21"/>
      <c r="AI21"/>
      <c r="AJ21"/>
      <c r="AK21"/>
      <c r="AM21"/>
    </row>
    <row r="22" spans="1:39" ht="25.15" customHeight="1" outlineLevel="1" x14ac:dyDescent="0.2">
      <c r="A22" s="10" t="s">
        <v>29</v>
      </c>
      <c r="B22" s="98" t="s">
        <v>58</v>
      </c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 t="s">
        <v>27</v>
      </c>
      <c r="O22" s="98"/>
      <c r="P22" s="98"/>
      <c r="Q22" s="99">
        <v>1</v>
      </c>
      <c r="R22" s="95"/>
      <c r="S22" s="95"/>
      <c r="T22" s="95"/>
      <c r="U22" s="95"/>
      <c r="V22" s="95"/>
      <c r="W22" s="173">
        <v>44900</v>
      </c>
      <c r="X22" s="95"/>
      <c r="Y22" s="95"/>
      <c r="Z22" s="95"/>
      <c r="AA22" s="95"/>
      <c r="AB22" s="95"/>
      <c r="AC22" s="126">
        <v>44900</v>
      </c>
      <c r="AD22" s="95"/>
      <c r="AE22" s="95"/>
      <c r="AF22" s="31"/>
      <c r="AG22" s="31"/>
      <c r="AH22"/>
      <c r="AI22"/>
      <c r="AJ22"/>
      <c r="AK22"/>
      <c r="AM22"/>
    </row>
    <row r="23" spans="1:39" ht="25.15" customHeight="1" outlineLevel="1" x14ac:dyDescent="0.2">
      <c r="A23" s="10" t="s">
        <v>32</v>
      </c>
      <c r="B23" s="98" t="s">
        <v>59</v>
      </c>
      <c r="C23" s="98"/>
      <c r="D23" s="98"/>
      <c r="E23" s="98"/>
      <c r="F23" s="98"/>
      <c r="G23" s="98"/>
      <c r="H23" s="98"/>
      <c r="I23" s="98"/>
      <c r="J23" s="98"/>
      <c r="K23" s="98"/>
      <c r="L23" s="98"/>
      <c r="M23" s="98"/>
      <c r="N23" s="98" t="s">
        <v>27</v>
      </c>
      <c r="O23" s="98"/>
      <c r="P23" s="98"/>
      <c r="Q23" s="99">
        <v>1</v>
      </c>
      <c r="R23" s="95"/>
      <c r="S23" s="95"/>
      <c r="T23" s="95"/>
      <c r="U23" s="95"/>
      <c r="V23" s="95"/>
      <c r="W23" s="173">
        <v>14900</v>
      </c>
      <c r="X23" s="95"/>
      <c r="Y23" s="95"/>
      <c r="Z23" s="95"/>
      <c r="AA23" s="95"/>
      <c r="AB23" s="95"/>
      <c r="AC23" s="126">
        <v>14900</v>
      </c>
      <c r="AD23" s="95"/>
      <c r="AE23" s="95"/>
      <c r="AF23" s="31"/>
      <c r="AG23" s="31"/>
      <c r="AH23"/>
      <c r="AI23"/>
      <c r="AJ23"/>
      <c r="AK23"/>
      <c r="AM23"/>
    </row>
    <row r="24" spans="1:39" ht="25.15" customHeight="1" outlineLevel="1" x14ac:dyDescent="0.2">
      <c r="A24" s="10" t="s">
        <v>33</v>
      </c>
      <c r="B24" s="98" t="s">
        <v>60</v>
      </c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 t="s">
        <v>27</v>
      </c>
      <c r="O24" s="98"/>
      <c r="P24" s="98"/>
      <c r="Q24" s="99">
        <v>1</v>
      </c>
      <c r="R24" s="95"/>
      <c r="S24" s="95"/>
      <c r="T24" s="95"/>
      <c r="U24" s="95"/>
      <c r="V24" s="95"/>
      <c r="W24" s="173">
        <v>20000</v>
      </c>
      <c r="X24" s="95"/>
      <c r="Y24" s="95"/>
      <c r="Z24" s="95"/>
      <c r="AA24" s="95"/>
      <c r="AB24" s="95"/>
      <c r="AC24" s="126">
        <v>20000</v>
      </c>
      <c r="AD24" s="95"/>
      <c r="AE24" s="95"/>
      <c r="AF24" s="31"/>
      <c r="AG24" s="31"/>
      <c r="AH24"/>
      <c r="AI24"/>
      <c r="AJ24"/>
      <c r="AK24"/>
      <c r="AM24"/>
    </row>
    <row r="25" spans="1:39" ht="25.15" customHeight="1" outlineLevel="1" x14ac:dyDescent="0.2">
      <c r="A25" s="10" t="s">
        <v>34</v>
      </c>
      <c r="B25" s="98" t="s">
        <v>61</v>
      </c>
      <c r="C25" s="98"/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98" t="s">
        <v>27</v>
      </c>
      <c r="O25" s="98"/>
      <c r="P25" s="98"/>
      <c r="Q25" s="99">
        <v>1</v>
      </c>
      <c r="R25" s="95"/>
      <c r="S25" s="95"/>
      <c r="T25" s="95"/>
      <c r="U25" s="95"/>
      <c r="V25" s="95"/>
      <c r="W25" s="173">
        <v>37700</v>
      </c>
      <c r="X25" s="95"/>
      <c r="Y25" s="95"/>
      <c r="Z25" s="95"/>
      <c r="AA25" s="95"/>
      <c r="AB25" s="95"/>
      <c r="AC25" s="126">
        <v>37700</v>
      </c>
      <c r="AD25" s="95"/>
      <c r="AE25" s="95"/>
      <c r="AF25" s="31"/>
      <c r="AG25" s="31"/>
      <c r="AH25"/>
      <c r="AI25"/>
      <c r="AJ25"/>
      <c r="AK25"/>
      <c r="AM25"/>
    </row>
    <row r="26" spans="1:39" ht="25.15" customHeight="1" outlineLevel="1" x14ac:dyDescent="0.2">
      <c r="A26" s="10" t="s">
        <v>36</v>
      </c>
      <c r="B26" s="98" t="s">
        <v>62</v>
      </c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 t="s">
        <v>27</v>
      </c>
      <c r="O26" s="98"/>
      <c r="P26" s="98"/>
      <c r="Q26" s="99">
        <v>1</v>
      </c>
      <c r="R26" s="95"/>
      <c r="S26" s="95"/>
      <c r="T26" s="95"/>
      <c r="U26" s="95"/>
      <c r="V26" s="95"/>
      <c r="W26" s="132">
        <v>8200</v>
      </c>
      <c r="X26" s="95"/>
      <c r="Y26" s="95"/>
      <c r="Z26" s="95"/>
      <c r="AA26" s="95"/>
      <c r="AB26" s="95"/>
      <c r="AC26" s="94">
        <v>8200</v>
      </c>
      <c r="AD26" s="95"/>
      <c r="AE26" s="95"/>
      <c r="AF26" s="31"/>
      <c r="AG26" s="31"/>
      <c r="AH26"/>
      <c r="AI26"/>
      <c r="AJ26"/>
      <c r="AK26"/>
      <c r="AM26"/>
    </row>
    <row r="27" spans="1:39" ht="25.15" customHeight="1" outlineLevel="1" x14ac:dyDescent="0.2">
      <c r="A27" s="10" t="s">
        <v>38</v>
      </c>
      <c r="B27" s="98" t="s">
        <v>63</v>
      </c>
      <c r="C27" s="98"/>
      <c r="D27" s="98"/>
      <c r="E27" s="98"/>
      <c r="F27" s="98"/>
      <c r="G27" s="98"/>
      <c r="H27" s="98"/>
      <c r="I27" s="98"/>
      <c r="J27" s="98"/>
      <c r="K27" s="98"/>
      <c r="L27" s="98"/>
      <c r="M27" s="98"/>
      <c r="N27" s="98" t="s">
        <v>27</v>
      </c>
      <c r="O27" s="98"/>
      <c r="P27" s="98"/>
      <c r="Q27" s="99">
        <v>1</v>
      </c>
      <c r="R27" s="95"/>
      <c r="S27" s="95"/>
      <c r="T27" s="95"/>
      <c r="U27" s="95"/>
      <c r="V27" s="95"/>
      <c r="W27" s="173">
        <v>20000</v>
      </c>
      <c r="X27" s="95"/>
      <c r="Y27" s="95"/>
      <c r="Z27" s="95"/>
      <c r="AA27" s="95"/>
      <c r="AB27" s="95"/>
      <c r="AC27" s="126">
        <v>20000</v>
      </c>
      <c r="AD27" s="95"/>
      <c r="AE27" s="95"/>
      <c r="AF27" s="31"/>
      <c r="AG27" s="31"/>
      <c r="AH27"/>
      <c r="AI27"/>
      <c r="AJ27"/>
      <c r="AK27"/>
      <c r="AM27"/>
    </row>
    <row r="28" spans="1:39" ht="25.15" customHeight="1" outlineLevel="1" x14ac:dyDescent="0.2">
      <c r="A28" s="10" t="s">
        <v>40</v>
      </c>
      <c r="B28" s="98" t="s">
        <v>64</v>
      </c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8"/>
      <c r="N28" s="98" t="s">
        <v>27</v>
      </c>
      <c r="O28" s="98"/>
      <c r="P28" s="98"/>
      <c r="Q28" s="99">
        <v>1</v>
      </c>
      <c r="R28" s="95"/>
      <c r="S28" s="95"/>
      <c r="T28" s="95"/>
      <c r="U28" s="95"/>
      <c r="V28" s="95"/>
      <c r="W28" s="173">
        <v>25000</v>
      </c>
      <c r="X28" s="95"/>
      <c r="Y28" s="95"/>
      <c r="Z28" s="95"/>
      <c r="AA28" s="95"/>
      <c r="AB28" s="95"/>
      <c r="AC28" s="126">
        <v>25000</v>
      </c>
      <c r="AD28" s="95"/>
      <c r="AE28" s="95"/>
      <c r="AF28" s="31"/>
      <c r="AG28" s="31"/>
      <c r="AH28"/>
      <c r="AI28"/>
      <c r="AJ28"/>
      <c r="AK28"/>
      <c r="AM28"/>
    </row>
    <row r="29" spans="1:39" ht="25.15" customHeight="1" outlineLevel="1" x14ac:dyDescent="0.2">
      <c r="A29" s="10" t="s">
        <v>65</v>
      </c>
      <c r="B29" s="98" t="s">
        <v>66</v>
      </c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 t="s">
        <v>27</v>
      </c>
      <c r="O29" s="98"/>
      <c r="P29" s="98"/>
      <c r="Q29" s="99">
        <v>1</v>
      </c>
      <c r="R29" s="95"/>
      <c r="S29" s="95"/>
      <c r="T29" s="95"/>
      <c r="U29" s="95"/>
      <c r="V29" s="95"/>
      <c r="W29" s="173">
        <v>20000</v>
      </c>
      <c r="X29" s="95"/>
      <c r="Y29" s="95"/>
      <c r="Z29" s="95"/>
      <c r="AA29" s="95"/>
      <c r="AB29" s="95"/>
      <c r="AC29" s="126">
        <v>20000</v>
      </c>
      <c r="AD29" s="95"/>
      <c r="AE29" s="95"/>
      <c r="AF29" s="31"/>
      <c r="AG29" s="31"/>
      <c r="AH29"/>
      <c r="AI29"/>
      <c r="AJ29"/>
      <c r="AK29"/>
      <c r="AM29"/>
    </row>
    <row r="30" spans="1:39" ht="25.15" customHeight="1" outlineLevel="1" x14ac:dyDescent="0.2">
      <c r="A30" s="10" t="s">
        <v>67</v>
      </c>
      <c r="B30" s="98" t="s">
        <v>68</v>
      </c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 t="s">
        <v>27</v>
      </c>
      <c r="O30" s="98"/>
      <c r="P30" s="98"/>
      <c r="Q30" s="99">
        <v>1</v>
      </c>
      <c r="R30" s="95"/>
      <c r="S30" s="95"/>
      <c r="T30" s="95"/>
      <c r="U30" s="95"/>
      <c r="V30" s="95"/>
      <c r="W30" s="132">
        <v>6500</v>
      </c>
      <c r="X30" s="95"/>
      <c r="Y30" s="95"/>
      <c r="Z30" s="95"/>
      <c r="AA30" s="95"/>
      <c r="AB30" s="95"/>
      <c r="AC30" s="94">
        <v>6500</v>
      </c>
      <c r="AD30" s="95"/>
      <c r="AE30" s="95"/>
      <c r="AF30" s="31"/>
      <c r="AG30" s="31"/>
      <c r="AH30"/>
      <c r="AI30"/>
      <c r="AJ30"/>
      <c r="AK30"/>
      <c r="AM30"/>
    </row>
    <row r="31" spans="1:39" ht="25.15" customHeight="1" outlineLevel="1" x14ac:dyDescent="0.2">
      <c r="A31" s="10" t="s">
        <v>69</v>
      </c>
      <c r="B31" s="98" t="s">
        <v>70</v>
      </c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 t="s">
        <v>27</v>
      </c>
      <c r="O31" s="98"/>
      <c r="P31" s="98"/>
      <c r="Q31" s="99">
        <v>1</v>
      </c>
      <c r="R31" s="95"/>
      <c r="S31" s="95"/>
      <c r="T31" s="95"/>
      <c r="U31" s="95"/>
      <c r="V31" s="95"/>
      <c r="W31" s="173">
        <v>13470</v>
      </c>
      <c r="X31" s="95"/>
      <c r="Y31" s="95"/>
      <c r="Z31" s="95"/>
      <c r="AA31" s="95"/>
      <c r="AB31" s="95"/>
      <c r="AC31" s="126">
        <v>13470</v>
      </c>
      <c r="AD31" s="95"/>
      <c r="AE31" s="95"/>
      <c r="AF31" s="31"/>
      <c r="AG31" s="31"/>
      <c r="AH31"/>
      <c r="AI31"/>
      <c r="AJ31"/>
      <c r="AK31"/>
      <c r="AM31"/>
    </row>
    <row r="32" spans="1:39" ht="25.15" customHeight="1" outlineLevel="1" x14ac:dyDescent="0.2">
      <c r="A32" s="10" t="s">
        <v>71</v>
      </c>
      <c r="B32" s="98" t="s">
        <v>72</v>
      </c>
      <c r="C32" s="98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 t="s">
        <v>27</v>
      </c>
      <c r="O32" s="98"/>
      <c r="P32" s="98"/>
      <c r="Q32" s="99">
        <v>1</v>
      </c>
      <c r="R32" s="95"/>
      <c r="S32" s="95"/>
      <c r="T32" s="95"/>
      <c r="U32" s="95"/>
      <c r="V32" s="95"/>
      <c r="W32" s="173">
        <v>30000</v>
      </c>
      <c r="X32" s="95"/>
      <c r="Y32" s="95"/>
      <c r="Z32" s="95"/>
      <c r="AA32" s="95"/>
      <c r="AB32" s="95"/>
      <c r="AC32" s="126">
        <v>30000</v>
      </c>
      <c r="AD32" s="95"/>
      <c r="AE32" s="95"/>
      <c r="AF32" s="31"/>
      <c r="AG32" s="31"/>
      <c r="AH32"/>
      <c r="AI32"/>
      <c r="AJ32"/>
      <c r="AK32"/>
      <c r="AM32"/>
    </row>
    <row r="33" spans="1:39" ht="25.15" customHeight="1" outlineLevel="1" x14ac:dyDescent="0.2">
      <c r="A33" s="10" t="s">
        <v>73</v>
      </c>
      <c r="B33" s="98" t="s">
        <v>74</v>
      </c>
      <c r="C33" s="98"/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 t="s">
        <v>27</v>
      </c>
      <c r="O33" s="98"/>
      <c r="P33" s="98"/>
      <c r="Q33" s="99">
        <v>1</v>
      </c>
      <c r="R33" s="95"/>
      <c r="S33" s="95"/>
      <c r="T33" s="95"/>
      <c r="U33" s="95"/>
      <c r="V33" s="95"/>
      <c r="W33" s="132">
        <v>7000</v>
      </c>
      <c r="X33" s="95"/>
      <c r="Y33" s="95"/>
      <c r="Z33" s="95"/>
      <c r="AA33" s="95"/>
      <c r="AB33" s="95"/>
      <c r="AC33" s="94">
        <v>7000</v>
      </c>
      <c r="AD33" s="95"/>
      <c r="AE33" s="95"/>
      <c r="AF33" s="31"/>
      <c r="AG33" s="31"/>
      <c r="AH33"/>
      <c r="AI33"/>
      <c r="AJ33"/>
      <c r="AK33"/>
      <c r="AM33"/>
    </row>
    <row r="34" spans="1:39" ht="25.15" customHeight="1" outlineLevel="1" x14ac:dyDescent="0.2">
      <c r="A34" s="10" t="s">
        <v>75</v>
      </c>
      <c r="B34" s="98" t="s">
        <v>76</v>
      </c>
      <c r="C34" s="98"/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98" t="s">
        <v>27</v>
      </c>
      <c r="O34" s="98"/>
      <c r="P34" s="98"/>
      <c r="Q34" s="99">
        <v>1</v>
      </c>
      <c r="R34" s="95"/>
      <c r="S34" s="95"/>
      <c r="T34" s="95"/>
      <c r="U34" s="95"/>
      <c r="V34" s="95"/>
      <c r="W34" s="173">
        <v>18000</v>
      </c>
      <c r="X34" s="95"/>
      <c r="Y34" s="95"/>
      <c r="Z34" s="95"/>
      <c r="AA34" s="95"/>
      <c r="AB34" s="95"/>
      <c r="AC34" s="126">
        <v>18000</v>
      </c>
      <c r="AD34" s="95"/>
      <c r="AE34" s="95"/>
      <c r="AF34" s="31"/>
      <c r="AG34" s="31"/>
      <c r="AH34"/>
      <c r="AI34"/>
      <c r="AJ34"/>
      <c r="AK34"/>
      <c r="AM34"/>
    </row>
    <row r="35" spans="1:39" ht="25.15" customHeight="1" outlineLevel="1" x14ac:dyDescent="0.2">
      <c r="A35" s="10" t="s">
        <v>77</v>
      </c>
      <c r="B35" s="98" t="s">
        <v>78</v>
      </c>
      <c r="C35" s="98"/>
      <c r="D35" s="98"/>
      <c r="E35" s="98"/>
      <c r="F35" s="98"/>
      <c r="G35" s="98"/>
      <c r="H35" s="98"/>
      <c r="I35" s="98"/>
      <c r="J35" s="98"/>
      <c r="K35" s="98"/>
      <c r="L35" s="98"/>
      <c r="M35" s="98"/>
      <c r="N35" s="98" t="s">
        <v>27</v>
      </c>
      <c r="O35" s="98"/>
      <c r="P35" s="98"/>
      <c r="Q35" s="99">
        <v>1</v>
      </c>
      <c r="R35" s="95"/>
      <c r="S35" s="95"/>
      <c r="T35" s="95"/>
      <c r="U35" s="95"/>
      <c r="V35" s="95"/>
      <c r="W35" s="173">
        <v>12800</v>
      </c>
      <c r="X35" s="95"/>
      <c r="Y35" s="95"/>
      <c r="Z35" s="95"/>
      <c r="AA35" s="95"/>
      <c r="AB35" s="95"/>
      <c r="AC35" s="126">
        <v>12800</v>
      </c>
      <c r="AD35" s="95"/>
      <c r="AE35" s="95"/>
      <c r="AF35" s="31"/>
      <c r="AG35" s="31"/>
      <c r="AH35"/>
      <c r="AI35"/>
      <c r="AJ35"/>
      <c r="AK35"/>
      <c r="AM35"/>
    </row>
    <row r="36" spans="1:39" ht="25.15" customHeight="1" x14ac:dyDescent="0.2">
      <c r="A36" s="19" t="s">
        <v>41</v>
      </c>
      <c r="B36" s="134" t="s">
        <v>79</v>
      </c>
      <c r="C36" s="134"/>
      <c r="D36" s="134"/>
      <c r="E36" s="134"/>
      <c r="F36" s="134"/>
      <c r="G36" s="134"/>
      <c r="H36" s="134"/>
      <c r="I36" s="134"/>
      <c r="J36" s="134"/>
      <c r="K36" s="134"/>
      <c r="L36" s="134"/>
      <c r="M36" s="134"/>
      <c r="N36" s="134"/>
      <c r="O36" s="134"/>
      <c r="P36" s="134"/>
      <c r="Q36" s="135"/>
      <c r="R36" s="135"/>
      <c r="S36" s="135"/>
      <c r="T36" s="135"/>
      <c r="U36" s="135"/>
      <c r="V36" s="135"/>
      <c r="W36" s="135"/>
      <c r="X36" s="135"/>
      <c r="Y36" s="135"/>
      <c r="Z36" s="135"/>
      <c r="AA36" s="135"/>
      <c r="AB36" s="135"/>
      <c r="AC36" s="172">
        <v>46228.85</v>
      </c>
      <c r="AD36" s="135"/>
      <c r="AE36" s="135"/>
      <c r="AF36" s="31"/>
      <c r="AG36" s="31"/>
      <c r="AH36"/>
      <c r="AI36"/>
      <c r="AJ36"/>
      <c r="AK36"/>
      <c r="AM36"/>
    </row>
    <row r="37" spans="1:39" ht="25.15" customHeight="1" outlineLevel="1" x14ac:dyDescent="0.2">
      <c r="A37" s="10" t="s">
        <v>42</v>
      </c>
      <c r="B37" s="98" t="s">
        <v>80</v>
      </c>
      <c r="C37" s="98"/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8" t="s">
        <v>27</v>
      </c>
      <c r="O37" s="98"/>
      <c r="P37" s="98"/>
      <c r="Q37" s="99">
        <v>1</v>
      </c>
      <c r="R37" s="95"/>
      <c r="S37" s="95"/>
      <c r="T37" s="95"/>
      <c r="U37" s="95"/>
      <c r="V37" s="95"/>
      <c r="W37" s="173">
        <v>21228.85</v>
      </c>
      <c r="X37" s="95"/>
      <c r="Y37" s="95"/>
      <c r="Z37" s="95"/>
      <c r="AA37" s="95"/>
      <c r="AB37" s="95"/>
      <c r="AC37" s="126">
        <v>21228.85</v>
      </c>
      <c r="AD37" s="95"/>
      <c r="AE37" s="95"/>
      <c r="AF37" s="31"/>
      <c r="AG37" s="31"/>
      <c r="AH37"/>
      <c r="AI37"/>
      <c r="AJ37"/>
      <c r="AK37"/>
      <c r="AM37"/>
    </row>
    <row r="38" spans="1:39" ht="25.15" customHeight="1" outlineLevel="1" x14ac:dyDescent="0.2">
      <c r="A38" s="10" t="s">
        <v>44</v>
      </c>
      <c r="B38" s="98" t="s">
        <v>81</v>
      </c>
      <c r="C38" s="98"/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98" t="s">
        <v>27</v>
      </c>
      <c r="O38" s="98"/>
      <c r="P38" s="98"/>
      <c r="Q38" s="99">
        <v>1</v>
      </c>
      <c r="R38" s="95"/>
      <c r="S38" s="95"/>
      <c r="T38" s="95"/>
      <c r="U38" s="95"/>
      <c r="V38" s="95"/>
      <c r="W38" s="173">
        <v>25000</v>
      </c>
      <c r="X38" s="95"/>
      <c r="Y38" s="95"/>
      <c r="Z38" s="95"/>
      <c r="AA38" s="95"/>
      <c r="AB38" s="95"/>
      <c r="AC38" s="126">
        <v>25000</v>
      </c>
      <c r="AD38" s="95"/>
      <c r="AE38" s="95"/>
      <c r="AF38" s="31"/>
      <c r="AG38" s="31"/>
      <c r="AH38"/>
      <c r="AI38"/>
      <c r="AJ38"/>
      <c r="AK38"/>
      <c r="AM38"/>
    </row>
    <row r="39" spans="1:39" ht="25.15" customHeight="1" outlineLevel="1" x14ac:dyDescent="0.2">
      <c r="A39" s="11"/>
      <c r="B39" s="275" t="s">
        <v>817</v>
      </c>
      <c r="C39" s="275"/>
      <c r="D39" s="275"/>
      <c r="E39" s="275"/>
      <c r="F39" s="275"/>
      <c r="G39" s="275"/>
      <c r="H39" s="275"/>
      <c r="I39" s="275"/>
      <c r="J39" s="275"/>
      <c r="K39" s="275"/>
      <c r="L39" s="275"/>
      <c r="M39" s="275"/>
      <c r="N39" s="222" t="s">
        <v>27</v>
      </c>
      <c r="O39" s="222"/>
      <c r="P39" s="222"/>
      <c r="Q39" s="276">
        <v>1</v>
      </c>
      <c r="R39" s="222"/>
      <c r="S39" s="222"/>
      <c r="T39" s="222"/>
      <c r="U39" s="222"/>
      <c r="V39" s="222"/>
      <c r="W39" s="277"/>
      <c r="X39" s="222"/>
      <c r="Y39" s="222"/>
      <c r="Z39" s="222"/>
      <c r="AA39" s="222"/>
      <c r="AB39" s="222"/>
      <c r="AC39" s="278"/>
      <c r="AD39" s="222"/>
      <c r="AE39" s="222"/>
      <c r="AF39" s="39"/>
      <c r="AG39" s="32"/>
      <c r="AH39"/>
      <c r="AI39"/>
      <c r="AJ39"/>
      <c r="AK39"/>
      <c r="AM39"/>
    </row>
    <row r="40" spans="1:39" ht="25.15" customHeight="1" x14ac:dyDescent="0.2">
      <c r="A40" s="29" t="s">
        <v>45</v>
      </c>
      <c r="B40" s="174" t="s">
        <v>82</v>
      </c>
      <c r="C40" s="174"/>
      <c r="D40" s="174"/>
      <c r="E40" s="174"/>
      <c r="F40" s="174"/>
      <c r="G40" s="174"/>
      <c r="H40" s="174"/>
      <c r="I40" s="174"/>
      <c r="J40" s="174"/>
      <c r="K40" s="174"/>
      <c r="L40" s="174"/>
      <c r="M40" s="174"/>
      <c r="N40" s="174"/>
      <c r="O40" s="174"/>
      <c r="P40" s="174"/>
      <c r="Q40" s="175"/>
      <c r="R40" s="175"/>
      <c r="S40" s="175"/>
      <c r="T40" s="175"/>
      <c r="U40" s="175"/>
      <c r="V40" s="175"/>
      <c r="W40" s="175"/>
      <c r="X40" s="175"/>
      <c r="Y40" s="175"/>
      <c r="Z40" s="175"/>
      <c r="AA40" s="175"/>
      <c r="AB40" s="175"/>
      <c r="AC40" s="176">
        <v>56794.32</v>
      </c>
      <c r="AD40" s="175"/>
      <c r="AE40" s="175"/>
      <c r="AF40" s="102" t="s">
        <v>879</v>
      </c>
      <c r="AG40" s="103"/>
      <c r="AH40"/>
      <c r="AI40"/>
      <c r="AJ40"/>
      <c r="AK40"/>
      <c r="AM40"/>
    </row>
    <row r="41" spans="1:39" ht="25.15" customHeight="1" outlineLevel="1" x14ac:dyDescent="0.2">
      <c r="A41" s="10" t="s">
        <v>46</v>
      </c>
      <c r="B41" s="98" t="s">
        <v>83</v>
      </c>
      <c r="C41" s="98"/>
      <c r="D41" s="98"/>
      <c r="E41" s="98"/>
      <c r="F41" s="98"/>
      <c r="G41" s="98"/>
      <c r="H41" s="98"/>
      <c r="I41" s="98"/>
      <c r="J41" s="98"/>
      <c r="K41" s="98"/>
      <c r="L41" s="98"/>
      <c r="M41" s="98"/>
      <c r="N41" s="98" t="s">
        <v>27</v>
      </c>
      <c r="O41" s="98"/>
      <c r="P41" s="98"/>
      <c r="Q41" s="99">
        <v>1</v>
      </c>
      <c r="R41" s="95"/>
      <c r="S41" s="95"/>
      <c r="T41" s="95"/>
      <c r="U41" s="95"/>
      <c r="V41" s="95"/>
      <c r="W41" s="173">
        <v>15000</v>
      </c>
      <c r="X41" s="95"/>
      <c r="Y41" s="95"/>
      <c r="Z41" s="95"/>
      <c r="AA41" s="95"/>
      <c r="AB41" s="95"/>
      <c r="AC41" s="126">
        <v>15000</v>
      </c>
      <c r="AD41" s="95"/>
      <c r="AE41" s="95"/>
      <c r="AF41" s="31"/>
      <c r="AG41" s="31"/>
      <c r="AH41"/>
      <c r="AI41"/>
      <c r="AJ41"/>
      <c r="AK41"/>
      <c r="AM41"/>
    </row>
    <row r="42" spans="1:39" ht="25.15" customHeight="1" outlineLevel="1" x14ac:dyDescent="0.2">
      <c r="A42" s="10" t="s">
        <v>84</v>
      </c>
      <c r="B42" s="98" t="s">
        <v>85</v>
      </c>
      <c r="C42" s="98"/>
      <c r="D42" s="98"/>
      <c r="E42" s="98"/>
      <c r="F42" s="98"/>
      <c r="G42" s="98"/>
      <c r="H42" s="98"/>
      <c r="I42" s="98"/>
      <c r="J42" s="98"/>
      <c r="K42" s="98"/>
      <c r="L42" s="98"/>
      <c r="M42" s="98"/>
      <c r="N42" s="98" t="s">
        <v>27</v>
      </c>
      <c r="O42" s="98"/>
      <c r="P42" s="98"/>
      <c r="Q42" s="99">
        <v>1</v>
      </c>
      <c r="R42" s="95"/>
      <c r="S42" s="95"/>
      <c r="T42" s="95"/>
      <c r="U42" s="95"/>
      <c r="V42" s="95"/>
      <c r="W42" s="173">
        <v>11000</v>
      </c>
      <c r="X42" s="95"/>
      <c r="Y42" s="95"/>
      <c r="Z42" s="95"/>
      <c r="AA42" s="95"/>
      <c r="AB42" s="95"/>
      <c r="AC42" s="126">
        <v>11000</v>
      </c>
      <c r="AD42" s="95"/>
      <c r="AE42" s="95"/>
      <c r="AF42" s="31"/>
      <c r="AG42" s="31"/>
      <c r="AH42"/>
      <c r="AI42"/>
      <c r="AJ42"/>
      <c r="AK42"/>
      <c r="AM42"/>
    </row>
    <row r="43" spans="1:39" ht="25.15" customHeight="1" outlineLevel="1" x14ac:dyDescent="0.2">
      <c r="A43" s="10" t="s">
        <v>86</v>
      </c>
      <c r="B43" s="98" t="s">
        <v>87</v>
      </c>
      <c r="C43" s="98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 t="s">
        <v>27</v>
      </c>
      <c r="O43" s="98"/>
      <c r="P43" s="98"/>
      <c r="Q43" s="99">
        <v>1</v>
      </c>
      <c r="R43" s="95"/>
      <c r="S43" s="95"/>
      <c r="T43" s="95"/>
      <c r="U43" s="95"/>
      <c r="V43" s="95"/>
      <c r="W43" s="132">
        <v>3500</v>
      </c>
      <c r="X43" s="95"/>
      <c r="Y43" s="95"/>
      <c r="Z43" s="95"/>
      <c r="AA43" s="95"/>
      <c r="AB43" s="95"/>
      <c r="AC43" s="94">
        <v>3500</v>
      </c>
      <c r="AD43" s="95"/>
      <c r="AE43" s="95"/>
      <c r="AF43" s="31"/>
      <c r="AG43" s="31"/>
      <c r="AH43"/>
      <c r="AI43"/>
      <c r="AJ43"/>
      <c r="AK43"/>
      <c r="AM43"/>
    </row>
    <row r="44" spans="1:39" ht="25.15" customHeight="1" outlineLevel="1" x14ac:dyDescent="0.2">
      <c r="A44" s="10" t="s">
        <v>88</v>
      </c>
      <c r="B44" s="98" t="s">
        <v>89</v>
      </c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 t="s">
        <v>27</v>
      </c>
      <c r="O44" s="98"/>
      <c r="P44" s="98"/>
      <c r="Q44" s="99">
        <v>1</v>
      </c>
      <c r="R44" s="95"/>
      <c r="S44" s="95"/>
      <c r="T44" s="95"/>
      <c r="U44" s="95"/>
      <c r="V44" s="95"/>
      <c r="W44" s="132">
        <v>5000</v>
      </c>
      <c r="X44" s="95"/>
      <c r="Y44" s="95"/>
      <c r="Z44" s="95"/>
      <c r="AA44" s="95"/>
      <c r="AB44" s="95"/>
      <c r="AC44" s="94">
        <v>5000</v>
      </c>
      <c r="AD44" s="95"/>
      <c r="AE44" s="95"/>
      <c r="AF44" s="31"/>
      <c r="AG44" s="31"/>
      <c r="AH44"/>
      <c r="AI44"/>
      <c r="AJ44"/>
      <c r="AK44"/>
      <c r="AM44"/>
    </row>
    <row r="45" spans="1:39" ht="15" outlineLevel="1" x14ac:dyDescent="0.2">
      <c r="A45" s="10" t="s">
        <v>90</v>
      </c>
      <c r="B45" s="98" t="s">
        <v>91</v>
      </c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 t="s">
        <v>27</v>
      </c>
      <c r="O45" s="98"/>
      <c r="P45" s="98"/>
      <c r="Q45" s="99">
        <v>1</v>
      </c>
      <c r="R45" s="95"/>
      <c r="S45" s="95"/>
      <c r="T45" s="95"/>
      <c r="U45" s="95"/>
      <c r="V45" s="95"/>
      <c r="W45" s="132">
        <v>6900</v>
      </c>
      <c r="X45" s="95"/>
      <c r="Y45" s="95"/>
      <c r="Z45" s="95"/>
      <c r="AA45" s="95"/>
      <c r="AB45" s="95"/>
      <c r="AC45" s="94">
        <v>6900</v>
      </c>
      <c r="AD45" s="95"/>
      <c r="AE45" s="95"/>
      <c r="AF45" s="31"/>
      <c r="AG45" s="31"/>
      <c r="AH45"/>
      <c r="AI45"/>
      <c r="AJ45"/>
      <c r="AK45"/>
      <c r="AM45"/>
    </row>
    <row r="46" spans="1:39" ht="15" outlineLevel="1" x14ac:dyDescent="0.2">
      <c r="A46" s="34" t="s">
        <v>92</v>
      </c>
      <c r="B46" s="177" t="s">
        <v>93</v>
      </c>
      <c r="C46" s="177"/>
      <c r="D46" s="177"/>
      <c r="E46" s="177"/>
      <c r="F46" s="177"/>
      <c r="G46" s="177"/>
      <c r="H46" s="177"/>
      <c r="I46" s="177"/>
      <c r="J46" s="177"/>
      <c r="K46" s="177"/>
      <c r="L46" s="177"/>
      <c r="M46" s="177"/>
      <c r="N46" s="177" t="s">
        <v>35</v>
      </c>
      <c r="O46" s="177"/>
      <c r="P46" s="177"/>
      <c r="Q46" s="178">
        <v>1924.29</v>
      </c>
      <c r="R46" s="179"/>
      <c r="S46" s="179"/>
      <c r="T46" s="179"/>
      <c r="U46" s="179"/>
      <c r="V46" s="179"/>
      <c r="W46" s="180">
        <v>8</v>
      </c>
      <c r="X46" s="179"/>
      <c r="Y46" s="179"/>
      <c r="Z46" s="179"/>
      <c r="AA46" s="179"/>
      <c r="AB46" s="179"/>
      <c r="AC46" s="181">
        <v>15394.32</v>
      </c>
      <c r="AD46" s="179"/>
      <c r="AE46" s="179"/>
      <c r="AF46" s="102" t="s">
        <v>911</v>
      </c>
      <c r="AG46" s="103"/>
      <c r="AH46"/>
      <c r="AI46"/>
      <c r="AJ46"/>
      <c r="AK46"/>
      <c r="AM46"/>
    </row>
    <row r="47" spans="1:39" ht="25.15" customHeight="1" x14ac:dyDescent="0.2">
      <c r="A47" s="19" t="s">
        <v>94</v>
      </c>
      <c r="B47" s="134" t="s">
        <v>95</v>
      </c>
      <c r="C47" s="134"/>
      <c r="D47" s="134"/>
      <c r="E47" s="134"/>
      <c r="F47" s="134"/>
      <c r="G47" s="134"/>
      <c r="H47" s="134"/>
      <c r="I47" s="134"/>
      <c r="J47" s="134"/>
      <c r="K47" s="134"/>
      <c r="L47" s="134"/>
      <c r="M47" s="134"/>
      <c r="N47" s="134"/>
      <c r="O47" s="134"/>
      <c r="P47" s="134"/>
      <c r="Q47" s="135"/>
      <c r="R47" s="135"/>
      <c r="S47" s="135"/>
      <c r="T47" s="135"/>
      <c r="U47" s="135"/>
      <c r="V47" s="135"/>
      <c r="W47" s="135"/>
      <c r="X47" s="135"/>
      <c r="Y47" s="135"/>
      <c r="Z47" s="135"/>
      <c r="AA47" s="135"/>
      <c r="AB47" s="135"/>
      <c r="AC47" s="172">
        <v>175600</v>
      </c>
      <c r="AD47" s="135"/>
      <c r="AE47" s="135"/>
      <c r="AF47" s="31">
        <f>ROUNDUP(Q46/8,)</f>
        <v>241</v>
      </c>
      <c r="AG47" s="31"/>
      <c r="AH47"/>
      <c r="AI47"/>
      <c r="AJ47"/>
      <c r="AK47"/>
      <c r="AM47"/>
    </row>
    <row r="48" spans="1:39" ht="25.15" customHeight="1" outlineLevel="1" x14ac:dyDescent="0.2">
      <c r="A48" s="18" t="s">
        <v>96</v>
      </c>
      <c r="B48" s="137" t="s">
        <v>95</v>
      </c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60"/>
      <c r="R48" s="160"/>
      <c r="S48" s="160"/>
      <c r="T48" s="160"/>
      <c r="U48" s="160"/>
      <c r="V48" s="160"/>
      <c r="W48" s="160"/>
      <c r="X48" s="160"/>
      <c r="Y48" s="160"/>
      <c r="Z48" s="160"/>
      <c r="AA48" s="160"/>
      <c r="AB48" s="160"/>
      <c r="AC48" s="162">
        <v>175600</v>
      </c>
      <c r="AD48" s="160"/>
      <c r="AE48" s="160"/>
      <c r="AF48" s="31">
        <f>AF47*3</f>
        <v>723</v>
      </c>
      <c r="AG48" s="31"/>
      <c r="AH48"/>
      <c r="AI48"/>
      <c r="AJ48"/>
      <c r="AK48"/>
      <c r="AM48"/>
    </row>
    <row r="49" spans="1:39" ht="25.15" customHeight="1" outlineLevel="1" x14ac:dyDescent="0.2">
      <c r="A49" s="18" t="s">
        <v>97</v>
      </c>
      <c r="B49" s="137" t="s">
        <v>98</v>
      </c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60"/>
      <c r="R49" s="160"/>
      <c r="S49" s="160"/>
      <c r="T49" s="160"/>
      <c r="U49" s="160"/>
      <c r="V49" s="160"/>
      <c r="W49" s="160"/>
      <c r="X49" s="160"/>
      <c r="Y49" s="160"/>
      <c r="Z49" s="160"/>
      <c r="AA49" s="160"/>
      <c r="AB49" s="160"/>
      <c r="AC49" s="162">
        <v>132200</v>
      </c>
      <c r="AD49" s="160"/>
      <c r="AE49" s="160"/>
      <c r="AF49" s="31"/>
      <c r="AG49" s="31"/>
      <c r="AH49"/>
      <c r="AI49"/>
      <c r="AJ49"/>
      <c r="AK49"/>
      <c r="AM49"/>
    </row>
    <row r="50" spans="1:39" ht="25.15" customHeight="1" outlineLevel="1" x14ac:dyDescent="0.2">
      <c r="A50" s="10" t="s">
        <v>99</v>
      </c>
      <c r="B50" s="98" t="s">
        <v>100</v>
      </c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 t="s">
        <v>27</v>
      </c>
      <c r="O50" s="98"/>
      <c r="P50" s="98"/>
      <c r="Q50" s="99">
        <v>1</v>
      </c>
      <c r="R50" s="95"/>
      <c r="S50" s="95"/>
      <c r="T50" s="95"/>
      <c r="U50" s="95"/>
      <c r="V50" s="95"/>
      <c r="W50" s="173">
        <v>14600</v>
      </c>
      <c r="X50" s="95"/>
      <c r="Y50" s="95"/>
      <c r="Z50" s="95"/>
      <c r="AA50" s="95"/>
      <c r="AB50" s="95"/>
      <c r="AC50" s="126">
        <v>14600</v>
      </c>
      <c r="AD50" s="95"/>
      <c r="AE50" s="95"/>
      <c r="AF50" s="31"/>
      <c r="AG50" s="31"/>
      <c r="AH50"/>
      <c r="AI50"/>
      <c r="AJ50"/>
      <c r="AK50"/>
      <c r="AM50"/>
    </row>
    <row r="51" spans="1:39" ht="25.15" customHeight="1" outlineLevel="1" x14ac:dyDescent="0.2">
      <c r="A51" s="10" t="s">
        <v>101</v>
      </c>
      <c r="B51" s="98" t="s">
        <v>102</v>
      </c>
      <c r="C51" s="98"/>
      <c r="D51" s="98"/>
      <c r="E51" s="98"/>
      <c r="F51" s="98"/>
      <c r="G51" s="98"/>
      <c r="H51" s="98"/>
      <c r="I51" s="98"/>
      <c r="J51" s="98"/>
      <c r="K51" s="98"/>
      <c r="L51" s="98"/>
      <c r="M51" s="98"/>
      <c r="N51" s="98" t="s">
        <v>27</v>
      </c>
      <c r="O51" s="98"/>
      <c r="P51" s="98"/>
      <c r="Q51" s="99">
        <v>1</v>
      </c>
      <c r="R51" s="95"/>
      <c r="S51" s="95"/>
      <c r="T51" s="95"/>
      <c r="U51" s="95"/>
      <c r="V51" s="95"/>
      <c r="W51" s="173">
        <v>20000</v>
      </c>
      <c r="X51" s="95"/>
      <c r="Y51" s="95"/>
      <c r="Z51" s="95"/>
      <c r="AA51" s="95"/>
      <c r="AB51" s="95"/>
      <c r="AC51" s="126">
        <v>20000</v>
      </c>
      <c r="AD51" s="95"/>
      <c r="AE51" s="95"/>
      <c r="AF51" s="31"/>
      <c r="AG51" s="31"/>
      <c r="AH51"/>
      <c r="AI51"/>
      <c r="AJ51"/>
      <c r="AK51"/>
      <c r="AM51"/>
    </row>
    <row r="52" spans="1:39" ht="25.15" customHeight="1" outlineLevel="1" x14ac:dyDescent="0.2">
      <c r="A52" s="10" t="s">
        <v>103</v>
      </c>
      <c r="B52" s="98" t="s">
        <v>104</v>
      </c>
      <c r="C52" s="98"/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8" t="s">
        <v>27</v>
      </c>
      <c r="O52" s="98"/>
      <c r="P52" s="98"/>
      <c r="Q52" s="99">
        <v>1</v>
      </c>
      <c r="R52" s="95"/>
      <c r="S52" s="95"/>
      <c r="T52" s="95"/>
      <c r="U52" s="95"/>
      <c r="V52" s="95"/>
      <c r="W52" s="173">
        <v>20000</v>
      </c>
      <c r="X52" s="95"/>
      <c r="Y52" s="95"/>
      <c r="Z52" s="95"/>
      <c r="AA52" s="95"/>
      <c r="AB52" s="95"/>
      <c r="AC52" s="126">
        <v>20000</v>
      </c>
      <c r="AD52" s="95"/>
      <c r="AE52" s="95"/>
      <c r="AF52" s="31"/>
      <c r="AG52" s="31"/>
      <c r="AH52"/>
      <c r="AI52"/>
      <c r="AJ52"/>
      <c r="AK52"/>
      <c r="AM52"/>
    </row>
    <row r="53" spans="1:39" ht="25.15" customHeight="1" outlineLevel="1" x14ac:dyDescent="0.2">
      <c r="A53" s="10" t="s">
        <v>105</v>
      </c>
      <c r="B53" s="98" t="s">
        <v>106</v>
      </c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 t="s">
        <v>27</v>
      </c>
      <c r="O53" s="98"/>
      <c r="P53" s="98"/>
      <c r="Q53" s="99">
        <v>1</v>
      </c>
      <c r="R53" s="95"/>
      <c r="S53" s="95"/>
      <c r="T53" s="95"/>
      <c r="U53" s="95"/>
      <c r="V53" s="95"/>
      <c r="W53" s="173">
        <v>40000</v>
      </c>
      <c r="X53" s="95"/>
      <c r="Y53" s="95"/>
      <c r="Z53" s="95"/>
      <c r="AA53" s="95"/>
      <c r="AB53" s="95"/>
      <c r="AC53" s="126">
        <v>40000</v>
      </c>
      <c r="AD53" s="95"/>
      <c r="AE53" s="95"/>
      <c r="AF53" s="31"/>
      <c r="AG53" s="31"/>
      <c r="AH53"/>
      <c r="AI53"/>
      <c r="AJ53"/>
      <c r="AK53"/>
      <c r="AM53"/>
    </row>
    <row r="54" spans="1:39" ht="25.15" customHeight="1" outlineLevel="1" x14ac:dyDescent="0.2">
      <c r="A54" s="10" t="s">
        <v>107</v>
      </c>
      <c r="B54" s="98" t="s">
        <v>108</v>
      </c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 t="s">
        <v>27</v>
      </c>
      <c r="O54" s="98"/>
      <c r="P54" s="98"/>
      <c r="Q54" s="99">
        <v>1</v>
      </c>
      <c r="R54" s="95"/>
      <c r="S54" s="95"/>
      <c r="T54" s="95"/>
      <c r="U54" s="95"/>
      <c r="V54" s="95"/>
      <c r="W54" s="132">
        <v>5000</v>
      </c>
      <c r="X54" s="95"/>
      <c r="Y54" s="95"/>
      <c r="Z54" s="95"/>
      <c r="AA54" s="95"/>
      <c r="AB54" s="95"/>
      <c r="AC54" s="94">
        <v>5000</v>
      </c>
      <c r="AD54" s="95"/>
      <c r="AE54" s="95"/>
      <c r="AF54" s="31"/>
      <c r="AG54" s="31"/>
      <c r="AH54"/>
      <c r="AI54"/>
      <c r="AJ54"/>
      <c r="AK54"/>
      <c r="AM54"/>
    </row>
    <row r="55" spans="1:39" ht="25.15" customHeight="1" outlineLevel="1" x14ac:dyDescent="0.2">
      <c r="A55" s="10" t="s">
        <v>109</v>
      </c>
      <c r="B55" s="98" t="s">
        <v>110</v>
      </c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 t="s">
        <v>27</v>
      </c>
      <c r="O55" s="98"/>
      <c r="P55" s="98"/>
      <c r="Q55" s="99">
        <v>1</v>
      </c>
      <c r="R55" s="95"/>
      <c r="S55" s="95"/>
      <c r="T55" s="95"/>
      <c r="U55" s="95"/>
      <c r="V55" s="95"/>
      <c r="W55" s="133">
        <v>500</v>
      </c>
      <c r="X55" s="95"/>
      <c r="Y55" s="95"/>
      <c r="Z55" s="95"/>
      <c r="AA55" s="95"/>
      <c r="AB55" s="95"/>
      <c r="AC55" s="182">
        <v>500</v>
      </c>
      <c r="AD55" s="95"/>
      <c r="AE55" s="95"/>
      <c r="AF55" s="31"/>
      <c r="AG55" s="31"/>
      <c r="AH55"/>
      <c r="AI55"/>
      <c r="AJ55"/>
      <c r="AK55"/>
      <c r="AM55"/>
    </row>
    <row r="56" spans="1:39" ht="25.15" customHeight="1" outlineLevel="1" x14ac:dyDescent="0.2">
      <c r="A56" s="10" t="s">
        <v>111</v>
      </c>
      <c r="B56" s="98" t="s">
        <v>112</v>
      </c>
      <c r="C56" s="98"/>
      <c r="D56" s="98"/>
      <c r="E56" s="98"/>
      <c r="F56" s="98"/>
      <c r="G56" s="98"/>
      <c r="H56" s="98"/>
      <c r="I56" s="98"/>
      <c r="J56" s="98"/>
      <c r="K56" s="98"/>
      <c r="L56" s="98"/>
      <c r="M56" s="98"/>
      <c r="N56" s="98" t="s">
        <v>27</v>
      </c>
      <c r="O56" s="98"/>
      <c r="P56" s="98"/>
      <c r="Q56" s="99">
        <v>1</v>
      </c>
      <c r="R56" s="95"/>
      <c r="S56" s="95"/>
      <c r="T56" s="95"/>
      <c r="U56" s="95"/>
      <c r="V56" s="95"/>
      <c r="W56" s="132">
        <v>7000</v>
      </c>
      <c r="X56" s="95"/>
      <c r="Y56" s="95"/>
      <c r="Z56" s="95"/>
      <c r="AA56" s="95"/>
      <c r="AB56" s="95"/>
      <c r="AC56" s="94">
        <v>7000</v>
      </c>
      <c r="AD56" s="95"/>
      <c r="AE56" s="95"/>
      <c r="AF56" s="31"/>
      <c r="AG56" s="31"/>
      <c r="AH56"/>
      <c r="AI56"/>
      <c r="AJ56"/>
      <c r="AK56"/>
      <c r="AM56"/>
    </row>
    <row r="57" spans="1:39" ht="25.15" customHeight="1" outlineLevel="1" x14ac:dyDescent="0.2">
      <c r="A57" s="10" t="s">
        <v>113</v>
      </c>
      <c r="B57" s="98" t="s">
        <v>114</v>
      </c>
      <c r="C57" s="98"/>
      <c r="D57" s="98"/>
      <c r="E57" s="98"/>
      <c r="F57" s="98"/>
      <c r="G57" s="98"/>
      <c r="H57" s="98"/>
      <c r="I57" s="98"/>
      <c r="J57" s="98"/>
      <c r="K57" s="98"/>
      <c r="L57" s="98"/>
      <c r="M57" s="98"/>
      <c r="N57" s="98" t="s">
        <v>27</v>
      </c>
      <c r="O57" s="98"/>
      <c r="P57" s="98"/>
      <c r="Q57" s="99">
        <v>1</v>
      </c>
      <c r="R57" s="95"/>
      <c r="S57" s="95"/>
      <c r="T57" s="95"/>
      <c r="U57" s="95"/>
      <c r="V57" s="95"/>
      <c r="W57" s="132">
        <v>2000</v>
      </c>
      <c r="X57" s="95"/>
      <c r="Y57" s="95"/>
      <c r="Z57" s="95"/>
      <c r="AA57" s="95"/>
      <c r="AB57" s="95"/>
      <c r="AC57" s="94">
        <v>2000</v>
      </c>
      <c r="AD57" s="95"/>
      <c r="AE57" s="95"/>
      <c r="AF57" s="31"/>
      <c r="AG57" s="31"/>
      <c r="AH57"/>
      <c r="AI57"/>
      <c r="AJ57"/>
      <c r="AK57"/>
      <c r="AM57"/>
    </row>
    <row r="58" spans="1:39" ht="25.15" customHeight="1" outlineLevel="1" x14ac:dyDescent="0.2">
      <c r="A58" s="10" t="s">
        <v>115</v>
      </c>
      <c r="B58" s="98" t="s">
        <v>116</v>
      </c>
      <c r="C58" s="98"/>
      <c r="D58" s="98"/>
      <c r="E58" s="98"/>
      <c r="F58" s="98"/>
      <c r="G58" s="98"/>
      <c r="H58" s="98"/>
      <c r="I58" s="98"/>
      <c r="J58" s="98"/>
      <c r="K58" s="98"/>
      <c r="L58" s="98"/>
      <c r="M58" s="98"/>
      <c r="N58" s="98" t="s">
        <v>27</v>
      </c>
      <c r="O58" s="98"/>
      <c r="P58" s="98"/>
      <c r="Q58" s="99">
        <v>1</v>
      </c>
      <c r="R58" s="95"/>
      <c r="S58" s="95"/>
      <c r="T58" s="95"/>
      <c r="U58" s="95"/>
      <c r="V58" s="95"/>
      <c r="W58" s="132">
        <v>3500</v>
      </c>
      <c r="X58" s="95"/>
      <c r="Y58" s="95"/>
      <c r="Z58" s="95"/>
      <c r="AA58" s="95"/>
      <c r="AB58" s="95"/>
      <c r="AC58" s="94">
        <v>3500</v>
      </c>
      <c r="AD58" s="95"/>
      <c r="AE58" s="95"/>
      <c r="AF58" s="31"/>
      <c r="AG58" s="31"/>
      <c r="AH58"/>
      <c r="AI58"/>
      <c r="AJ58"/>
      <c r="AK58"/>
      <c r="AM58"/>
    </row>
    <row r="59" spans="1:39" ht="25.15" customHeight="1" outlineLevel="1" x14ac:dyDescent="0.2">
      <c r="A59" s="10" t="s">
        <v>117</v>
      </c>
      <c r="B59" s="98" t="s">
        <v>118</v>
      </c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 t="s">
        <v>27</v>
      </c>
      <c r="O59" s="98"/>
      <c r="P59" s="98"/>
      <c r="Q59" s="99">
        <v>1</v>
      </c>
      <c r="R59" s="95"/>
      <c r="S59" s="95"/>
      <c r="T59" s="95"/>
      <c r="U59" s="95"/>
      <c r="V59" s="95"/>
      <c r="W59" s="173">
        <v>15000</v>
      </c>
      <c r="X59" s="95"/>
      <c r="Y59" s="95"/>
      <c r="Z59" s="95"/>
      <c r="AA59" s="95"/>
      <c r="AB59" s="95"/>
      <c r="AC59" s="126">
        <v>15000</v>
      </c>
      <c r="AD59" s="95"/>
      <c r="AE59" s="95"/>
      <c r="AF59" s="31"/>
      <c r="AG59" s="31"/>
      <c r="AH59"/>
      <c r="AI59"/>
      <c r="AJ59"/>
      <c r="AK59"/>
      <c r="AM59"/>
    </row>
    <row r="60" spans="1:39" ht="25.15" customHeight="1" outlineLevel="1" x14ac:dyDescent="0.2">
      <c r="A60" s="10" t="s">
        <v>119</v>
      </c>
      <c r="B60" s="98" t="s">
        <v>120</v>
      </c>
      <c r="C60" s="98"/>
      <c r="D60" s="98"/>
      <c r="E60" s="98"/>
      <c r="F60" s="98"/>
      <c r="G60" s="98"/>
      <c r="H60" s="98"/>
      <c r="I60" s="98"/>
      <c r="J60" s="98"/>
      <c r="K60" s="98"/>
      <c r="L60" s="98"/>
      <c r="M60" s="98"/>
      <c r="N60" s="98" t="s">
        <v>27</v>
      </c>
      <c r="O60" s="98"/>
      <c r="P60" s="98"/>
      <c r="Q60" s="99">
        <v>1</v>
      </c>
      <c r="R60" s="95"/>
      <c r="S60" s="95"/>
      <c r="T60" s="95"/>
      <c r="U60" s="95"/>
      <c r="V60" s="95"/>
      <c r="W60" s="132">
        <v>4600</v>
      </c>
      <c r="X60" s="95"/>
      <c r="Y60" s="95"/>
      <c r="Z60" s="95"/>
      <c r="AA60" s="95"/>
      <c r="AB60" s="95"/>
      <c r="AC60" s="94">
        <v>4600</v>
      </c>
      <c r="AD60" s="95"/>
      <c r="AE60" s="95"/>
      <c r="AF60" s="31"/>
      <c r="AG60" s="31"/>
      <c r="AH60"/>
      <c r="AI60"/>
      <c r="AJ60"/>
      <c r="AK60"/>
      <c r="AM60"/>
    </row>
    <row r="61" spans="1:39" ht="25.15" customHeight="1" outlineLevel="1" x14ac:dyDescent="0.2">
      <c r="A61" s="10"/>
      <c r="B61" s="96" t="s">
        <v>818</v>
      </c>
      <c r="C61" s="96"/>
      <c r="D61" s="96"/>
      <c r="E61" s="96"/>
      <c r="F61" s="96"/>
      <c r="G61" s="96"/>
      <c r="H61" s="96"/>
      <c r="I61" s="96"/>
      <c r="J61" s="96"/>
      <c r="K61" s="96"/>
      <c r="L61" s="96"/>
      <c r="M61" s="96"/>
      <c r="N61" s="96" t="s">
        <v>43</v>
      </c>
      <c r="O61" s="96"/>
      <c r="P61" s="96"/>
      <c r="Q61" s="128"/>
      <c r="R61" s="129"/>
      <c r="S61" s="129"/>
      <c r="T61" s="129"/>
      <c r="U61" s="129"/>
      <c r="V61" s="129"/>
      <c r="W61" s="130"/>
      <c r="X61" s="129"/>
      <c r="Y61" s="129"/>
      <c r="Z61" s="129"/>
      <c r="AA61" s="129"/>
      <c r="AB61" s="129"/>
      <c r="AC61" s="131"/>
      <c r="AD61" s="129"/>
      <c r="AE61" s="129"/>
      <c r="AF61" s="40"/>
      <c r="AG61" s="31"/>
      <c r="AH61"/>
      <c r="AI61"/>
      <c r="AJ61"/>
      <c r="AK61"/>
      <c r="AM61"/>
    </row>
    <row r="62" spans="1:39" ht="25.15" customHeight="1" outlineLevel="1" x14ac:dyDescent="0.2">
      <c r="A62" s="10"/>
      <c r="B62" s="96" t="s">
        <v>819</v>
      </c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 t="s">
        <v>27</v>
      </c>
      <c r="O62" s="96"/>
      <c r="P62" s="96"/>
      <c r="Q62" s="128"/>
      <c r="R62" s="129"/>
      <c r="S62" s="129"/>
      <c r="T62" s="129"/>
      <c r="U62" s="129"/>
      <c r="V62" s="129"/>
      <c r="W62" s="130"/>
      <c r="X62" s="129"/>
      <c r="Y62" s="129"/>
      <c r="Z62" s="129"/>
      <c r="AA62" s="129"/>
      <c r="AB62" s="129"/>
      <c r="AC62" s="131"/>
      <c r="AD62" s="129"/>
      <c r="AE62" s="129"/>
      <c r="AF62" s="40"/>
      <c r="AG62" s="31"/>
      <c r="AH62"/>
      <c r="AI62"/>
      <c r="AJ62"/>
      <c r="AK62"/>
      <c r="AM62"/>
    </row>
    <row r="63" spans="1:39" ht="25.15" customHeight="1" x14ac:dyDescent="0.2">
      <c r="A63" s="19" t="s">
        <v>121</v>
      </c>
      <c r="B63" s="134" t="s">
        <v>122</v>
      </c>
      <c r="C63" s="134"/>
      <c r="D63" s="134"/>
      <c r="E63" s="134"/>
      <c r="F63" s="134"/>
      <c r="G63" s="134"/>
      <c r="H63" s="134"/>
      <c r="I63" s="134"/>
      <c r="J63" s="134"/>
      <c r="K63" s="134"/>
      <c r="L63" s="134"/>
      <c r="M63" s="134"/>
      <c r="N63" s="134"/>
      <c r="O63" s="134"/>
      <c r="P63" s="134"/>
      <c r="Q63" s="135"/>
      <c r="R63" s="135"/>
      <c r="S63" s="135"/>
      <c r="T63" s="135"/>
      <c r="U63" s="135"/>
      <c r="V63" s="135"/>
      <c r="W63" s="135"/>
      <c r="X63" s="135"/>
      <c r="Y63" s="135"/>
      <c r="Z63" s="135"/>
      <c r="AA63" s="135"/>
      <c r="AB63" s="135"/>
      <c r="AC63" s="172">
        <v>43400</v>
      </c>
      <c r="AD63" s="135"/>
      <c r="AE63" s="135"/>
      <c r="AF63" s="31"/>
      <c r="AG63" s="31"/>
      <c r="AH63"/>
      <c r="AI63"/>
      <c r="AJ63"/>
      <c r="AK63"/>
      <c r="AM63"/>
    </row>
    <row r="64" spans="1:39" ht="25.15" customHeight="1" outlineLevel="1" x14ac:dyDescent="0.2">
      <c r="A64" s="10" t="s">
        <v>123</v>
      </c>
      <c r="B64" s="98" t="s">
        <v>124</v>
      </c>
      <c r="C64" s="98"/>
      <c r="D64" s="98"/>
      <c r="E64" s="98"/>
      <c r="F64" s="98"/>
      <c r="G64" s="98"/>
      <c r="H64" s="98"/>
      <c r="I64" s="98"/>
      <c r="J64" s="98"/>
      <c r="K64" s="98"/>
      <c r="L64" s="98"/>
      <c r="M64" s="98"/>
      <c r="N64" s="98" t="s">
        <v>27</v>
      </c>
      <c r="O64" s="98"/>
      <c r="P64" s="98"/>
      <c r="Q64" s="99">
        <v>1</v>
      </c>
      <c r="R64" s="95"/>
      <c r="S64" s="95"/>
      <c r="T64" s="95"/>
      <c r="U64" s="95"/>
      <c r="V64" s="95"/>
      <c r="W64" s="132">
        <v>3800</v>
      </c>
      <c r="X64" s="95"/>
      <c r="Y64" s="95"/>
      <c r="Z64" s="95"/>
      <c r="AA64" s="95"/>
      <c r="AB64" s="95"/>
      <c r="AC64" s="94">
        <v>3800</v>
      </c>
      <c r="AD64" s="95"/>
      <c r="AE64" s="95"/>
      <c r="AF64" s="31"/>
      <c r="AG64" s="31"/>
      <c r="AH64"/>
      <c r="AI64"/>
      <c r="AJ64"/>
      <c r="AK64"/>
      <c r="AM64"/>
    </row>
    <row r="65" spans="1:39" ht="25.15" customHeight="1" outlineLevel="1" x14ac:dyDescent="0.2">
      <c r="A65" s="10" t="s">
        <v>125</v>
      </c>
      <c r="B65" s="98" t="s">
        <v>126</v>
      </c>
      <c r="C65" s="98"/>
      <c r="D65" s="98"/>
      <c r="E65" s="98"/>
      <c r="F65" s="98"/>
      <c r="G65" s="98"/>
      <c r="H65" s="98"/>
      <c r="I65" s="98"/>
      <c r="J65" s="98"/>
      <c r="K65" s="98"/>
      <c r="L65" s="98"/>
      <c r="M65" s="98"/>
      <c r="N65" s="98" t="s">
        <v>27</v>
      </c>
      <c r="O65" s="98"/>
      <c r="P65" s="98"/>
      <c r="Q65" s="99">
        <v>1</v>
      </c>
      <c r="R65" s="95"/>
      <c r="S65" s="95"/>
      <c r="T65" s="95"/>
      <c r="U65" s="95"/>
      <c r="V65" s="95"/>
      <c r="W65" s="132">
        <v>5000</v>
      </c>
      <c r="X65" s="95"/>
      <c r="Y65" s="95"/>
      <c r="Z65" s="95"/>
      <c r="AA65" s="95"/>
      <c r="AB65" s="95"/>
      <c r="AC65" s="94">
        <v>5000</v>
      </c>
      <c r="AD65" s="95"/>
      <c r="AE65" s="95"/>
      <c r="AF65" s="31"/>
      <c r="AG65" s="31"/>
      <c r="AH65"/>
      <c r="AI65"/>
      <c r="AJ65"/>
      <c r="AK65"/>
      <c r="AM65"/>
    </row>
    <row r="66" spans="1:39" ht="25.15" customHeight="1" outlineLevel="1" x14ac:dyDescent="0.2">
      <c r="A66" s="10" t="s">
        <v>127</v>
      </c>
      <c r="B66" s="98" t="s">
        <v>128</v>
      </c>
      <c r="C66" s="98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 t="s">
        <v>27</v>
      </c>
      <c r="O66" s="98"/>
      <c r="P66" s="98"/>
      <c r="Q66" s="99">
        <v>1</v>
      </c>
      <c r="R66" s="95"/>
      <c r="S66" s="95"/>
      <c r="T66" s="95"/>
      <c r="U66" s="95"/>
      <c r="V66" s="95"/>
      <c r="W66" s="173">
        <v>30000</v>
      </c>
      <c r="X66" s="95"/>
      <c r="Y66" s="95"/>
      <c r="Z66" s="95"/>
      <c r="AA66" s="95"/>
      <c r="AB66" s="95"/>
      <c r="AC66" s="126">
        <v>30000</v>
      </c>
      <c r="AD66" s="95"/>
      <c r="AE66" s="95"/>
      <c r="AF66" s="31"/>
      <c r="AG66" s="31"/>
      <c r="AH66"/>
      <c r="AI66"/>
      <c r="AJ66"/>
      <c r="AK66"/>
      <c r="AM66"/>
    </row>
    <row r="67" spans="1:39" ht="25.15" customHeight="1" outlineLevel="1" x14ac:dyDescent="0.2">
      <c r="A67" s="10" t="s">
        <v>129</v>
      </c>
      <c r="B67" s="98" t="s">
        <v>130</v>
      </c>
      <c r="C67" s="98"/>
      <c r="D67" s="98"/>
      <c r="E67" s="98"/>
      <c r="F67" s="98"/>
      <c r="G67" s="98"/>
      <c r="H67" s="98"/>
      <c r="I67" s="98"/>
      <c r="J67" s="98"/>
      <c r="K67" s="98"/>
      <c r="L67" s="98"/>
      <c r="M67" s="98"/>
      <c r="N67" s="98" t="s">
        <v>27</v>
      </c>
      <c r="O67" s="98"/>
      <c r="P67" s="98"/>
      <c r="Q67" s="99">
        <v>1</v>
      </c>
      <c r="R67" s="95"/>
      <c r="S67" s="95"/>
      <c r="T67" s="95"/>
      <c r="U67" s="95"/>
      <c r="V67" s="95"/>
      <c r="W67" s="132">
        <v>4600</v>
      </c>
      <c r="X67" s="95"/>
      <c r="Y67" s="95"/>
      <c r="Z67" s="95"/>
      <c r="AA67" s="95"/>
      <c r="AB67" s="95"/>
      <c r="AC67" s="94">
        <v>4600</v>
      </c>
      <c r="AD67" s="95"/>
      <c r="AE67" s="95"/>
      <c r="AF67" s="31"/>
      <c r="AG67" s="31"/>
      <c r="AH67"/>
      <c r="AI67"/>
      <c r="AJ67"/>
      <c r="AK67"/>
      <c r="AM67"/>
    </row>
    <row r="68" spans="1:39" ht="25.15" customHeight="1" outlineLevel="1" x14ac:dyDescent="0.2">
      <c r="A68" s="10"/>
      <c r="B68" s="96" t="s">
        <v>863</v>
      </c>
      <c r="C68" s="96"/>
      <c r="D68" s="96"/>
      <c r="E68" s="96"/>
      <c r="F68" s="96"/>
      <c r="G68" s="96"/>
      <c r="H68" s="96"/>
      <c r="I68" s="96"/>
      <c r="J68" s="96"/>
      <c r="K68" s="96"/>
      <c r="L68" s="96"/>
      <c r="M68" s="96"/>
      <c r="N68" s="96" t="s">
        <v>27</v>
      </c>
      <c r="O68" s="96"/>
      <c r="P68" s="96"/>
      <c r="Q68" s="128"/>
      <c r="R68" s="129"/>
      <c r="S68" s="129"/>
      <c r="T68" s="129"/>
      <c r="U68" s="129"/>
      <c r="V68" s="129"/>
      <c r="W68" s="130"/>
      <c r="X68" s="129"/>
      <c r="Y68" s="129"/>
      <c r="Z68" s="129"/>
      <c r="AA68" s="129"/>
      <c r="AB68" s="129"/>
      <c r="AC68" s="131"/>
      <c r="AD68" s="129"/>
      <c r="AE68" s="129"/>
      <c r="AF68" s="40"/>
      <c r="AG68" s="31"/>
      <c r="AH68"/>
      <c r="AI68"/>
      <c r="AJ68"/>
      <c r="AK68"/>
      <c r="AM68"/>
    </row>
    <row r="69" spans="1:39" ht="25.15" customHeight="1" outlineLevel="1" x14ac:dyDescent="0.2">
      <c r="A69" s="18" t="s">
        <v>131</v>
      </c>
      <c r="B69" s="137" t="s">
        <v>132</v>
      </c>
      <c r="C69" s="137"/>
      <c r="D69" s="137"/>
      <c r="E69" s="137"/>
      <c r="F69" s="137"/>
      <c r="G69" s="137"/>
      <c r="H69" s="137"/>
      <c r="I69" s="137"/>
      <c r="J69" s="137"/>
      <c r="K69" s="137"/>
      <c r="L69" s="137"/>
      <c r="M69" s="137"/>
      <c r="N69" s="137"/>
      <c r="O69" s="137"/>
      <c r="P69" s="137"/>
      <c r="Q69" s="160"/>
      <c r="R69" s="160"/>
      <c r="S69" s="160"/>
      <c r="T69" s="160"/>
      <c r="U69" s="160"/>
      <c r="V69" s="160"/>
      <c r="W69" s="160"/>
      <c r="X69" s="160"/>
      <c r="Y69" s="160"/>
      <c r="Z69" s="160"/>
      <c r="AA69" s="160"/>
      <c r="AB69" s="160"/>
      <c r="AC69" s="162">
        <v>442589.87</v>
      </c>
      <c r="AD69" s="160"/>
      <c r="AE69" s="160"/>
      <c r="AF69" s="31"/>
      <c r="AG69" s="31"/>
      <c r="AH69"/>
      <c r="AI69"/>
      <c r="AJ69"/>
      <c r="AK69"/>
      <c r="AM69"/>
    </row>
    <row r="70" spans="1:39" ht="34.15" customHeight="1" x14ac:dyDescent="0.2">
      <c r="A70" s="29" t="s">
        <v>133</v>
      </c>
      <c r="B70" s="174" t="s">
        <v>132</v>
      </c>
      <c r="C70" s="174"/>
      <c r="D70" s="174"/>
      <c r="E70" s="174"/>
      <c r="F70" s="174"/>
      <c r="G70" s="174"/>
      <c r="H70" s="174"/>
      <c r="I70" s="174"/>
      <c r="J70" s="174"/>
      <c r="K70" s="174"/>
      <c r="L70" s="174"/>
      <c r="M70" s="174"/>
      <c r="N70" s="174"/>
      <c r="O70" s="174"/>
      <c r="P70" s="174"/>
      <c r="Q70" s="175"/>
      <c r="R70" s="175"/>
      <c r="S70" s="175"/>
      <c r="T70" s="175"/>
      <c r="U70" s="175"/>
      <c r="V70" s="175"/>
      <c r="W70" s="175"/>
      <c r="X70" s="175"/>
      <c r="Y70" s="175"/>
      <c r="Z70" s="175"/>
      <c r="AA70" s="175"/>
      <c r="AB70" s="175"/>
      <c r="AC70" s="176">
        <v>442589.87</v>
      </c>
      <c r="AD70" s="175"/>
      <c r="AE70" s="175"/>
      <c r="AF70" s="104" t="s">
        <v>880</v>
      </c>
      <c r="AG70" s="105"/>
      <c r="AH70"/>
      <c r="AI70"/>
      <c r="AJ70"/>
      <c r="AK70"/>
      <c r="AM70"/>
    </row>
    <row r="71" spans="1:39" ht="25.15" customHeight="1" outlineLevel="1" x14ac:dyDescent="0.2">
      <c r="A71" s="18" t="s">
        <v>134</v>
      </c>
      <c r="B71" s="137" t="s">
        <v>135</v>
      </c>
      <c r="C71" s="137"/>
      <c r="D71" s="137"/>
      <c r="E71" s="137"/>
      <c r="F71" s="137"/>
      <c r="G71" s="137"/>
      <c r="H71" s="137"/>
      <c r="I71" s="137"/>
      <c r="J71" s="137"/>
      <c r="K71" s="137"/>
      <c r="L71" s="137"/>
      <c r="M71" s="137"/>
      <c r="N71" s="137"/>
      <c r="O71" s="137"/>
      <c r="P71" s="137"/>
      <c r="Q71" s="160"/>
      <c r="R71" s="160"/>
      <c r="S71" s="160"/>
      <c r="T71" s="160"/>
      <c r="U71" s="160"/>
      <c r="V71" s="160"/>
      <c r="W71" s="160"/>
      <c r="X71" s="160"/>
      <c r="Y71" s="160"/>
      <c r="Z71" s="160"/>
      <c r="AA71" s="160"/>
      <c r="AB71" s="160"/>
      <c r="AC71" s="169">
        <v>84000</v>
      </c>
      <c r="AD71" s="160"/>
      <c r="AE71" s="160"/>
      <c r="AF71" s="31"/>
      <c r="AG71" s="31"/>
      <c r="AH71"/>
      <c r="AI71"/>
      <c r="AJ71"/>
      <c r="AK71"/>
      <c r="AM71"/>
    </row>
    <row r="72" spans="1:39" ht="25.15" customHeight="1" outlineLevel="1" x14ac:dyDescent="0.2">
      <c r="A72" s="17" t="s">
        <v>136</v>
      </c>
      <c r="B72" s="183" t="s">
        <v>137</v>
      </c>
      <c r="C72" s="183"/>
      <c r="D72" s="183"/>
      <c r="E72" s="183"/>
      <c r="F72" s="183"/>
      <c r="G72" s="183"/>
      <c r="H72" s="183"/>
      <c r="I72" s="183"/>
      <c r="J72" s="183"/>
      <c r="K72" s="183"/>
      <c r="L72" s="183"/>
      <c r="M72" s="183"/>
      <c r="N72" s="183" t="s">
        <v>43</v>
      </c>
      <c r="O72" s="183"/>
      <c r="P72" s="183"/>
      <c r="Q72" s="184">
        <v>24</v>
      </c>
      <c r="R72" s="165"/>
      <c r="S72" s="165"/>
      <c r="T72" s="165"/>
      <c r="U72" s="165"/>
      <c r="V72" s="165"/>
      <c r="W72" s="185">
        <v>3500</v>
      </c>
      <c r="X72" s="165"/>
      <c r="Y72" s="165"/>
      <c r="Z72" s="165"/>
      <c r="AA72" s="165"/>
      <c r="AB72" s="165"/>
      <c r="AC72" s="186">
        <v>84000</v>
      </c>
      <c r="AD72" s="165"/>
      <c r="AE72" s="165"/>
      <c r="AF72" s="31" t="s">
        <v>912</v>
      </c>
      <c r="AG72" s="31"/>
      <c r="AH72"/>
      <c r="AI72"/>
      <c r="AJ72"/>
      <c r="AK72"/>
      <c r="AM72"/>
    </row>
    <row r="73" spans="1:39" ht="25.15" customHeight="1" outlineLevel="1" x14ac:dyDescent="0.2">
      <c r="A73" s="10"/>
      <c r="B73" s="96" t="s">
        <v>820</v>
      </c>
      <c r="C73" s="96"/>
      <c r="D73" s="96"/>
      <c r="E73" s="96"/>
      <c r="F73" s="96"/>
      <c r="G73" s="96"/>
      <c r="H73" s="96"/>
      <c r="I73" s="96"/>
      <c r="J73" s="96"/>
      <c r="K73" s="96"/>
      <c r="L73" s="96"/>
      <c r="M73" s="96"/>
      <c r="N73" s="96" t="s">
        <v>43</v>
      </c>
      <c r="O73" s="96"/>
      <c r="P73" s="96"/>
      <c r="Q73" s="110"/>
      <c r="R73" s="111"/>
      <c r="S73" s="112"/>
      <c r="T73" s="113"/>
      <c r="U73" s="111"/>
      <c r="V73" s="111"/>
      <c r="W73" s="114"/>
      <c r="X73" s="111"/>
      <c r="Y73" s="112"/>
      <c r="Z73" s="115"/>
      <c r="AA73" s="115"/>
      <c r="AB73" s="113"/>
      <c r="AC73" s="116"/>
      <c r="AD73" s="111"/>
      <c r="AE73" s="111"/>
      <c r="AF73" s="40"/>
      <c r="AG73" s="31"/>
      <c r="AH73"/>
      <c r="AI73"/>
      <c r="AJ73"/>
      <c r="AK73"/>
      <c r="AM73"/>
    </row>
    <row r="74" spans="1:39" ht="25.15" customHeight="1" outlineLevel="1" x14ac:dyDescent="0.2">
      <c r="A74" s="10"/>
      <c r="B74" s="96" t="s">
        <v>821</v>
      </c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 t="s">
        <v>43</v>
      </c>
      <c r="O74" s="96"/>
      <c r="P74" s="96"/>
      <c r="Q74" s="110"/>
      <c r="R74" s="111"/>
      <c r="S74" s="112"/>
      <c r="T74" s="113"/>
      <c r="U74" s="111"/>
      <c r="V74" s="111"/>
      <c r="W74" s="114"/>
      <c r="X74" s="111"/>
      <c r="Y74" s="112"/>
      <c r="Z74" s="115"/>
      <c r="AA74" s="115"/>
      <c r="AB74" s="113"/>
      <c r="AC74" s="116"/>
      <c r="AD74" s="111"/>
      <c r="AE74" s="111"/>
      <c r="AF74" s="40"/>
      <c r="AG74" s="31"/>
      <c r="AH74"/>
      <c r="AI74"/>
      <c r="AJ74"/>
      <c r="AK74"/>
      <c r="AM74"/>
    </row>
    <row r="75" spans="1:39" ht="25.15" customHeight="1" outlineLevel="1" x14ac:dyDescent="0.2">
      <c r="A75" s="10"/>
      <c r="B75" s="96" t="s">
        <v>822</v>
      </c>
      <c r="C75" s="96"/>
      <c r="D75" s="96"/>
      <c r="E75" s="96"/>
      <c r="F75" s="96"/>
      <c r="G75" s="96"/>
      <c r="H75" s="96"/>
      <c r="I75" s="96"/>
      <c r="J75" s="96"/>
      <c r="K75" s="96"/>
      <c r="L75" s="96"/>
      <c r="M75" s="96"/>
      <c r="N75" s="96" t="s">
        <v>27</v>
      </c>
      <c r="O75" s="96"/>
      <c r="P75" s="96"/>
      <c r="Q75" s="110"/>
      <c r="R75" s="111"/>
      <c r="S75" s="112"/>
      <c r="T75" s="113"/>
      <c r="U75" s="111"/>
      <c r="V75" s="111"/>
      <c r="W75" s="114"/>
      <c r="X75" s="111"/>
      <c r="Y75" s="112"/>
      <c r="Z75" s="115"/>
      <c r="AA75" s="115"/>
      <c r="AB75" s="113"/>
      <c r="AC75" s="116"/>
      <c r="AD75" s="111"/>
      <c r="AE75" s="111"/>
      <c r="AF75" s="40"/>
      <c r="AG75" s="31"/>
      <c r="AH75"/>
      <c r="AI75"/>
      <c r="AJ75"/>
      <c r="AK75"/>
      <c r="AM75"/>
    </row>
    <row r="76" spans="1:39" ht="25.15" customHeight="1" outlineLevel="1" x14ac:dyDescent="0.2">
      <c r="A76" s="41"/>
      <c r="B76" s="187" t="s">
        <v>823</v>
      </c>
      <c r="C76" s="187"/>
      <c r="D76" s="187"/>
      <c r="E76" s="187"/>
      <c r="F76" s="187"/>
      <c r="G76" s="187"/>
      <c r="H76" s="187"/>
      <c r="I76" s="187"/>
      <c r="J76" s="187"/>
      <c r="K76" s="187"/>
      <c r="L76" s="187"/>
      <c r="M76" s="187"/>
      <c r="N76" s="96" t="s">
        <v>27</v>
      </c>
      <c r="O76" s="96"/>
      <c r="P76" s="96"/>
      <c r="Q76" s="110"/>
      <c r="R76" s="111"/>
      <c r="S76" s="112"/>
      <c r="T76" s="113"/>
      <c r="U76" s="111"/>
      <c r="V76" s="111"/>
      <c r="W76" s="114"/>
      <c r="X76" s="111"/>
      <c r="Y76" s="112"/>
      <c r="Z76" s="115"/>
      <c r="AA76" s="115"/>
      <c r="AB76" s="113"/>
      <c r="AC76" s="116"/>
      <c r="AD76" s="111"/>
      <c r="AE76" s="111"/>
      <c r="AF76" s="40"/>
      <c r="AG76" s="31"/>
      <c r="AH76"/>
      <c r="AI76"/>
      <c r="AJ76"/>
      <c r="AK76"/>
      <c r="AM76"/>
    </row>
    <row r="77" spans="1:39" ht="25.15" customHeight="1" outlineLevel="1" x14ac:dyDescent="0.2">
      <c r="A77" s="41"/>
      <c r="B77" s="187" t="s">
        <v>845</v>
      </c>
      <c r="C77" s="187"/>
      <c r="D77" s="187"/>
      <c r="E77" s="187"/>
      <c r="F77" s="187"/>
      <c r="G77" s="187"/>
      <c r="H77" s="187"/>
      <c r="I77" s="187"/>
      <c r="J77" s="187"/>
      <c r="K77" s="187"/>
      <c r="L77" s="187"/>
      <c r="M77" s="187"/>
      <c r="N77" s="96" t="s">
        <v>27</v>
      </c>
      <c r="O77" s="96"/>
      <c r="P77" s="96"/>
      <c r="Q77" s="110"/>
      <c r="R77" s="111"/>
      <c r="S77" s="112"/>
      <c r="T77" s="113"/>
      <c r="U77" s="111"/>
      <c r="V77" s="111"/>
      <c r="W77" s="114"/>
      <c r="X77" s="111"/>
      <c r="Y77" s="112"/>
      <c r="Z77" s="115"/>
      <c r="AA77" s="115"/>
      <c r="AB77" s="113"/>
      <c r="AC77" s="116"/>
      <c r="AD77" s="111"/>
      <c r="AE77" s="111"/>
      <c r="AF77" s="40" t="s">
        <v>947</v>
      </c>
      <c r="AG77" s="31"/>
      <c r="AH77"/>
      <c r="AI77"/>
      <c r="AJ77"/>
      <c r="AK77"/>
      <c r="AM77"/>
    </row>
    <row r="78" spans="1:39" ht="25.15" customHeight="1" outlineLevel="1" x14ac:dyDescent="0.2">
      <c r="A78" s="10"/>
      <c r="B78" s="96" t="s">
        <v>846</v>
      </c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 t="s">
        <v>27</v>
      </c>
      <c r="O78" s="96"/>
      <c r="P78" s="96"/>
      <c r="Q78" s="110"/>
      <c r="R78" s="111"/>
      <c r="S78" s="112"/>
      <c r="T78" s="113"/>
      <c r="U78" s="111"/>
      <c r="V78" s="111"/>
      <c r="W78" s="114"/>
      <c r="X78" s="111"/>
      <c r="Y78" s="112"/>
      <c r="Z78" s="115"/>
      <c r="AA78" s="115"/>
      <c r="AB78" s="113"/>
      <c r="AC78" s="116"/>
      <c r="AD78" s="111"/>
      <c r="AE78" s="111"/>
      <c r="AF78" s="40"/>
      <c r="AG78" s="31"/>
      <c r="AH78"/>
      <c r="AI78"/>
      <c r="AJ78"/>
      <c r="AK78"/>
      <c r="AM78"/>
    </row>
    <row r="79" spans="1:39" ht="25.15" customHeight="1" outlineLevel="1" x14ac:dyDescent="0.2">
      <c r="A79" s="10"/>
      <c r="B79" s="96" t="s">
        <v>864</v>
      </c>
      <c r="C79" s="96"/>
      <c r="D79" s="96"/>
      <c r="E79" s="96"/>
      <c r="F79" s="96"/>
      <c r="G79" s="96"/>
      <c r="H79" s="96"/>
      <c r="I79" s="96"/>
      <c r="J79" s="96"/>
      <c r="K79" s="96"/>
      <c r="L79" s="96"/>
      <c r="M79" s="96"/>
      <c r="N79" s="96" t="s">
        <v>27</v>
      </c>
      <c r="O79" s="96"/>
      <c r="P79" s="96"/>
      <c r="Q79" s="110"/>
      <c r="R79" s="111"/>
      <c r="S79" s="112"/>
      <c r="T79" s="113"/>
      <c r="U79" s="111"/>
      <c r="V79" s="111"/>
      <c r="W79" s="114"/>
      <c r="X79" s="111"/>
      <c r="Y79" s="112"/>
      <c r="Z79" s="115"/>
      <c r="AA79" s="115"/>
      <c r="AB79" s="113"/>
      <c r="AC79" s="116"/>
      <c r="AD79" s="111"/>
      <c r="AE79" s="111"/>
      <c r="AF79" s="40"/>
      <c r="AG79" s="31"/>
      <c r="AH79"/>
      <c r="AI79"/>
      <c r="AJ79"/>
      <c r="AK79"/>
      <c r="AM79"/>
    </row>
    <row r="80" spans="1:39" ht="25.15" customHeight="1" x14ac:dyDescent="0.2">
      <c r="A80" s="19" t="s">
        <v>138</v>
      </c>
      <c r="B80" s="134" t="s">
        <v>139</v>
      </c>
      <c r="C80" s="134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5"/>
      <c r="R80" s="135"/>
      <c r="S80" s="135"/>
      <c r="T80" s="135"/>
      <c r="U80" s="135"/>
      <c r="V80" s="135"/>
      <c r="W80" s="135"/>
      <c r="X80" s="135"/>
      <c r="Y80" s="135"/>
      <c r="Z80" s="135"/>
      <c r="AA80" s="135"/>
      <c r="AB80" s="135"/>
      <c r="AC80" s="172">
        <v>353589.87</v>
      </c>
      <c r="AD80" s="135"/>
      <c r="AE80" s="135"/>
      <c r="AF80" s="31"/>
      <c r="AG80" s="31"/>
      <c r="AH80"/>
      <c r="AI80"/>
      <c r="AJ80"/>
      <c r="AK80"/>
      <c r="AM80"/>
    </row>
    <row r="81" spans="1:39" ht="25.15" customHeight="1" outlineLevel="1" x14ac:dyDescent="0.2">
      <c r="A81" s="10" t="s">
        <v>140</v>
      </c>
      <c r="B81" s="98" t="s">
        <v>141</v>
      </c>
      <c r="C81" s="98"/>
      <c r="D81" s="98"/>
      <c r="E81" s="98"/>
      <c r="F81" s="98"/>
      <c r="G81" s="98"/>
      <c r="H81" s="98"/>
      <c r="I81" s="98"/>
      <c r="J81" s="98"/>
      <c r="K81" s="98"/>
      <c r="L81" s="98"/>
      <c r="M81" s="98"/>
      <c r="N81" s="98" t="s">
        <v>27</v>
      </c>
      <c r="O81" s="98"/>
      <c r="P81" s="98"/>
      <c r="Q81" s="99">
        <v>1</v>
      </c>
      <c r="R81" s="95"/>
      <c r="S81" s="95"/>
      <c r="T81" s="95"/>
      <c r="U81" s="95"/>
      <c r="V81" s="95"/>
      <c r="W81" s="132">
        <v>9310</v>
      </c>
      <c r="X81" s="95"/>
      <c r="Y81" s="95"/>
      <c r="Z81" s="95"/>
      <c r="AA81" s="95"/>
      <c r="AB81" s="95"/>
      <c r="AC81" s="94">
        <v>9310</v>
      </c>
      <c r="AD81" s="95"/>
      <c r="AE81" s="95"/>
      <c r="AF81" s="31"/>
      <c r="AG81" s="31"/>
      <c r="AH81"/>
      <c r="AI81"/>
      <c r="AJ81"/>
      <c r="AK81"/>
      <c r="AM81"/>
    </row>
    <row r="82" spans="1:39" ht="25.15" customHeight="1" outlineLevel="1" x14ac:dyDescent="0.2">
      <c r="A82" s="38"/>
      <c r="B82" s="188" t="s">
        <v>824</v>
      </c>
      <c r="C82" s="188"/>
      <c r="D82" s="188"/>
      <c r="E82" s="188"/>
      <c r="F82" s="188"/>
      <c r="G82" s="188"/>
      <c r="H82" s="188"/>
      <c r="I82" s="188"/>
      <c r="J82" s="188"/>
      <c r="K82" s="188"/>
      <c r="L82" s="188"/>
      <c r="M82" s="188"/>
      <c r="N82" s="189" t="s">
        <v>27</v>
      </c>
      <c r="O82" s="189"/>
      <c r="P82" s="189"/>
      <c r="Q82" s="190"/>
      <c r="R82" s="191"/>
      <c r="S82" s="192"/>
      <c r="T82" s="193"/>
      <c r="U82" s="191"/>
      <c r="V82" s="191"/>
      <c r="W82" s="194"/>
      <c r="X82" s="191"/>
      <c r="Y82" s="192"/>
      <c r="Z82" s="195"/>
      <c r="AA82" s="195"/>
      <c r="AB82" s="193"/>
      <c r="AC82" s="196"/>
      <c r="AD82" s="191"/>
      <c r="AE82" s="191"/>
      <c r="AF82" s="31" t="s">
        <v>944</v>
      </c>
      <c r="AG82" s="31"/>
      <c r="AH82"/>
      <c r="AI82"/>
      <c r="AJ82"/>
      <c r="AK82"/>
      <c r="AM82"/>
    </row>
    <row r="83" spans="1:39" ht="25.15" customHeight="1" outlineLevel="1" x14ac:dyDescent="0.2">
      <c r="A83" s="10" t="s">
        <v>142</v>
      </c>
      <c r="B83" s="98" t="s">
        <v>143</v>
      </c>
      <c r="C83" s="98"/>
      <c r="D83" s="98"/>
      <c r="E83" s="98"/>
      <c r="F83" s="98"/>
      <c r="G83" s="98"/>
      <c r="H83" s="98"/>
      <c r="I83" s="98"/>
      <c r="J83" s="98"/>
      <c r="K83" s="98"/>
      <c r="L83" s="98"/>
      <c r="M83" s="98"/>
      <c r="N83" s="98" t="s">
        <v>39</v>
      </c>
      <c r="O83" s="98"/>
      <c r="P83" s="98"/>
      <c r="Q83" s="97">
        <v>74.989999999999995</v>
      </c>
      <c r="R83" s="95"/>
      <c r="S83" s="95"/>
      <c r="T83" s="95"/>
      <c r="U83" s="95"/>
      <c r="V83" s="95"/>
      <c r="W83" s="133">
        <v>304.09550000000002</v>
      </c>
      <c r="X83" s="95"/>
      <c r="Y83" s="95"/>
      <c r="Z83" s="95"/>
      <c r="AA83" s="95"/>
      <c r="AB83" s="95"/>
      <c r="AC83" s="126">
        <v>22804.12</v>
      </c>
      <c r="AD83" s="95"/>
      <c r="AE83" s="95"/>
      <c r="AF83" s="31"/>
      <c r="AG83" s="31"/>
      <c r="AH83"/>
      <c r="AI83"/>
      <c r="AJ83"/>
      <c r="AK83"/>
      <c r="AM83"/>
    </row>
    <row r="84" spans="1:39" ht="25.15" customHeight="1" outlineLevel="1" x14ac:dyDescent="0.2">
      <c r="A84" s="10" t="s">
        <v>144</v>
      </c>
      <c r="B84" s="98" t="s">
        <v>145</v>
      </c>
      <c r="C84" s="98"/>
      <c r="D84" s="98"/>
      <c r="E84" s="98"/>
      <c r="F84" s="98"/>
      <c r="G84" s="98"/>
      <c r="H84" s="98"/>
      <c r="I84" s="98"/>
      <c r="J84" s="98"/>
      <c r="K84" s="98"/>
      <c r="L84" s="98"/>
      <c r="M84" s="98"/>
      <c r="N84" s="98" t="s">
        <v>39</v>
      </c>
      <c r="O84" s="98"/>
      <c r="P84" s="98"/>
      <c r="Q84" s="133">
        <v>224.97</v>
      </c>
      <c r="R84" s="95"/>
      <c r="S84" s="95"/>
      <c r="T84" s="95"/>
      <c r="U84" s="95"/>
      <c r="V84" s="95"/>
      <c r="W84" s="133">
        <v>263.87709999999998</v>
      </c>
      <c r="X84" s="95"/>
      <c r="Y84" s="95"/>
      <c r="Z84" s="95"/>
      <c r="AA84" s="95"/>
      <c r="AB84" s="95"/>
      <c r="AC84" s="126">
        <v>59364.43</v>
      </c>
      <c r="AD84" s="95"/>
      <c r="AE84" s="95"/>
      <c r="AF84" s="31"/>
      <c r="AG84" s="31"/>
      <c r="AH84"/>
      <c r="AI84"/>
      <c r="AJ84"/>
      <c r="AK84"/>
      <c r="AM84"/>
    </row>
    <row r="85" spans="1:39" ht="25.15" customHeight="1" outlineLevel="1" x14ac:dyDescent="0.2">
      <c r="A85" s="10" t="s">
        <v>146</v>
      </c>
      <c r="B85" s="98" t="s">
        <v>147</v>
      </c>
      <c r="C85" s="98"/>
      <c r="D85" s="98"/>
      <c r="E85" s="98"/>
      <c r="F85" s="98"/>
      <c r="G85" s="98"/>
      <c r="H85" s="98"/>
      <c r="I85" s="98"/>
      <c r="J85" s="98"/>
      <c r="K85" s="98"/>
      <c r="L85" s="98"/>
      <c r="M85" s="98"/>
      <c r="N85" s="98" t="s">
        <v>47</v>
      </c>
      <c r="O85" s="98"/>
      <c r="P85" s="98"/>
      <c r="Q85" s="132">
        <v>4488</v>
      </c>
      <c r="R85" s="95"/>
      <c r="S85" s="95"/>
      <c r="T85" s="95"/>
      <c r="U85" s="95"/>
      <c r="V85" s="95"/>
      <c r="W85" s="97">
        <v>24.707699999999999</v>
      </c>
      <c r="X85" s="95"/>
      <c r="Y85" s="95"/>
      <c r="Z85" s="95"/>
      <c r="AA85" s="95"/>
      <c r="AB85" s="95"/>
      <c r="AC85" s="101">
        <v>110888.16</v>
      </c>
      <c r="AD85" s="95"/>
      <c r="AE85" s="95"/>
      <c r="AF85" s="31"/>
      <c r="AG85" s="31"/>
      <c r="AH85"/>
      <c r="AI85"/>
      <c r="AJ85"/>
      <c r="AK85"/>
      <c r="AM85"/>
    </row>
    <row r="86" spans="1:39" ht="25.15" customHeight="1" outlineLevel="1" x14ac:dyDescent="0.2">
      <c r="A86" s="10" t="s">
        <v>148</v>
      </c>
      <c r="B86" s="98" t="s">
        <v>149</v>
      </c>
      <c r="C86" s="98"/>
      <c r="D86" s="98"/>
      <c r="E86" s="98"/>
      <c r="F86" s="98"/>
      <c r="G86" s="98"/>
      <c r="H86" s="98"/>
      <c r="I86" s="98"/>
      <c r="J86" s="98"/>
      <c r="K86" s="98"/>
      <c r="L86" s="98"/>
      <c r="M86" s="98"/>
      <c r="N86" s="98" t="s">
        <v>47</v>
      </c>
      <c r="O86" s="98"/>
      <c r="P86" s="98"/>
      <c r="Q86" s="132">
        <v>1102.5</v>
      </c>
      <c r="R86" s="95"/>
      <c r="S86" s="95"/>
      <c r="T86" s="95"/>
      <c r="U86" s="95"/>
      <c r="V86" s="95"/>
      <c r="W86" s="133">
        <v>104.2668</v>
      </c>
      <c r="X86" s="95"/>
      <c r="Y86" s="95"/>
      <c r="Z86" s="95"/>
      <c r="AA86" s="95"/>
      <c r="AB86" s="95"/>
      <c r="AC86" s="101">
        <v>114954.15</v>
      </c>
      <c r="AD86" s="95"/>
      <c r="AE86" s="95"/>
      <c r="AF86" s="31"/>
      <c r="AG86" s="31"/>
      <c r="AH86"/>
      <c r="AI86"/>
      <c r="AJ86"/>
      <c r="AK86"/>
      <c r="AM86"/>
    </row>
    <row r="87" spans="1:39" ht="25.15" customHeight="1" outlineLevel="1" x14ac:dyDescent="0.2">
      <c r="A87" s="10" t="s">
        <v>150</v>
      </c>
      <c r="B87" s="98" t="s">
        <v>151</v>
      </c>
      <c r="C87" s="98"/>
      <c r="D87" s="98"/>
      <c r="E87" s="98"/>
      <c r="F87" s="98"/>
      <c r="G87" s="98"/>
      <c r="H87" s="98"/>
      <c r="I87" s="98"/>
      <c r="J87" s="98"/>
      <c r="K87" s="98"/>
      <c r="L87" s="98"/>
      <c r="M87" s="98"/>
      <c r="N87" s="98" t="s">
        <v>39</v>
      </c>
      <c r="O87" s="98"/>
      <c r="P87" s="98"/>
      <c r="Q87" s="133">
        <v>300</v>
      </c>
      <c r="R87" s="95"/>
      <c r="S87" s="95"/>
      <c r="T87" s="95"/>
      <c r="U87" s="95"/>
      <c r="V87" s="95"/>
      <c r="W87" s="133">
        <v>115.8967</v>
      </c>
      <c r="X87" s="95"/>
      <c r="Y87" s="95"/>
      <c r="Z87" s="95"/>
      <c r="AA87" s="95"/>
      <c r="AB87" s="95"/>
      <c r="AC87" s="126">
        <v>34769.01</v>
      </c>
      <c r="AD87" s="95"/>
      <c r="AE87" s="95"/>
      <c r="AF87" s="31"/>
      <c r="AG87" s="31"/>
      <c r="AH87"/>
      <c r="AI87"/>
      <c r="AJ87"/>
      <c r="AK87"/>
      <c r="AM87"/>
    </row>
    <row r="88" spans="1:39" ht="25.15" customHeight="1" outlineLevel="1" x14ac:dyDescent="0.2">
      <c r="A88" s="10" t="s">
        <v>152</v>
      </c>
      <c r="B88" s="98" t="s">
        <v>153</v>
      </c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 t="s">
        <v>27</v>
      </c>
      <c r="O88" s="98"/>
      <c r="P88" s="98"/>
      <c r="Q88" s="99">
        <v>1</v>
      </c>
      <c r="R88" s="95"/>
      <c r="S88" s="95"/>
      <c r="T88" s="95"/>
      <c r="U88" s="95"/>
      <c r="V88" s="95"/>
      <c r="W88" s="132">
        <v>1500</v>
      </c>
      <c r="X88" s="95"/>
      <c r="Y88" s="95"/>
      <c r="Z88" s="95"/>
      <c r="AA88" s="95"/>
      <c r="AB88" s="95"/>
      <c r="AC88" s="94">
        <v>1500</v>
      </c>
      <c r="AD88" s="95"/>
      <c r="AE88" s="95"/>
      <c r="AF88" s="31"/>
      <c r="AG88" s="31"/>
      <c r="AH88"/>
      <c r="AI88"/>
      <c r="AJ88"/>
      <c r="AK88"/>
      <c r="AM88"/>
    </row>
    <row r="89" spans="1:39" ht="25.15" customHeight="1" outlineLevel="1" x14ac:dyDescent="0.2">
      <c r="A89" s="10"/>
      <c r="B89" s="96" t="s">
        <v>842</v>
      </c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 t="s">
        <v>27</v>
      </c>
      <c r="O89" s="96"/>
      <c r="P89" s="96"/>
      <c r="Q89" s="110">
        <v>1</v>
      </c>
      <c r="R89" s="111"/>
      <c r="S89" s="112"/>
      <c r="T89" s="113"/>
      <c r="U89" s="111"/>
      <c r="V89" s="111"/>
      <c r="W89" s="114"/>
      <c r="X89" s="111"/>
      <c r="Y89" s="112"/>
      <c r="Z89" s="115"/>
      <c r="AA89" s="115"/>
      <c r="AB89" s="113"/>
      <c r="AC89" s="116"/>
      <c r="AD89" s="111"/>
      <c r="AE89" s="111"/>
      <c r="AF89" s="40" t="s">
        <v>914</v>
      </c>
      <c r="AG89" s="31"/>
      <c r="AH89"/>
      <c r="AI89"/>
      <c r="AJ89"/>
      <c r="AK89"/>
      <c r="AM89"/>
    </row>
    <row r="90" spans="1:39" ht="25.15" customHeight="1" outlineLevel="1" x14ac:dyDescent="0.2">
      <c r="A90" s="10"/>
      <c r="B90" s="96" t="s">
        <v>843</v>
      </c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 t="s">
        <v>158</v>
      </c>
      <c r="O90" s="96"/>
      <c r="P90" s="96"/>
      <c r="Q90" s="110">
        <v>32</v>
      </c>
      <c r="R90" s="111"/>
      <c r="S90" s="112"/>
      <c r="T90" s="113"/>
      <c r="U90" s="111"/>
      <c r="V90" s="111"/>
      <c r="W90" s="114"/>
      <c r="X90" s="111"/>
      <c r="Y90" s="112"/>
      <c r="Z90" s="115"/>
      <c r="AA90" s="115"/>
      <c r="AB90" s="113"/>
      <c r="AC90" s="116"/>
      <c r="AD90" s="111"/>
      <c r="AE90" s="111"/>
      <c r="AF90" s="40" t="s">
        <v>905</v>
      </c>
      <c r="AG90" s="31"/>
      <c r="AH90"/>
      <c r="AI90"/>
      <c r="AJ90"/>
      <c r="AK90"/>
      <c r="AM90"/>
    </row>
    <row r="91" spans="1:39" ht="25.15" customHeight="1" outlineLevel="1" x14ac:dyDescent="0.2">
      <c r="A91" s="10"/>
      <c r="B91" s="96" t="s">
        <v>844</v>
      </c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 t="s">
        <v>27</v>
      </c>
      <c r="O91" s="96"/>
      <c r="P91" s="96"/>
      <c r="Q91" s="110">
        <v>1</v>
      </c>
      <c r="R91" s="111"/>
      <c r="S91" s="112"/>
      <c r="T91" s="113"/>
      <c r="U91" s="111"/>
      <c r="V91" s="111"/>
      <c r="W91" s="114"/>
      <c r="X91" s="111"/>
      <c r="Y91" s="112"/>
      <c r="Z91" s="115"/>
      <c r="AA91" s="115"/>
      <c r="AB91" s="113"/>
      <c r="AC91" s="116"/>
      <c r="AD91" s="111"/>
      <c r="AE91" s="111"/>
      <c r="AF91" s="40" t="s">
        <v>905</v>
      </c>
      <c r="AG91" s="31"/>
      <c r="AH91"/>
      <c r="AI91"/>
      <c r="AJ91"/>
      <c r="AK91"/>
      <c r="AM91"/>
    </row>
    <row r="92" spans="1:39" ht="25.15" customHeight="1" outlineLevel="1" x14ac:dyDescent="0.2">
      <c r="A92" s="10"/>
      <c r="B92" s="96" t="s">
        <v>869</v>
      </c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 t="s">
        <v>27</v>
      </c>
      <c r="O92" s="96"/>
      <c r="P92" s="96"/>
      <c r="Q92" s="110">
        <v>1</v>
      </c>
      <c r="R92" s="111"/>
      <c r="S92" s="112"/>
      <c r="T92" s="113"/>
      <c r="U92" s="111"/>
      <c r="V92" s="111"/>
      <c r="W92" s="114"/>
      <c r="X92" s="111"/>
      <c r="Y92" s="112"/>
      <c r="Z92" s="115"/>
      <c r="AA92" s="115"/>
      <c r="AB92" s="113"/>
      <c r="AC92" s="116"/>
      <c r="AD92" s="111"/>
      <c r="AE92" s="111"/>
      <c r="AF92" s="40"/>
      <c r="AG92" s="31"/>
      <c r="AH92"/>
      <c r="AI92"/>
      <c r="AJ92"/>
      <c r="AK92"/>
      <c r="AM92"/>
    </row>
    <row r="93" spans="1:39" ht="25.15" customHeight="1" outlineLevel="1" x14ac:dyDescent="0.2">
      <c r="A93" s="10"/>
      <c r="B93" s="96" t="s">
        <v>871</v>
      </c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 t="s">
        <v>27</v>
      </c>
      <c r="O93" s="96"/>
      <c r="P93" s="96"/>
      <c r="Q93" s="110">
        <v>1</v>
      </c>
      <c r="R93" s="111"/>
      <c r="S93" s="112"/>
      <c r="T93" s="113"/>
      <c r="U93" s="111"/>
      <c r="V93" s="111"/>
      <c r="W93" s="114"/>
      <c r="X93" s="111"/>
      <c r="Y93" s="112"/>
      <c r="Z93" s="115"/>
      <c r="AA93" s="115"/>
      <c r="AB93" s="113"/>
      <c r="AC93" s="116"/>
      <c r="AD93" s="111"/>
      <c r="AE93" s="111"/>
      <c r="AF93" s="40" t="s">
        <v>915</v>
      </c>
      <c r="AG93" s="31"/>
      <c r="AH93"/>
      <c r="AI93"/>
      <c r="AJ93"/>
      <c r="AK93"/>
      <c r="AM93"/>
    </row>
    <row r="94" spans="1:39" ht="25.15" customHeight="1" x14ac:dyDescent="0.2">
      <c r="A94" s="19" t="s">
        <v>154</v>
      </c>
      <c r="B94" s="134" t="s">
        <v>155</v>
      </c>
      <c r="C94" s="134"/>
      <c r="D94" s="134"/>
      <c r="E94" s="134"/>
      <c r="F94" s="134"/>
      <c r="G94" s="134"/>
      <c r="H94" s="134"/>
      <c r="I94" s="134"/>
      <c r="J94" s="134"/>
      <c r="K94" s="134"/>
      <c r="L94" s="134"/>
      <c r="M94" s="134"/>
      <c r="N94" s="134"/>
      <c r="O94" s="134"/>
      <c r="P94" s="134"/>
      <c r="Q94" s="135"/>
      <c r="R94" s="135"/>
      <c r="S94" s="135"/>
      <c r="T94" s="135"/>
      <c r="U94" s="135"/>
      <c r="V94" s="135"/>
      <c r="W94" s="135"/>
      <c r="X94" s="135"/>
      <c r="Y94" s="135"/>
      <c r="Z94" s="135"/>
      <c r="AA94" s="135"/>
      <c r="AB94" s="135"/>
      <c r="AC94" s="172">
        <v>5000</v>
      </c>
      <c r="AD94" s="135"/>
      <c r="AE94" s="135"/>
      <c r="AF94" s="31"/>
      <c r="AG94" s="31"/>
      <c r="AH94"/>
      <c r="AI94"/>
      <c r="AJ94"/>
      <c r="AK94"/>
      <c r="AM94"/>
    </row>
    <row r="95" spans="1:39" ht="25.15" customHeight="1" outlineLevel="1" x14ac:dyDescent="0.2">
      <c r="A95" s="10" t="s">
        <v>156</v>
      </c>
      <c r="B95" s="98" t="s">
        <v>157</v>
      </c>
      <c r="C95" s="98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 t="s">
        <v>158</v>
      </c>
      <c r="O95" s="98"/>
      <c r="P95" s="98"/>
      <c r="Q95" s="99">
        <v>1</v>
      </c>
      <c r="R95" s="95"/>
      <c r="S95" s="95"/>
      <c r="T95" s="95"/>
      <c r="U95" s="95"/>
      <c r="V95" s="95"/>
      <c r="W95" s="132">
        <v>5000</v>
      </c>
      <c r="X95" s="95"/>
      <c r="Y95" s="95"/>
      <c r="Z95" s="95"/>
      <c r="AA95" s="95"/>
      <c r="AB95" s="95"/>
      <c r="AC95" s="94">
        <v>5000</v>
      </c>
      <c r="AD95" s="95"/>
      <c r="AE95" s="95"/>
      <c r="AF95" s="31"/>
      <c r="AG95" s="31"/>
      <c r="AH95"/>
      <c r="AI95"/>
      <c r="AJ95"/>
      <c r="AK95"/>
      <c r="AM95"/>
    </row>
    <row r="96" spans="1:39" ht="25.15" customHeight="1" x14ac:dyDescent="0.2">
      <c r="A96" s="29" t="s">
        <v>159</v>
      </c>
      <c r="B96" s="174" t="s">
        <v>160</v>
      </c>
      <c r="C96" s="174"/>
      <c r="D96" s="174"/>
      <c r="E96" s="174"/>
      <c r="F96" s="174"/>
      <c r="G96" s="174"/>
      <c r="H96" s="174"/>
      <c r="I96" s="174"/>
      <c r="J96" s="174"/>
      <c r="K96" s="174"/>
      <c r="L96" s="174"/>
      <c r="M96" s="174"/>
      <c r="N96" s="174"/>
      <c r="O96" s="174"/>
      <c r="P96" s="174"/>
      <c r="Q96" s="175"/>
      <c r="R96" s="175"/>
      <c r="S96" s="175"/>
      <c r="T96" s="175"/>
      <c r="U96" s="175"/>
      <c r="V96" s="175"/>
      <c r="W96" s="175"/>
      <c r="X96" s="175"/>
      <c r="Y96" s="175"/>
      <c r="Z96" s="175"/>
      <c r="AA96" s="175"/>
      <c r="AB96" s="175"/>
      <c r="AC96" s="176">
        <v>1382296.48</v>
      </c>
      <c r="AD96" s="175"/>
      <c r="AE96" s="175"/>
      <c r="AF96" s="108" t="s">
        <v>876</v>
      </c>
      <c r="AG96" s="109"/>
      <c r="AH96"/>
      <c r="AI96"/>
      <c r="AJ96"/>
      <c r="AK96"/>
      <c r="AM96"/>
    </row>
    <row r="97" spans="1:39" ht="25.15" customHeight="1" outlineLevel="1" x14ac:dyDescent="0.2">
      <c r="A97" s="18" t="s">
        <v>161</v>
      </c>
      <c r="B97" s="137" t="s">
        <v>160</v>
      </c>
      <c r="C97" s="137"/>
      <c r="D97" s="137"/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60"/>
      <c r="R97" s="160"/>
      <c r="S97" s="160"/>
      <c r="T97" s="160"/>
      <c r="U97" s="160"/>
      <c r="V97" s="160"/>
      <c r="W97" s="160"/>
      <c r="X97" s="160"/>
      <c r="Y97" s="160"/>
      <c r="Z97" s="160"/>
      <c r="AA97" s="160"/>
      <c r="AB97" s="160"/>
      <c r="AC97" s="161">
        <v>1382296.48</v>
      </c>
      <c r="AD97" s="160"/>
      <c r="AE97" s="160"/>
      <c r="AF97" s="31"/>
      <c r="AG97" s="31"/>
      <c r="AH97"/>
      <c r="AI97"/>
      <c r="AJ97"/>
      <c r="AK97"/>
      <c r="AM97"/>
    </row>
    <row r="98" spans="1:39" ht="25.15" customHeight="1" outlineLevel="1" x14ac:dyDescent="0.2">
      <c r="A98" s="18" t="s">
        <v>162</v>
      </c>
      <c r="B98" s="137" t="s">
        <v>163</v>
      </c>
      <c r="C98" s="137"/>
      <c r="D98" s="137"/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60"/>
      <c r="R98" s="160"/>
      <c r="S98" s="160"/>
      <c r="T98" s="160"/>
      <c r="U98" s="160"/>
      <c r="V98" s="160"/>
      <c r="W98" s="160"/>
      <c r="X98" s="160"/>
      <c r="Y98" s="160"/>
      <c r="Z98" s="160"/>
      <c r="AA98" s="160"/>
      <c r="AB98" s="160"/>
      <c r="AC98" s="161">
        <v>1012980</v>
      </c>
      <c r="AD98" s="160"/>
      <c r="AE98" s="160"/>
      <c r="AF98" s="31"/>
      <c r="AG98" s="31"/>
      <c r="AH98"/>
      <c r="AI98"/>
      <c r="AJ98"/>
      <c r="AK98"/>
      <c r="AM98"/>
    </row>
    <row r="99" spans="1:39" ht="25.15" customHeight="1" outlineLevel="1" x14ac:dyDescent="0.2">
      <c r="A99" s="10" t="s">
        <v>164</v>
      </c>
      <c r="B99" s="98" t="s">
        <v>165</v>
      </c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 t="s">
        <v>43</v>
      </c>
      <c r="O99" s="98"/>
      <c r="P99" s="98"/>
      <c r="Q99" s="97">
        <v>24</v>
      </c>
      <c r="R99" s="95"/>
      <c r="S99" s="95"/>
      <c r="T99" s="95"/>
      <c r="U99" s="95"/>
      <c r="V99" s="95"/>
      <c r="W99" s="173">
        <v>19000</v>
      </c>
      <c r="X99" s="95"/>
      <c r="Y99" s="95"/>
      <c r="Z99" s="95"/>
      <c r="AA99" s="95"/>
      <c r="AB99" s="95"/>
      <c r="AC99" s="101">
        <v>456000</v>
      </c>
      <c r="AD99" s="95"/>
      <c r="AE99" s="95"/>
      <c r="AF99" s="31" t="s">
        <v>906</v>
      </c>
      <c r="AG99" s="31" t="s">
        <v>913</v>
      </c>
      <c r="AH99"/>
      <c r="AI99"/>
      <c r="AJ99"/>
      <c r="AK99"/>
      <c r="AM99"/>
    </row>
    <row r="100" spans="1:39" ht="25.15" customHeight="1" outlineLevel="1" x14ac:dyDescent="0.2">
      <c r="A100" s="10" t="s">
        <v>166</v>
      </c>
      <c r="B100" s="98" t="s">
        <v>167</v>
      </c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 t="s">
        <v>43</v>
      </c>
      <c r="O100" s="98"/>
      <c r="P100" s="98"/>
      <c r="Q100" s="97">
        <v>24</v>
      </c>
      <c r="R100" s="95"/>
      <c r="S100" s="95"/>
      <c r="T100" s="95"/>
      <c r="U100" s="95"/>
      <c r="V100" s="95"/>
      <c r="W100" s="173">
        <v>10000</v>
      </c>
      <c r="X100" s="95"/>
      <c r="Y100" s="95"/>
      <c r="Z100" s="95"/>
      <c r="AA100" s="95"/>
      <c r="AB100" s="95"/>
      <c r="AC100" s="101">
        <v>240000</v>
      </c>
      <c r="AD100" s="95"/>
      <c r="AE100" s="95"/>
      <c r="AF100" s="31" t="s">
        <v>906</v>
      </c>
      <c r="AG100" s="31"/>
      <c r="AH100"/>
      <c r="AI100"/>
      <c r="AJ100"/>
      <c r="AK100"/>
      <c r="AM100"/>
    </row>
    <row r="101" spans="1:39" ht="25.15" customHeight="1" outlineLevel="1" x14ac:dyDescent="0.2">
      <c r="A101" s="10" t="s">
        <v>168</v>
      </c>
      <c r="B101" s="98" t="s">
        <v>169</v>
      </c>
      <c r="C101" s="98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 t="s">
        <v>43</v>
      </c>
      <c r="O101" s="98"/>
      <c r="P101" s="98"/>
      <c r="Q101" s="97">
        <v>24</v>
      </c>
      <c r="R101" s="95"/>
      <c r="S101" s="95"/>
      <c r="T101" s="95"/>
      <c r="U101" s="95"/>
      <c r="V101" s="95"/>
      <c r="W101" s="132">
        <v>2000</v>
      </c>
      <c r="X101" s="95"/>
      <c r="Y101" s="95"/>
      <c r="Z101" s="95"/>
      <c r="AA101" s="95"/>
      <c r="AB101" s="95"/>
      <c r="AC101" s="126">
        <v>48000</v>
      </c>
      <c r="AD101" s="95"/>
      <c r="AE101" s="95"/>
      <c r="AF101" s="31" t="s">
        <v>907</v>
      </c>
      <c r="AG101" s="31"/>
      <c r="AH101"/>
      <c r="AI101"/>
      <c r="AJ101"/>
      <c r="AK101"/>
      <c r="AM101"/>
    </row>
    <row r="102" spans="1:39" ht="25.15" customHeight="1" outlineLevel="1" x14ac:dyDescent="0.2">
      <c r="A102" s="10" t="s">
        <v>170</v>
      </c>
      <c r="B102" s="98" t="s">
        <v>171</v>
      </c>
      <c r="C102" s="98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 t="s">
        <v>43</v>
      </c>
      <c r="O102" s="98"/>
      <c r="P102" s="98"/>
      <c r="Q102" s="97">
        <v>24</v>
      </c>
      <c r="R102" s="95"/>
      <c r="S102" s="95"/>
      <c r="T102" s="95"/>
      <c r="U102" s="95"/>
      <c r="V102" s="95"/>
      <c r="W102" s="132">
        <v>5000</v>
      </c>
      <c r="X102" s="95"/>
      <c r="Y102" s="95"/>
      <c r="Z102" s="95"/>
      <c r="AA102" s="95"/>
      <c r="AB102" s="95"/>
      <c r="AC102" s="101">
        <v>120000</v>
      </c>
      <c r="AD102" s="95"/>
      <c r="AE102" s="95"/>
      <c r="AF102" s="31" t="s">
        <v>906</v>
      </c>
      <c r="AG102" s="31"/>
      <c r="AH102"/>
      <c r="AI102"/>
      <c r="AJ102"/>
      <c r="AK102"/>
      <c r="AM102"/>
    </row>
    <row r="103" spans="1:39" ht="25.15" customHeight="1" outlineLevel="1" x14ac:dyDescent="0.2">
      <c r="A103" s="10" t="s">
        <v>172</v>
      </c>
      <c r="B103" s="98" t="s">
        <v>173</v>
      </c>
      <c r="C103" s="98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 t="s">
        <v>43</v>
      </c>
      <c r="O103" s="98"/>
      <c r="P103" s="98"/>
      <c r="Q103" s="97">
        <v>24</v>
      </c>
      <c r="R103" s="95"/>
      <c r="S103" s="95"/>
      <c r="T103" s="95"/>
      <c r="U103" s="95"/>
      <c r="V103" s="95"/>
      <c r="W103" s="132">
        <v>1200</v>
      </c>
      <c r="X103" s="95"/>
      <c r="Y103" s="95"/>
      <c r="Z103" s="95"/>
      <c r="AA103" s="95"/>
      <c r="AB103" s="95"/>
      <c r="AC103" s="126">
        <v>28800</v>
      </c>
      <c r="AD103" s="95"/>
      <c r="AE103" s="95"/>
      <c r="AF103" s="31"/>
      <c r="AG103" s="31"/>
      <c r="AH103"/>
      <c r="AI103"/>
      <c r="AJ103"/>
      <c r="AK103"/>
      <c r="AM103"/>
    </row>
    <row r="104" spans="1:39" ht="25.15" customHeight="1" outlineLevel="1" x14ac:dyDescent="0.2">
      <c r="A104" s="10"/>
      <c r="B104" s="96" t="s">
        <v>825</v>
      </c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110"/>
      <c r="R104" s="111"/>
      <c r="S104" s="112"/>
      <c r="T104" s="113"/>
      <c r="U104" s="111"/>
      <c r="V104" s="111"/>
      <c r="W104" s="114"/>
      <c r="X104" s="111"/>
      <c r="Y104" s="112"/>
      <c r="Z104" s="115"/>
      <c r="AA104" s="115"/>
      <c r="AB104" s="113"/>
      <c r="AC104" s="116"/>
      <c r="AD104" s="111"/>
      <c r="AE104" s="111"/>
      <c r="AF104" s="40"/>
      <c r="AG104" s="31"/>
      <c r="AH104"/>
      <c r="AI104"/>
      <c r="AJ104"/>
      <c r="AK104"/>
      <c r="AM104"/>
    </row>
    <row r="105" spans="1:39" ht="25.15" customHeight="1" outlineLevel="1" x14ac:dyDescent="0.2">
      <c r="A105" s="10" t="s">
        <v>174</v>
      </c>
      <c r="B105" s="98" t="s">
        <v>175</v>
      </c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 t="s">
        <v>43</v>
      </c>
      <c r="O105" s="98"/>
      <c r="P105" s="98"/>
      <c r="Q105" s="97">
        <v>24</v>
      </c>
      <c r="R105" s="95"/>
      <c r="S105" s="95"/>
      <c r="T105" s="95"/>
      <c r="U105" s="95"/>
      <c r="V105" s="95"/>
      <c r="W105" s="132">
        <v>2007.5</v>
      </c>
      <c r="X105" s="95"/>
      <c r="Y105" s="95"/>
      <c r="Z105" s="95"/>
      <c r="AA105" s="95"/>
      <c r="AB105" s="95"/>
      <c r="AC105" s="126">
        <v>48180</v>
      </c>
      <c r="AD105" s="95"/>
      <c r="AE105" s="95"/>
      <c r="AF105" s="31"/>
      <c r="AG105" s="31"/>
      <c r="AH105"/>
      <c r="AI105"/>
      <c r="AJ105"/>
      <c r="AK105"/>
      <c r="AM105"/>
    </row>
    <row r="106" spans="1:39" ht="25.15" customHeight="1" outlineLevel="1" x14ac:dyDescent="0.2">
      <c r="A106" s="10" t="s">
        <v>176</v>
      </c>
      <c r="B106" s="98" t="s">
        <v>177</v>
      </c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 t="s">
        <v>43</v>
      </c>
      <c r="O106" s="98"/>
      <c r="P106" s="98"/>
      <c r="Q106" s="97">
        <v>24</v>
      </c>
      <c r="R106" s="95"/>
      <c r="S106" s="95"/>
      <c r="T106" s="95"/>
      <c r="U106" s="95"/>
      <c r="V106" s="95"/>
      <c r="W106" s="132">
        <v>3000</v>
      </c>
      <c r="X106" s="95"/>
      <c r="Y106" s="95"/>
      <c r="Z106" s="95"/>
      <c r="AA106" s="95"/>
      <c r="AB106" s="95"/>
      <c r="AC106" s="126">
        <v>72000</v>
      </c>
      <c r="AD106" s="95"/>
      <c r="AE106" s="95"/>
      <c r="AF106" s="31"/>
      <c r="AG106" s="31"/>
      <c r="AH106"/>
      <c r="AI106"/>
      <c r="AJ106"/>
      <c r="AK106"/>
      <c r="AM106"/>
    </row>
    <row r="107" spans="1:39" ht="25.15" customHeight="1" outlineLevel="1" x14ac:dyDescent="0.2">
      <c r="A107" s="10"/>
      <c r="B107" s="120" t="s">
        <v>826</v>
      </c>
      <c r="C107" s="121"/>
      <c r="D107" s="121"/>
      <c r="E107" s="121"/>
      <c r="F107" s="121"/>
      <c r="G107" s="121"/>
      <c r="H107" s="121"/>
      <c r="I107" s="121"/>
      <c r="J107" s="121"/>
      <c r="K107" s="121"/>
      <c r="L107" s="121"/>
      <c r="M107" s="122"/>
      <c r="N107" s="96"/>
      <c r="O107" s="96"/>
      <c r="P107" s="96"/>
      <c r="Q107" s="110"/>
      <c r="R107" s="111"/>
      <c r="S107" s="112"/>
      <c r="T107" s="113"/>
      <c r="U107" s="111"/>
      <c r="V107" s="111"/>
      <c r="W107" s="114"/>
      <c r="X107" s="111"/>
      <c r="Y107" s="112"/>
      <c r="Z107" s="115"/>
      <c r="AA107" s="115"/>
      <c r="AB107" s="113"/>
      <c r="AC107" s="116"/>
      <c r="AD107" s="111"/>
      <c r="AE107" s="111"/>
      <c r="AF107" s="40"/>
      <c r="AG107" s="31"/>
      <c r="AH107"/>
      <c r="AI107"/>
      <c r="AJ107"/>
      <c r="AK107"/>
      <c r="AM107"/>
    </row>
    <row r="108" spans="1:39" ht="25.15" customHeight="1" outlineLevel="1" x14ac:dyDescent="0.2">
      <c r="A108" s="10"/>
      <c r="B108" s="120" t="s">
        <v>827</v>
      </c>
      <c r="C108" s="121"/>
      <c r="D108" s="121"/>
      <c r="E108" s="121"/>
      <c r="F108" s="121"/>
      <c r="G108" s="121"/>
      <c r="H108" s="121"/>
      <c r="I108" s="121"/>
      <c r="J108" s="121"/>
      <c r="K108" s="121"/>
      <c r="L108" s="121"/>
      <c r="M108" s="122"/>
      <c r="N108" s="96"/>
      <c r="O108" s="96"/>
      <c r="P108" s="96"/>
      <c r="Q108" s="110"/>
      <c r="R108" s="111"/>
      <c r="S108" s="112"/>
      <c r="T108" s="113"/>
      <c r="U108" s="111"/>
      <c r="V108" s="111"/>
      <c r="W108" s="114"/>
      <c r="X108" s="111"/>
      <c r="Y108" s="112"/>
      <c r="Z108" s="115"/>
      <c r="AA108" s="115"/>
      <c r="AB108" s="113"/>
      <c r="AC108" s="116"/>
      <c r="AD108" s="111"/>
      <c r="AE108" s="111"/>
      <c r="AF108" s="40"/>
      <c r="AG108" s="31"/>
      <c r="AH108"/>
      <c r="AI108"/>
      <c r="AJ108"/>
      <c r="AK108"/>
      <c r="AM108"/>
    </row>
    <row r="109" spans="1:39" ht="25.15" customHeight="1" outlineLevel="1" x14ac:dyDescent="0.2">
      <c r="A109" s="10"/>
      <c r="B109" s="120" t="s">
        <v>828</v>
      </c>
      <c r="C109" s="121"/>
      <c r="D109" s="121"/>
      <c r="E109" s="121"/>
      <c r="F109" s="121"/>
      <c r="G109" s="121"/>
      <c r="H109" s="121"/>
      <c r="I109" s="121"/>
      <c r="J109" s="121"/>
      <c r="K109" s="121"/>
      <c r="L109" s="121"/>
      <c r="M109" s="122"/>
      <c r="N109" s="96"/>
      <c r="O109" s="96"/>
      <c r="P109" s="96"/>
      <c r="Q109" s="110"/>
      <c r="R109" s="111"/>
      <c r="S109" s="112"/>
      <c r="T109" s="113"/>
      <c r="U109" s="111"/>
      <c r="V109" s="111"/>
      <c r="W109" s="114"/>
      <c r="X109" s="111"/>
      <c r="Y109" s="112"/>
      <c r="Z109" s="115"/>
      <c r="AA109" s="115"/>
      <c r="AB109" s="113"/>
      <c r="AC109" s="116"/>
      <c r="AD109" s="111"/>
      <c r="AE109" s="111"/>
      <c r="AF109" s="40"/>
      <c r="AG109" s="31"/>
      <c r="AH109"/>
      <c r="AI109"/>
      <c r="AJ109"/>
      <c r="AK109"/>
      <c r="AM109"/>
    </row>
    <row r="110" spans="1:39" ht="25.15" customHeight="1" x14ac:dyDescent="0.2">
      <c r="A110" s="29" t="s">
        <v>178</v>
      </c>
      <c r="B110" s="174" t="s">
        <v>179</v>
      </c>
      <c r="C110" s="174"/>
      <c r="D110" s="174"/>
      <c r="E110" s="174"/>
      <c r="F110" s="174"/>
      <c r="G110" s="174"/>
      <c r="H110" s="174"/>
      <c r="I110" s="174"/>
      <c r="J110" s="174"/>
      <c r="K110" s="174"/>
      <c r="L110" s="174"/>
      <c r="M110" s="174"/>
      <c r="N110" s="174"/>
      <c r="O110" s="174"/>
      <c r="P110" s="174"/>
      <c r="Q110" s="175"/>
      <c r="R110" s="175"/>
      <c r="S110" s="175"/>
      <c r="T110" s="175"/>
      <c r="U110" s="175"/>
      <c r="V110" s="175"/>
      <c r="W110" s="175"/>
      <c r="X110" s="175"/>
      <c r="Y110" s="175"/>
      <c r="Z110" s="175"/>
      <c r="AA110" s="175"/>
      <c r="AB110" s="175"/>
      <c r="AC110" s="176">
        <v>189036.48</v>
      </c>
      <c r="AD110" s="175"/>
      <c r="AE110" s="175"/>
      <c r="AF110" s="31" t="s">
        <v>882</v>
      </c>
      <c r="AG110" s="31"/>
      <c r="AH110"/>
      <c r="AI110"/>
      <c r="AJ110"/>
      <c r="AK110"/>
      <c r="AM110"/>
    </row>
    <row r="111" spans="1:39" ht="25.15" customHeight="1" outlineLevel="1" x14ac:dyDescent="0.2">
      <c r="A111" s="10" t="s">
        <v>180</v>
      </c>
      <c r="B111" s="98" t="s">
        <v>181</v>
      </c>
      <c r="C111" s="98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 t="s">
        <v>47</v>
      </c>
      <c r="O111" s="98"/>
      <c r="P111" s="98"/>
      <c r="Q111" s="133">
        <v>571.98</v>
      </c>
      <c r="R111" s="95"/>
      <c r="S111" s="95"/>
      <c r="T111" s="95"/>
      <c r="U111" s="95"/>
      <c r="V111" s="95"/>
      <c r="W111" s="97">
        <v>80.631</v>
      </c>
      <c r="X111" s="95"/>
      <c r="Y111" s="95"/>
      <c r="Z111" s="95"/>
      <c r="AA111" s="95"/>
      <c r="AB111" s="95"/>
      <c r="AC111" s="126">
        <v>46119.32</v>
      </c>
      <c r="AD111" s="95"/>
      <c r="AE111" s="95"/>
      <c r="AF111" s="31" t="s">
        <v>909</v>
      </c>
      <c r="AG111" s="31"/>
      <c r="AH111"/>
      <c r="AI111"/>
      <c r="AJ111"/>
      <c r="AK111"/>
      <c r="AM111"/>
    </row>
    <row r="112" spans="1:39" ht="25.15" customHeight="1" outlineLevel="1" x14ac:dyDescent="0.2">
      <c r="A112" s="10" t="s">
        <v>182</v>
      </c>
      <c r="B112" s="98" t="s">
        <v>183</v>
      </c>
      <c r="C112" s="98"/>
      <c r="D112" s="98"/>
      <c r="E112" s="98"/>
      <c r="F112" s="98"/>
      <c r="G112" s="98"/>
      <c r="H112" s="98"/>
      <c r="I112" s="98"/>
      <c r="J112" s="98"/>
      <c r="K112" s="98"/>
      <c r="L112" s="98"/>
      <c r="M112" s="98"/>
      <c r="N112" s="98" t="s">
        <v>47</v>
      </c>
      <c r="O112" s="98"/>
      <c r="P112" s="98"/>
      <c r="Q112" s="133">
        <v>572.54</v>
      </c>
      <c r="R112" s="95"/>
      <c r="S112" s="95"/>
      <c r="T112" s="95"/>
      <c r="U112" s="95"/>
      <c r="V112" s="95"/>
      <c r="W112" s="97">
        <v>14</v>
      </c>
      <c r="X112" s="95"/>
      <c r="Y112" s="95"/>
      <c r="Z112" s="95"/>
      <c r="AA112" s="95"/>
      <c r="AB112" s="95"/>
      <c r="AC112" s="94">
        <v>8015.56</v>
      </c>
      <c r="AD112" s="95"/>
      <c r="AE112" s="95"/>
      <c r="AF112" s="31"/>
      <c r="AG112" s="31"/>
      <c r="AH112"/>
      <c r="AI112"/>
      <c r="AJ112"/>
      <c r="AK112"/>
      <c r="AM112"/>
    </row>
    <row r="113" spans="1:39" ht="25.15" customHeight="1" outlineLevel="1" x14ac:dyDescent="0.2">
      <c r="A113" s="10" t="s">
        <v>184</v>
      </c>
      <c r="B113" s="98" t="s">
        <v>185</v>
      </c>
      <c r="C113" s="98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 t="s">
        <v>47</v>
      </c>
      <c r="O113" s="98"/>
      <c r="P113" s="98"/>
      <c r="Q113" s="133">
        <v>173.56399999999999</v>
      </c>
      <c r="R113" s="95"/>
      <c r="S113" s="95"/>
      <c r="T113" s="95"/>
      <c r="U113" s="95"/>
      <c r="V113" s="95"/>
      <c r="W113" s="133">
        <v>183.81319999999999</v>
      </c>
      <c r="X113" s="95"/>
      <c r="Y113" s="95"/>
      <c r="Z113" s="95"/>
      <c r="AA113" s="95"/>
      <c r="AB113" s="95"/>
      <c r="AC113" s="126">
        <v>31903.35</v>
      </c>
      <c r="AD113" s="95"/>
      <c r="AE113" s="95"/>
      <c r="AF113" s="31"/>
      <c r="AG113" s="31"/>
      <c r="AH113"/>
      <c r="AI113"/>
      <c r="AJ113"/>
      <c r="AK113"/>
      <c r="AM113"/>
    </row>
    <row r="114" spans="1:39" ht="25.15" customHeight="1" outlineLevel="1" x14ac:dyDescent="0.2">
      <c r="A114" s="10"/>
      <c r="B114" s="120" t="s">
        <v>829</v>
      </c>
      <c r="C114" s="121"/>
      <c r="D114" s="121"/>
      <c r="E114" s="121"/>
      <c r="F114" s="121"/>
      <c r="G114" s="121"/>
      <c r="H114" s="121"/>
      <c r="I114" s="121"/>
      <c r="J114" s="121"/>
      <c r="K114" s="121"/>
      <c r="L114" s="121"/>
      <c r="M114" s="122"/>
      <c r="N114" s="96"/>
      <c r="O114" s="96"/>
      <c r="P114" s="96"/>
      <c r="Q114" s="110"/>
      <c r="R114" s="111"/>
      <c r="S114" s="112"/>
      <c r="T114" s="113"/>
      <c r="U114" s="111"/>
      <c r="V114" s="111"/>
      <c r="W114" s="114"/>
      <c r="X114" s="111"/>
      <c r="Y114" s="112"/>
      <c r="Z114" s="115"/>
      <c r="AA114" s="115"/>
      <c r="AB114" s="113"/>
      <c r="AC114" s="116"/>
      <c r="AD114" s="111"/>
      <c r="AE114" s="111"/>
      <c r="AF114" s="40" t="s">
        <v>908</v>
      </c>
      <c r="AG114" s="31"/>
      <c r="AH114"/>
      <c r="AI114"/>
      <c r="AJ114"/>
      <c r="AK114"/>
      <c r="AM114"/>
    </row>
    <row r="115" spans="1:39" ht="25.15" customHeight="1" outlineLevel="1" x14ac:dyDescent="0.2">
      <c r="A115" s="10" t="s">
        <v>186</v>
      </c>
      <c r="B115" s="98" t="s">
        <v>187</v>
      </c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 t="s">
        <v>47</v>
      </c>
      <c r="O115" s="98"/>
      <c r="P115" s="98"/>
      <c r="Q115" s="133">
        <v>433.91</v>
      </c>
      <c r="R115" s="95"/>
      <c r="S115" s="95"/>
      <c r="T115" s="95"/>
      <c r="U115" s="95"/>
      <c r="V115" s="95"/>
      <c r="W115" s="133">
        <v>105.5551</v>
      </c>
      <c r="X115" s="95"/>
      <c r="Y115" s="95"/>
      <c r="Z115" s="95"/>
      <c r="AA115" s="95"/>
      <c r="AB115" s="95"/>
      <c r="AC115" s="126">
        <v>45801.41</v>
      </c>
      <c r="AD115" s="95"/>
      <c r="AE115" s="95"/>
      <c r="AF115" s="31"/>
      <c r="AG115" s="31"/>
      <c r="AH115"/>
      <c r="AI115"/>
      <c r="AJ115"/>
      <c r="AK115"/>
      <c r="AM115"/>
    </row>
    <row r="116" spans="1:39" ht="25.15" customHeight="1" outlineLevel="1" x14ac:dyDescent="0.2">
      <c r="A116" s="10" t="s">
        <v>188</v>
      </c>
      <c r="B116" s="98" t="s">
        <v>189</v>
      </c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 t="s">
        <v>27</v>
      </c>
      <c r="O116" s="98"/>
      <c r="P116" s="98"/>
      <c r="Q116" s="99">
        <v>1</v>
      </c>
      <c r="R116" s="95"/>
      <c r="S116" s="95"/>
      <c r="T116" s="95"/>
      <c r="U116" s="95"/>
      <c r="V116" s="95"/>
      <c r="W116" s="132">
        <v>5000</v>
      </c>
      <c r="X116" s="95"/>
      <c r="Y116" s="95"/>
      <c r="Z116" s="95"/>
      <c r="AA116" s="95"/>
      <c r="AB116" s="95"/>
      <c r="AC116" s="94">
        <v>5000</v>
      </c>
      <c r="AD116" s="95"/>
      <c r="AE116" s="95"/>
      <c r="AF116" s="31"/>
      <c r="AG116" s="31"/>
      <c r="AH116"/>
      <c r="AI116"/>
      <c r="AJ116"/>
      <c r="AK116"/>
      <c r="AM116"/>
    </row>
    <row r="117" spans="1:39" ht="25.15" customHeight="1" outlineLevel="1" x14ac:dyDescent="0.2">
      <c r="A117" s="10" t="s">
        <v>190</v>
      </c>
      <c r="B117" s="98" t="s">
        <v>191</v>
      </c>
      <c r="C117" s="98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 t="s">
        <v>27</v>
      </c>
      <c r="O117" s="98"/>
      <c r="P117" s="98"/>
      <c r="Q117" s="99">
        <v>1</v>
      </c>
      <c r="R117" s="95"/>
      <c r="S117" s="95"/>
      <c r="T117" s="95"/>
      <c r="U117" s="95"/>
      <c r="V117" s="95"/>
      <c r="W117" s="132">
        <v>4000</v>
      </c>
      <c r="X117" s="95"/>
      <c r="Y117" s="95"/>
      <c r="Z117" s="95"/>
      <c r="AA117" s="95"/>
      <c r="AB117" s="95"/>
      <c r="AC117" s="94">
        <v>4000</v>
      </c>
      <c r="AD117" s="95"/>
      <c r="AE117" s="95"/>
      <c r="AF117" s="31"/>
      <c r="AG117" s="31"/>
      <c r="AH117"/>
      <c r="AI117"/>
      <c r="AJ117"/>
      <c r="AK117"/>
      <c r="AM117"/>
    </row>
    <row r="118" spans="1:39" ht="25.15" customHeight="1" outlineLevel="1" x14ac:dyDescent="0.2">
      <c r="A118" s="10"/>
      <c r="B118" s="120" t="s">
        <v>865</v>
      </c>
      <c r="C118" s="121"/>
      <c r="D118" s="121"/>
      <c r="E118" s="121"/>
      <c r="F118" s="121"/>
      <c r="G118" s="121"/>
      <c r="H118" s="121"/>
      <c r="I118" s="121"/>
      <c r="J118" s="121"/>
      <c r="K118" s="121"/>
      <c r="L118" s="121"/>
      <c r="M118" s="122"/>
      <c r="N118" s="96"/>
      <c r="O118" s="96"/>
      <c r="P118" s="96"/>
      <c r="Q118" s="110"/>
      <c r="R118" s="111"/>
      <c r="S118" s="112"/>
      <c r="T118" s="113"/>
      <c r="U118" s="111"/>
      <c r="V118" s="111"/>
      <c r="W118" s="114"/>
      <c r="X118" s="111"/>
      <c r="Y118" s="112"/>
      <c r="Z118" s="115"/>
      <c r="AA118" s="115"/>
      <c r="AB118" s="113"/>
      <c r="AC118" s="116"/>
      <c r="AD118" s="111"/>
      <c r="AE118" s="111"/>
      <c r="AF118" s="40"/>
      <c r="AG118" s="31"/>
      <c r="AH118"/>
      <c r="AI118"/>
      <c r="AJ118"/>
      <c r="AK118"/>
      <c r="AM118"/>
    </row>
    <row r="119" spans="1:39" ht="25.15" customHeight="1" outlineLevel="1" x14ac:dyDescent="0.2">
      <c r="A119" s="10" t="s">
        <v>192</v>
      </c>
      <c r="B119" s="98" t="s">
        <v>193</v>
      </c>
      <c r="C119" s="98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 t="s">
        <v>47</v>
      </c>
      <c r="O119" s="98"/>
      <c r="P119" s="98"/>
      <c r="Q119" s="97">
        <v>22.42</v>
      </c>
      <c r="R119" s="95"/>
      <c r="S119" s="95"/>
      <c r="T119" s="95"/>
      <c r="U119" s="95"/>
      <c r="V119" s="95"/>
      <c r="W119" s="97">
        <v>89.064999999999998</v>
      </c>
      <c r="X119" s="95"/>
      <c r="Y119" s="95"/>
      <c r="Z119" s="95"/>
      <c r="AA119" s="95"/>
      <c r="AB119" s="95"/>
      <c r="AC119" s="94">
        <v>1996.84</v>
      </c>
      <c r="AD119" s="95"/>
      <c r="AE119" s="95"/>
      <c r="AF119" s="31"/>
      <c r="AG119" s="31"/>
      <c r="AH119"/>
      <c r="AI119"/>
      <c r="AJ119"/>
      <c r="AK119"/>
      <c r="AM119"/>
    </row>
    <row r="120" spans="1:39" ht="25.15" customHeight="1" outlineLevel="1" x14ac:dyDescent="0.2">
      <c r="A120" s="10" t="s">
        <v>194</v>
      </c>
      <c r="B120" s="98" t="s">
        <v>195</v>
      </c>
      <c r="C120" s="98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 t="s">
        <v>27</v>
      </c>
      <c r="O120" s="98"/>
      <c r="P120" s="98"/>
      <c r="Q120" s="99">
        <v>1</v>
      </c>
      <c r="R120" s="95"/>
      <c r="S120" s="95"/>
      <c r="T120" s="95"/>
      <c r="U120" s="95"/>
      <c r="V120" s="95"/>
      <c r="W120" s="173">
        <v>14000</v>
      </c>
      <c r="X120" s="95"/>
      <c r="Y120" s="95"/>
      <c r="Z120" s="95"/>
      <c r="AA120" s="95"/>
      <c r="AB120" s="95"/>
      <c r="AC120" s="126">
        <v>14000</v>
      </c>
      <c r="AD120" s="95"/>
      <c r="AE120" s="95"/>
      <c r="AF120" s="31"/>
      <c r="AG120" s="31"/>
      <c r="AH120"/>
      <c r="AI120"/>
      <c r="AJ120"/>
      <c r="AK120"/>
      <c r="AM120"/>
    </row>
    <row r="121" spans="1:39" ht="25.15" customHeight="1" outlineLevel="1" x14ac:dyDescent="0.2">
      <c r="A121" s="10" t="s">
        <v>196</v>
      </c>
      <c r="B121" s="98" t="s">
        <v>197</v>
      </c>
      <c r="C121" s="98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 t="s">
        <v>27</v>
      </c>
      <c r="O121" s="98"/>
      <c r="P121" s="98"/>
      <c r="Q121" s="99">
        <v>1</v>
      </c>
      <c r="R121" s="95"/>
      <c r="S121" s="95"/>
      <c r="T121" s="95"/>
      <c r="U121" s="95"/>
      <c r="V121" s="95"/>
      <c r="W121" s="173">
        <v>32200</v>
      </c>
      <c r="X121" s="95"/>
      <c r="Y121" s="95"/>
      <c r="Z121" s="95"/>
      <c r="AA121" s="95"/>
      <c r="AB121" s="95"/>
      <c r="AC121" s="126">
        <v>32200</v>
      </c>
      <c r="AD121" s="95"/>
      <c r="AE121" s="95"/>
      <c r="AF121" s="31"/>
      <c r="AG121" s="31"/>
      <c r="AH121"/>
      <c r="AI121"/>
      <c r="AJ121"/>
      <c r="AK121"/>
      <c r="AM121"/>
    </row>
    <row r="122" spans="1:39" ht="25.15" customHeight="1" outlineLevel="1" x14ac:dyDescent="0.2">
      <c r="A122" s="10"/>
      <c r="B122" s="120" t="s">
        <v>830</v>
      </c>
      <c r="C122" s="121"/>
      <c r="D122" s="121"/>
      <c r="E122" s="121"/>
      <c r="F122" s="121"/>
      <c r="G122" s="121"/>
      <c r="H122" s="121"/>
      <c r="I122" s="121"/>
      <c r="J122" s="121"/>
      <c r="K122" s="121"/>
      <c r="L122" s="121"/>
      <c r="M122" s="122"/>
      <c r="N122" s="96" t="s">
        <v>27</v>
      </c>
      <c r="O122" s="96"/>
      <c r="P122" s="96"/>
      <c r="Q122" s="110"/>
      <c r="R122" s="111"/>
      <c r="S122" s="112"/>
      <c r="T122" s="113"/>
      <c r="U122" s="111"/>
      <c r="V122" s="111"/>
      <c r="W122" s="114"/>
      <c r="X122" s="111"/>
      <c r="Y122" s="112"/>
      <c r="Z122" s="115"/>
      <c r="AA122" s="115"/>
      <c r="AB122" s="113"/>
      <c r="AC122" s="116"/>
      <c r="AD122" s="111"/>
      <c r="AE122" s="111"/>
      <c r="AF122" s="40"/>
      <c r="AG122" s="31"/>
      <c r="AH122"/>
      <c r="AI122"/>
      <c r="AJ122"/>
      <c r="AK122"/>
      <c r="AM122"/>
    </row>
    <row r="123" spans="1:39" ht="25.15" customHeight="1" outlineLevel="1" x14ac:dyDescent="0.2">
      <c r="A123" s="10"/>
      <c r="B123" s="120" t="s">
        <v>831</v>
      </c>
      <c r="C123" s="121"/>
      <c r="D123" s="121"/>
      <c r="E123" s="121"/>
      <c r="F123" s="121"/>
      <c r="G123" s="121"/>
      <c r="H123" s="121"/>
      <c r="I123" s="121"/>
      <c r="J123" s="121"/>
      <c r="K123" s="121"/>
      <c r="L123" s="121"/>
      <c r="M123" s="122"/>
      <c r="N123" s="96" t="s">
        <v>766</v>
      </c>
      <c r="O123" s="96"/>
      <c r="P123" s="96"/>
      <c r="Q123" s="110"/>
      <c r="R123" s="111"/>
      <c r="S123" s="112"/>
      <c r="T123" s="113"/>
      <c r="U123" s="111"/>
      <c r="V123" s="111"/>
      <c r="W123" s="114"/>
      <c r="X123" s="111"/>
      <c r="Y123" s="112"/>
      <c r="Z123" s="115"/>
      <c r="AA123" s="115"/>
      <c r="AB123" s="113"/>
      <c r="AC123" s="116"/>
      <c r="AD123" s="111"/>
      <c r="AE123" s="111"/>
      <c r="AF123" s="40"/>
      <c r="AG123" s="31"/>
      <c r="AH123"/>
      <c r="AI123"/>
      <c r="AJ123"/>
      <c r="AK123"/>
      <c r="AM123"/>
    </row>
    <row r="124" spans="1:39" ht="25.15" customHeight="1" outlineLevel="1" x14ac:dyDescent="0.2">
      <c r="A124" s="10"/>
      <c r="B124" s="120" t="s">
        <v>832</v>
      </c>
      <c r="C124" s="121"/>
      <c r="D124" s="121"/>
      <c r="E124" s="121"/>
      <c r="F124" s="121"/>
      <c r="G124" s="121"/>
      <c r="H124" s="121"/>
      <c r="I124" s="121"/>
      <c r="J124" s="121"/>
      <c r="K124" s="121"/>
      <c r="L124" s="121"/>
      <c r="M124" s="122"/>
      <c r="N124" s="96" t="s">
        <v>766</v>
      </c>
      <c r="O124" s="96"/>
      <c r="P124" s="96"/>
      <c r="Q124" s="110"/>
      <c r="R124" s="111"/>
      <c r="S124" s="112"/>
      <c r="T124" s="113"/>
      <c r="U124" s="111"/>
      <c r="V124" s="111"/>
      <c r="W124" s="114"/>
      <c r="X124" s="111"/>
      <c r="Y124" s="112"/>
      <c r="Z124" s="115"/>
      <c r="AA124" s="115"/>
      <c r="AB124" s="113"/>
      <c r="AC124" s="116"/>
      <c r="AD124" s="111"/>
      <c r="AE124" s="111"/>
      <c r="AF124" s="40"/>
      <c r="AG124" s="31"/>
      <c r="AH124"/>
      <c r="AI124"/>
      <c r="AJ124"/>
      <c r="AK124"/>
      <c r="AM124"/>
    </row>
    <row r="125" spans="1:39" ht="25.15" customHeight="1" outlineLevel="1" x14ac:dyDescent="0.2">
      <c r="A125" s="10"/>
      <c r="B125" s="120" t="s">
        <v>833</v>
      </c>
      <c r="C125" s="121"/>
      <c r="D125" s="121"/>
      <c r="E125" s="121"/>
      <c r="F125" s="121"/>
      <c r="G125" s="121"/>
      <c r="H125" s="121"/>
      <c r="I125" s="121"/>
      <c r="J125" s="121"/>
      <c r="K125" s="121"/>
      <c r="L125" s="121"/>
      <c r="M125" s="122"/>
      <c r="N125" s="96" t="s">
        <v>766</v>
      </c>
      <c r="O125" s="96"/>
      <c r="P125" s="96"/>
      <c r="Q125" s="110"/>
      <c r="R125" s="111"/>
      <c r="S125" s="112"/>
      <c r="T125" s="113"/>
      <c r="U125" s="111"/>
      <c r="V125" s="111"/>
      <c r="W125" s="114"/>
      <c r="X125" s="111"/>
      <c r="Y125" s="112"/>
      <c r="Z125" s="115"/>
      <c r="AA125" s="115"/>
      <c r="AB125" s="113"/>
      <c r="AC125" s="116"/>
      <c r="AD125" s="111"/>
      <c r="AE125" s="111"/>
      <c r="AF125" s="40"/>
      <c r="AG125" s="31"/>
      <c r="AH125"/>
      <c r="AI125"/>
      <c r="AJ125"/>
      <c r="AK125"/>
      <c r="AM125"/>
    </row>
    <row r="126" spans="1:39" ht="25.15" customHeight="1" outlineLevel="1" x14ac:dyDescent="0.2">
      <c r="A126" s="41"/>
      <c r="B126" s="117" t="s">
        <v>153</v>
      </c>
      <c r="C126" s="118"/>
      <c r="D126" s="118"/>
      <c r="E126" s="118"/>
      <c r="F126" s="118"/>
      <c r="G126" s="118"/>
      <c r="H126" s="118"/>
      <c r="I126" s="118"/>
      <c r="J126" s="118"/>
      <c r="K126" s="118"/>
      <c r="L126" s="118"/>
      <c r="M126" s="119"/>
      <c r="N126" s="281"/>
      <c r="O126" s="281"/>
      <c r="P126" s="281"/>
      <c r="Q126" s="110"/>
      <c r="R126" s="111"/>
      <c r="S126" s="112"/>
      <c r="T126" s="113"/>
      <c r="U126" s="111"/>
      <c r="V126" s="111"/>
      <c r="W126" s="114"/>
      <c r="X126" s="111"/>
      <c r="Y126" s="112"/>
      <c r="Z126" s="115"/>
      <c r="AA126" s="115"/>
      <c r="AB126" s="113"/>
      <c r="AC126" s="116"/>
      <c r="AD126" s="111"/>
      <c r="AE126" s="111"/>
      <c r="AF126" s="40"/>
      <c r="AG126" s="31"/>
      <c r="AH126"/>
      <c r="AI126"/>
      <c r="AJ126"/>
      <c r="AK126"/>
      <c r="AM126"/>
    </row>
    <row r="127" spans="1:39" ht="25.15" customHeight="1" outlineLevel="1" x14ac:dyDescent="0.2">
      <c r="A127" s="10"/>
      <c r="B127" s="120" t="s">
        <v>834</v>
      </c>
      <c r="C127" s="121"/>
      <c r="D127" s="121"/>
      <c r="E127" s="121"/>
      <c r="F127" s="121"/>
      <c r="G127" s="121"/>
      <c r="H127" s="121"/>
      <c r="I127" s="121"/>
      <c r="J127" s="121"/>
      <c r="K127" s="121"/>
      <c r="L127" s="121"/>
      <c r="M127" s="122"/>
      <c r="N127" s="96" t="s">
        <v>766</v>
      </c>
      <c r="O127" s="96"/>
      <c r="P127" s="96"/>
      <c r="Q127" s="110"/>
      <c r="R127" s="111"/>
      <c r="S127" s="112"/>
      <c r="T127" s="113"/>
      <c r="U127" s="111"/>
      <c r="V127" s="111"/>
      <c r="W127" s="114"/>
      <c r="X127" s="111"/>
      <c r="Y127" s="112"/>
      <c r="Z127" s="115"/>
      <c r="AA127" s="115"/>
      <c r="AB127" s="113"/>
      <c r="AC127" s="116"/>
      <c r="AD127" s="111"/>
      <c r="AE127" s="111"/>
      <c r="AF127" s="40"/>
      <c r="AG127" s="31"/>
      <c r="AH127"/>
      <c r="AI127"/>
      <c r="AJ127"/>
      <c r="AK127"/>
      <c r="AM127"/>
    </row>
    <row r="128" spans="1:39" ht="28.15" customHeight="1" outlineLevel="1" x14ac:dyDescent="0.2">
      <c r="A128" s="10"/>
      <c r="B128" s="120" t="s">
        <v>835</v>
      </c>
      <c r="C128" s="121"/>
      <c r="D128" s="121"/>
      <c r="E128" s="121"/>
      <c r="F128" s="121"/>
      <c r="G128" s="121"/>
      <c r="H128" s="121"/>
      <c r="I128" s="121"/>
      <c r="J128" s="121"/>
      <c r="K128" s="121"/>
      <c r="L128" s="121"/>
      <c r="M128" s="122"/>
      <c r="N128" s="96" t="s">
        <v>766</v>
      </c>
      <c r="O128" s="96"/>
      <c r="P128" s="96"/>
      <c r="Q128" s="110"/>
      <c r="R128" s="111"/>
      <c r="S128" s="112"/>
      <c r="T128" s="113"/>
      <c r="U128" s="111"/>
      <c r="V128" s="111"/>
      <c r="W128" s="114"/>
      <c r="X128" s="111"/>
      <c r="Y128" s="112"/>
      <c r="Z128" s="115"/>
      <c r="AA128" s="115"/>
      <c r="AB128" s="113"/>
      <c r="AC128" s="116"/>
      <c r="AD128" s="111"/>
      <c r="AE128" s="111"/>
      <c r="AF128" s="40"/>
      <c r="AG128" s="31"/>
      <c r="AH128"/>
      <c r="AI128"/>
      <c r="AJ128"/>
      <c r="AK128"/>
      <c r="AM128"/>
    </row>
    <row r="129" spans="1:39" ht="25.15" customHeight="1" outlineLevel="1" x14ac:dyDescent="0.2">
      <c r="A129" s="10"/>
      <c r="B129" s="120" t="s">
        <v>847</v>
      </c>
      <c r="C129" s="121"/>
      <c r="D129" s="121"/>
      <c r="E129" s="121"/>
      <c r="F129" s="121"/>
      <c r="G129" s="121"/>
      <c r="H129" s="121"/>
      <c r="I129" s="121"/>
      <c r="J129" s="121"/>
      <c r="K129" s="121"/>
      <c r="L129" s="121"/>
      <c r="M129" s="122"/>
      <c r="N129" s="96" t="s">
        <v>39</v>
      </c>
      <c r="O129" s="96"/>
      <c r="P129" s="96"/>
      <c r="Q129" s="110"/>
      <c r="R129" s="111"/>
      <c r="S129" s="112"/>
      <c r="T129" s="113"/>
      <c r="U129" s="111"/>
      <c r="V129" s="111"/>
      <c r="W129" s="114"/>
      <c r="X129" s="111"/>
      <c r="Y129" s="112"/>
      <c r="Z129" s="115"/>
      <c r="AA129" s="115"/>
      <c r="AB129" s="113"/>
      <c r="AC129" s="116"/>
      <c r="AD129" s="111"/>
      <c r="AE129" s="111"/>
      <c r="AF129" s="40"/>
      <c r="AG129" s="31"/>
      <c r="AH129"/>
      <c r="AI129"/>
      <c r="AJ129"/>
      <c r="AK129"/>
      <c r="AM129"/>
    </row>
    <row r="130" spans="1:39" ht="25.15" customHeight="1" outlineLevel="1" x14ac:dyDescent="0.2">
      <c r="A130" s="10"/>
      <c r="B130" s="120" t="s">
        <v>867</v>
      </c>
      <c r="C130" s="121"/>
      <c r="D130" s="121"/>
      <c r="E130" s="121"/>
      <c r="F130" s="121"/>
      <c r="G130" s="121"/>
      <c r="H130" s="121"/>
      <c r="I130" s="121"/>
      <c r="J130" s="121"/>
      <c r="K130" s="121"/>
      <c r="L130" s="121"/>
      <c r="M130" s="122"/>
      <c r="N130" s="96" t="s">
        <v>27</v>
      </c>
      <c r="O130" s="96"/>
      <c r="P130" s="96"/>
      <c r="Q130" s="110"/>
      <c r="R130" s="111"/>
      <c r="S130" s="112"/>
      <c r="T130" s="113"/>
      <c r="U130" s="111"/>
      <c r="V130" s="111"/>
      <c r="W130" s="114"/>
      <c r="X130" s="111"/>
      <c r="Y130" s="112"/>
      <c r="Z130" s="115"/>
      <c r="AA130" s="115"/>
      <c r="AB130" s="113"/>
      <c r="AC130" s="116"/>
      <c r="AD130" s="111"/>
      <c r="AE130" s="111"/>
      <c r="AF130" s="40"/>
      <c r="AG130" s="31"/>
      <c r="AH130"/>
      <c r="AI130"/>
      <c r="AJ130"/>
      <c r="AK130"/>
      <c r="AM130"/>
    </row>
    <row r="131" spans="1:39" ht="25.15" customHeight="1" outlineLevel="1" x14ac:dyDescent="0.2">
      <c r="A131" s="41"/>
      <c r="B131" s="120" t="s">
        <v>868</v>
      </c>
      <c r="C131" s="121"/>
      <c r="D131" s="121"/>
      <c r="E131" s="121"/>
      <c r="F131" s="121"/>
      <c r="G131" s="121"/>
      <c r="H131" s="121"/>
      <c r="I131" s="121"/>
      <c r="J131" s="121"/>
      <c r="K131" s="121"/>
      <c r="L131" s="121"/>
      <c r="M131" s="122"/>
      <c r="N131" s="96" t="s">
        <v>27</v>
      </c>
      <c r="O131" s="96"/>
      <c r="P131" s="96"/>
      <c r="Q131" s="110"/>
      <c r="R131" s="111"/>
      <c r="S131" s="112"/>
      <c r="T131" s="113"/>
      <c r="U131" s="111"/>
      <c r="V131" s="111"/>
      <c r="W131" s="114"/>
      <c r="X131" s="111"/>
      <c r="Y131" s="112"/>
      <c r="Z131" s="115"/>
      <c r="AA131" s="115"/>
      <c r="AB131" s="113"/>
      <c r="AC131" s="116"/>
      <c r="AD131" s="111"/>
      <c r="AE131" s="111"/>
      <c r="AF131" s="42"/>
      <c r="AG131" s="31"/>
      <c r="AH131"/>
      <c r="AI131"/>
      <c r="AJ131"/>
      <c r="AK131"/>
      <c r="AM131"/>
    </row>
    <row r="132" spans="1:39" ht="25.15" customHeight="1" outlineLevel="1" x14ac:dyDescent="0.2">
      <c r="A132" s="41"/>
      <c r="B132" s="117" t="s">
        <v>870</v>
      </c>
      <c r="C132" s="118"/>
      <c r="D132" s="118"/>
      <c r="E132" s="118"/>
      <c r="F132" s="118"/>
      <c r="G132" s="118"/>
      <c r="H132" s="118"/>
      <c r="I132" s="118"/>
      <c r="J132" s="118"/>
      <c r="K132" s="118"/>
      <c r="L132" s="118"/>
      <c r="M132" s="119"/>
      <c r="N132" s="96" t="s">
        <v>27</v>
      </c>
      <c r="O132" s="96"/>
      <c r="P132" s="96"/>
      <c r="Q132" s="110" t="s">
        <v>946</v>
      </c>
      <c r="R132" s="111"/>
      <c r="S132" s="112"/>
      <c r="T132" s="113"/>
      <c r="U132" s="111"/>
      <c r="V132" s="111"/>
      <c r="W132" s="114"/>
      <c r="X132" s="111"/>
      <c r="Y132" s="112"/>
      <c r="Z132" s="115"/>
      <c r="AA132" s="115"/>
      <c r="AB132" s="113"/>
      <c r="AC132" s="116"/>
      <c r="AD132" s="111"/>
      <c r="AE132" s="111"/>
      <c r="AF132" s="40" t="s">
        <v>948</v>
      </c>
      <c r="AG132" s="31"/>
      <c r="AH132"/>
      <c r="AI132"/>
      <c r="AJ132"/>
      <c r="AK132"/>
      <c r="AM132"/>
    </row>
    <row r="133" spans="1:39" ht="25.15" customHeight="1" x14ac:dyDescent="0.2">
      <c r="A133" s="29" t="s">
        <v>198</v>
      </c>
      <c r="B133" s="174" t="s">
        <v>199</v>
      </c>
      <c r="C133" s="174"/>
      <c r="D133" s="174"/>
      <c r="E133" s="174"/>
      <c r="F133" s="174"/>
      <c r="G133" s="174"/>
      <c r="H133" s="174"/>
      <c r="I133" s="174"/>
      <c r="J133" s="174"/>
      <c r="K133" s="174"/>
      <c r="L133" s="174"/>
      <c r="M133" s="174"/>
      <c r="N133" s="174"/>
      <c r="O133" s="174"/>
      <c r="P133" s="174"/>
      <c r="Q133" s="175"/>
      <c r="R133" s="175"/>
      <c r="S133" s="175"/>
      <c r="T133" s="175"/>
      <c r="U133" s="175"/>
      <c r="V133" s="175"/>
      <c r="W133" s="175"/>
      <c r="X133" s="175"/>
      <c r="Y133" s="175"/>
      <c r="Z133" s="175"/>
      <c r="AA133" s="175"/>
      <c r="AB133" s="175"/>
      <c r="AC133" s="176">
        <v>180280</v>
      </c>
      <c r="AD133" s="175"/>
      <c r="AE133" s="175"/>
      <c r="AF133" s="106" t="s">
        <v>881</v>
      </c>
      <c r="AG133" s="107"/>
      <c r="AH133"/>
      <c r="AI133"/>
      <c r="AJ133"/>
      <c r="AK133"/>
      <c r="AM133"/>
    </row>
    <row r="134" spans="1:39" ht="25.15" customHeight="1" outlineLevel="1" x14ac:dyDescent="0.2">
      <c r="A134" s="10" t="s">
        <v>200</v>
      </c>
      <c r="B134" s="98" t="s">
        <v>201</v>
      </c>
      <c r="C134" s="98"/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 t="s">
        <v>43</v>
      </c>
      <c r="O134" s="98"/>
      <c r="P134" s="98"/>
      <c r="Q134" s="97">
        <v>24</v>
      </c>
      <c r="R134" s="95"/>
      <c r="S134" s="95"/>
      <c r="T134" s="95"/>
      <c r="U134" s="95"/>
      <c r="V134" s="95"/>
      <c r="W134" s="133">
        <v>500</v>
      </c>
      <c r="X134" s="95"/>
      <c r="Y134" s="95"/>
      <c r="Z134" s="95"/>
      <c r="AA134" s="95"/>
      <c r="AB134" s="95"/>
      <c r="AC134" s="126">
        <v>12000</v>
      </c>
      <c r="AD134" s="95"/>
      <c r="AE134" s="95"/>
      <c r="AF134" s="31"/>
      <c r="AG134" s="31"/>
      <c r="AH134"/>
      <c r="AI134"/>
      <c r="AJ134"/>
      <c r="AK134"/>
      <c r="AM134"/>
    </row>
    <row r="135" spans="1:39" ht="25.15" customHeight="1" outlineLevel="1" x14ac:dyDescent="0.2">
      <c r="A135" s="10" t="s">
        <v>202</v>
      </c>
      <c r="B135" s="98" t="s">
        <v>203</v>
      </c>
      <c r="C135" s="98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 t="s">
        <v>43</v>
      </c>
      <c r="O135" s="98"/>
      <c r="P135" s="98"/>
      <c r="Q135" s="97">
        <v>24</v>
      </c>
      <c r="R135" s="95"/>
      <c r="S135" s="95"/>
      <c r="T135" s="95"/>
      <c r="U135" s="95"/>
      <c r="V135" s="95"/>
      <c r="W135" s="133">
        <v>800</v>
      </c>
      <c r="X135" s="95"/>
      <c r="Y135" s="95"/>
      <c r="Z135" s="95"/>
      <c r="AA135" s="95"/>
      <c r="AB135" s="95"/>
      <c r="AC135" s="126">
        <v>19200</v>
      </c>
      <c r="AD135" s="95"/>
      <c r="AE135" s="95"/>
      <c r="AF135" s="31"/>
      <c r="AG135" s="31"/>
      <c r="AH135"/>
      <c r="AI135"/>
      <c r="AJ135"/>
      <c r="AK135"/>
      <c r="AM135"/>
    </row>
    <row r="136" spans="1:39" ht="25.15" customHeight="1" outlineLevel="1" x14ac:dyDescent="0.2">
      <c r="A136" s="10" t="s">
        <v>204</v>
      </c>
      <c r="B136" s="98" t="s">
        <v>205</v>
      </c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 t="s">
        <v>43</v>
      </c>
      <c r="O136" s="98"/>
      <c r="P136" s="98"/>
      <c r="Q136" s="97">
        <v>24</v>
      </c>
      <c r="R136" s="95"/>
      <c r="S136" s="95"/>
      <c r="T136" s="95"/>
      <c r="U136" s="95"/>
      <c r="V136" s="95"/>
      <c r="W136" s="133">
        <v>100</v>
      </c>
      <c r="X136" s="95"/>
      <c r="Y136" s="95"/>
      <c r="Z136" s="95"/>
      <c r="AA136" s="95"/>
      <c r="AB136" s="95"/>
      <c r="AC136" s="94">
        <v>2400</v>
      </c>
      <c r="AD136" s="95"/>
      <c r="AE136" s="95"/>
      <c r="AF136" s="31"/>
      <c r="AG136" s="31"/>
      <c r="AH136"/>
      <c r="AI136"/>
      <c r="AJ136"/>
      <c r="AK136"/>
      <c r="AM136"/>
    </row>
    <row r="137" spans="1:39" ht="25.15" customHeight="1" outlineLevel="1" x14ac:dyDescent="0.2">
      <c r="A137" s="10" t="s">
        <v>206</v>
      </c>
      <c r="B137" s="98" t="s">
        <v>207</v>
      </c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 t="s">
        <v>43</v>
      </c>
      <c r="O137" s="98"/>
      <c r="P137" s="98"/>
      <c r="Q137" s="97">
        <v>24</v>
      </c>
      <c r="R137" s="95"/>
      <c r="S137" s="95"/>
      <c r="T137" s="95"/>
      <c r="U137" s="95"/>
      <c r="V137" s="95"/>
      <c r="W137" s="97">
        <v>70</v>
      </c>
      <c r="X137" s="95"/>
      <c r="Y137" s="95"/>
      <c r="Z137" s="95"/>
      <c r="AA137" s="95"/>
      <c r="AB137" s="95"/>
      <c r="AC137" s="94">
        <v>1680</v>
      </c>
      <c r="AD137" s="95"/>
      <c r="AE137" s="95"/>
      <c r="AF137" s="31"/>
      <c r="AG137" s="31"/>
      <c r="AH137"/>
      <c r="AI137"/>
      <c r="AJ137"/>
      <c r="AK137"/>
      <c r="AM137"/>
    </row>
    <row r="138" spans="1:39" ht="25.15" customHeight="1" outlineLevel="1" x14ac:dyDescent="0.2">
      <c r="A138" s="10" t="s">
        <v>208</v>
      </c>
      <c r="B138" s="98" t="s">
        <v>209</v>
      </c>
      <c r="C138" s="98"/>
      <c r="D138" s="98"/>
      <c r="E138" s="98"/>
      <c r="F138" s="98"/>
      <c r="G138" s="98"/>
      <c r="H138" s="98"/>
      <c r="I138" s="98"/>
      <c r="J138" s="98"/>
      <c r="K138" s="98"/>
      <c r="L138" s="98"/>
      <c r="M138" s="98"/>
      <c r="N138" s="98" t="s">
        <v>43</v>
      </c>
      <c r="O138" s="98"/>
      <c r="P138" s="98"/>
      <c r="Q138" s="97">
        <v>24</v>
      </c>
      <c r="R138" s="95"/>
      <c r="S138" s="95"/>
      <c r="T138" s="95"/>
      <c r="U138" s="95"/>
      <c r="V138" s="95"/>
      <c r="W138" s="97">
        <v>50</v>
      </c>
      <c r="X138" s="95"/>
      <c r="Y138" s="95"/>
      <c r="Z138" s="95"/>
      <c r="AA138" s="95"/>
      <c r="AB138" s="95"/>
      <c r="AC138" s="94">
        <v>1200</v>
      </c>
      <c r="AD138" s="95"/>
      <c r="AE138" s="95"/>
      <c r="AF138" s="31"/>
      <c r="AG138" s="31"/>
      <c r="AH138"/>
      <c r="AI138"/>
      <c r="AJ138"/>
      <c r="AK138"/>
      <c r="AM138"/>
    </row>
    <row r="139" spans="1:39" ht="25.15" customHeight="1" outlineLevel="1" x14ac:dyDescent="0.2">
      <c r="A139" s="10" t="s">
        <v>210</v>
      </c>
      <c r="B139" s="98" t="s">
        <v>211</v>
      </c>
      <c r="C139" s="98"/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 t="s">
        <v>43</v>
      </c>
      <c r="O139" s="98"/>
      <c r="P139" s="98"/>
      <c r="Q139" s="97">
        <v>24</v>
      </c>
      <c r="R139" s="95"/>
      <c r="S139" s="95"/>
      <c r="T139" s="95"/>
      <c r="U139" s="95"/>
      <c r="V139" s="95"/>
      <c r="W139" s="133">
        <v>750</v>
      </c>
      <c r="X139" s="95"/>
      <c r="Y139" s="95"/>
      <c r="Z139" s="95"/>
      <c r="AA139" s="95"/>
      <c r="AB139" s="95"/>
      <c r="AC139" s="126">
        <v>18000</v>
      </c>
      <c r="AD139" s="95"/>
      <c r="AE139" s="95"/>
      <c r="AF139" s="31"/>
      <c r="AG139" s="31"/>
      <c r="AH139"/>
      <c r="AI139"/>
      <c r="AJ139"/>
      <c r="AK139"/>
      <c r="AM139"/>
    </row>
    <row r="140" spans="1:39" ht="25.15" customHeight="1" outlineLevel="1" x14ac:dyDescent="0.2">
      <c r="A140" s="10"/>
      <c r="B140" s="120" t="s">
        <v>836</v>
      </c>
      <c r="C140" s="121"/>
      <c r="D140" s="121"/>
      <c r="E140" s="121"/>
      <c r="F140" s="121"/>
      <c r="G140" s="121"/>
      <c r="H140" s="121"/>
      <c r="I140" s="121"/>
      <c r="J140" s="121"/>
      <c r="K140" s="121"/>
      <c r="L140" s="121"/>
      <c r="M140" s="122"/>
      <c r="N140" s="120"/>
      <c r="O140" s="96"/>
      <c r="P140" s="122"/>
      <c r="Q140" s="130"/>
      <c r="R140" s="129"/>
      <c r="S140" s="197"/>
      <c r="T140" s="198"/>
      <c r="U140" s="129"/>
      <c r="V140" s="129"/>
      <c r="W140" s="128"/>
      <c r="X140" s="129"/>
      <c r="Y140" s="197"/>
      <c r="Z140" s="199"/>
      <c r="AA140" s="199"/>
      <c r="AB140" s="198"/>
      <c r="AC140" s="200"/>
      <c r="AD140" s="201"/>
      <c r="AE140" s="201"/>
      <c r="AF140" s="108" t="s">
        <v>908</v>
      </c>
      <c r="AG140" s="31"/>
      <c r="AH140"/>
      <c r="AI140"/>
      <c r="AJ140"/>
      <c r="AK140"/>
      <c r="AM140"/>
    </row>
    <row r="141" spans="1:39" ht="25.15" customHeight="1" outlineLevel="1" x14ac:dyDescent="0.2">
      <c r="A141" s="10"/>
      <c r="B141" s="120" t="s">
        <v>837</v>
      </c>
      <c r="C141" s="121"/>
      <c r="D141" s="121"/>
      <c r="E141" s="121"/>
      <c r="F141" s="121"/>
      <c r="G141" s="121"/>
      <c r="H141" s="121"/>
      <c r="I141" s="121"/>
      <c r="J141" s="121"/>
      <c r="K141" s="121"/>
      <c r="L141" s="121"/>
      <c r="M141" s="122"/>
      <c r="N141" s="120"/>
      <c r="O141" s="96"/>
      <c r="P141" s="122"/>
      <c r="Q141" s="130"/>
      <c r="R141" s="129"/>
      <c r="S141" s="197"/>
      <c r="T141" s="198"/>
      <c r="U141" s="129"/>
      <c r="V141" s="129"/>
      <c r="W141" s="128"/>
      <c r="X141" s="129"/>
      <c r="Y141" s="197"/>
      <c r="Z141" s="199"/>
      <c r="AA141" s="199"/>
      <c r="AB141" s="198"/>
      <c r="AC141" s="200"/>
      <c r="AD141" s="201"/>
      <c r="AE141" s="201"/>
      <c r="AF141" s="108"/>
      <c r="AG141" s="31"/>
      <c r="AH141"/>
      <c r="AI141"/>
      <c r="AJ141"/>
      <c r="AK141"/>
      <c r="AM141"/>
    </row>
    <row r="142" spans="1:39" ht="25.15" customHeight="1" outlineLevel="1" x14ac:dyDescent="0.2">
      <c r="A142" s="10"/>
      <c r="B142" s="120" t="s">
        <v>838</v>
      </c>
      <c r="C142" s="121"/>
      <c r="D142" s="121"/>
      <c r="E142" s="121"/>
      <c r="F142" s="121"/>
      <c r="G142" s="121"/>
      <c r="H142" s="121"/>
      <c r="I142" s="121"/>
      <c r="J142" s="121"/>
      <c r="K142" s="121"/>
      <c r="L142" s="121"/>
      <c r="M142" s="122"/>
      <c r="N142" s="96"/>
      <c r="O142" s="96"/>
      <c r="P142" s="96"/>
      <c r="Q142" s="110"/>
      <c r="R142" s="111"/>
      <c r="S142" s="112"/>
      <c r="T142" s="113"/>
      <c r="U142" s="111"/>
      <c r="V142" s="111"/>
      <c r="W142" s="114"/>
      <c r="X142" s="111"/>
      <c r="Y142" s="112"/>
      <c r="Z142" s="115"/>
      <c r="AA142" s="115"/>
      <c r="AB142" s="113"/>
      <c r="AC142" s="200"/>
      <c r="AD142" s="201"/>
      <c r="AE142" s="201"/>
      <c r="AF142" s="108"/>
      <c r="AG142" s="31"/>
      <c r="AH142"/>
      <c r="AI142"/>
      <c r="AJ142"/>
      <c r="AK142"/>
      <c r="AM142"/>
    </row>
    <row r="143" spans="1:39" ht="25.15" customHeight="1" outlineLevel="1" x14ac:dyDescent="0.2">
      <c r="A143" s="41"/>
      <c r="B143" s="120" t="s">
        <v>866</v>
      </c>
      <c r="C143" s="121"/>
      <c r="D143" s="121"/>
      <c r="E143" s="121"/>
      <c r="F143" s="121"/>
      <c r="G143" s="121"/>
      <c r="H143" s="121"/>
      <c r="I143" s="121"/>
      <c r="J143" s="121"/>
      <c r="K143" s="121"/>
      <c r="L143" s="121"/>
      <c r="M143" s="122"/>
      <c r="N143" s="96"/>
      <c r="O143" s="96"/>
      <c r="P143" s="96"/>
      <c r="Q143" s="110"/>
      <c r="R143" s="111"/>
      <c r="S143" s="112"/>
      <c r="T143" s="113"/>
      <c r="U143" s="111"/>
      <c r="V143" s="111"/>
      <c r="W143" s="114"/>
      <c r="X143" s="111"/>
      <c r="Y143" s="112"/>
      <c r="Z143" s="115"/>
      <c r="AA143" s="115"/>
      <c r="AB143" s="113"/>
      <c r="AC143" s="116" t="s">
        <v>948</v>
      </c>
      <c r="AD143" s="111"/>
      <c r="AE143" s="111"/>
      <c r="AF143" s="108"/>
      <c r="AG143" s="31"/>
      <c r="AH143"/>
      <c r="AI143"/>
      <c r="AJ143"/>
      <c r="AK143"/>
      <c r="AM143"/>
    </row>
    <row r="144" spans="1:39" ht="25.15" customHeight="1" outlineLevel="1" x14ac:dyDescent="0.2">
      <c r="A144" s="10" t="s">
        <v>212</v>
      </c>
      <c r="B144" s="98" t="s">
        <v>213</v>
      </c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 t="s">
        <v>43</v>
      </c>
      <c r="O144" s="98"/>
      <c r="P144" s="98"/>
      <c r="Q144" s="97">
        <v>24</v>
      </c>
      <c r="R144" s="95"/>
      <c r="S144" s="95"/>
      <c r="T144" s="95"/>
      <c r="U144" s="95"/>
      <c r="V144" s="95"/>
      <c r="W144" s="133">
        <v>300</v>
      </c>
      <c r="X144" s="95"/>
      <c r="Y144" s="95"/>
      <c r="Z144" s="95"/>
      <c r="AA144" s="95"/>
      <c r="AB144" s="95"/>
      <c r="AC144" s="94">
        <v>7200</v>
      </c>
      <c r="AD144" s="95"/>
      <c r="AE144" s="95"/>
      <c r="AF144" s="31"/>
      <c r="AG144" s="31"/>
      <c r="AH144"/>
      <c r="AI144"/>
      <c r="AJ144"/>
      <c r="AK144"/>
      <c r="AM144"/>
    </row>
    <row r="145" spans="1:39" ht="25.15" customHeight="1" outlineLevel="1" x14ac:dyDescent="0.2">
      <c r="A145" s="10" t="s">
        <v>214</v>
      </c>
      <c r="B145" s="98" t="s">
        <v>215</v>
      </c>
      <c r="C145" s="98"/>
      <c r="D145" s="98"/>
      <c r="E145" s="98"/>
      <c r="F145" s="98"/>
      <c r="G145" s="98"/>
      <c r="H145" s="98"/>
      <c r="I145" s="98"/>
      <c r="J145" s="98"/>
      <c r="K145" s="98"/>
      <c r="L145" s="98"/>
      <c r="M145" s="98"/>
      <c r="N145" s="98" t="s">
        <v>43</v>
      </c>
      <c r="O145" s="98"/>
      <c r="P145" s="98"/>
      <c r="Q145" s="97">
        <v>24</v>
      </c>
      <c r="R145" s="95"/>
      <c r="S145" s="95"/>
      <c r="T145" s="95"/>
      <c r="U145" s="95"/>
      <c r="V145" s="95"/>
      <c r="W145" s="133">
        <v>400</v>
      </c>
      <c r="X145" s="95"/>
      <c r="Y145" s="95"/>
      <c r="Z145" s="95"/>
      <c r="AA145" s="95"/>
      <c r="AB145" s="95"/>
      <c r="AC145" s="94">
        <v>9600</v>
      </c>
      <c r="AD145" s="95"/>
      <c r="AE145" s="95"/>
      <c r="AF145" s="31"/>
      <c r="AG145" s="31"/>
      <c r="AH145"/>
      <c r="AI145"/>
      <c r="AJ145"/>
      <c r="AK145"/>
      <c r="AM145"/>
    </row>
    <row r="146" spans="1:39" ht="25.15" customHeight="1" outlineLevel="1" x14ac:dyDescent="0.2">
      <c r="A146" s="10" t="s">
        <v>216</v>
      </c>
      <c r="B146" s="98" t="s">
        <v>217</v>
      </c>
      <c r="C146" s="98"/>
      <c r="D146" s="98"/>
      <c r="E146" s="98"/>
      <c r="F146" s="98"/>
      <c r="G146" s="98"/>
      <c r="H146" s="98"/>
      <c r="I146" s="98"/>
      <c r="J146" s="98"/>
      <c r="K146" s="98"/>
      <c r="L146" s="98"/>
      <c r="M146" s="98"/>
      <c r="N146" s="98" t="s">
        <v>27</v>
      </c>
      <c r="O146" s="98"/>
      <c r="P146" s="98"/>
      <c r="Q146" s="99">
        <v>1</v>
      </c>
      <c r="R146" s="95"/>
      <c r="S146" s="95"/>
      <c r="T146" s="95"/>
      <c r="U146" s="95"/>
      <c r="V146" s="95"/>
      <c r="W146" s="173">
        <v>12700</v>
      </c>
      <c r="X146" s="95"/>
      <c r="Y146" s="95"/>
      <c r="Z146" s="95"/>
      <c r="AA146" s="95"/>
      <c r="AB146" s="95"/>
      <c r="AC146" s="126">
        <v>12700</v>
      </c>
      <c r="AD146" s="95"/>
      <c r="AE146" s="95"/>
      <c r="AF146" s="31"/>
      <c r="AG146" s="31"/>
      <c r="AH146"/>
      <c r="AI146"/>
      <c r="AJ146"/>
      <c r="AK146"/>
      <c r="AM146"/>
    </row>
    <row r="147" spans="1:39" ht="25.15" customHeight="1" outlineLevel="1" x14ac:dyDescent="0.2">
      <c r="A147" s="10" t="s">
        <v>218</v>
      </c>
      <c r="B147" s="98" t="s">
        <v>219</v>
      </c>
      <c r="C147" s="98"/>
      <c r="D147" s="98"/>
      <c r="E147" s="98"/>
      <c r="F147" s="98"/>
      <c r="G147" s="98"/>
      <c r="H147" s="98"/>
      <c r="I147" s="98"/>
      <c r="J147" s="98"/>
      <c r="K147" s="98"/>
      <c r="L147" s="98"/>
      <c r="M147" s="98"/>
      <c r="N147" s="98" t="s">
        <v>43</v>
      </c>
      <c r="O147" s="98"/>
      <c r="P147" s="98"/>
      <c r="Q147" s="97">
        <v>24</v>
      </c>
      <c r="R147" s="95"/>
      <c r="S147" s="95"/>
      <c r="T147" s="95"/>
      <c r="U147" s="95"/>
      <c r="V147" s="95"/>
      <c r="W147" s="133">
        <v>200</v>
      </c>
      <c r="X147" s="95"/>
      <c r="Y147" s="95"/>
      <c r="Z147" s="95"/>
      <c r="AA147" s="95"/>
      <c r="AB147" s="95"/>
      <c r="AC147" s="94">
        <v>4800</v>
      </c>
      <c r="AD147" s="95"/>
      <c r="AE147" s="95"/>
      <c r="AF147" s="31"/>
      <c r="AG147" s="31"/>
      <c r="AH147"/>
      <c r="AI147"/>
      <c r="AJ147"/>
      <c r="AK147"/>
      <c r="AM147"/>
    </row>
    <row r="148" spans="1:39" ht="25.15" customHeight="1" outlineLevel="1" x14ac:dyDescent="0.2">
      <c r="A148" s="10" t="s">
        <v>220</v>
      </c>
      <c r="B148" s="98" t="s">
        <v>221</v>
      </c>
      <c r="C148" s="98"/>
      <c r="D148" s="98"/>
      <c r="E148" s="98"/>
      <c r="F148" s="98"/>
      <c r="G148" s="98"/>
      <c r="H148" s="98"/>
      <c r="I148" s="98"/>
      <c r="J148" s="98"/>
      <c r="K148" s="98"/>
      <c r="L148" s="98"/>
      <c r="M148" s="98"/>
      <c r="N148" s="98" t="s">
        <v>43</v>
      </c>
      <c r="O148" s="98"/>
      <c r="P148" s="98"/>
      <c r="Q148" s="97">
        <v>24</v>
      </c>
      <c r="R148" s="95"/>
      <c r="S148" s="95"/>
      <c r="T148" s="95"/>
      <c r="U148" s="95"/>
      <c r="V148" s="95"/>
      <c r="W148" s="133">
        <v>900</v>
      </c>
      <c r="X148" s="95"/>
      <c r="Y148" s="95"/>
      <c r="Z148" s="95"/>
      <c r="AA148" s="95"/>
      <c r="AB148" s="95"/>
      <c r="AC148" s="126">
        <v>21600</v>
      </c>
      <c r="AD148" s="95"/>
      <c r="AE148" s="95"/>
      <c r="AF148" s="31"/>
      <c r="AG148" s="31"/>
      <c r="AH148"/>
      <c r="AI148"/>
      <c r="AJ148"/>
      <c r="AK148"/>
      <c r="AM148"/>
    </row>
    <row r="149" spans="1:39" ht="25.15" customHeight="1" outlineLevel="1" x14ac:dyDescent="0.2">
      <c r="A149" s="10" t="s">
        <v>222</v>
      </c>
      <c r="B149" s="98" t="s">
        <v>223</v>
      </c>
      <c r="C149" s="98"/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 t="s">
        <v>43</v>
      </c>
      <c r="O149" s="98"/>
      <c r="P149" s="98"/>
      <c r="Q149" s="97">
        <v>24</v>
      </c>
      <c r="R149" s="95"/>
      <c r="S149" s="95"/>
      <c r="T149" s="95"/>
      <c r="U149" s="95"/>
      <c r="V149" s="95"/>
      <c r="W149" s="133">
        <v>150</v>
      </c>
      <c r="X149" s="95"/>
      <c r="Y149" s="95"/>
      <c r="Z149" s="95"/>
      <c r="AA149" s="95"/>
      <c r="AB149" s="95"/>
      <c r="AC149" s="94">
        <v>3600</v>
      </c>
      <c r="AD149" s="95"/>
      <c r="AE149" s="95"/>
      <c r="AF149" s="31"/>
      <c r="AG149" s="31"/>
      <c r="AH149"/>
      <c r="AI149"/>
      <c r="AJ149"/>
      <c r="AK149"/>
      <c r="AM149"/>
    </row>
    <row r="150" spans="1:39" ht="25.15" customHeight="1" outlineLevel="1" x14ac:dyDescent="0.2">
      <c r="A150" s="10" t="s">
        <v>224</v>
      </c>
      <c r="B150" s="98" t="s">
        <v>225</v>
      </c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 t="s">
        <v>43</v>
      </c>
      <c r="O150" s="98"/>
      <c r="P150" s="98"/>
      <c r="Q150" s="97">
        <v>24</v>
      </c>
      <c r="R150" s="95"/>
      <c r="S150" s="95"/>
      <c r="T150" s="95"/>
      <c r="U150" s="95"/>
      <c r="V150" s="95"/>
      <c r="W150" s="132">
        <v>1500</v>
      </c>
      <c r="X150" s="95"/>
      <c r="Y150" s="95"/>
      <c r="Z150" s="95"/>
      <c r="AA150" s="95"/>
      <c r="AB150" s="95"/>
      <c r="AC150" s="126">
        <v>36000</v>
      </c>
      <c r="AD150" s="95"/>
      <c r="AE150" s="95"/>
      <c r="AF150" s="31"/>
      <c r="AG150" s="31"/>
      <c r="AH150"/>
      <c r="AI150"/>
      <c r="AJ150"/>
      <c r="AK150"/>
      <c r="AM150"/>
    </row>
    <row r="151" spans="1:39" ht="25.15" customHeight="1" outlineLevel="1" x14ac:dyDescent="0.2">
      <c r="A151" s="10" t="s">
        <v>226</v>
      </c>
      <c r="B151" s="98" t="s">
        <v>227</v>
      </c>
      <c r="C151" s="98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 t="s">
        <v>27</v>
      </c>
      <c r="O151" s="98"/>
      <c r="P151" s="98"/>
      <c r="Q151" s="99">
        <v>1</v>
      </c>
      <c r="R151" s="95"/>
      <c r="S151" s="95"/>
      <c r="T151" s="95"/>
      <c r="U151" s="95"/>
      <c r="V151" s="95"/>
      <c r="W151" s="132">
        <v>7500</v>
      </c>
      <c r="X151" s="95"/>
      <c r="Y151" s="95"/>
      <c r="Z151" s="95"/>
      <c r="AA151" s="95"/>
      <c r="AB151" s="95"/>
      <c r="AC151" s="94">
        <v>7500</v>
      </c>
      <c r="AD151" s="95"/>
      <c r="AE151" s="95"/>
      <c r="AF151" s="31"/>
      <c r="AG151" s="31"/>
      <c r="AH151"/>
      <c r="AI151"/>
      <c r="AJ151"/>
      <c r="AK151"/>
      <c r="AM151"/>
    </row>
    <row r="152" spans="1:39" ht="25.15" customHeight="1" outlineLevel="1" x14ac:dyDescent="0.2">
      <c r="A152" s="10" t="s">
        <v>228</v>
      </c>
      <c r="B152" s="98" t="s">
        <v>229</v>
      </c>
      <c r="C152" s="98"/>
      <c r="D152" s="98"/>
      <c r="E152" s="98"/>
      <c r="F152" s="98"/>
      <c r="G152" s="98"/>
      <c r="H152" s="98"/>
      <c r="I152" s="98"/>
      <c r="J152" s="98"/>
      <c r="K152" s="98"/>
      <c r="L152" s="98"/>
      <c r="M152" s="98"/>
      <c r="N152" s="98" t="s">
        <v>43</v>
      </c>
      <c r="O152" s="98"/>
      <c r="P152" s="98"/>
      <c r="Q152" s="97">
        <v>24</v>
      </c>
      <c r="R152" s="95"/>
      <c r="S152" s="95"/>
      <c r="T152" s="95"/>
      <c r="U152" s="95"/>
      <c r="V152" s="95"/>
      <c r="W152" s="133">
        <v>500</v>
      </c>
      <c r="X152" s="95"/>
      <c r="Y152" s="95"/>
      <c r="Z152" s="95"/>
      <c r="AA152" s="95"/>
      <c r="AB152" s="95"/>
      <c r="AC152" s="126">
        <v>12000</v>
      </c>
      <c r="AD152" s="95"/>
      <c r="AE152" s="95"/>
      <c r="AF152" s="31"/>
      <c r="AG152" s="31"/>
      <c r="AH152"/>
      <c r="AI152"/>
      <c r="AJ152"/>
      <c r="AK152"/>
      <c r="AM152"/>
    </row>
    <row r="153" spans="1:39" ht="25.15" customHeight="1" outlineLevel="1" x14ac:dyDescent="0.2">
      <c r="A153" s="10" t="s">
        <v>230</v>
      </c>
      <c r="B153" s="98" t="s">
        <v>231</v>
      </c>
      <c r="C153" s="98"/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 t="s">
        <v>43</v>
      </c>
      <c r="O153" s="98"/>
      <c r="P153" s="98"/>
      <c r="Q153" s="97">
        <v>24</v>
      </c>
      <c r="R153" s="95"/>
      <c r="S153" s="95"/>
      <c r="T153" s="95"/>
      <c r="U153" s="95"/>
      <c r="V153" s="95"/>
      <c r="W153" s="133">
        <v>200</v>
      </c>
      <c r="X153" s="95"/>
      <c r="Y153" s="95"/>
      <c r="Z153" s="95"/>
      <c r="AA153" s="95"/>
      <c r="AB153" s="95"/>
      <c r="AC153" s="94">
        <v>4800</v>
      </c>
      <c r="AD153" s="95"/>
      <c r="AE153" s="95"/>
      <c r="AF153" s="31"/>
      <c r="AG153" s="31"/>
      <c r="AH153"/>
      <c r="AI153"/>
      <c r="AJ153"/>
      <c r="AK153"/>
      <c r="AM153"/>
    </row>
    <row r="154" spans="1:39" ht="25.15" customHeight="1" outlineLevel="1" x14ac:dyDescent="0.2">
      <c r="A154" s="10" t="s">
        <v>232</v>
      </c>
      <c r="B154" s="98" t="s">
        <v>233</v>
      </c>
      <c r="C154" s="98"/>
      <c r="D154" s="98"/>
      <c r="E154" s="98"/>
      <c r="F154" s="98"/>
      <c r="G154" s="98"/>
      <c r="H154" s="98"/>
      <c r="I154" s="98"/>
      <c r="J154" s="98"/>
      <c r="K154" s="98"/>
      <c r="L154" s="98"/>
      <c r="M154" s="98"/>
      <c r="N154" s="98" t="s">
        <v>43</v>
      </c>
      <c r="O154" s="98"/>
      <c r="P154" s="98"/>
      <c r="Q154" s="97">
        <v>24</v>
      </c>
      <c r="R154" s="95"/>
      <c r="S154" s="95"/>
      <c r="T154" s="95"/>
      <c r="U154" s="95"/>
      <c r="V154" s="95"/>
      <c r="W154" s="133">
        <v>100</v>
      </c>
      <c r="X154" s="95"/>
      <c r="Y154" s="95"/>
      <c r="Z154" s="95"/>
      <c r="AA154" s="95"/>
      <c r="AB154" s="95"/>
      <c r="AC154" s="94">
        <v>2400</v>
      </c>
      <c r="AD154" s="95"/>
      <c r="AE154" s="95"/>
      <c r="AF154" s="31"/>
      <c r="AG154" s="31"/>
      <c r="AH154"/>
      <c r="AI154"/>
      <c r="AJ154"/>
      <c r="AK154"/>
      <c r="AM154"/>
    </row>
    <row r="155" spans="1:39" ht="25.15" customHeight="1" outlineLevel="1" x14ac:dyDescent="0.2">
      <c r="A155" s="10" t="s">
        <v>234</v>
      </c>
      <c r="B155" s="98" t="s">
        <v>235</v>
      </c>
      <c r="C155" s="98"/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 t="s">
        <v>43</v>
      </c>
      <c r="O155" s="98"/>
      <c r="P155" s="98"/>
      <c r="Q155" s="97">
        <v>24</v>
      </c>
      <c r="R155" s="95"/>
      <c r="S155" s="95"/>
      <c r="T155" s="95"/>
      <c r="U155" s="95"/>
      <c r="V155" s="95"/>
      <c r="W155" s="133">
        <v>150</v>
      </c>
      <c r="X155" s="95"/>
      <c r="Y155" s="95"/>
      <c r="Z155" s="95"/>
      <c r="AA155" s="95"/>
      <c r="AB155" s="95"/>
      <c r="AC155" s="94">
        <v>3600</v>
      </c>
      <c r="AD155" s="95"/>
      <c r="AE155" s="95"/>
      <c r="AF155" s="31"/>
      <c r="AG155" s="31"/>
      <c r="AH155"/>
      <c r="AI155"/>
      <c r="AJ155"/>
      <c r="AK155"/>
      <c r="AM155"/>
    </row>
    <row r="156" spans="1:39" ht="25.15" customHeight="1" x14ac:dyDescent="0.2">
      <c r="A156" s="19" t="s">
        <v>236</v>
      </c>
      <c r="B156" s="134" t="s">
        <v>237</v>
      </c>
      <c r="C156" s="134"/>
      <c r="D156" s="134"/>
      <c r="E156" s="134"/>
      <c r="F156" s="134"/>
      <c r="G156" s="134"/>
      <c r="H156" s="134"/>
      <c r="I156" s="134"/>
      <c r="J156" s="134"/>
      <c r="K156" s="134"/>
      <c r="L156" s="134"/>
      <c r="M156" s="134"/>
      <c r="N156" s="134"/>
      <c r="O156" s="134"/>
      <c r="P156" s="134"/>
      <c r="Q156" s="135"/>
      <c r="R156" s="135"/>
      <c r="S156" s="135"/>
      <c r="T156" s="135"/>
      <c r="U156" s="135"/>
      <c r="V156" s="135"/>
      <c r="W156" s="135"/>
      <c r="X156" s="135"/>
      <c r="Y156" s="135"/>
      <c r="Z156" s="135"/>
      <c r="AA156" s="135"/>
      <c r="AB156" s="135"/>
      <c r="AC156" s="172">
        <v>332060</v>
      </c>
      <c r="AD156" s="135"/>
      <c r="AE156" s="135"/>
      <c r="AF156" s="31"/>
      <c r="AG156" s="31"/>
      <c r="AH156"/>
      <c r="AI156"/>
      <c r="AJ156"/>
      <c r="AK156"/>
      <c r="AM156"/>
    </row>
    <row r="157" spans="1:39" ht="25.15" customHeight="1" outlineLevel="1" x14ac:dyDescent="0.2">
      <c r="A157" s="18" t="s">
        <v>238</v>
      </c>
      <c r="B157" s="137" t="s">
        <v>237</v>
      </c>
      <c r="C157" s="137"/>
      <c r="D157" s="137"/>
      <c r="E157" s="137"/>
      <c r="F157" s="137"/>
      <c r="G157" s="137"/>
      <c r="H157" s="137"/>
      <c r="I157" s="137"/>
      <c r="J157" s="137"/>
      <c r="K157" s="137"/>
      <c r="L157" s="137"/>
      <c r="M157" s="137"/>
      <c r="N157" s="137"/>
      <c r="O157" s="137"/>
      <c r="P157" s="137"/>
      <c r="Q157" s="160"/>
      <c r="R157" s="160"/>
      <c r="S157" s="160"/>
      <c r="T157" s="160"/>
      <c r="U157" s="160"/>
      <c r="V157" s="160"/>
      <c r="W157" s="160"/>
      <c r="X157" s="160"/>
      <c r="Y157" s="160"/>
      <c r="Z157" s="160"/>
      <c r="AA157" s="160"/>
      <c r="AB157" s="160"/>
      <c r="AC157" s="162">
        <v>332060</v>
      </c>
      <c r="AD157" s="160"/>
      <c r="AE157" s="160"/>
      <c r="AF157" s="31"/>
      <c r="AG157" s="31"/>
      <c r="AH157"/>
      <c r="AI157"/>
      <c r="AJ157"/>
      <c r="AK157"/>
      <c r="AM157"/>
    </row>
    <row r="158" spans="1:39" ht="25.15" customHeight="1" outlineLevel="1" x14ac:dyDescent="0.2">
      <c r="A158" s="18" t="s">
        <v>239</v>
      </c>
      <c r="B158" s="137" t="s">
        <v>240</v>
      </c>
      <c r="C158" s="137"/>
      <c r="D158" s="137"/>
      <c r="E158" s="137"/>
      <c r="F158" s="137"/>
      <c r="G158" s="137"/>
      <c r="H158" s="137"/>
      <c r="I158" s="137"/>
      <c r="J158" s="137"/>
      <c r="K158" s="137"/>
      <c r="L158" s="137"/>
      <c r="M158" s="137"/>
      <c r="N158" s="137"/>
      <c r="O158" s="137"/>
      <c r="P158" s="137"/>
      <c r="Q158" s="160"/>
      <c r="R158" s="160"/>
      <c r="S158" s="160"/>
      <c r="T158" s="160"/>
      <c r="U158" s="160"/>
      <c r="V158" s="160"/>
      <c r="W158" s="160"/>
      <c r="X158" s="160"/>
      <c r="Y158" s="160"/>
      <c r="Z158" s="160"/>
      <c r="AA158" s="160"/>
      <c r="AB158" s="160"/>
      <c r="AC158" s="169">
        <v>15600</v>
      </c>
      <c r="AD158" s="160"/>
      <c r="AE158" s="160"/>
      <c r="AF158" s="31"/>
      <c r="AG158" s="31"/>
      <c r="AH158"/>
      <c r="AI158"/>
      <c r="AJ158"/>
      <c r="AK158"/>
      <c r="AM158"/>
    </row>
    <row r="159" spans="1:39" ht="25.15" customHeight="1" outlineLevel="1" x14ac:dyDescent="0.2">
      <c r="A159" s="10" t="s">
        <v>241</v>
      </c>
      <c r="B159" s="98" t="s">
        <v>242</v>
      </c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 t="s">
        <v>27</v>
      </c>
      <c r="O159" s="98"/>
      <c r="P159" s="98"/>
      <c r="Q159" s="99">
        <v>1</v>
      </c>
      <c r="R159" s="95"/>
      <c r="S159" s="95"/>
      <c r="T159" s="95"/>
      <c r="U159" s="95"/>
      <c r="V159" s="95"/>
      <c r="W159" s="173">
        <v>15600</v>
      </c>
      <c r="X159" s="95"/>
      <c r="Y159" s="95"/>
      <c r="Z159" s="95"/>
      <c r="AA159" s="95"/>
      <c r="AB159" s="95"/>
      <c r="AC159" s="126">
        <v>15600</v>
      </c>
      <c r="AD159" s="95"/>
      <c r="AE159" s="95"/>
      <c r="AF159" s="31"/>
      <c r="AG159" s="31"/>
      <c r="AH159"/>
      <c r="AI159"/>
      <c r="AJ159"/>
      <c r="AK159"/>
      <c r="AM159"/>
    </row>
    <row r="160" spans="1:39" ht="25.15" customHeight="1" outlineLevel="1" x14ac:dyDescent="0.2">
      <c r="A160" s="18" t="s">
        <v>243</v>
      </c>
      <c r="B160" s="137" t="s">
        <v>244</v>
      </c>
      <c r="C160" s="137"/>
      <c r="D160" s="137"/>
      <c r="E160" s="137"/>
      <c r="F160" s="137"/>
      <c r="G160" s="137"/>
      <c r="H160" s="137"/>
      <c r="I160" s="137"/>
      <c r="J160" s="137"/>
      <c r="K160" s="137"/>
      <c r="L160" s="137"/>
      <c r="M160" s="137"/>
      <c r="N160" s="137"/>
      <c r="O160" s="137"/>
      <c r="P160" s="137"/>
      <c r="Q160" s="160"/>
      <c r="R160" s="160"/>
      <c r="S160" s="160"/>
      <c r="T160" s="160"/>
      <c r="U160" s="160"/>
      <c r="V160" s="160"/>
      <c r="W160" s="160"/>
      <c r="X160" s="160"/>
      <c r="Y160" s="160"/>
      <c r="Z160" s="160"/>
      <c r="AA160" s="160"/>
      <c r="AB160" s="160"/>
      <c r="AC160" s="162">
        <v>293460</v>
      </c>
      <c r="AD160" s="160"/>
      <c r="AE160" s="160"/>
      <c r="AF160" s="31"/>
      <c r="AG160" s="31"/>
      <c r="AH160"/>
      <c r="AI160"/>
      <c r="AJ160"/>
      <c r="AK160"/>
      <c r="AM160"/>
    </row>
    <row r="161" spans="1:39" ht="25.15" customHeight="1" outlineLevel="1" x14ac:dyDescent="0.2">
      <c r="A161" s="10" t="s">
        <v>245</v>
      </c>
      <c r="B161" s="98" t="s">
        <v>246</v>
      </c>
      <c r="C161" s="98"/>
      <c r="D161" s="98"/>
      <c r="E161" s="98"/>
      <c r="F161" s="98"/>
      <c r="G161" s="98"/>
      <c r="H161" s="98"/>
      <c r="I161" s="98"/>
      <c r="J161" s="98"/>
      <c r="K161" s="98"/>
      <c r="L161" s="98"/>
      <c r="M161" s="98"/>
      <c r="N161" s="98" t="s">
        <v>27</v>
      </c>
      <c r="O161" s="98"/>
      <c r="P161" s="98"/>
      <c r="Q161" s="99">
        <v>1</v>
      </c>
      <c r="R161" s="95"/>
      <c r="S161" s="95"/>
      <c r="T161" s="95"/>
      <c r="U161" s="95"/>
      <c r="V161" s="95"/>
      <c r="W161" s="173">
        <v>14700</v>
      </c>
      <c r="X161" s="95"/>
      <c r="Y161" s="95"/>
      <c r="Z161" s="95"/>
      <c r="AA161" s="95"/>
      <c r="AB161" s="95"/>
      <c r="AC161" s="126">
        <v>14700</v>
      </c>
      <c r="AD161" s="95"/>
      <c r="AE161" s="95"/>
      <c r="AF161" s="31"/>
      <c r="AG161" s="31"/>
      <c r="AH161"/>
      <c r="AI161"/>
      <c r="AJ161"/>
      <c r="AK161"/>
      <c r="AM161"/>
    </row>
    <row r="162" spans="1:39" ht="25.15" customHeight="1" outlineLevel="1" x14ac:dyDescent="0.2">
      <c r="A162" s="10" t="s">
        <v>247</v>
      </c>
      <c r="B162" s="98" t="s">
        <v>248</v>
      </c>
      <c r="C162" s="98"/>
      <c r="D162" s="98"/>
      <c r="E162" s="98"/>
      <c r="F162" s="98"/>
      <c r="G162" s="98"/>
      <c r="H162" s="98"/>
      <c r="I162" s="98"/>
      <c r="J162" s="98"/>
      <c r="K162" s="98"/>
      <c r="L162" s="98"/>
      <c r="M162" s="98"/>
      <c r="N162" s="98" t="s">
        <v>158</v>
      </c>
      <c r="O162" s="98"/>
      <c r="P162" s="98"/>
      <c r="Q162" s="99">
        <v>2</v>
      </c>
      <c r="R162" s="95"/>
      <c r="S162" s="95"/>
      <c r="T162" s="95"/>
      <c r="U162" s="95"/>
      <c r="V162" s="95"/>
      <c r="W162" s="132">
        <v>3500</v>
      </c>
      <c r="X162" s="95"/>
      <c r="Y162" s="95"/>
      <c r="Z162" s="95"/>
      <c r="AA162" s="95"/>
      <c r="AB162" s="95"/>
      <c r="AC162" s="94">
        <v>7000</v>
      </c>
      <c r="AD162" s="95"/>
      <c r="AE162" s="95"/>
      <c r="AF162" s="31"/>
      <c r="AG162" s="31"/>
      <c r="AH162"/>
      <c r="AI162"/>
      <c r="AJ162"/>
      <c r="AK162"/>
      <c r="AM162"/>
    </row>
    <row r="163" spans="1:39" ht="25.15" customHeight="1" outlineLevel="1" x14ac:dyDescent="0.2">
      <c r="A163" s="10" t="s">
        <v>249</v>
      </c>
      <c r="B163" s="98" t="s">
        <v>250</v>
      </c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 t="s">
        <v>43</v>
      </c>
      <c r="O163" s="98"/>
      <c r="P163" s="98"/>
      <c r="Q163" s="97">
        <v>11</v>
      </c>
      <c r="R163" s="95"/>
      <c r="S163" s="95"/>
      <c r="T163" s="95"/>
      <c r="U163" s="95"/>
      <c r="V163" s="95"/>
      <c r="W163" s="132">
        <v>7500</v>
      </c>
      <c r="X163" s="95"/>
      <c r="Y163" s="95"/>
      <c r="Z163" s="95"/>
      <c r="AA163" s="95"/>
      <c r="AB163" s="95"/>
      <c r="AC163" s="126">
        <v>82500</v>
      </c>
      <c r="AD163" s="95"/>
      <c r="AE163" s="95"/>
      <c r="AF163" s="31"/>
      <c r="AG163" s="31"/>
      <c r="AH163"/>
      <c r="AI163"/>
      <c r="AJ163"/>
      <c r="AK163"/>
      <c r="AM163"/>
    </row>
    <row r="164" spans="1:39" ht="25.15" customHeight="1" outlineLevel="1" x14ac:dyDescent="0.2">
      <c r="A164" s="10" t="s">
        <v>251</v>
      </c>
      <c r="B164" s="98" t="s">
        <v>252</v>
      </c>
      <c r="C164" s="98"/>
      <c r="D164" s="98"/>
      <c r="E164" s="98"/>
      <c r="F164" s="98"/>
      <c r="G164" s="98"/>
      <c r="H164" s="98"/>
      <c r="I164" s="98"/>
      <c r="J164" s="98"/>
      <c r="K164" s="98"/>
      <c r="L164" s="98"/>
      <c r="M164" s="98"/>
      <c r="N164" s="98" t="s">
        <v>43</v>
      </c>
      <c r="O164" s="98"/>
      <c r="P164" s="98"/>
      <c r="Q164" s="97">
        <v>11</v>
      </c>
      <c r="R164" s="95"/>
      <c r="S164" s="95"/>
      <c r="T164" s="95"/>
      <c r="U164" s="95"/>
      <c r="V164" s="95"/>
      <c r="W164" s="132">
        <v>2300</v>
      </c>
      <c r="X164" s="95"/>
      <c r="Y164" s="95"/>
      <c r="Z164" s="95"/>
      <c r="AA164" s="95"/>
      <c r="AB164" s="95"/>
      <c r="AC164" s="126">
        <v>25300</v>
      </c>
      <c r="AD164" s="95"/>
      <c r="AE164" s="95"/>
      <c r="AF164" s="31"/>
      <c r="AG164" s="31"/>
      <c r="AH164"/>
      <c r="AI164"/>
      <c r="AJ164"/>
      <c r="AK164"/>
      <c r="AM164"/>
    </row>
    <row r="165" spans="1:39" ht="25.15" customHeight="1" outlineLevel="1" x14ac:dyDescent="0.2">
      <c r="A165" s="41"/>
      <c r="B165" s="120" t="s">
        <v>841</v>
      </c>
      <c r="C165" s="121"/>
      <c r="D165" s="121"/>
      <c r="E165" s="121"/>
      <c r="F165" s="121"/>
      <c r="G165" s="121"/>
      <c r="H165" s="121"/>
      <c r="I165" s="121"/>
      <c r="J165" s="121"/>
      <c r="K165" s="121"/>
      <c r="L165" s="121"/>
      <c r="M165" s="122"/>
      <c r="N165" s="96" t="s">
        <v>785</v>
      </c>
      <c r="O165" s="96"/>
      <c r="P165" s="96"/>
      <c r="Q165" s="110">
        <v>1</v>
      </c>
      <c r="R165" s="111"/>
      <c r="S165" s="112"/>
      <c r="T165" s="113"/>
      <c r="U165" s="111"/>
      <c r="V165" s="111"/>
      <c r="W165" s="114"/>
      <c r="X165" s="111"/>
      <c r="Y165" s="112"/>
      <c r="Z165" s="115"/>
      <c r="AA165" s="115"/>
      <c r="AB165" s="113"/>
      <c r="AC165" s="116"/>
      <c r="AD165" s="111"/>
      <c r="AE165" s="111"/>
      <c r="AF165" s="31" t="s">
        <v>910</v>
      </c>
      <c r="AG165" s="31"/>
      <c r="AH165"/>
      <c r="AI165"/>
      <c r="AJ165"/>
      <c r="AK165"/>
      <c r="AM165"/>
    </row>
    <row r="166" spans="1:39" ht="25.15" customHeight="1" outlineLevel="1" x14ac:dyDescent="0.2">
      <c r="A166" s="10" t="s">
        <v>253</v>
      </c>
      <c r="B166" s="98" t="s">
        <v>254</v>
      </c>
      <c r="C166" s="98"/>
      <c r="D166" s="98"/>
      <c r="E166" s="98"/>
      <c r="F166" s="98"/>
      <c r="G166" s="98"/>
      <c r="H166" s="98"/>
      <c r="I166" s="98"/>
      <c r="J166" s="98"/>
      <c r="K166" s="98"/>
      <c r="L166" s="98"/>
      <c r="M166" s="98"/>
      <c r="N166" s="98" t="s">
        <v>43</v>
      </c>
      <c r="O166" s="98"/>
      <c r="P166" s="98"/>
      <c r="Q166" s="97">
        <v>12</v>
      </c>
      <c r="R166" s="95"/>
      <c r="S166" s="95"/>
      <c r="T166" s="95"/>
      <c r="U166" s="95"/>
      <c r="V166" s="95"/>
      <c r="W166" s="132">
        <v>9000</v>
      </c>
      <c r="X166" s="95"/>
      <c r="Y166" s="95"/>
      <c r="Z166" s="95"/>
      <c r="AA166" s="95"/>
      <c r="AB166" s="95"/>
      <c r="AC166" s="101">
        <v>108000</v>
      </c>
      <c r="AD166" s="95"/>
      <c r="AE166" s="95"/>
      <c r="AF166" s="31"/>
      <c r="AG166" s="31"/>
      <c r="AH166"/>
      <c r="AI166"/>
      <c r="AJ166"/>
      <c r="AK166"/>
      <c r="AM166"/>
    </row>
    <row r="167" spans="1:39" ht="25.15" customHeight="1" outlineLevel="1" x14ac:dyDescent="0.2">
      <c r="A167" s="10" t="s">
        <v>255</v>
      </c>
      <c r="B167" s="98" t="s">
        <v>256</v>
      </c>
      <c r="C167" s="98"/>
      <c r="D167" s="98"/>
      <c r="E167" s="98"/>
      <c r="F167" s="98"/>
      <c r="G167" s="98"/>
      <c r="H167" s="98"/>
      <c r="I167" s="98"/>
      <c r="J167" s="98"/>
      <c r="K167" s="98"/>
      <c r="L167" s="98"/>
      <c r="M167" s="98"/>
      <c r="N167" s="98" t="s">
        <v>158</v>
      </c>
      <c r="O167" s="98"/>
      <c r="P167" s="98"/>
      <c r="Q167" s="99">
        <v>2</v>
      </c>
      <c r="R167" s="95"/>
      <c r="S167" s="95"/>
      <c r="T167" s="95"/>
      <c r="U167" s="95"/>
      <c r="V167" s="95"/>
      <c r="W167" s="132">
        <v>9500</v>
      </c>
      <c r="X167" s="95"/>
      <c r="Y167" s="95"/>
      <c r="Z167" s="95"/>
      <c r="AA167" s="95"/>
      <c r="AB167" s="95"/>
      <c r="AC167" s="126">
        <v>19000</v>
      </c>
      <c r="AD167" s="95"/>
      <c r="AE167" s="95"/>
      <c r="AF167" s="31"/>
      <c r="AG167" s="31"/>
      <c r="AH167"/>
      <c r="AI167"/>
      <c r="AJ167"/>
      <c r="AK167"/>
      <c r="AM167"/>
    </row>
    <row r="168" spans="1:39" ht="25.15" customHeight="1" outlineLevel="1" x14ac:dyDescent="0.2">
      <c r="A168" s="10"/>
      <c r="B168" s="120" t="s">
        <v>839</v>
      </c>
      <c r="C168" s="121"/>
      <c r="D168" s="121"/>
      <c r="E168" s="121"/>
      <c r="F168" s="121"/>
      <c r="G168" s="121"/>
      <c r="H168" s="121"/>
      <c r="I168" s="121"/>
      <c r="J168" s="121"/>
      <c r="K168" s="121"/>
      <c r="L168" s="121"/>
      <c r="M168" s="122"/>
      <c r="N168" s="96" t="s">
        <v>840</v>
      </c>
      <c r="O168" s="96"/>
      <c r="P168" s="96"/>
      <c r="Q168" s="110">
        <v>1</v>
      </c>
      <c r="R168" s="111"/>
      <c r="S168" s="112"/>
      <c r="T168" s="113"/>
      <c r="U168" s="111"/>
      <c r="V168" s="111"/>
      <c r="W168" s="114"/>
      <c r="X168" s="111"/>
      <c r="Y168" s="112"/>
      <c r="Z168" s="115"/>
      <c r="AA168" s="115"/>
      <c r="AB168" s="113"/>
      <c r="AC168" s="116"/>
      <c r="AD168" s="111"/>
      <c r="AE168" s="111"/>
      <c r="AF168" s="40" t="s">
        <v>905</v>
      </c>
      <c r="AG168" s="31"/>
      <c r="AH168"/>
      <c r="AI168"/>
      <c r="AJ168"/>
      <c r="AK168"/>
      <c r="AM168"/>
    </row>
    <row r="169" spans="1:39" ht="25.15" customHeight="1" outlineLevel="1" x14ac:dyDescent="0.2">
      <c r="A169" s="10" t="s">
        <v>257</v>
      </c>
      <c r="B169" s="98" t="s">
        <v>258</v>
      </c>
      <c r="C169" s="98"/>
      <c r="D169" s="98"/>
      <c r="E169" s="98"/>
      <c r="F169" s="98"/>
      <c r="G169" s="98"/>
      <c r="H169" s="98"/>
      <c r="I169" s="98"/>
      <c r="J169" s="98"/>
      <c r="K169" s="98"/>
      <c r="L169" s="98"/>
      <c r="M169" s="98"/>
      <c r="N169" s="98" t="s">
        <v>43</v>
      </c>
      <c r="O169" s="98"/>
      <c r="P169" s="98"/>
      <c r="Q169" s="97">
        <v>12</v>
      </c>
      <c r="R169" s="95"/>
      <c r="S169" s="95"/>
      <c r="T169" s="95"/>
      <c r="U169" s="95"/>
      <c r="V169" s="95"/>
      <c r="W169" s="132">
        <v>3080</v>
      </c>
      <c r="X169" s="95"/>
      <c r="Y169" s="95"/>
      <c r="Z169" s="95"/>
      <c r="AA169" s="95"/>
      <c r="AB169" s="95"/>
      <c r="AC169" s="126">
        <v>36960</v>
      </c>
      <c r="AD169" s="95"/>
      <c r="AE169" s="95"/>
      <c r="AF169" s="31"/>
      <c r="AG169" s="31"/>
      <c r="AH169"/>
      <c r="AI169"/>
      <c r="AJ169"/>
      <c r="AK169"/>
      <c r="AM169"/>
    </row>
    <row r="170" spans="1:39" ht="25.15" customHeight="1" x14ac:dyDescent="0.2">
      <c r="A170" s="29" t="s">
        <v>259</v>
      </c>
      <c r="B170" s="174" t="s">
        <v>260</v>
      </c>
      <c r="C170" s="174"/>
      <c r="D170" s="174"/>
      <c r="E170" s="174"/>
      <c r="F170" s="174"/>
      <c r="G170" s="174"/>
      <c r="H170" s="174"/>
      <c r="I170" s="174"/>
      <c r="J170" s="174"/>
      <c r="K170" s="174"/>
      <c r="L170" s="174"/>
      <c r="M170" s="174"/>
      <c r="N170" s="174"/>
      <c r="O170" s="174"/>
      <c r="P170" s="174"/>
      <c r="Q170" s="175"/>
      <c r="R170" s="175"/>
      <c r="S170" s="175"/>
      <c r="T170" s="175"/>
      <c r="U170" s="175"/>
      <c r="V170" s="175"/>
      <c r="W170" s="175"/>
      <c r="X170" s="175"/>
      <c r="Y170" s="175"/>
      <c r="Z170" s="175"/>
      <c r="AA170" s="175"/>
      <c r="AB170" s="175"/>
      <c r="AC170" s="176">
        <v>23000</v>
      </c>
      <c r="AD170" s="175"/>
      <c r="AE170" s="175"/>
      <c r="AF170" s="108" t="s">
        <v>883</v>
      </c>
      <c r="AG170" s="109"/>
      <c r="AH170"/>
      <c r="AI170"/>
      <c r="AJ170"/>
      <c r="AK170"/>
      <c r="AM170"/>
    </row>
    <row r="171" spans="1:39" ht="25.15" customHeight="1" outlineLevel="1" x14ac:dyDescent="0.2">
      <c r="A171" s="10" t="s">
        <v>261</v>
      </c>
      <c r="B171" s="98" t="s">
        <v>262</v>
      </c>
      <c r="C171" s="98"/>
      <c r="D171" s="98"/>
      <c r="E171" s="98"/>
      <c r="F171" s="98"/>
      <c r="G171" s="98"/>
      <c r="H171" s="98"/>
      <c r="I171" s="98"/>
      <c r="J171" s="98"/>
      <c r="K171" s="98"/>
      <c r="L171" s="98"/>
      <c r="M171" s="98"/>
      <c r="N171" s="98" t="s">
        <v>43</v>
      </c>
      <c r="O171" s="98"/>
      <c r="P171" s="98"/>
      <c r="Q171" s="99">
        <v>6</v>
      </c>
      <c r="R171" s="95"/>
      <c r="S171" s="95"/>
      <c r="T171" s="95"/>
      <c r="U171" s="95"/>
      <c r="V171" s="95"/>
      <c r="W171" s="132">
        <v>2500</v>
      </c>
      <c r="X171" s="95"/>
      <c r="Y171" s="95"/>
      <c r="Z171" s="95"/>
      <c r="AA171" s="95"/>
      <c r="AB171" s="95"/>
      <c r="AC171" s="126">
        <v>15000</v>
      </c>
      <c r="AD171" s="95"/>
      <c r="AE171" s="95"/>
      <c r="AF171" s="43" t="s">
        <v>916</v>
      </c>
      <c r="AG171" s="31"/>
      <c r="AH171"/>
      <c r="AI171"/>
      <c r="AJ171"/>
      <c r="AK171"/>
      <c r="AM171"/>
    </row>
    <row r="172" spans="1:39" ht="25.15" customHeight="1" outlineLevel="1" x14ac:dyDescent="0.2">
      <c r="A172" s="10" t="s">
        <v>263</v>
      </c>
      <c r="B172" s="98" t="s">
        <v>264</v>
      </c>
      <c r="C172" s="98"/>
      <c r="D172" s="98"/>
      <c r="E172" s="98"/>
      <c r="F172" s="98"/>
      <c r="G172" s="98"/>
      <c r="H172" s="98"/>
      <c r="I172" s="98"/>
      <c r="J172" s="98"/>
      <c r="K172" s="98"/>
      <c r="L172" s="98"/>
      <c r="M172" s="98"/>
      <c r="N172" s="98" t="s">
        <v>158</v>
      </c>
      <c r="O172" s="98"/>
      <c r="P172" s="98"/>
      <c r="Q172" s="99">
        <v>8</v>
      </c>
      <c r="R172" s="95"/>
      <c r="S172" s="95"/>
      <c r="T172" s="95"/>
      <c r="U172" s="95"/>
      <c r="V172" s="95"/>
      <c r="W172" s="132">
        <v>1000</v>
      </c>
      <c r="X172" s="95"/>
      <c r="Y172" s="95"/>
      <c r="Z172" s="95"/>
      <c r="AA172" s="95"/>
      <c r="AB172" s="95"/>
      <c r="AC172" s="94">
        <v>8000</v>
      </c>
      <c r="AD172" s="95"/>
      <c r="AE172" s="95"/>
      <c r="AF172" s="31" t="s">
        <v>945</v>
      </c>
      <c r="AG172" s="31"/>
      <c r="AH172"/>
      <c r="AI172"/>
      <c r="AJ172"/>
      <c r="AK172"/>
      <c r="AM172"/>
    </row>
    <row r="173" spans="1:39" ht="25.15" customHeight="1" x14ac:dyDescent="0.2">
      <c r="A173" s="202" t="s">
        <v>48</v>
      </c>
      <c r="B173" s="202"/>
      <c r="C173" s="202"/>
      <c r="D173" s="202"/>
      <c r="E173" s="202"/>
      <c r="F173" s="202"/>
      <c r="G173" s="202"/>
      <c r="H173" s="202"/>
      <c r="I173" s="202"/>
      <c r="J173" s="202"/>
      <c r="K173" s="202"/>
      <c r="L173" s="202"/>
      <c r="M173" s="202"/>
      <c r="N173" s="202"/>
      <c r="O173" s="202"/>
      <c r="P173" s="202"/>
      <c r="Q173" s="202"/>
      <c r="R173" s="202"/>
      <c r="S173" s="202"/>
      <c r="T173" s="202"/>
      <c r="U173" s="202"/>
      <c r="V173" s="202"/>
      <c r="W173" s="202"/>
      <c r="X173" s="202"/>
      <c r="Y173" s="202"/>
      <c r="Z173" s="202"/>
      <c r="AA173" s="202"/>
      <c r="AB173" s="202"/>
      <c r="AC173" s="203">
        <v>2728339.52</v>
      </c>
      <c r="AD173" s="202"/>
      <c r="AE173" s="202"/>
      <c r="AF173" s="31"/>
      <c r="AG173" s="31"/>
      <c r="AH173"/>
      <c r="AI173"/>
      <c r="AJ173"/>
      <c r="AK173"/>
      <c r="AM173"/>
    </row>
    <row r="174" spans="1:39" ht="25.15" customHeight="1" x14ac:dyDescent="0.2">
      <c r="A174" s="204"/>
      <c r="B174" s="204"/>
      <c r="C174" s="204"/>
      <c r="D174" s="204"/>
      <c r="E174" s="204"/>
      <c r="F174" s="204"/>
      <c r="G174" s="204"/>
      <c r="H174" s="204"/>
      <c r="I174" s="204"/>
      <c r="J174" s="204"/>
      <c r="K174" s="204"/>
      <c r="L174" s="204"/>
      <c r="M174" s="204"/>
      <c r="N174" s="204"/>
      <c r="O174" s="204"/>
      <c r="P174" s="204"/>
      <c r="Q174" s="204"/>
      <c r="R174" s="204"/>
      <c r="S174" s="204"/>
      <c r="T174" s="204"/>
      <c r="U174" s="204"/>
      <c r="V174" s="204"/>
      <c r="W174" s="204"/>
      <c r="X174" s="204"/>
      <c r="Y174" s="204"/>
      <c r="Z174" s="204"/>
      <c r="AA174" s="204"/>
      <c r="AB174" s="204"/>
      <c r="AC174" s="204"/>
      <c r="AD174" s="204"/>
      <c r="AE174" s="204"/>
      <c r="AF174" s="31"/>
      <c r="AG174" s="31"/>
      <c r="AH174"/>
      <c r="AI174"/>
      <c r="AJ174"/>
      <c r="AK174"/>
      <c r="AM174"/>
    </row>
    <row r="175" spans="1:39" ht="25.15" customHeight="1" x14ac:dyDescent="0.2">
      <c r="A175" s="202" t="s">
        <v>1</v>
      </c>
      <c r="B175" s="202"/>
      <c r="C175" s="202"/>
      <c r="D175" s="98" t="s">
        <v>2</v>
      </c>
      <c r="E175" s="98"/>
      <c r="F175" s="98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8"/>
      <c r="V175" s="98"/>
      <c r="W175" s="98"/>
      <c r="X175" s="98"/>
      <c r="Y175" s="98"/>
      <c r="Z175" s="98"/>
      <c r="AA175" s="98"/>
      <c r="AB175" s="98"/>
      <c r="AC175" s="98"/>
      <c r="AD175" s="98"/>
      <c r="AE175" s="98"/>
      <c r="AF175" s="31"/>
      <c r="AG175" s="31"/>
      <c r="AH175"/>
      <c r="AI175"/>
      <c r="AJ175"/>
      <c r="AK175"/>
      <c r="AM175"/>
    </row>
    <row r="176" spans="1:39" ht="25.15" customHeight="1" x14ac:dyDescent="0.2">
      <c r="A176" s="202" t="s">
        <v>3</v>
      </c>
      <c r="B176" s="202"/>
      <c r="C176" s="202"/>
      <c r="D176" s="98" t="s">
        <v>265</v>
      </c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Z176" s="98"/>
      <c r="AA176" s="98"/>
      <c r="AB176" s="98"/>
      <c r="AC176" s="98"/>
      <c r="AD176" s="98"/>
      <c r="AE176" s="98"/>
      <c r="AF176" s="31"/>
      <c r="AG176" s="31"/>
      <c r="AH176"/>
      <c r="AI176"/>
      <c r="AJ176"/>
      <c r="AK176"/>
      <c r="AM176"/>
    </row>
    <row r="177" spans="1:51" ht="25.15" customHeight="1" x14ac:dyDescent="0.2">
      <c r="A177" s="202" t="s">
        <v>4</v>
      </c>
      <c r="B177" s="202"/>
      <c r="C177" s="202"/>
      <c r="D177" s="98" t="s">
        <v>5</v>
      </c>
      <c r="E177" s="98"/>
      <c r="F177" s="98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8"/>
      <c r="V177" s="98"/>
      <c r="W177" s="98"/>
      <c r="X177" s="98"/>
      <c r="Y177" s="98"/>
      <c r="Z177" s="98"/>
      <c r="AA177" s="98"/>
      <c r="AB177" s="98"/>
      <c r="AC177" s="98"/>
      <c r="AD177" s="98"/>
      <c r="AE177" s="98"/>
      <c r="AF177" s="31"/>
      <c r="AG177" s="31"/>
      <c r="AH177"/>
      <c r="AI177"/>
      <c r="AJ177"/>
      <c r="AK177"/>
      <c r="AM177"/>
    </row>
    <row r="178" spans="1:51" ht="25.15" customHeight="1" x14ac:dyDescent="0.2">
      <c r="A178" s="202" t="s">
        <v>6</v>
      </c>
      <c r="B178" s="202"/>
      <c r="C178" s="202"/>
      <c r="D178" s="98" t="s">
        <v>7</v>
      </c>
      <c r="E178" s="98"/>
      <c r="F178" s="98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8"/>
      <c r="V178" s="98"/>
      <c r="W178" s="98"/>
      <c r="X178" s="98"/>
      <c r="Y178" s="98"/>
      <c r="Z178" s="98"/>
      <c r="AA178" s="98"/>
      <c r="AB178" s="98"/>
      <c r="AC178" s="98"/>
      <c r="AD178" s="98"/>
      <c r="AE178" s="98"/>
      <c r="AF178" s="31"/>
      <c r="AG178" s="31"/>
      <c r="AH178"/>
      <c r="AI178"/>
      <c r="AJ178"/>
      <c r="AK178"/>
      <c r="AM178"/>
      <c r="AT178" s="8">
        <f>AC156+AC96+AC69+AC47+AC15</f>
        <v>2728339.52</v>
      </c>
      <c r="AU178" s="7"/>
      <c r="AV178" s="6"/>
      <c r="AW178" s="16" t="e">
        <f>#REF!-AT178</f>
        <v>#REF!</v>
      </c>
      <c r="AY178" s="16" t="e">
        <f>#REF!-AW178</f>
        <v>#REF!</v>
      </c>
    </row>
    <row r="179" spans="1:51" ht="25.15" customHeight="1" x14ac:dyDescent="0.2">
      <c r="A179" s="202" t="s">
        <v>8</v>
      </c>
      <c r="B179" s="202"/>
      <c r="C179" s="202"/>
      <c r="D179" s="98" t="s">
        <v>9</v>
      </c>
      <c r="E179" s="98"/>
      <c r="F179" s="98"/>
      <c r="G179" s="98"/>
      <c r="H179" s="98"/>
      <c r="I179" s="98"/>
      <c r="J179" s="98"/>
      <c r="K179" s="98"/>
      <c r="L179" s="202" t="s">
        <v>10</v>
      </c>
      <c r="M179" s="202"/>
      <c r="N179" s="202"/>
      <c r="O179" s="202"/>
      <c r="P179" s="202"/>
      <c r="Q179" s="202"/>
      <c r="R179" s="202"/>
      <c r="S179" s="202"/>
      <c r="T179" s="202"/>
      <c r="U179" s="202"/>
      <c r="V179" s="98" t="s">
        <v>11</v>
      </c>
      <c r="W179" s="98"/>
      <c r="X179" s="98"/>
      <c r="Y179" s="98"/>
      <c r="Z179" s="98"/>
      <c r="AA179" s="98"/>
      <c r="AB179" s="98"/>
      <c r="AC179" s="98"/>
      <c r="AD179" s="98"/>
      <c r="AE179" s="98"/>
      <c r="AF179" s="31"/>
      <c r="AG179" s="31"/>
      <c r="AH179"/>
      <c r="AI179"/>
      <c r="AJ179"/>
      <c r="AK179"/>
      <c r="AM179"/>
    </row>
    <row r="180" spans="1:51" ht="25.15" customHeight="1" x14ac:dyDescent="0.2">
      <c r="A180" s="202" t="s">
        <v>12</v>
      </c>
      <c r="B180" s="202"/>
      <c r="C180" s="202"/>
      <c r="D180" s="98" t="s">
        <v>13</v>
      </c>
      <c r="E180" s="98"/>
      <c r="F180" s="98"/>
      <c r="G180" s="98"/>
      <c r="H180" s="98"/>
      <c r="I180" s="98"/>
      <c r="J180" s="98"/>
      <c r="K180" s="98"/>
      <c r="L180" s="202" t="s">
        <v>14</v>
      </c>
      <c r="M180" s="202"/>
      <c r="N180" s="202"/>
      <c r="O180" s="202"/>
      <c r="P180" s="202"/>
      <c r="Q180" s="202"/>
      <c r="R180" s="202"/>
      <c r="S180" s="202"/>
      <c r="T180" s="202"/>
      <c r="U180" s="202"/>
      <c r="V180" s="98" t="s">
        <v>13</v>
      </c>
      <c r="W180" s="98"/>
      <c r="X180" s="98"/>
      <c r="Y180" s="98"/>
      <c r="Z180" s="98"/>
      <c r="AA180" s="98"/>
      <c r="AB180" s="98"/>
      <c r="AC180" s="98"/>
      <c r="AD180" s="98"/>
      <c r="AE180" s="98"/>
      <c r="AF180" s="31"/>
      <c r="AG180" s="31"/>
      <c r="AH180"/>
      <c r="AI180"/>
      <c r="AJ180"/>
      <c r="AK180"/>
      <c r="AM180"/>
    </row>
    <row r="181" spans="1:51" ht="25.15" customHeight="1" x14ac:dyDescent="0.2">
      <c r="A181" s="202" t="s">
        <v>15</v>
      </c>
      <c r="B181" s="202"/>
      <c r="C181" s="202"/>
      <c r="D181" s="98" t="s">
        <v>16</v>
      </c>
      <c r="E181" s="98"/>
      <c r="F181" s="98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8"/>
      <c r="V181" s="98"/>
      <c r="W181" s="98"/>
      <c r="X181" s="98"/>
      <c r="Y181" s="98"/>
      <c r="Z181" s="98"/>
      <c r="AA181" s="98"/>
      <c r="AB181" s="98"/>
      <c r="AC181" s="98"/>
      <c r="AD181" s="98"/>
      <c r="AE181" s="98"/>
      <c r="AF181" s="31"/>
      <c r="AG181" s="31"/>
      <c r="AH181"/>
      <c r="AI181"/>
      <c r="AJ181"/>
      <c r="AK181"/>
      <c r="AM181"/>
    </row>
    <row r="182" spans="1:51" ht="25.15" customHeight="1" x14ac:dyDescent="0.2">
      <c r="A182" s="204"/>
      <c r="B182" s="204"/>
      <c r="C182" s="204"/>
      <c r="D182" s="204"/>
      <c r="E182" s="204"/>
      <c r="F182" s="204"/>
      <c r="G182" s="204"/>
      <c r="H182" s="204"/>
      <c r="I182" s="204"/>
      <c r="J182" s="204"/>
      <c r="K182" s="204"/>
      <c r="L182" s="204"/>
      <c r="M182" s="204"/>
      <c r="N182" s="204"/>
      <c r="O182" s="204"/>
      <c r="P182" s="204"/>
      <c r="Q182" s="204"/>
      <c r="R182" s="204"/>
      <c r="S182" s="204"/>
      <c r="T182" s="204"/>
      <c r="U182" s="204"/>
      <c r="V182" s="204"/>
      <c r="W182" s="204"/>
      <c r="X182" s="204"/>
      <c r="Y182" s="204"/>
      <c r="Z182" s="204"/>
      <c r="AA182" s="204"/>
      <c r="AB182" s="204"/>
      <c r="AC182" s="204"/>
      <c r="AD182" s="204"/>
      <c r="AE182" s="204"/>
      <c r="AF182" s="31"/>
      <c r="AG182" s="31"/>
      <c r="AH182"/>
      <c r="AI182"/>
      <c r="AJ182"/>
      <c r="AK182"/>
      <c r="AM182"/>
    </row>
    <row r="183" spans="1:51" ht="33" customHeight="1" x14ac:dyDescent="0.2">
      <c r="A183" s="12" t="s">
        <v>17</v>
      </c>
      <c r="B183" s="205" t="s">
        <v>18</v>
      </c>
      <c r="C183" s="206"/>
      <c r="D183" s="206"/>
      <c r="E183" s="206"/>
      <c r="F183" s="206"/>
      <c r="G183" s="206"/>
      <c r="H183" s="206"/>
      <c r="I183" s="206"/>
      <c r="J183" s="206"/>
      <c r="K183" s="206"/>
      <c r="L183" s="206"/>
      <c r="M183" s="207"/>
      <c r="N183" s="205" t="s">
        <v>19</v>
      </c>
      <c r="O183" s="206"/>
      <c r="P183" s="207"/>
      <c r="Q183" s="208" t="s">
        <v>20</v>
      </c>
      <c r="R183" s="209"/>
      <c r="S183" s="209"/>
      <c r="T183" s="209"/>
      <c r="U183" s="209"/>
      <c r="V183" s="210"/>
      <c r="W183" s="208" t="s">
        <v>21</v>
      </c>
      <c r="X183" s="209"/>
      <c r="Y183" s="209"/>
      <c r="Z183" s="209"/>
      <c r="AA183" s="209"/>
      <c r="AB183" s="210"/>
      <c r="AC183" s="208" t="s">
        <v>22</v>
      </c>
      <c r="AD183" s="209"/>
      <c r="AE183" s="210"/>
      <c r="AF183" s="31"/>
      <c r="AG183" s="31"/>
      <c r="AH183" s="30"/>
      <c r="AI183"/>
      <c r="AJ183"/>
      <c r="AK183"/>
      <c r="AM183"/>
    </row>
    <row r="184" spans="1:51" ht="25.15" customHeight="1" x14ac:dyDescent="0.2">
      <c r="A184" s="19" t="s">
        <v>23</v>
      </c>
      <c r="B184" s="134" t="s">
        <v>266</v>
      </c>
      <c r="C184" s="134"/>
      <c r="D184" s="134"/>
      <c r="E184" s="134"/>
      <c r="F184" s="134"/>
      <c r="G184" s="134"/>
      <c r="H184" s="134"/>
      <c r="I184" s="134"/>
      <c r="J184" s="134"/>
      <c r="K184" s="134"/>
      <c r="L184" s="134"/>
      <c r="M184" s="134"/>
      <c r="N184" s="134"/>
      <c r="O184" s="134"/>
      <c r="P184" s="134"/>
      <c r="Q184" s="135"/>
      <c r="R184" s="135"/>
      <c r="S184" s="135"/>
      <c r="T184" s="135"/>
      <c r="U184" s="135"/>
      <c r="V184" s="135"/>
      <c r="W184" s="135"/>
      <c r="X184" s="135"/>
      <c r="Y184" s="135"/>
      <c r="Z184" s="135"/>
      <c r="AA184" s="135"/>
      <c r="AB184" s="135"/>
      <c r="AC184" s="172">
        <v>110109.75999999999</v>
      </c>
      <c r="AD184" s="135"/>
      <c r="AE184" s="135"/>
      <c r="AF184" s="31"/>
      <c r="AG184" s="31"/>
      <c r="AH184"/>
      <c r="AI184"/>
      <c r="AJ184"/>
      <c r="AK184"/>
      <c r="AM184"/>
    </row>
    <row r="185" spans="1:51" ht="25.15" customHeight="1" outlineLevel="1" x14ac:dyDescent="0.2">
      <c r="A185" s="21">
        <v>1001</v>
      </c>
      <c r="B185" s="137" t="s">
        <v>266</v>
      </c>
      <c r="C185" s="137"/>
      <c r="D185" s="137"/>
      <c r="E185" s="137"/>
      <c r="F185" s="137"/>
      <c r="G185" s="137"/>
      <c r="H185" s="137"/>
      <c r="I185" s="137"/>
      <c r="J185" s="137"/>
      <c r="K185" s="137"/>
      <c r="L185" s="137"/>
      <c r="M185" s="137"/>
      <c r="N185" s="137"/>
      <c r="O185" s="137"/>
      <c r="P185" s="137"/>
      <c r="Q185" s="160"/>
      <c r="R185" s="160"/>
      <c r="S185" s="160"/>
      <c r="T185" s="160"/>
      <c r="U185" s="160"/>
      <c r="V185" s="160"/>
      <c r="W185" s="160"/>
      <c r="X185" s="160"/>
      <c r="Y185" s="160"/>
      <c r="Z185" s="160"/>
      <c r="AA185" s="160"/>
      <c r="AB185" s="160"/>
      <c r="AC185" s="162">
        <v>110109.75999999999</v>
      </c>
      <c r="AD185" s="160"/>
      <c r="AE185" s="160"/>
      <c r="AF185" s="31"/>
      <c r="AG185" s="31"/>
      <c r="AH185"/>
      <c r="AI185"/>
      <c r="AJ185"/>
      <c r="AK185"/>
      <c r="AM185"/>
    </row>
    <row r="186" spans="1:51" ht="25.15" customHeight="1" outlineLevel="1" x14ac:dyDescent="0.2">
      <c r="A186" s="18" t="s">
        <v>25</v>
      </c>
      <c r="B186" s="137" t="s">
        <v>267</v>
      </c>
      <c r="C186" s="137"/>
      <c r="D186" s="137"/>
      <c r="E186" s="137"/>
      <c r="F186" s="137"/>
      <c r="G186" s="137"/>
      <c r="H186" s="137"/>
      <c r="I186" s="137"/>
      <c r="J186" s="137"/>
      <c r="K186" s="137"/>
      <c r="L186" s="137"/>
      <c r="M186" s="137"/>
      <c r="N186" s="137"/>
      <c r="O186" s="137"/>
      <c r="P186" s="137"/>
      <c r="Q186" s="160"/>
      <c r="R186" s="160"/>
      <c r="S186" s="160"/>
      <c r="T186" s="160"/>
      <c r="U186" s="160"/>
      <c r="V186" s="160"/>
      <c r="W186" s="160"/>
      <c r="X186" s="160"/>
      <c r="Y186" s="160"/>
      <c r="Z186" s="160"/>
      <c r="AA186" s="160"/>
      <c r="AB186" s="160"/>
      <c r="AC186" s="169">
        <v>20000</v>
      </c>
      <c r="AD186" s="160"/>
      <c r="AE186" s="160"/>
      <c r="AF186" s="31"/>
      <c r="AG186" s="31"/>
      <c r="AH186"/>
      <c r="AI186"/>
      <c r="AJ186"/>
      <c r="AK186"/>
      <c r="AM186"/>
    </row>
    <row r="187" spans="1:51" ht="25.15" customHeight="1" outlineLevel="1" x14ac:dyDescent="0.2">
      <c r="A187" s="10" t="s">
        <v>26</v>
      </c>
      <c r="B187" s="98" t="s">
        <v>268</v>
      </c>
      <c r="C187" s="98"/>
      <c r="D187" s="98"/>
      <c r="E187" s="98"/>
      <c r="F187" s="98"/>
      <c r="G187" s="98"/>
      <c r="H187" s="98"/>
      <c r="I187" s="98"/>
      <c r="J187" s="98"/>
      <c r="K187" s="98"/>
      <c r="L187" s="98"/>
      <c r="M187" s="98"/>
      <c r="N187" s="98" t="s">
        <v>43</v>
      </c>
      <c r="O187" s="98"/>
      <c r="P187" s="98"/>
      <c r="Q187" s="99">
        <v>2</v>
      </c>
      <c r="R187" s="95"/>
      <c r="S187" s="95"/>
      <c r="T187" s="95"/>
      <c r="U187" s="95"/>
      <c r="V187" s="95"/>
      <c r="W187" s="173">
        <v>10000</v>
      </c>
      <c r="X187" s="95"/>
      <c r="Y187" s="95"/>
      <c r="Z187" s="95"/>
      <c r="AA187" s="95"/>
      <c r="AB187" s="95"/>
      <c r="AC187" s="126">
        <v>20000</v>
      </c>
      <c r="AD187" s="95"/>
      <c r="AE187" s="95"/>
      <c r="AF187" s="31"/>
      <c r="AG187" s="31"/>
      <c r="AH187"/>
      <c r="AI187"/>
      <c r="AJ187"/>
      <c r="AK187"/>
      <c r="AM187"/>
    </row>
    <row r="188" spans="1:51" ht="25.15" customHeight="1" outlineLevel="1" x14ac:dyDescent="0.2">
      <c r="A188" s="18" t="s">
        <v>28</v>
      </c>
      <c r="B188" s="137" t="s">
        <v>269</v>
      </c>
      <c r="C188" s="137"/>
      <c r="D188" s="137"/>
      <c r="E188" s="137"/>
      <c r="F188" s="137"/>
      <c r="G188" s="137"/>
      <c r="H188" s="137"/>
      <c r="I188" s="137"/>
      <c r="J188" s="137"/>
      <c r="K188" s="137"/>
      <c r="L188" s="137"/>
      <c r="M188" s="137"/>
      <c r="N188" s="137"/>
      <c r="O188" s="137"/>
      <c r="P188" s="137"/>
      <c r="Q188" s="160"/>
      <c r="R188" s="160"/>
      <c r="S188" s="160"/>
      <c r="T188" s="160"/>
      <c r="U188" s="160"/>
      <c r="V188" s="160"/>
      <c r="W188" s="160"/>
      <c r="X188" s="160"/>
      <c r="Y188" s="160"/>
      <c r="Z188" s="160"/>
      <c r="AA188" s="160"/>
      <c r="AB188" s="160"/>
      <c r="AC188" s="169">
        <v>15193.02</v>
      </c>
      <c r="AD188" s="160"/>
      <c r="AE188" s="160"/>
      <c r="AF188" s="31"/>
      <c r="AG188" s="31"/>
      <c r="AH188"/>
      <c r="AI188"/>
      <c r="AJ188"/>
      <c r="AK188"/>
      <c r="AM188"/>
    </row>
    <row r="189" spans="1:51" ht="25.15" customHeight="1" outlineLevel="1" x14ac:dyDescent="0.2">
      <c r="A189" s="10" t="s">
        <v>29</v>
      </c>
      <c r="B189" s="98" t="s">
        <v>270</v>
      </c>
      <c r="C189" s="98"/>
      <c r="D189" s="98"/>
      <c r="E189" s="98"/>
      <c r="F189" s="98"/>
      <c r="G189" s="98"/>
      <c r="H189" s="98"/>
      <c r="I189" s="98"/>
      <c r="J189" s="98"/>
      <c r="K189" s="98"/>
      <c r="L189" s="98"/>
      <c r="M189" s="98"/>
      <c r="N189" s="98" t="s">
        <v>35</v>
      </c>
      <c r="O189" s="98"/>
      <c r="P189" s="98"/>
      <c r="Q189" s="133">
        <v>115.59</v>
      </c>
      <c r="R189" s="95"/>
      <c r="S189" s="95"/>
      <c r="T189" s="95"/>
      <c r="U189" s="95"/>
      <c r="V189" s="95"/>
      <c r="W189" s="97">
        <v>60</v>
      </c>
      <c r="X189" s="95"/>
      <c r="Y189" s="95"/>
      <c r="Z189" s="95"/>
      <c r="AA189" s="95"/>
      <c r="AB189" s="95"/>
      <c r="AC189" s="94">
        <v>6935.4</v>
      </c>
      <c r="AD189" s="95"/>
      <c r="AE189" s="95"/>
      <c r="AF189" s="31"/>
      <c r="AG189" s="31"/>
      <c r="AH189"/>
      <c r="AI189"/>
      <c r="AJ189"/>
      <c r="AK189"/>
      <c r="AM189"/>
    </row>
    <row r="190" spans="1:51" ht="25.15" customHeight="1" outlineLevel="1" x14ac:dyDescent="0.2">
      <c r="A190" s="10" t="s">
        <v>32</v>
      </c>
      <c r="B190" s="98" t="s">
        <v>271</v>
      </c>
      <c r="C190" s="98"/>
      <c r="D190" s="98"/>
      <c r="E190" s="98"/>
      <c r="F190" s="98"/>
      <c r="G190" s="98"/>
      <c r="H190" s="98"/>
      <c r="I190" s="98"/>
      <c r="J190" s="98"/>
      <c r="K190" s="98"/>
      <c r="L190" s="98"/>
      <c r="M190" s="98"/>
      <c r="N190" s="98" t="s">
        <v>35</v>
      </c>
      <c r="O190" s="98"/>
      <c r="P190" s="98"/>
      <c r="Q190" s="133">
        <v>386.47</v>
      </c>
      <c r="R190" s="95"/>
      <c r="S190" s="95"/>
      <c r="T190" s="95"/>
      <c r="U190" s="95"/>
      <c r="V190" s="95"/>
      <c r="W190" s="97">
        <v>13.217499999999999</v>
      </c>
      <c r="X190" s="95"/>
      <c r="Y190" s="95"/>
      <c r="Z190" s="95"/>
      <c r="AA190" s="95"/>
      <c r="AB190" s="95"/>
      <c r="AC190" s="94">
        <v>5108.17</v>
      </c>
      <c r="AD190" s="95"/>
      <c r="AE190" s="95"/>
      <c r="AF190" s="35"/>
      <c r="AG190" s="31"/>
      <c r="AH190"/>
      <c r="AI190"/>
      <c r="AJ190"/>
      <c r="AK190"/>
      <c r="AM190"/>
    </row>
    <row r="191" spans="1:51" ht="25.15" customHeight="1" outlineLevel="1" x14ac:dyDescent="0.2">
      <c r="A191" s="10" t="s">
        <v>33</v>
      </c>
      <c r="B191" s="98" t="s">
        <v>272</v>
      </c>
      <c r="C191" s="98"/>
      <c r="D191" s="98"/>
      <c r="E191" s="98"/>
      <c r="F191" s="98"/>
      <c r="G191" s="98"/>
      <c r="H191" s="98"/>
      <c r="I191" s="98"/>
      <c r="J191" s="98"/>
      <c r="K191" s="98"/>
      <c r="L191" s="98"/>
      <c r="M191" s="98"/>
      <c r="N191" s="98" t="s">
        <v>35</v>
      </c>
      <c r="O191" s="98"/>
      <c r="P191" s="98"/>
      <c r="Q191" s="133">
        <v>192.48</v>
      </c>
      <c r="R191" s="95"/>
      <c r="S191" s="95"/>
      <c r="T191" s="95"/>
      <c r="U191" s="95"/>
      <c r="V191" s="95"/>
      <c r="W191" s="97">
        <v>16.362500000000001</v>
      </c>
      <c r="X191" s="95"/>
      <c r="Y191" s="95"/>
      <c r="Z191" s="95"/>
      <c r="AA191" s="95"/>
      <c r="AB191" s="95"/>
      <c r="AC191" s="94">
        <v>3149.45</v>
      </c>
      <c r="AD191" s="95"/>
      <c r="AE191" s="95"/>
      <c r="AF191" s="31"/>
      <c r="AG191" s="31"/>
      <c r="AH191"/>
      <c r="AI191"/>
      <c r="AJ191"/>
      <c r="AK191"/>
      <c r="AM191"/>
    </row>
    <row r="192" spans="1:51" ht="25.15" customHeight="1" outlineLevel="1" x14ac:dyDescent="0.2">
      <c r="A192" s="10"/>
      <c r="B192" s="96" t="s">
        <v>813</v>
      </c>
      <c r="C192" s="96"/>
      <c r="D192" s="96"/>
      <c r="E192" s="96"/>
      <c r="F192" s="96"/>
      <c r="G192" s="96"/>
      <c r="H192" s="96"/>
      <c r="I192" s="96"/>
      <c r="J192" s="96"/>
      <c r="K192" s="96"/>
      <c r="L192" s="96"/>
      <c r="M192" s="96"/>
      <c r="N192" s="96"/>
      <c r="O192" s="96"/>
      <c r="P192" s="96"/>
      <c r="Q192" s="128"/>
      <c r="R192" s="129"/>
      <c r="S192" s="129"/>
      <c r="T192" s="129"/>
      <c r="U192" s="129"/>
      <c r="V192" s="129"/>
      <c r="W192" s="130"/>
      <c r="X192" s="129"/>
      <c r="Y192" s="129"/>
      <c r="Z192" s="129"/>
      <c r="AA192" s="129"/>
      <c r="AB192" s="129"/>
      <c r="AC192" s="131"/>
      <c r="AD192" s="129"/>
      <c r="AE192" s="129"/>
      <c r="AF192" s="40" t="s">
        <v>917</v>
      </c>
      <c r="AG192" s="31"/>
      <c r="AH192"/>
      <c r="AI192"/>
      <c r="AJ192"/>
      <c r="AK192"/>
      <c r="AM192"/>
    </row>
    <row r="193" spans="1:39" ht="25.15" customHeight="1" outlineLevel="1" x14ac:dyDescent="0.2">
      <c r="A193" s="10"/>
      <c r="B193" s="96" t="s">
        <v>815</v>
      </c>
      <c r="C193" s="96"/>
      <c r="D193" s="96"/>
      <c r="E193" s="96"/>
      <c r="F193" s="96"/>
      <c r="G193" s="96"/>
      <c r="H193" s="96"/>
      <c r="I193" s="96"/>
      <c r="J193" s="96"/>
      <c r="K193" s="96"/>
      <c r="L193" s="96"/>
      <c r="M193" s="96"/>
      <c r="N193" s="96"/>
      <c r="O193" s="96"/>
      <c r="P193" s="96"/>
      <c r="Q193" s="128"/>
      <c r="R193" s="129"/>
      <c r="S193" s="129"/>
      <c r="T193" s="129"/>
      <c r="U193" s="129"/>
      <c r="V193" s="129"/>
      <c r="W193" s="130"/>
      <c r="X193" s="129"/>
      <c r="Y193" s="129"/>
      <c r="Z193" s="129"/>
      <c r="AA193" s="129"/>
      <c r="AB193" s="129"/>
      <c r="AC193" s="131"/>
      <c r="AD193" s="129"/>
      <c r="AE193" s="129"/>
      <c r="AF193" s="40" t="s">
        <v>918</v>
      </c>
      <c r="AG193" s="31"/>
      <c r="AH193"/>
      <c r="AI193"/>
      <c r="AJ193"/>
      <c r="AK193"/>
      <c r="AM193"/>
    </row>
    <row r="194" spans="1:39" ht="25.15" customHeight="1" outlineLevel="1" x14ac:dyDescent="0.2">
      <c r="A194" s="18" t="s">
        <v>41</v>
      </c>
      <c r="B194" s="137" t="s">
        <v>273</v>
      </c>
      <c r="C194" s="137"/>
      <c r="D194" s="137"/>
      <c r="E194" s="137"/>
      <c r="F194" s="137"/>
      <c r="G194" s="137"/>
      <c r="H194" s="137"/>
      <c r="I194" s="137"/>
      <c r="J194" s="137"/>
      <c r="K194" s="137"/>
      <c r="L194" s="137"/>
      <c r="M194" s="137"/>
      <c r="N194" s="137"/>
      <c r="O194" s="137"/>
      <c r="P194" s="137"/>
      <c r="Q194" s="160"/>
      <c r="R194" s="160"/>
      <c r="S194" s="160"/>
      <c r="T194" s="160"/>
      <c r="U194" s="160"/>
      <c r="V194" s="160"/>
      <c r="W194" s="160"/>
      <c r="X194" s="160"/>
      <c r="Y194" s="160"/>
      <c r="Z194" s="160"/>
      <c r="AA194" s="160"/>
      <c r="AB194" s="160"/>
      <c r="AC194" s="211">
        <v>6589.52</v>
      </c>
      <c r="AD194" s="160"/>
      <c r="AE194" s="160"/>
      <c r="AF194" s="31"/>
      <c r="AG194" s="31"/>
      <c r="AH194"/>
      <c r="AI194"/>
      <c r="AJ194"/>
      <c r="AK194"/>
      <c r="AM194"/>
    </row>
    <row r="195" spans="1:39" ht="25.15" customHeight="1" outlineLevel="1" x14ac:dyDescent="0.2">
      <c r="A195" s="36">
        <v>1001003001</v>
      </c>
      <c r="B195" s="98" t="s">
        <v>274</v>
      </c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 t="s">
        <v>35</v>
      </c>
      <c r="O195" s="98"/>
      <c r="P195" s="98"/>
      <c r="Q195" s="97">
        <v>21.08</v>
      </c>
      <c r="R195" s="95"/>
      <c r="S195" s="95"/>
      <c r="T195" s="95"/>
      <c r="U195" s="95"/>
      <c r="V195" s="95"/>
      <c r="W195" s="133">
        <v>312.59570000000002</v>
      </c>
      <c r="X195" s="95"/>
      <c r="Y195" s="95"/>
      <c r="Z195" s="95"/>
      <c r="AA195" s="95"/>
      <c r="AB195" s="95"/>
      <c r="AC195" s="94">
        <v>6589.52</v>
      </c>
      <c r="AD195" s="95"/>
      <c r="AE195" s="95"/>
      <c r="AF195" s="40" t="s">
        <v>921</v>
      </c>
      <c r="AG195" s="31"/>
      <c r="AH195"/>
      <c r="AI195"/>
      <c r="AJ195"/>
      <c r="AK195"/>
      <c r="AM195"/>
    </row>
    <row r="196" spans="1:39" ht="25.15" customHeight="1" outlineLevel="1" x14ac:dyDescent="0.2">
      <c r="A196" s="18" t="s">
        <v>45</v>
      </c>
      <c r="B196" s="137" t="s">
        <v>275</v>
      </c>
      <c r="C196" s="137"/>
      <c r="D196" s="137"/>
      <c r="E196" s="137"/>
      <c r="F196" s="137"/>
      <c r="G196" s="137"/>
      <c r="H196" s="137"/>
      <c r="I196" s="137"/>
      <c r="J196" s="137"/>
      <c r="K196" s="137"/>
      <c r="L196" s="137"/>
      <c r="M196" s="137"/>
      <c r="N196" s="137"/>
      <c r="O196" s="137"/>
      <c r="P196" s="137"/>
      <c r="Q196" s="160"/>
      <c r="R196" s="160"/>
      <c r="S196" s="160"/>
      <c r="T196" s="160"/>
      <c r="U196" s="160"/>
      <c r="V196" s="160"/>
      <c r="W196" s="160"/>
      <c r="X196" s="160"/>
      <c r="Y196" s="160"/>
      <c r="Z196" s="160"/>
      <c r="AA196" s="160"/>
      <c r="AB196" s="160"/>
      <c r="AC196" s="169">
        <v>68327.22</v>
      </c>
      <c r="AD196" s="160"/>
      <c r="AE196" s="160"/>
      <c r="AF196" s="31"/>
      <c r="AG196" s="31"/>
      <c r="AH196"/>
      <c r="AI196"/>
      <c r="AJ196"/>
      <c r="AK196"/>
      <c r="AM196"/>
    </row>
    <row r="197" spans="1:39" ht="25.15" customHeight="1" outlineLevel="1" x14ac:dyDescent="0.2">
      <c r="A197" s="10" t="s">
        <v>46</v>
      </c>
      <c r="B197" s="98" t="s">
        <v>276</v>
      </c>
      <c r="C197" s="98"/>
      <c r="D197" s="98"/>
      <c r="E197" s="98"/>
      <c r="F197" s="98"/>
      <c r="G197" s="98"/>
      <c r="H197" s="98"/>
      <c r="I197" s="98"/>
      <c r="J197" s="98"/>
      <c r="K197" s="98"/>
      <c r="L197" s="98"/>
      <c r="M197" s="98"/>
      <c r="N197" s="98" t="s">
        <v>35</v>
      </c>
      <c r="O197" s="98"/>
      <c r="P197" s="98"/>
      <c r="Q197" s="132">
        <v>1138.787</v>
      </c>
      <c r="R197" s="95"/>
      <c r="S197" s="95"/>
      <c r="T197" s="95"/>
      <c r="U197" s="95"/>
      <c r="V197" s="95"/>
      <c r="W197" s="97">
        <v>60</v>
      </c>
      <c r="X197" s="95"/>
      <c r="Y197" s="95"/>
      <c r="Z197" s="95"/>
      <c r="AA197" s="95"/>
      <c r="AB197" s="95"/>
      <c r="AC197" s="126">
        <v>68327.22</v>
      </c>
      <c r="AD197" s="95"/>
      <c r="AE197" s="95"/>
      <c r="AF197" s="40" t="s">
        <v>924</v>
      </c>
      <c r="AG197" s="31"/>
      <c r="AH197"/>
      <c r="AI197"/>
      <c r="AJ197"/>
      <c r="AK197"/>
      <c r="AM197"/>
    </row>
    <row r="198" spans="1:39" ht="25.15" customHeight="1" x14ac:dyDescent="0.2">
      <c r="A198" s="19" t="s">
        <v>94</v>
      </c>
      <c r="B198" s="134" t="s">
        <v>277</v>
      </c>
      <c r="C198" s="134"/>
      <c r="D198" s="134"/>
      <c r="E198" s="134"/>
      <c r="F198" s="134"/>
      <c r="G198" s="134"/>
      <c r="H198" s="134"/>
      <c r="I198" s="134"/>
      <c r="J198" s="134"/>
      <c r="K198" s="134"/>
      <c r="L198" s="134"/>
      <c r="M198" s="134"/>
      <c r="N198" s="134"/>
      <c r="O198" s="134"/>
      <c r="P198" s="134"/>
      <c r="Q198" s="135"/>
      <c r="R198" s="135"/>
      <c r="S198" s="135"/>
      <c r="T198" s="135"/>
      <c r="U198" s="135"/>
      <c r="V198" s="135"/>
      <c r="W198" s="135"/>
      <c r="X198" s="135"/>
      <c r="Y198" s="135"/>
      <c r="Z198" s="135"/>
      <c r="AA198" s="135"/>
      <c r="AB198" s="135"/>
      <c r="AC198" s="172">
        <v>111987.72</v>
      </c>
      <c r="AD198" s="135"/>
      <c r="AE198" s="135"/>
      <c r="AF198" s="31"/>
      <c r="AG198" s="31"/>
      <c r="AH198"/>
      <c r="AI198"/>
      <c r="AJ198"/>
      <c r="AK198"/>
      <c r="AM198"/>
    </row>
    <row r="199" spans="1:39" ht="25.15" customHeight="1" outlineLevel="1" x14ac:dyDescent="0.2">
      <c r="A199" s="18" t="s">
        <v>96</v>
      </c>
      <c r="B199" s="137" t="s">
        <v>277</v>
      </c>
      <c r="C199" s="137"/>
      <c r="D199" s="137"/>
      <c r="E199" s="137"/>
      <c r="F199" s="137"/>
      <c r="G199" s="137"/>
      <c r="H199" s="137"/>
      <c r="I199" s="137"/>
      <c r="J199" s="137"/>
      <c r="K199" s="137"/>
      <c r="L199" s="137"/>
      <c r="M199" s="137"/>
      <c r="N199" s="137"/>
      <c r="O199" s="137"/>
      <c r="P199" s="137"/>
      <c r="Q199" s="160"/>
      <c r="R199" s="160"/>
      <c r="S199" s="160"/>
      <c r="T199" s="160"/>
      <c r="U199" s="160"/>
      <c r="V199" s="160"/>
      <c r="W199" s="160"/>
      <c r="X199" s="160"/>
      <c r="Y199" s="160"/>
      <c r="Z199" s="160"/>
      <c r="AA199" s="160"/>
      <c r="AB199" s="160"/>
      <c r="AC199" s="162">
        <v>111987.72</v>
      </c>
      <c r="AD199" s="160"/>
      <c r="AE199" s="160"/>
      <c r="AF199" s="31"/>
      <c r="AG199" s="31"/>
      <c r="AH199"/>
      <c r="AI199"/>
      <c r="AJ199"/>
      <c r="AK199"/>
      <c r="AM199"/>
    </row>
    <row r="200" spans="1:39" ht="25.15" customHeight="1" outlineLevel="1" x14ac:dyDescent="0.2">
      <c r="A200" s="9" t="s">
        <v>97</v>
      </c>
      <c r="B200" s="212" t="s">
        <v>278</v>
      </c>
      <c r="C200" s="212"/>
      <c r="D200" s="212"/>
      <c r="E200" s="212"/>
      <c r="F200" s="212"/>
      <c r="G200" s="212"/>
      <c r="H200" s="212"/>
      <c r="I200" s="212"/>
      <c r="J200" s="212"/>
      <c r="K200" s="212"/>
      <c r="L200" s="212"/>
      <c r="M200" s="212"/>
      <c r="N200" s="212"/>
      <c r="O200" s="212"/>
      <c r="P200" s="212"/>
      <c r="Q200" s="213"/>
      <c r="R200" s="213"/>
      <c r="S200" s="213"/>
      <c r="T200" s="213"/>
      <c r="U200" s="213"/>
      <c r="V200" s="213"/>
      <c r="W200" s="213"/>
      <c r="X200" s="213"/>
      <c r="Y200" s="213"/>
      <c r="Z200" s="213"/>
      <c r="AA200" s="213"/>
      <c r="AB200" s="213"/>
      <c r="AC200" s="214">
        <v>36221.56</v>
      </c>
      <c r="AD200" s="213"/>
      <c r="AE200" s="213"/>
      <c r="AF200" s="31"/>
      <c r="AG200" s="31"/>
      <c r="AH200"/>
      <c r="AI200"/>
      <c r="AJ200"/>
      <c r="AK200"/>
      <c r="AM200"/>
    </row>
    <row r="201" spans="1:39" ht="25.15" customHeight="1" outlineLevel="1" x14ac:dyDescent="0.2">
      <c r="A201" s="10" t="s">
        <v>99</v>
      </c>
      <c r="B201" s="98" t="s">
        <v>279</v>
      </c>
      <c r="C201" s="98"/>
      <c r="D201" s="98"/>
      <c r="E201" s="98"/>
      <c r="F201" s="98"/>
      <c r="G201" s="98"/>
      <c r="H201" s="98"/>
      <c r="I201" s="98"/>
      <c r="J201" s="98"/>
      <c r="K201" s="98"/>
      <c r="L201" s="98"/>
      <c r="M201" s="98"/>
      <c r="N201" s="98" t="s">
        <v>47</v>
      </c>
      <c r="O201" s="98"/>
      <c r="P201" s="98"/>
      <c r="Q201" s="97">
        <v>10.220000000000001</v>
      </c>
      <c r="R201" s="95"/>
      <c r="S201" s="95"/>
      <c r="T201" s="95"/>
      <c r="U201" s="95"/>
      <c r="V201" s="95"/>
      <c r="W201" s="133">
        <v>141.05240000000001</v>
      </c>
      <c r="X201" s="95"/>
      <c r="Y201" s="95"/>
      <c r="Z201" s="95"/>
      <c r="AA201" s="95"/>
      <c r="AB201" s="95"/>
      <c r="AC201" s="94">
        <v>1441.56</v>
      </c>
      <c r="AD201" s="95"/>
      <c r="AE201" s="95"/>
      <c r="AF201" s="31"/>
      <c r="AG201" s="31"/>
      <c r="AH201"/>
      <c r="AI201"/>
      <c r="AJ201"/>
      <c r="AK201"/>
      <c r="AM201"/>
    </row>
    <row r="202" spans="1:39" ht="25.15" customHeight="1" outlineLevel="1" x14ac:dyDescent="0.2">
      <c r="A202" s="10" t="s">
        <v>101</v>
      </c>
      <c r="B202" s="98" t="s">
        <v>280</v>
      </c>
      <c r="C202" s="98"/>
      <c r="D202" s="98"/>
      <c r="E202" s="98"/>
      <c r="F202" s="98"/>
      <c r="G202" s="98"/>
      <c r="H202" s="98"/>
      <c r="I202" s="98"/>
      <c r="J202" s="98"/>
      <c r="K202" s="98"/>
      <c r="L202" s="98"/>
      <c r="M202" s="98"/>
      <c r="N202" s="98" t="s">
        <v>27</v>
      </c>
      <c r="O202" s="98"/>
      <c r="P202" s="98"/>
      <c r="Q202" s="99">
        <v>1</v>
      </c>
      <c r="R202" s="95"/>
      <c r="S202" s="95"/>
      <c r="T202" s="95"/>
      <c r="U202" s="95"/>
      <c r="V202" s="95"/>
      <c r="W202" s="173">
        <v>34780</v>
      </c>
      <c r="X202" s="95"/>
      <c r="Y202" s="95"/>
      <c r="Z202" s="95"/>
      <c r="AA202" s="95"/>
      <c r="AB202" s="95"/>
      <c r="AC202" s="126">
        <v>34780</v>
      </c>
      <c r="AD202" s="95"/>
      <c r="AE202" s="95"/>
      <c r="AF202" s="31"/>
      <c r="AG202" s="31"/>
      <c r="AH202"/>
      <c r="AI202"/>
      <c r="AJ202"/>
      <c r="AK202"/>
      <c r="AM202"/>
    </row>
    <row r="203" spans="1:39" ht="25.15" customHeight="1" outlineLevel="1" x14ac:dyDescent="0.2">
      <c r="A203" s="9" t="s">
        <v>121</v>
      </c>
      <c r="B203" s="212" t="s">
        <v>281</v>
      </c>
      <c r="C203" s="212"/>
      <c r="D203" s="212"/>
      <c r="E203" s="212"/>
      <c r="F203" s="212"/>
      <c r="G203" s="212"/>
      <c r="H203" s="212"/>
      <c r="I203" s="212"/>
      <c r="J203" s="212"/>
      <c r="K203" s="212"/>
      <c r="L203" s="212"/>
      <c r="M203" s="212"/>
      <c r="N203" s="212"/>
      <c r="O203" s="212"/>
      <c r="P203" s="212"/>
      <c r="Q203" s="213"/>
      <c r="R203" s="213"/>
      <c r="S203" s="213"/>
      <c r="T203" s="213"/>
      <c r="U203" s="213"/>
      <c r="V203" s="213"/>
      <c r="W203" s="213"/>
      <c r="X203" s="213"/>
      <c r="Y203" s="213"/>
      <c r="Z203" s="213"/>
      <c r="AA203" s="213"/>
      <c r="AB203" s="213"/>
      <c r="AC203" s="214">
        <v>32992.43</v>
      </c>
      <c r="AD203" s="213"/>
      <c r="AE203" s="213"/>
      <c r="AF203" s="31"/>
      <c r="AG203" s="31"/>
      <c r="AH203"/>
      <c r="AI203"/>
      <c r="AJ203"/>
      <c r="AK203"/>
      <c r="AM203"/>
    </row>
    <row r="204" spans="1:39" ht="25.15" customHeight="1" outlineLevel="1" x14ac:dyDescent="0.2">
      <c r="A204" s="10" t="s">
        <v>123</v>
      </c>
      <c r="B204" s="98" t="s">
        <v>282</v>
      </c>
      <c r="C204" s="98"/>
      <c r="D204" s="98"/>
      <c r="E204" s="98"/>
      <c r="F204" s="98"/>
      <c r="G204" s="98"/>
      <c r="H204" s="98"/>
      <c r="I204" s="98"/>
      <c r="J204" s="98"/>
      <c r="K204" s="98"/>
      <c r="L204" s="98"/>
      <c r="M204" s="98"/>
      <c r="N204" s="98" t="s">
        <v>31</v>
      </c>
      <c r="O204" s="98"/>
      <c r="P204" s="98"/>
      <c r="Q204" s="132">
        <v>3923</v>
      </c>
      <c r="R204" s="95"/>
      <c r="S204" s="95"/>
      <c r="T204" s="95"/>
      <c r="U204" s="95"/>
      <c r="V204" s="95"/>
      <c r="W204" s="99">
        <v>8.41</v>
      </c>
      <c r="X204" s="95"/>
      <c r="Y204" s="95"/>
      <c r="Z204" s="95"/>
      <c r="AA204" s="95"/>
      <c r="AB204" s="95"/>
      <c r="AC204" s="126">
        <v>32992.43</v>
      </c>
      <c r="AD204" s="95"/>
      <c r="AE204" s="95"/>
      <c r="AF204" s="31"/>
      <c r="AG204" s="31"/>
      <c r="AH204"/>
      <c r="AI204"/>
      <c r="AJ204"/>
      <c r="AK204"/>
      <c r="AM204"/>
    </row>
    <row r="205" spans="1:39" ht="25.15" customHeight="1" outlineLevel="1" x14ac:dyDescent="0.2">
      <c r="A205" s="9" t="s">
        <v>283</v>
      </c>
      <c r="B205" s="212" t="s">
        <v>284</v>
      </c>
      <c r="C205" s="212"/>
      <c r="D205" s="212"/>
      <c r="E205" s="212"/>
      <c r="F205" s="212"/>
      <c r="G205" s="212"/>
      <c r="H205" s="212"/>
      <c r="I205" s="212"/>
      <c r="J205" s="212"/>
      <c r="K205" s="212"/>
      <c r="L205" s="212"/>
      <c r="M205" s="212"/>
      <c r="N205" s="212"/>
      <c r="O205" s="212"/>
      <c r="P205" s="212"/>
      <c r="Q205" s="213"/>
      <c r="R205" s="213"/>
      <c r="S205" s="213"/>
      <c r="T205" s="213"/>
      <c r="U205" s="213"/>
      <c r="V205" s="213"/>
      <c r="W205" s="213"/>
      <c r="X205" s="213"/>
      <c r="Y205" s="213"/>
      <c r="Z205" s="213"/>
      <c r="AA205" s="213"/>
      <c r="AB205" s="213"/>
      <c r="AC205" s="214">
        <v>16480.330000000002</v>
      </c>
      <c r="AD205" s="213"/>
      <c r="AE205" s="213"/>
      <c r="AF205" s="31"/>
      <c r="AG205" s="31"/>
      <c r="AH205"/>
      <c r="AI205"/>
      <c r="AJ205"/>
      <c r="AK205"/>
      <c r="AM205"/>
    </row>
    <row r="206" spans="1:39" ht="25.15" customHeight="1" outlineLevel="1" x14ac:dyDescent="0.2">
      <c r="A206" s="10" t="s">
        <v>285</v>
      </c>
      <c r="B206" s="98" t="s">
        <v>286</v>
      </c>
      <c r="C206" s="98"/>
      <c r="D206" s="98"/>
      <c r="E206" s="98"/>
      <c r="F206" s="98"/>
      <c r="G206" s="98"/>
      <c r="H206" s="98"/>
      <c r="I206" s="98"/>
      <c r="J206" s="98"/>
      <c r="K206" s="98"/>
      <c r="L206" s="98"/>
      <c r="M206" s="98"/>
      <c r="N206" s="98" t="s">
        <v>35</v>
      </c>
      <c r="O206" s="98"/>
      <c r="P206" s="98"/>
      <c r="Q206" s="97">
        <v>26.83</v>
      </c>
      <c r="R206" s="95"/>
      <c r="S206" s="95"/>
      <c r="T206" s="95"/>
      <c r="U206" s="95"/>
      <c r="V206" s="95"/>
      <c r="W206" s="133">
        <v>614.25</v>
      </c>
      <c r="X206" s="95"/>
      <c r="Y206" s="95"/>
      <c r="Z206" s="95"/>
      <c r="AA206" s="95"/>
      <c r="AB206" s="95"/>
      <c r="AC206" s="126">
        <v>16480.330000000002</v>
      </c>
      <c r="AD206" s="95"/>
      <c r="AE206" s="95"/>
      <c r="AF206" s="31"/>
      <c r="AG206" s="31"/>
      <c r="AH206"/>
      <c r="AI206"/>
      <c r="AJ206"/>
      <c r="AK206"/>
      <c r="AM206"/>
    </row>
    <row r="207" spans="1:39" ht="25.15" customHeight="1" outlineLevel="1" x14ac:dyDescent="0.2">
      <c r="A207" s="9" t="s">
        <v>287</v>
      </c>
      <c r="B207" s="212" t="s">
        <v>288</v>
      </c>
      <c r="C207" s="212"/>
      <c r="D207" s="212"/>
      <c r="E207" s="212"/>
      <c r="F207" s="212"/>
      <c r="G207" s="212"/>
      <c r="H207" s="212"/>
      <c r="I207" s="212"/>
      <c r="J207" s="212"/>
      <c r="K207" s="212"/>
      <c r="L207" s="212"/>
      <c r="M207" s="212"/>
      <c r="N207" s="212"/>
      <c r="O207" s="212"/>
      <c r="P207" s="212"/>
      <c r="Q207" s="213"/>
      <c r="R207" s="213"/>
      <c r="S207" s="213"/>
      <c r="T207" s="213"/>
      <c r="U207" s="213"/>
      <c r="V207" s="213"/>
      <c r="W207" s="213"/>
      <c r="X207" s="213"/>
      <c r="Y207" s="213"/>
      <c r="Z207" s="213"/>
      <c r="AA207" s="213"/>
      <c r="AB207" s="213"/>
      <c r="AC207" s="214">
        <v>26293.4</v>
      </c>
      <c r="AD207" s="213"/>
      <c r="AE207" s="213"/>
      <c r="AF207" s="31"/>
      <c r="AG207" s="31"/>
      <c r="AH207"/>
      <c r="AI207"/>
      <c r="AJ207"/>
      <c r="AK207"/>
      <c r="AM207"/>
    </row>
    <row r="208" spans="1:39" ht="25.15" customHeight="1" outlineLevel="1" x14ac:dyDescent="0.2">
      <c r="A208" s="10" t="s">
        <v>289</v>
      </c>
      <c r="B208" s="98" t="s">
        <v>290</v>
      </c>
      <c r="C208" s="98"/>
      <c r="D208" s="98"/>
      <c r="E208" s="98"/>
      <c r="F208" s="98"/>
      <c r="G208" s="98"/>
      <c r="H208" s="98"/>
      <c r="I208" s="98"/>
      <c r="J208" s="98"/>
      <c r="K208" s="98"/>
      <c r="L208" s="98"/>
      <c r="M208" s="98"/>
      <c r="N208" s="98" t="s">
        <v>35</v>
      </c>
      <c r="O208" s="98"/>
      <c r="P208" s="98"/>
      <c r="Q208" s="97">
        <v>26.83</v>
      </c>
      <c r="R208" s="95"/>
      <c r="S208" s="95"/>
      <c r="T208" s="95"/>
      <c r="U208" s="95"/>
      <c r="V208" s="95"/>
      <c r="W208" s="133">
        <v>980</v>
      </c>
      <c r="X208" s="95"/>
      <c r="Y208" s="95"/>
      <c r="Z208" s="95"/>
      <c r="AA208" s="95"/>
      <c r="AB208" s="95"/>
      <c r="AC208" s="126">
        <v>26293.4</v>
      </c>
      <c r="AD208" s="95"/>
      <c r="AE208" s="95"/>
      <c r="AF208" s="31"/>
      <c r="AG208" s="31"/>
      <c r="AH208"/>
      <c r="AI208"/>
      <c r="AJ208"/>
      <c r="AK208"/>
      <c r="AM208"/>
    </row>
    <row r="209" spans="1:39" ht="25.15" customHeight="1" outlineLevel="1" x14ac:dyDescent="0.2">
      <c r="A209" s="18" t="s">
        <v>131</v>
      </c>
      <c r="B209" s="137" t="s">
        <v>291</v>
      </c>
      <c r="C209" s="137"/>
      <c r="D209" s="137"/>
      <c r="E209" s="137"/>
      <c r="F209" s="137"/>
      <c r="G209" s="137"/>
      <c r="H209" s="137"/>
      <c r="I209" s="137"/>
      <c r="J209" s="137"/>
      <c r="K209" s="137"/>
      <c r="L209" s="137"/>
      <c r="M209" s="137"/>
      <c r="N209" s="137"/>
      <c r="O209" s="137"/>
      <c r="P209" s="137"/>
      <c r="Q209" s="160"/>
      <c r="R209" s="160"/>
      <c r="S209" s="160"/>
      <c r="T209" s="160"/>
      <c r="U209" s="160"/>
      <c r="V209" s="160"/>
      <c r="W209" s="160"/>
      <c r="X209" s="160"/>
      <c r="Y209" s="160"/>
      <c r="Z209" s="160"/>
      <c r="AA209" s="160"/>
      <c r="AB209" s="160"/>
      <c r="AC209" s="162">
        <v>988103.12</v>
      </c>
      <c r="AD209" s="160"/>
      <c r="AE209" s="160"/>
      <c r="AF209" s="31"/>
      <c r="AG209" s="31"/>
      <c r="AH209"/>
      <c r="AI209"/>
      <c r="AJ209"/>
      <c r="AK209"/>
      <c r="AM209"/>
    </row>
    <row r="210" spans="1:39" ht="25.15" customHeight="1" x14ac:dyDescent="0.2">
      <c r="A210" s="24">
        <v>3001</v>
      </c>
      <c r="B210" s="134" t="s">
        <v>30</v>
      </c>
      <c r="C210" s="134"/>
      <c r="D210" s="134"/>
      <c r="E210" s="134"/>
      <c r="F210" s="134"/>
      <c r="G210" s="134"/>
      <c r="H210" s="134"/>
      <c r="I210" s="134"/>
      <c r="J210" s="134"/>
      <c r="K210" s="134"/>
      <c r="L210" s="134"/>
      <c r="M210" s="134"/>
      <c r="N210" s="134"/>
      <c r="O210" s="134"/>
      <c r="P210" s="134"/>
      <c r="Q210" s="135"/>
      <c r="R210" s="135"/>
      <c r="S210" s="135"/>
      <c r="T210" s="135"/>
      <c r="U210" s="135"/>
      <c r="V210" s="135"/>
      <c r="W210" s="135"/>
      <c r="X210" s="135"/>
      <c r="Y210" s="135"/>
      <c r="Z210" s="135"/>
      <c r="AA210" s="135"/>
      <c r="AB210" s="135"/>
      <c r="AC210" s="172">
        <v>581588.49</v>
      </c>
      <c r="AD210" s="135"/>
      <c r="AE210" s="135"/>
      <c r="AF210" s="31"/>
      <c r="AG210" s="31"/>
      <c r="AH210"/>
      <c r="AI210"/>
      <c r="AJ210"/>
      <c r="AK210"/>
      <c r="AM210"/>
    </row>
    <row r="211" spans="1:39" ht="25.15" customHeight="1" outlineLevel="1" x14ac:dyDescent="0.2">
      <c r="A211" s="21">
        <v>3001001</v>
      </c>
      <c r="B211" s="137" t="s">
        <v>292</v>
      </c>
      <c r="C211" s="137"/>
      <c r="D211" s="137"/>
      <c r="E211" s="137"/>
      <c r="F211" s="137"/>
      <c r="G211" s="137"/>
      <c r="H211" s="137"/>
      <c r="I211" s="137"/>
      <c r="J211" s="137"/>
      <c r="K211" s="137"/>
      <c r="L211" s="137"/>
      <c r="M211" s="137"/>
      <c r="N211" s="137"/>
      <c r="O211" s="137"/>
      <c r="P211" s="137"/>
      <c r="Q211" s="160"/>
      <c r="R211" s="160"/>
      <c r="S211" s="160"/>
      <c r="T211" s="160"/>
      <c r="U211" s="160"/>
      <c r="V211" s="160"/>
      <c r="W211" s="160"/>
      <c r="X211" s="160"/>
      <c r="Y211" s="160"/>
      <c r="Z211" s="160"/>
      <c r="AA211" s="160"/>
      <c r="AB211" s="160"/>
      <c r="AC211" s="162">
        <v>134447.94</v>
      </c>
      <c r="AD211" s="160"/>
      <c r="AE211" s="160"/>
      <c r="AF211" s="31"/>
      <c r="AG211" s="31"/>
      <c r="AH211"/>
      <c r="AI211"/>
      <c r="AJ211"/>
      <c r="AK211"/>
      <c r="AM211"/>
    </row>
    <row r="212" spans="1:39" ht="25.15" customHeight="1" outlineLevel="1" x14ac:dyDescent="0.2">
      <c r="A212" s="10" t="s">
        <v>136</v>
      </c>
      <c r="B212" s="98" t="s">
        <v>293</v>
      </c>
      <c r="C212" s="98"/>
      <c r="D212" s="98"/>
      <c r="E212" s="98"/>
      <c r="F212" s="98"/>
      <c r="G212" s="98"/>
      <c r="H212" s="98"/>
      <c r="I212" s="98"/>
      <c r="J212" s="98"/>
      <c r="K212" s="98"/>
      <c r="L212" s="98"/>
      <c r="M212" s="98"/>
      <c r="N212" s="98" t="s">
        <v>39</v>
      </c>
      <c r="O212" s="98"/>
      <c r="P212" s="98"/>
      <c r="Q212" s="133">
        <v>190</v>
      </c>
      <c r="R212" s="95"/>
      <c r="S212" s="95"/>
      <c r="T212" s="95"/>
      <c r="U212" s="95"/>
      <c r="V212" s="95"/>
      <c r="W212" s="97">
        <v>42</v>
      </c>
      <c r="X212" s="95"/>
      <c r="Y212" s="95"/>
      <c r="Z212" s="95"/>
      <c r="AA212" s="95"/>
      <c r="AB212" s="95"/>
      <c r="AC212" s="94">
        <v>7980</v>
      </c>
      <c r="AD212" s="95"/>
      <c r="AE212" s="95"/>
      <c r="AF212" s="31"/>
      <c r="AG212" s="31"/>
      <c r="AH212"/>
      <c r="AI212"/>
      <c r="AJ212"/>
      <c r="AK212"/>
      <c r="AM212"/>
    </row>
    <row r="213" spans="1:39" ht="25.15" customHeight="1" outlineLevel="1" x14ac:dyDescent="0.2">
      <c r="A213" s="10" t="s">
        <v>294</v>
      </c>
      <c r="B213" s="98" t="s">
        <v>295</v>
      </c>
      <c r="C213" s="98"/>
      <c r="D213" s="98"/>
      <c r="E213" s="98"/>
      <c r="F213" s="98"/>
      <c r="G213" s="98"/>
      <c r="H213" s="98"/>
      <c r="I213" s="98"/>
      <c r="J213" s="98"/>
      <c r="K213" s="98"/>
      <c r="L213" s="98"/>
      <c r="M213" s="98"/>
      <c r="N213" s="98" t="s">
        <v>39</v>
      </c>
      <c r="O213" s="98"/>
      <c r="P213" s="98"/>
      <c r="Q213" s="133">
        <v>247</v>
      </c>
      <c r="R213" s="95"/>
      <c r="S213" s="95"/>
      <c r="T213" s="95"/>
      <c r="U213" s="95"/>
      <c r="V213" s="95"/>
      <c r="W213" s="97">
        <v>84</v>
      </c>
      <c r="X213" s="95"/>
      <c r="Y213" s="95"/>
      <c r="Z213" s="95"/>
      <c r="AA213" s="95"/>
      <c r="AB213" s="95"/>
      <c r="AC213" s="126">
        <v>20748</v>
      </c>
      <c r="AD213" s="95"/>
      <c r="AE213" s="95"/>
      <c r="AF213" s="31"/>
      <c r="AG213" s="31"/>
      <c r="AH213"/>
      <c r="AI213"/>
      <c r="AJ213"/>
      <c r="AK213"/>
      <c r="AM213"/>
    </row>
    <row r="214" spans="1:39" ht="25.15" customHeight="1" outlineLevel="1" x14ac:dyDescent="0.2">
      <c r="A214" s="10" t="s">
        <v>296</v>
      </c>
      <c r="B214" s="98" t="s">
        <v>297</v>
      </c>
      <c r="C214" s="98"/>
      <c r="D214" s="98"/>
      <c r="E214" s="98"/>
      <c r="F214" s="98"/>
      <c r="G214" s="98"/>
      <c r="H214" s="98"/>
      <c r="I214" s="98"/>
      <c r="J214" s="98"/>
      <c r="K214" s="98"/>
      <c r="L214" s="98"/>
      <c r="M214" s="98"/>
      <c r="N214" s="98" t="s">
        <v>39</v>
      </c>
      <c r="O214" s="98"/>
      <c r="P214" s="98"/>
      <c r="Q214" s="132">
        <v>1007</v>
      </c>
      <c r="R214" s="95"/>
      <c r="S214" s="95"/>
      <c r="T214" s="95"/>
      <c r="U214" s="95"/>
      <c r="V214" s="95"/>
      <c r="W214" s="97">
        <v>98</v>
      </c>
      <c r="X214" s="95"/>
      <c r="Y214" s="95"/>
      <c r="Z214" s="95"/>
      <c r="AA214" s="95"/>
      <c r="AB214" s="95"/>
      <c r="AC214" s="126">
        <v>98686</v>
      </c>
      <c r="AD214" s="95"/>
      <c r="AE214" s="95"/>
      <c r="AF214" s="31"/>
      <c r="AG214" s="31"/>
      <c r="AH214"/>
      <c r="AI214"/>
      <c r="AJ214"/>
      <c r="AK214"/>
      <c r="AM214"/>
    </row>
    <row r="215" spans="1:39" ht="25.15" customHeight="1" outlineLevel="1" x14ac:dyDescent="0.2">
      <c r="A215" s="10" t="s">
        <v>298</v>
      </c>
      <c r="B215" s="98" t="s">
        <v>299</v>
      </c>
      <c r="C215" s="98"/>
      <c r="D215" s="98"/>
      <c r="E215" s="98"/>
      <c r="F215" s="98"/>
      <c r="G215" s="98"/>
      <c r="H215" s="98"/>
      <c r="I215" s="98"/>
      <c r="J215" s="98"/>
      <c r="K215" s="98"/>
      <c r="L215" s="98"/>
      <c r="M215" s="98"/>
      <c r="N215" s="98" t="s">
        <v>158</v>
      </c>
      <c r="O215" s="98"/>
      <c r="P215" s="98"/>
      <c r="Q215" s="99">
        <v>1</v>
      </c>
      <c r="R215" s="95"/>
      <c r="S215" s="95"/>
      <c r="T215" s="95"/>
      <c r="U215" s="95"/>
      <c r="V215" s="95"/>
      <c r="W215" s="132">
        <v>7033.94</v>
      </c>
      <c r="X215" s="95"/>
      <c r="Y215" s="95"/>
      <c r="Z215" s="95"/>
      <c r="AA215" s="95"/>
      <c r="AB215" s="95"/>
      <c r="AC215" s="94">
        <v>7033.94</v>
      </c>
      <c r="AD215" s="95"/>
      <c r="AE215" s="95"/>
      <c r="AF215" s="31"/>
      <c r="AG215" s="31"/>
      <c r="AH215"/>
      <c r="AI215"/>
      <c r="AJ215"/>
      <c r="AK215"/>
      <c r="AM215"/>
    </row>
    <row r="216" spans="1:39" ht="25.15" customHeight="1" outlineLevel="1" x14ac:dyDescent="0.2">
      <c r="A216" s="10"/>
      <c r="B216" s="96" t="s">
        <v>814</v>
      </c>
      <c r="C216" s="96"/>
      <c r="D216" s="96"/>
      <c r="E216" s="96"/>
      <c r="F216" s="96"/>
      <c r="G216" s="96"/>
      <c r="H216" s="96"/>
      <c r="I216" s="96"/>
      <c r="J216" s="96"/>
      <c r="K216" s="96"/>
      <c r="L216" s="96"/>
      <c r="M216" s="96"/>
      <c r="N216" s="96"/>
      <c r="O216" s="96"/>
      <c r="P216" s="96"/>
      <c r="Q216" s="128"/>
      <c r="R216" s="129"/>
      <c r="S216" s="129"/>
      <c r="T216" s="129"/>
      <c r="U216" s="129"/>
      <c r="V216" s="129"/>
      <c r="W216" s="130"/>
      <c r="X216" s="129"/>
      <c r="Y216" s="129"/>
      <c r="Z216" s="129"/>
      <c r="AA216" s="129"/>
      <c r="AB216" s="129"/>
      <c r="AC216" s="131"/>
      <c r="AD216" s="129"/>
      <c r="AE216" s="129"/>
      <c r="AF216" s="40"/>
      <c r="AG216" s="31"/>
      <c r="AH216"/>
      <c r="AI216"/>
      <c r="AJ216"/>
      <c r="AK216"/>
      <c r="AM216"/>
    </row>
    <row r="217" spans="1:39" ht="25.15" customHeight="1" outlineLevel="1" x14ac:dyDescent="0.2">
      <c r="A217" s="10"/>
      <c r="B217" s="96" t="s">
        <v>848</v>
      </c>
      <c r="C217" s="96"/>
      <c r="D217" s="96"/>
      <c r="E217" s="96"/>
      <c r="F217" s="96"/>
      <c r="G217" s="96"/>
      <c r="H217" s="96"/>
      <c r="I217" s="96"/>
      <c r="J217" s="96"/>
      <c r="K217" s="96"/>
      <c r="L217" s="96"/>
      <c r="M217" s="96"/>
      <c r="N217" s="96"/>
      <c r="O217" s="96"/>
      <c r="P217" s="96"/>
      <c r="Q217" s="128"/>
      <c r="R217" s="129"/>
      <c r="S217" s="129"/>
      <c r="T217" s="129"/>
      <c r="U217" s="129"/>
      <c r="V217" s="129"/>
      <c r="W217" s="130"/>
      <c r="X217" s="129"/>
      <c r="Y217" s="129"/>
      <c r="Z217" s="129"/>
      <c r="AA217" s="129"/>
      <c r="AB217" s="129"/>
      <c r="AC217" s="131"/>
      <c r="AD217" s="129"/>
      <c r="AE217" s="129"/>
      <c r="AF217" s="40" t="s">
        <v>885</v>
      </c>
      <c r="AG217" s="31"/>
      <c r="AH217"/>
      <c r="AI217"/>
      <c r="AJ217"/>
      <c r="AK217"/>
      <c r="AM217"/>
    </row>
    <row r="218" spans="1:39" ht="25.15" customHeight="1" outlineLevel="1" x14ac:dyDescent="0.2">
      <c r="A218" s="13"/>
      <c r="B218" s="216" t="s">
        <v>743</v>
      </c>
      <c r="C218" s="217"/>
      <c r="D218" s="217"/>
      <c r="E218" s="217"/>
      <c r="F218" s="217"/>
      <c r="G218" s="217"/>
      <c r="H218" s="217"/>
      <c r="I218" s="217"/>
      <c r="J218" s="217"/>
      <c r="K218" s="217"/>
      <c r="L218" s="217"/>
      <c r="M218" s="217"/>
      <c r="N218" s="96" t="s">
        <v>158</v>
      </c>
      <c r="O218" s="96"/>
      <c r="P218" s="96"/>
      <c r="Q218" s="218"/>
      <c r="R218" s="215"/>
      <c r="S218" s="215"/>
      <c r="T218" s="215"/>
      <c r="U218" s="215"/>
      <c r="V218" s="215"/>
      <c r="W218" s="215"/>
      <c r="X218" s="215"/>
      <c r="Y218" s="215"/>
      <c r="Z218" s="215"/>
      <c r="AA218" s="215"/>
      <c r="AB218" s="215"/>
      <c r="AC218" s="215"/>
      <c r="AD218" s="215"/>
      <c r="AE218" s="215"/>
      <c r="AF218" s="43" t="s">
        <v>886</v>
      </c>
      <c r="AG218" s="31"/>
      <c r="AH218"/>
      <c r="AI218"/>
      <c r="AJ218"/>
      <c r="AK218"/>
      <c r="AM218"/>
    </row>
    <row r="219" spans="1:39" ht="25.15" customHeight="1" outlineLevel="1" x14ac:dyDescent="0.2">
      <c r="A219" s="13"/>
      <c r="B219" s="216" t="s">
        <v>744</v>
      </c>
      <c r="C219" s="217"/>
      <c r="D219" s="217"/>
      <c r="E219" s="217"/>
      <c r="F219" s="217"/>
      <c r="G219" s="217"/>
      <c r="H219" s="217"/>
      <c r="I219" s="217"/>
      <c r="J219" s="217"/>
      <c r="K219" s="217"/>
      <c r="L219" s="217"/>
      <c r="M219" s="217"/>
      <c r="N219" s="96" t="s">
        <v>158</v>
      </c>
      <c r="O219" s="96"/>
      <c r="P219" s="96"/>
      <c r="Q219" s="218"/>
      <c r="R219" s="215"/>
      <c r="S219" s="215"/>
      <c r="T219" s="215"/>
      <c r="U219" s="215"/>
      <c r="V219" s="215"/>
      <c r="W219" s="215"/>
      <c r="X219" s="215"/>
      <c r="Y219" s="215"/>
      <c r="Z219" s="215"/>
      <c r="AA219" s="215"/>
      <c r="AB219" s="215"/>
      <c r="AC219" s="215"/>
      <c r="AD219" s="215"/>
      <c r="AE219" s="215"/>
      <c r="AF219" s="40"/>
      <c r="AG219" s="31"/>
      <c r="AH219"/>
      <c r="AI219"/>
      <c r="AJ219"/>
      <c r="AK219"/>
      <c r="AM219"/>
    </row>
    <row r="220" spans="1:39" ht="25.15" customHeight="1" outlineLevel="1" x14ac:dyDescent="0.2">
      <c r="A220" s="13"/>
      <c r="B220" s="216" t="s">
        <v>745</v>
      </c>
      <c r="C220" s="217"/>
      <c r="D220" s="217"/>
      <c r="E220" s="217"/>
      <c r="F220" s="217"/>
      <c r="G220" s="217"/>
      <c r="H220" s="217"/>
      <c r="I220" s="217"/>
      <c r="J220" s="217"/>
      <c r="K220" s="217"/>
      <c r="L220" s="217"/>
      <c r="M220" s="217"/>
      <c r="N220" s="96" t="s">
        <v>158</v>
      </c>
      <c r="O220" s="96"/>
      <c r="P220" s="96"/>
      <c r="Q220" s="218"/>
      <c r="R220" s="215"/>
      <c r="S220" s="215"/>
      <c r="T220" s="215"/>
      <c r="U220" s="215"/>
      <c r="V220" s="215"/>
      <c r="W220" s="215"/>
      <c r="X220" s="215"/>
      <c r="Y220" s="215"/>
      <c r="Z220" s="215"/>
      <c r="AA220" s="215"/>
      <c r="AB220" s="215"/>
      <c r="AC220" s="215"/>
      <c r="AD220" s="215"/>
      <c r="AE220" s="215"/>
      <c r="AF220" s="40" t="s">
        <v>919</v>
      </c>
      <c r="AG220" s="31"/>
      <c r="AH220"/>
      <c r="AI220"/>
      <c r="AJ220"/>
      <c r="AK220"/>
      <c r="AM220"/>
    </row>
    <row r="221" spans="1:39" ht="25.15" customHeight="1" outlineLevel="1" x14ac:dyDescent="0.2">
      <c r="A221" s="18" t="s">
        <v>138</v>
      </c>
      <c r="B221" s="137" t="s">
        <v>281</v>
      </c>
      <c r="C221" s="137"/>
      <c r="D221" s="137"/>
      <c r="E221" s="137"/>
      <c r="F221" s="137"/>
      <c r="G221" s="137"/>
      <c r="H221" s="137"/>
      <c r="I221" s="137"/>
      <c r="J221" s="137"/>
      <c r="K221" s="137"/>
      <c r="L221" s="137"/>
      <c r="M221" s="137"/>
      <c r="N221" s="137"/>
      <c r="O221" s="137"/>
      <c r="P221" s="137"/>
      <c r="Q221" s="160"/>
      <c r="R221" s="160"/>
      <c r="S221" s="160"/>
      <c r="T221" s="160"/>
      <c r="U221" s="160"/>
      <c r="V221" s="160"/>
      <c r="W221" s="160"/>
      <c r="X221" s="160"/>
      <c r="Y221" s="160"/>
      <c r="Z221" s="160"/>
      <c r="AA221" s="160"/>
      <c r="AB221" s="160"/>
      <c r="AC221" s="169">
        <v>65084.15</v>
      </c>
      <c r="AD221" s="160"/>
      <c r="AE221" s="160"/>
      <c r="AF221" s="31"/>
      <c r="AG221" s="31"/>
      <c r="AH221"/>
      <c r="AI221"/>
      <c r="AJ221"/>
      <c r="AK221"/>
      <c r="AM221"/>
    </row>
    <row r="222" spans="1:39" ht="25.15" customHeight="1" outlineLevel="1" x14ac:dyDescent="0.2">
      <c r="A222" s="10" t="s">
        <v>140</v>
      </c>
      <c r="B222" s="98" t="s">
        <v>282</v>
      </c>
      <c r="C222" s="98"/>
      <c r="D222" s="98"/>
      <c r="E222" s="98"/>
      <c r="F222" s="98"/>
      <c r="G222" s="98"/>
      <c r="H222" s="98"/>
      <c r="I222" s="98"/>
      <c r="J222" s="98"/>
      <c r="K222" s="98"/>
      <c r="L222" s="98"/>
      <c r="M222" s="98"/>
      <c r="N222" s="98" t="s">
        <v>31</v>
      </c>
      <c r="O222" s="98"/>
      <c r="P222" s="98"/>
      <c r="Q222" s="132">
        <v>7738.9</v>
      </c>
      <c r="R222" s="95"/>
      <c r="S222" s="95"/>
      <c r="T222" s="95"/>
      <c r="U222" s="95"/>
      <c r="V222" s="95"/>
      <c r="W222" s="99">
        <v>8.41</v>
      </c>
      <c r="X222" s="95"/>
      <c r="Y222" s="95"/>
      <c r="Z222" s="95"/>
      <c r="AA222" s="95"/>
      <c r="AB222" s="95"/>
      <c r="AC222" s="126">
        <v>65084.15</v>
      </c>
      <c r="AD222" s="95"/>
      <c r="AE222" s="95"/>
      <c r="AF222" s="31"/>
      <c r="AG222" s="31"/>
      <c r="AH222"/>
      <c r="AI222"/>
      <c r="AJ222"/>
      <c r="AK222"/>
      <c r="AM222"/>
    </row>
    <row r="223" spans="1:39" ht="25.15" customHeight="1" outlineLevel="1" x14ac:dyDescent="0.2">
      <c r="A223" s="21">
        <v>3001003</v>
      </c>
      <c r="B223" s="137" t="s">
        <v>284</v>
      </c>
      <c r="C223" s="137"/>
      <c r="D223" s="137"/>
      <c r="E223" s="137"/>
      <c r="F223" s="137"/>
      <c r="G223" s="137"/>
      <c r="H223" s="137"/>
      <c r="I223" s="137"/>
      <c r="J223" s="137"/>
      <c r="K223" s="137"/>
      <c r="L223" s="137"/>
      <c r="M223" s="137"/>
      <c r="N223" s="137"/>
      <c r="O223" s="137"/>
      <c r="P223" s="137"/>
      <c r="Q223" s="160"/>
      <c r="R223" s="160"/>
      <c r="S223" s="160"/>
      <c r="T223" s="160"/>
      <c r="U223" s="160"/>
      <c r="V223" s="160"/>
      <c r="W223" s="160"/>
      <c r="X223" s="160"/>
      <c r="Y223" s="160"/>
      <c r="Z223" s="160"/>
      <c r="AA223" s="160"/>
      <c r="AB223" s="160"/>
      <c r="AC223" s="162">
        <v>382056.4</v>
      </c>
      <c r="AD223" s="160"/>
      <c r="AE223" s="160"/>
      <c r="AF223" s="31"/>
      <c r="AG223" s="31"/>
      <c r="AH223"/>
      <c r="AI223"/>
      <c r="AJ223"/>
      <c r="AK223"/>
      <c r="AM223"/>
    </row>
    <row r="224" spans="1:39" ht="25.15" customHeight="1" outlineLevel="1" x14ac:dyDescent="0.2">
      <c r="A224" s="10" t="s">
        <v>156</v>
      </c>
      <c r="B224" s="98" t="s">
        <v>300</v>
      </c>
      <c r="C224" s="98"/>
      <c r="D224" s="98"/>
      <c r="E224" s="98"/>
      <c r="F224" s="98"/>
      <c r="G224" s="98"/>
      <c r="H224" s="98"/>
      <c r="I224" s="98"/>
      <c r="J224" s="98"/>
      <c r="K224" s="98"/>
      <c r="L224" s="98"/>
      <c r="M224" s="98"/>
      <c r="N224" s="98" t="s">
        <v>35</v>
      </c>
      <c r="O224" s="98"/>
      <c r="P224" s="98"/>
      <c r="Q224" s="133">
        <v>682</v>
      </c>
      <c r="R224" s="95"/>
      <c r="S224" s="95"/>
      <c r="T224" s="95"/>
      <c r="U224" s="95"/>
      <c r="V224" s="95"/>
      <c r="W224" s="133">
        <v>560.20000000000005</v>
      </c>
      <c r="X224" s="95"/>
      <c r="Y224" s="95"/>
      <c r="Z224" s="95"/>
      <c r="AA224" s="95"/>
      <c r="AB224" s="95"/>
      <c r="AC224" s="101">
        <v>382056.4</v>
      </c>
      <c r="AD224" s="95"/>
      <c r="AE224" s="95"/>
      <c r="AF224" s="31"/>
      <c r="AG224" s="31"/>
      <c r="AH224"/>
      <c r="AI224"/>
      <c r="AJ224"/>
      <c r="AK224"/>
      <c r="AM224"/>
    </row>
    <row r="225" spans="1:39" ht="25.15" customHeight="1" outlineLevel="1" x14ac:dyDescent="0.2">
      <c r="A225" s="10"/>
      <c r="B225" s="143" t="s">
        <v>742</v>
      </c>
      <c r="C225" s="144"/>
      <c r="D225" s="144"/>
      <c r="E225" s="144"/>
      <c r="F225" s="144"/>
      <c r="G225" s="144"/>
      <c r="H225" s="144"/>
      <c r="I225" s="144"/>
      <c r="J225" s="144"/>
      <c r="K225" s="144"/>
      <c r="L225" s="144"/>
      <c r="M225" s="145"/>
      <c r="N225" s="98" t="s">
        <v>747</v>
      </c>
      <c r="O225" s="98"/>
      <c r="P225" s="98"/>
      <c r="Q225" s="133"/>
      <c r="R225" s="95"/>
      <c r="S225" s="95"/>
      <c r="T225" s="95"/>
      <c r="U225" s="95"/>
      <c r="V225" s="95"/>
      <c r="W225" s="133"/>
      <c r="X225" s="95"/>
      <c r="Y225" s="95"/>
      <c r="Z225" s="95"/>
      <c r="AA225" s="95"/>
      <c r="AB225" s="95"/>
      <c r="AC225" s="219"/>
      <c r="AD225" s="220"/>
      <c r="AE225" s="221"/>
      <c r="AF225" s="31"/>
      <c r="AG225" s="31"/>
      <c r="AH225"/>
      <c r="AI225"/>
      <c r="AJ225"/>
      <c r="AK225"/>
      <c r="AM225"/>
    </row>
    <row r="226" spans="1:39" ht="30.6" customHeight="1" x14ac:dyDescent="0.2">
      <c r="A226" s="29" t="s">
        <v>301</v>
      </c>
      <c r="B226" s="174" t="s">
        <v>37</v>
      </c>
      <c r="C226" s="174"/>
      <c r="D226" s="174"/>
      <c r="E226" s="174"/>
      <c r="F226" s="174"/>
      <c r="G226" s="174"/>
      <c r="H226" s="174"/>
      <c r="I226" s="174"/>
      <c r="J226" s="174"/>
      <c r="K226" s="174"/>
      <c r="L226" s="174"/>
      <c r="M226" s="174"/>
      <c r="N226" s="174"/>
      <c r="O226" s="174"/>
      <c r="P226" s="174"/>
      <c r="Q226" s="175"/>
      <c r="R226" s="175"/>
      <c r="S226" s="175"/>
      <c r="T226" s="175"/>
      <c r="U226" s="175"/>
      <c r="V226" s="175"/>
      <c r="W226" s="175"/>
      <c r="X226" s="175"/>
      <c r="Y226" s="175"/>
      <c r="Z226" s="175"/>
      <c r="AA226" s="175"/>
      <c r="AB226" s="175"/>
      <c r="AC226" s="176">
        <v>406514.63</v>
      </c>
      <c r="AD226" s="175"/>
      <c r="AE226" s="175"/>
      <c r="AF226" s="106" t="s">
        <v>875</v>
      </c>
      <c r="AG226" s="107"/>
      <c r="AH226"/>
      <c r="AI226"/>
      <c r="AJ226"/>
      <c r="AK226"/>
      <c r="AM226"/>
    </row>
    <row r="227" spans="1:39" ht="25.15" customHeight="1" outlineLevel="1" x14ac:dyDescent="0.2">
      <c r="A227" s="18" t="s">
        <v>302</v>
      </c>
      <c r="B227" s="137" t="s">
        <v>278</v>
      </c>
      <c r="C227" s="137"/>
      <c r="D227" s="137"/>
      <c r="E227" s="137"/>
      <c r="F227" s="137"/>
      <c r="G227" s="137"/>
      <c r="H227" s="137"/>
      <c r="I227" s="137"/>
      <c r="J227" s="137"/>
      <c r="K227" s="137"/>
      <c r="L227" s="137"/>
      <c r="M227" s="137"/>
      <c r="N227" s="137"/>
      <c r="O227" s="137"/>
      <c r="P227" s="137"/>
      <c r="Q227" s="160"/>
      <c r="R227" s="160"/>
      <c r="S227" s="160"/>
      <c r="T227" s="160"/>
      <c r="U227" s="160"/>
      <c r="V227" s="160"/>
      <c r="W227" s="160"/>
      <c r="X227" s="160"/>
      <c r="Y227" s="160"/>
      <c r="Z227" s="160"/>
      <c r="AA227" s="160"/>
      <c r="AB227" s="160"/>
      <c r="AC227" s="169">
        <v>18536.96</v>
      </c>
      <c r="AD227" s="160"/>
      <c r="AE227" s="160"/>
      <c r="AF227" s="31"/>
      <c r="AG227" s="31"/>
      <c r="AH227"/>
      <c r="AI227"/>
      <c r="AJ227"/>
      <c r="AK227"/>
      <c r="AM227"/>
    </row>
    <row r="228" spans="1:39" ht="25.15" customHeight="1" outlineLevel="1" x14ac:dyDescent="0.2">
      <c r="A228" s="10" t="s">
        <v>303</v>
      </c>
      <c r="B228" s="98" t="s">
        <v>304</v>
      </c>
      <c r="C228" s="98"/>
      <c r="D228" s="98"/>
      <c r="E228" s="98"/>
      <c r="F228" s="98"/>
      <c r="G228" s="98"/>
      <c r="H228" s="98"/>
      <c r="I228" s="98"/>
      <c r="J228" s="98"/>
      <c r="K228" s="98"/>
      <c r="L228" s="98"/>
      <c r="M228" s="98"/>
      <c r="N228" s="98" t="s">
        <v>47</v>
      </c>
      <c r="O228" s="98"/>
      <c r="P228" s="98"/>
      <c r="Q228" s="133">
        <v>146.15</v>
      </c>
      <c r="R228" s="95"/>
      <c r="S228" s="95"/>
      <c r="T228" s="95"/>
      <c r="U228" s="95"/>
      <c r="V228" s="95"/>
      <c r="W228" s="133">
        <v>125.0651</v>
      </c>
      <c r="X228" s="95"/>
      <c r="Y228" s="95"/>
      <c r="Z228" s="95"/>
      <c r="AA228" s="95"/>
      <c r="AB228" s="95"/>
      <c r="AC228" s="126">
        <v>18278.259999999998</v>
      </c>
      <c r="AD228" s="95"/>
      <c r="AE228" s="95"/>
      <c r="AF228" s="31"/>
      <c r="AG228" s="31"/>
      <c r="AH228"/>
      <c r="AI228"/>
      <c r="AJ228"/>
      <c r="AK228"/>
      <c r="AM228"/>
    </row>
    <row r="229" spans="1:39" ht="25.15" customHeight="1" outlineLevel="1" x14ac:dyDescent="0.2">
      <c r="A229" s="10" t="s">
        <v>305</v>
      </c>
      <c r="B229" s="98" t="s">
        <v>306</v>
      </c>
      <c r="C229" s="98"/>
      <c r="D229" s="98"/>
      <c r="E229" s="98"/>
      <c r="F229" s="98"/>
      <c r="G229" s="98"/>
      <c r="H229" s="98"/>
      <c r="I229" s="98"/>
      <c r="J229" s="98"/>
      <c r="K229" s="98"/>
      <c r="L229" s="98"/>
      <c r="M229" s="98"/>
      <c r="N229" s="98" t="s">
        <v>47</v>
      </c>
      <c r="O229" s="98"/>
      <c r="P229" s="98"/>
      <c r="Q229" s="133">
        <v>312.74</v>
      </c>
      <c r="R229" s="95"/>
      <c r="S229" s="95"/>
      <c r="T229" s="95"/>
      <c r="U229" s="95"/>
      <c r="V229" s="95"/>
      <c r="W229" s="99">
        <v>0.82720000000000005</v>
      </c>
      <c r="X229" s="95"/>
      <c r="Y229" s="95"/>
      <c r="Z229" s="95"/>
      <c r="AA229" s="95"/>
      <c r="AB229" s="95"/>
      <c r="AC229" s="182">
        <v>258.7</v>
      </c>
      <c r="AD229" s="95"/>
      <c r="AE229" s="95"/>
      <c r="AF229" s="31"/>
      <c r="AG229" s="31"/>
      <c r="AH229"/>
      <c r="AI229"/>
      <c r="AJ229"/>
      <c r="AK229"/>
      <c r="AM229"/>
    </row>
    <row r="230" spans="1:39" ht="25.15" customHeight="1" outlineLevel="1" x14ac:dyDescent="0.2">
      <c r="A230" s="18" t="s">
        <v>307</v>
      </c>
      <c r="B230" s="137" t="s">
        <v>281</v>
      </c>
      <c r="C230" s="137"/>
      <c r="D230" s="137"/>
      <c r="E230" s="137"/>
      <c r="F230" s="137"/>
      <c r="G230" s="137"/>
      <c r="H230" s="137"/>
      <c r="I230" s="137"/>
      <c r="J230" s="137"/>
      <c r="K230" s="137"/>
      <c r="L230" s="137"/>
      <c r="M230" s="137"/>
      <c r="N230" s="137"/>
      <c r="O230" s="137"/>
      <c r="P230" s="137"/>
      <c r="Q230" s="160"/>
      <c r="R230" s="160"/>
      <c r="S230" s="160"/>
      <c r="T230" s="160"/>
      <c r="U230" s="160"/>
      <c r="V230" s="160"/>
      <c r="W230" s="160"/>
      <c r="X230" s="160"/>
      <c r="Y230" s="160"/>
      <c r="Z230" s="160"/>
      <c r="AA230" s="160"/>
      <c r="AB230" s="160"/>
      <c r="AC230" s="162">
        <v>121482.84</v>
      </c>
      <c r="AD230" s="160"/>
      <c r="AE230" s="160"/>
      <c r="AF230" s="31"/>
      <c r="AG230" s="31"/>
      <c r="AH230"/>
      <c r="AI230"/>
      <c r="AJ230"/>
      <c r="AK230"/>
      <c r="AM230"/>
    </row>
    <row r="231" spans="1:39" ht="25.15" customHeight="1" outlineLevel="1" x14ac:dyDescent="0.2">
      <c r="A231" s="10" t="s">
        <v>308</v>
      </c>
      <c r="B231" s="98" t="s">
        <v>309</v>
      </c>
      <c r="C231" s="98"/>
      <c r="D231" s="98"/>
      <c r="E231" s="98"/>
      <c r="F231" s="98"/>
      <c r="G231" s="98"/>
      <c r="H231" s="98"/>
      <c r="I231" s="98"/>
      <c r="J231" s="98"/>
      <c r="K231" s="98"/>
      <c r="L231" s="98"/>
      <c r="M231" s="98"/>
      <c r="N231" s="98" t="s">
        <v>31</v>
      </c>
      <c r="O231" s="98"/>
      <c r="P231" s="98"/>
      <c r="Q231" s="133">
        <v>200</v>
      </c>
      <c r="R231" s="95"/>
      <c r="S231" s="95"/>
      <c r="T231" s="95"/>
      <c r="U231" s="95"/>
      <c r="V231" s="95"/>
      <c r="W231" s="99">
        <v>9.7995999999999999</v>
      </c>
      <c r="X231" s="95"/>
      <c r="Y231" s="95"/>
      <c r="Z231" s="95"/>
      <c r="AA231" s="95"/>
      <c r="AB231" s="95"/>
      <c r="AC231" s="94">
        <v>1959.92</v>
      </c>
      <c r="AD231" s="95"/>
      <c r="AE231" s="95"/>
      <c r="AF231" s="31"/>
      <c r="AG231" s="31"/>
      <c r="AH231"/>
      <c r="AI231"/>
      <c r="AJ231"/>
      <c r="AK231"/>
      <c r="AM231"/>
    </row>
    <row r="232" spans="1:39" ht="25.15" customHeight="1" outlineLevel="1" x14ac:dyDescent="0.2">
      <c r="A232" s="10" t="s">
        <v>310</v>
      </c>
      <c r="B232" s="98" t="s">
        <v>282</v>
      </c>
      <c r="C232" s="98"/>
      <c r="D232" s="98"/>
      <c r="E232" s="98"/>
      <c r="F232" s="98"/>
      <c r="G232" s="98"/>
      <c r="H232" s="98"/>
      <c r="I232" s="98"/>
      <c r="J232" s="98"/>
      <c r="K232" s="98"/>
      <c r="L232" s="98"/>
      <c r="M232" s="98"/>
      <c r="N232" s="98" t="s">
        <v>31</v>
      </c>
      <c r="O232" s="98"/>
      <c r="P232" s="98"/>
      <c r="Q232" s="173">
        <v>14212</v>
      </c>
      <c r="R232" s="95"/>
      <c r="S232" s="95"/>
      <c r="T232" s="95"/>
      <c r="U232" s="95"/>
      <c r="V232" s="95"/>
      <c r="W232" s="99">
        <v>8.41</v>
      </c>
      <c r="X232" s="95"/>
      <c r="Y232" s="95"/>
      <c r="Z232" s="95"/>
      <c r="AA232" s="95"/>
      <c r="AB232" s="95"/>
      <c r="AC232" s="101">
        <v>119522.92</v>
      </c>
      <c r="AD232" s="95"/>
      <c r="AE232" s="95"/>
      <c r="AF232" s="31"/>
      <c r="AG232" s="31"/>
      <c r="AH232"/>
      <c r="AI232"/>
      <c r="AJ232"/>
      <c r="AK232"/>
      <c r="AM232"/>
    </row>
    <row r="233" spans="1:39" ht="25.15" customHeight="1" outlineLevel="1" x14ac:dyDescent="0.2">
      <c r="A233" s="18" t="s">
        <v>311</v>
      </c>
      <c r="B233" s="137" t="s">
        <v>284</v>
      </c>
      <c r="C233" s="137"/>
      <c r="D233" s="137"/>
      <c r="E233" s="137"/>
      <c r="F233" s="137"/>
      <c r="G233" s="137"/>
      <c r="H233" s="137"/>
      <c r="I233" s="137"/>
      <c r="J233" s="137"/>
      <c r="K233" s="137"/>
      <c r="L233" s="137"/>
      <c r="M233" s="137"/>
      <c r="N233" s="137"/>
      <c r="O233" s="137"/>
      <c r="P233" s="137"/>
      <c r="Q233" s="160"/>
      <c r="R233" s="160"/>
      <c r="S233" s="160"/>
      <c r="T233" s="160"/>
      <c r="U233" s="160"/>
      <c r="V233" s="160"/>
      <c r="W233" s="160"/>
      <c r="X233" s="160"/>
      <c r="Y233" s="160"/>
      <c r="Z233" s="160"/>
      <c r="AA233" s="160"/>
      <c r="AB233" s="160"/>
      <c r="AC233" s="162">
        <v>102678.03</v>
      </c>
      <c r="AD233" s="160"/>
      <c r="AE233" s="160"/>
      <c r="AF233" s="31"/>
      <c r="AG233" s="31"/>
      <c r="AH233"/>
      <c r="AI233"/>
      <c r="AJ233"/>
      <c r="AK233"/>
      <c r="AM233"/>
    </row>
    <row r="234" spans="1:39" ht="25.15" customHeight="1" outlineLevel="1" x14ac:dyDescent="0.2">
      <c r="A234" s="10" t="s">
        <v>312</v>
      </c>
      <c r="B234" s="98" t="s">
        <v>286</v>
      </c>
      <c r="C234" s="98"/>
      <c r="D234" s="98"/>
      <c r="E234" s="98"/>
      <c r="F234" s="98"/>
      <c r="G234" s="98"/>
      <c r="H234" s="98"/>
      <c r="I234" s="98"/>
      <c r="J234" s="98"/>
      <c r="K234" s="98"/>
      <c r="L234" s="98"/>
      <c r="M234" s="98"/>
      <c r="N234" s="274" t="s">
        <v>35</v>
      </c>
      <c r="O234" s="274"/>
      <c r="P234" s="274"/>
      <c r="Q234" s="164">
        <v>167.16</v>
      </c>
      <c r="R234" s="165"/>
      <c r="S234" s="165"/>
      <c r="T234" s="165"/>
      <c r="U234" s="165"/>
      <c r="V234" s="165"/>
      <c r="W234" s="133">
        <v>614.25</v>
      </c>
      <c r="X234" s="95"/>
      <c r="Y234" s="95"/>
      <c r="Z234" s="95"/>
      <c r="AA234" s="95"/>
      <c r="AB234" s="95"/>
      <c r="AC234" s="101">
        <v>102678.03</v>
      </c>
      <c r="AD234" s="95"/>
      <c r="AE234" s="95"/>
      <c r="AF234" s="31"/>
      <c r="AG234" s="31"/>
      <c r="AH234"/>
      <c r="AI234"/>
      <c r="AJ234"/>
      <c r="AK234"/>
      <c r="AM234"/>
    </row>
    <row r="235" spans="1:39" ht="25.15" customHeight="1" outlineLevel="1" x14ac:dyDescent="0.2">
      <c r="A235" s="10"/>
      <c r="B235" s="120" t="s">
        <v>746</v>
      </c>
      <c r="C235" s="121"/>
      <c r="D235" s="121"/>
      <c r="E235" s="121"/>
      <c r="F235" s="121"/>
      <c r="G235" s="121"/>
      <c r="H235" s="121"/>
      <c r="I235" s="121"/>
      <c r="J235" s="121"/>
      <c r="K235" s="121"/>
      <c r="L235" s="121"/>
      <c r="M235" s="122"/>
      <c r="N235" s="222" t="s">
        <v>747</v>
      </c>
      <c r="O235" s="222"/>
      <c r="P235" s="222"/>
      <c r="Q235" s="128"/>
      <c r="R235" s="129"/>
      <c r="S235" s="129"/>
      <c r="T235" s="129"/>
      <c r="U235" s="129"/>
      <c r="V235" s="129"/>
      <c r="W235" s="128"/>
      <c r="X235" s="129"/>
      <c r="Y235" s="129"/>
      <c r="Z235" s="129"/>
      <c r="AA235" s="129"/>
      <c r="AB235" s="129"/>
      <c r="AC235" s="157"/>
      <c r="AD235" s="129"/>
      <c r="AE235" s="129"/>
      <c r="AF235" s="40" t="s">
        <v>920</v>
      </c>
      <c r="AG235" s="31"/>
      <c r="AH235"/>
      <c r="AI235"/>
      <c r="AJ235"/>
      <c r="AK235"/>
      <c r="AM235"/>
    </row>
    <row r="236" spans="1:39" ht="25.15" customHeight="1" outlineLevel="1" x14ac:dyDescent="0.2">
      <c r="A236" s="10"/>
      <c r="B236" s="120" t="s">
        <v>748</v>
      </c>
      <c r="C236" s="121"/>
      <c r="D236" s="121"/>
      <c r="E236" s="121"/>
      <c r="F236" s="121"/>
      <c r="G236" s="121"/>
      <c r="H236" s="121"/>
      <c r="I236" s="121"/>
      <c r="J236" s="121"/>
      <c r="K236" s="121"/>
      <c r="L236" s="121"/>
      <c r="M236" s="122"/>
      <c r="N236" s="159" t="s">
        <v>747</v>
      </c>
      <c r="O236" s="159"/>
      <c r="P236" s="159"/>
      <c r="Q236" s="128"/>
      <c r="R236" s="129"/>
      <c r="S236" s="129"/>
      <c r="T236" s="129"/>
      <c r="U236" s="129"/>
      <c r="V236" s="129"/>
      <c r="W236" s="128"/>
      <c r="X236" s="129"/>
      <c r="Y236" s="129"/>
      <c r="Z236" s="129"/>
      <c r="AA236" s="129"/>
      <c r="AB236" s="129"/>
      <c r="AC236" s="157"/>
      <c r="AD236" s="129"/>
      <c r="AE236" s="129"/>
      <c r="AF236" s="40" t="s">
        <v>887</v>
      </c>
      <c r="AG236" s="31"/>
      <c r="AH236"/>
      <c r="AI236"/>
      <c r="AJ236"/>
      <c r="AK236"/>
      <c r="AM236"/>
    </row>
    <row r="237" spans="1:39" ht="25.15" customHeight="1" outlineLevel="1" x14ac:dyDescent="0.2">
      <c r="A237" s="10"/>
      <c r="B237" s="120" t="s">
        <v>749</v>
      </c>
      <c r="C237" s="121"/>
      <c r="D237" s="121"/>
      <c r="E237" s="121"/>
      <c r="F237" s="121"/>
      <c r="G237" s="121"/>
      <c r="H237" s="121"/>
      <c r="I237" s="121"/>
      <c r="J237" s="121"/>
      <c r="K237" s="121"/>
      <c r="L237" s="121"/>
      <c r="M237" s="122"/>
      <c r="N237" s="159" t="s">
        <v>27</v>
      </c>
      <c r="O237" s="159"/>
      <c r="P237" s="159"/>
      <c r="Q237" s="128"/>
      <c r="R237" s="129"/>
      <c r="S237" s="129"/>
      <c r="T237" s="129"/>
      <c r="U237" s="129"/>
      <c r="V237" s="129"/>
      <c r="W237" s="128"/>
      <c r="X237" s="129"/>
      <c r="Y237" s="129"/>
      <c r="Z237" s="129"/>
      <c r="AA237" s="129"/>
      <c r="AB237" s="129"/>
      <c r="AC237" s="157"/>
      <c r="AD237" s="129"/>
      <c r="AE237" s="129"/>
      <c r="AF237" s="31" t="s">
        <v>891</v>
      </c>
      <c r="AG237" s="31"/>
      <c r="AH237"/>
      <c r="AI237"/>
      <c r="AJ237"/>
      <c r="AK237"/>
      <c r="AM237"/>
    </row>
    <row r="238" spans="1:39" ht="25.15" customHeight="1" outlineLevel="1" x14ac:dyDescent="0.2">
      <c r="A238" s="10"/>
      <c r="B238" s="120" t="s">
        <v>751</v>
      </c>
      <c r="C238" s="121"/>
      <c r="D238" s="121"/>
      <c r="E238" s="121"/>
      <c r="F238" s="121"/>
      <c r="G238" s="121"/>
      <c r="H238" s="121"/>
      <c r="I238" s="121"/>
      <c r="J238" s="121"/>
      <c r="K238" s="121"/>
      <c r="L238" s="121"/>
      <c r="M238" s="122"/>
      <c r="N238" s="159" t="s">
        <v>27</v>
      </c>
      <c r="O238" s="159"/>
      <c r="P238" s="159"/>
      <c r="Q238" s="128"/>
      <c r="R238" s="129"/>
      <c r="S238" s="129"/>
      <c r="T238" s="129"/>
      <c r="U238" s="129"/>
      <c r="V238" s="129"/>
      <c r="W238" s="128"/>
      <c r="X238" s="129"/>
      <c r="Y238" s="129"/>
      <c r="Z238" s="129"/>
      <c r="AA238" s="129"/>
      <c r="AB238" s="129"/>
      <c r="AC238" s="157"/>
      <c r="AD238" s="129"/>
      <c r="AE238" s="129"/>
      <c r="AF238" s="31" t="s">
        <v>922</v>
      </c>
      <c r="AG238" s="31"/>
      <c r="AH238"/>
      <c r="AI238"/>
      <c r="AJ238"/>
      <c r="AK238"/>
      <c r="AM238"/>
    </row>
    <row r="239" spans="1:39" ht="25.15" customHeight="1" outlineLevel="1" x14ac:dyDescent="0.2">
      <c r="A239" s="10"/>
      <c r="B239" s="120" t="s">
        <v>752</v>
      </c>
      <c r="C239" s="121"/>
      <c r="D239" s="121"/>
      <c r="E239" s="121"/>
      <c r="F239" s="121"/>
      <c r="G239" s="121"/>
      <c r="H239" s="121"/>
      <c r="I239" s="121"/>
      <c r="J239" s="121"/>
      <c r="K239" s="121"/>
      <c r="L239" s="121"/>
      <c r="M239" s="122"/>
      <c r="N239" s="159" t="s">
        <v>27</v>
      </c>
      <c r="O239" s="159"/>
      <c r="P239" s="159"/>
      <c r="Q239" s="128"/>
      <c r="R239" s="129"/>
      <c r="S239" s="129"/>
      <c r="T239" s="129"/>
      <c r="U239" s="129"/>
      <c r="V239" s="129"/>
      <c r="W239" s="128"/>
      <c r="X239" s="129"/>
      <c r="Y239" s="129"/>
      <c r="Z239" s="129"/>
      <c r="AA239" s="129"/>
      <c r="AB239" s="129"/>
      <c r="AC239" s="128"/>
      <c r="AD239" s="129"/>
      <c r="AE239" s="129"/>
      <c r="AF239" s="31" t="s">
        <v>886</v>
      </c>
      <c r="AG239" s="31"/>
      <c r="AH239"/>
      <c r="AI239"/>
      <c r="AJ239"/>
      <c r="AK239"/>
      <c r="AM239"/>
    </row>
    <row r="240" spans="1:39" ht="25.15" customHeight="1" outlineLevel="1" x14ac:dyDescent="0.2">
      <c r="A240" s="10"/>
      <c r="B240" s="120" t="s">
        <v>850</v>
      </c>
      <c r="C240" s="121"/>
      <c r="D240" s="121"/>
      <c r="E240" s="121"/>
      <c r="F240" s="121"/>
      <c r="G240" s="121"/>
      <c r="H240" s="121"/>
      <c r="I240" s="121"/>
      <c r="J240" s="121"/>
      <c r="K240" s="121"/>
      <c r="L240" s="121"/>
      <c r="M240" s="122"/>
      <c r="N240" s="159" t="s">
        <v>851</v>
      </c>
      <c r="O240" s="159"/>
      <c r="P240" s="159"/>
      <c r="Q240" s="128"/>
      <c r="R240" s="129"/>
      <c r="S240" s="129"/>
      <c r="T240" s="129"/>
      <c r="U240" s="129"/>
      <c r="V240" s="129"/>
      <c r="W240" s="128"/>
      <c r="X240" s="129"/>
      <c r="Y240" s="129"/>
      <c r="Z240" s="129"/>
      <c r="AA240" s="129"/>
      <c r="AB240" s="129"/>
      <c r="AC240" s="128"/>
      <c r="AD240" s="129"/>
      <c r="AE240" s="129"/>
      <c r="AF240" s="40" t="s">
        <v>888</v>
      </c>
      <c r="AG240" s="31"/>
      <c r="AH240"/>
      <c r="AI240"/>
      <c r="AJ240"/>
      <c r="AK240"/>
      <c r="AM240"/>
    </row>
    <row r="241" spans="1:39" ht="25.15" customHeight="1" outlineLevel="1" x14ac:dyDescent="0.2">
      <c r="A241" s="10"/>
      <c r="B241" s="96" t="s">
        <v>816</v>
      </c>
      <c r="C241" s="96"/>
      <c r="D241" s="96"/>
      <c r="E241" s="96"/>
      <c r="F241" s="96"/>
      <c r="G241" s="96"/>
      <c r="H241" s="96"/>
      <c r="I241" s="96"/>
      <c r="J241" s="96"/>
      <c r="K241" s="96"/>
      <c r="L241" s="96"/>
      <c r="M241" s="96"/>
      <c r="N241" s="159" t="s">
        <v>747</v>
      </c>
      <c r="O241" s="159"/>
      <c r="P241" s="159"/>
      <c r="Q241" s="128"/>
      <c r="R241" s="129"/>
      <c r="S241" s="129"/>
      <c r="T241" s="129"/>
      <c r="U241" s="129"/>
      <c r="V241" s="129"/>
      <c r="W241" s="130"/>
      <c r="X241" s="129"/>
      <c r="Y241" s="129"/>
      <c r="Z241" s="129"/>
      <c r="AA241" s="129"/>
      <c r="AB241" s="129"/>
      <c r="AC241" s="131"/>
      <c r="AD241" s="129"/>
      <c r="AE241" s="129"/>
      <c r="AF241" s="31" t="s">
        <v>889</v>
      </c>
      <c r="AG241" s="31"/>
      <c r="AH241"/>
      <c r="AI241"/>
      <c r="AJ241"/>
      <c r="AK241"/>
      <c r="AM241"/>
    </row>
    <row r="242" spans="1:39" ht="25.15" customHeight="1" outlineLevel="1" x14ac:dyDescent="0.2">
      <c r="A242" s="10"/>
      <c r="B242" s="96" t="s">
        <v>849</v>
      </c>
      <c r="C242" s="96"/>
      <c r="D242" s="96"/>
      <c r="E242" s="96"/>
      <c r="F242" s="96"/>
      <c r="G242" s="96"/>
      <c r="H242" s="96"/>
      <c r="I242" s="96"/>
      <c r="J242" s="96"/>
      <c r="K242" s="96"/>
      <c r="L242" s="96"/>
      <c r="M242" s="96"/>
      <c r="N242" s="159" t="s">
        <v>747</v>
      </c>
      <c r="O242" s="159"/>
      <c r="P242" s="159"/>
      <c r="Q242" s="128"/>
      <c r="R242" s="129"/>
      <c r="S242" s="129"/>
      <c r="T242" s="129"/>
      <c r="U242" s="129"/>
      <c r="V242" s="129"/>
      <c r="W242" s="130"/>
      <c r="X242" s="129"/>
      <c r="Y242" s="129"/>
      <c r="Z242" s="129"/>
      <c r="AA242" s="129"/>
      <c r="AB242" s="129"/>
      <c r="AC242" s="131"/>
      <c r="AD242" s="129"/>
      <c r="AE242" s="129"/>
      <c r="AF242" s="40" t="s">
        <v>890</v>
      </c>
      <c r="AG242" s="31"/>
      <c r="AH242"/>
      <c r="AI242"/>
      <c r="AJ242"/>
      <c r="AK242"/>
      <c r="AM242"/>
    </row>
    <row r="243" spans="1:39" ht="25.15" customHeight="1" outlineLevel="1" x14ac:dyDescent="0.2">
      <c r="A243" s="18" t="s">
        <v>313</v>
      </c>
      <c r="B243" s="137" t="s">
        <v>750</v>
      </c>
      <c r="C243" s="137"/>
      <c r="D243" s="137"/>
      <c r="E243" s="137"/>
      <c r="F243" s="137"/>
      <c r="G243" s="137"/>
      <c r="H243" s="137"/>
      <c r="I243" s="137"/>
      <c r="J243" s="137"/>
      <c r="K243" s="137"/>
      <c r="L243" s="137"/>
      <c r="M243" s="137"/>
      <c r="N243" s="137"/>
      <c r="O243" s="137"/>
      <c r="P243" s="137"/>
      <c r="Q243" s="160"/>
      <c r="R243" s="160"/>
      <c r="S243" s="160"/>
      <c r="T243" s="160"/>
      <c r="U243" s="160"/>
      <c r="V243" s="160"/>
      <c r="W243" s="160"/>
      <c r="X243" s="160"/>
      <c r="Y243" s="160"/>
      <c r="Z243" s="160"/>
      <c r="AA243" s="160"/>
      <c r="AB243" s="160"/>
      <c r="AC243" s="162">
        <v>163816.79999999999</v>
      </c>
      <c r="AD243" s="160"/>
      <c r="AE243" s="160"/>
      <c r="AF243" s="31"/>
      <c r="AG243" s="31"/>
      <c r="AH243"/>
      <c r="AI243"/>
      <c r="AJ243"/>
      <c r="AK243"/>
      <c r="AM243"/>
    </row>
    <row r="244" spans="1:39" ht="25.15" customHeight="1" outlineLevel="1" x14ac:dyDescent="0.2">
      <c r="A244" s="25" t="s">
        <v>314</v>
      </c>
      <c r="B244" s="163" t="s">
        <v>290</v>
      </c>
      <c r="C244" s="163"/>
      <c r="D244" s="163"/>
      <c r="E244" s="163"/>
      <c r="F244" s="163"/>
      <c r="G244" s="163"/>
      <c r="H244" s="163"/>
      <c r="I244" s="163"/>
      <c r="J244" s="163"/>
      <c r="K244" s="163"/>
      <c r="L244" s="163"/>
      <c r="M244" s="163"/>
      <c r="N244" s="163" t="s">
        <v>35</v>
      </c>
      <c r="O244" s="163"/>
      <c r="P244" s="163"/>
      <c r="Q244" s="164">
        <v>167.16</v>
      </c>
      <c r="R244" s="165"/>
      <c r="S244" s="165"/>
      <c r="T244" s="165"/>
      <c r="U244" s="165"/>
      <c r="V244" s="165"/>
      <c r="W244" s="166">
        <v>980</v>
      </c>
      <c r="X244" s="167"/>
      <c r="Y244" s="167"/>
      <c r="Z244" s="167"/>
      <c r="AA244" s="167"/>
      <c r="AB244" s="167"/>
      <c r="AC244" s="168">
        <v>163816.79999999999</v>
      </c>
      <c r="AD244" s="167"/>
      <c r="AE244" s="167"/>
      <c r="AF244" s="31"/>
      <c r="AG244" s="31"/>
      <c r="AH244"/>
      <c r="AI244"/>
      <c r="AJ244"/>
      <c r="AK244"/>
      <c r="AM244"/>
    </row>
    <row r="245" spans="1:39" ht="25.15" customHeight="1" x14ac:dyDescent="0.2">
      <c r="A245" s="19" t="s">
        <v>159</v>
      </c>
      <c r="B245" s="134" t="s">
        <v>315</v>
      </c>
      <c r="C245" s="134"/>
      <c r="D245" s="134"/>
      <c r="E245" s="134"/>
      <c r="F245" s="134"/>
      <c r="G245" s="134"/>
      <c r="H245" s="134"/>
      <c r="I245" s="134"/>
      <c r="J245" s="134"/>
      <c r="K245" s="134"/>
      <c r="L245" s="134"/>
      <c r="M245" s="134"/>
      <c r="N245" s="134"/>
      <c r="O245" s="134"/>
      <c r="P245" s="134"/>
      <c r="Q245" s="135"/>
      <c r="R245" s="135"/>
      <c r="S245" s="135"/>
      <c r="T245" s="135"/>
      <c r="U245" s="135"/>
      <c r="V245" s="135"/>
      <c r="W245" s="135"/>
      <c r="X245" s="135"/>
      <c r="Y245" s="135"/>
      <c r="Z245" s="135"/>
      <c r="AA245" s="135"/>
      <c r="AB245" s="135"/>
      <c r="AC245" s="158">
        <v>2961640.34</v>
      </c>
      <c r="AD245" s="135"/>
      <c r="AE245" s="135"/>
      <c r="AF245" s="31"/>
      <c r="AG245" s="31"/>
      <c r="AH245"/>
      <c r="AI245"/>
      <c r="AJ245"/>
      <c r="AK245"/>
      <c r="AM245"/>
    </row>
    <row r="246" spans="1:39" ht="25.15" customHeight="1" outlineLevel="1" x14ac:dyDescent="0.2">
      <c r="A246" s="18" t="s">
        <v>161</v>
      </c>
      <c r="B246" s="137" t="s">
        <v>315</v>
      </c>
      <c r="C246" s="137"/>
      <c r="D246" s="137"/>
      <c r="E246" s="137"/>
      <c r="F246" s="137"/>
      <c r="G246" s="137"/>
      <c r="H246" s="137"/>
      <c r="I246" s="137"/>
      <c r="J246" s="137"/>
      <c r="K246" s="137"/>
      <c r="L246" s="137"/>
      <c r="M246" s="137"/>
      <c r="N246" s="137"/>
      <c r="O246" s="137"/>
      <c r="P246" s="137"/>
      <c r="Q246" s="160"/>
      <c r="R246" s="160"/>
      <c r="S246" s="160"/>
      <c r="T246" s="160"/>
      <c r="U246" s="160"/>
      <c r="V246" s="160"/>
      <c r="W246" s="160"/>
      <c r="X246" s="160"/>
      <c r="Y246" s="160"/>
      <c r="Z246" s="160"/>
      <c r="AA246" s="160"/>
      <c r="AB246" s="160"/>
      <c r="AC246" s="161">
        <v>2961640.34</v>
      </c>
      <c r="AD246" s="160"/>
      <c r="AE246" s="160"/>
      <c r="AF246" s="31"/>
      <c r="AG246" s="31"/>
      <c r="AH246"/>
      <c r="AI246"/>
      <c r="AJ246"/>
      <c r="AK246"/>
      <c r="AM246"/>
    </row>
    <row r="247" spans="1:39" ht="25.15" customHeight="1" outlineLevel="2" x14ac:dyDescent="0.2">
      <c r="A247" s="18" t="s">
        <v>162</v>
      </c>
      <c r="B247" s="137" t="s">
        <v>278</v>
      </c>
      <c r="C247" s="137"/>
      <c r="D247" s="137"/>
      <c r="E247" s="137"/>
      <c r="F247" s="137"/>
      <c r="G247" s="137"/>
      <c r="H247" s="137"/>
      <c r="I247" s="137"/>
      <c r="J247" s="137"/>
      <c r="K247" s="137"/>
      <c r="L247" s="137"/>
      <c r="M247" s="137"/>
      <c r="N247" s="137"/>
      <c r="O247" s="137"/>
      <c r="P247" s="137"/>
      <c r="Q247" s="160"/>
      <c r="R247" s="160"/>
      <c r="S247" s="160"/>
      <c r="T247" s="160"/>
      <c r="U247" s="160"/>
      <c r="V247" s="160"/>
      <c r="W247" s="160"/>
      <c r="X247" s="160"/>
      <c r="Y247" s="160"/>
      <c r="Z247" s="160"/>
      <c r="AA247" s="160"/>
      <c r="AB247" s="160"/>
      <c r="AC247" s="162">
        <v>117444.93</v>
      </c>
      <c r="AD247" s="160"/>
      <c r="AE247" s="160"/>
      <c r="AF247" s="31"/>
      <c r="AG247" s="31"/>
      <c r="AH247"/>
      <c r="AI247"/>
      <c r="AJ247"/>
      <c r="AK247"/>
      <c r="AM247"/>
    </row>
    <row r="248" spans="1:39" ht="25.15" customHeight="1" outlineLevel="2" x14ac:dyDescent="0.2">
      <c r="A248" s="10" t="s">
        <v>164</v>
      </c>
      <c r="B248" s="98" t="s">
        <v>316</v>
      </c>
      <c r="C248" s="98"/>
      <c r="D248" s="98"/>
      <c r="E248" s="98"/>
      <c r="F248" s="98"/>
      <c r="G248" s="98"/>
      <c r="H248" s="98"/>
      <c r="I248" s="98"/>
      <c r="J248" s="98"/>
      <c r="K248" s="98"/>
      <c r="L248" s="98"/>
      <c r="M248" s="98"/>
      <c r="N248" s="98" t="s">
        <v>47</v>
      </c>
      <c r="O248" s="98"/>
      <c r="P248" s="98"/>
      <c r="Q248" s="133">
        <v>954.78</v>
      </c>
      <c r="R248" s="95"/>
      <c r="S248" s="95"/>
      <c r="T248" s="95"/>
      <c r="U248" s="95"/>
      <c r="V248" s="95"/>
      <c r="W248" s="133">
        <v>114.4576</v>
      </c>
      <c r="X248" s="95"/>
      <c r="Y248" s="95"/>
      <c r="Z248" s="95"/>
      <c r="AA248" s="95"/>
      <c r="AB248" s="95"/>
      <c r="AC248" s="101">
        <v>109281.83</v>
      </c>
      <c r="AD248" s="95"/>
      <c r="AE248" s="95"/>
      <c r="AF248" s="31"/>
      <c r="AG248" s="31"/>
      <c r="AH248"/>
      <c r="AI248"/>
      <c r="AJ248"/>
      <c r="AK248"/>
      <c r="AM248"/>
    </row>
    <row r="249" spans="1:39" ht="25.15" customHeight="1" outlineLevel="2" x14ac:dyDescent="0.2">
      <c r="A249" s="10" t="s">
        <v>166</v>
      </c>
      <c r="B249" s="98" t="s">
        <v>306</v>
      </c>
      <c r="C249" s="98"/>
      <c r="D249" s="98"/>
      <c r="E249" s="98"/>
      <c r="F249" s="98"/>
      <c r="G249" s="98"/>
      <c r="H249" s="98"/>
      <c r="I249" s="98"/>
      <c r="J249" s="98"/>
      <c r="K249" s="98"/>
      <c r="L249" s="98"/>
      <c r="M249" s="98"/>
      <c r="N249" s="98" t="s">
        <v>47</v>
      </c>
      <c r="O249" s="98"/>
      <c r="P249" s="98"/>
      <c r="Q249" s="132">
        <v>9868.35</v>
      </c>
      <c r="R249" s="95"/>
      <c r="S249" s="95"/>
      <c r="T249" s="95"/>
      <c r="U249" s="95"/>
      <c r="V249" s="95"/>
      <c r="W249" s="99">
        <v>0.82720000000000005</v>
      </c>
      <c r="X249" s="95"/>
      <c r="Y249" s="95"/>
      <c r="Z249" s="95"/>
      <c r="AA249" s="95"/>
      <c r="AB249" s="95"/>
      <c r="AC249" s="94">
        <v>8163.1</v>
      </c>
      <c r="AD249" s="95"/>
      <c r="AE249" s="95"/>
      <c r="AF249" s="31"/>
      <c r="AG249" s="31"/>
      <c r="AH249"/>
      <c r="AI249"/>
      <c r="AJ249"/>
      <c r="AK249"/>
      <c r="AM249"/>
    </row>
    <row r="250" spans="1:39" ht="25.15" customHeight="1" outlineLevel="2" x14ac:dyDescent="0.2">
      <c r="A250" s="13"/>
      <c r="B250" s="96" t="s">
        <v>749</v>
      </c>
      <c r="C250" s="96"/>
      <c r="D250" s="96"/>
      <c r="E250" s="96"/>
      <c r="F250" s="96"/>
      <c r="G250" s="96"/>
      <c r="H250" s="96"/>
      <c r="I250" s="96"/>
      <c r="J250" s="96"/>
      <c r="K250" s="96"/>
      <c r="L250" s="96"/>
      <c r="M250" s="96"/>
      <c r="N250" s="96" t="s">
        <v>31</v>
      </c>
      <c r="O250" s="96"/>
      <c r="P250" s="96"/>
      <c r="Q250" s="155"/>
      <c r="R250" s="129"/>
      <c r="S250" s="129"/>
      <c r="T250" s="129"/>
      <c r="U250" s="129"/>
      <c r="V250" s="129"/>
      <c r="W250" s="156"/>
      <c r="X250" s="129"/>
      <c r="Y250" s="129"/>
      <c r="Z250" s="129"/>
      <c r="AA250" s="129"/>
      <c r="AB250" s="129"/>
      <c r="AC250" s="157"/>
      <c r="AD250" s="129"/>
      <c r="AE250" s="129"/>
      <c r="AF250" s="31" t="s">
        <v>891</v>
      </c>
      <c r="AG250" s="31"/>
      <c r="AH250"/>
      <c r="AI250"/>
      <c r="AJ250"/>
      <c r="AK250"/>
      <c r="AM250"/>
    </row>
    <row r="251" spans="1:39" ht="25.15" customHeight="1" outlineLevel="2" x14ac:dyDescent="0.2">
      <c r="A251" s="13"/>
      <c r="B251" s="96" t="s">
        <v>753</v>
      </c>
      <c r="C251" s="96" t="s">
        <v>753</v>
      </c>
      <c r="D251" s="96"/>
      <c r="E251" s="96"/>
      <c r="F251" s="96"/>
      <c r="G251" s="96"/>
      <c r="H251" s="96"/>
      <c r="I251" s="96"/>
      <c r="J251" s="96"/>
      <c r="K251" s="96"/>
      <c r="L251" s="96"/>
      <c r="M251" s="96"/>
      <c r="N251" s="96" t="s">
        <v>31</v>
      </c>
      <c r="O251" s="96"/>
      <c r="P251" s="96"/>
      <c r="Q251" s="155"/>
      <c r="R251" s="129"/>
      <c r="S251" s="129"/>
      <c r="T251" s="129"/>
      <c r="U251" s="129"/>
      <c r="V251" s="129"/>
      <c r="W251" s="156"/>
      <c r="X251" s="129"/>
      <c r="Y251" s="129"/>
      <c r="Z251" s="129"/>
      <c r="AA251" s="129"/>
      <c r="AB251" s="129"/>
      <c r="AC251" s="157"/>
      <c r="AD251" s="129"/>
      <c r="AE251" s="129"/>
      <c r="AF251" s="31"/>
      <c r="AG251" s="31"/>
      <c r="AH251"/>
      <c r="AI251"/>
      <c r="AJ251"/>
      <c r="AK251"/>
      <c r="AM251"/>
    </row>
    <row r="252" spans="1:39" ht="25.15" customHeight="1" outlineLevel="2" x14ac:dyDescent="0.2">
      <c r="A252" s="18" t="s">
        <v>178</v>
      </c>
      <c r="B252" s="223" t="s">
        <v>281</v>
      </c>
      <c r="C252" s="224"/>
      <c r="D252" s="224"/>
      <c r="E252" s="224"/>
      <c r="F252" s="224"/>
      <c r="G252" s="224"/>
      <c r="H252" s="224"/>
      <c r="I252" s="224"/>
      <c r="J252" s="224"/>
      <c r="K252" s="224"/>
      <c r="L252" s="224"/>
      <c r="M252" s="225"/>
      <c r="N252" s="223"/>
      <c r="O252" s="224"/>
      <c r="P252" s="225"/>
      <c r="Q252" s="226"/>
      <c r="R252" s="227"/>
      <c r="S252" s="227"/>
      <c r="T252" s="227"/>
      <c r="U252" s="227"/>
      <c r="V252" s="228"/>
      <c r="W252" s="226"/>
      <c r="X252" s="227"/>
      <c r="Y252" s="227"/>
      <c r="Z252" s="227"/>
      <c r="AA252" s="227"/>
      <c r="AB252" s="228"/>
      <c r="AC252" s="229">
        <v>954168.65</v>
      </c>
      <c r="AD252" s="230"/>
      <c r="AE252" s="231"/>
      <c r="AF252" s="31"/>
      <c r="AG252" s="31"/>
      <c r="AH252"/>
      <c r="AI252"/>
      <c r="AJ252"/>
      <c r="AK252"/>
      <c r="AM252"/>
    </row>
    <row r="253" spans="1:39" ht="25.15" customHeight="1" outlineLevel="2" x14ac:dyDescent="0.2">
      <c r="A253" s="10" t="s">
        <v>180</v>
      </c>
      <c r="B253" s="98" t="s">
        <v>309</v>
      </c>
      <c r="C253" s="98"/>
      <c r="D253" s="98"/>
      <c r="E253" s="98"/>
      <c r="F253" s="98"/>
      <c r="G253" s="98"/>
      <c r="H253" s="98"/>
      <c r="I253" s="98"/>
      <c r="J253" s="98"/>
      <c r="K253" s="98"/>
      <c r="L253" s="98"/>
      <c r="M253" s="98"/>
      <c r="N253" s="98" t="s">
        <v>31</v>
      </c>
      <c r="O253" s="98"/>
      <c r="P253" s="98"/>
      <c r="Q253" s="132">
        <v>6896</v>
      </c>
      <c r="R253" s="95"/>
      <c r="S253" s="95"/>
      <c r="T253" s="95"/>
      <c r="U253" s="95"/>
      <c r="V253" s="95"/>
      <c r="W253" s="99">
        <v>9.7995999999999999</v>
      </c>
      <c r="X253" s="95"/>
      <c r="Y253" s="95"/>
      <c r="Z253" s="95"/>
      <c r="AA253" s="95"/>
      <c r="AB253" s="95"/>
      <c r="AC253" s="126">
        <v>67578.039999999994</v>
      </c>
      <c r="AD253" s="95"/>
      <c r="AE253" s="95"/>
      <c r="AF253" s="31"/>
      <c r="AG253" s="31"/>
      <c r="AH253"/>
      <c r="AI253"/>
      <c r="AJ253"/>
      <c r="AK253"/>
      <c r="AM253"/>
    </row>
    <row r="254" spans="1:39" ht="25.15" customHeight="1" outlineLevel="2" x14ac:dyDescent="0.2">
      <c r="A254" s="10" t="s">
        <v>182</v>
      </c>
      <c r="B254" s="98" t="s">
        <v>282</v>
      </c>
      <c r="C254" s="98"/>
      <c r="D254" s="98"/>
      <c r="E254" s="98"/>
      <c r="F254" s="98"/>
      <c r="G254" s="98"/>
      <c r="H254" s="98"/>
      <c r="I254" s="98"/>
      <c r="J254" s="98"/>
      <c r="K254" s="98"/>
      <c r="L254" s="98"/>
      <c r="M254" s="98"/>
      <c r="N254" s="98" t="s">
        <v>31</v>
      </c>
      <c r="O254" s="98"/>
      <c r="P254" s="98"/>
      <c r="Q254" s="100">
        <v>105421</v>
      </c>
      <c r="R254" s="95"/>
      <c r="S254" s="95"/>
      <c r="T254" s="95"/>
      <c r="U254" s="95"/>
      <c r="V254" s="95"/>
      <c r="W254" s="99">
        <v>8.41</v>
      </c>
      <c r="X254" s="95"/>
      <c r="Y254" s="95"/>
      <c r="Z254" s="95"/>
      <c r="AA254" s="95"/>
      <c r="AB254" s="95"/>
      <c r="AC254" s="101">
        <v>886590.61</v>
      </c>
      <c r="AD254" s="95"/>
      <c r="AE254" s="95"/>
      <c r="AF254" s="31"/>
      <c r="AG254" s="31"/>
      <c r="AH254"/>
      <c r="AI254"/>
      <c r="AJ254"/>
      <c r="AK254"/>
      <c r="AM254"/>
    </row>
    <row r="255" spans="1:39" ht="25.15" customHeight="1" outlineLevel="2" x14ac:dyDescent="0.2">
      <c r="A255" s="13"/>
      <c r="B255" s="96" t="s">
        <v>755</v>
      </c>
      <c r="C255" s="96"/>
      <c r="D255" s="96"/>
      <c r="E255" s="96"/>
      <c r="F255" s="96"/>
      <c r="G255" s="96"/>
      <c r="H255" s="96"/>
      <c r="I255" s="96"/>
      <c r="J255" s="96"/>
      <c r="K255" s="96"/>
      <c r="L255" s="96"/>
      <c r="M255" s="96"/>
      <c r="N255" s="96" t="s">
        <v>31</v>
      </c>
      <c r="O255" s="96"/>
      <c r="P255" s="96"/>
      <c r="Q255" s="155"/>
      <c r="R255" s="129"/>
      <c r="S255" s="129"/>
      <c r="T255" s="129"/>
      <c r="U255" s="129"/>
      <c r="V255" s="129"/>
      <c r="W255" s="156"/>
      <c r="X255" s="129"/>
      <c r="Y255" s="129"/>
      <c r="Z255" s="129"/>
      <c r="AA255" s="129"/>
      <c r="AB255" s="129"/>
      <c r="AC255" s="157"/>
      <c r="AD255" s="129"/>
      <c r="AE255" s="129"/>
      <c r="AF255" s="31" t="s">
        <v>886</v>
      </c>
      <c r="AG255" s="31"/>
      <c r="AH255"/>
      <c r="AI255"/>
      <c r="AJ255"/>
      <c r="AK255"/>
      <c r="AM255"/>
    </row>
    <row r="256" spans="1:39" ht="25.15" customHeight="1" outlineLevel="2" x14ac:dyDescent="0.2">
      <c r="A256" s="18" t="s">
        <v>198</v>
      </c>
      <c r="B256" s="137" t="s">
        <v>284</v>
      </c>
      <c r="C256" s="137"/>
      <c r="D256" s="137"/>
      <c r="E256" s="137"/>
      <c r="F256" s="137"/>
      <c r="G256" s="137"/>
      <c r="H256" s="137"/>
      <c r="I256" s="137"/>
      <c r="J256" s="137"/>
      <c r="K256" s="137"/>
      <c r="L256" s="137"/>
      <c r="M256" s="137"/>
      <c r="N256" s="137"/>
      <c r="O256" s="137"/>
      <c r="P256" s="137"/>
      <c r="Q256" s="160"/>
      <c r="R256" s="160"/>
      <c r="S256" s="160"/>
      <c r="T256" s="160"/>
      <c r="U256" s="160"/>
      <c r="V256" s="160"/>
      <c r="W256" s="160"/>
      <c r="X256" s="160"/>
      <c r="Y256" s="160"/>
      <c r="Z256" s="160"/>
      <c r="AA256" s="160"/>
      <c r="AB256" s="160"/>
      <c r="AC256" s="162">
        <v>643918.28</v>
      </c>
      <c r="AD256" s="160"/>
      <c r="AE256" s="160"/>
      <c r="AF256" s="31"/>
      <c r="AG256" s="31"/>
      <c r="AH256"/>
      <c r="AI256"/>
      <c r="AJ256"/>
      <c r="AK256"/>
      <c r="AM256"/>
    </row>
    <row r="257" spans="1:39" ht="25.15" customHeight="1" outlineLevel="2" x14ac:dyDescent="0.2">
      <c r="A257" s="10" t="s">
        <v>200</v>
      </c>
      <c r="B257" s="98" t="s">
        <v>286</v>
      </c>
      <c r="C257" s="98"/>
      <c r="D257" s="98"/>
      <c r="E257" s="98"/>
      <c r="F257" s="98"/>
      <c r="G257" s="98"/>
      <c r="H257" s="98"/>
      <c r="I257" s="98"/>
      <c r="J257" s="98"/>
      <c r="K257" s="98"/>
      <c r="L257" s="98"/>
      <c r="M257" s="98"/>
      <c r="N257" s="98" t="s">
        <v>35</v>
      </c>
      <c r="O257" s="98"/>
      <c r="P257" s="98"/>
      <c r="Q257" s="132">
        <v>1048.3</v>
      </c>
      <c r="R257" s="95"/>
      <c r="S257" s="95"/>
      <c r="T257" s="95"/>
      <c r="U257" s="95"/>
      <c r="V257" s="95"/>
      <c r="W257" s="133">
        <v>614.25</v>
      </c>
      <c r="X257" s="95"/>
      <c r="Y257" s="95"/>
      <c r="Z257" s="95"/>
      <c r="AA257" s="95"/>
      <c r="AB257" s="95"/>
      <c r="AC257" s="101">
        <v>643918.28</v>
      </c>
      <c r="AD257" s="95"/>
      <c r="AE257" s="95"/>
      <c r="AF257" s="31"/>
      <c r="AG257" s="31"/>
      <c r="AH257"/>
      <c r="AI257"/>
      <c r="AJ257"/>
      <c r="AK257"/>
      <c r="AM257"/>
    </row>
    <row r="258" spans="1:39" ht="25.15" customHeight="1" outlineLevel="2" x14ac:dyDescent="0.2">
      <c r="A258" s="13"/>
      <c r="B258" s="96" t="s">
        <v>746</v>
      </c>
      <c r="C258" s="96"/>
      <c r="D258" s="96"/>
      <c r="E258" s="96"/>
      <c r="F258" s="96"/>
      <c r="G258" s="96"/>
      <c r="H258" s="96"/>
      <c r="I258" s="96"/>
      <c r="J258" s="96"/>
      <c r="K258" s="96"/>
      <c r="L258" s="96"/>
      <c r="M258" s="96"/>
      <c r="N258" s="96" t="s">
        <v>747</v>
      </c>
      <c r="O258" s="96"/>
      <c r="P258" s="96"/>
      <c r="Q258" s="149"/>
      <c r="R258" s="129"/>
      <c r="S258" s="129"/>
      <c r="T258" s="129"/>
      <c r="U258" s="129"/>
      <c r="V258" s="129"/>
      <c r="W258" s="128"/>
      <c r="X258" s="129"/>
      <c r="Y258" s="129"/>
      <c r="Z258" s="129"/>
      <c r="AA258" s="129"/>
      <c r="AB258" s="129"/>
      <c r="AC258" s="157"/>
      <c r="AD258" s="129"/>
      <c r="AE258" s="129"/>
      <c r="AF258" s="40" t="s">
        <v>920</v>
      </c>
      <c r="AG258" s="31"/>
      <c r="AH258"/>
      <c r="AI258"/>
      <c r="AJ258"/>
      <c r="AK258"/>
      <c r="AM258"/>
    </row>
    <row r="259" spans="1:39" ht="25.15" customHeight="1" outlineLevel="2" x14ac:dyDescent="0.2">
      <c r="A259" s="44"/>
      <c r="B259" s="96" t="s">
        <v>754</v>
      </c>
      <c r="C259" s="96"/>
      <c r="D259" s="96"/>
      <c r="E259" s="96"/>
      <c r="F259" s="96"/>
      <c r="G259" s="96"/>
      <c r="H259" s="96"/>
      <c r="I259" s="96"/>
      <c r="J259" s="96"/>
      <c r="K259" s="96"/>
      <c r="L259" s="96"/>
      <c r="M259" s="96"/>
      <c r="N259" s="96" t="s">
        <v>761</v>
      </c>
      <c r="O259" s="96"/>
      <c r="P259" s="96"/>
      <c r="Q259" s="155"/>
      <c r="R259" s="129"/>
      <c r="S259" s="129"/>
      <c r="T259" s="129"/>
      <c r="U259" s="129"/>
      <c r="V259" s="129"/>
      <c r="W259" s="156"/>
      <c r="X259" s="129"/>
      <c r="Y259" s="129"/>
      <c r="Z259" s="129"/>
      <c r="AA259" s="129"/>
      <c r="AB259" s="129"/>
      <c r="AC259" s="157"/>
      <c r="AD259" s="129"/>
      <c r="AE259" s="129"/>
      <c r="AF259" s="40"/>
      <c r="AG259" s="31"/>
      <c r="AH259"/>
      <c r="AI259"/>
      <c r="AJ259"/>
      <c r="AK259"/>
      <c r="AM259"/>
    </row>
    <row r="260" spans="1:39" ht="25.15" customHeight="1" outlineLevel="2" x14ac:dyDescent="0.2">
      <c r="A260" s="18" t="s">
        <v>317</v>
      </c>
      <c r="B260" s="137" t="s">
        <v>318</v>
      </c>
      <c r="C260" s="137"/>
      <c r="D260" s="137"/>
      <c r="E260" s="137"/>
      <c r="F260" s="137"/>
      <c r="G260" s="137"/>
      <c r="H260" s="137"/>
      <c r="I260" s="137"/>
      <c r="J260" s="137"/>
      <c r="K260" s="137"/>
      <c r="L260" s="137"/>
      <c r="M260" s="137"/>
      <c r="N260" s="137"/>
      <c r="O260" s="137"/>
      <c r="P260" s="137"/>
      <c r="Q260" s="160"/>
      <c r="R260" s="160"/>
      <c r="S260" s="160"/>
      <c r="T260" s="160"/>
      <c r="U260" s="160"/>
      <c r="V260" s="160"/>
      <c r="W260" s="160"/>
      <c r="X260" s="160"/>
      <c r="Y260" s="160"/>
      <c r="Z260" s="160"/>
      <c r="AA260" s="160"/>
      <c r="AB260" s="160"/>
      <c r="AC260" s="162">
        <v>218774.48</v>
      </c>
      <c r="AD260" s="160"/>
      <c r="AE260" s="160"/>
      <c r="AF260" s="31"/>
      <c r="AG260" s="31"/>
      <c r="AH260"/>
      <c r="AI260"/>
      <c r="AJ260"/>
      <c r="AK260"/>
      <c r="AM260"/>
    </row>
    <row r="261" spans="1:39" ht="25.15" customHeight="1" outlineLevel="2" x14ac:dyDescent="0.2">
      <c r="A261" s="10" t="s">
        <v>319</v>
      </c>
      <c r="B261" s="98" t="s">
        <v>320</v>
      </c>
      <c r="C261" s="98"/>
      <c r="D261" s="98"/>
      <c r="E261" s="98"/>
      <c r="F261" s="98"/>
      <c r="G261" s="98"/>
      <c r="H261" s="98"/>
      <c r="I261" s="98"/>
      <c r="J261" s="98"/>
      <c r="K261" s="98"/>
      <c r="L261" s="98"/>
      <c r="M261" s="98"/>
      <c r="N261" s="98" t="s">
        <v>47</v>
      </c>
      <c r="O261" s="98"/>
      <c r="P261" s="98"/>
      <c r="Q261" s="132">
        <v>4245.7700000000004</v>
      </c>
      <c r="R261" s="95"/>
      <c r="S261" s="95"/>
      <c r="T261" s="95"/>
      <c r="U261" s="95"/>
      <c r="V261" s="95"/>
      <c r="W261" s="97">
        <v>45</v>
      </c>
      <c r="X261" s="95"/>
      <c r="Y261" s="95"/>
      <c r="Z261" s="95"/>
      <c r="AA261" s="95"/>
      <c r="AB261" s="95"/>
      <c r="AC261" s="101">
        <v>191059.65</v>
      </c>
      <c r="AD261" s="95"/>
      <c r="AE261" s="95"/>
      <c r="AF261" s="31"/>
      <c r="AG261" s="31"/>
      <c r="AH261"/>
      <c r="AI261"/>
      <c r="AJ261"/>
      <c r="AK261"/>
      <c r="AM261"/>
    </row>
    <row r="262" spans="1:39" ht="25.15" customHeight="1" outlineLevel="2" x14ac:dyDescent="0.2">
      <c r="A262" s="10" t="s">
        <v>321</v>
      </c>
      <c r="B262" s="98" t="s">
        <v>322</v>
      </c>
      <c r="C262" s="98"/>
      <c r="D262" s="98"/>
      <c r="E262" s="98"/>
      <c r="F262" s="98"/>
      <c r="G262" s="98"/>
      <c r="H262" s="98"/>
      <c r="I262" s="98"/>
      <c r="J262" s="98"/>
      <c r="K262" s="98"/>
      <c r="L262" s="98"/>
      <c r="M262" s="98"/>
      <c r="N262" s="98" t="s">
        <v>39</v>
      </c>
      <c r="O262" s="98"/>
      <c r="P262" s="98"/>
      <c r="Q262" s="132">
        <v>1049.8599999999999</v>
      </c>
      <c r="R262" s="95"/>
      <c r="S262" s="95"/>
      <c r="T262" s="95"/>
      <c r="U262" s="95"/>
      <c r="V262" s="95"/>
      <c r="W262" s="97">
        <v>26.398599999999998</v>
      </c>
      <c r="X262" s="95"/>
      <c r="Y262" s="95"/>
      <c r="Z262" s="95"/>
      <c r="AA262" s="95"/>
      <c r="AB262" s="95"/>
      <c r="AC262" s="126">
        <v>27714.83</v>
      </c>
      <c r="AD262" s="95"/>
      <c r="AE262" s="95"/>
      <c r="AF262" s="31"/>
      <c r="AG262" s="31"/>
      <c r="AH262"/>
      <c r="AI262"/>
      <c r="AJ262"/>
      <c r="AK262"/>
      <c r="AM262"/>
    </row>
    <row r="263" spans="1:39" ht="25.15" customHeight="1" outlineLevel="2" x14ac:dyDescent="0.2">
      <c r="A263" s="13"/>
      <c r="B263" s="96" t="s">
        <v>756</v>
      </c>
      <c r="C263" s="96"/>
      <c r="D263" s="96"/>
      <c r="E263" s="96"/>
      <c r="F263" s="96"/>
      <c r="G263" s="96"/>
      <c r="H263" s="96"/>
      <c r="I263" s="96"/>
      <c r="J263" s="96"/>
      <c r="K263" s="96"/>
      <c r="L263" s="96"/>
      <c r="M263" s="96"/>
      <c r="N263" s="96" t="s">
        <v>27</v>
      </c>
      <c r="O263" s="96"/>
      <c r="P263" s="96"/>
      <c r="Q263" s="149"/>
      <c r="R263" s="129"/>
      <c r="S263" s="129"/>
      <c r="T263" s="129"/>
      <c r="U263" s="129"/>
      <c r="V263" s="129"/>
      <c r="W263" s="128"/>
      <c r="X263" s="129"/>
      <c r="Y263" s="129"/>
      <c r="Z263" s="129"/>
      <c r="AA263" s="129"/>
      <c r="AB263" s="129"/>
      <c r="AC263" s="232"/>
      <c r="AD263" s="129"/>
      <c r="AE263" s="129"/>
      <c r="AF263" s="31" t="s">
        <v>892</v>
      </c>
      <c r="AG263" s="31"/>
      <c r="AH263"/>
      <c r="AI263"/>
      <c r="AJ263"/>
      <c r="AK263"/>
      <c r="AM263"/>
    </row>
    <row r="264" spans="1:39" ht="25.15" customHeight="1" outlineLevel="2" x14ac:dyDescent="0.2">
      <c r="A264" s="13"/>
      <c r="B264" s="96" t="s">
        <v>757</v>
      </c>
      <c r="C264" s="96" t="s">
        <v>757</v>
      </c>
      <c r="D264" s="96" t="s">
        <v>757</v>
      </c>
      <c r="E264" s="96" t="s">
        <v>757</v>
      </c>
      <c r="F264" s="96" t="s">
        <v>757</v>
      </c>
      <c r="G264" s="96" t="s">
        <v>757</v>
      </c>
      <c r="H264" s="96" t="s">
        <v>757</v>
      </c>
      <c r="I264" s="96" t="s">
        <v>757</v>
      </c>
      <c r="J264" s="96" t="s">
        <v>757</v>
      </c>
      <c r="K264" s="96" t="s">
        <v>757</v>
      </c>
      <c r="L264" s="96" t="s">
        <v>757</v>
      </c>
      <c r="M264" s="96" t="s">
        <v>757</v>
      </c>
      <c r="N264" s="96" t="s">
        <v>27</v>
      </c>
      <c r="O264" s="96"/>
      <c r="P264" s="96"/>
      <c r="Q264" s="149"/>
      <c r="R264" s="129"/>
      <c r="S264" s="129"/>
      <c r="T264" s="129"/>
      <c r="U264" s="129"/>
      <c r="V264" s="129"/>
      <c r="W264" s="128"/>
      <c r="X264" s="129"/>
      <c r="Y264" s="129"/>
      <c r="Z264" s="129"/>
      <c r="AA264" s="129"/>
      <c r="AB264" s="129"/>
      <c r="AC264" s="232"/>
      <c r="AD264" s="129"/>
      <c r="AE264" s="129"/>
      <c r="AF264" s="31" t="s">
        <v>892</v>
      </c>
      <c r="AG264" s="31"/>
      <c r="AH264"/>
      <c r="AI264"/>
      <c r="AJ264"/>
      <c r="AK264"/>
      <c r="AM264"/>
    </row>
    <row r="265" spans="1:39" ht="25.15" customHeight="1" outlineLevel="2" x14ac:dyDescent="0.2">
      <c r="A265" s="13"/>
      <c r="B265" s="96" t="s">
        <v>758</v>
      </c>
      <c r="C265" s="96" t="s">
        <v>758</v>
      </c>
      <c r="D265" s="96" t="s">
        <v>758</v>
      </c>
      <c r="E265" s="96" t="s">
        <v>758</v>
      </c>
      <c r="F265" s="96" t="s">
        <v>758</v>
      </c>
      <c r="G265" s="96" t="s">
        <v>758</v>
      </c>
      <c r="H265" s="96" t="s">
        <v>758</v>
      </c>
      <c r="I265" s="96" t="s">
        <v>758</v>
      </c>
      <c r="J265" s="96" t="s">
        <v>758</v>
      </c>
      <c r="K265" s="96" t="s">
        <v>758</v>
      </c>
      <c r="L265" s="96" t="s">
        <v>758</v>
      </c>
      <c r="M265" s="96" t="s">
        <v>758</v>
      </c>
      <c r="N265" s="96" t="s">
        <v>27</v>
      </c>
      <c r="O265" s="96"/>
      <c r="P265" s="96"/>
      <c r="Q265" s="149"/>
      <c r="R265" s="129"/>
      <c r="S265" s="129"/>
      <c r="T265" s="129"/>
      <c r="U265" s="129"/>
      <c r="V265" s="129"/>
      <c r="W265" s="128"/>
      <c r="X265" s="129"/>
      <c r="Y265" s="129"/>
      <c r="Z265" s="129"/>
      <c r="AA265" s="129"/>
      <c r="AB265" s="129"/>
      <c r="AC265" s="232"/>
      <c r="AD265" s="129"/>
      <c r="AE265" s="129"/>
      <c r="AF265" s="40"/>
      <c r="AG265" s="31"/>
      <c r="AH265"/>
      <c r="AI265"/>
      <c r="AJ265"/>
      <c r="AK265"/>
      <c r="AM265"/>
    </row>
    <row r="266" spans="1:39" ht="25.15" customHeight="1" outlineLevel="2" x14ac:dyDescent="0.2">
      <c r="A266" s="45" t="s">
        <v>949</v>
      </c>
      <c r="B266" s="96" t="s">
        <v>759</v>
      </c>
      <c r="C266" s="96" t="s">
        <v>759</v>
      </c>
      <c r="D266" s="96" t="s">
        <v>759</v>
      </c>
      <c r="E266" s="96" t="s">
        <v>759</v>
      </c>
      <c r="F266" s="96" t="s">
        <v>759</v>
      </c>
      <c r="G266" s="96" t="s">
        <v>759</v>
      </c>
      <c r="H266" s="96" t="s">
        <v>759</v>
      </c>
      <c r="I266" s="96" t="s">
        <v>759</v>
      </c>
      <c r="J266" s="96" t="s">
        <v>759</v>
      </c>
      <c r="K266" s="96" t="s">
        <v>759</v>
      </c>
      <c r="L266" s="96" t="s">
        <v>759</v>
      </c>
      <c r="M266" s="96" t="s">
        <v>759</v>
      </c>
      <c r="N266" s="96" t="s">
        <v>762</v>
      </c>
      <c r="O266" s="96"/>
      <c r="P266" s="96"/>
      <c r="Q266" s="149"/>
      <c r="R266" s="129"/>
      <c r="S266" s="129"/>
      <c r="T266" s="129"/>
      <c r="U266" s="129"/>
      <c r="V266" s="129"/>
      <c r="W266" s="128"/>
      <c r="X266" s="129"/>
      <c r="Y266" s="129"/>
      <c r="Z266" s="129"/>
      <c r="AA266" s="129"/>
      <c r="AB266" s="129"/>
      <c r="AC266" s="232"/>
      <c r="AD266" s="129"/>
      <c r="AE266" s="129"/>
      <c r="AF266" s="31" t="s">
        <v>925</v>
      </c>
      <c r="AG266" s="31"/>
      <c r="AH266"/>
      <c r="AI266"/>
      <c r="AJ266"/>
      <c r="AK266"/>
      <c r="AM266"/>
    </row>
    <row r="267" spans="1:39" ht="25.15" customHeight="1" outlineLevel="2" x14ac:dyDescent="0.2">
      <c r="A267" s="13"/>
      <c r="B267" s="96" t="s">
        <v>760</v>
      </c>
      <c r="C267" s="96" t="s">
        <v>760</v>
      </c>
      <c r="D267" s="96" t="s">
        <v>760</v>
      </c>
      <c r="E267" s="96" t="s">
        <v>760</v>
      </c>
      <c r="F267" s="96" t="s">
        <v>760</v>
      </c>
      <c r="G267" s="96" t="s">
        <v>760</v>
      </c>
      <c r="H267" s="96" t="s">
        <v>760</v>
      </c>
      <c r="I267" s="96" t="s">
        <v>760</v>
      </c>
      <c r="J267" s="96" t="s">
        <v>760</v>
      </c>
      <c r="K267" s="96" t="s">
        <v>760</v>
      </c>
      <c r="L267" s="96" t="s">
        <v>760</v>
      </c>
      <c r="M267" s="96" t="s">
        <v>760</v>
      </c>
      <c r="N267" s="96" t="s">
        <v>27</v>
      </c>
      <c r="O267" s="96"/>
      <c r="P267" s="96"/>
      <c r="Q267" s="149"/>
      <c r="R267" s="129"/>
      <c r="S267" s="129"/>
      <c r="T267" s="129"/>
      <c r="U267" s="129"/>
      <c r="V267" s="129"/>
      <c r="W267" s="128"/>
      <c r="X267" s="129"/>
      <c r="Y267" s="129"/>
      <c r="Z267" s="129"/>
      <c r="AA267" s="129"/>
      <c r="AB267" s="129"/>
      <c r="AC267" s="232"/>
      <c r="AD267" s="129"/>
      <c r="AE267" s="129"/>
      <c r="AF267" s="46" t="s">
        <v>926</v>
      </c>
      <c r="AG267" s="47" t="s">
        <v>950</v>
      </c>
      <c r="AH267"/>
      <c r="AI267"/>
      <c r="AJ267"/>
      <c r="AK267"/>
      <c r="AM267"/>
    </row>
    <row r="268" spans="1:39" ht="25.15" customHeight="1" outlineLevel="2" x14ac:dyDescent="0.2">
      <c r="A268" s="18" t="s">
        <v>323</v>
      </c>
      <c r="B268" s="137" t="s">
        <v>288</v>
      </c>
      <c r="C268" s="137"/>
      <c r="D268" s="137"/>
      <c r="E268" s="137"/>
      <c r="F268" s="137"/>
      <c r="G268" s="137"/>
      <c r="H268" s="137"/>
      <c r="I268" s="137"/>
      <c r="J268" s="137"/>
      <c r="K268" s="137"/>
      <c r="L268" s="137"/>
      <c r="M268" s="137"/>
      <c r="N268" s="137"/>
      <c r="O268" s="137"/>
      <c r="P268" s="137"/>
      <c r="Q268" s="160"/>
      <c r="R268" s="160"/>
      <c r="S268" s="160"/>
      <c r="T268" s="160"/>
      <c r="U268" s="160"/>
      <c r="V268" s="160"/>
      <c r="W268" s="160"/>
      <c r="X268" s="160"/>
      <c r="Y268" s="160"/>
      <c r="Z268" s="160"/>
      <c r="AA268" s="160"/>
      <c r="AB268" s="160"/>
      <c r="AC268" s="161">
        <v>1027334</v>
      </c>
      <c r="AD268" s="160"/>
      <c r="AE268" s="160"/>
      <c r="AF268" s="48"/>
      <c r="AG268" s="48"/>
      <c r="AH268"/>
      <c r="AI268"/>
      <c r="AJ268"/>
      <c r="AK268"/>
      <c r="AM268"/>
    </row>
    <row r="269" spans="1:39" ht="25.15" customHeight="1" outlineLevel="2" x14ac:dyDescent="0.2">
      <c r="A269" s="10" t="s">
        <v>324</v>
      </c>
      <c r="B269" s="98" t="s">
        <v>290</v>
      </c>
      <c r="C269" s="98"/>
      <c r="D269" s="98"/>
      <c r="E269" s="98"/>
      <c r="F269" s="98"/>
      <c r="G269" s="98"/>
      <c r="H269" s="98"/>
      <c r="I269" s="98"/>
      <c r="J269" s="98"/>
      <c r="K269" s="98"/>
      <c r="L269" s="98"/>
      <c r="M269" s="98"/>
      <c r="N269" s="98" t="s">
        <v>35</v>
      </c>
      <c r="O269" s="98"/>
      <c r="P269" s="98"/>
      <c r="Q269" s="132">
        <v>1048.3</v>
      </c>
      <c r="R269" s="95"/>
      <c r="S269" s="95"/>
      <c r="T269" s="95"/>
      <c r="U269" s="95"/>
      <c r="V269" s="95"/>
      <c r="W269" s="133">
        <v>980</v>
      </c>
      <c r="X269" s="95"/>
      <c r="Y269" s="95"/>
      <c r="Z269" s="95"/>
      <c r="AA269" s="95"/>
      <c r="AB269" s="95"/>
      <c r="AC269" s="233">
        <v>1027334</v>
      </c>
      <c r="AD269" s="95"/>
      <c r="AE269" s="95"/>
      <c r="AF269" s="31"/>
      <c r="AG269" s="31"/>
      <c r="AH269"/>
      <c r="AI269"/>
      <c r="AJ269"/>
      <c r="AK269"/>
      <c r="AM269"/>
    </row>
    <row r="270" spans="1:39" ht="34.15" customHeight="1" x14ac:dyDescent="0.2">
      <c r="A270" s="29" t="s">
        <v>236</v>
      </c>
      <c r="B270" s="174" t="s">
        <v>325</v>
      </c>
      <c r="C270" s="174"/>
      <c r="D270" s="174"/>
      <c r="E270" s="174"/>
      <c r="F270" s="174"/>
      <c r="G270" s="174"/>
      <c r="H270" s="174"/>
      <c r="I270" s="174"/>
      <c r="J270" s="174"/>
      <c r="K270" s="174"/>
      <c r="L270" s="174"/>
      <c r="M270" s="174"/>
      <c r="N270" s="174"/>
      <c r="O270" s="174"/>
      <c r="P270" s="174"/>
      <c r="Q270" s="175"/>
      <c r="R270" s="175"/>
      <c r="S270" s="175"/>
      <c r="T270" s="175"/>
      <c r="U270" s="175"/>
      <c r="V270" s="175"/>
      <c r="W270" s="175"/>
      <c r="X270" s="175"/>
      <c r="Y270" s="175"/>
      <c r="Z270" s="175"/>
      <c r="AA270" s="175"/>
      <c r="AB270" s="175"/>
      <c r="AC270" s="176">
        <v>584956.74</v>
      </c>
      <c r="AD270" s="175"/>
      <c r="AE270" s="175"/>
      <c r="AF270" s="106" t="s">
        <v>874</v>
      </c>
      <c r="AG270" s="107"/>
      <c r="AH270"/>
      <c r="AI270"/>
      <c r="AJ270"/>
      <c r="AK270"/>
      <c r="AM270"/>
    </row>
    <row r="271" spans="1:39" ht="25.15" customHeight="1" outlineLevel="1" x14ac:dyDescent="0.2">
      <c r="A271" s="18" t="s">
        <v>238</v>
      </c>
      <c r="B271" s="137" t="s">
        <v>325</v>
      </c>
      <c r="C271" s="137"/>
      <c r="D271" s="137"/>
      <c r="E271" s="137"/>
      <c r="F271" s="137"/>
      <c r="G271" s="137"/>
      <c r="H271" s="137"/>
      <c r="I271" s="137"/>
      <c r="J271" s="137"/>
      <c r="K271" s="137"/>
      <c r="L271" s="137"/>
      <c r="M271" s="137"/>
      <c r="N271" s="137"/>
      <c r="O271" s="137"/>
      <c r="P271" s="137"/>
      <c r="Q271" s="160"/>
      <c r="R271" s="160"/>
      <c r="S271" s="160"/>
      <c r="T271" s="160"/>
      <c r="U271" s="160"/>
      <c r="V271" s="160"/>
      <c r="W271" s="160"/>
      <c r="X271" s="160"/>
      <c r="Y271" s="160"/>
      <c r="Z271" s="160"/>
      <c r="AA271" s="160"/>
      <c r="AB271" s="160"/>
      <c r="AC271" s="162">
        <v>584956.74</v>
      </c>
      <c r="AD271" s="160"/>
      <c r="AE271" s="160"/>
      <c r="AF271" s="31"/>
      <c r="AG271" s="31"/>
      <c r="AH271"/>
      <c r="AI271"/>
      <c r="AJ271"/>
      <c r="AK271"/>
      <c r="AM271"/>
    </row>
    <row r="272" spans="1:39" ht="25.15" customHeight="1" outlineLevel="1" x14ac:dyDescent="0.2">
      <c r="A272" s="18" t="s">
        <v>239</v>
      </c>
      <c r="B272" s="137" t="s">
        <v>326</v>
      </c>
      <c r="C272" s="137"/>
      <c r="D272" s="137"/>
      <c r="E272" s="137"/>
      <c r="F272" s="137"/>
      <c r="G272" s="137"/>
      <c r="H272" s="137"/>
      <c r="I272" s="137"/>
      <c r="J272" s="137"/>
      <c r="K272" s="137"/>
      <c r="L272" s="137"/>
      <c r="M272" s="137"/>
      <c r="N272" s="137"/>
      <c r="O272" s="137"/>
      <c r="P272" s="137"/>
      <c r="Q272" s="160"/>
      <c r="R272" s="160"/>
      <c r="S272" s="160"/>
      <c r="T272" s="160"/>
      <c r="U272" s="160"/>
      <c r="V272" s="160"/>
      <c r="W272" s="160"/>
      <c r="X272" s="160"/>
      <c r="Y272" s="160"/>
      <c r="Z272" s="160"/>
      <c r="AA272" s="160"/>
      <c r="AB272" s="160"/>
      <c r="AC272" s="162">
        <v>380581.36</v>
      </c>
      <c r="AD272" s="160"/>
      <c r="AE272" s="160"/>
      <c r="AF272" s="31"/>
      <c r="AG272" s="31"/>
      <c r="AH272"/>
      <c r="AI272"/>
      <c r="AJ272"/>
      <c r="AK272"/>
      <c r="AM272"/>
    </row>
    <row r="273" spans="1:39" ht="25.15" customHeight="1" outlineLevel="1" x14ac:dyDescent="0.2">
      <c r="A273" s="10" t="s">
        <v>241</v>
      </c>
      <c r="B273" s="98" t="s">
        <v>327</v>
      </c>
      <c r="C273" s="98"/>
      <c r="D273" s="98"/>
      <c r="E273" s="98"/>
      <c r="F273" s="98"/>
      <c r="G273" s="98"/>
      <c r="H273" s="98"/>
      <c r="I273" s="98"/>
      <c r="J273" s="98"/>
      <c r="K273" s="98"/>
      <c r="L273" s="98"/>
      <c r="M273" s="98"/>
      <c r="N273" s="98" t="s">
        <v>47</v>
      </c>
      <c r="O273" s="98"/>
      <c r="P273" s="98"/>
      <c r="Q273" s="132">
        <v>1879</v>
      </c>
      <c r="R273" s="95"/>
      <c r="S273" s="95"/>
      <c r="T273" s="95"/>
      <c r="U273" s="95"/>
      <c r="V273" s="95"/>
      <c r="W273" s="97">
        <v>42.127099999999999</v>
      </c>
      <c r="X273" s="95"/>
      <c r="Y273" s="95"/>
      <c r="Z273" s="95"/>
      <c r="AA273" s="95"/>
      <c r="AB273" s="95"/>
      <c r="AC273" s="126">
        <v>79156.820000000007</v>
      </c>
      <c r="AD273" s="95"/>
      <c r="AE273" s="95"/>
      <c r="AF273" s="31"/>
      <c r="AG273" s="31"/>
      <c r="AH273"/>
      <c r="AI273"/>
      <c r="AJ273"/>
      <c r="AK273"/>
      <c r="AM273"/>
    </row>
    <row r="274" spans="1:39" ht="25.15" customHeight="1" outlineLevel="1" x14ac:dyDescent="0.2">
      <c r="A274" s="10" t="s">
        <v>328</v>
      </c>
      <c r="B274" s="98" t="s">
        <v>329</v>
      </c>
      <c r="C274" s="98"/>
      <c r="D274" s="98"/>
      <c r="E274" s="98"/>
      <c r="F274" s="98"/>
      <c r="G274" s="98"/>
      <c r="H274" s="98"/>
      <c r="I274" s="98"/>
      <c r="J274" s="98"/>
      <c r="K274" s="98"/>
      <c r="L274" s="98"/>
      <c r="M274" s="98"/>
      <c r="N274" s="98" t="s">
        <v>47</v>
      </c>
      <c r="O274" s="98"/>
      <c r="P274" s="98"/>
      <c r="Q274" s="132">
        <v>1155</v>
      </c>
      <c r="R274" s="95"/>
      <c r="S274" s="95"/>
      <c r="T274" s="95"/>
      <c r="U274" s="95"/>
      <c r="V274" s="95"/>
      <c r="W274" s="97">
        <v>52.924100000000003</v>
      </c>
      <c r="X274" s="95"/>
      <c r="Y274" s="95"/>
      <c r="Z274" s="95"/>
      <c r="AA274" s="95"/>
      <c r="AB274" s="95"/>
      <c r="AC274" s="126">
        <v>61127.34</v>
      </c>
      <c r="AD274" s="95"/>
      <c r="AE274" s="95"/>
      <c r="AF274" s="31"/>
      <c r="AG274" s="31"/>
      <c r="AH274"/>
      <c r="AI274"/>
      <c r="AJ274"/>
      <c r="AK274"/>
      <c r="AM274"/>
    </row>
    <row r="275" spans="1:39" ht="25.15" customHeight="1" outlineLevel="1" x14ac:dyDescent="0.2">
      <c r="A275" s="10" t="s">
        <v>330</v>
      </c>
      <c r="B275" s="98" t="s">
        <v>331</v>
      </c>
      <c r="C275" s="98"/>
      <c r="D275" s="98"/>
      <c r="E275" s="98"/>
      <c r="F275" s="98"/>
      <c r="G275" s="98"/>
      <c r="H275" s="98"/>
      <c r="I275" s="98"/>
      <c r="J275" s="98"/>
      <c r="K275" s="98"/>
      <c r="L275" s="98"/>
      <c r="M275" s="98"/>
      <c r="N275" s="98" t="s">
        <v>47</v>
      </c>
      <c r="O275" s="98"/>
      <c r="P275" s="98"/>
      <c r="Q275" s="132">
        <v>3569</v>
      </c>
      <c r="R275" s="95"/>
      <c r="S275" s="95"/>
      <c r="T275" s="95"/>
      <c r="U275" s="95"/>
      <c r="V275" s="95"/>
      <c r="W275" s="97">
        <v>67.328999999999994</v>
      </c>
      <c r="X275" s="95"/>
      <c r="Y275" s="95"/>
      <c r="Z275" s="95"/>
      <c r="AA275" s="95"/>
      <c r="AB275" s="95"/>
      <c r="AC275" s="101">
        <v>240297.2</v>
      </c>
      <c r="AD275" s="95"/>
      <c r="AE275" s="95"/>
      <c r="AF275" s="31"/>
      <c r="AG275" s="31"/>
      <c r="AH275"/>
      <c r="AI275"/>
      <c r="AJ275"/>
      <c r="AK275"/>
      <c r="AM275"/>
    </row>
    <row r="276" spans="1:39" ht="25.15" customHeight="1" outlineLevel="1" x14ac:dyDescent="0.2">
      <c r="A276" s="9"/>
      <c r="B276" s="96" t="s">
        <v>764</v>
      </c>
      <c r="C276" s="96"/>
      <c r="D276" s="96"/>
      <c r="E276" s="96"/>
      <c r="F276" s="96"/>
      <c r="G276" s="96"/>
      <c r="H276" s="96"/>
      <c r="I276" s="96"/>
      <c r="J276" s="96"/>
      <c r="K276" s="96"/>
      <c r="L276" s="96"/>
      <c r="M276" s="96"/>
      <c r="N276" s="96" t="s">
        <v>766</v>
      </c>
      <c r="O276" s="96"/>
      <c r="P276" s="96"/>
      <c r="Q276" s="149"/>
      <c r="R276" s="129"/>
      <c r="S276" s="129"/>
      <c r="T276" s="129"/>
      <c r="U276" s="129"/>
      <c r="V276" s="129"/>
      <c r="W276" s="150"/>
      <c r="X276" s="150"/>
      <c r="Y276" s="150"/>
      <c r="Z276" s="150"/>
      <c r="AA276" s="150"/>
      <c r="AB276" s="150"/>
      <c r="AC276" s="151"/>
      <c r="AD276" s="150"/>
      <c r="AE276" s="150"/>
      <c r="AF276" s="31" t="s">
        <v>892</v>
      </c>
      <c r="AG276" s="31"/>
      <c r="AH276"/>
      <c r="AI276"/>
      <c r="AJ276"/>
      <c r="AK276"/>
      <c r="AM276"/>
    </row>
    <row r="277" spans="1:39" ht="25.15" customHeight="1" outlineLevel="1" x14ac:dyDescent="0.2">
      <c r="A277" s="9"/>
      <c r="B277" s="96" t="s">
        <v>765</v>
      </c>
      <c r="C277" s="96" t="s">
        <v>765</v>
      </c>
      <c r="D277" s="96" t="s">
        <v>765</v>
      </c>
      <c r="E277" s="96" t="s">
        <v>765</v>
      </c>
      <c r="F277" s="96" t="s">
        <v>765</v>
      </c>
      <c r="G277" s="96" t="s">
        <v>765</v>
      </c>
      <c r="H277" s="96" t="s">
        <v>765</v>
      </c>
      <c r="I277" s="96" t="s">
        <v>765</v>
      </c>
      <c r="J277" s="96" t="s">
        <v>765</v>
      </c>
      <c r="K277" s="96" t="s">
        <v>765</v>
      </c>
      <c r="L277" s="96" t="s">
        <v>765</v>
      </c>
      <c r="M277" s="96" t="s">
        <v>765</v>
      </c>
      <c r="N277" s="96" t="s">
        <v>767</v>
      </c>
      <c r="O277" s="96"/>
      <c r="P277" s="96"/>
      <c r="Q277" s="149"/>
      <c r="R277" s="129"/>
      <c r="S277" s="129"/>
      <c r="T277" s="129"/>
      <c r="U277" s="129"/>
      <c r="V277" s="129"/>
      <c r="W277" s="150"/>
      <c r="X277" s="150"/>
      <c r="Y277" s="150"/>
      <c r="Z277" s="150"/>
      <c r="AA277" s="150"/>
      <c r="AB277" s="150"/>
      <c r="AC277" s="151"/>
      <c r="AD277" s="150"/>
      <c r="AE277" s="150"/>
      <c r="AF277" s="31" t="s">
        <v>892</v>
      </c>
      <c r="AG277" s="31"/>
      <c r="AH277"/>
      <c r="AI277"/>
      <c r="AJ277"/>
      <c r="AK277"/>
      <c r="AM277"/>
    </row>
    <row r="278" spans="1:39" ht="25.15" customHeight="1" outlineLevel="1" x14ac:dyDescent="0.2">
      <c r="A278" s="9"/>
      <c r="B278" s="127" t="s">
        <v>763</v>
      </c>
      <c r="C278" s="127"/>
      <c r="D278" s="127"/>
      <c r="E278" s="127"/>
      <c r="F278" s="127"/>
      <c r="G278" s="127"/>
      <c r="H278" s="127"/>
      <c r="I278" s="127"/>
      <c r="J278" s="127"/>
      <c r="K278" s="127"/>
      <c r="L278" s="127"/>
      <c r="M278" s="127"/>
      <c r="N278" s="96" t="s">
        <v>47</v>
      </c>
      <c r="O278" s="96"/>
      <c r="P278" s="96"/>
      <c r="Q278" s="149">
        <f>(4.94+9.74+9.59+5.45+29.84)*3</f>
        <v>178.68</v>
      </c>
      <c r="R278" s="129"/>
      <c r="S278" s="129"/>
      <c r="T278" s="129"/>
      <c r="U278" s="129"/>
      <c r="V278" s="129"/>
      <c r="W278" s="150">
        <v>179</v>
      </c>
      <c r="X278" s="150"/>
      <c r="Y278" s="150"/>
      <c r="Z278" s="150"/>
      <c r="AA278" s="150"/>
      <c r="AB278" s="150"/>
      <c r="AC278" s="151"/>
      <c r="AD278" s="150"/>
      <c r="AE278" s="150"/>
      <c r="AF278" s="31"/>
      <c r="AG278" s="31"/>
      <c r="AH278"/>
      <c r="AI278"/>
      <c r="AJ278"/>
      <c r="AK278"/>
      <c r="AM278"/>
    </row>
    <row r="279" spans="1:39" ht="25.15" customHeight="1" outlineLevel="1" x14ac:dyDescent="0.2">
      <c r="A279" s="9"/>
      <c r="B279" s="96" t="s">
        <v>768</v>
      </c>
      <c r="C279" s="96"/>
      <c r="D279" s="96"/>
      <c r="E279" s="96"/>
      <c r="F279" s="96"/>
      <c r="G279" s="96"/>
      <c r="H279" s="96"/>
      <c r="I279" s="96"/>
      <c r="J279" s="96"/>
      <c r="K279" s="96"/>
      <c r="L279" s="96"/>
      <c r="M279" s="96"/>
      <c r="N279" s="96" t="s">
        <v>31</v>
      </c>
      <c r="O279" s="96"/>
      <c r="P279" s="96"/>
      <c r="Q279" s="150"/>
      <c r="R279" s="150"/>
      <c r="S279" s="150"/>
      <c r="T279" s="150"/>
      <c r="U279" s="150"/>
      <c r="V279" s="150"/>
      <c r="W279" s="150"/>
      <c r="X279" s="150"/>
      <c r="Y279" s="150"/>
      <c r="Z279" s="150"/>
      <c r="AA279" s="150"/>
      <c r="AB279" s="150"/>
      <c r="AC279" s="151"/>
      <c r="AD279" s="150"/>
      <c r="AE279" s="150"/>
      <c r="AF279" s="49" t="s">
        <v>927</v>
      </c>
      <c r="AG279" s="31"/>
      <c r="AH279"/>
      <c r="AI279"/>
      <c r="AJ279"/>
      <c r="AK279"/>
      <c r="AM279"/>
    </row>
    <row r="280" spans="1:39" ht="25.15" customHeight="1" outlineLevel="1" x14ac:dyDescent="0.2">
      <c r="A280" s="18" t="s">
        <v>243</v>
      </c>
      <c r="B280" s="137" t="s">
        <v>332</v>
      </c>
      <c r="C280" s="137"/>
      <c r="D280" s="137"/>
      <c r="E280" s="137"/>
      <c r="F280" s="137"/>
      <c r="G280" s="137"/>
      <c r="H280" s="137"/>
      <c r="I280" s="137"/>
      <c r="J280" s="137"/>
      <c r="K280" s="137"/>
      <c r="L280" s="137"/>
      <c r="M280" s="137"/>
      <c r="N280" s="137"/>
      <c r="O280" s="137"/>
      <c r="P280" s="137"/>
      <c r="Q280" s="160"/>
      <c r="R280" s="160"/>
      <c r="S280" s="160"/>
      <c r="T280" s="160"/>
      <c r="U280" s="160"/>
      <c r="V280" s="160"/>
      <c r="W280" s="160"/>
      <c r="X280" s="160"/>
      <c r="Y280" s="160"/>
      <c r="Z280" s="160"/>
      <c r="AA280" s="160"/>
      <c r="AB280" s="160"/>
      <c r="AC280" s="169">
        <v>32697.38</v>
      </c>
      <c r="AD280" s="160"/>
      <c r="AE280" s="160"/>
      <c r="AF280" s="31"/>
      <c r="AG280" s="31"/>
      <c r="AH280"/>
      <c r="AI280"/>
      <c r="AJ280"/>
      <c r="AK280"/>
      <c r="AM280"/>
    </row>
    <row r="281" spans="1:39" ht="25.15" customHeight="1" outlineLevel="1" x14ac:dyDescent="0.2">
      <c r="A281" s="10" t="s">
        <v>245</v>
      </c>
      <c r="B281" s="98" t="s">
        <v>333</v>
      </c>
      <c r="C281" s="98"/>
      <c r="D281" s="98"/>
      <c r="E281" s="98"/>
      <c r="F281" s="98"/>
      <c r="G281" s="98"/>
      <c r="H281" s="98"/>
      <c r="I281" s="98"/>
      <c r="J281" s="98"/>
      <c r="K281" s="98"/>
      <c r="L281" s="98"/>
      <c r="M281" s="98"/>
      <c r="N281" s="98" t="s">
        <v>39</v>
      </c>
      <c r="O281" s="98"/>
      <c r="P281" s="98"/>
      <c r="Q281" s="133">
        <v>735.29</v>
      </c>
      <c r="R281" s="95"/>
      <c r="S281" s="95"/>
      <c r="T281" s="95"/>
      <c r="U281" s="95"/>
      <c r="V281" s="95"/>
      <c r="W281" s="97">
        <v>41.713000000000001</v>
      </c>
      <c r="X281" s="95"/>
      <c r="Y281" s="95"/>
      <c r="Z281" s="95"/>
      <c r="AA281" s="95"/>
      <c r="AB281" s="95"/>
      <c r="AC281" s="126">
        <v>30671.15</v>
      </c>
      <c r="AD281" s="95"/>
      <c r="AE281" s="95"/>
      <c r="AF281" s="31"/>
      <c r="AG281" s="31"/>
      <c r="AH281"/>
      <c r="AI281"/>
      <c r="AJ281"/>
      <c r="AK281"/>
      <c r="AM281"/>
    </row>
    <row r="282" spans="1:39" ht="25.15" customHeight="1" outlineLevel="1" x14ac:dyDescent="0.2">
      <c r="A282" s="10" t="s">
        <v>247</v>
      </c>
      <c r="B282" s="98" t="s">
        <v>334</v>
      </c>
      <c r="C282" s="98"/>
      <c r="D282" s="98"/>
      <c r="E282" s="98"/>
      <c r="F282" s="98"/>
      <c r="G282" s="98"/>
      <c r="H282" s="98"/>
      <c r="I282" s="98"/>
      <c r="J282" s="98"/>
      <c r="K282" s="98"/>
      <c r="L282" s="98"/>
      <c r="M282" s="98"/>
      <c r="N282" s="98" t="s">
        <v>39</v>
      </c>
      <c r="O282" s="98"/>
      <c r="P282" s="98"/>
      <c r="Q282" s="132">
        <v>3236.27</v>
      </c>
      <c r="R282" s="95"/>
      <c r="S282" s="95"/>
      <c r="T282" s="95"/>
      <c r="U282" s="95"/>
      <c r="V282" s="95"/>
      <c r="W282" s="99">
        <v>0.62609999999999999</v>
      </c>
      <c r="X282" s="95"/>
      <c r="Y282" s="95"/>
      <c r="Z282" s="95"/>
      <c r="AA282" s="95"/>
      <c r="AB282" s="95"/>
      <c r="AC282" s="94">
        <v>2026.23</v>
      </c>
      <c r="AD282" s="95"/>
      <c r="AE282" s="95"/>
      <c r="AF282" s="31"/>
      <c r="AG282" s="31"/>
      <c r="AH282"/>
      <c r="AI282"/>
      <c r="AJ282"/>
      <c r="AK282"/>
      <c r="AM282"/>
    </row>
    <row r="283" spans="1:39" ht="25.15" customHeight="1" outlineLevel="1" x14ac:dyDescent="0.2">
      <c r="A283" s="18" t="s">
        <v>259</v>
      </c>
      <c r="B283" s="137" t="s">
        <v>288</v>
      </c>
      <c r="C283" s="137"/>
      <c r="D283" s="137"/>
      <c r="E283" s="137"/>
      <c r="F283" s="137"/>
      <c r="G283" s="137"/>
      <c r="H283" s="137"/>
      <c r="I283" s="137"/>
      <c r="J283" s="137"/>
      <c r="K283" s="137"/>
      <c r="L283" s="137"/>
      <c r="M283" s="137"/>
      <c r="N283" s="137"/>
      <c r="O283" s="137"/>
      <c r="P283" s="137"/>
      <c r="Q283" s="160"/>
      <c r="R283" s="160"/>
      <c r="S283" s="160"/>
      <c r="T283" s="160"/>
      <c r="U283" s="160"/>
      <c r="V283" s="160"/>
      <c r="W283" s="160"/>
      <c r="X283" s="160"/>
      <c r="Y283" s="160"/>
      <c r="Z283" s="160"/>
      <c r="AA283" s="160"/>
      <c r="AB283" s="160"/>
      <c r="AC283" s="162">
        <v>171678</v>
      </c>
      <c r="AD283" s="160"/>
      <c r="AE283" s="160"/>
      <c r="AF283" s="31"/>
      <c r="AG283" s="31"/>
      <c r="AH283"/>
      <c r="AI283"/>
      <c r="AJ283"/>
      <c r="AK283"/>
      <c r="AM283"/>
    </row>
    <row r="284" spans="1:39" ht="25.15" customHeight="1" outlineLevel="1" x14ac:dyDescent="0.2">
      <c r="A284" s="10" t="s">
        <v>261</v>
      </c>
      <c r="B284" s="98" t="s">
        <v>335</v>
      </c>
      <c r="C284" s="98"/>
      <c r="D284" s="98"/>
      <c r="E284" s="98"/>
      <c r="F284" s="98"/>
      <c r="G284" s="98"/>
      <c r="H284" s="98"/>
      <c r="I284" s="98"/>
      <c r="J284" s="98"/>
      <c r="K284" s="98"/>
      <c r="L284" s="98"/>
      <c r="M284" s="98"/>
      <c r="N284" s="98" t="s">
        <v>47</v>
      </c>
      <c r="O284" s="98"/>
      <c r="P284" s="98"/>
      <c r="Q284" s="132">
        <v>6603</v>
      </c>
      <c r="R284" s="95"/>
      <c r="S284" s="95"/>
      <c r="T284" s="95"/>
      <c r="U284" s="95"/>
      <c r="V284" s="95"/>
      <c r="W284" s="97">
        <v>26</v>
      </c>
      <c r="X284" s="95"/>
      <c r="Y284" s="95"/>
      <c r="Z284" s="95"/>
      <c r="AA284" s="95"/>
      <c r="AB284" s="95"/>
      <c r="AC284" s="101">
        <v>171678</v>
      </c>
      <c r="AD284" s="95"/>
      <c r="AE284" s="95"/>
      <c r="AF284" s="37" t="s">
        <v>872</v>
      </c>
      <c r="AG284" s="50" t="s">
        <v>893</v>
      </c>
      <c r="AH284"/>
      <c r="AI284"/>
      <c r="AJ284"/>
      <c r="AK284"/>
      <c r="AM284"/>
    </row>
    <row r="285" spans="1:39" ht="26.45" customHeight="1" outlineLevel="1" x14ac:dyDescent="0.2">
      <c r="A285" s="9"/>
      <c r="B285" s="96" t="s">
        <v>852</v>
      </c>
      <c r="C285" s="96"/>
      <c r="D285" s="96"/>
      <c r="E285" s="96"/>
      <c r="F285" s="96"/>
      <c r="G285" s="96"/>
      <c r="H285" s="96"/>
      <c r="I285" s="96"/>
      <c r="J285" s="96"/>
      <c r="K285" s="96"/>
      <c r="L285" s="96"/>
      <c r="M285" s="96"/>
      <c r="N285" s="96" t="s">
        <v>762</v>
      </c>
      <c r="O285" s="96"/>
      <c r="P285" s="96"/>
      <c r="Q285" s="150"/>
      <c r="R285" s="150"/>
      <c r="S285" s="150"/>
      <c r="T285" s="150"/>
      <c r="U285" s="150"/>
      <c r="V285" s="150"/>
      <c r="W285" s="150"/>
      <c r="X285" s="150"/>
      <c r="Y285" s="150"/>
      <c r="Z285" s="150"/>
      <c r="AA285" s="150"/>
      <c r="AB285" s="150"/>
      <c r="AC285" s="151"/>
      <c r="AD285" s="150"/>
      <c r="AE285" s="150"/>
      <c r="AF285" s="31"/>
      <c r="AG285" s="31"/>
      <c r="AH285"/>
      <c r="AI285"/>
      <c r="AJ285"/>
      <c r="AK285"/>
      <c r="AM285"/>
    </row>
    <row r="286" spans="1:39" ht="25.15" customHeight="1" x14ac:dyDescent="0.2">
      <c r="A286" s="29" t="s">
        <v>336</v>
      </c>
      <c r="B286" s="174" t="s">
        <v>337</v>
      </c>
      <c r="C286" s="174"/>
      <c r="D286" s="174"/>
      <c r="E286" s="174"/>
      <c r="F286" s="174"/>
      <c r="G286" s="174"/>
      <c r="H286" s="174"/>
      <c r="I286" s="174"/>
      <c r="J286" s="174"/>
      <c r="K286" s="174"/>
      <c r="L286" s="174"/>
      <c r="M286" s="174"/>
      <c r="N286" s="174"/>
      <c r="O286" s="174"/>
      <c r="P286" s="174"/>
      <c r="Q286" s="175"/>
      <c r="R286" s="175"/>
      <c r="S286" s="175"/>
      <c r="T286" s="175"/>
      <c r="U286" s="175"/>
      <c r="V286" s="175"/>
      <c r="W286" s="175"/>
      <c r="X286" s="175"/>
      <c r="Y286" s="175"/>
      <c r="Z286" s="175"/>
      <c r="AA286" s="175"/>
      <c r="AB286" s="175"/>
      <c r="AC286" s="176">
        <v>832170.92</v>
      </c>
      <c r="AD286" s="175"/>
      <c r="AE286" s="175"/>
      <c r="AF286" s="31"/>
      <c r="AG286" s="31"/>
      <c r="AH286"/>
      <c r="AI286"/>
      <c r="AJ286"/>
      <c r="AK286"/>
      <c r="AM286"/>
    </row>
    <row r="287" spans="1:39" ht="25.15" customHeight="1" outlineLevel="1" x14ac:dyDescent="0.2">
      <c r="A287" s="18" t="s">
        <v>338</v>
      </c>
      <c r="B287" s="137" t="s">
        <v>337</v>
      </c>
      <c r="C287" s="137"/>
      <c r="D287" s="137"/>
      <c r="E287" s="137"/>
      <c r="F287" s="137"/>
      <c r="G287" s="137"/>
      <c r="H287" s="137"/>
      <c r="I287" s="137"/>
      <c r="J287" s="137"/>
      <c r="K287" s="137"/>
      <c r="L287" s="137"/>
      <c r="M287" s="137"/>
      <c r="N287" s="137"/>
      <c r="O287" s="137"/>
      <c r="P287" s="137"/>
      <c r="Q287" s="160"/>
      <c r="R287" s="160"/>
      <c r="S287" s="160"/>
      <c r="T287" s="160"/>
      <c r="U287" s="160"/>
      <c r="V287" s="160"/>
      <c r="W287" s="160"/>
      <c r="X287" s="160"/>
      <c r="Y287" s="160"/>
      <c r="Z287" s="160"/>
      <c r="AA287" s="160"/>
      <c r="AB287" s="160"/>
      <c r="AC287" s="162">
        <v>832170.92</v>
      </c>
      <c r="AD287" s="160"/>
      <c r="AE287" s="160"/>
      <c r="AF287" s="31"/>
      <c r="AG287" s="31"/>
      <c r="AH287"/>
      <c r="AI287"/>
      <c r="AJ287"/>
      <c r="AK287"/>
      <c r="AM287"/>
    </row>
    <row r="288" spans="1:39" ht="25.15" customHeight="1" outlineLevel="1" x14ac:dyDescent="0.2">
      <c r="A288" s="9" t="s">
        <v>339</v>
      </c>
      <c r="B288" s="212" t="s">
        <v>340</v>
      </c>
      <c r="C288" s="212"/>
      <c r="D288" s="212"/>
      <c r="E288" s="212"/>
      <c r="F288" s="212"/>
      <c r="G288" s="212"/>
      <c r="H288" s="212"/>
      <c r="I288" s="212"/>
      <c r="J288" s="212"/>
      <c r="K288" s="212"/>
      <c r="L288" s="212"/>
      <c r="M288" s="212"/>
      <c r="N288" s="212"/>
      <c r="O288" s="212"/>
      <c r="P288" s="212"/>
      <c r="Q288" s="213"/>
      <c r="R288" s="213"/>
      <c r="S288" s="213"/>
      <c r="T288" s="213"/>
      <c r="U288" s="213"/>
      <c r="V288" s="213"/>
      <c r="W288" s="213"/>
      <c r="X288" s="213"/>
      <c r="Y288" s="213"/>
      <c r="Z288" s="213"/>
      <c r="AA288" s="213"/>
      <c r="AB288" s="213"/>
      <c r="AC288" s="214">
        <v>33966.160000000003</v>
      </c>
      <c r="AD288" s="213"/>
      <c r="AE288" s="213"/>
      <c r="AF288" s="31"/>
      <c r="AG288" s="31"/>
      <c r="AH288"/>
      <c r="AI288"/>
      <c r="AJ288"/>
      <c r="AK288"/>
      <c r="AM288"/>
    </row>
    <row r="289" spans="1:39" ht="25.15" customHeight="1" outlineLevel="1" x14ac:dyDescent="0.2">
      <c r="A289" s="10" t="s">
        <v>341</v>
      </c>
      <c r="B289" s="98" t="s">
        <v>342</v>
      </c>
      <c r="C289" s="98"/>
      <c r="D289" s="98"/>
      <c r="E289" s="98"/>
      <c r="F289" s="98"/>
      <c r="G289" s="98"/>
      <c r="H289" s="98"/>
      <c r="I289" s="98"/>
      <c r="J289" s="98"/>
      <c r="K289" s="98"/>
      <c r="L289" s="98"/>
      <c r="M289" s="98"/>
      <c r="N289" s="98" t="s">
        <v>27</v>
      </c>
      <c r="O289" s="98"/>
      <c r="P289" s="98"/>
      <c r="Q289" s="99">
        <v>1</v>
      </c>
      <c r="R289" s="95"/>
      <c r="S289" s="95"/>
      <c r="T289" s="95"/>
      <c r="U289" s="95"/>
      <c r="V289" s="95"/>
      <c r="W289" s="173">
        <v>33966.160000000003</v>
      </c>
      <c r="X289" s="95"/>
      <c r="Y289" s="95"/>
      <c r="Z289" s="95"/>
      <c r="AA289" s="95"/>
      <c r="AB289" s="95"/>
      <c r="AC289" s="126">
        <v>33966.160000000003</v>
      </c>
      <c r="AD289" s="95"/>
      <c r="AE289" s="95"/>
      <c r="AF289" s="31"/>
      <c r="AG289" s="31"/>
      <c r="AH289"/>
      <c r="AI289"/>
      <c r="AJ289"/>
      <c r="AK289"/>
      <c r="AM289"/>
    </row>
    <row r="290" spans="1:39" ht="25.15" customHeight="1" outlineLevel="1" x14ac:dyDescent="0.2">
      <c r="A290" s="9" t="s">
        <v>343</v>
      </c>
      <c r="B290" s="212" t="s">
        <v>344</v>
      </c>
      <c r="C290" s="212"/>
      <c r="D290" s="212"/>
      <c r="E290" s="212"/>
      <c r="F290" s="212"/>
      <c r="G290" s="212"/>
      <c r="H290" s="212"/>
      <c r="I290" s="212"/>
      <c r="J290" s="212"/>
      <c r="K290" s="212"/>
      <c r="L290" s="212"/>
      <c r="M290" s="212"/>
      <c r="N290" s="212"/>
      <c r="O290" s="212"/>
      <c r="P290" s="212"/>
      <c r="Q290" s="213"/>
      <c r="R290" s="213"/>
      <c r="S290" s="213"/>
      <c r="T290" s="213"/>
      <c r="U290" s="213"/>
      <c r="V290" s="213"/>
      <c r="W290" s="213"/>
      <c r="X290" s="213"/>
      <c r="Y290" s="213"/>
      <c r="Z290" s="213"/>
      <c r="AA290" s="213"/>
      <c r="AB290" s="213"/>
      <c r="AC290" s="234">
        <v>106144.25</v>
      </c>
      <c r="AD290" s="213"/>
      <c r="AE290" s="213"/>
      <c r="AF290" s="31"/>
      <c r="AG290" s="31"/>
      <c r="AH290"/>
      <c r="AI290"/>
      <c r="AJ290"/>
      <c r="AK290"/>
      <c r="AM290"/>
    </row>
    <row r="291" spans="1:39" ht="25.15" customHeight="1" outlineLevel="1" x14ac:dyDescent="0.2">
      <c r="A291" s="10" t="s">
        <v>345</v>
      </c>
      <c r="B291" s="98" t="s">
        <v>344</v>
      </c>
      <c r="C291" s="98"/>
      <c r="D291" s="98"/>
      <c r="E291" s="98"/>
      <c r="F291" s="98"/>
      <c r="G291" s="98"/>
      <c r="H291" s="98"/>
      <c r="I291" s="98"/>
      <c r="J291" s="98"/>
      <c r="K291" s="98"/>
      <c r="L291" s="98"/>
      <c r="M291" s="98"/>
      <c r="N291" s="98" t="s">
        <v>27</v>
      </c>
      <c r="O291" s="98"/>
      <c r="P291" s="98"/>
      <c r="Q291" s="99">
        <v>1</v>
      </c>
      <c r="R291" s="95"/>
      <c r="S291" s="95"/>
      <c r="T291" s="95"/>
      <c r="U291" s="95"/>
      <c r="V291" s="95"/>
      <c r="W291" s="100">
        <v>106144.25</v>
      </c>
      <c r="X291" s="95"/>
      <c r="Y291" s="95"/>
      <c r="Z291" s="95"/>
      <c r="AA291" s="95"/>
      <c r="AB291" s="95"/>
      <c r="AC291" s="101">
        <v>106144.25</v>
      </c>
      <c r="AD291" s="95"/>
      <c r="AE291" s="95"/>
      <c r="AF291" s="31"/>
      <c r="AG291" s="31"/>
      <c r="AH291"/>
      <c r="AI291"/>
      <c r="AJ291"/>
      <c r="AK291"/>
      <c r="AM291"/>
    </row>
    <row r="292" spans="1:39" ht="25.15" customHeight="1" outlineLevel="1" x14ac:dyDescent="0.2">
      <c r="A292" s="9" t="s">
        <v>346</v>
      </c>
      <c r="B292" s="212" t="s">
        <v>347</v>
      </c>
      <c r="C292" s="212"/>
      <c r="D292" s="212"/>
      <c r="E292" s="212"/>
      <c r="F292" s="212"/>
      <c r="G292" s="212"/>
      <c r="H292" s="212"/>
      <c r="I292" s="212"/>
      <c r="J292" s="212"/>
      <c r="K292" s="212"/>
      <c r="L292" s="212"/>
      <c r="M292" s="212"/>
      <c r="N292" s="212"/>
      <c r="O292" s="212"/>
      <c r="P292" s="212"/>
      <c r="Q292" s="213"/>
      <c r="R292" s="213"/>
      <c r="S292" s="213"/>
      <c r="T292" s="213"/>
      <c r="U292" s="213"/>
      <c r="V292" s="213"/>
      <c r="W292" s="213"/>
      <c r="X292" s="213"/>
      <c r="Y292" s="213"/>
      <c r="Z292" s="213"/>
      <c r="AA292" s="213"/>
      <c r="AB292" s="213"/>
      <c r="AC292" s="214">
        <v>84915.4</v>
      </c>
      <c r="AD292" s="213"/>
      <c r="AE292" s="213"/>
      <c r="AF292" s="31"/>
      <c r="AG292" s="31"/>
      <c r="AH292"/>
      <c r="AI292"/>
      <c r="AJ292"/>
      <c r="AK292"/>
      <c r="AM292"/>
    </row>
    <row r="293" spans="1:39" ht="25.15" customHeight="1" outlineLevel="1" x14ac:dyDescent="0.2">
      <c r="A293" s="10" t="s">
        <v>348</v>
      </c>
      <c r="B293" s="98" t="s">
        <v>347</v>
      </c>
      <c r="C293" s="98"/>
      <c r="D293" s="98"/>
      <c r="E293" s="98"/>
      <c r="F293" s="98"/>
      <c r="G293" s="98"/>
      <c r="H293" s="98"/>
      <c r="I293" s="98"/>
      <c r="J293" s="98"/>
      <c r="K293" s="98"/>
      <c r="L293" s="98"/>
      <c r="M293" s="98"/>
      <c r="N293" s="98" t="s">
        <v>27</v>
      </c>
      <c r="O293" s="98"/>
      <c r="P293" s="98"/>
      <c r="Q293" s="99">
        <v>1</v>
      </c>
      <c r="R293" s="95"/>
      <c r="S293" s="95"/>
      <c r="T293" s="95"/>
      <c r="U293" s="95"/>
      <c r="V293" s="95"/>
      <c r="W293" s="173">
        <v>84915.4</v>
      </c>
      <c r="X293" s="95"/>
      <c r="Y293" s="95"/>
      <c r="Z293" s="95"/>
      <c r="AA293" s="95"/>
      <c r="AB293" s="95"/>
      <c r="AC293" s="126">
        <v>84915.4</v>
      </c>
      <c r="AD293" s="95"/>
      <c r="AE293" s="95"/>
      <c r="AF293" s="31"/>
      <c r="AG293" s="31"/>
      <c r="AH293"/>
      <c r="AI293"/>
      <c r="AJ293"/>
      <c r="AK293"/>
      <c r="AM293"/>
    </row>
    <row r="294" spans="1:39" ht="25.15" customHeight="1" outlineLevel="1" x14ac:dyDescent="0.2">
      <c r="A294" s="9" t="s">
        <v>349</v>
      </c>
      <c r="B294" s="212" t="s">
        <v>350</v>
      </c>
      <c r="C294" s="212"/>
      <c r="D294" s="212"/>
      <c r="E294" s="212"/>
      <c r="F294" s="212"/>
      <c r="G294" s="212"/>
      <c r="H294" s="212"/>
      <c r="I294" s="212"/>
      <c r="J294" s="212"/>
      <c r="K294" s="212"/>
      <c r="L294" s="212"/>
      <c r="M294" s="212"/>
      <c r="N294" s="212"/>
      <c r="O294" s="212"/>
      <c r="P294" s="212"/>
      <c r="Q294" s="213"/>
      <c r="R294" s="213"/>
      <c r="S294" s="213"/>
      <c r="T294" s="213"/>
      <c r="U294" s="213"/>
      <c r="V294" s="213"/>
      <c r="W294" s="213"/>
      <c r="X294" s="213"/>
      <c r="Y294" s="213"/>
      <c r="Z294" s="213"/>
      <c r="AA294" s="213"/>
      <c r="AB294" s="213"/>
      <c r="AC294" s="234">
        <v>169830.8</v>
      </c>
      <c r="AD294" s="213"/>
      <c r="AE294" s="213"/>
      <c r="AF294" s="31"/>
      <c r="AG294" s="31"/>
      <c r="AH294"/>
      <c r="AI294"/>
      <c r="AJ294"/>
      <c r="AK294"/>
      <c r="AM294"/>
    </row>
    <row r="295" spans="1:39" ht="25.15" customHeight="1" outlineLevel="1" x14ac:dyDescent="0.2">
      <c r="A295" s="10" t="s">
        <v>351</v>
      </c>
      <c r="B295" s="98" t="s">
        <v>350</v>
      </c>
      <c r="C295" s="98"/>
      <c r="D295" s="98"/>
      <c r="E295" s="98"/>
      <c r="F295" s="98"/>
      <c r="G295" s="98"/>
      <c r="H295" s="98"/>
      <c r="I295" s="98"/>
      <c r="J295" s="98"/>
      <c r="K295" s="98"/>
      <c r="L295" s="98"/>
      <c r="M295" s="98"/>
      <c r="N295" s="98" t="s">
        <v>27</v>
      </c>
      <c r="O295" s="98"/>
      <c r="P295" s="98"/>
      <c r="Q295" s="99">
        <v>1</v>
      </c>
      <c r="R295" s="95"/>
      <c r="S295" s="95"/>
      <c r="T295" s="95"/>
      <c r="U295" s="95"/>
      <c r="V295" s="95"/>
      <c r="W295" s="100">
        <v>169830.8</v>
      </c>
      <c r="X295" s="95"/>
      <c r="Y295" s="95"/>
      <c r="Z295" s="95"/>
      <c r="AA295" s="95"/>
      <c r="AB295" s="95"/>
      <c r="AC295" s="101">
        <v>169830.8</v>
      </c>
      <c r="AD295" s="95"/>
      <c r="AE295" s="95"/>
      <c r="AF295" s="31"/>
      <c r="AG295" s="31"/>
      <c r="AH295"/>
      <c r="AI295"/>
      <c r="AJ295"/>
      <c r="AK295"/>
      <c r="AM295"/>
    </row>
    <row r="296" spans="1:39" ht="25.15" customHeight="1" outlineLevel="1" x14ac:dyDescent="0.2">
      <c r="A296" s="9" t="s">
        <v>352</v>
      </c>
      <c r="B296" s="212" t="s">
        <v>353</v>
      </c>
      <c r="C296" s="212"/>
      <c r="D296" s="212"/>
      <c r="E296" s="212"/>
      <c r="F296" s="212"/>
      <c r="G296" s="212"/>
      <c r="H296" s="212"/>
      <c r="I296" s="212"/>
      <c r="J296" s="212"/>
      <c r="K296" s="212"/>
      <c r="L296" s="212"/>
      <c r="M296" s="212"/>
      <c r="N296" s="212"/>
      <c r="O296" s="212"/>
      <c r="P296" s="212"/>
      <c r="Q296" s="213"/>
      <c r="R296" s="213"/>
      <c r="S296" s="213"/>
      <c r="T296" s="213"/>
      <c r="U296" s="213"/>
      <c r="V296" s="213"/>
      <c r="W296" s="213"/>
      <c r="X296" s="213"/>
      <c r="Y296" s="213"/>
      <c r="Z296" s="213"/>
      <c r="AA296" s="213"/>
      <c r="AB296" s="213"/>
      <c r="AC296" s="234">
        <v>118881.56</v>
      </c>
      <c r="AD296" s="213"/>
      <c r="AE296" s="213"/>
      <c r="AF296" s="31"/>
      <c r="AG296" s="31"/>
      <c r="AH296"/>
      <c r="AI296"/>
      <c r="AJ296"/>
      <c r="AK296"/>
      <c r="AM296"/>
    </row>
    <row r="297" spans="1:39" ht="25.15" customHeight="1" outlineLevel="1" x14ac:dyDescent="0.2">
      <c r="A297" s="10" t="s">
        <v>354</v>
      </c>
      <c r="B297" s="98" t="s">
        <v>353</v>
      </c>
      <c r="C297" s="98"/>
      <c r="D297" s="98"/>
      <c r="E297" s="98"/>
      <c r="F297" s="98"/>
      <c r="G297" s="98"/>
      <c r="H297" s="98"/>
      <c r="I297" s="98"/>
      <c r="J297" s="98"/>
      <c r="K297" s="98"/>
      <c r="L297" s="98"/>
      <c r="M297" s="98"/>
      <c r="N297" s="98" t="s">
        <v>27</v>
      </c>
      <c r="O297" s="98"/>
      <c r="P297" s="98"/>
      <c r="Q297" s="99">
        <v>1</v>
      </c>
      <c r="R297" s="95"/>
      <c r="S297" s="95"/>
      <c r="T297" s="95"/>
      <c r="U297" s="95"/>
      <c r="V297" s="95"/>
      <c r="W297" s="100">
        <v>118881.56</v>
      </c>
      <c r="X297" s="95"/>
      <c r="Y297" s="95"/>
      <c r="Z297" s="95"/>
      <c r="AA297" s="95"/>
      <c r="AB297" s="95"/>
      <c r="AC297" s="101">
        <v>118881.56</v>
      </c>
      <c r="AD297" s="95"/>
      <c r="AE297" s="95"/>
      <c r="AF297" s="31"/>
      <c r="AG297" s="31"/>
      <c r="AH297"/>
      <c r="AI297"/>
      <c r="AJ297"/>
      <c r="AK297"/>
      <c r="AM297"/>
    </row>
    <row r="298" spans="1:39" ht="25.15" customHeight="1" outlineLevel="1" x14ac:dyDescent="0.2">
      <c r="A298" s="9" t="s">
        <v>355</v>
      </c>
      <c r="B298" s="212" t="s">
        <v>356</v>
      </c>
      <c r="C298" s="212"/>
      <c r="D298" s="212"/>
      <c r="E298" s="212"/>
      <c r="F298" s="212"/>
      <c r="G298" s="212"/>
      <c r="H298" s="212"/>
      <c r="I298" s="212"/>
      <c r="J298" s="212"/>
      <c r="K298" s="212"/>
      <c r="L298" s="212"/>
      <c r="M298" s="212"/>
      <c r="N298" s="212"/>
      <c r="O298" s="212"/>
      <c r="P298" s="212"/>
      <c r="Q298" s="213"/>
      <c r="R298" s="213"/>
      <c r="S298" s="213"/>
      <c r="T298" s="213"/>
      <c r="U298" s="213"/>
      <c r="V298" s="213"/>
      <c r="W298" s="213"/>
      <c r="X298" s="213"/>
      <c r="Y298" s="213"/>
      <c r="Z298" s="213"/>
      <c r="AA298" s="213"/>
      <c r="AB298" s="213"/>
      <c r="AC298" s="214">
        <v>84915.4</v>
      </c>
      <c r="AD298" s="213"/>
      <c r="AE298" s="213"/>
      <c r="AF298" s="31"/>
      <c r="AG298" s="31"/>
      <c r="AH298"/>
      <c r="AI298"/>
      <c r="AJ298"/>
      <c r="AK298"/>
      <c r="AM298"/>
    </row>
    <row r="299" spans="1:39" ht="25.15" customHeight="1" outlineLevel="1" x14ac:dyDescent="0.2">
      <c r="A299" s="10" t="s">
        <v>357</v>
      </c>
      <c r="B299" s="98" t="s">
        <v>356</v>
      </c>
      <c r="C299" s="98"/>
      <c r="D299" s="98"/>
      <c r="E299" s="98"/>
      <c r="F299" s="98"/>
      <c r="G299" s="98"/>
      <c r="H299" s="98"/>
      <c r="I299" s="98"/>
      <c r="J299" s="98"/>
      <c r="K299" s="98"/>
      <c r="L299" s="98"/>
      <c r="M299" s="98"/>
      <c r="N299" s="98" t="s">
        <v>27</v>
      </c>
      <c r="O299" s="98"/>
      <c r="P299" s="98"/>
      <c r="Q299" s="99">
        <v>1</v>
      </c>
      <c r="R299" s="95"/>
      <c r="S299" s="95"/>
      <c r="T299" s="95"/>
      <c r="U299" s="95"/>
      <c r="V299" s="95"/>
      <c r="W299" s="173">
        <v>84915.4</v>
      </c>
      <c r="X299" s="95"/>
      <c r="Y299" s="95"/>
      <c r="Z299" s="95"/>
      <c r="AA299" s="95"/>
      <c r="AB299" s="95"/>
      <c r="AC299" s="126">
        <v>84915.4</v>
      </c>
      <c r="AD299" s="95"/>
      <c r="AE299" s="95"/>
      <c r="AF299" s="31"/>
      <c r="AG299" s="31"/>
      <c r="AH299"/>
      <c r="AI299"/>
      <c r="AJ299"/>
      <c r="AK299"/>
      <c r="AM299"/>
    </row>
    <row r="300" spans="1:39" ht="25.15" customHeight="1" outlineLevel="1" x14ac:dyDescent="0.2">
      <c r="A300" s="9" t="s">
        <v>358</v>
      </c>
      <c r="B300" s="212" t="s">
        <v>288</v>
      </c>
      <c r="C300" s="212"/>
      <c r="D300" s="212"/>
      <c r="E300" s="212"/>
      <c r="F300" s="212"/>
      <c r="G300" s="212"/>
      <c r="H300" s="212"/>
      <c r="I300" s="212"/>
      <c r="J300" s="212"/>
      <c r="K300" s="212"/>
      <c r="L300" s="212"/>
      <c r="M300" s="212"/>
      <c r="N300" s="212"/>
      <c r="O300" s="212"/>
      <c r="P300" s="212"/>
      <c r="Q300" s="213"/>
      <c r="R300" s="213"/>
      <c r="S300" s="213"/>
      <c r="T300" s="213"/>
      <c r="U300" s="213"/>
      <c r="V300" s="213"/>
      <c r="W300" s="213"/>
      <c r="X300" s="213"/>
      <c r="Y300" s="213"/>
      <c r="Z300" s="213"/>
      <c r="AA300" s="213"/>
      <c r="AB300" s="213"/>
      <c r="AC300" s="234">
        <v>233517.35</v>
      </c>
      <c r="AD300" s="213"/>
      <c r="AE300" s="213"/>
      <c r="AF300" s="31"/>
      <c r="AG300" s="31"/>
      <c r="AH300"/>
      <c r="AI300"/>
      <c r="AJ300"/>
      <c r="AK300"/>
      <c r="AM300"/>
    </row>
    <row r="301" spans="1:39" ht="25.15" customHeight="1" outlineLevel="1" x14ac:dyDescent="0.2">
      <c r="A301" s="10" t="s">
        <v>359</v>
      </c>
      <c r="B301" s="98" t="s">
        <v>360</v>
      </c>
      <c r="C301" s="98"/>
      <c r="D301" s="98"/>
      <c r="E301" s="98"/>
      <c r="F301" s="98"/>
      <c r="G301" s="98"/>
      <c r="H301" s="98"/>
      <c r="I301" s="98"/>
      <c r="J301" s="98"/>
      <c r="K301" s="98"/>
      <c r="L301" s="98"/>
      <c r="M301" s="98"/>
      <c r="N301" s="98" t="s">
        <v>47</v>
      </c>
      <c r="O301" s="98"/>
      <c r="P301" s="98"/>
      <c r="Q301" s="132">
        <v>4245.7700000000004</v>
      </c>
      <c r="R301" s="95"/>
      <c r="S301" s="95"/>
      <c r="T301" s="95"/>
      <c r="U301" s="95"/>
      <c r="V301" s="95"/>
      <c r="W301" s="97">
        <v>55</v>
      </c>
      <c r="X301" s="95"/>
      <c r="Y301" s="95"/>
      <c r="Z301" s="95"/>
      <c r="AA301" s="95"/>
      <c r="AB301" s="95"/>
      <c r="AC301" s="101">
        <v>233517.35</v>
      </c>
      <c r="AD301" s="95"/>
      <c r="AE301" s="95"/>
      <c r="AF301" s="31"/>
      <c r="AG301" s="31"/>
      <c r="AH301"/>
      <c r="AI301"/>
      <c r="AJ301"/>
      <c r="AK301"/>
      <c r="AM301"/>
    </row>
    <row r="302" spans="1:39" ht="25.15" customHeight="1" outlineLevel="1" x14ac:dyDescent="0.2">
      <c r="A302" s="9"/>
      <c r="B302" s="96" t="s">
        <v>853</v>
      </c>
      <c r="C302" s="96"/>
      <c r="D302" s="96"/>
      <c r="E302" s="96"/>
      <c r="F302" s="96"/>
      <c r="G302" s="96"/>
      <c r="H302" s="96"/>
      <c r="I302" s="96"/>
      <c r="J302" s="96"/>
      <c r="K302" s="96"/>
      <c r="L302" s="96"/>
      <c r="M302" s="96"/>
      <c r="N302" s="96"/>
      <c r="O302" s="96"/>
      <c r="P302" s="96"/>
      <c r="Q302" s="150"/>
      <c r="R302" s="150"/>
      <c r="S302" s="150"/>
      <c r="T302" s="150"/>
      <c r="U302" s="150"/>
      <c r="V302" s="150"/>
      <c r="W302" s="150"/>
      <c r="X302" s="150"/>
      <c r="Y302" s="150"/>
      <c r="Z302" s="150"/>
      <c r="AA302" s="150"/>
      <c r="AB302" s="150"/>
      <c r="AC302" s="151"/>
      <c r="AD302" s="150"/>
      <c r="AE302" s="150"/>
      <c r="AF302" s="40" t="s">
        <v>894</v>
      </c>
      <c r="AG302" s="31"/>
      <c r="AH302"/>
      <c r="AI302"/>
      <c r="AJ302"/>
      <c r="AK302"/>
      <c r="AM302"/>
    </row>
    <row r="303" spans="1:39" ht="25.15" customHeight="1" x14ac:dyDescent="0.2">
      <c r="A303" s="29" t="s">
        <v>361</v>
      </c>
      <c r="B303" s="174" t="s">
        <v>362</v>
      </c>
      <c r="C303" s="174"/>
      <c r="D303" s="174"/>
      <c r="E303" s="174"/>
      <c r="F303" s="174"/>
      <c r="G303" s="174"/>
      <c r="H303" s="174"/>
      <c r="I303" s="174"/>
      <c r="J303" s="174"/>
      <c r="K303" s="174"/>
      <c r="L303" s="174"/>
      <c r="M303" s="174"/>
      <c r="N303" s="174"/>
      <c r="O303" s="174"/>
      <c r="P303" s="174"/>
      <c r="Q303" s="175"/>
      <c r="R303" s="175"/>
      <c r="S303" s="175"/>
      <c r="T303" s="175"/>
      <c r="U303" s="175"/>
      <c r="V303" s="175"/>
      <c r="W303" s="175"/>
      <c r="X303" s="175"/>
      <c r="Y303" s="175"/>
      <c r="Z303" s="175"/>
      <c r="AA303" s="175"/>
      <c r="AB303" s="175"/>
      <c r="AC303" s="176">
        <v>424577</v>
      </c>
      <c r="AD303" s="175"/>
      <c r="AE303" s="175"/>
      <c r="AF303" s="31"/>
      <c r="AG303" s="31"/>
      <c r="AH303"/>
      <c r="AI303"/>
      <c r="AJ303"/>
      <c r="AK303"/>
      <c r="AM303"/>
    </row>
    <row r="304" spans="1:39" ht="25.15" customHeight="1" outlineLevel="1" x14ac:dyDescent="0.2">
      <c r="A304" s="18" t="s">
        <v>363</v>
      </c>
      <c r="B304" s="137" t="s">
        <v>362</v>
      </c>
      <c r="C304" s="137"/>
      <c r="D304" s="137"/>
      <c r="E304" s="137"/>
      <c r="F304" s="137"/>
      <c r="G304" s="137"/>
      <c r="H304" s="137"/>
      <c r="I304" s="137"/>
      <c r="J304" s="137"/>
      <c r="K304" s="137"/>
      <c r="L304" s="137"/>
      <c r="M304" s="137"/>
      <c r="N304" s="137"/>
      <c r="O304" s="137"/>
      <c r="P304" s="137"/>
      <c r="Q304" s="160"/>
      <c r="R304" s="160"/>
      <c r="S304" s="160"/>
      <c r="T304" s="160"/>
      <c r="U304" s="160"/>
      <c r="V304" s="160"/>
      <c r="W304" s="160"/>
      <c r="X304" s="160"/>
      <c r="Y304" s="160"/>
      <c r="Z304" s="160"/>
      <c r="AA304" s="160"/>
      <c r="AB304" s="160"/>
      <c r="AC304" s="162">
        <v>424577</v>
      </c>
      <c r="AD304" s="160"/>
      <c r="AE304" s="160"/>
      <c r="AF304" s="31"/>
      <c r="AG304" s="31"/>
      <c r="AH304"/>
      <c r="AI304"/>
      <c r="AJ304"/>
      <c r="AK304"/>
      <c r="AM304"/>
    </row>
    <row r="305" spans="1:39" ht="25.15" customHeight="1" outlineLevel="1" x14ac:dyDescent="0.2">
      <c r="A305" s="9" t="s">
        <v>364</v>
      </c>
      <c r="B305" s="212" t="s">
        <v>365</v>
      </c>
      <c r="C305" s="212"/>
      <c r="D305" s="212"/>
      <c r="E305" s="212"/>
      <c r="F305" s="212"/>
      <c r="G305" s="212"/>
      <c r="H305" s="212"/>
      <c r="I305" s="212"/>
      <c r="J305" s="212"/>
      <c r="K305" s="212"/>
      <c r="L305" s="212"/>
      <c r="M305" s="212"/>
      <c r="N305" s="212"/>
      <c r="O305" s="212"/>
      <c r="P305" s="212"/>
      <c r="Q305" s="213"/>
      <c r="R305" s="213"/>
      <c r="S305" s="213"/>
      <c r="T305" s="213"/>
      <c r="U305" s="213"/>
      <c r="V305" s="213"/>
      <c r="W305" s="213"/>
      <c r="X305" s="213"/>
      <c r="Y305" s="213"/>
      <c r="Z305" s="213"/>
      <c r="AA305" s="213"/>
      <c r="AB305" s="213"/>
      <c r="AC305" s="214">
        <v>93406.94</v>
      </c>
      <c r="AD305" s="213"/>
      <c r="AE305" s="213"/>
      <c r="AF305" s="31"/>
      <c r="AG305" s="31"/>
      <c r="AH305"/>
      <c r="AI305"/>
      <c r="AJ305"/>
      <c r="AK305"/>
      <c r="AM305"/>
    </row>
    <row r="306" spans="1:39" ht="25.15" customHeight="1" outlineLevel="1" x14ac:dyDescent="0.2">
      <c r="A306" s="10" t="s">
        <v>366</v>
      </c>
      <c r="B306" s="98" t="s">
        <v>365</v>
      </c>
      <c r="C306" s="98"/>
      <c r="D306" s="98"/>
      <c r="E306" s="98"/>
      <c r="F306" s="98"/>
      <c r="G306" s="98"/>
      <c r="H306" s="98"/>
      <c r="I306" s="98"/>
      <c r="J306" s="98"/>
      <c r="K306" s="98"/>
      <c r="L306" s="98"/>
      <c r="M306" s="98"/>
      <c r="N306" s="98" t="s">
        <v>27</v>
      </c>
      <c r="O306" s="98"/>
      <c r="P306" s="98"/>
      <c r="Q306" s="99">
        <v>1</v>
      </c>
      <c r="R306" s="95"/>
      <c r="S306" s="95"/>
      <c r="T306" s="95"/>
      <c r="U306" s="95"/>
      <c r="V306" s="95"/>
      <c r="W306" s="173">
        <v>93406.94</v>
      </c>
      <c r="X306" s="95"/>
      <c r="Y306" s="95"/>
      <c r="Z306" s="95"/>
      <c r="AA306" s="95"/>
      <c r="AB306" s="95"/>
      <c r="AC306" s="126">
        <v>93406.94</v>
      </c>
      <c r="AD306" s="95"/>
      <c r="AE306" s="95"/>
      <c r="AF306" s="31"/>
      <c r="AG306" s="31"/>
      <c r="AH306"/>
      <c r="AI306"/>
      <c r="AJ306"/>
      <c r="AK306"/>
      <c r="AM306"/>
    </row>
    <row r="307" spans="1:39" ht="25.15" customHeight="1" outlineLevel="1" x14ac:dyDescent="0.2">
      <c r="A307" s="18" t="s">
        <v>367</v>
      </c>
      <c r="B307" s="137" t="s">
        <v>368</v>
      </c>
      <c r="C307" s="137"/>
      <c r="D307" s="137"/>
      <c r="E307" s="137"/>
      <c r="F307" s="137"/>
      <c r="G307" s="137"/>
      <c r="H307" s="137"/>
      <c r="I307" s="137"/>
      <c r="J307" s="137"/>
      <c r="K307" s="137"/>
      <c r="L307" s="137"/>
      <c r="M307" s="137"/>
      <c r="N307" s="137"/>
      <c r="O307" s="137"/>
      <c r="P307" s="137"/>
      <c r="Q307" s="160"/>
      <c r="R307" s="160"/>
      <c r="S307" s="160"/>
      <c r="T307" s="160"/>
      <c r="U307" s="160"/>
      <c r="V307" s="160"/>
      <c r="W307" s="160"/>
      <c r="X307" s="160"/>
      <c r="Y307" s="160"/>
      <c r="Z307" s="160"/>
      <c r="AA307" s="160"/>
      <c r="AB307" s="160"/>
      <c r="AC307" s="169">
        <v>42457.7</v>
      </c>
      <c r="AD307" s="160"/>
      <c r="AE307" s="160"/>
      <c r="AF307" s="31"/>
      <c r="AG307" s="31"/>
      <c r="AH307"/>
      <c r="AI307"/>
      <c r="AJ307"/>
      <c r="AK307"/>
      <c r="AM307"/>
    </row>
    <row r="308" spans="1:39" ht="25.15" customHeight="1" outlineLevel="1" x14ac:dyDescent="0.2">
      <c r="A308" s="10" t="s">
        <v>369</v>
      </c>
      <c r="B308" s="98" t="s">
        <v>368</v>
      </c>
      <c r="C308" s="98"/>
      <c r="D308" s="98"/>
      <c r="E308" s="98"/>
      <c r="F308" s="98"/>
      <c r="G308" s="98"/>
      <c r="H308" s="98"/>
      <c r="I308" s="98"/>
      <c r="J308" s="98"/>
      <c r="K308" s="98"/>
      <c r="L308" s="98"/>
      <c r="M308" s="98"/>
      <c r="N308" s="98" t="s">
        <v>27</v>
      </c>
      <c r="O308" s="98"/>
      <c r="P308" s="98"/>
      <c r="Q308" s="99">
        <v>1</v>
      </c>
      <c r="R308" s="95"/>
      <c r="S308" s="95"/>
      <c r="T308" s="95"/>
      <c r="U308" s="95"/>
      <c r="V308" s="95"/>
      <c r="W308" s="173">
        <v>42457.7</v>
      </c>
      <c r="X308" s="95"/>
      <c r="Y308" s="95"/>
      <c r="Z308" s="95"/>
      <c r="AA308" s="95"/>
      <c r="AB308" s="95"/>
      <c r="AC308" s="126">
        <v>42457.7</v>
      </c>
      <c r="AD308" s="95"/>
      <c r="AE308" s="95"/>
      <c r="AF308" s="31"/>
      <c r="AG308" s="31"/>
      <c r="AH308"/>
      <c r="AI308"/>
      <c r="AJ308"/>
      <c r="AK308"/>
      <c r="AM308"/>
    </row>
    <row r="309" spans="1:39" ht="25.15" customHeight="1" outlineLevel="1" x14ac:dyDescent="0.2">
      <c r="A309" s="18" t="s">
        <v>370</v>
      </c>
      <c r="B309" s="137" t="s">
        <v>371</v>
      </c>
      <c r="C309" s="137"/>
      <c r="D309" s="137"/>
      <c r="E309" s="137"/>
      <c r="F309" s="137"/>
      <c r="G309" s="137"/>
      <c r="H309" s="137"/>
      <c r="I309" s="137"/>
      <c r="J309" s="137"/>
      <c r="K309" s="137"/>
      <c r="L309" s="137"/>
      <c r="M309" s="137"/>
      <c r="N309" s="137"/>
      <c r="O309" s="137"/>
      <c r="P309" s="137"/>
      <c r="Q309" s="160"/>
      <c r="R309" s="160"/>
      <c r="S309" s="160"/>
      <c r="T309" s="160"/>
      <c r="U309" s="160"/>
      <c r="V309" s="160"/>
      <c r="W309" s="160"/>
      <c r="X309" s="160"/>
      <c r="Y309" s="160"/>
      <c r="Z309" s="160"/>
      <c r="AA309" s="160"/>
      <c r="AB309" s="160"/>
      <c r="AC309" s="169">
        <v>76423.86</v>
      </c>
      <c r="AD309" s="160"/>
      <c r="AE309" s="160"/>
      <c r="AF309" s="31"/>
      <c r="AG309" s="31"/>
      <c r="AH309"/>
      <c r="AI309"/>
      <c r="AJ309"/>
      <c r="AK309"/>
      <c r="AM309"/>
    </row>
    <row r="310" spans="1:39" ht="25.15" customHeight="1" outlineLevel="1" x14ac:dyDescent="0.2">
      <c r="A310" s="10" t="s">
        <v>372</v>
      </c>
      <c r="B310" s="98" t="s">
        <v>371</v>
      </c>
      <c r="C310" s="98"/>
      <c r="D310" s="98"/>
      <c r="E310" s="98"/>
      <c r="F310" s="98"/>
      <c r="G310" s="98"/>
      <c r="H310" s="98"/>
      <c r="I310" s="98"/>
      <c r="J310" s="98"/>
      <c r="K310" s="98"/>
      <c r="L310" s="98"/>
      <c r="M310" s="98"/>
      <c r="N310" s="98" t="s">
        <v>27</v>
      </c>
      <c r="O310" s="98"/>
      <c r="P310" s="98"/>
      <c r="Q310" s="99">
        <v>1</v>
      </c>
      <c r="R310" s="95"/>
      <c r="S310" s="95"/>
      <c r="T310" s="95"/>
      <c r="U310" s="95"/>
      <c r="V310" s="95"/>
      <c r="W310" s="173">
        <v>76423.86</v>
      </c>
      <c r="X310" s="95"/>
      <c r="Y310" s="95"/>
      <c r="Z310" s="95"/>
      <c r="AA310" s="95"/>
      <c r="AB310" s="95"/>
      <c r="AC310" s="126">
        <v>76423.86</v>
      </c>
      <c r="AD310" s="95"/>
      <c r="AE310" s="95"/>
      <c r="AF310" s="31"/>
      <c r="AG310" s="31"/>
      <c r="AH310"/>
      <c r="AI310"/>
      <c r="AJ310"/>
      <c r="AK310"/>
      <c r="AM310"/>
    </row>
    <row r="311" spans="1:39" ht="25.15" customHeight="1" outlineLevel="1" x14ac:dyDescent="0.2">
      <c r="A311" s="18" t="s">
        <v>373</v>
      </c>
      <c r="B311" s="137" t="s">
        <v>288</v>
      </c>
      <c r="C311" s="137"/>
      <c r="D311" s="137"/>
      <c r="E311" s="137"/>
      <c r="F311" s="137"/>
      <c r="G311" s="137"/>
      <c r="H311" s="137"/>
      <c r="I311" s="137"/>
      <c r="J311" s="137"/>
      <c r="K311" s="137"/>
      <c r="L311" s="137"/>
      <c r="M311" s="137"/>
      <c r="N311" s="137"/>
      <c r="O311" s="137"/>
      <c r="P311" s="137"/>
      <c r="Q311" s="160"/>
      <c r="R311" s="160"/>
      <c r="S311" s="160"/>
      <c r="T311" s="160"/>
      <c r="U311" s="160"/>
      <c r="V311" s="160"/>
      <c r="W311" s="160"/>
      <c r="X311" s="160"/>
      <c r="Y311" s="160"/>
      <c r="Z311" s="160"/>
      <c r="AA311" s="160"/>
      <c r="AB311" s="160"/>
      <c r="AC311" s="162">
        <v>212288.5</v>
      </c>
      <c r="AD311" s="160"/>
      <c r="AE311" s="160"/>
      <c r="AF311" s="31"/>
      <c r="AG311" s="31"/>
      <c r="AH311"/>
      <c r="AI311"/>
      <c r="AJ311"/>
      <c r="AK311"/>
      <c r="AM311"/>
    </row>
    <row r="312" spans="1:39" ht="25.15" customHeight="1" outlineLevel="1" x14ac:dyDescent="0.2">
      <c r="A312" s="10" t="s">
        <v>374</v>
      </c>
      <c r="B312" s="98" t="s">
        <v>375</v>
      </c>
      <c r="C312" s="98"/>
      <c r="D312" s="98"/>
      <c r="E312" s="98"/>
      <c r="F312" s="98"/>
      <c r="G312" s="98"/>
      <c r="H312" s="98"/>
      <c r="I312" s="98"/>
      <c r="J312" s="98"/>
      <c r="K312" s="98"/>
      <c r="L312" s="98"/>
      <c r="M312" s="98"/>
      <c r="N312" s="98" t="s">
        <v>47</v>
      </c>
      <c r="O312" s="98"/>
      <c r="P312" s="98"/>
      <c r="Q312" s="132">
        <v>4245.7700000000004</v>
      </c>
      <c r="R312" s="95"/>
      <c r="S312" s="95"/>
      <c r="T312" s="95"/>
      <c r="U312" s="95"/>
      <c r="V312" s="95"/>
      <c r="W312" s="97">
        <v>50</v>
      </c>
      <c r="X312" s="95"/>
      <c r="Y312" s="95"/>
      <c r="Z312" s="95"/>
      <c r="AA312" s="95"/>
      <c r="AB312" s="95"/>
      <c r="AC312" s="101">
        <v>212288.5</v>
      </c>
      <c r="AD312" s="95"/>
      <c r="AE312" s="95"/>
      <c r="AF312" s="31"/>
      <c r="AG312" s="31"/>
      <c r="AH312"/>
      <c r="AI312"/>
      <c r="AJ312"/>
      <c r="AK312"/>
      <c r="AM312"/>
    </row>
    <row r="313" spans="1:39" ht="25.15" customHeight="1" outlineLevel="1" x14ac:dyDescent="0.2">
      <c r="A313" s="9"/>
      <c r="B313" s="96" t="s">
        <v>856</v>
      </c>
      <c r="C313" s="96"/>
      <c r="D313" s="96"/>
      <c r="E313" s="96"/>
      <c r="F313" s="96"/>
      <c r="G313" s="96"/>
      <c r="H313" s="96"/>
      <c r="I313" s="96"/>
      <c r="J313" s="96"/>
      <c r="K313" s="96"/>
      <c r="L313" s="96"/>
      <c r="M313" s="96"/>
      <c r="N313" s="96"/>
      <c r="O313" s="96"/>
      <c r="P313" s="96"/>
      <c r="Q313" s="150"/>
      <c r="R313" s="150"/>
      <c r="S313" s="150"/>
      <c r="T313" s="150"/>
      <c r="U313" s="150"/>
      <c r="V313" s="150"/>
      <c r="W313" s="150"/>
      <c r="X313" s="150"/>
      <c r="Y313" s="150"/>
      <c r="Z313" s="150"/>
      <c r="AA313" s="150"/>
      <c r="AB313" s="150"/>
      <c r="AC313" s="151"/>
      <c r="AD313" s="150"/>
      <c r="AE313" s="150"/>
      <c r="AF313" s="40" t="s">
        <v>894</v>
      </c>
      <c r="AG313" s="31"/>
      <c r="AH313"/>
      <c r="AI313"/>
      <c r="AJ313"/>
      <c r="AK313"/>
      <c r="AM313"/>
    </row>
    <row r="314" spans="1:39" ht="25.15" customHeight="1" outlineLevel="1" x14ac:dyDescent="0.2">
      <c r="A314" s="51"/>
      <c r="B314" s="96" t="s">
        <v>854</v>
      </c>
      <c r="C314" s="96"/>
      <c r="D314" s="96"/>
      <c r="E314" s="96"/>
      <c r="F314" s="96"/>
      <c r="G314" s="96"/>
      <c r="H314" s="96"/>
      <c r="I314" s="96"/>
      <c r="J314" s="96"/>
      <c r="K314" s="96"/>
      <c r="L314" s="96"/>
      <c r="M314" s="96"/>
      <c r="N314" s="96"/>
      <c r="O314" s="96"/>
      <c r="P314" s="96"/>
      <c r="Q314" s="150"/>
      <c r="R314" s="150"/>
      <c r="S314" s="150"/>
      <c r="T314" s="150"/>
      <c r="U314" s="150"/>
      <c r="V314" s="150"/>
      <c r="W314" s="150"/>
      <c r="X314" s="150"/>
      <c r="Y314" s="150"/>
      <c r="Z314" s="150"/>
      <c r="AA314" s="150"/>
      <c r="AB314" s="150"/>
      <c r="AC314" s="151"/>
      <c r="AD314" s="150"/>
      <c r="AE314" s="150"/>
      <c r="AF314" s="40" t="s">
        <v>928</v>
      </c>
      <c r="AG314" s="31"/>
      <c r="AH314"/>
      <c r="AI314"/>
      <c r="AJ314"/>
      <c r="AK314"/>
      <c r="AM314"/>
    </row>
    <row r="315" spans="1:39" ht="25.15" customHeight="1" outlineLevel="1" x14ac:dyDescent="0.2">
      <c r="A315" s="51"/>
      <c r="B315" s="96" t="s">
        <v>855</v>
      </c>
      <c r="C315" s="96"/>
      <c r="D315" s="96"/>
      <c r="E315" s="96"/>
      <c r="F315" s="96"/>
      <c r="G315" s="96"/>
      <c r="H315" s="96"/>
      <c r="I315" s="96"/>
      <c r="J315" s="96"/>
      <c r="K315" s="96"/>
      <c r="L315" s="96"/>
      <c r="M315" s="96"/>
      <c r="N315" s="96"/>
      <c r="O315" s="96"/>
      <c r="P315" s="96"/>
      <c r="Q315" s="150"/>
      <c r="R315" s="150"/>
      <c r="S315" s="150"/>
      <c r="T315" s="150"/>
      <c r="U315" s="150"/>
      <c r="V315" s="150"/>
      <c r="W315" s="150"/>
      <c r="X315" s="150"/>
      <c r="Y315" s="150"/>
      <c r="Z315" s="150"/>
      <c r="AA315" s="150"/>
      <c r="AB315" s="150"/>
      <c r="AC315" s="151"/>
      <c r="AD315" s="150"/>
      <c r="AE315" s="150"/>
      <c r="AF315" s="40" t="s">
        <v>928</v>
      </c>
      <c r="AG315" s="31"/>
      <c r="AH315"/>
      <c r="AI315"/>
      <c r="AJ315"/>
      <c r="AK315"/>
      <c r="AM315"/>
    </row>
    <row r="316" spans="1:39" ht="25.15" customHeight="1" x14ac:dyDescent="0.2">
      <c r="A316" s="19" t="s">
        <v>376</v>
      </c>
      <c r="B316" s="134" t="s">
        <v>377</v>
      </c>
      <c r="C316" s="134"/>
      <c r="D316" s="134"/>
      <c r="E316" s="134"/>
      <c r="F316" s="134"/>
      <c r="G316" s="134"/>
      <c r="H316" s="134"/>
      <c r="I316" s="134"/>
      <c r="J316" s="134"/>
      <c r="K316" s="134"/>
      <c r="L316" s="134"/>
      <c r="M316" s="134"/>
      <c r="N316" s="134"/>
      <c r="O316" s="134"/>
      <c r="P316" s="134"/>
      <c r="Q316" s="135"/>
      <c r="R316" s="135"/>
      <c r="S316" s="135"/>
      <c r="T316" s="135"/>
      <c r="U316" s="135"/>
      <c r="V316" s="135"/>
      <c r="W316" s="135"/>
      <c r="X316" s="135"/>
      <c r="Y316" s="135"/>
      <c r="Z316" s="135"/>
      <c r="AA316" s="135"/>
      <c r="AB316" s="135"/>
      <c r="AC316" s="172">
        <v>376104.07</v>
      </c>
      <c r="AD316" s="135"/>
      <c r="AE316" s="135"/>
      <c r="AF316" s="31"/>
      <c r="AG316" s="31"/>
      <c r="AH316"/>
      <c r="AI316"/>
      <c r="AJ316"/>
      <c r="AK316"/>
      <c r="AM316"/>
    </row>
    <row r="317" spans="1:39" ht="25.15" customHeight="1" outlineLevel="1" x14ac:dyDescent="0.2">
      <c r="A317" s="18" t="s">
        <v>378</v>
      </c>
      <c r="B317" s="137" t="s">
        <v>377</v>
      </c>
      <c r="C317" s="137"/>
      <c r="D317" s="137"/>
      <c r="E317" s="137"/>
      <c r="F317" s="137"/>
      <c r="G317" s="137"/>
      <c r="H317" s="137"/>
      <c r="I317" s="137"/>
      <c r="J317" s="137"/>
      <c r="K317" s="137"/>
      <c r="L317" s="137"/>
      <c r="M317" s="137"/>
      <c r="N317" s="137"/>
      <c r="O317" s="137"/>
      <c r="P317" s="137"/>
      <c r="Q317" s="160"/>
      <c r="R317" s="160"/>
      <c r="S317" s="160"/>
      <c r="T317" s="160"/>
      <c r="U317" s="160"/>
      <c r="V317" s="160"/>
      <c r="W317" s="160"/>
      <c r="X317" s="160"/>
      <c r="Y317" s="160"/>
      <c r="Z317" s="160"/>
      <c r="AA317" s="160"/>
      <c r="AB317" s="160"/>
      <c r="AC317" s="162">
        <v>376104.07</v>
      </c>
      <c r="AD317" s="160"/>
      <c r="AE317" s="160"/>
      <c r="AF317" s="31"/>
      <c r="AG317" s="31"/>
      <c r="AH317"/>
      <c r="AI317"/>
      <c r="AJ317"/>
      <c r="AK317"/>
      <c r="AM317"/>
    </row>
    <row r="318" spans="1:39" ht="25.15" customHeight="1" outlineLevel="1" x14ac:dyDescent="0.2">
      <c r="A318" s="18" t="s">
        <v>379</v>
      </c>
      <c r="B318" s="137" t="s">
        <v>380</v>
      </c>
      <c r="C318" s="137"/>
      <c r="D318" s="137"/>
      <c r="E318" s="137"/>
      <c r="F318" s="137"/>
      <c r="G318" s="137"/>
      <c r="H318" s="137"/>
      <c r="I318" s="137"/>
      <c r="J318" s="137"/>
      <c r="K318" s="137"/>
      <c r="L318" s="137"/>
      <c r="M318" s="137"/>
      <c r="N318" s="137"/>
      <c r="O318" s="137"/>
      <c r="P318" s="137"/>
      <c r="Q318" s="160"/>
      <c r="R318" s="160"/>
      <c r="S318" s="160"/>
      <c r="T318" s="160"/>
      <c r="U318" s="160"/>
      <c r="V318" s="160"/>
      <c r="W318" s="160"/>
      <c r="X318" s="160"/>
      <c r="Y318" s="160"/>
      <c r="Z318" s="160"/>
      <c r="AA318" s="160"/>
      <c r="AB318" s="160"/>
      <c r="AC318" s="162">
        <v>196578.17</v>
      </c>
      <c r="AD318" s="160"/>
      <c r="AE318" s="160"/>
      <c r="AF318" s="31"/>
      <c r="AG318" s="31"/>
      <c r="AH318"/>
      <c r="AI318"/>
      <c r="AJ318"/>
      <c r="AK318"/>
      <c r="AM318"/>
    </row>
    <row r="319" spans="1:39" ht="25.15" customHeight="1" outlineLevel="1" x14ac:dyDescent="0.2">
      <c r="A319" s="10" t="s">
        <v>381</v>
      </c>
      <c r="B319" s="98" t="s">
        <v>382</v>
      </c>
      <c r="C319" s="98"/>
      <c r="D319" s="98"/>
      <c r="E319" s="98"/>
      <c r="F319" s="98"/>
      <c r="G319" s="98"/>
      <c r="H319" s="98"/>
      <c r="I319" s="98"/>
      <c r="J319" s="98"/>
      <c r="K319" s="98"/>
      <c r="L319" s="98"/>
      <c r="M319" s="98"/>
      <c r="N319" s="98" t="s">
        <v>158</v>
      </c>
      <c r="O319" s="98"/>
      <c r="P319" s="98"/>
      <c r="Q319" s="133">
        <v>115</v>
      </c>
      <c r="R319" s="95"/>
      <c r="S319" s="95"/>
      <c r="T319" s="95"/>
      <c r="U319" s="95"/>
      <c r="V319" s="95"/>
      <c r="W319" s="133">
        <v>984.49</v>
      </c>
      <c r="X319" s="95"/>
      <c r="Y319" s="95"/>
      <c r="Z319" s="95"/>
      <c r="AA319" s="95"/>
      <c r="AB319" s="95"/>
      <c r="AC319" s="101">
        <v>113216.35</v>
      </c>
      <c r="AD319" s="95"/>
      <c r="AE319" s="95"/>
      <c r="AF319" s="31"/>
      <c r="AG319" s="31"/>
      <c r="AH319"/>
      <c r="AI319"/>
      <c r="AJ319"/>
      <c r="AK319"/>
      <c r="AM319"/>
    </row>
    <row r="320" spans="1:39" ht="25.15" customHeight="1" outlineLevel="1" x14ac:dyDescent="0.2">
      <c r="A320" s="10" t="s">
        <v>383</v>
      </c>
      <c r="B320" s="98" t="s">
        <v>384</v>
      </c>
      <c r="C320" s="98"/>
      <c r="D320" s="98"/>
      <c r="E320" s="98"/>
      <c r="F320" s="98"/>
      <c r="G320" s="98"/>
      <c r="H320" s="98"/>
      <c r="I320" s="98"/>
      <c r="J320" s="98"/>
      <c r="K320" s="98"/>
      <c r="L320" s="98"/>
      <c r="M320" s="98"/>
      <c r="N320" s="98" t="s">
        <v>158</v>
      </c>
      <c r="O320" s="98"/>
      <c r="P320" s="98"/>
      <c r="Q320" s="97">
        <v>14</v>
      </c>
      <c r="R320" s="95"/>
      <c r="S320" s="95"/>
      <c r="T320" s="95"/>
      <c r="U320" s="95"/>
      <c r="V320" s="95"/>
      <c r="W320" s="132">
        <v>1125.3800000000001</v>
      </c>
      <c r="X320" s="95"/>
      <c r="Y320" s="95"/>
      <c r="Z320" s="95"/>
      <c r="AA320" s="95"/>
      <c r="AB320" s="95"/>
      <c r="AC320" s="126">
        <v>15755.32</v>
      </c>
      <c r="AD320" s="95"/>
      <c r="AE320" s="95"/>
      <c r="AF320" s="31"/>
      <c r="AG320" s="31"/>
      <c r="AH320"/>
      <c r="AI320"/>
      <c r="AJ320"/>
      <c r="AK320"/>
      <c r="AM320"/>
    </row>
    <row r="321" spans="1:39" ht="25.15" customHeight="1" outlineLevel="1" x14ac:dyDescent="0.2">
      <c r="A321" s="10" t="s">
        <v>385</v>
      </c>
      <c r="B321" s="98" t="s">
        <v>386</v>
      </c>
      <c r="C321" s="98"/>
      <c r="D321" s="98"/>
      <c r="E321" s="98"/>
      <c r="F321" s="98"/>
      <c r="G321" s="98"/>
      <c r="H321" s="98"/>
      <c r="I321" s="98"/>
      <c r="J321" s="98"/>
      <c r="K321" s="98"/>
      <c r="L321" s="98"/>
      <c r="M321" s="98"/>
      <c r="N321" s="98" t="s">
        <v>158</v>
      </c>
      <c r="O321" s="98"/>
      <c r="P321" s="98"/>
      <c r="Q321" s="133">
        <v>227</v>
      </c>
      <c r="R321" s="95"/>
      <c r="S321" s="95"/>
      <c r="T321" s="95"/>
      <c r="U321" s="95"/>
      <c r="V321" s="95"/>
      <c r="W321" s="133">
        <v>225.57</v>
      </c>
      <c r="X321" s="95"/>
      <c r="Y321" s="95"/>
      <c r="Z321" s="95"/>
      <c r="AA321" s="95"/>
      <c r="AB321" s="95"/>
      <c r="AC321" s="126">
        <v>51204.39</v>
      </c>
      <c r="AD321" s="95"/>
      <c r="AE321" s="95"/>
      <c r="AF321" s="31"/>
      <c r="AG321" s="31"/>
      <c r="AH321"/>
      <c r="AI321"/>
      <c r="AJ321"/>
      <c r="AK321"/>
      <c r="AM321"/>
    </row>
    <row r="322" spans="1:39" ht="25.15" customHeight="1" outlineLevel="1" x14ac:dyDescent="0.2">
      <c r="A322" s="10" t="s">
        <v>387</v>
      </c>
      <c r="B322" s="98" t="s">
        <v>388</v>
      </c>
      <c r="C322" s="98"/>
      <c r="D322" s="98"/>
      <c r="E322" s="98"/>
      <c r="F322" s="98"/>
      <c r="G322" s="98"/>
      <c r="H322" s="98"/>
      <c r="I322" s="98"/>
      <c r="J322" s="98"/>
      <c r="K322" s="98"/>
      <c r="L322" s="98"/>
      <c r="M322" s="98"/>
      <c r="N322" s="98" t="s">
        <v>158</v>
      </c>
      <c r="O322" s="98"/>
      <c r="P322" s="98"/>
      <c r="Q322" s="99">
        <v>5</v>
      </c>
      <c r="R322" s="95"/>
      <c r="S322" s="95"/>
      <c r="T322" s="95"/>
      <c r="U322" s="95"/>
      <c r="V322" s="95"/>
      <c r="W322" s="133">
        <v>499.8</v>
      </c>
      <c r="X322" s="95"/>
      <c r="Y322" s="95"/>
      <c r="Z322" s="95"/>
      <c r="AA322" s="95"/>
      <c r="AB322" s="95"/>
      <c r="AC322" s="94">
        <v>2499</v>
      </c>
      <c r="AD322" s="95"/>
      <c r="AE322" s="95"/>
      <c r="AF322" s="31"/>
      <c r="AG322" s="31"/>
      <c r="AH322"/>
      <c r="AI322"/>
      <c r="AJ322"/>
      <c r="AK322"/>
      <c r="AM322"/>
    </row>
    <row r="323" spans="1:39" ht="25.15" customHeight="1" outlineLevel="1" x14ac:dyDescent="0.2">
      <c r="A323" s="10" t="s">
        <v>389</v>
      </c>
      <c r="B323" s="98" t="s">
        <v>390</v>
      </c>
      <c r="C323" s="98"/>
      <c r="D323" s="98"/>
      <c r="E323" s="98"/>
      <c r="F323" s="98"/>
      <c r="G323" s="98"/>
      <c r="H323" s="98"/>
      <c r="I323" s="98"/>
      <c r="J323" s="98"/>
      <c r="K323" s="98"/>
      <c r="L323" s="98"/>
      <c r="M323" s="98"/>
      <c r="N323" s="98" t="s">
        <v>158</v>
      </c>
      <c r="O323" s="98"/>
      <c r="P323" s="98"/>
      <c r="Q323" s="97">
        <v>24</v>
      </c>
      <c r="R323" s="95"/>
      <c r="S323" s="95"/>
      <c r="T323" s="95"/>
      <c r="U323" s="95"/>
      <c r="V323" s="95"/>
      <c r="W323" s="133">
        <v>499.8</v>
      </c>
      <c r="X323" s="95"/>
      <c r="Y323" s="95"/>
      <c r="Z323" s="95"/>
      <c r="AA323" s="95"/>
      <c r="AB323" s="95"/>
      <c r="AC323" s="126">
        <v>11995.2</v>
      </c>
      <c r="AD323" s="95"/>
      <c r="AE323" s="95"/>
      <c r="AF323" s="31"/>
      <c r="AG323" s="31"/>
      <c r="AH323"/>
      <c r="AI323"/>
      <c r="AJ323"/>
      <c r="AK323"/>
      <c r="AM323"/>
    </row>
    <row r="324" spans="1:39" ht="25.15" customHeight="1" outlineLevel="1" x14ac:dyDescent="0.2">
      <c r="A324" s="10" t="s">
        <v>391</v>
      </c>
      <c r="B324" s="98" t="s">
        <v>392</v>
      </c>
      <c r="C324" s="98"/>
      <c r="D324" s="98"/>
      <c r="E324" s="98"/>
      <c r="F324" s="98"/>
      <c r="G324" s="98"/>
      <c r="H324" s="98"/>
      <c r="I324" s="98"/>
      <c r="J324" s="98"/>
      <c r="K324" s="98"/>
      <c r="L324" s="98"/>
      <c r="M324" s="98"/>
      <c r="N324" s="98" t="s">
        <v>158</v>
      </c>
      <c r="O324" s="98"/>
      <c r="P324" s="98"/>
      <c r="Q324" s="99">
        <v>3</v>
      </c>
      <c r="R324" s="95"/>
      <c r="S324" s="95"/>
      <c r="T324" s="95"/>
      <c r="U324" s="95"/>
      <c r="V324" s="95"/>
      <c r="W324" s="133">
        <v>635.97</v>
      </c>
      <c r="X324" s="95"/>
      <c r="Y324" s="95"/>
      <c r="Z324" s="95"/>
      <c r="AA324" s="95"/>
      <c r="AB324" s="95"/>
      <c r="AC324" s="94">
        <v>1907.91</v>
      </c>
      <c r="AD324" s="95"/>
      <c r="AE324" s="95"/>
      <c r="AF324" s="31"/>
      <c r="AG324" s="31"/>
      <c r="AH324"/>
      <c r="AI324"/>
      <c r="AJ324"/>
      <c r="AK324"/>
      <c r="AM324"/>
    </row>
    <row r="325" spans="1:39" ht="25.15" customHeight="1" outlineLevel="1" x14ac:dyDescent="0.2">
      <c r="A325" s="18" t="s">
        <v>393</v>
      </c>
      <c r="B325" s="137" t="s">
        <v>394</v>
      </c>
      <c r="C325" s="137"/>
      <c r="D325" s="137"/>
      <c r="E325" s="137"/>
      <c r="F325" s="137"/>
      <c r="G325" s="137"/>
      <c r="H325" s="137"/>
      <c r="I325" s="137"/>
      <c r="J325" s="137"/>
      <c r="K325" s="137"/>
      <c r="L325" s="137"/>
      <c r="M325" s="137"/>
      <c r="N325" s="137"/>
      <c r="O325" s="137"/>
      <c r="P325" s="137"/>
      <c r="Q325" s="160"/>
      <c r="R325" s="160"/>
      <c r="S325" s="160"/>
      <c r="T325" s="160"/>
      <c r="U325" s="160"/>
      <c r="V325" s="160"/>
      <c r="W325" s="160"/>
      <c r="X325" s="160"/>
      <c r="Y325" s="160"/>
      <c r="Z325" s="160"/>
      <c r="AA325" s="160"/>
      <c r="AB325" s="160"/>
      <c r="AC325" s="162">
        <v>156574.1</v>
      </c>
      <c r="AD325" s="160"/>
      <c r="AE325" s="160"/>
      <c r="AF325" s="31"/>
      <c r="AG325" s="31"/>
      <c r="AH325"/>
      <c r="AI325"/>
      <c r="AJ325"/>
      <c r="AK325"/>
      <c r="AM325"/>
    </row>
    <row r="326" spans="1:39" ht="25.15" customHeight="1" outlineLevel="1" x14ac:dyDescent="0.2">
      <c r="A326" s="10" t="s">
        <v>395</v>
      </c>
      <c r="B326" s="98" t="s">
        <v>396</v>
      </c>
      <c r="C326" s="98"/>
      <c r="D326" s="98"/>
      <c r="E326" s="98"/>
      <c r="F326" s="98"/>
      <c r="G326" s="98"/>
      <c r="H326" s="98"/>
      <c r="I326" s="98"/>
      <c r="J326" s="98"/>
      <c r="K326" s="98"/>
      <c r="L326" s="98"/>
      <c r="M326" s="98"/>
      <c r="N326" s="98" t="s">
        <v>158</v>
      </c>
      <c r="O326" s="98"/>
      <c r="P326" s="98"/>
      <c r="Q326" s="133">
        <v>244</v>
      </c>
      <c r="R326" s="95"/>
      <c r="S326" s="95"/>
      <c r="T326" s="95"/>
      <c r="U326" s="95"/>
      <c r="V326" s="95"/>
      <c r="W326" s="133">
        <v>235.57</v>
      </c>
      <c r="X326" s="95"/>
      <c r="Y326" s="95"/>
      <c r="Z326" s="95"/>
      <c r="AA326" s="95"/>
      <c r="AB326" s="95"/>
      <c r="AC326" s="126">
        <v>57479.08</v>
      </c>
      <c r="AD326" s="95"/>
      <c r="AE326" s="95"/>
      <c r="AF326" s="31"/>
      <c r="AG326" s="31"/>
      <c r="AH326"/>
      <c r="AI326"/>
      <c r="AJ326"/>
      <c r="AK326"/>
      <c r="AM326"/>
    </row>
    <row r="327" spans="1:39" ht="25.15" customHeight="1" outlineLevel="1" x14ac:dyDescent="0.2">
      <c r="A327" s="10" t="s">
        <v>397</v>
      </c>
      <c r="B327" s="98" t="s">
        <v>398</v>
      </c>
      <c r="C327" s="98"/>
      <c r="D327" s="98"/>
      <c r="E327" s="98"/>
      <c r="F327" s="98"/>
      <c r="G327" s="98"/>
      <c r="H327" s="98"/>
      <c r="I327" s="98"/>
      <c r="J327" s="98"/>
      <c r="K327" s="98"/>
      <c r="L327" s="98"/>
      <c r="M327" s="98"/>
      <c r="N327" s="98" t="s">
        <v>158</v>
      </c>
      <c r="O327" s="98"/>
      <c r="P327" s="98"/>
      <c r="Q327" s="133">
        <v>130</v>
      </c>
      <c r="R327" s="95"/>
      <c r="S327" s="95"/>
      <c r="T327" s="95"/>
      <c r="U327" s="95"/>
      <c r="V327" s="95"/>
      <c r="W327" s="133">
        <v>240.8</v>
      </c>
      <c r="X327" s="95"/>
      <c r="Y327" s="95"/>
      <c r="Z327" s="95"/>
      <c r="AA327" s="95"/>
      <c r="AB327" s="95"/>
      <c r="AC327" s="126">
        <v>31304</v>
      </c>
      <c r="AD327" s="95"/>
      <c r="AE327" s="95"/>
      <c r="AF327" s="31"/>
      <c r="AG327" s="31"/>
      <c r="AH327"/>
      <c r="AI327"/>
      <c r="AJ327"/>
      <c r="AK327"/>
      <c r="AM327"/>
    </row>
    <row r="328" spans="1:39" ht="25.15" customHeight="1" outlineLevel="1" x14ac:dyDescent="0.2">
      <c r="A328" s="13"/>
      <c r="B328" s="96" t="s">
        <v>791</v>
      </c>
      <c r="C328" s="96"/>
      <c r="D328" s="96"/>
      <c r="E328" s="96"/>
      <c r="F328" s="96"/>
      <c r="G328" s="96"/>
      <c r="H328" s="96"/>
      <c r="I328" s="96"/>
      <c r="J328" s="96"/>
      <c r="K328" s="96"/>
      <c r="L328" s="96"/>
      <c r="M328" s="96"/>
      <c r="N328" s="96" t="s">
        <v>158</v>
      </c>
      <c r="O328" s="96"/>
      <c r="P328" s="96"/>
      <c r="Q328" s="156"/>
      <c r="R328" s="129"/>
      <c r="S328" s="129"/>
      <c r="T328" s="129"/>
      <c r="U328" s="129"/>
      <c r="V328" s="129"/>
      <c r="W328" s="128"/>
      <c r="X328" s="129"/>
      <c r="Y328" s="129"/>
      <c r="Z328" s="129"/>
      <c r="AA328" s="129"/>
      <c r="AB328" s="129"/>
      <c r="AC328" s="138"/>
      <c r="AD328" s="129"/>
      <c r="AE328" s="129"/>
      <c r="AF328" s="31" t="s">
        <v>904</v>
      </c>
      <c r="AG328" s="31"/>
      <c r="AH328"/>
      <c r="AI328"/>
      <c r="AJ328"/>
      <c r="AK328"/>
      <c r="AM328"/>
    </row>
    <row r="329" spans="1:39" ht="25.15" customHeight="1" outlineLevel="1" x14ac:dyDescent="0.2">
      <c r="A329" s="13"/>
      <c r="B329" s="96" t="s">
        <v>769</v>
      </c>
      <c r="C329" s="96"/>
      <c r="D329" s="96"/>
      <c r="E329" s="96"/>
      <c r="F329" s="96"/>
      <c r="G329" s="96"/>
      <c r="H329" s="96"/>
      <c r="I329" s="96"/>
      <c r="J329" s="96"/>
      <c r="K329" s="96"/>
      <c r="L329" s="96"/>
      <c r="M329" s="96"/>
      <c r="N329" s="96" t="s">
        <v>158</v>
      </c>
      <c r="O329" s="96"/>
      <c r="P329" s="96"/>
      <c r="Q329" s="156"/>
      <c r="R329" s="129"/>
      <c r="S329" s="129"/>
      <c r="T329" s="129"/>
      <c r="U329" s="129"/>
      <c r="V329" s="129"/>
      <c r="W329" s="128"/>
      <c r="X329" s="129"/>
      <c r="Y329" s="129"/>
      <c r="Z329" s="129"/>
      <c r="AA329" s="129"/>
      <c r="AB329" s="129"/>
      <c r="AC329" s="138"/>
      <c r="AD329" s="129"/>
      <c r="AE329" s="129"/>
      <c r="AF329" s="43"/>
      <c r="AG329" s="31"/>
      <c r="AH329"/>
      <c r="AI329"/>
      <c r="AJ329"/>
      <c r="AK329"/>
      <c r="AM329"/>
    </row>
    <row r="330" spans="1:39" ht="25.15" customHeight="1" outlineLevel="1" x14ac:dyDescent="0.2">
      <c r="A330" s="13"/>
      <c r="B330" s="96" t="s">
        <v>790</v>
      </c>
      <c r="C330" s="96"/>
      <c r="D330" s="96"/>
      <c r="E330" s="96"/>
      <c r="F330" s="96"/>
      <c r="G330" s="96"/>
      <c r="H330" s="96"/>
      <c r="I330" s="96"/>
      <c r="J330" s="96"/>
      <c r="K330" s="96"/>
      <c r="L330" s="96"/>
      <c r="M330" s="96"/>
      <c r="N330" s="96" t="s">
        <v>158</v>
      </c>
      <c r="O330" s="96"/>
      <c r="P330" s="96"/>
      <c r="Q330" s="156"/>
      <c r="R330" s="129"/>
      <c r="S330" s="129"/>
      <c r="T330" s="129"/>
      <c r="U330" s="129"/>
      <c r="V330" s="129"/>
      <c r="W330" s="128"/>
      <c r="X330" s="129"/>
      <c r="Y330" s="129"/>
      <c r="Z330" s="129"/>
      <c r="AA330" s="129"/>
      <c r="AB330" s="129"/>
      <c r="AC330" s="138"/>
      <c r="AD330" s="129"/>
      <c r="AE330" s="129"/>
      <c r="AF330" s="31" t="s">
        <v>904</v>
      </c>
      <c r="AG330" s="31"/>
      <c r="AH330"/>
      <c r="AI330"/>
      <c r="AJ330"/>
      <c r="AK330"/>
      <c r="AM330"/>
    </row>
    <row r="331" spans="1:39" ht="25.15" customHeight="1" outlineLevel="1" x14ac:dyDescent="0.2">
      <c r="A331" s="17" t="s">
        <v>399</v>
      </c>
      <c r="B331" s="183" t="s">
        <v>400</v>
      </c>
      <c r="C331" s="183"/>
      <c r="D331" s="183"/>
      <c r="E331" s="183"/>
      <c r="F331" s="183"/>
      <c r="G331" s="183"/>
      <c r="H331" s="183"/>
      <c r="I331" s="183"/>
      <c r="J331" s="183"/>
      <c r="K331" s="183"/>
      <c r="L331" s="183"/>
      <c r="M331" s="183"/>
      <c r="N331" s="183" t="s">
        <v>158</v>
      </c>
      <c r="O331" s="183"/>
      <c r="P331" s="183"/>
      <c r="Q331" s="235">
        <v>2</v>
      </c>
      <c r="R331" s="165"/>
      <c r="S331" s="165"/>
      <c r="T331" s="165"/>
      <c r="U331" s="165"/>
      <c r="V331" s="165"/>
      <c r="W331" s="164">
        <v>274.99</v>
      </c>
      <c r="X331" s="165"/>
      <c r="Y331" s="165"/>
      <c r="Z331" s="165"/>
      <c r="AA331" s="165"/>
      <c r="AB331" s="165"/>
      <c r="AC331" s="236">
        <v>549.98</v>
      </c>
      <c r="AD331" s="165"/>
      <c r="AE331" s="165"/>
      <c r="AF331" s="31"/>
      <c r="AG331" s="31"/>
      <c r="AH331"/>
      <c r="AI331"/>
      <c r="AJ331"/>
      <c r="AK331"/>
      <c r="AM331"/>
    </row>
    <row r="332" spans="1:39" ht="25.15" customHeight="1" outlineLevel="1" x14ac:dyDescent="0.2">
      <c r="A332" s="10" t="s">
        <v>401</v>
      </c>
      <c r="B332" s="98" t="s">
        <v>402</v>
      </c>
      <c r="C332" s="98"/>
      <c r="D332" s="98"/>
      <c r="E332" s="98"/>
      <c r="F332" s="98"/>
      <c r="G332" s="98"/>
      <c r="H332" s="98"/>
      <c r="I332" s="98"/>
      <c r="J332" s="98"/>
      <c r="K332" s="98"/>
      <c r="L332" s="98"/>
      <c r="M332" s="98"/>
      <c r="N332" s="98" t="s">
        <v>158</v>
      </c>
      <c r="O332" s="98"/>
      <c r="P332" s="98"/>
      <c r="Q332" s="99">
        <v>3</v>
      </c>
      <c r="R332" s="95"/>
      <c r="S332" s="95"/>
      <c r="T332" s="95"/>
      <c r="U332" s="95"/>
      <c r="V332" s="95"/>
      <c r="W332" s="133">
        <v>270.56</v>
      </c>
      <c r="X332" s="95"/>
      <c r="Y332" s="95"/>
      <c r="Z332" s="95"/>
      <c r="AA332" s="95"/>
      <c r="AB332" s="95"/>
      <c r="AC332" s="182">
        <v>811.68</v>
      </c>
      <c r="AD332" s="95"/>
      <c r="AE332" s="95"/>
      <c r="AF332" s="31"/>
      <c r="AG332" s="31"/>
      <c r="AH332"/>
      <c r="AI332"/>
      <c r="AJ332"/>
      <c r="AK332"/>
      <c r="AM332"/>
    </row>
    <row r="333" spans="1:39" ht="25.15" customHeight="1" outlineLevel="1" x14ac:dyDescent="0.2">
      <c r="A333" s="10" t="s">
        <v>403</v>
      </c>
      <c r="B333" s="98" t="s">
        <v>404</v>
      </c>
      <c r="C333" s="98"/>
      <c r="D333" s="98"/>
      <c r="E333" s="98"/>
      <c r="F333" s="98"/>
      <c r="G333" s="98"/>
      <c r="H333" s="98"/>
      <c r="I333" s="98"/>
      <c r="J333" s="98"/>
      <c r="K333" s="98"/>
      <c r="L333" s="98"/>
      <c r="M333" s="98"/>
      <c r="N333" s="98" t="s">
        <v>158</v>
      </c>
      <c r="O333" s="98"/>
      <c r="P333" s="98"/>
      <c r="Q333" s="133">
        <v>247</v>
      </c>
      <c r="R333" s="95"/>
      <c r="S333" s="95"/>
      <c r="T333" s="95"/>
      <c r="U333" s="95"/>
      <c r="V333" s="95"/>
      <c r="W333" s="97">
        <v>66.92</v>
      </c>
      <c r="X333" s="95"/>
      <c r="Y333" s="95"/>
      <c r="Z333" s="95"/>
      <c r="AA333" s="95"/>
      <c r="AB333" s="95"/>
      <c r="AC333" s="126">
        <v>16529.240000000002</v>
      </c>
      <c r="AD333" s="95"/>
      <c r="AE333" s="95"/>
      <c r="AF333" s="31"/>
      <c r="AG333" s="31"/>
      <c r="AH333"/>
      <c r="AI333"/>
      <c r="AJ333"/>
      <c r="AK333"/>
      <c r="AM333"/>
    </row>
    <row r="334" spans="1:39" ht="25.15" customHeight="1" outlineLevel="1" x14ac:dyDescent="0.2">
      <c r="A334" s="10" t="s">
        <v>405</v>
      </c>
      <c r="B334" s="98" t="s">
        <v>406</v>
      </c>
      <c r="C334" s="98"/>
      <c r="D334" s="98"/>
      <c r="E334" s="98"/>
      <c r="F334" s="98"/>
      <c r="G334" s="98"/>
      <c r="H334" s="98"/>
      <c r="I334" s="98"/>
      <c r="J334" s="98"/>
      <c r="K334" s="98"/>
      <c r="L334" s="98"/>
      <c r="M334" s="98"/>
      <c r="N334" s="98" t="s">
        <v>158</v>
      </c>
      <c r="O334" s="98"/>
      <c r="P334" s="98"/>
      <c r="Q334" s="133">
        <v>115</v>
      </c>
      <c r="R334" s="95"/>
      <c r="S334" s="95"/>
      <c r="T334" s="95"/>
      <c r="U334" s="95"/>
      <c r="V334" s="95"/>
      <c r="W334" s="97">
        <v>66.92</v>
      </c>
      <c r="X334" s="95"/>
      <c r="Y334" s="95"/>
      <c r="Z334" s="95"/>
      <c r="AA334" s="95"/>
      <c r="AB334" s="95"/>
      <c r="AC334" s="94">
        <v>7695.8</v>
      </c>
      <c r="AD334" s="95"/>
      <c r="AE334" s="95"/>
      <c r="AF334" s="31"/>
      <c r="AG334" s="31"/>
      <c r="AH334"/>
      <c r="AI334"/>
      <c r="AJ334"/>
      <c r="AK334"/>
      <c r="AM334"/>
    </row>
    <row r="335" spans="1:39" ht="25.15" customHeight="1" outlineLevel="1" x14ac:dyDescent="0.2">
      <c r="A335" s="10"/>
      <c r="B335" s="96" t="s">
        <v>770</v>
      </c>
      <c r="C335" s="96"/>
      <c r="D335" s="96"/>
      <c r="E335" s="96"/>
      <c r="F335" s="96"/>
      <c r="G335" s="96"/>
      <c r="H335" s="96"/>
      <c r="I335" s="96"/>
      <c r="J335" s="96"/>
      <c r="K335" s="96"/>
      <c r="L335" s="96"/>
      <c r="M335" s="96"/>
      <c r="N335" s="96"/>
      <c r="O335" s="96"/>
      <c r="P335" s="96"/>
      <c r="Q335" s="128"/>
      <c r="R335" s="129"/>
      <c r="S335" s="129"/>
      <c r="T335" s="129"/>
      <c r="U335" s="129"/>
      <c r="V335" s="129"/>
      <c r="W335" s="130"/>
      <c r="X335" s="129"/>
      <c r="Y335" s="129"/>
      <c r="Z335" s="129"/>
      <c r="AA335" s="129"/>
      <c r="AB335" s="129"/>
      <c r="AC335" s="131"/>
      <c r="AD335" s="129"/>
      <c r="AE335" s="129"/>
      <c r="AF335" s="31" t="s">
        <v>895</v>
      </c>
      <c r="AG335" s="31"/>
      <c r="AH335"/>
      <c r="AI335"/>
      <c r="AJ335"/>
      <c r="AK335"/>
      <c r="AM335"/>
    </row>
    <row r="336" spans="1:39" ht="25.15" customHeight="1" outlineLevel="1" x14ac:dyDescent="0.2">
      <c r="A336" s="10" t="s">
        <v>407</v>
      </c>
      <c r="B336" s="98" t="s">
        <v>408</v>
      </c>
      <c r="C336" s="98"/>
      <c r="D336" s="98"/>
      <c r="E336" s="98"/>
      <c r="F336" s="98"/>
      <c r="G336" s="98"/>
      <c r="H336" s="98"/>
      <c r="I336" s="98"/>
      <c r="J336" s="98"/>
      <c r="K336" s="98"/>
      <c r="L336" s="98"/>
      <c r="M336" s="98"/>
      <c r="N336" s="98" t="s">
        <v>158</v>
      </c>
      <c r="O336" s="98"/>
      <c r="P336" s="98"/>
      <c r="Q336" s="97">
        <v>88</v>
      </c>
      <c r="R336" s="95"/>
      <c r="S336" s="95"/>
      <c r="T336" s="95"/>
      <c r="U336" s="95"/>
      <c r="V336" s="95"/>
      <c r="W336" s="133">
        <v>374.9</v>
      </c>
      <c r="X336" s="95"/>
      <c r="Y336" s="95"/>
      <c r="Z336" s="95"/>
      <c r="AA336" s="95"/>
      <c r="AB336" s="95"/>
      <c r="AC336" s="126">
        <v>32991.199999999997</v>
      </c>
      <c r="AD336" s="95"/>
      <c r="AE336" s="95"/>
      <c r="AF336" s="31"/>
      <c r="AG336" s="31"/>
      <c r="AH336"/>
      <c r="AI336"/>
      <c r="AJ336"/>
      <c r="AK336"/>
      <c r="AM336"/>
    </row>
    <row r="337" spans="1:39" ht="25.15" customHeight="1" outlineLevel="1" x14ac:dyDescent="0.2">
      <c r="A337" s="10" t="s">
        <v>409</v>
      </c>
      <c r="B337" s="98" t="s">
        <v>410</v>
      </c>
      <c r="C337" s="98"/>
      <c r="D337" s="98"/>
      <c r="E337" s="98"/>
      <c r="F337" s="98"/>
      <c r="G337" s="98"/>
      <c r="H337" s="98"/>
      <c r="I337" s="98"/>
      <c r="J337" s="98"/>
      <c r="K337" s="98"/>
      <c r="L337" s="98"/>
      <c r="M337" s="98"/>
      <c r="N337" s="98" t="s">
        <v>158</v>
      </c>
      <c r="O337" s="98"/>
      <c r="P337" s="98"/>
      <c r="Q337" s="133">
        <v>252</v>
      </c>
      <c r="R337" s="95"/>
      <c r="S337" s="95"/>
      <c r="T337" s="95"/>
      <c r="U337" s="95"/>
      <c r="V337" s="95"/>
      <c r="W337" s="97">
        <v>36.56</v>
      </c>
      <c r="X337" s="95"/>
      <c r="Y337" s="95"/>
      <c r="Z337" s="95"/>
      <c r="AA337" s="95"/>
      <c r="AB337" s="95"/>
      <c r="AC337" s="94">
        <v>9213.1200000000008</v>
      </c>
      <c r="AD337" s="95"/>
      <c r="AE337" s="95"/>
      <c r="AF337" s="31"/>
      <c r="AG337" s="31"/>
      <c r="AH337"/>
      <c r="AI337"/>
      <c r="AJ337"/>
      <c r="AK337"/>
      <c r="AM337"/>
    </row>
    <row r="338" spans="1:39" ht="25.15" customHeight="1" outlineLevel="1" x14ac:dyDescent="0.2">
      <c r="A338" s="18"/>
      <c r="B338" s="137" t="s">
        <v>930</v>
      </c>
      <c r="C338" s="137"/>
      <c r="D338" s="137"/>
      <c r="E338" s="137"/>
      <c r="F338" s="137"/>
      <c r="G338" s="137"/>
      <c r="H338" s="137"/>
      <c r="I338" s="137"/>
      <c r="J338" s="137"/>
      <c r="K338" s="137"/>
      <c r="L338" s="137"/>
      <c r="M338" s="137"/>
      <c r="N338" s="137"/>
      <c r="O338" s="137"/>
      <c r="P338" s="137"/>
      <c r="Q338" s="160"/>
      <c r="R338" s="160"/>
      <c r="S338" s="160"/>
      <c r="T338" s="160"/>
      <c r="U338" s="160"/>
      <c r="V338" s="160"/>
      <c r="W338" s="160"/>
      <c r="X338" s="160"/>
      <c r="Y338" s="160"/>
      <c r="Z338" s="160"/>
      <c r="AA338" s="160"/>
      <c r="AB338" s="160"/>
      <c r="AC338" s="162">
        <v>156574.1</v>
      </c>
      <c r="AD338" s="160"/>
      <c r="AE338" s="160"/>
      <c r="AF338" s="31"/>
      <c r="AG338" s="31"/>
      <c r="AH338"/>
      <c r="AI338"/>
      <c r="AJ338"/>
      <c r="AK338"/>
      <c r="AM338"/>
    </row>
    <row r="339" spans="1:39" ht="25.15" customHeight="1" outlineLevel="1" x14ac:dyDescent="0.2">
      <c r="A339" s="9"/>
      <c r="B339" s="96" t="s">
        <v>788</v>
      </c>
      <c r="C339" s="96"/>
      <c r="D339" s="96"/>
      <c r="E339" s="96"/>
      <c r="F339" s="96"/>
      <c r="G339" s="96"/>
      <c r="H339" s="96"/>
      <c r="I339" s="96"/>
      <c r="J339" s="96"/>
      <c r="K339" s="96"/>
      <c r="L339" s="96"/>
      <c r="M339" s="96"/>
      <c r="N339" s="96" t="s">
        <v>27</v>
      </c>
      <c r="O339" s="96"/>
      <c r="P339" s="96"/>
      <c r="Q339" s="150"/>
      <c r="R339" s="150"/>
      <c r="S339" s="150"/>
      <c r="T339" s="150"/>
      <c r="U339" s="150"/>
      <c r="V339" s="150"/>
      <c r="W339" s="150"/>
      <c r="X339" s="150"/>
      <c r="Y339" s="150"/>
      <c r="Z339" s="150"/>
      <c r="AA339" s="150"/>
      <c r="AB339" s="150"/>
      <c r="AC339" s="238"/>
      <c r="AD339" s="150"/>
      <c r="AE339" s="150"/>
      <c r="AF339" s="40" t="s">
        <v>929</v>
      </c>
      <c r="AG339" s="31"/>
      <c r="AH339"/>
      <c r="AI339"/>
      <c r="AJ339"/>
      <c r="AK339"/>
      <c r="AM339"/>
    </row>
    <row r="340" spans="1:39" ht="25.15" customHeight="1" outlineLevel="1" x14ac:dyDescent="0.2">
      <c r="A340" s="9"/>
      <c r="B340" s="96" t="s">
        <v>771</v>
      </c>
      <c r="C340" s="96"/>
      <c r="D340" s="96"/>
      <c r="E340" s="96"/>
      <c r="F340" s="96"/>
      <c r="G340" s="96"/>
      <c r="H340" s="96"/>
      <c r="I340" s="96"/>
      <c r="J340" s="96"/>
      <c r="K340" s="96"/>
      <c r="L340" s="96"/>
      <c r="M340" s="96"/>
      <c r="N340" s="96" t="s">
        <v>158</v>
      </c>
      <c r="O340" s="96"/>
      <c r="P340" s="96"/>
      <c r="Q340" s="150"/>
      <c r="R340" s="150"/>
      <c r="S340" s="150"/>
      <c r="T340" s="150"/>
      <c r="U340" s="150"/>
      <c r="V340" s="150"/>
      <c r="W340" s="150"/>
      <c r="X340" s="150"/>
      <c r="Y340" s="150"/>
      <c r="Z340" s="150"/>
      <c r="AA340" s="150"/>
      <c r="AB340" s="150"/>
      <c r="AC340" s="238"/>
      <c r="AD340" s="150"/>
      <c r="AE340" s="150"/>
      <c r="AF340" s="40"/>
      <c r="AG340" s="31"/>
      <c r="AH340"/>
      <c r="AI340"/>
      <c r="AJ340"/>
      <c r="AK340"/>
      <c r="AM340"/>
    </row>
    <row r="341" spans="1:39" ht="25.15" customHeight="1" outlineLevel="1" x14ac:dyDescent="0.2">
      <c r="A341" s="18" t="s">
        <v>411</v>
      </c>
      <c r="B341" s="137" t="s">
        <v>412</v>
      </c>
      <c r="C341" s="137"/>
      <c r="D341" s="137"/>
      <c r="E341" s="137"/>
      <c r="F341" s="137"/>
      <c r="G341" s="137"/>
      <c r="H341" s="137"/>
      <c r="I341" s="137"/>
      <c r="J341" s="137"/>
      <c r="K341" s="137"/>
      <c r="L341" s="137"/>
      <c r="M341" s="137"/>
      <c r="N341" s="137"/>
      <c r="O341" s="137"/>
      <c r="P341" s="137"/>
      <c r="Q341" s="160"/>
      <c r="R341" s="160"/>
      <c r="S341" s="160"/>
      <c r="T341" s="160"/>
      <c r="U341" s="160"/>
      <c r="V341" s="160"/>
      <c r="W341" s="160"/>
      <c r="X341" s="160"/>
      <c r="Y341" s="160"/>
      <c r="Z341" s="160"/>
      <c r="AA341" s="160"/>
      <c r="AB341" s="160"/>
      <c r="AC341" s="169">
        <v>22951.8</v>
      </c>
      <c r="AD341" s="160"/>
      <c r="AE341" s="160"/>
      <c r="AF341" s="31"/>
      <c r="AG341" s="31"/>
      <c r="AH341"/>
      <c r="AI341"/>
      <c r="AJ341"/>
      <c r="AK341"/>
      <c r="AM341"/>
    </row>
    <row r="342" spans="1:39" ht="25.15" customHeight="1" outlineLevel="1" x14ac:dyDescent="0.2">
      <c r="A342" s="10" t="s">
        <v>413</v>
      </c>
      <c r="B342" s="98" t="s">
        <v>414</v>
      </c>
      <c r="C342" s="98"/>
      <c r="D342" s="98"/>
      <c r="E342" s="98"/>
      <c r="F342" s="98"/>
      <c r="G342" s="98"/>
      <c r="H342" s="98"/>
      <c r="I342" s="98"/>
      <c r="J342" s="98"/>
      <c r="K342" s="98"/>
      <c r="L342" s="98"/>
      <c r="M342" s="98"/>
      <c r="N342" s="98" t="s">
        <v>158</v>
      </c>
      <c r="O342" s="98"/>
      <c r="P342" s="98"/>
      <c r="Q342" s="133">
        <v>123</v>
      </c>
      <c r="R342" s="95"/>
      <c r="S342" s="95"/>
      <c r="T342" s="95"/>
      <c r="U342" s="95"/>
      <c r="V342" s="95"/>
      <c r="W342" s="133">
        <v>186.6</v>
      </c>
      <c r="X342" s="95"/>
      <c r="Y342" s="95"/>
      <c r="Z342" s="95"/>
      <c r="AA342" s="95"/>
      <c r="AB342" s="95"/>
      <c r="AC342" s="126">
        <v>22951.8</v>
      </c>
      <c r="AD342" s="95"/>
      <c r="AE342" s="95"/>
      <c r="AF342" s="31"/>
      <c r="AG342" s="31"/>
      <c r="AH342"/>
      <c r="AI342"/>
      <c r="AJ342"/>
      <c r="AK342"/>
      <c r="AM342"/>
    </row>
    <row r="343" spans="1:39" ht="45.6" customHeight="1" x14ac:dyDescent="0.2">
      <c r="A343" s="29" t="s">
        <v>415</v>
      </c>
      <c r="B343" s="174" t="s">
        <v>932</v>
      </c>
      <c r="C343" s="174"/>
      <c r="D343" s="174"/>
      <c r="E343" s="174"/>
      <c r="F343" s="174"/>
      <c r="G343" s="174"/>
      <c r="H343" s="174"/>
      <c r="I343" s="174"/>
      <c r="J343" s="174"/>
      <c r="K343" s="174"/>
      <c r="L343" s="174"/>
      <c r="M343" s="174"/>
      <c r="N343" s="174"/>
      <c r="O343" s="174"/>
      <c r="P343" s="174"/>
      <c r="Q343" s="175"/>
      <c r="R343" s="175"/>
      <c r="S343" s="175"/>
      <c r="T343" s="175"/>
      <c r="U343" s="175"/>
      <c r="V343" s="175"/>
      <c r="W343" s="175"/>
      <c r="X343" s="175"/>
      <c r="Y343" s="175"/>
      <c r="Z343" s="175"/>
      <c r="AA343" s="175"/>
      <c r="AB343" s="175"/>
      <c r="AC343" s="237">
        <v>82295.88</v>
      </c>
      <c r="AD343" s="175"/>
      <c r="AE343" s="175"/>
      <c r="AF343" s="104" t="s">
        <v>878</v>
      </c>
      <c r="AG343" s="105"/>
      <c r="AH343"/>
      <c r="AI343"/>
      <c r="AJ343"/>
      <c r="AK343"/>
      <c r="AM343"/>
    </row>
    <row r="344" spans="1:39" ht="25.15" customHeight="1" outlineLevel="1" x14ac:dyDescent="0.2">
      <c r="A344" s="23" t="s">
        <v>417</v>
      </c>
      <c r="B344" s="246" t="s">
        <v>418</v>
      </c>
      <c r="C344" s="246"/>
      <c r="D344" s="246"/>
      <c r="E344" s="246"/>
      <c r="F344" s="246"/>
      <c r="G344" s="246"/>
      <c r="H344" s="246"/>
      <c r="I344" s="246"/>
      <c r="J344" s="246"/>
      <c r="K344" s="246"/>
      <c r="L344" s="246"/>
      <c r="M344" s="246"/>
      <c r="N344" s="246"/>
      <c r="O344" s="246"/>
      <c r="P344" s="246"/>
      <c r="Q344" s="247"/>
      <c r="R344" s="247"/>
      <c r="S344" s="247"/>
      <c r="T344" s="247"/>
      <c r="U344" s="247"/>
      <c r="V344" s="247"/>
      <c r="W344" s="247"/>
      <c r="X344" s="247"/>
      <c r="Y344" s="247"/>
      <c r="Z344" s="247"/>
      <c r="AA344" s="247"/>
      <c r="AB344" s="247"/>
      <c r="AC344" s="248">
        <v>82295.88</v>
      </c>
      <c r="AD344" s="247"/>
      <c r="AE344" s="247"/>
      <c r="AF344" s="31" t="s">
        <v>896</v>
      </c>
      <c r="AG344" s="31"/>
      <c r="AH344"/>
      <c r="AI344"/>
      <c r="AJ344"/>
      <c r="AK344"/>
      <c r="AM344"/>
    </row>
    <row r="345" spans="1:39" ht="25.15" customHeight="1" outlineLevel="1" x14ac:dyDescent="0.2">
      <c r="A345" s="23" t="s">
        <v>419</v>
      </c>
      <c r="B345" s="246" t="s">
        <v>420</v>
      </c>
      <c r="C345" s="246"/>
      <c r="D345" s="246"/>
      <c r="E345" s="246"/>
      <c r="F345" s="246"/>
      <c r="G345" s="246"/>
      <c r="H345" s="246"/>
      <c r="I345" s="246"/>
      <c r="J345" s="246"/>
      <c r="K345" s="246"/>
      <c r="L345" s="246"/>
      <c r="M345" s="246"/>
      <c r="N345" s="246"/>
      <c r="O345" s="246"/>
      <c r="P345" s="246"/>
      <c r="Q345" s="247"/>
      <c r="R345" s="247"/>
      <c r="S345" s="247"/>
      <c r="T345" s="247"/>
      <c r="U345" s="247"/>
      <c r="V345" s="247"/>
      <c r="W345" s="247"/>
      <c r="X345" s="247"/>
      <c r="Y345" s="247"/>
      <c r="Z345" s="247"/>
      <c r="AA345" s="247"/>
      <c r="AB345" s="247"/>
      <c r="AC345" s="248">
        <v>77231.5</v>
      </c>
      <c r="AD345" s="247"/>
      <c r="AE345" s="247"/>
      <c r="AF345" s="31" t="s">
        <v>897</v>
      </c>
      <c r="AG345" s="31"/>
      <c r="AH345"/>
      <c r="AI345"/>
      <c r="AJ345"/>
      <c r="AK345"/>
      <c r="AM345"/>
    </row>
    <row r="346" spans="1:39" ht="25.15" customHeight="1" outlineLevel="1" x14ac:dyDescent="0.2">
      <c r="A346" s="14" t="s">
        <v>421</v>
      </c>
      <c r="B346" s="239" t="s">
        <v>422</v>
      </c>
      <c r="C346" s="239"/>
      <c r="D346" s="239"/>
      <c r="E346" s="239"/>
      <c r="F346" s="239"/>
      <c r="G346" s="239"/>
      <c r="H346" s="239"/>
      <c r="I346" s="239"/>
      <c r="J346" s="239"/>
      <c r="K346" s="239"/>
      <c r="L346" s="239"/>
      <c r="M346" s="239"/>
      <c r="N346" s="239" t="s">
        <v>47</v>
      </c>
      <c r="O346" s="239"/>
      <c r="P346" s="239"/>
      <c r="Q346" s="240">
        <v>186.1</v>
      </c>
      <c r="R346" s="241"/>
      <c r="S346" s="241"/>
      <c r="T346" s="241"/>
      <c r="U346" s="241"/>
      <c r="V346" s="241"/>
      <c r="W346" s="242">
        <v>415</v>
      </c>
      <c r="X346" s="243"/>
      <c r="Y346" s="243"/>
      <c r="Z346" s="243"/>
      <c r="AA346" s="243"/>
      <c r="AB346" s="243"/>
      <c r="AC346" s="244">
        <v>77231.5</v>
      </c>
      <c r="AD346" s="243"/>
      <c r="AE346" s="243"/>
      <c r="AF346" s="49" t="s">
        <v>898</v>
      </c>
      <c r="AG346" s="31"/>
      <c r="AH346"/>
      <c r="AI346"/>
      <c r="AJ346"/>
      <c r="AK346"/>
      <c r="AM346"/>
    </row>
    <row r="347" spans="1:39" ht="25.15" customHeight="1" outlineLevel="1" x14ac:dyDescent="0.2">
      <c r="A347" s="10"/>
      <c r="B347" s="96" t="s">
        <v>774</v>
      </c>
      <c r="C347" s="96"/>
      <c r="D347" s="96"/>
      <c r="E347" s="96"/>
      <c r="F347" s="96"/>
      <c r="G347" s="96"/>
      <c r="H347" s="96"/>
      <c r="I347" s="96"/>
      <c r="J347" s="96"/>
      <c r="K347" s="96"/>
      <c r="L347" s="96"/>
      <c r="M347" s="96"/>
      <c r="N347" s="96" t="s">
        <v>762</v>
      </c>
      <c r="O347" s="96"/>
      <c r="P347" s="96"/>
      <c r="Q347" s="249"/>
      <c r="R347" s="250"/>
      <c r="S347" s="250"/>
      <c r="T347" s="250"/>
      <c r="U347" s="250"/>
      <c r="V347" s="250"/>
      <c r="W347" s="133"/>
      <c r="X347" s="95"/>
      <c r="Y347" s="95"/>
      <c r="Z347" s="95"/>
      <c r="AA347" s="95"/>
      <c r="AB347" s="95"/>
      <c r="AC347" s="126"/>
      <c r="AD347" s="95"/>
      <c r="AE347" s="95"/>
      <c r="AF347" s="31"/>
      <c r="AG347" s="31"/>
      <c r="AH347"/>
      <c r="AI347"/>
      <c r="AJ347"/>
      <c r="AK347"/>
      <c r="AM347"/>
    </row>
    <row r="348" spans="1:39" ht="25.15" customHeight="1" outlineLevel="1" x14ac:dyDescent="0.2">
      <c r="A348" s="9"/>
      <c r="B348" s="96" t="s">
        <v>798</v>
      </c>
      <c r="C348" s="96"/>
      <c r="D348" s="96"/>
      <c r="E348" s="96"/>
      <c r="F348" s="96"/>
      <c r="G348" s="96"/>
      <c r="H348" s="96"/>
      <c r="I348" s="96"/>
      <c r="J348" s="96"/>
      <c r="K348" s="96"/>
      <c r="L348" s="96"/>
      <c r="M348" s="96"/>
      <c r="N348" s="96" t="s">
        <v>39</v>
      </c>
      <c r="O348" s="96"/>
      <c r="P348" s="96"/>
      <c r="Q348" s="264"/>
      <c r="R348" s="264"/>
      <c r="S348" s="264"/>
      <c r="T348" s="264"/>
      <c r="U348" s="264"/>
      <c r="V348" s="264"/>
      <c r="W348" s="150"/>
      <c r="X348" s="150"/>
      <c r="Y348" s="150"/>
      <c r="Z348" s="150"/>
      <c r="AA348" s="150"/>
      <c r="AB348" s="150"/>
      <c r="AC348" s="238"/>
      <c r="AD348" s="150"/>
      <c r="AE348" s="150"/>
      <c r="AF348" s="31"/>
      <c r="AG348" s="31"/>
      <c r="AH348"/>
      <c r="AI348"/>
      <c r="AJ348"/>
      <c r="AK348"/>
      <c r="AM348"/>
    </row>
    <row r="349" spans="1:39" ht="25.15" customHeight="1" outlineLevel="1" x14ac:dyDescent="0.2">
      <c r="A349" s="9"/>
      <c r="B349" s="96" t="s">
        <v>799</v>
      </c>
      <c r="C349" s="96"/>
      <c r="D349" s="96"/>
      <c r="E349" s="96"/>
      <c r="F349" s="96"/>
      <c r="G349" s="96"/>
      <c r="H349" s="96"/>
      <c r="I349" s="96"/>
      <c r="J349" s="96"/>
      <c r="K349" s="96"/>
      <c r="L349" s="96"/>
      <c r="M349" s="96"/>
      <c r="N349" s="96" t="s">
        <v>39</v>
      </c>
      <c r="O349" s="96"/>
      <c r="P349" s="96"/>
      <c r="Q349" s="264"/>
      <c r="R349" s="264"/>
      <c r="S349" s="264"/>
      <c r="T349" s="264"/>
      <c r="U349" s="264"/>
      <c r="V349" s="264"/>
      <c r="W349" s="150"/>
      <c r="X349" s="150"/>
      <c r="Y349" s="150"/>
      <c r="Z349" s="150"/>
      <c r="AA349" s="150"/>
      <c r="AB349" s="150"/>
      <c r="AC349" s="238"/>
      <c r="AD349" s="150"/>
      <c r="AE349" s="150"/>
      <c r="AF349" s="31" t="s">
        <v>931</v>
      </c>
      <c r="AG349" s="31"/>
      <c r="AH349"/>
      <c r="AI349"/>
      <c r="AJ349"/>
      <c r="AK349"/>
      <c r="AM349"/>
    </row>
    <row r="350" spans="1:39" ht="25.15" customHeight="1" outlineLevel="1" x14ac:dyDescent="0.2">
      <c r="A350" s="9"/>
      <c r="B350" s="96" t="s">
        <v>800</v>
      </c>
      <c r="C350" s="96"/>
      <c r="D350" s="96"/>
      <c r="E350" s="96"/>
      <c r="F350" s="96"/>
      <c r="G350" s="96"/>
      <c r="H350" s="96"/>
      <c r="I350" s="96"/>
      <c r="J350" s="96"/>
      <c r="K350" s="96"/>
      <c r="L350" s="96"/>
      <c r="M350" s="96"/>
      <c r="N350" s="96" t="s">
        <v>39</v>
      </c>
      <c r="O350" s="96"/>
      <c r="P350" s="96"/>
      <c r="Q350" s="150"/>
      <c r="R350" s="150"/>
      <c r="S350" s="150"/>
      <c r="T350" s="150"/>
      <c r="U350" s="150"/>
      <c r="V350" s="150"/>
      <c r="W350" s="150"/>
      <c r="X350" s="150"/>
      <c r="Y350" s="150"/>
      <c r="Z350" s="150"/>
      <c r="AA350" s="150"/>
      <c r="AB350" s="150"/>
      <c r="AC350" s="238"/>
      <c r="AD350" s="150"/>
      <c r="AE350" s="150"/>
      <c r="AF350" s="31"/>
      <c r="AG350" s="31"/>
      <c r="AH350"/>
      <c r="AI350"/>
      <c r="AJ350"/>
      <c r="AK350"/>
      <c r="AM350"/>
    </row>
    <row r="351" spans="1:39" ht="25.15" customHeight="1" outlineLevel="1" x14ac:dyDescent="0.2">
      <c r="A351" s="9"/>
      <c r="B351" s="96"/>
      <c r="C351" s="96"/>
      <c r="D351" s="96"/>
      <c r="E351" s="96"/>
      <c r="F351" s="96"/>
      <c r="G351" s="96"/>
      <c r="H351" s="96"/>
      <c r="I351" s="96"/>
      <c r="J351" s="96"/>
      <c r="K351" s="96"/>
      <c r="L351" s="96"/>
      <c r="M351" s="96"/>
      <c r="N351" s="96"/>
      <c r="O351" s="96"/>
      <c r="P351" s="96"/>
      <c r="Q351" s="150"/>
      <c r="R351" s="150"/>
      <c r="S351" s="150"/>
      <c r="T351" s="150"/>
      <c r="U351" s="150"/>
      <c r="V351" s="150"/>
      <c r="W351" s="150"/>
      <c r="X351" s="150"/>
      <c r="Y351" s="150"/>
      <c r="Z351" s="150"/>
      <c r="AA351" s="150"/>
      <c r="AB351" s="150"/>
      <c r="AC351" s="238"/>
      <c r="AD351" s="150"/>
      <c r="AE351" s="150"/>
      <c r="AF351" s="31"/>
      <c r="AG351" s="31"/>
      <c r="AH351"/>
      <c r="AI351"/>
      <c r="AJ351"/>
      <c r="AK351"/>
      <c r="AM351"/>
    </row>
    <row r="352" spans="1:39" ht="25.15" customHeight="1" outlineLevel="1" x14ac:dyDescent="0.2">
      <c r="A352" s="9" t="s">
        <v>423</v>
      </c>
      <c r="B352" s="212" t="s">
        <v>424</v>
      </c>
      <c r="C352" s="212"/>
      <c r="D352" s="212"/>
      <c r="E352" s="212"/>
      <c r="F352" s="212"/>
      <c r="G352" s="212"/>
      <c r="H352" s="212"/>
      <c r="I352" s="212"/>
      <c r="J352" s="212"/>
      <c r="K352" s="212"/>
      <c r="L352" s="212"/>
      <c r="M352" s="212"/>
      <c r="N352" s="212"/>
      <c r="O352" s="212"/>
      <c r="P352" s="212"/>
      <c r="Q352" s="213"/>
      <c r="R352" s="213"/>
      <c r="S352" s="213"/>
      <c r="T352" s="213"/>
      <c r="U352" s="213"/>
      <c r="V352" s="213"/>
      <c r="W352" s="213"/>
      <c r="X352" s="213"/>
      <c r="Y352" s="213"/>
      <c r="Z352" s="213"/>
      <c r="AA352" s="213"/>
      <c r="AB352" s="213"/>
      <c r="AC352" s="245">
        <v>5064.38</v>
      </c>
      <c r="AD352" s="213"/>
      <c r="AE352" s="213"/>
      <c r="AF352" s="31"/>
      <c r="AG352" s="31"/>
      <c r="AH352"/>
      <c r="AI352"/>
      <c r="AJ352"/>
      <c r="AK352"/>
      <c r="AM352"/>
    </row>
    <row r="353" spans="1:39" ht="25.15" customHeight="1" outlineLevel="1" x14ac:dyDescent="0.2">
      <c r="A353" s="10" t="s">
        <v>425</v>
      </c>
      <c r="B353" s="98" t="s">
        <v>426</v>
      </c>
      <c r="C353" s="98"/>
      <c r="D353" s="98"/>
      <c r="E353" s="98"/>
      <c r="F353" s="98"/>
      <c r="G353" s="98"/>
      <c r="H353" s="98"/>
      <c r="I353" s="98"/>
      <c r="J353" s="98"/>
      <c r="K353" s="98"/>
      <c r="L353" s="98"/>
      <c r="M353" s="98"/>
      <c r="N353" s="98" t="s">
        <v>158</v>
      </c>
      <c r="O353" s="98"/>
      <c r="P353" s="98"/>
      <c r="Q353" s="133">
        <v>362</v>
      </c>
      <c r="R353" s="95"/>
      <c r="S353" s="95"/>
      <c r="T353" s="95"/>
      <c r="U353" s="95"/>
      <c r="V353" s="95"/>
      <c r="W353" s="97">
        <v>13.99</v>
      </c>
      <c r="X353" s="95"/>
      <c r="Y353" s="95"/>
      <c r="Z353" s="95"/>
      <c r="AA353" s="95"/>
      <c r="AB353" s="95"/>
      <c r="AC353" s="94">
        <v>5064.38</v>
      </c>
      <c r="AD353" s="95"/>
      <c r="AE353" s="95"/>
      <c r="AF353" s="31"/>
      <c r="AG353" s="31"/>
      <c r="AH353"/>
      <c r="AI353"/>
      <c r="AJ353"/>
      <c r="AK353"/>
      <c r="AM353"/>
    </row>
    <row r="354" spans="1:39" ht="25.15" customHeight="1" x14ac:dyDescent="0.2">
      <c r="A354" s="19" t="s">
        <v>427</v>
      </c>
      <c r="B354" s="134" t="s">
        <v>428</v>
      </c>
      <c r="C354" s="134"/>
      <c r="D354" s="134"/>
      <c r="E354" s="134"/>
      <c r="F354" s="134"/>
      <c r="G354" s="134"/>
      <c r="H354" s="134"/>
      <c r="I354" s="134"/>
      <c r="J354" s="134"/>
      <c r="K354" s="134"/>
      <c r="L354" s="134"/>
      <c r="M354" s="134"/>
      <c r="N354" s="134"/>
      <c r="O354" s="134"/>
      <c r="P354" s="134"/>
      <c r="Q354" s="135"/>
      <c r="R354" s="135"/>
      <c r="S354" s="135"/>
      <c r="T354" s="135"/>
      <c r="U354" s="135"/>
      <c r="V354" s="135"/>
      <c r="W354" s="135"/>
      <c r="X354" s="135"/>
      <c r="Y354" s="135"/>
      <c r="Z354" s="135"/>
      <c r="AA354" s="135"/>
      <c r="AB354" s="135"/>
      <c r="AC354" s="136">
        <v>123127.33</v>
      </c>
      <c r="AD354" s="135"/>
      <c r="AE354" s="135"/>
      <c r="AF354" s="31"/>
      <c r="AG354" s="31"/>
      <c r="AH354"/>
      <c r="AI354"/>
      <c r="AJ354"/>
      <c r="AK354"/>
      <c r="AM354"/>
    </row>
    <row r="355" spans="1:39" ht="25.15" customHeight="1" outlineLevel="1" x14ac:dyDescent="0.2">
      <c r="A355" s="18" t="s">
        <v>429</v>
      </c>
      <c r="B355" s="137" t="s">
        <v>428</v>
      </c>
      <c r="C355" s="137"/>
      <c r="D355" s="137"/>
      <c r="E355" s="137"/>
      <c r="F355" s="137"/>
      <c r="G355" s="137"/>
      <c r="H355" s="137"/>
      <c r="I355" s="137"/>
      <c r="J355" s="137"/>
      <c r="K355" s="137"/>
      <c r="L355" s="137"/>
      <c r="M355" s="137"/>
      <c r="N355" s="137"/>
      <c r="O355" s="137"/>
      <c r="P355" s="137"/>
      <c r="Q355" s="160"/>
      <c r="R355" s="160"/>
      <c r="S355" s="160"/>
      <c r="T355" s="160"/>
      <c r="U355" s="160"/>
      <c r="V355" s="160"/>
      <c r="W355" s="160"/>
      <c r="X355" s="160"/>
      <c r="Y355" s="160"/>
      <c r="Z355" s="160"/>
      <c r="AA355" s="160"/>
      <c r="AB355" s="160"/>
      <c r="AC355" s="162">
        <v>123127.33</v>
      </c>
      <c r="AD355" s="160"/>
      <c r="AE355" s="160"/>
      <c r="AF355" s="31"/>
      <c r="AG355" s="31"/>
      <c r="AH355"/>
      <c r="AI355"/>
      <c r="AJ355"/>
      <c r="AK355"/>
      <c r="AM355"/>
    </row>
    <row r="356" spans="1:39" ht="25.15" customHeight="1" outlineLevel="1" x14ac:dyDescent="0.2">
      <c r="A356" s="18" t="s">
        <v>430</v>
      </c>
      <c r="B356" s="137" t="s">
        <v>431</v>
      </c>
      <c r="C356" s="137"/>
      <c r="D356" s="137"/>
      <c r="E356" s="137"/>
      <c r="F356" s="137"/>
      <c r="G356" s="137"/>
      <c r="H356" s="137"/>
      <c r="I356" s="137"/>
      <c r="J356" s="137"/>
      <c r="K356" s="137"/>
      <c r="L356" s="137"/>
      <c r="M356" s="137"/>
      <c r="N356" s="137"/>
      <c r="O356" s="137"/>
      <c r="P356" s="137"/>
      <c r="Q356" s="160"/>
      <c r="R356" s="160"/>
      <c r="S356" s="160"/>
      <c r="T356" s="160"/>
      <c r="U356" s="160"/>
      <c r="V356" s="160"/>
      <c r="W356" s="160"/>
      <c r="X356" s="160"/>
      <c r="Y356" s="160"/>
      <c r="Z356" s="160"/>
      <c r="AA356" s="160"/>
      <c r="AB356" s="160"/>
      <c r="AC356" s="169">
        <v>72178.09</v>
      </c>
      <c r="AD356" s="160"/>
      <c r="AE356" s="160"/>
      <c r="AF356" s="31"/>
      <c r="AG356" s="31"/>
      <c r="AH356"/>
      <c r="AI356"/>
      <c r="AJ356"/>
      <c r="AK356"/>
      <c r="AM356"/>
    </row>
    <row r="357" spans="1:39" ht="25.15" customHeight="1" outlineLevel="1" x14ac:dyDescent="0.2">
      <c r="A357" s="10" t="s">
        <v>432</v>
      </c>
      <c r="B357" s="98" t="s">
        <v>433</v>
      </c>
      <c r="C357" s="98"/>
      <c r="D357" s="98"/>
      <c r="E357" s="98"/>
      <c r="F357" s="98"/>
      <c r="G357" s="98"/>
      <c r="H357" s="98"/>
      <c r="I357" s="98"/>
      <c r="J357" s="98"/>
      <c r="K357" s="98"/>
      <c r="L357" s="98"/>
      <c r="M357" s="98"/>
      <c r="N357" s="98" t="s">
        <v>27</v>
      </c>
      <c r="O357" s="98"/>
      <c r="P357" s="98"/>
      <c r="Q357" s="99">
        <v>1</v>
      </c>
      <c r="R357" s="95"/>
      <c r="S357" s="95"/>
      <c r="T357" s="95"/>
      <c r="U357" s="95"/>
      <c r="V357" s="95"/>
      <c r="W357" s="173">
        <v>50949.24</v>
      </c>
      <c r="X357" s="95"/>
      <c r="Y357" s="95"/>
      <c r="Z357" s="95"/>
      <c r="AA357" s="95"/>
      <c r="AB357" s="95"/>
      <c r="AC357" s="126">
        <v>50949.24</v>
      </c>
      <c r="AD357" s="95"/>
      <c r="AE357" s="95"/>
      <c r="AF357" s="31"/>
      <c r="AG357" s="31"/>
      <c r="AH357"/>
      <c r="AI357"/>
      <c r="AJ357"/>
      <c r="AK357"/>
      <c r="AM357"/>
    </row>
    <row r="358" spans="1:39" ht="25.15" customHeight="1" outlineLevel="1" x14ac:dyDescent="0.2">
      <c r="A358" s="10" t="s">
        <v>434</v>
      </c>
      <c r="B358" s="98" t="s">
        <v>435</v>
      </c>
      <c r="C358" s="98"/>
      <c r="D358" s="98"/>
      <c r="E358" s="98"/>
      <c r="F358" s="98"/>
      <c r="G358" s="98"/>
      <c r="H358" s="98"/>
      <c r="I358" s="98"/>
      <c r="J358" s="98"/>
      <c r="K358" s="98"/>
      <c r="L358" s="98"/>
      <c r="M358" s="98"/>
      <c r="N358" s="98" t="s">
        <v>27</v>
      </c>
      <c r="O358" s="98"/>
      <c r="P358" s="98"/>
      <c r="Q358" s="99">
        <v>1</v>
      </c>
      <c r="R358" s="95"/>
      <c r="S358" s="95"/>
      <c r="T358" s="95"/>
      <c r="U358" s="95"/>
      <c r="V358" s="95"/>
      <c r="W358" s="173">
        <v>21228.85</v>
      </c>
      <c r="X358" s="95"/>
      <c r="Y358" s="95"/>
      <c r="Z358" s="95"/>
      <c r="AA358" s="95"/>
      <c r="AB358" s="95"/>
      <c r="AC358" s="126">
        <v>21228.85</v>
      </c>
      <c r="AD358" s="95"/>
      <c r="AE358" s="95"/>
      <c r="AF358" s="31"/>
      <c r="AG358" s="31"/>
      <c r="AH358"/>
      <c r="AI358"/>
      <c r="AJ358"/>
      <c r="AK358"/>
      <c r="AM358"/>
    </row>
    <row r="359" spans="1:39" ht="25.15" customHeight="1" outlineLevel="1" x14ac:dyDescent="0.2">
      <c r="A359" s="18" t="s">
        <v>436</v>
      </c>
      <c r="B359" s="137" t="s">
        <v>288</v>
      </c>
      <c r="C359" s="137"/>
      <c r="D359" s="137"/>
      <c r="E359" s="137"/>
      <c r="F359" s="137"/>
      <c r="G359" s="137"/>
      <c r="H359" s="137"/>
      <c r="I359" s="137"/>
      <c r="J359" s="137"/>
      <c r="K359" s="137"/>
      <c r="L359" s="137"/>
      <c r="M359" s="137"/>
      <c r="N359" s="137"/>
      <c r="O359" s="137"/>
      <c r="P359" s="137"/>
      <c r="Q359" s="160"/>
      <c r="R359" s="160"/>
      <c r="S359" s="160"/>
      <c r="T359" s="160"/>
      <c r="U359" s="160"/>
      <c r="V359" s="160"/>
      <c r="W359" s="160"/>
      <c r="X359" s="160"/>
      <c r="Y359" s="160"/>
      <c r="Z359" s="160"/>
      <c r="AA359" s="160"/>
      <c r="AB359" s="160"/>
      <c r="AC359" s="169">
        <v>50949.24</v>
      </c>
      <c r="AD359" s="160"/>
      <c r="AE359" s="160"/>
      <c r="AF359" s="31"/>
      <c r="AG359" s="31"/>
      <c r="AH359"/>
      <c r="AI359"/>
      <c r="AJ359"/>
      <c r="AK359"/>
      <c r="AM359"/>
    </row>
    <row r="360" spans="1:39" ht="25.15" customHeight="1" outlineLevel="1" x14ac:dyDescent="0.2">
      <c r="A360" s="10" t="s">
        <v>437</v>
      </c>
      <c r="B360" s="98" t="s">
        <v>438</v>
      </c>
      <c r="C360" s="98"/>
      <c r="D360" s="98"/>
      <c r="E360" s="98"/>
      <c r="F360" s="98"/>
      <c r="G360" s="98"/>
      <c r="H360" s="98"/>
      <c r="I360" s="98"/>
      <c r="J360" s="98"/>
      <c r="K360" s="98"/>
      <c r="L360" s="98"/>
      <c r="M360" s="98"/>
      <c r="N360" s="98" t="s">
        <v>47</v>
      </c>
      <c r="O360" s="98"/>
      <c r="P360" s="98"/>
      <c r="Q360" s="132">
        <v>4245.7700000000004</v>
      </c>
      <c r="R360" s="95"/>
      <c r="S360" s="95"/>
      <c r="T360" s="95"/>
      <c r="U360" s="95"/>
      <c r="V360" s="95"/>
      <c r="W360" s="99">
        <v>8</v>
      </c>
      <c r="X360" s="95"/>
      <c r="Y360" s="95"/>
      <c r="Z360" s="95"/>
      <c r="AA360" s="95"/>
      <c r="AB360" s="95"/>
      <c r="AC360" s="126">
        <v>33966.160000000003</v>
      </c>
      <c r="AD360" s="95"/>
      <c r="AE360" s="95"/>
      <c r="AF360" s="31"/>
      <c r="AG360" s="31"/>
      <c r="AH360"/>
      <c r="AI360"/>
      <c r="AJ360"/>
      <c r="AK360"/>
      <c r="AM360"/>
    </row>
    <row r="361" spans="1:39" ht="25.15" customHeight="1" outlineLevel="1" x14ac:dyDescent="0.2">
      <c r="A361" s="10" t="s">
        <v>439</v>
      </c>
      <c r="B361" s="98" t="s">
        <v>440</v>
      </c>
      <c r="C361" s="98"/>
      <c r="D361" s="98"/>
      <c r="E361" s="98"/>
      <c r="F361" s="98"/>
      <c r="G361" s="98"/>
      <c r="H361" s="98"/>
      <c r="I361" s="98"/>
      <c r="J361" s="98"/>
      <c r="K361" s="98"/>
      <c r="L361" s="98"/>
      <c r="M361" s="98"/>
      <c r="N361" s="98" t="s">
        <v>47</v>
      </c>
      <c r="O361" s="98"/>
      <c r="P361" s="98"/>
      <c r="Q361" s="132">
        <v>4245.7700000000004</v>
      </c>
      <c r="R361" s="95"/>
      <c r="S361" s="95"/>
      <c r="T361" s="95"/>
      <c r="U361" s="95"/>
      <c r="V361" s="95"/>
      <c r="W361" s="99">
        <v>4</v>
      </c>
      <c r="X361" s="95"/>
      <c r="Y361" s="95"/>
      <c r="Z361" s="95"/>
      <c r="AA361" s="95"/>
      <c r="AB361" s="95"/>
      <c r="AC361" s="126">
        <v>16983.080000000002</v>
      </c>
      <c r="AD361" s="95"/>
      <c r="AE361" s="95"/>
      <c r="AF361" s="31"/>
      <c r="AG361" s="31"/>
      <c r="AH361"/>
      <c r="AI361"/>
      <c r="AJ361"/>
      <c r="AK361"/>
      <c r="AM361"/>
    </row>
    <row r="362" spans="1:39" ht="25.15" customHeight="1" x14ac:dyDescent="0.2">
      <c r="A362" s="19" t="s">
        <v>441</v>
      </c>
      <c r="B362" s="134" t="s">
        <v>442</v>
      </c>
      <c r="C362" s="134"/>
      <c r="D362" s="134"/>
      <c r="E362" s="134"/>
      <c r="F362" s="134"/>
      <c r="G362" s="134"/>
      <c r="H362" s="134"/>
      <c r="I362" s="134"/>
      <c r="J362" s="134"/>
      <c r="K362" s="134"/>
      <c r="L362" s="134"/>
      <c r="M362" s="134"/>
      <c r="N362" s="134"/>
      <c r="O362" s="134"/>
      <c r="P362" s="134"/>
      <c r="Q362" s="135"/>
      <c r="R362" s="135"/>
      <c r="S362" s="135"/>
      <c r="T362" s="135"/>
      <c r="U362" s="135"/>
      <c r="V362" s="135"/>
      <c r="W362" s="135"/>
      <c r="X362" s="135"/>
      <c r="Y362" s="135"/>
      <c r="Z362" s="135"/>
      <c r="AA362" s="135"/>
      <c r="AB362" s="135"/>
      <c r="AC362" s="136">
        <v>1047453.08</v>
      </c>
      <c r="AD362" s="135"/>
      <c r="AE362" s="135"/>
      <c r="AF362" s="31"/>
      <c r="AG362" s="31"/>
      <c r="AH362"/>
      <c r="AI362"/>
      <c r="AJ362"/>
      <c r="AK362"/>
      <c r="AM362"/>
    </row>
    <row r="363" spans="1:39" ht="25.15" customHeight="1" outlineLevel="1" x14ac:dyDescent="0.2">
      <c r="A363" s="18" t="s">
        <v>443</v>
      </c>
      <c r="B363" s="137" t="s">
        <v>442</v>
      </c>
      <c r="C363" s="137"/>
      <c r="D363" s="137"/>
      <c r="E363" s="137"/>
      <c r="F363" s="137"/>
      <c r="G363" s="137"/>
      <c r="H363" s="137"/>
      <c r="I363" s="137"/>
      <c r="J363" s="137"/>
      <c r="K363" s="137"/>
      <c r="L363" s="137"/>
      <c r="M363" s="137"/>
      <c r="N363" s="137"/>
      <c r="O363" s="137"/>
      <c r="P363" s="137"/>
      <c r="Q363" s="160"/>
      <c r="R363" s="160"/>
      <c r="S363" s="160"/>
      <c r="T363" s="160"/>
      <c r="U363" s="160"/>
      <c r="V363" s="160"/>
      <c r="W363" s="160"/>
      <c r="X363" s="160"/>
      <c r="Y363" s="160"/>
      <c r="Z363" s="160"/>
      <c r="AA363" s="160"/>
      <c r="AB363" s="160"/>
      <c r="AC363" s="161">
        <v>1047453.08</v>
      </c>
      <c r="AD363" s="160"/>
      <c r="AE363" s="160"/>
      <c r="AF363" s="31"/>
      <c r="AG363" s="31"/>
      <c r="AH363"/>
      <c r="AI363"/>
      <c r="AJ363"/>
      <c r="AK363"/>
      <c r="AM363"/>
    </row>
    <row r="364" spans="1:39" ht="25.15" customHeight="1" outlineLevel="1" x14ac:dyDescent="0.2">
      <c r="A364" s="18" t="s">
        <v>444</v>
      </c>
      <c r="B364" s="137" t="s">
        <v>445</v>
      </c>
      <c r="C364" s="137"/>
      <c r="D364" s="137"/>
      <c r="E364" s="137"/>
      <c r="F364" s="137"/>
      <c r="G364" s="137"/>
      <c r="H364" s="137"/>
      <c r="I364" s="137"/>
      <c r="J364" s="137"/>
      <c r="K364" s="137"/>
      <c r="L364" s="137"/>
      <c r="M364" s="137"/>
      <c r="N364" s="137"/>
      <c r="O364" s="137"/>
      <c r="P364" s="137"/>
      <c r="Q364" s="160"/>
      <c r="R364" s="160"/>
      <c r="S364" s="160"/>
      <c r="T364" s="160"/>
      <c r="U364" s="160"/>
      <c r="V364" s="160"/>
      <c r="W364" s="160"/>
      <c r="X364" s="160"/>
      <c r="Y364" s="160"/>
      <c r="Z364" s="160"/>
      <c r="AA364" s="160"/>
      <c r="AB364" s="160"/>
      <c r="AC364" s="169">
        <v>50953.08</v>
      </c>
      <c r="AD364" s="160"/>
      <c r="AE364" s="160"/>
      <c r="AF364" s="31"/>
      <c r="AG364" s="31"/>
      <c r="AH364"/>
      <c r="AI364"/>
      <c r="AJ364"/>
      <c r="AK364"/>
      <c r="AM364"/>
    </row>
    <row r="365" spans="1:39" ht="25.15" customHeight="1" outlineLevel="1" x14ac:dyDescent="0.2">
      <c r="A365" s="25" t="s">
        <v>446</v>
      </c>
      <c r="B365" s="163" t="s">
        <v>447</v>
      </c>
      <c r="C365" s="163"/>
      <c r="D365" s="163"/>
      <c r="E365" s="163"/>
      <c r="F365" s="163"/>
      <c r="G365" s="163"/>
      <c r="H365" s="163"/>
      <c r="I365" s="163"/>
      <c r="J365" s="163"/>
      <c r="K365" s="163"/>
      <c r="L365" s="163"/>
      <c r="M365" s="163"/>
      <c r="N365" s="163" t="s">
        <v>27</v>
      </c>
      <c r="O365" s="163"/>
      <c r="P365" s="163"/>
      <c r="Q365" s="251">
        <v>1</v>
      </c>
      <c r="R365" s="167"/>
      <c r="S365" s="167"/>
      <c r="T365" s="167"/>
      <c r="U365" s="167"/>
      <c r="V365" s="167"/>
      <c r="W365" s="252">
        <v>50953.08</v>
      </c>
      <c r="X365" s="167"/>
      <c r="Y365" s="167"/>
      <c r="Z365" s="167"/>
      <c r="AA365" s="167"/>
      <c r="AB365" s="167"/>
      <c r="AC365" s="253">
        <v>50953.08</v>
      </c>
      <c r="AD365" s="167"/>
      <c r="AE365" s="167"/>
      <c r="AF365" s="31"/>
      <c r="AG365" s="31"/>
      <c r="AH365"/>
      <c r="AI365"/>
      <c r="AJ365"/>
      <c r="AK365"/>
      <c r="AM365"/>
    </row>
    <row r="366" spans="1:39" ht="25.15" customHeight="1" outlineLevel="1" x14ac:dyDescent="0.2">
      <c r="A366" s="18" t="s">
        <v>448</v>
      </c>
      <c r="B366" s="137" t="s">
        <v>449</v>
      </c>
      <c r="C366" s="137"/>
      <c r="D366" s="137"/>
      <c r="E366" s="137"/>
      <c r="F366" s="137"/>
      <c r="G366" s="137"/>
      <c r="H366" s="137"/>
      <c r="I366" s="137"/>
      <c r="J366" s="137"/>
      <c r="K366" s="137"/>
      <c r="L366" s="137"/>
      <c r="M366" s="137"/>
      <c r="N366" s="137"/>
      <c r="O366" s="137"/>
      <c r="P366" s="137"/>
      <c r="Q366" s="160"/>
      <c r="R366" s="160"/>
      <c r="S366" s="160"/>
      <c r="T366" s="160"/>
      <c r="U366" s="160"/>
      <c r="V366" s="160"/>
      <c r="W366" s="160"/>
      <c r="X366" s="160"/>
      <c r="Y366" s="160"/>
      <c r="Z366" s="160"/>
      <c r="AA366" s="160"/>
      <c r="AB366" s="160"/>
      <c r="AC366" s="162">
        <v>648000</v>
      </c>
      <c r="AD366" s="160"/>
      <c r="AE366" s="160"/>
      <c r="AF366" s="31"/>
      <c r="AG366" s="31"/>
      <c r="AH366"/>
      <c r="AI366"/>
      <c r="AJ366"/>
      <c r="AK366"/>
      <c r="AM366"/>
    </row>
    <row r="367" spans="1:39" ht="25.15" customHeight="1" outlineLevel="1" x14ac:dyDescent="0.2">
      <c r="A367" s="10" t="s">
        <v>450</v>
      </c>
      <c r="B367" s="98" t="s">
        <v>451</v>
      </c>
      <c r="C367" s="98"/>
      <c r="D367" s="98"/>
      <c r="E367" s="98"/>
      <c r="F367" s="98"/>
      <c r="G367" s="98"/>
      <c r="H367" s="98"/>
      <c r="I367" s="98"/>
      <c r="J367" s="98"/>
      <c r="K367" s="98"/>
      <c r="L367" s="98"/>
      <c r="M367" s="98"/>
      <c r="N367" s="98" t="s">
        <v>158</v>
      </c>
      <c r="O367" s="98"/>
      <c r="P367" s="98"/>
      <c r="Q367" s="99">
        <v>2</v>
      </c>
      <c r="R367" s="95"/>
      <c r="S367" s="95"/>
      <c r="T367" s="95"/>
      <c r="U367" s="95"/>
      <c r="V367" s="95"/>
      <c r="W367" s="100">
        <v>324000</v>
      </c>
      <c r="X367" s="95"/>
      <c r="Y367" s="95"/>
      <c r="Z367" s="95"/>
      <c r="AA367" s="95"/>
      <c r="AB367" s="95"/>
      <c r="AC367" s="101">
        <v>648000</v>
      </c>
      <c r="AD367" s="95"/>
      <c r="AE367" s="95"/>
      <c r="AF367" s="31"/>
      <c r="AG367" s="31"/>
      <c r="AH367"/>
      <c r="AI367"/>
      <c r="AJ367"/>
      <c r="AK367"/>
      <c r="AM367"/>
    </row>
    <row r="368" spans="1:39" ht="25.15" customHeight="1" outlineLevel="1" x14ac:dyDescent="0.2">
      <c r="A368" s="9"/>
      <c r="B368" s="96" t="s">
        <v>810</v>
      </c>
      <c r="C368" s="96"/>
      <c r="D368" s="96"/>
      <c r="E368" s="96"/>
      <c r="F368" s="96"/>
      <c r="G368" s="96"/>
      <c r="H368" s="96"/>
      <c r="I368" s="96"/>
      <c r="J368" s="96"/>
      <c r="K368" s="96"/>
      <c r="L368" s="96"/>
      <c r="M368" s="96"/>
      <c r="N368" s="96" t="s">
        <v>27</v>
      </c>
      <c r="O368" s="96"/>
      <c r="P368" s="96"/>
      <c r="Q368" s="150"/>
      <c r="R368" s="150"/>
      <c r="S368" s="150"/>
      <c r="T368" s="150"/>
      <c r="U368" s="150"/>
      <c r="V368" s="150"/>
      <c r="W368" s="150"/>
      <c r="X368" s="150"/>
      <c r="Y368" s="150"/>
      <c r="Z368" s="150"/>
      <c r="AA368" s="150"/>
      <c r="AB368" s="150"/>
      <c r="AC368" s="238"/>
      <c r="AD368" s="150"/>
      <c r="AE368" s="150"/>
      <c r="AF368" s="40"/>
      <c r="AG368" s="31"/>
      <c r="AH368"/>
      <c r="AI368"/>
      <c r="AJ368"/>
      <c r="AK368"/>
      <c r="AM368"/>
    </row>
    <row r="369" spans="1:39" ht="25.15" customHeight="1" outlineLevel="1" x14ac:dyDescent="0.2">
      <c r="A369" s="18" t="s">
        <v>452</v>
      </c>
      <c r="B369" s="137" t="s">
        <v>453</v>
      </c>
      <c r="C369" s="137"/>
      <c r="D369" s="137"/>
      <c r="E369" s="137"/>
      <c r="F369" s="137"/>
      <c r="G369" s="137"/>
      <c r="H369" s="137"/>
      <c r="I369" s="137"/>
      <c r="J369" s="137"/>
      <c r="K369" s="137"/>
      <c r="L369" s="137"/>
      <c r="M369" s="137"/>
      <c r="N369" s="137"/>
      <c r="O369" s="137"/>
      <c r="P369" s="137"/>
      <c r="Q369" s="160"/>
      <c r="R369" s="160"/>
      <c r="S369" s="160"/>
      <c r="T369" s="160"/>
      <c r="U369" s="160"/>
      <c r="V369" s="160"/>
      <c r="W369" s="160"/>
      <c r="X369" s="160"/>
      <c r="Y369" s="160"/>
      <c r="Z369" s="160"/>
      <c r="AA369" s="160"/>
      <c r="AB369" s="160"/>
      <c r="AC369" s="162">
        <v>147500</v>
      </c>
      <c r="AD369" s="160"/>
      <c r="AE369" s="160"/>
      <c r="AF369" s="31"/>
      <c r="AG369" s="31"/>
      <c r="AH369"/>
      <c r="AI369"/>
      <c r="AJ369"/>
      <c r="AK369"/>
      <c r="AM369"/>
    </row>
    <row r="370" spans="1:39" ht="25.15" customHeight="1" outlineLevel="1" x14ac:dyDescent="0.2">
      <c r="A370" s="10" t="s">
        <v>454</v>
      </c>
      <c r="B370" s="98" t="s">
        <v>455</v>
      </c>
      <c r="C370" s="98"/>
      <c r="D370" s="98"/>
      <c r="E370" s="98"/>
      <c r="F370" s="98"/>
      <c r="G370" s="98"/>
      <c r="H370" s="98"/>
      <c r="I370" s="98"/>
      <c r="J370" s="98"/>
      <c r="K370" s="98"/>
      <c r="L370" s="98"/>
      <c r="M370" s="98"/>
      <c r="N370" s="98" t="s">
        <v>27</v>
      </c>
      <c r="O370" s="98"/>
      <c r="P370" s="98"/>
      <c r="Q370" s="99">
        <v>1</v>
      </c>
      <c r="R370" s="95"/>
      <c r="S370" s="95"/>
      <c r="T370" s="95"/>
      <c r="U370" s="95"/>
      <c r="V370" s="95"/>
      <c r="W370" s="173">
        <v>97500</v>
      </c>
      <c r="X370" s="95"/>
      <c r="Y370" s="95"/>
      <c r="Z370" s="95"/>
      <c r="AA370" s="95"/>
      <c r="AB370" s="95"/>
      <c r="AC370" s="126">
        <v>97500</v>
      </c>
      <c r="AD370" s="95"/>
      <c r="AE370" s="95"/>
      <c r="AF370" s="31"/>
      <c r="AG370" s="31"/>
      <c r="AH370"/>
      <c r="AI370"/>
      <c r="AJ370"/>
      <c r="AK370"/>
      <c r="AM370"/>
    </row>
    <row r="371" spans="1:39" ht="25.15" customHeight="1" outlineLevel="1" x14ac:dyDescent="0.2">
      <c r="A371" s="10" t="s">
        <v>456</v>
      </c>
      <c r="B371" s="98" t="s">
        <v>457</v>
      </c>
      <c r="C371" s="98"/>
      <c r="D371" s="98"/>
      <c r="E371" s="98"/>
      <c r="F371" s="98"/>
      <c r="G371" s="98"/>
      <c r="H371" s="98"/>
      <c r="I371" s="98"/>
      <c r="J371" s="98"/>
      <c r="K371" s="98"/>
      <c r="L371" s="98"/>
      <c r="M371" s="98"/>
      <c r="N371" s="98" t="s">
        <v>27</v>
      </c>
      <c r="O371" s="98"/>
      <c r="P371" s="98"/>
      <c r="Q371" s="99">
        <v>1</v>
      </c>
      <c r="R371" s="95"/>
      <c r="S371" s="95"/>
      <c r="T371" s="95"/>
      <c r="U371" s="95"/>
      <c r="V371" s="95"/>
      <c r="W371" s="173">
        <v>50000</v>
      </c>
      <c r="X371" s="95"/>
      <c r="Y371" s="95"/>
      <c r="Z371" s="95"/>
      <c r="AA371" s="95"/>
      <c r="AB371" s="95"/>
      <c r="AC371" s="126">
        <v>50000</v>
      </c>
      <c r="AD371" s="95"/>
      <c r="AE371" s="95"/>
      <c r="AF371" s="31"/>
      <c r="AG371" s="31"/>
      <c r="AH371"/>
      <c r="AI371"/>
      <c r="AJ371"/>
      <c r="AK371"/>
      <c r="AM371"/>
    </row>
    <row r="372" spans="1:39" ht="25.15" customHeight="1" outlineLevel="1" x14ac:dyDescent="0.2">
      <c r="A372" s="18" t="s">
        <v>458</v>
      </c>
      <c r="B372" s="137" t="s">
        <v>459</v>
      </c>
      <c r="C372" s="137"/>
      <c r="D372" s="137"/>
      <c r="E372" s="137"/>
      <c r="F372" s="137"/>
      <c r="G372" s="137"/>
      <c r="H372" s="137"/>
      <c r="I372" s="137"/>
      <c r="J372" s="137"/>
      <c r="K372" s="137"/>
      <c r="L372" s="137"/>
      <c r="M372" s="137"/>
      <c r="N372" s="137"/>
      <c r="O372" s="137"/>
      <c r="P372" s="137"/>
      <c r="Q372" s="160"/>
      <c r="R372" s="160"/>
      <c r="S372" s="160"/>
      <c r="T372" s="160"/>
      <c r="U372" s="160"/>
      <c r="V372" s="160"/>
      <c r="W372" s="160"/>
      <c r="X372" s="160"/>
      <c r="Y372" s="160"/>
      <c r="Z372" s="160"/>
      <c r="AA372" s="160"/>
      <c r="AB372" s="160"/>
      <c r="AC372" s="162">
        <v>201000</v>
      </c>
      <c r="AD372" s="160"/>
      <c r="AE372" s="160"/>
      <c r="AF372" s="31"/>
      <c r="AG372" s="31"/>
      <c r="AH372"/>
      <c r="AI372"/>
      <c r="AJ372"/>
      <c r="AK372"/>
      <c r="AM372"/>
    </row>
    <row r="373" spans="1:39" ht="25.15" customHeight="1" outlineLevel="1" x14ac:dyDescent="0.2">
      <c r="A373" s="25" t="s">
        <v>460</v>
      </c>
      <c r="B373" s="163" t="s">
        <v>461</v>
      </c>
      <c r="C373" s="163"/>
      <c r="D373" s="163"/>
      <c r="E373" s="163"/>
      <c r="F373" s="163"/>
      <c r="G373" s="163"/>
      <c r="H373" s="163"/>
      <c r="I373" s="163"/>
      <c r="J373" s="163"/>
      <c r="K373" s="163"/>
      <c r="L373" s="163"/>
      <c r="M373" s="163"/>
      <c r="N373" s="163" t="s">
        <v>462</v>
      </c>
      <c r="O373" s="163"/>
      <c r="P373" s="163"/>
      <c r="Q373" s="166">
        <v>120</v>
      </c>
      <c r="R373" s="167"/>
      <c r="S373" s="167"/>
      <c r="T373" s="167"/>
      <c r="U373" s="167"/>
      <c r="V373" s="167"/>
      <c r="W373" s="166">
        <v>600</v>
      </c>
      <c r="X373" s="167"/>
      <c r="Y373" s="167"/>
      <c r="Z373" s="167"/>
      <c r="AA373" s="167"/>
      <c r="AB373" s="167"/>
      <c r="AC373" s="253">
        <v>72000</v>
      </c>
      <c r="AD373" s="167"/>
      <c r="AE373" s="167"/>
      <c r="AF373" s="31"/>
      <c r="AG373" s="31"/>
      <c r="AH373"/>
      <c r="AI373"/>
      <c r="AJ373"/>
      <c r="AK373"/>
      <c r="AM373"/>
    </row>
    <row r="374" spans="1:39" ht="25.15" customHeight="1" outlineLevel="1" x14ac:dyDescent="0.2">
      <c r="A374" s="10" t="s">
        <v>463</v>
      </c>
      <c r="B374" s="98" t="s">
        <v>464</v>
      </c>
      <c r="C374" s="98"/>
      <c r="D374" s="98"/>
      <c r="E374" s="98"/>
      <c r="F374" s="98"/>
      <c r="G374" s="98"/>
      <c r="H374" s="98"/>
      <c r="I374" s="98"/>
      <c r="J374" s="98"/>
      <c r="K374" s="98"/>
      <c r="L374" s="98"/>
      <c r="M374" s="98"/>
      <c r="N374" s="98" t="s">
        <v>462</v>
      </c>
      <c r="O374" s="98"/>
      <c r="P374" s="98"/>
      <c r="Q374" s="99">
        <v>7</v>
      </c>
      <c r="R374" s="95"/>
      <c r="S374" s="95"/>
      <c r="T374" s="95"/>
      <c r="U374" s="95"/>
      <c r="V374" s="95"/>
      <c r="W374" s="132">
        <v>3000</v>
      </c>
      <c r="X374" s="95"/>
      <c r="Y374" s="95"/>
      <c r="Z374" s="95"/>
      <c r="AA374" s="95"/>
      <c r="AB374" s="95"/>
      <c r="AC374" s="126">
        <v>21000</v>
      </c>
      <c r="AD374" s="95"/>
      <c r="AE374" s="95"/>
      <c r="AF374" s="31"/>
      <c r="AG374" s="31"/>
      <c r="AH374"/>
      <c r="AI374"/>
      <c r="AJ374"/>
      <c r="AK374"/>
      <c r="AM374"/>
    </row>
    <row r="375" spans="1:39" ht="25.15" customHeight="1" outlineLevel="1" x14ac:dyDescent="0.2">
      <c r="A375" s="10" t="s">
        <v>465</v>
      </c>
      <c r="B375" s="98" t="s">
        <v>466</v>
      </c>
      <c r="C375" s="98"/>
      <c r="D375" s="98"/>
      <c r="E375" s="98"/>
      <c r="F375" s="98"/>
      <c r="G375" s="98"/>
      <c r="H375" s="98"/>
      <c r="I375" s="98"/>
      <c r="J375" s="98"/>
      <c r="K375" s="98"/>
      <c r="L375" s="98"/>
      <c r="M375" s="98"/>
      <c r="N375" s="98" t="s">
        <v>462</v>
      </c>
      <c r="O375" s="98"/>
      <c r="P375" s="98"/>
      <c r="Q375" s="133">
        <v>120</v>
      </c>
      <c r="R375" s="95"/>
      <c r="S375" s="95"/>
      <c r="T375" s="95"/>
      <c r="U375" s="95"/>
      <c r="V375" s="95"/>
      <c r="W375" s="133">
        <v>900</v>
      </c>
      <c r="X375" s="95"/>
      <c r="Y375" s="95"/>
      <c r="Z375" s="95"/>
      <c r="AA375" s="95"/>
      <c r="AB375" s="95"/>
      <c r="AC375" s="101">
        <v>108000</v>
      </c>
      <c r="AD375" s="95"/>
      <c r="AE375" s="95"/>
      <c r="AF375" s="31"/>
      <c r="AG375" s="31"/>
      <c r="AH375"/>
      <c r="AI375"/>
      <c r="AJ375"/>
      <c r="AK375"/>
      <c r="AM375"/>
    </row>
    <row r="376" spans="1:39" ht="25.15" customHeight="1" x14ac:dyDescent="0.2">
      <c r="A376" s="19" t="s">
        <v>467</v>
      </c>
      <c r="B376" s="134" t="s">
        <v>468</v>
      </c>
      <c r="C376" s="134"/>
      <c r="D376" s="134"/>
      <c r="E376" s="134"/>
      <c r="F376" s="134"/>
      <c r="G376" s="134"/>
      <c r="H376" s="134"/>
      <c r="I376" s="134"/>
      <c r="J376" s="134"/>
      <c r="K376" s="134"/>
      <c r="L376" s="134"/>
      <c r="M376" s="134"/>
      <c r="N376" s="134"/>
      <c r="O376" s="134"/>
      <c r="P376" s="134"/>
      <c r="Q376" s="135"/>
      <c r="R376" s="135"/>
      <c r="S376" s="135"/>
      <c r="T376" s="135"/>
      <c r="U376" s="135"/>
      <c r="V376" s="135"/>
      <c r="W376" s="135"/>
      <c r="X376" s="135"/>
      <c r="Y376" s="135"/>
      <c r="Z376" s="135"/>
      <c r="AA376" s="135"/>
      <c r="AB376" s="135"/>
      <c r="AC376" s="136">
        <v>281543.65000000002</v>
      </c>
      <c r="AD376" s="135"/>
      <c r="AE376" s="135"/>
      <c r="AF376" s="31"/>
      <c r="AG376" s="31"/>
      <c r="AH376"/>
      <c r="AI376"/>
      <c r="AJ376"/>
      <c r="AK376"/>
      <c r="AM376"/>
    </row>
    <row r="377" spans="1:39" ht="25.15" customHeight="1" outlineLevel="1" x14ac:dyDescent="0.2">
      <c r="A377" s="18" t="s">
        <v>469</v>
      </c>
      <c r="B377" s="137" t="s">
        <v>468</v>
      </c>
      <c r="C377" s="137"/>
      <c r="D377" s="137"/>
      <c r="E377" s="137"/>
      <c r="F377" s="137"/>
      <c r="G377" s="137"/>
      <c r="H377" s="137"/>
      <c r="I377" s="137"/>
      <c r="J377" s="137"/>
      <c r="K377" s="137"/>
      <c r="L377" s="137"/>
      <c r="M377" s="137"/>
      <c r="N377" s="137"/>
      <c r="O377" s="137"/>
      <c r="P377" s="137"/>
      <c r="Q377" s="160"/>
      <c r="R377" s="160"/>
      <c r="S377" s="160"/>
      <c r="T377" s="160"/>
      <c r="U377" s="160"/>
      <c r="V377" s="160"/>
      <c r="W377" s="160"/>
      <c r="X377" s="160"/>
      <c r="Y377" s="160"/>
      <c r="Z377" s="160"/>
      <c r="AA377" s="160"/>
      <c r="AB377" s="160"/>
      <c r="AC377" s="162">
        <v>281543.65000000002</v>
      </c>
      <c r="AD377" s="160"/>
      <c r="AE377" s="160"/>
      <c r="AF377" s="31"/>
      <c r="AG377" s="31"/>
      <c r="AH377"/>
      <c r="AI377"/>
      <c r="AJ377"/>
      <c r="AK377"/>
      <c r="AM377"/>
    </row>
    <row r="378" spans="1:39" ht="25.15" customHeight="1" outlineLevel="1" x14ac:dyDescent="0.2">
      <c r="A378" s="18" t="s">
        <v>470</v>
      </c>
      <c r="B378" s="137" t="s">
        <v>471</v>
      </c>
      <c r="C378" s="137"/>
      <c r="D378" s="137"/>
      <c r="E378" s="137"/>
      <c r="F378" s="137"/>
      <c r="G378" s="137"/>
      <c r="H378" s="137"/>
      <c r="I378" s="137"/>
      <c r="J378" s="137"/>
      <c r="K378" s="137"/>
      <c r="L378" s="137"/>
      <c r="M378" s="137"/>
      <c r="N378" s="137"/>
      <c r="O378" s="137"/>
      <c r="P378" s="137"/>
      <c r="Q378" s="160"/>
      <c r="R378" s="160"/>
      <c r="S378" s="160"/>
      <c r="T378" s="160"/>
      <c r="U378" s="160"/>
      <c r="V378" s="160"/>
      <c r="W378" s="160"/>
      <c r="X378" s="160"/>
      <c r="Y378" s="160"/>
      <c r="Z378" s="160"/>
      <c r="AA378" s="160"/>
      <c r="AB378" s="160"/>
      <c r="AC378" s="211">
        <v>4294</v>
      </c>
      <c r="AD378" s="160"/>
      <c r="AE378" s="160"/>
      <c r="AF378" s="31"/>
      <c r="AG378" s="31"/>
      <c r="AH378"/>
      <c r="AI378"/>
      <c r="AJ378"/>
      <c r="AK378"/>
      <c r="AM378"/>
    </row>
    <row r="379" spans="1:39" ht="25.15" customHeight="1" outlineLevel="1" x14ac:dyDescent="0.2">
      <c r="A379" s="10" t="s">
        <v>472</v>
      </c>
      <c r="B379" s="98" t="s">
        <v>473</v>
      </c>
      <c r="C379" s="98"/>
      <c r="D379" s="98"/>
      <c r="E379" s="98"/>
      <c r="F379" s="98"/>
      <c r="G379" s="98"/>
      <c r="H379" s="98"/>
      <c r="I379" s="98"/>
      <c r="J379" s="98"/>
      <c r="K379" s="98"/>
      <c r="L379" s="98"/>
      <c r="M379" s="98"/>
      <c r="N379" s="98" t="s">
        <v>47</v>
      </c>
      <c r="O379" s="98"/>
      <c r="P379" s="98"/>
      <c r="Q379" s="133">
        <v>113</v>
      </c>
      <c r="R379" s="95"/>
      <c r="S379" s="95"/>
      <c r="T379" s="95"/>
      <c r="U379" s="95"/>
      <c r="V379" s="95"/>
      <c r="W379" s="97">
        <v>38</v>
      </c>
      <c r="X379" s="95"/>
      <c r="Y379" s="95"/>
      <c r="Z379" s="95"/>
      <c r="AA379" s="95"/>
      <c r="AB379" s="95"/>
      <c r="AC379" s="94">
        <v>4294</v>
      </c>
      <c r="AD379" s="95"/>
      <c r="AE379" s="95"/>
      <c r="AF379" s="40" t="s">
        <v>923</v>
      </c>
      <c r="AG379" s="31"/>
      <c r="AH379"/>
      <c r="AI379"/>
      <c r="AJ379"/>
      <c r="AK379"/>
      <c r="AM379"/>
    </row>
    <row r="380" spans="1:39" ht="25.15" customHeight="1" outlineLevel="1" x14ac:dyDescent="0.2">
      <c r="A380" s="18" t="s">
        <v>474</v>
      </c>
      <c r="B380" s="137" t="s">
        <v>475</v>
      </c>
      <c r="C380" s="137"/>
      <c r="D380" s="137"/>
      <c r="E380" s="137"/>
      <c r="F380" s="137"/>
      <c r="G380" s="137"/>
      <c r="H380" s="137"/>
      <c r="I380" s="137"/>
      <c r="J380" s="137"/>
      <c r="K380" s="137"/>
      <c r="L380" s="137"/>
      <c r="M380" s="137"/>
      <c r="N380" s="137"/>
      <c r="O380" s="137"/>
      <c r="P380" s="137"/>
      <c r="Q380" s="160"/>
      <c r="R380" s="160"/>
      <c r="S380" s="160"/>
      <c r="T380" s="160"/>
      <c r="U380" s="160"/>
      <c r="V380" s="160"/>
      <c r="W380" s="160"/>
      <c r="X380" s="160"/>
      <c r="Y380" s="160"/>
      <c r="Z380" s="160"/>
      <c r="AA380" s="160"/>
      <c r="AB380" s="160"/>
      <c r="AC380" s="169">
        <v>23717.15</v>
      </c>
      <c r="AD380" s="160"/>
      <c r="AE380" s="160"/>
      <c r="AF380" s="31"/>
      <c r="AG380" s="31"/>
      <c r="AH380"/>
      <c r="AI380"/>
      <c r="AJ380"/>
      <c r="AK380"/>
      <c r="AM380"/>
    </row>
    <row r="381" spans="1:39" ht="25.15" customHeight="1" outlineLevel="1" x14ac:dyDescent="0.2">
      <c r="A381" s="10" t="s">
        <v>476</v>
      </c>
      <c r="B381" s="98" t="s">
        <v>477</v>
      </c>
      <c r="C381" s="98"/>
      <c r="D381" s="98"/>
      <c r="E381" s="98"/>
      <c r="F381" s="98"/>
      <c r="G381" s="98"/>
      <c r="H381" s="98"/>
      <c r="I381" s="98"/>
      <c r="J381" s="98"/>
      <c r="K381" s="98"/>
      <c r="L381" s="98"/>
      <c r="M381" s="98"/>
      <c r="N381" s="98" t="s">
        <v>47</v>
      </c>
      <c r="O381" s="98"/>
      <c r="P381" s="98"/>
      <c r="Q381" s="132">
        <v>1943</v>
      </c>
      <c r="R381" s="95"/>
      <c r="S381" s="95"/>
      <c r="T381" s="95"/>
      <c r="U381" s="95"/>
      <c r="V381" s="95"/>
      <c r="W381" s="99">
        <v>5.8220000000000001</v>
      </c>
      <c r="X381" s="95"/>
      <c r="Y381" s="95"/>
      <c r="Z381" s="95"/>
      <c r="AA381" s="95"/>
      <c r="AB381" s="95"/>
      <c r="AC381" s="126">
        <v>11312.15</v>
      </c>
      <c r="AD381" s="95"/>
      <c r="AE381" s="95"/>
      <c r="AF381" s="31"/>
      <c r="AG381" s="31"/>
      <c r="AH381"/>
      <c r="AI381"/>
      <c r="AJ381"/>
      <c r="AK381"/>
      <c r="AM381"/>
    </row>
    <row r="382" spans="1:39" ht="25.15" customHeight="1" outlineLevel="1" x14ac:dyDescent="0.2">
      <c r="A382" s="10" t="s">
        <v>478</v>
      </c>
      <c r="B382" s="98" t="s">
        <v>479</v>
      </c>
      <c r="C382" s="98"/>
      <c r="D382" s="98"/>
      <c r="E382" s="98"/>
      <c r="F382" s="98"/>
      <c r="G382" s="98"/>
      <c r="H382" s="98"/>
      <c r="I382" s="98"/>
      <c r="J382" s="98"/>
      <c r="K382" s="98"/>
      <c r="L382" s="98"/>
      <c r="M382" s="98"/>
      <c r="N382" s="98" t="s">
        <v>47</v>
      </c>
      <c r="O382" s="98"/>
      <c r="P382" s="98"/>
      <c r="Q382" s="133">
        <v>827</v>
      </c>
      <c r="R382" s="95"/>
      <c r="S382" s="95"/>
      <c r="T382" s="95"/>
      <c r="U382" s="95"/>
      <c r="V382" s="95"/>
      <c r="W382" s="97">
        <v>15</v>
      </c>
      <c r="X382" s="95"/>
      <c r="Y382" s="95"/>
      <c r="Z382" s="95"/>
      <c r="AA382" s="95"/>
      <c r="AB382" s="95"/>
      <c r="AC382" s="126">
        <v>12405</v>
      </c>
      <c r="AD382" s="95"/>
      <c r="AE382" s="95"/>
      <c r="AF382" s="31"/>
      <c r="AG382" s="31"/>
      <c r="AH382"/>
      <c r="AI382"/>
      <c r="AJ382"/>
      <c r="AK382"/>
      <c r="AM382"/>
    </row>
    <row r="383" spans="1:39" ht="25.15" customHeight="1" outlineLevel="1" x14ac:dyDescent="0.2">
      <c r="A383" s="18" t="s">
        <v>480</v>
      </c>
      <c r="B383" s="137" t="s">
        <v>481</v>
      </c>
      <c r="C383" s="137"/>
      <c r="D383" s="137"/>
      <c r="E383" s="137"/>
      <c r="F383" s="137"/>
      <c r="G383" s="137"/>
      <c r="H383" s="137"/>
      <c r="I383" s="137"/>
      <c r="J383" s="137"/>
      <c r="K383" s="137"/>
      <c r="L383" s="137"/>
      <c r="M383" s="137"/>
      <c r="N383" s="137"/>
      <c r="O383" s="137"/>
      <c r="P383" s="137"/>
      <c r="Q383" s="160"/>
      <c r="R383" s="160"/>
      <c r="S383" s="160"/>
      <c r="T383" s="160"/>
      <c r="U383" s="160"/>
      <c r="V383" s="160"/>
      <c r="W383" s="160"/>
      <c r="X383" s="160"/>
      <c r="Y383" s="160"/>
      <c r="Z383" s="160"/>
      <c r="AA383" s="160"/>
      <c r="AB383" s="160"/>
      <c r="AC383" s="169">
        <v>90090</v>
      </c>
      <c r="AD383" s="160"/>
      <c r="AE383" s="160"/>
      <c r="AF383" s="31"/>
      <c r="AG383" s="31"/>
      <c r="AH383"/>
      <c r="AI383"/>
      <c r="AJ383"/>
      <c r="AK383"/>
      <c r="AM383"/>
    </row>
    <row r="384" spans="1:39" ht="25.15" customHeight="1" outlineLevel="1" x14ac:dyDescent="0.2">
      <c r="A384" s="10" t="s">
        <v>482</v>
      </c>
      <c r="B384" s="98" t="s">
        <v>483</v>
      </c>
      <c r="C384" s="98"/>
      <c r="D384" s="98"/>
      <c r="E384" s="98"/>
      <c r="F384" s="98"/>
      <c r="G384" s="98"/>
      <c r="H384" s="98"/>
      <c r="I384" s="98"/>
      <c r="J384" s="98"/>
      <c r="K384" s="98"/>
      <c r="L384" s="98"/>
      <c r="M384" s="98"/>
      <c r="N384" s="98" t="s">
        <v>47</v>
      </c>
      <c r="O384" s="98"/>
      <c r="P384" s="98"/>
      <c r="Q384" s="133">
        <v>455</v>
      </c>
      <c r="R384" s="95"/>
      <c r="S384" s="95"/>
      <c r="T384" s="95"/>
      <c r="U384" s="95"/>
      <c r="V384" s="95"/>
      <c r="W384" s="133">
        <v>198</v>
      </c>
      <c r="X384" s="95"/>
      <c r="Y384" s="95"/>
      <c r="Z384" s="95"/>
      <c r="AA384" s="95"/>
      <c r="AB384" s="95"/>
      <c r="AC384" s="126">
        <v>90090</v>
      </c>
      <c r="AD384" s="95"/>
      <c r="AE384" s="95"/>
      <c r="AF384" s="31"/>
      <c r="AG384" s="31"/>
      <c r="AH384"/>
      <c r="AI384"/>
      <c r="AJ384"/>
      <c r="AK384"/>
      <c r="AM384"/>
    </row>
    <row r="385" spans="1:39" ht="25.15" customHeight="1" outlineLevel="1" x14ac:dyDescent="0.2">
      <c r="A385" s="23" t="s">
        <v>484</v>
      </c>
      <c r="B385" s="246" t="s">
        <v>485</v>
      </c>
      <c r="C385" s="246"/>
      <c r="D385" s="246"/>
      <c r="E385" s="246"/>
      <c r="F385" s="246"/>
      <c r="G385" s="246"/>
      <c r="H385" s="246"/>
      <c r="I385" s="246"/>
      <c r="J385" s="246"/>
      <c r="K385" s="246"/>
      <c r="L385" s="246"/>
      <c r="M385" s="246"/>
      <c r="N385" s="246"/>
      <c r="O385" s="246"/>
      <c r="P385" s="246"/>
      <c r="Q385" s="247"/>
      <c r="R385" s="247"/>
      <c r="S385" s="247"/>
      <c r="T385" s="247"/>
      <c r="U385" s="247"/>
      <c r="V385" s="247"/>
      <c r="W385" s="247"/>
      <c r="X385" s="247"/>
      <c r="Y385" s="247"/>
      <c r="Z385" s="247"/>
      <c r="AA385" s="247"/>
      <c r="AB385" s="247"/>
      <c r="AC385" s="254">
        <v>113449.3</v>
      </c>
      <c r="AD385" s="247"/>
      <c r="AE385" s="247"/>
      <c r="AF385" s="31"/>
      <c r="AG385" s="31"/>
      <c r="AH385"/>
      <c r="AI385"/>
      <c r="AJ385"/>
      <c r="AK385"/>
      <c r="AM385"/>
    </row>
    <row r="386" spans="1:39" ht="25.15" customHeight="1" outlineLevel="1" x14ac:dyDescent="0.2">
      <c r="A386" s="15" t="s">
        <v>486</v>
      </c>
      <c r="B386" s="255" t="s">
        <v>487</v>
      </c>
      <c r="C386" s="255"/>
      <c r="D386" s="255"/>
      <c r="E386" s="255"/>
      <c r="F386" s="255"/>
      <c r="G386" s="255"/>
      <c r="H386" s="255"/>
      <c r="I386" s="255"/>
      <c r="J386" s="255"/>
      <c r="K386" s="255"/>
      <c r="L386" s="255"/>
      <c r="M386" s="255"/>
      <c r="N386" s="255" t="s">
        <v>47</v>
      </c>
      <c r="O386" s="255"/>
      <c r="P386" s="255"/>
      <c r="Q386" s="140">
        <v>728</v>
      </c>
      <c r="R386" s="141"/>
      <c r="S386" s="141"/>
      <c r="T386" s="141"/>
      <c r="U386" s="141"/>
      <c r="V386" s="141"/>
      <c r="W386" s="259">
        <v>68</v>
      </c>
      <c r="X386" s="141"/>
      <c r="Y386" s="141"/>
      <c r="Z386" s="141"/>
      <c r="AA386" s="141"/>
      <c r="AB386" s="141"/>
      <c r="AC386" s="142">
        <v>49504</v>
      </c>
      <c r="AD386" s="141"/>
      <c r="AE386" s="141"/>
      <c r="AF386" s="31"/>
      <c r="AG386" s="31"/>
      <c r="AH386"/>
      <c r="AI386"/>
      <c r="AJ386"/>
      <c r="AK386"/>
      <c r="AM386"/>
    </row>
    <row r="387" spans="1:39" ht="25.15" customHeight="1" outlineLevel="1" x14ac:dyDescent="0.2">
      <c r="A387" s="15" t="s">
        <v>488</v>
      </c>
      <c r="B387" s="255" t="s">
        <v>489</v>
      </c>
      <c r="C387" s="255"/>
      <c r="D387" s="255"/>
      <c r="E387" s="255"/>
      <c r="F387" s="255"/>
      <c r="G387" s="255"/>
      <c r="H387" s="255"/>
      <c r="I387" s="255"/>
      <c r="J387" s="255"/>
      <c r="K387" s="255"/>
      <c r="L387" s="255"/>
      <c r="M387" s="255"/>
      <c r="N387" s="255" t="s">
        <v>47</v>
      </c>
      <c r="O387" s="255"/>
      <c r="P387" s="255"/>
      <c r="Q387" s="140">
        <v>567</v>
      </c>
      <c r="R387" s="141"/>
      <c r="S387" s="141"/>
      <c r="T387" s="141"/>
      <c r="U387" s="141"/>
      <c r="V387" s="141"/>
      <c r="W387" s="259">
        <v>75</v>
      </c>
      <c r="X387" s="141"/>
      <c r="Y387" s="141"/>
      <c r="Z387" s="141"/>
      <c r="AA387" s="141"/>
      <c r="AB387" s="141"/>
      <c r="AC387" s="142">
        <v>42525</v>
      </c>
      <c r="AD387" s="141"/>
      <c r="AE387" s="141"/>
      <c r="AF387" s="31"/>
      <c r="AG387" s="31"/>
      <c r="AH387"/>
      <c r="AI387"/>
      <c r="AJ387"/>
      <c r="AK387"/>
      <c r="AM387"/>
    </row>
    <row r="388" spans="1:39" ht="25.15" customHeight="1" outlineLevel="1" x14ac:dyDescent="0.2">
      <c r="A388" s="15" t="s">
        <v>490</v>
      </c>
      <c r="B388" s="255" t="s">
        <v>491</v>
      </c>
      <c r="C388" s="255"/>
      <c r="D388" s="255"/>
      <c r="E388" s="255"/>
      <c r="F388" s="255"/>
      <c r="G388" s="255"/>
      <c r="H388" s="255"/>
      <c r="I388" s="255"/>
      <c r="J388" s="255"/>
      <c r="K388" s="255"/>
      <c r="L388" s="255"/>
      <c r="M388" s="255"/>
      <c r="N388" s="255" t="s">
        <v>47</v>
      </c>
      <c r="O388" s="255"/>
      <c r="P388" s="255"/>
      <c r="Q388" s="140">
        <v>165</v>
      </c>
      <c r="R388" s="141"/>
      <c r="S388" s="141"/>
      <c r="T388" s="141"/>
      <c r="U388" s="141"/>
      <c r="V388" s="141"/>
      <c r="W388" s="140">
        <v>129.82</v>
      </c>
      <c r="X388" s="141"/>
      <c r="Y388" s="141"/>
      <c r="Z388" s="141"/>
      <c r="AA388" s="141"/>
      <c r="AB388" s="141"/>
      <c r="AC388" s="142">
        <v>21420.3</v>
      </c>
      <c r="AD388" s="141"/>
      <c r="AE388" s="141"/>
      <c r="AF388" s="31"/>
      <c r="AG388" s="31"/>
      <c r="AH388"/>
      <c r="AI388"/>
      <c r="AJ388"/>
      <c r="AK388"/>
      <c r="AM388"/>
    </row>
    <row r="389" spans="1:39" ht="25.15" customHeight="1" outlineLevel="1" x14ac:dyDescent="0.2">
      <c r="A389" s="15"/>
      <c r="B389" s="139" t="s">
        <v>772</v>
      </c>
      <c r="C389" s="139"/>
      <c r="D389" s="139"/>
      <c r="E389" s="139"/>
      <c r="F389" s="139"/>
      <c r="G389" s="139"/>
      <c r="H389" s="139"/>
      <c r="I389" s="139"/>
      <c r="J389" s="139"/>
      <c r="K389" s="139"/>
      <c r="L389" s="139"/>
      <c r="M389" s="139"/>
      <c r="N389" s="139" t="s">
        <v>47</v>
      </c>
      <c r="O389" s="139"/>
      <c r="P389" s="139"/>
      <c r="Q389" s="140"/>
      <c r="R389" s="141"/>
      <c r="S389" s="141"/>
      <c r="T389" s="141"/>
      <c r="U389" s="141"/>
      <c r="V389" s="141"/>
      <c r="W389" s="140"/>
      <c r="X389" s="141"/>
      <c r="Y389" s="141"/>
      <c r="Z389" s="141"/>
      <c r="AA389" s="141"/>
      <c r="AB389" s="141"/>
      <c r="AC389" s="142"/>
      <c r="AD389" s="141"/>
      <c r="AE389" s="141"/>
      <c r="AF389" s="49" t="s">
        <v>899</v>
      </c>
      <c r="AG389" s="31"/>
      <c r="AH389"/>
      <c r="AI389"/>
      <c r="AJ389"/>
      <c r="AK389"/>
      <c r="AM389"/>
    </row>
    <row r="390" spans="1:39" ht="25.15" customHeight="1" outlineLevel="1" x14ac:dyDescent="0.2">
      <c r="A390" s="15"/>
      <c r="B390" s="139" t="s">
        <v>773</v>
      </c>
      <c r="C390" s="139"/>
      <c r="D390" s="139"/>
      <c r="E390" s="139"/>
      <c r="F390" s="139"/>
      <c r="G390" s="139"/>
      <c r="H390" s="139"/>
      <c r="I390" s="139"/>
      <c r="J390" s="139"/>
      <c r="K390" s="139"/>
      <c r="L390" s="139"/>
      <c r="M390" s="139"/>
      <c r="N390" s="139" t="s">
        <v>47</v>
      </c>
      <c r="O390" s="139"/>
      <c r="P390" s="139"/>
      <c r="Q390" s="140"/>
      <c r="R390" s="141"/>
      <c r="S390" s="141"/>
      <c r="T390" s="141"/>
      <c r="U390" s="141"/>
      <c r="V390" s="141"/>
      <c r="W390" s="140"/>
      <c r="X390" s="141"/>
      <c r="Y390" s="141"/>
      <c r="Z390" s="141"/>
      <c r="AA390" s="141"/>
      <c r="AB390" s="141"/>
      <c r="AC390" s="142"/>
      <c r="AD390" s="141"/>
      <c r="AE390" s="141"/>
      <c r="AF390" s="40" t="s">
        <v>933</v>
      </c>
      <c r="AG390" s="31"/>
      <c r="AH390"/>
      <c r="AI390"/>
      <c r="AJ390"/>
      <c r="AK390"/>
      <c r="AM390"/>
    </row>
    <row r="391" spans="1:39" ht="25.15" customHeight="1" outlineLevel="1" x14ac:dyDescent="0.2">
      <c r="A391" s="22" t="s">
        <v>492</v>
      </c>
      <c r="B391" s="256" t="s">
        <v>493</v>
      </c>
      <c r="C391" s="256"/>
      <c r="D391" s="256"/>
      <c r="E391" s="256"/>
      <c r="F391" s="256"/>
      <c r="G391" s="256"/>
      <c r="H391" s="256"/>
      <c r="I391" s="256"/>
      <c r="J391" s="256"/>
      <c r="K391" s="256"/>
      <c r="L391" s="256"/>
      <c r="M391" s="256"/>
      <c r="N391" s="256"/>
      <c r="O391" s="256"/>
      <c r="P391" s="256"/>
      <c r="Q391" s="257"/>
      <c r="R391" s="257"/>
      <c r="S391" s="257"/>
      <c r="T391" s="257"/>
      <c r="U391" s="257"/>
      <c r="V391" s="257"/>
      <c r="W391" s="257"/>
      <c r="X391" s="257"/>
      <c r="Y391" s="257"/>
      <c r="Z391" s="257"/>
      <c r="AA391" s="257"/>
      <c r="AB391" s="257"/>
      <c r="AC391" s="258">
        <v>15019.2</v>
      </c>
      <c r="AD391" s="257"/>
      <c r="AE391" s="257"/>
      <c r="AF391" s="31"/>
      <c r="AG391" s="31"/>
      <c r="AH391"/>
      <c r="AI391"/>
      <c r="AJ391"/>
      <c r="AK391"/>
      <c r="AM391"/>
    </row>
    <row r="392" spans="1:39" ht="25.15" customHeight="1" outlineLevel="1" x14ac:dyDescent="0.2">
      <c r="A392" s="10" t="s">
        <v>494</v>
      </c>
      <c r="B392" s="98" t="s">
        <v>495</v>
      </c>
      <c r="C392" s="98"/>
      <c r="D392" s="98"/>
      <c r="E392" s="98"/>
      <c r="F392" s="98"/>
      <c r="G392" s="98"/>
      <c r="H392" s="98"/>
      <c r="I392" s="98"/>
      <c r="J392" s="98"/>
      <c r="K392" s="98"/>
      <c r="L392" s="98"/>
      <c r="M392" s="98"/>
      <c r="N392" s="98" t="s">
        <v>158</v>
      </c>
      <c r="O392" s="98"/>
      <c r="P392" s="98"/>
      <c r="Q392" s="133">
        <v>252</v>
      </c>
      <c r="R392" s="95"/>
      <c r="S392" s="95"/>
      <c r="T392" s="95"/>
      <c r="U392" s="95"/>
      <c r="V392" s="95"/>
      <c r="W392" s="97">
        <v>59.6</v>
      </c>
      <c r="X392" s="95"/>
      <c r="Y392" s="95"/>
      <c r="Z392" s="95"/>
      <c r="AA392" s="95"/>
      <c r="AB392" s="95"/>
      <c r="AC392" s="126">
        <v>15019.2</v>
      </c>
      <c r="AD392" s="95"/>
      <c r="AE392" s="95"/>
      <c r="AF392" s="31"/>
      <c r="AG392" s="31"/>
      <c r="AH392"/>
      <c r="AI392"/>
      <c r="AJ392"/>
      <c r="AK392"/>
      <c r="AM392"/>
    </row>
    <row r="393" spans="1:39" ht="25.15" customHeight="1" outlineLevel="1" x14ac:dyDescent="0.2">
      <c r="A393" s="18" t="s">
        <v>496</v>
      </c>
      <c r="B393" s="137" t="s">
        <v>288</v>
      </c>
      <c r="C393" s="137"/>
      <c r="D393" s="137"/>
      <c r="E393" s="137"/>
      <c r="F393" s="137"/>
      <c r="G393" s="137"/>
      <c r="H393" s="137"/>
      <c r="I393" s="137"/>
      <c r="J393" s="137"/>
      <c r="K393" s="137"/>
      <c r="L393" s="137"/>
      <c r="M393" s="137"/>
      <c r="N393" s="137"/>
      <c r="O393" s="137"/>
      <c r="P393" s="137"/>
      <c r="Q393" s="160"/>
      <c r="R393" s="160"/>
      <c r="S393" s="160"/>
      <c r="T393" s="160"/>
      <c r="U393" s="160"/>
      <c r="V393" s="160"/>
      <c r="W393" s="160"/>
      <c r="X393" s="160"/>
      <c r="Y393" s="160"/>
      <c r="Z393" s="160"/>
      <c r="AA393" s="160"/>
      <c r="AB393" s="160"/>
      <c r="AC393" s="169">
        <v>34974</v>
      </c>
      <c r="AD393" s="160"/>
      <c r="AE393" s="160"/>
      <c r="AF393" s="31"/>
      <c r="AG393" s="31"/>
      <c r="AH393"/>
      <c r="AI393"/>
      <c r="AJ393"/>
      <c r="AK393"/>
      <c r="AM393"/>
    </row>
    <row r="394" spans="1:39" ht="25.15" customHeight="1" outlineLevel="1" x14ac:dyDescent="0.2">
      <c r="A394" s="10" t="s">
        <v>497</v>
      </c>
      <c r="B394" s="98" t="s">
        <v>498</v>
      </c>
      <c r="C394" s="98"/>
      <c r="D394" s="98"/>
      <c r="E394" s="98"/>
      <c r="F394" s="98"/>
      <c r="G394" s="98"/>
      <c r="H394" s="98"/>
      <c r="I394" s="98"/>
      <c r="J394" s="98"/>
      <c r="K394" s="98"/>
      <c r="L394" s="98"/>
      <c r="M394" s="98"/>
      <c r="N394" s="98" t="s">
        <v>47</v>
      </c>
      <c r="O394" s="98"/>
      <c r="P394" s="98"/>
      <c r="Q394" s="132">
        <v>1943</v>
      </c>
      <c r="R394" s="95"/>
      <c r="S394" s="95"/>
      <c r="T394" s="95"/>
      <c r="U394" s="95"/>
      <c r="V394" s="95"/>
      <c r="W394" s="97">
        <v>18</v>
      </c>
      <c r="X394" s="95"/>
      <c r="Y394" s="95"/>
      <c r="Z394" s="95"/>
      <c r="AA394" s="95"/>
      <c r="AB394" s="95"/>
      <c r="AC394" s="126">
        <v>34974</v>
      </c>
      <c r="AD394" s="95"/>
      <c r="AE394" s="95"/>
      <c r="AF394" s="31"/>
      <c r="AG394" s="31"/>
      <c r="AH394"/>
      <c r="AI394"/>
      <c r="AJ394"/>
      <c r="AK394"/>
      <c r="AM394"/>
    </row>
    <row r="395" spans="1:39" ht="25.15" customHeight="1" x14ac:dyDescent="0.2">
      <c r="A395" s="19" t="s">
        <v>499</v>
      </c>
      <c r="B395" s="134" t="s">
        <v>500</v>
      </c>
      <c r="C395" s="134"/>
      <c r="D395" s="134"/>
      <c r="E395" s="134"/>
      <c r="F395" s="134"/>
      <c r="G395" s="134"/>
      <c r="H395" s="134"/>
      <c r="I395" s="134"/>
      <c r="J395" s="134"/>
      <c r="K395" s="134"/>
      <c r="L395" s="134"/>
      <c r="M395" s="134"/>
      <c r="N395" s="134"/>
      <c r="O395" s="134"/>
      <c r="P395" s="134"/>
      <c r="Q395" s="135"/>
      <c r="R395" s="135"/>
      <c r="S395" s="135"/>
      <c r="T395" s="135"/>
      <c r="U395" s="135"/>
      <c r="V395" s="135"/>
      <c r="W395" s="135"/>
      <c r="X395" s="135"/>
      <c r="Y395" s="135"/>
      <c r="Z395" s="135"/>
      <c r="AA395" s="135"/>
      <c r="AB395" s="135"/>
      <c r="AC395" s="136">
        <v>746319.35</v>
      </c>
      <c r="AD395" s="135"/>
      <c r="AE395" s="135"/>
      <c r="AF395" s="31"/>
      <c r="AG395" s="31"/>
      <c r="AH395"/>
      <c r="AI395"/>
      <c r="AJ395"/>
      <c r="AK395"/>
      <c r="AM395"/>
    </row>
    <row r="396" spans="1:39" ht="25.15" customHeight="1" outlineLevel="1" x14ac:dyDescent="0.2">
      <c r="A396" s="18" t="s">
        <v>501</v>
      </c>
      <c r="B396" s="137" t="s">
        <v>500</v>
      </c>
      <c r="C396" s="137"/>
      <c r="D396" s="137"/>
      <c r="E396" s="137"/>
      <c r="F396" s="137"/>
      <c r="G396" s="137"/>
      <c r="H396" s="137"/>
      <c r="I396" s="137"/>
      <c r="J396" s="137"/>
      <c r="K396" s="137"/>
      <c r="L396" s="137"/>
      <c r="M396" s="137"/>
      <c r="N396" s="137"/>
      <c r="O396" s="137"/>
      <c r="P396" s="137"/>
      <c r="Q396" s="160"/>
      <c r="R396" s="160"/>
      <c r="S396" s="160"/>
      <c r="T396" s="160"/>
      <c r="U396" s="160"/>
      <c r="V396" s="160"/>
      <c r="W396" s="160"/>
      <c r="X396" s="160"/>
      <c r="Y396" s="160"/>
      <c r="Z396" s="160"/>
      <c r="AA396" s="160"/>
      <c r="AB396" s="160"/>
      <c r="AC396" s="162">
        <v>746319.35</v>
      </c>
      <c r="AD396" s="160"/>
      <c r="AE396" s="160"/>
      <c r="AF396" s="31"/>
      <c r="AG396" s="31"/>
      <c r="AH396"/>
      <c r="AI396"/>
      <c r="AJ396"/>
      <c r="AK396"/>
      <c r="AM396"/>
    </row>
    <row r="397" spans="1:39" ht="25.15" customHeight="1" outlineLevel="1" x14ac:dyDescent="0.2">
      <c r="A397" s="18" t="s">
        <v>502</v>
      </c>
      <c r="B397" s="137" t="s">
        <v>503</v>
      </c>
      <c r="C397" s="137"/>
      <c r="D397" s="137"/>
      <c r="E397" s="137"/>
      <c r="F397" s="137"/>
      <c r="G397" s="137"/>
      <c r="H397" s="137"/>
      <c r="I397" s="137"/>
      <c r="J397" s="137"/>
      <c r="K397" s="137"/>
      <c r="L397" s="137"/>
      <c r="M397" s="137"/>
      <c r="N397" s="137"/>
      <c r="O397" s="137"/>
      <c r="P397" s="137"/>
      <c r="Q397" s="160"/>
      <c r="R397" s="160"/>
      <c r="S397" s="160"/>
      <c r="T397" s="160"/>
      <c r="U397" s="160"/>
      <c r="V397" s="160"/>
      <c r="W397" s="160"/>
      <c r="X397" s="160"/>
      <c r="Y397" s="160"/>
      <c r="Z397" s="160"/>
      <c r="AA397" s="160"/>
      <c r="AB397" s="160"/>
      <c r="AC397" s="162">
        <v>151419.79999999999</v>
      </c>
      <c r="AD397" s="160"/>
      <c r="AE397" s="160"/>
      <c r="AF397" s="31"/>
      <c r="AG397" s="31"/>
      <c r="AH397"/>
      <c r="AI397"/>
      <c r="AJ397"/>
      <c r="AK397"/>
      <c r="AM397"/>
    </row>
    <row r="398" spans="1:39" ht="25.15" customHeight="1" outlineLevel="1" x14ac:dyDescent="0.2">
      <c r="A398" s="10" t="s">
        <v>504</v>
      </c>
      <c r="B398" s="98" t="s">
        <v>505</v>
      </c>
      <c r="C398" s="98"/>
      <c r="D398" s="98"/>
      <c r="E398" s="98"/>
      <c r="F398" s="98"/>
      <c r="G398" s="98"/>
      <c r="H398" s="98"/>
      <c r="I398" s="98"/>
      <c r="J398" s="98"/>
      <c r="K398" s="98"/>
      <c r="L398" s="98"/>
      <c r="M398" s="98"/>
      <c r="N398" s="98" t="s">
        <v>47</v>
      </c>
      <c r="O398" s="98"/>
      <c r="P398" s="98"/>
      <c r="Q398" s="132">
        <v>3050</v>
      </c>
      <c r="R398" s="95"/>
      <c r="S398" s="95"/>
      <c r="T398" s="95"/>
      <c r="U398" s="95"/>
      <c r="V398" s="95"/>
      <c r="W398" s="97">
        <v>10.1</v>
      </c>
      <c r="X398" s="95"/>
      <c r="Y398" s="95"/>
      <c r="Z398" s="95"/>
      <c r="AA398" s="95"/>
      <c r="AB398" s="95"/>
      <c r="AC398" s="126">
        <v>30805</v>
      </c>
      <c r="AD398" s="95"/>
      <c r="AE398" s="95"/>
      <c r="AF398" s="31"/>
      <c r="AG398" s="31"/>
      <c r="AH398"/>
      <c r="AI398"/>
      <c r="AJ398"/>
      <c r="AK398"/>
      <c r="AM398"/>
    </row>
    <row r="399" spans="1:39" ht="25.15" customHeight="1" outlineLevel="1" x14ac:dyDescent="0.2">
      <c r="A399" s="10" t="s">
        <v>506</v>
      </c>
      <c r="B399" s="98" t="s">
        <v>507</v>
      </c>
      <c r="C399" s="98"/>
      <c r="D399" s="98"/>
      <c r="E399" s="98"/>
      <c r="F399" s="98"/>
      <c r="G399" s="98"/>
      <c r="H399" s="98"/>
      <c r="I399" s="98"/>
      <c r="J399" s="98"/>
      <c r="K399" s="98"/>
      <c r="L399" s="98"/>
      <c r="M399" s="98"/>
      <c r="N399" s="98" t="s">
        <v>47</v>
      </c>
      <c r="O399" s="98"/>
      <c r="P399" s="98"/>
      <c r="Q399" s="133">
        <v>684</v>
      </c>
      <c r="R399" s="95"/>
      <c r="S399" s="95"/>
      <c r="T399" s="95"/>
      <c r="U399" s="95"/>
      <c r="V399" s="95"/>
      <c r="W399" s="99">
        <v>7.5750000000000002</v>
      </c>
      <c r="X399" s="95"/>
      <c r="Y399" s="95"/>
      <c r="Z399" s="95"/>
      <c r="AA399" s="95"/>
      <c r="AB399" s="95"/>
      <c r="AC399" s="94">
        <v>5181.3</v>
      </c>
      <c r="AD399" s="95"/>
      <c r="AE399" s="95"/>
      <c r="AF399" s="31"/>
      <c r="AG399" s="31"/>
      <c r="AH399"/>
      <c r="AI399"/>
      <c r="AJ399"/>
      <c r="AK399"/>
      <c r="AM399"/>
    </row>
    <row r="400" spans="1:39" ht="25.15" customHeight="1" outlineLevel="1" x14ac:dyDescent="0.2">
      <c r="A400" s="10"/>
      <c r="B400" s="96" t="s">
        <v>754</v>
      </c>
      <c r="C400" s="96"/>
      <c r="D400" s="96"/>
      <c r="E400" s="96"/>
      <c r="F400" s="96"/>
      <c r="G400" s="96"/>
      <c r="H400" s="96"/>
      <c r="I400" s="96"/>
      <c r="J400" s="96"/>
      <c r="K400" s="96"/>
      <c r="L400" s="96"/>
      <c r="M400" s="96"/>
      <c r="N400" s="96" t="s">
        <v>761</v>
      </c>
      <c r="O400" s="96"/>
      <c r="P400" s="96"/>
      <c r="Q400" s="133"/>
      <c r="R400" s="95"/>
      <c r="S400" s="95"/>
      <c r="T400" s="95"/>
      <c r="U400" s="95"/>
      <c r="V400" s="95"/>
      <c r="W400" s="99"/>
      <c r="X400" s="95"/>
      <c r="Y400" s="95"/>
      <c r="Z400" s="95"/>
      <c r="AA400" s="95"/>
      <c r="AB400" s="95"/>
      <c r="AC400" s="94"/>
      <c r="AD400" s="95"/>
      <c r="AE400" s="95"/>
      <c r="AF400" s="52" t="s">
        <v>934</v>
      </c>
      <c r="AG400" s="31"/>
      <c r="AH400"/>
      <c r="AI400"/>
      <c r="AJ400"/>
      <c r="AK400"/>
      <c r="AM400"/>
    </row>
    <row r="401" spans="1:39" ht="25.15" customHeight="1" outlineLevel="1" x14ac:dyDescent="0.2">
      <c r="A401" s="10" t="s">
        <v>508</v>
      </c>
      <c r="B401" s="98" t="s">
        <v>509</v>
      </c>
      <c r="C401" s="98"/>
      <c r="D401" s="98"/>
      <c r="E401" s="98"/>
      <c r="F401" s="98"/>
      <c r="G401" s="98"/>
      <c r="H401" s="98"/>
      <c r="I401" s="98"/>
      <c r="J401" s="98"/>
      <c r="K401" s="98"/>
      <c r="L401" s="98"/>
      <c r="M401" s="98"/>
      <c r="N401" s="98" t="s">
        <v>47</v>
      </c>
      <c r="O401" s="98"/>
      <c r="P401" s="98"/>
      <c r="Q401" s="132">
        <v>1118</v>
      </c>
      <c r="R401" s="95"/>
      <c r="S401" s="95"/>
      <c r="T401" s="95"/>
      <c r="U401" s="95"/>
      <c r="V401" s="95"/>
      <c r="W401" s="133">
        <v>103.25</v>
      </c>
      <c r="X401" s="95"/>
      <c r="Y401" s="95"/>
      <c r="Z401" s="95"/>
      <c r="AA401" s="95"/>
      <c r="AB401" s="95"/>
      <c r="AC401" s="101">
        <v>115433.5</v>
      </c>
      <c r="AD401" s="95"/>
      <c r="AE401" s="95"/>
      <c r="AF401" s="31"/>
      <c r="AG401" s="31"/>
      <c r="AH401"/>
      <c r="AI401"/>
      <c r="AJ401"/>
      <c r="AK401"/>
      <c r="AM401"/>
    </row>
    <row r="402" spans="1:39" ht="25.15" customHeight="1" outlineLevel="1" x14ac:dyDescent="0.2">
      <c r="A402" s="18" t="s">
        <v>510</v>
      </c>
      <c r="B402" s="137" t="s">
        <v>511</v>
      </c>
      <c r="C402" s="137"/>
      <c r="D402" s="137"/>
      <c r="E402" s="137"/>
      <c r="F402" s="137"/>
      <c r="G402" s="137"/>
      <c r="H402" s="137"/>
      <c r="I402" s="137"/>
      <c r="J402" s="137"/>
      <c r="K402" s="137"/>
      <c r="L402" s="137"/>
      <c r="M402" s="137"/>
      <c r="N402" s="137"/>
      <c r="O402" s="137"/>
      <c r="P402" s="137"/>
      <c r="Q402" s="160"/>
      <c r="R402" s="160"/>
      <c r="S402" s="160"/>
      <c r="T402" s="160"/>
      <c r="U402" s="160"/>
      <c r="V402" s="160"/>
      <c r="W402" s="160"/>
      <c r="X402" s="160"/>
      <c r="Y402" s="160"/>
      <c r="Z402" s="160"/>
      <c r="AA402" s="160"/>
      <c r="AB402" s="160"/>
      <c r="AC402" s="162">
        <v>458303.55</v>
      </c>
      <c r="AD402" s="160"/>
      <c r="AE402" s="160"/>
      <c r="AF402" s="31"/>
      <c r="AG402" s="31"/>
      <c r="AH402"/>
      <c r="AI402"/>
      <c r="AJ402"/>
      <c r="AK402"/>
      <c r="AM402"/>
    </row>
    <row r="403" spans="1:39" ht="25.15" customHeight="1" outlineLevel="1" x14ac:dyDescent="0.2">
      <c r="A403" s="10" t="s">
        <v>512</v>
      </c>
      <c r="B403" s="98" t="s">
        <v>513</v>
      </c>
      <c r="C403" s="98"/>
      <c r="D403" s="98"/>
      <c r="E403" s="98"/>
      <c r="F403" s="98"/>
      <c r="G403" s="98"/>
      <c r="H403" s="98"/>
      <c r="I403" s="98"/>
      <c r="J403" s="98"/>
      <c r="K403" s="98"/>
      <c r="L403" s="98"/>
      <c r="M403" s="98"/>
      <c r="N403" s="98" t="s">
        <v>47</v>
      </c>
      <c r="O403" s="98"/>
      <c r="P403" s="98"/>
      <c r="Q403" s="132">
        <v>2891</v>
      </c>
      <c r="R403" s="95"/>
      <c r="S403" s="95"/>
      <c r="T403" s="95"/>
      <c r="U403" s="95"/>
      <c r="V403" s="95"/>
      <c r="W403" s="99">
        <v>1.5932999999999999</v>
      </c>
      <c r="X403" s="95"/>
      <c r="Y403" s="95"/>
      <c r="Z403" s="95"/>
      <c r="AA403" s="95"/>
      <c r="AB403" s="95"/>
      <c r="AC403" s="94">
        <v>4606.2299999999996</v>
      </c>
      <c r="AD403" s="95"/>
      <c r="AE403" s="95"/>
      <c r="AF403" s="31"/>
      <c r="AG403" s="31"/>
      <c r="AH403"/>
      <c r="AI403"/>
      <c r="AJ403"/>
      <c r="AK403"/>
      <c r="AM403"/>
    </row>
    <row r="404" spans="1:39" ht="25.15" customHeight="1" outlineLevel="1" x14ac:dyDescent="0.2">
      <c r="A404" s="10" t="s">
        <v>514</v>
      </c>
      <c r="B404" s="98" t="s">
        <v>515</v>
      </c>
      <c r="C404" s="98"/>
      <c r="D404" s="98"/>
      <c r="E404" s="98"/>
      <c r="F404" s="98"/>
      <c r="G404" s="98"/>
      <c r="H404" s="98"/>
      <c r="I404" s="98"/>
      <c r="J404" s="98"/>
      <c r="K404" s="98"/>
      <c r="L404" s="98"/>
      <c r="M404" s="98"/>
      <c r="N404" s="98" t="s">
        <v>47</v>
      </c>
      <c r="O404" s="98"/>
      <c r="P404" s="98"/>
      <c r="Q404" s="132">
        <v>2891</v>
      </c>
      <c r="R404" s="95"/>
      <c r="S404" s="95"/>
      <c r="T404" s="95"/>
      <c r="U404" s="95"/>
      <c r="V404" s="95"/>
      <c r="W404" s="97">
        <v>70.528300000000002</v>
      </c>
      <c r="X404" s="95"/>
      <c r="Y404" s="95"/>
      <c r="Z404" s="95"/>
      <c r="AA404" s="95"/>
      <c r="AB404" s="95"/>
      <c r="AC404" s="101">
        <v>203897.32</v>
      </c>
      <c r="AD404" s="95"/>
      <c r="AE404" s="95"/>
      <c r="AF404" s="31"/>
      <c r="AG404" s="31"/>
      <c r="AH404"/>
      <c r="AI404"/>
      <c r="AJ404"/>
      <c r="AK404"/>
      <c r="AM404"/>
    </row>
    <row r="405" spans="1:39" ht="25.15" customHeight="1" outlineLevel="1" x14ac:dyDescent="0.2">
      <c r="A405" s="10" t="s">
        <v>516</v>
      </c>
      <c r="B405" s="98" t="s">
        <v>517</v>
      </c>
      <c r="C405" s="98"/>
      <c r="D405" s="98"/>
      <c r="E405" s="98"/>
      <c r="F405" s="98"/>
      <c r="G405" s="98"/>
      <c r="H405" s="98"/>
      <c r="I405" s="98"/>
      <c r="J405" s="98"/>
      <c r="K405" s="98"/>
      <c r="L405" s="98"/>
      <c r="M405" s="98"/>
      <c r="N405" s="98" t="s">
        <v>47</v>
      </c>
      <c r="O405" s="98"/>
      <c r="P405" s="98"/>
      <c r="Q405" s="132">
        <v>6245</v>
      </c>
      <c r="R405" s="95"/>
      <c r="S405" s="95"/>
      <c r="T405" s="95"/>
      <c r="U405" s="95"/>
      <c r="V405" s="95"/>
      <c r="W405" s="97">
        <v>40</v>
      </c>
      <c r="X405" s="95"/>
      <c r="Y405" s="95"/>
      <c r="Z405" s="95"/>
      <c r="AA405" s="95"/>
      <c r="AB405" s="95"/>
      <c r="AC405" s="101">
        <v>249800</v>
      </c>
      <c r="AD405" s="95"/>
      <c r="AE405" s="95"/>
      <c r="AF405" s="31"/>
      <c r="AG405" s="31"/>
      <c r="AH405"/>
      <c r="AI405"/>
      <c r="AJ405"/>
      <c r="AK405"/>
      <c r="AM405"/>
    </row>
    <row r="406" spans="1:39" ht="25.15" customHeight="1" outlineLevel="1" x14ac:dyDescent="0.2">
      <c r="A406" s="18" t="s">
        <v>518</v>
      </c>
      <c r="B406" s="137" t="s">
        <v>288</v>
      </c>
      <c r="C406" s="137"/>
      <c r="D406" s="137"/>
      <c r="E406" s="137"/>
      <c r="F406" s="137"/>
      <c r="G406" s="137"/>
      <c r="H406" s="137"/>
      <c r="I406" s="137"/>
      <c r="J406" s="137"/>
      <c r="K406" s="137"/>
      <c r="L406" s="137"/>
      <c r="M406" s="137"/>
      <c r="N406" s="137"/>
      <c r="O406" s="137"/>
      <c r="P406" s="137"/>
      <c r="Q406" s="160"/>
      <c r="R406" s="160"/>
      <c r="S406" s="160"/>
      <c r="T406" s="160"/>
      <c r="U406" s="160"/>
      <c r="V406" s="160"/>
      <c r="W406" s="160"/>
      <c r="X406" s="160"/>
      <c r="Y406" s="160"/>
      <c r="Z406" s="160"/>
      <c r="AA406" s="160"/>
      <c r="AB406" s="160"/>
      <c r="AC406" s="162">
        <v>136596</v>
      </c>
      <c r="AD406" s="160"/>
      <c r="AE406" s="160"/>
      <c r="AF406" s="31"/>
      <c r="AG406" s="31"/>
      <c r="AH406"/>
      <c r="AI406"/>
      <c r="AJ406"/>
      <c r="AK406"/>
      <c r="AM406"/>
    </row>
    <row r="407" spans="1:39" ht="25.15" customHeight="1" outlineLevel="1" x14ac:dyDescent="0.2">
      <c r="A407" s="10" t="s">
        <v>519</v>
      </c>
      <c r="B407" s="98" t="s">
        <v>520</v>
      </c>
      <c r="C407" s="98"/>
      <c r="D407" s="98"/>
      <c r="E407" s="98"/>
      <c r="F407" s="98"/>
      <c r="G407" s="98"/>
      <c r="H407" s="98"/>
      <c r="I407" s="98"/>
      <c r="J407" s="98"/>
      <c r="K407" s="98"/>
      <c r="L407" s="98"/>
      <c r="M407" s="98"/>
      <c r="N407" s="98" t="s">
        <v>47</v>
      </c>
      <c r="O407" s="98"/>
      <c r="P407" s="98"/>
      <c r="Q407" s="132">
        <v>3734</v>
      </c>
      <c r="R407" s="95"/>
      <c r="S407" s="95"/>
      <c r="T407" s="95"/>
      <c r="U407" s="95"/>
      <c r="V407" s="95"/>
      <c r="W407" s="97">
        <v>18</v>
      </c>
      <c r="X407" s="95"/>
      <c r="Y407" s="95"/>
      <c r="Z407" s="95"/>
      <c r="AA407" s="95"/>
      <c r="AB407" s="95"/>
      <c r="AC407" s="126">
        <v>67212</v>
      </c>
      <c r="AD407" s="95"/>
      <c r="AE407" s="95"/>
      <c r="AF407" s="31"/>
      <c r="AG407" s="31"/>
      <c r="AH407"/>
      <c r="AI407"/>
      <c r="AJ407"/>
      <c r="AK407"/>
      <c r="AM407"/>
    </row>
    <row r="408" spans="1:39" ht="25.15" customHeight="1" outlineLevel="1" x14ac:dyDescent="0.2">
      <c r="A408" s="10" t="s">
        <v>521</v>
      </c>
      <c r="B408" s="143" t="s">
        <v>522</v>
      </c>
      <c r="C408" s="144"/>
      <c r="D408" s="144"/>
      <c r="E408" s="144"/>
      <c r="F408" s="144"/>
      <c r="G408" s="144"/>
      <c r="H408" s="144"/>
      <c r="I408" s="144"/>
      <c r="J408" s="144"/>
      <c r="K408" s="144"/>
      <c r="L408" s="144"/>
      <c r="M408" s="145"/>
      <c r="N408" s="143" t="s">
        <v>47</v>
      </c>
      <c r="O408" s="144"/>
      <c r="P408" s="145"/>
      <c r="Q408" s="146">
        <v>2891</v>
      </c>
      <c r="R408" s="147"/>
      <c r="S408" s="147"/>
      <c r="T408" s="147"/>
      <c r="U408" s="147"/>
      <c r="V408" s="148"/>
      <c r="W408" s="123">
        <v>24</v>
      </c>
      <c r="X408" s="124"/>
      <c r="Y408" s="124"/>
      <c r="Z408" s="124"/>
      <c r="AA408" s="124"/>
      <c r="AB408" s="125"/>
      <c r="AC408" s="152">
        <v>69384</v>
      </c>
      <c r="AD408" s="153"/>
      <c r="AE408" s="154"/>
      <c r="AF408" s="31"/>
      <c r="AG408" s="31"/>
      <c r="AH408"/>
      <c r="AI408"/>
      <c r="AJ408"/>
      <c r="AK408"/>
      <c r="AM408"/>
    </row>
    <row r="409" spans="1:39" ht="25.15" customHeight="1" outlineLevel="1" x14ac:dyDescent="0.2">
      <c r="A409" s="10"/>
      <c r="B409" s="120" t="s">
        <v>775</v>
      </c>
      <c r="C409" s="121"/>
      <c r="D409" s="121"/>
      <c r="E409" s="121"/>
      <c r="F409" s="121"/>
      <c r="G409" s="121"/>
      <c r="H409" s="121"/>
      <c r="I409" s="121"/>
      <c r="J409" s="121"/>
      <c r="K409" s="121"/>
      <c r="L409" s="121"/>
      <c r="M409" s="122"/>
      <c r="N409" s="143" t="s">
        <v>762</v>
      </c>
      <c r="O409" s="144"/>
      <c r="P409" s="145"/>
      <c r="Q409" s="146"/>
      <c r="R409" s="147"/>
      <c r="S409" s="147"/>
      <c r="T409" s="147"/>
      <c r="U409" s="147"/>
      <c r="V409" s="148"/>
      <c r="W409" s="123"/>
      <c r="X409" s="124"/>
      <c r="Y409" s="124"/>
      <c r="Z409" s="124"/>
      <c r="AA409" s="124"/>
      <c r="AB409" s="125"/>
      <c r="AC409" s="152"/>
      <c r="AD409" s="153"/>
      <c r="AE409" s="154"/>
      <c r="AF409" s="40" t="s">
        <v>929</v>
      </c>
      <c r="AG409" s="31"/>
      <c r="AH409"/>
      <c r="AI409"/>
      <c r="AJ409"/>
      <c r="AK409"/>
      <c r="AM409"/>
    </row>
    <row r="410" spans="1:39" ht="25.15" customHeight="1" x14ac:dyDescent="0.2">
      <c r="A410" s="19" t="s">
        <v>523</v>
      </c>
      <c r="B410" s="134" t="s">
        <v>524</v>
      </c>
      <c r="C410" s="134"/>
      <c r="D410" s="134"/>
      <c r="E410" s="134"/>
      <c r="F410" s="134"/>
      <c r="G410" s="134"/>
      <c r="H410" s="134"/>
      <c r="I410" s="134"/>
      <c r="J410" s="134"/>
      <c r="K410" s="134"/>
      <c r="L410" s="134"/>
      <c r="M410" s="134"/>
      <c r="N410" s="134"/>
      <c r="O410" s="134"/>
      <c r="P410" s="134"/>
      <c r="Q410" s="135"/>
      <c r="R410" s="135"/>
      <c r="S410" s="135"/>
      <c r="T410" s="135"/>
      <c r="U410" s="135"/>
      <c r="V410" s="135"/>
      <c r="W410" s="135"/>
      <c r="X410" s="135"/>
      <c r="Y410" s="135"/>
      <c r="Z410" s="135"/>
      <c r="AA410" s="135"/>
      <c r="AB410" s="135"/>
      <c r="AC410" s="136">
        <v>210520.1</v>
      </c>
      <c r="AD410" s="135"/>
      <c r="AE410" s="135"/>
      <c r="AF410" s="31"/>
      <c r="AG410" s="31"/>
      <c r="AH410"/>
      <c r="AI410"/>
      <c r="AJ410"/>
      <c r="AK410"/>
      <c r="AM410"/>
    </row>
    <row r="411" spans="1:39" ht="25.15" customHeight="1" outlineLevel="1" x14ac:dyDescent="0.2">
      <c r="A411" s="18" t="s">
        <v>525</v>
      </c>
      <c r="B411" s="137" t="s">
        <v>524</v>
      </c>
      <c r="C411" s="137"/>
      <c r="D411" s="137"/>
      <c r="E411" s="137"/>
      <c r="F411" s="137"/>
      <c r="G411" s="137"/>
      <c r="H411" s="137"/>
      <c r="I411" s="137"/>
      <c r="J411" s="137"/>
      <c r="K411" s="137"/>
      <c r="L411" s="137"/>
      <c r="M411" s="137"/>
      <c r="N411" s="137"/>
      <c r="O411" s="137"/>
      <c r="P411" s="137"/>
      <c r="Q411" s="160"/>
      <c r="R411" s="160"/>
      <c r="S411" s="160"/>
      <c r="T411" s="160"/>
      <c r="U411" s="160"/>
      <c r="V411" s="160"/>
      <c r="W411" s="160"/>
      <c r="X411" s="160"/>
      <c r="Y411" s="160"/>
      <c r="Z411" s="160"/>
      <c r="AA411" s="160"/>
      <c r="AB411" s="160"/>
      <c r="AC411" s="162">
        <v>210520.1</v>
      </c>
      <c r="AD411" s="160"/>
      <c r="AE411" s="160"/>
      <c r="AF411" s="31"/>
      <c r="AG411" s="31"/>
      <c r="AH411"/>
      <c r="AI411"/>
      <c r="AJ411"/>
      <c r="AK411"/>
      <c r="AM411"/>
    </row>
    <row r="412" spans="1:39" ht="25.15" customHeight="1" outlineLevel="1" x14ac:dyDescent="0.2">
      <c r="A412" s="18" t="s">
        <v>526</v>
      </c>
      <c r="B412" s="137" t="s">
        <v>527</v>
      </c>
      <c r="C412" s="137"/>
      <c r="D412" s="137"/>
      <c r="E412" s="137"/>
      <c r="F412" s="137"/>
      <c r="G412" s="137"/>
      <c r="H412" s="137"/>
      <c r="I412" s="137"/>
      <c r="J412" s="137"/>
      <c r="K412" s="137"/>
      <c r="L412" s="137"/>
      <c r="M412" s="137"/>
      <c r="N412" s="137"/>
      <c r="O412" s="137"/>
      <c r="P412" s="137"/>
      <c r="Q412" s="160"/>
      <c r="R412" s="160"/>
      <c r="S412" s="160"/>
      <c r="T412" s="160"/>
      <c r="U412" s="160"/>
      <c r="V412" s="160"/>
      <c r="W412" s="160"/>
      <c r="X412" s="160"/>
      <c r="Y412" s="160"/>
      <c r="Z412" s="160"/>
      <c r="AA412" s="160"/>
      <c r="AB412" s="160"/>
      <c r="AC412" s="260">
        <v>38.26</v>
      </c>
      <c r="AD412" s="160"/>
      <c r="AE412" s="160"/>
      <c r="AF412" s="31"/>
      <c r="AG412" s="31"/>
      <c r="AH412"/>
      <c r="AI412"/>
      <c r="AJ412"/>
      <c r="AK412"/>
      <c r="AM412"/>
    </row>
    <row r="413" spans="1:39" ht="25.15" customHeight="1" outlineLevel="1" x14ac:dyDescent="0.2">
      <c r="A413" s="10" t="s">
        <v>528</v>
      </c>
      <c r="B413" s="98" t="s">
        <v>529</v>
      </c>
      <c r="C413" s="98"/>
      <c r="D413" s="98"/>
      <c r="E413" s="98"/>
      <c r="F413" s="98"/>
      <c r="G413" s="98"/>
      <c r="H413" s="98"/>
      <c r="I413" s="98"/>
      <c r="J413" s="98"/>
      <c r="K413" s="98"/>
      <c r="L413" s="98"/>
      <c r="M413" s="98"/>
      <c r="N413" s="98" t="s">
        <v>47</v>
      </c>
      <c r="O413" s="98"/>
      <c r="P413" s="98"/>
      <c r="Q413" s="133">
        <v>325.92</v>
      </c>
      <c r="R413" s="95"/>
      <c r="S413" s="95"/>
      <c r="T413" s="95"/>
      <c r="U413" s="95"/>
      <c r="V413" s="95"/>
      <c r="W413" s="99">
        <v>0.1174</v>
      </c>
      <c r="X413" s="95"/>
      <c r="Y413" s="95"/>
      <c r="Z413" s="95"/>
      <c r="AA413" s="95"/>
      <c r="AB413" s="95"/>
      <c r="AC413" s="261">
        <v>38.26</v>
      </c>
      <c r="AD413" s="95"/>
      <c r="AE413" s="95"/>
      <c r="AF413" s="31"/>
      <c r="AG413" s="31"/>
      <c r="AH413"/>
      <c r="AI413"/>
      <c r="AJ413"/>
      <c r="AK413"/>
      <c r="AM413"/>
    </row>
    <row r="414" spans="1:39" ht="25.15" customHeight="1" outlineLevel="1" x14ac:dyDescent="0.2">
      <c r="A414" s="18" t="s">
        <v>530</v>
      </c>
      <c r="B414" s="137" t="s">
        <v>531</v>
      </c>
      <c r="C414" s="137"/>
      <c r="D414" s="137"/>
      <c r="E414" s="137"/>
      <c r="F414" s="137"/>
      <c r="G414" s="137"/>
      <c r="H414" s="137"/>
      <c r="I414" s="137"/>
      <c r="J414" s="137"/>
      <c r="K414" s="137"/>
      <c r="L414" s="137"/>
      <c r="M414" s="137"/>
      <c r="N414" s="137"/>
      <c r="O414" s="137"/>
      <c r="P414" s="137"/>
      <c r="Q414" s="160"/>
      <c r="R414" s="160"/>
      <c r="S414" s="160"/>
      <c r="T414" s="160"/>
      <c r="U414" s="160"/>
      <c r="V414" s="160"/>
      <c r="W414" s="160"/>
      <c r="X414" s="160"/>
      <c r="Y414" s="160"/>
      <c r="Z414" s="160"/>
      <c r="AA414" s="160"/>
      <c r="AB414" s="160"/>
      <c r="AC414" s="162">
        <v>204941.2</v>
      </c>
      <c r="AD414" s="160"/>
      <c r="AE414" s="160"/>
      <c r="AF414" s="31"/>
      <c r="AG414" s="31"/>
      <c r="AH414"/>
      <c r="AI414"/>
      <c r="AJ414"/>
      <c r="AK414"/>
      <c r="AM414"/>
    </row>
    <row r="415" spans="1:39" ht="25.15" customHeight="1" outlineLevel="1" x14ac:dyDescent="0.2">
      <c r="A415" s="10" t="s">
        <v>532</v>
      </c>
      <c r="B415" s="98" t="s">
        <v>533</v>
      </c>
      <c r="C415" s="98"/>
      <c r="D415" s="98"/>
      <c r="E415" s="98"/>
      <c r="F415" s="98"/>
      <c r="G415" s="98"/>
      <c r="H415" s="98"/>
      <c r="I415" s="98"/>
      <c r="J415" s="98"/>
      <c r="K415" s="98"/>
      <c r="L415" s="98"/>
      <c r="M415" s="98"/>
      <c r="N415" s="98" t="s">
        <v>47</v>
      </c>
      <c r="O415" s="98"/>
      <c r="P415" s="98"/>
      <c r="Q415" s="97">
        <v>18.98</v>
      </c>
      <c r="R415" s="95"/>
      <c r="S415" s="95"/>
      <c r="T415" s="95"/>
      <c r="U415" s="95"/>
      <c r="V415" s="95"/>
      <c r="W415" s="133">
        <v>115</v>
      </c>
      <c r="X415" s="95"/>
      <c r="Y415" s="95"/>
      <c r="Z415" s="95"/>
      <c r="AA415" s="95"/>
      <c r="AB415" s="95"/>
      <c r="AC415" s="94">
        <v>2182.6999999999998</v>
      </c>
      <c r="AD415" s="95"/>
      <c r="AE415" s="95"/>
      <c r="AF415" s="31"/>
      <c r="AG415" s="31"/>
      <c r="AH415"/>
      <c r="AI415"/>
      <c r="AJ415"/>
      <c r="AK415"/>
      <c r="AM415"/>
    </row>
    <row r="416" spans="1:39" ht="25.15" customHeight="1" outlineLevel="1" x14ac:dyDescent="0.2">
      <c r="A416" s="10" t="s">
        <v>534</v>
      </c>
      <c r="B416" s="98" t="s">
        <v>535</v>
      </c>
      <c r="C416" s="98"/>
      <c r="D416" s="98"/>
      <c r="E416" s="98"/>
      <c r="F416" s="98"/>
      <c r="G416" s="98"/>
      <c r="H416" s="98"/>
      <c r="I416" s="98"/>
      <c r="J416" s="98"/>
      <c r="K416" s="98"/>
      <c r="L416" s="98"/>
      <c r="M416" s="98"/>
      <c r="N416" s="98" t="s">
        <v>47</v>
      </c>
      <c r="O416" s="98"/>
      <c r="P416" s="98"/>
      <c r="Q416" s="132">
        <v>1023.51</v>
      </c>
      <c r="R416" s="95"/>
      <c r="S416" s="95"/>
      <c r="T416" s="95"/>
      <c r="U416" s="95"/>
      <c r="V416" s="95"/>
      <c r="W416" s="133">
        <v>110</v>
      </c>
      <c r="X416" s="95"/>
      <c r="Y416" s="95"/>
      <c r="Z416" s="95"/>
      <c r="AA416" s="95"/>
      <c r="AB416" s="95"/>
      <c r="AC416" s="101">
        <v>112586.1</v>
      </c>
      <c r="AD416" s="95"/>
      <c r="AE416" s="95"/>
      <c r="AF416" s="31"/>
      <c r="AG416" s="31"/>
      <c r="AH416"/>
      <c r="AI416"/>
      <c r="AJ416"/>
      <c r="AK416"/>
      <c r="AM416"/>
    </row>
    <row r="417" spans="1:39" ht="25.15" customHeight="1" outlineLevel="1" x14ac:dyDescent="0.2">
      <c r="A417" s="10" t="s">
        <v>536</v>
      </c>
      <c r="B417" s="98" t="s">
        <v>537</v>
      </c>
      <c r="C417" s="98"/>
      <c r="D417" s="98"/>
      <c r="E417" s="98"/>
      <c r="F417" s="98"/>
      <c r="G417" s="98"/>
      <c r="H417" s="98"/>
      <c r="I417" s="98"/>
      <c r="J417" s="98"/>
      <c r="K417" s="98"/>
      <c r="L417" s="98"/>
      <c r="M417" s="98"/>
      <c r="N417" s="98" t="s">
        <v>47</v>
      </c>
      <c r="O417" s="98"/>
      <c r="P417" s="98"/>
      <c r="Q417" s="133">
        <v>299.54000000000002</v>
      </c>
      <c r="R417" s="95"/>
      <c r="S417" s="95"/>
      <c r="T417" s="95"/>
      <c r="U417" s="95"/>
      <c r="V417" s="95"/>
      <c r="W417" s="97">
        <v>80</v>
      </c>
      <c r="X417" s="95"/>
      <c r="Y417" s="95"/>
      <c r="Z417" s="95"/>
      <c r="AA417" s="95"/>
      <c r="AB417" s="95"/>
      <c r="AC417" s="126">
        <v>23963.200000000001</v>
      </c>
      <c r="AD417" s="95"/>
      <c r="AE417" s="95"/>
      <c r="AF417" s="31"/>
      <c r="AG417" s="31"/>
      <c r="AH417"/>
      <c r="AI417"/>
      <c r="AJ417"/>
      <c r="AK417"/>
      <c r="AM417"/>
    </row>
    <row r="418" spans="1:39" ht="25.15" customHeight="1" outlineLevel="1" x14ac:dyDescent="0.2">
      <c r="A418" s="10" t="s">
        <v>538</v>
      </c>
      <c r="B418" s="98" t="s">
        <v>517</v>
      </c>
      <c r="C418" s="98"/>
      <c r="D418" s="98"/>
      <c r="E418" s="98"/>
      <c r="F418" s="98"/>
      <c r="G418" s="98"/>
      <c r="H418" s="98"/>
      <c r="I418" s="98"/>
      <c r="J418" s="98"/>
      <c r="K418" s="98"/>
      <c r="L418" s="98"/>
      <c r="M418" s="98"/>
      <c r="N418" s="98" t="s">
        <v>47</v>
      </c>
      <c r="O418" s="98"/>
      <c r="P418" s="98"/>
      <c r="Q418" s="132">
        <v>1655.23</v>
      </c>
      <c r="R418" s="95"/>
      <c r="S418" s="95"/>
      <c r="T418" s="95"/>
      <c r="U418" s="95"/>
      <c r="V418" s="95"/>
      <c r="W418" s="97">
        <v>40</v>
      </c>
      <c r="X418" s="95"/>
      <c r="Y418" s="95"/>
      <c r="Z418" s="95"/>
      <c r="AA418" s="95"/>
      <c r="AB418" s="95"/>
      <c r="AC418" s="126">
        <v>66209.2</v>
      </c>
      <c r="AD418" s="95"/>
      <c r="AE418" s="95"/>
      <c r="AF418" s="31"/>
      <c r="AG418" s="31"/>
      <c r="AH418"/>
      <c r="AI418"/>
      <c r="AJ418"/>
      <c r="AK418"/>
      <c r="AM418"/>
    </row>
    <row r="419" spans="1:39" ht="25.15" customHeight="1" outlineLevel="1" x14ac:dyDescent="0.2">
      <c r="A419" s="10"/>
      <c r="B419" s="187" t="s">
        <v>776</v>
      </c>
      <c r="C419" s="187" t="s">
        <v>776</v>
      </c>
      <c r="D419" s="187" t="s">
        <v>776</v>
      </c>
      <c r="E419" s="187" t="s">
        <v>776</v>
      </c>
      <c r="F419" s="187" t="s">
        <v>776</v>
      </c>
      <c r="G419" s="187" t="s">
        <v>776</v>
      </c>
      <c r="H419" s="187" t="s">
        <v>776</v>
      </c>
      <c r="I419" s="187" t="s">
        <v>776</v>
      </c>
      <c r="J419" s="187" t="s">
        <v>776</v>
      </c>
      <c r="K419" s="187" t="s">
        <v>776</v>
      </c>
      <c r="L419" s="187" t="s">
        <v>776</v>
      </c>
      <c r="M419" s="187" t="s">
        <v>776</v>
      </c>
      <c r="N419" s="96" t="s">
        <v>47</v>
      </c>
      <c r="O419" s="96"/>
      <c r="P419" s="96"/>
      <c r="Q419" s="132"/>
      <c r="R419" s="95"/>
      <c r="S419" s="95"/>
      <c r="T419" s="95"/>
      <c r="U419" s="95"/>
      <c r="V419" s="95"/>
      <c r="W419" s="97"/>
      <c r="X419" s="95"/>
      <c r="Y419" s="95"/>
      <c r="Z419" s="95"/>
      <c r="AA419" s="95"/>
      <c r="AB419" s="95"/>
      <c r="AC419" s="126"/>
      <c r="AD419" s="95"/>
      <c r="AE419" s="95"/>
      <c r="AF419" s="40" t="s">
        <v>900</v>
      </c>
      <c r="AG419" s="31"/>
      <c r="AH419"/>
      <c r="AI419"/>
      <c r="AJ419"/>
      <c r="AK419"/>
      <c r="AM419"/>
    </row>
    <row r="420" spans="1:39" ht="25.15" customHeight="1" outlineLevel="1" x14ac:dyDescent="0.2">
      <c r="A420" s="10"/>
      <c r="B420" s="187" t="s">
        <v>777</v>
      </c>
      <c r="C420" s="187" t="s">
        <v>777</v>
      </c>
      <c r="D420" s="187" t="s">
        <v>777</v>
      </c>
      <c r="E420" s="187" t="s">
        <v>777</v>
      </c>
      <c r="F420" s="187" t="s">
        <v>777</v>
      </c>
      <c r="G420" s="187" t="s">
        <v>777</v>
      </c>
      <c r="H420" s="187" t="s">
        <v>777</v>
      </c>
      <c r="I420" s="187" t="s">
        <v>777</v>
      </c>
      <c r="J420" s="187" t="s">
        <v>777</v>
      </c>
      <c r="K420" s="187" t="s">
        <v>777</v>
      </c>
      <c r="L420" s="187" t="s">
        <v>777</v>
      </c>
      <c r="M420" s="187" t="s">
        <v>777</v>
      </c>
      <c r="N420" s="96" t="s">
        <v>47</v>
      </c>
      <c r="O420" s="96"/>
      <c r="P420" s="96"/>
      <c r="Q420" s="132"/>
      <c r="R420" s="95"/>
      <c r="S420" s="95"/>
      <c r="T420" s="95"/>
      <c r="U420" s="95"/>
      <c r="V420" s="95"/>
      <c r="W420" s="97"/>
      <c r="X420" s="95"/>
      <c r="Y420" s="95"/>
      <c r="Z420" s="95"/>
      <c r="AA420" s="95"/>
      <c r="AB420" s="95"/>
      <c r="AC420" s="126"/>
      <c r="AD420" s="95"/>
      <c r="AE420" s="95"/>
      <c r="AF420" s="40"/>
      <c r="AG420" s="31"/>
      <c r="AH420"/>
      <c r="AI420"/>
      <c r="AJ420"/>
      <c r="AK420"/>
      <c r="AM420"/>
    </row>
    <row r="421" spans="1:39" ht="25.15" customHeight="1" outlineLevel="1" x14ac:dyDescent="0.2">
      <c r="A421" s="10"/>
      <c r="B421" s="187" t="s">
        <v>778</v>
      </c>
      <c r="C421" s="187" t="s">
        <v>778</v>
      </c>
      <c r="D421" s="187" t="s">
        <v>778</v>
      </c>
      <c r="E421" s="187" t="s">
        <v>778</v>
      </c>
      <c r="F421" s="187" t="s">
        <v>778</v>
      </c>
      <c r="G421" s="187" t="s">
        <v>778</v>
      </c>
      <c r="H421" s="187" t="s">
        <v>778</v>
      </c>
      <c r="I421" s="187" t="s">
        <v>778</v>
      </c>
      <c r="J421" s="187" t="s">
        <v>778</v>
      </c>
      <c r="K421" s="187" t="s">
        <v>778</v>
      </c>
      <c r="L421" s="187" t="s">
        <v>778</v>
      </c>
      <c r="M421" s="187" t="s">
        <v>778</v>
      </c>
      <c r="N421" s="262" t="s">
        <v>47</v>
      </c>
      <c r="O421" s="121"/>
      <c r="P421" s="122"/>
      <c r="Q421" s="132"/>
      <c r="R421" s="95"/>
      <c r="S421" s="95"/>
      <c r="T421" s="95"/>
      <c r="U421" s="95"/>
      <c r="V421" s="95"/>
      <c r="W421" s="97"/>
      <c r="X421" s="95"/>
      <c r="Y421" s="95"/>
      <c r="Z421" s="95"/>
      <c r="AA421" s="95"/>
      <c r="AB421" s="95"/>
      <c r="AC421" s="126"/>
      <c r="AD421" s="95"/>
      <c r="AE421" s="95"/>
      <c r="AF421" s="31"/>
      <c r="AG421" s="31"/>
      <c r="AH421"/>
      <c r="AI421"/>
      <c r="AJ421"/>
      <c r="AK421"/>
      <c r="AM421"/>
    </row>
    <row r="422" spans="1:39" ht="25.15" customHeight="1" outlineLevel="1" x14ac:dyDescent="0.2">
      <c r="A422" s="10"/>
      <c r="B422" s="282" t="s">
        <v>858</v>
      </c>
      <c r="C422" s="283"/>
      <c r="D422" s="283"/>
      <c r="E422" s="283"/>
      <c r="F422" s="283"/>
      <c r="G422" s="283"/>
      <c r="H422" s="283"/>
      <c r="I422" s="283"/>
      <c r="J422" s="283"/>
      <c r="K422" s="283"/>
      <c r="L422" s="283"/>
      <c r="M422" s="284"/>
      <c r="N422" s="120" t="s">
        <v>766</v>
      </c>
      <c r="O422" s="121"/>
      <c r="P422" s="122"/>
      <c r="Q422" s="132"/>
      <c r="R422" s="95"/>
      <c r="S422" s="95"/>
      <c r="T422" s="95"/>
      <c r="U422" s="95"/>
      <c r="V422" s="95"/>
      <c r="W422" s="97"/>
      <c r="X422" s="95"/>
      <c r="Y422" s="95"/>
      <c r="Z422" s="95"/>
      <c r="AA422" s="95"/>
      <c r="AB422" s="95"/>
      <c r="AC422" s="126"/>
      <c r="AD422" s="95"/>
      <c r="AE422" s="95"/>
      <c r="AF422" s="40" t="s">
        <v>901</v>
      </c>
      <c r="AG422" s="31"/>
      <c r="AH422"/>
      <c r="AI422"/>
      <c r="AJ422"/>
      <c r="AK422"/>
      <c r="AM422"/>
    </row>
    <row r="423" spans="1:39" ht="25.15" customHeight="1" outlineLevel="1" x14ac:dyDescent="0.2">
      <c r="A423" s="10"/>
      <c r="B423" s="117" t="s">
        <v>779</v>
      </c>
      <c r="C423" s="118"/>
      <c r="D423" s="118"/>
      <c r="E423" s="118"/>
      <c r="F423" s="118"/>
      <c r="G423" s="118"/>
      <c r="H423" s="118"/>
      <c r="I423" s="118"/>
      <c r="J423" s="118"/>
      <c r="K423" s="118"/>
      <c r="L423" s="118"/>
      <c r="M423" s="119"/>
      <c r="N423" s="120" t="s">
        <v>766</v>
      </c>
      <c r="O423" s="121"/>
      <c r="P423" s="122"/>
      <c r="Q423" s="132"/>
      <c r="R423" s="95"/>
      <c r="S423" s="95"/>
      <c r="T423" s="95"/>
      <c r="U423" s="95"/>
      <c r="V423" s="95"/>
      <c r="W423" s="97"/>
      <c r="X423" s="95"/>
      <c r="Y423" s="95"/>
      <c r="Z423" s="95"/>
      <c r="AA423" s="95"/>
      <c r="AB423" s="95"/>
      <c r="AC423" s="126"/>
      <c r="AD423" s="95"/>
      <c r="AE423" s="95"/>
      <c r="AF423" s="49" t="s">
        <v>935</v>
      </c>
      <c r="AG423" s="31"/>
      <c r="AH423"/>
      <c r="AI423"/>
      <c r="AJ423"/>
      <c r="AK423"/>
      <c r="AM423"/>
    </row>
    <row r="424" spans="1:39" ht="25.15" customHeight="1" outlineLevel="1" x14ac:dyDescent="0.2">
      <c r="A424" s="18" t="s">
        <v>539</v>
      </c>
      <c r="B424" s="137" t="s">
        <v>288</v>
      </c>
      <c r="C424" s="137"/>
      <c r="D424" s="137"/>
      <c r="E424" s="137"/>
      <c r="F424" s="137"/>
      <c r="G424" s="137"/>
      <c r="H424" s="137"/>
      <c r="I424" s="137"/>
      <c r="J424" s="137"/>
      <c r="K424" s="137"/>
      <c r="L424" s="137"/>
      <c r="M424" s="137"/>
      <c r="N424" s="137"/>
      <c r="O424" s="137"/>
      <c r="P424" s="137"/>
      <c r="Q424" s="160"/>
      <c r="R424" s="160"/>
      <c r="S424" s="160"/>
      <c r="T424" s="160"/>
      <c r="U424" s="160"/>
      <c r="V424" s="160"/>
      <c r="W424" s="160"/>
      <c r="X424" s="160"/>
      <c r="Y424" s="160"/>
      <c r="Z424" s="160"/>
      <c r="AA424" s="160"/>
      <c r="AB424" s="160"/>
      <c r="AC424" s="211">
        <v>5540.64</v>
      </c>
      <c r="AD424" s="160"/>
      <c r="AE424" s="160"/>
      <c r="AF424" s="31"/>
      <c r="AG424" s="31"/>
      <c r="AH424"/>
      <c r="AI424"/>
      <c r="AJ424"/>
      <c r="AK424"/>
      <c r="AM424"/>
    </row>
    <row r="425" spans="1:39" ht="25.15" customHeight="1" outlineLevel="1" x14ac:dyDescent="0.2">
      <c r="A425" s="10" t="s">
        <v>540</v>
      </c>
      <c r="B425" s="98" t="s">
        <v>541</v>
      </c>
      <c r="C425" s="98"/>
      <c r="D425" s="98"/>
      <c r="E425" s="98"/>
      <c r="F425" s="98"/>
      <c r="G425" s="98"/>
      <c r="H425" s="98"/>
      <c r="I425" s="98"/>
      <c r="J425" s="98"/>
      <c r="K425" s="98"/>
      <c r="L425" s="98"/>
      <c r="M425" s="98"/>
      <c r="N425" s="98" t="s">
        <v>47</v>
      </c>
      <c r="O425" s="98"/>
      <c r="P425" s="98"/>
      <c r="Q425" s="133">
        <v>325.92</v>
      </c>
      <c r="R425" s="95"/>
      <c r="S425" s="95"/>
      <c r="T425" s="95"/>
      <c r="U425" s="95"/>
      <c r="V425" s="95"/>
      <c r="W425" s="97">
        <v>17</v>
      </c>
      <c r="X425" s="95"/>
      <c r="Y425" s="95"/>
      <c r="Z425" s="95"/>
      <c r="AA425" s="95"/>
      <c r="AB425" s="95"/>
      <c r="AC425" s="94">
        <v>5540.64</v>
      </c>
      <c r="AD425" s="95"/>
      <c r="AE425" s="95"/>
      <c r="AF425" s="31"/>
      <c r="AG425" s="31"/>
      <c r="AH425"/>
      <c r="AI425"/>
      <c r="AJ425"/>
      <c r="AK425"/>
      <c r="AM425"/>
    </row>
    <row r="426" spans="1:39" ht="25.15" customHeight="1" x14ac:dyDescent="0.2">
      <c r="A426" s="19" t="s">
        <v>542</v>
      </c>
      <c r="B426" s="134" t="s">
        <v>543</v>
      </c>
      <c r="C426" s="134"/>
      <c r="D426" s="134"/>
      <c r="E426" s="134"/>
      <c r="F426" s="134"/>
      <c r="G426" s="134"/>
      <c r="H426" s="134"/>
      <c r="I426" s="134"/>
      <c r="J426" s="134"/>
      <c r="K426" s="134"/>
      <c r="L426" s="134"/>
      <c r="M426" s="134"/>
      <c r="N426" s="134"/>
      <c r="O426" s="134"/>
      <c r="P426" s="134"/>
      <c r="Q426" s="135"/>
      <c r="R426" s="135"/>
      <c r="S426" s="135"/>
      <c r="T426" s="135"/>
      <c r="U426" s="135"/>
      <c r="V426" s="135"/>
      <c r="W426" s="135"/>
      <c r="X426" s="135"/>
      <c r="Y426" s="135"/>
      <c r="Z426" s="135"/>
      <c r="AA426" s="135"/>
      <c r="AB426" s="135"/>
      <c r="AC426" s="136">
        <v>793154.65</v>
      </c>
      <c r="AD426" s="135"/>
      <c r="AE426" s="135"/>
      <c r="AF426" s="31"/>
      <c r="AG426" s="31"/>
      <c r="AH426"/>
      <c r="AI426"/>
      <c r="AJ426"/>
      <c r="AK426"/>
      <c r="AM426"/>
    </row>
    <row r="427" spans="1:39" ht="25.15" customHeight="1" outlineLevel="1" x14ac:dyDescent="0.2">
      <c r="A427" s="18" t="s">
        <v>544</v>
      </c>
      <c r="B427" s="137" t="s">
        <v>543</v>
      </c>
      <c r="C427" s="137"/>
      <c r="D427" s="137"/>
      <c r="E427" s="137"/>
      <c r="F427" s="137"/>
      <c r="G427" s="137"/>
      <c r="H427" s="137"/>
      <c r="I427" s="137"/>
      <c r="J427" s="137"/>
      <c r="K427" s="137"/>
      <c r="L427" s="137"/>
      <c r="M427" s="137"/>
      <c r="N427" s="137"/>
      <c r="O427" s="137"/>
      <c r="P427" s="137"/>
      <c r="Q427" s="160"/>
      <c r="R427" s="160"/>
      <c r="S427" s="160"/>
      <c r="T427" s="160"/>
      <c r="U427" s="160"/>
      <c r="V427" s="160"/>
      <c r="W427" s="160"/>
      <c r="X427" s="160"/>
      <c r="Y427" s="160"/>
      <c r="Z427" s="160"/>
      <c r="AA427" s="160"/>
      <c r="AB427" s="160"/>
      <c r="AC427" s="162">
        <v>793154.65</v>
      </c>
      <c r="AD427" s="160"/>
      <c r="AE427" s="160"/>
      <c r="AF427" s="31"/>
      <c r="AG427" s="31"/>
      <c r="AH427"/>
      <c r="AI427"/>
      <c r="AJ427"/>
      <c r="AK427"/>
      <c r="AM427"/>
    </row>
    <row r="428" spans="1:39" ht="25.15" customHeight="1" outlineLevel="1" x14ac:dyDescent="0.2">
      <c r="A428" s="18" t="s">
        <v>545</v>
      </c>
      <c r="B428" s="137" t="s">
        <v>546</v>
      </c>
      <c r="C428" s="137"/>
      <c r="D428" s="137"/>
      <c r="E428" s="137"/>
      <c r="F428" s="137"/>
      <c r="G428" s="137"/>
      <c r="H428" s="137"/>
      <c r="I428" s="137"/>
      <c r="J428" s="137"/>
      <c r="K428" s="137"/>
      <c r="L428" s="137"/>
      <c r="M428" s="137"/>
      <c r="N428" s="137"/>
      <c r="O428" s="137"/>
      <c r="P428" s="137"/>
      <c r="Q428" s="160"/>
      <c r="R428" s="160"/>
      <c r="S428" s="160"/>
      <c r="T428" s="160"/>
      <c r="U428" s="160"/>
      <c r="V428" s="160"/>
      <c r="W428" s="160"/>
      <c r="X428" s="160"/>
      <c r="Y428" s="160"/>
      <c r="Z428" s="160"/>
      <c r="AA428" s="160"/>
      <c r="AB428" s="160"/>
      <c r="AC428" s="162">
        <v>278158.86</v>
      </c>
      <c r="AD428" s="160"/>
      <c r="AE428" s="160"/>
      <c r="AF428" s="31"/>
      <c r="AG428" s="31"/>
      <c r="AH428"/>
      <c r="AI428"/>
      <c r="AJ428"/>
      <c r="AK428"/>
      <c r="AM428"/>
    </row>
    <row r="429" spans="1:39" ht="25.15" customHeight="1" outlineLevel="1" x14ac:dyDescent="0.2">
      <c r="A429" s="10" t="s">
        <v>547</v>
      </c>
      <c r="B429" s="98" t="s">
        <v>548</v>
      </c>
      <c r="C429" s="98"/>
      <c r="D429" s="98"/>
      <c r="E429" s="98"/>
      <c r="F429" s="98"/>
      <c r="G429" s="98"/>
      <c r="H429" s="98"/>
      <c r="I429" s="98"/>
      <c r="J429" s="98"/>
      <c r="K429" s="98"/>
      <c r="L429" s="98"/>
      <c r="M429" s="98"/>
      <c r="N429" s="98" t="s">
        <v>47</v>
      </c>
      <c r="O429" s="98"/>
      <c r="P429" s="98"/>
      <c r="Q429" s="97">
        <v>92</v>
      </c>
      <c r="R429" s="95"/>
      <c r="S429" s="95"/>
      <c r="T429" s="95"/>
      <c r="U429" s="95"/>
      <c r="V429" s="95"/>
      <c r="W429" s="97">
        <v>89.342600000000004</v>
      </c>
      <c r="X429" s="95"/>
      <c r="Y429" s="95"/>
      <c r="Z429" s="95"/>
      <c r="AA429" s="95"/>
      <c r="AB429" s="95"/>
      <c r="AC429" s="94">
        <v>8219.52</v>
      </c>
      <c r="AD429" s="95"/>
      <c r="AE429" s="95"/>
      <c r="AF429" s="31"/>
      <c r="AG429" s="31"/>
      <c r="AH429"/>
      <c r="AI429"/>
      <c r="AJ429"/>
      <c r="AK429"/>
      <c r="AM429"/>
    </row>
    <row r="430" spans="1:39" ht="25.15" customHeight="1" outlineLevel="1" x14ac:dyDescent="0.2">
      <c r="A430" s="13"/>
      <c r="B430" s="96" t="s">
        <v>782</v>
      </c>
      <c r="C430" s="96"/>
      <c r="D430" s="96"/>
      <c r="E430" s="96"/>
      <c r="F430" s="96"/>
      <c r="G430" s="96"/>
      <c r="H430" s="96"/>
      <c r="I430" s="96"/>
      <c r="J430" s="96"/>
      <c r="K430" s="96"/>
      <c r="L430" s="96"/>
      <c r="M430" s="96"/>
      <c r="N430" s="96" t="s">
        <v>39</v>
      </c>
      <c r="O430" s="96"/>
      <c r="P430" s="96"/>
      <c r="Q430" s="97"/>
      <c r="R430" s="95"/>
      <c r="S430" s="95"/>
      <c r="T430" s="95"/>
      <c r="U430" s="95"/>
      <c r="V430" s="95"/>
      <c r="W430" s="97"/>
      <c r="X430" s="95"/>
      <c r="Y430" s="95"/>
      <c r="Z430" s="95"/>
      <c r="AA430" s="95"/>
      <c r="AB430" s="95"/>
      <c r="AC430" s="94"/>
      <c r="AD430" s="95"/>
      <c r="AE430" s="95"/>
      <c r="AF430" s="40"/>
      <c r="AG430" s="31"/>
      <c r="AH430"/>
      <c r="AI430"/>
      <c r="AJ430"/>
      <c r="AK430"/>
      <c r="AM430"/>
    </row>
    <row r="431" spans="1:39" ht="25.15" customHeight="1" outlineLevel="1" x14ac:dyDescent="0.2">
      <c r="A431" s="13"/>
      <c r="B431" s="96" t="s">
        <v>783</v>
      </c>
      <c r="C431" s="96"/>
      <c r="D431" s="96"/>
      <c r="E431" s="96"/>
      <c r="F431" s="96"/>
      <c r="G431" s="96"/>
      <c r="H431" s="96"/>
      <c r="I431" s="96"/>
      <c r="J431" s="96"/>
      <c r="K431" s="96"/>
      <c r="L431" s="96"/>
      <c r="M431" s="96"/>
      <c r="N431" s="96" t="s">
        <v>39</v>
      </c>
      <c r="O431" s="96"/>
      <c r="P431" s="96"/>
      <c r="Q431" s="97"/>
      <c r="R431" s="95"/>
      <c r="S431" s="95"/>
      <c r="T431" s="95"/>
      <c r="U431" s="95"/>
      <c r="V431" s="95"/>
      <c r="W431" s="97"/>
      <c r="X431" s="95"/>
      <c r="Y431" s="95"/>
      <c r="Z431" s="95"/>
      <c r="AA431" s="95"/>
      <c r="AB431" s="95"/>
      <c r="AC431" s="94"/>
      <c r="AD431" s="95"/>
      <c r="AE431" s="95"/>
      <c r="AF431" s="40"/>
      <c r="AG431" s="31"/>
      <c r="AH431"/>
      <c r="AI431"/>
      <c r="AJ431"/>
      <c r="AK431"/>
      <c r="AM431"/>
    </row>
    <row r="432" spans="1:39" ht="25.15" customHeight="1" outlineLevel="1" x14ac:dyDescent="0.2">
      <c r="A432" s="13"/>
      <c r="B432" s="96" t="s">
        <v>784</v>
      </c>
      <c r="C432" s="96"/>
      <c r="D432" s="96"/>
      <c r="E432" s="96"/>
      <c r="F432" s="96"/>
      <c r="G432" s="96"/>
      <c r="H432" s="96"/>
      <c r="I432" s="96"/>
      <c r="J432" s="96"/>
      <c r="K432" s="96"/>
      <c r="L432" s="96"/>
      <c r="M432" s="96"/>
      <c r="N432" s="96" t="s">
        <v>785</v>
      </c>
      <c r="O432" s="96"/>
      <c r="P432" s="96"/>
      <c r="Q432" s="97"/>
      <c r="R432" s="95"/>
      <c r="S432" s="95"/>
      <c r="T432" s="95"/>
      <c r="U432" s="95"/>
      <c r="V432" s="95"/>
      <c r="W432" s="97"/>
      <c r="X432" s="95"/>
      <c r="Y432" s="95"/>
      <c r="Z432" s="95"/>
      <c r="AA432" s="95"/>
      <c r="AB432" s="95"/>
      <c r="AC432" s="94"/>
      <c r="AD432" s="95"/>
      <c r="AE432" s="95"/>
      <c r="AF432" s="49" t="s">
        <v>929</v>
      </c>
      <c r="AG432" s="31" t="s">
        <v>951</v>
      </c>
      <c r="AH432"/>
      <c r="AI432"/>
      <c r="AJ432"/>
      <c r="AK432"/>
      <c r="AM432"/>
    </row>
    <row r="433" spans="1:39" ht="25.15" customHeight="1" outlineLevel="1" x14ac:dyDescent="0.2">
      <c r="A433" s="10" t="s">
        <v>549</v>
      </c>
      <c r="B433" s="98" t="s">
        <v>550</v>
      </c>
      <c r="C433" s="98"/>
      <c r="D433" s="98"/>
      <c r="E433" s="98"/>
      <c r="F433" s="98"/>
      <c r="G433" s="98"/>
      <c r="H433" s="98"/>
      <c r="I433" s="98"/>
      <c r="J433" s="98"/>
      <c r="K433" s="98"/>
      <c r="L433" s="98"/>
      <c r="M433" s="98"/>
      <c r="N433" s="98" t="s">
        <v>47</v>
      </c>
      <c r="O433" s="98"/>
      <c r="P433" s="98"/>
      <c r="Q433" s="97">
        <v>94</v>
      </c>
      <c r="R433" s="95"/>
      <c r="S433" s="95"/>
      <c r="T433" s="95"/>
      <c r="U433" s="95"/>
      <c r="V433" s="95"/>
      <c r="W433" s="97">
        <v>18.269100000000002</v>
      </c>
      <c r="X433" s="95"/>
      <c r="Y433" s="95"/>
      <c r="Z433" s="95"/>
      <c r="AA433" s="95"/>
      <c r="AB433" s="95"/>
      <c r="AC433" s="94">
        <v>1717.3</v>
      </c>
      <c r="AD433" s="95"/>
      <c r="AE433" s="95"/>
      <c r="AF433" s="31"/>
      <c r="AG433" s="31"/>
      <c r="AH433"/>
      <c r="AI433"/>
      <c r="AJ433"/>
      <c r="AK433"/>
      <c r="AM433"/>
    </row>
    <row r="434" spans="1:39" ht="25.15" customHeight="1" outlineLevel="1" x14ac:dyDescent="0.2">
      <c r="A434" s="10" t="s">
        <v>551</v>
      </c>
      <c r="B434" s="98" t="s">
        <v>552</v>
      </c>
      <c r="C434" s="98"/>
      <c r="D434" s="98"/>
      <c r="E434" s="98"/>
      <c r="F434" s="98"/>
      <c r="G434" s="98"/>
      <c r="H434" s="98"/>
      <c r="I434" s="98"/>
      <c r="J434" s="98"/>
      <c r="K434" s="98"/>
      <c r="L434" s="98"/>
      <c r="M434" s="98"/>
      <c r="N434" s="98" t="s">
        <v>47</v>
      </c>
      <c r="O434" s="98"/>
      <c r="P434" s="98"/>
      <c r="Q434" s="97">
        <v>52</v>
      </c>
      <c r="R434" s="95"/>
      <c r="S434" s="95"/>
      <c r="T434" s="95"/>
      <c r="U434" s="95"/>
      <c r="V434" s="95"/>
      <c r="W434" s="133">
        <v>181.7</v>
      </c>
      <c r="X434" s="95"/>
      <c r="Y434" s="95"/>
      <c r="Z434" s="95"/>
      <c r="AA434" s="95"/>
      <c r="AB434" s="95"/>
      <c r="AC434" s="94">
        <v>9448.4</v>
      </c>
      <c r="AD434" s="95"/>
      <c r="AE434" s="95"/>
      <c r="AF434" s="31"/>
      <c r="AG434" s="31"/>
      <c r="AH434"/>
      <c r="AI434"/>
      <c r="AJ434"/>
      <c r="AK434"/>
      <c r="AM434"/>
    </row>
    <row r="435" spans="1:39" ht="25.15" customHeight="1" outlineLevel="1" x14ac:dyDescent="0.2">
      <c r="A435" s="10" t="s">
        <v>553</v>
      </c>
      <c r="B435" s="98" t="s">
        <v>554</v>
      </c>
      <c r="C435" s="98"/>
      <c r="D435" s="98"/>
      <c r="E435" s="98"/>
      <c r="F435" s="98"/>
      <c r="G435" s="98"/>
      <c r="H435" s="98"/>
      <c r="I435" s="98"/>
      <c r="J435" s="98"/>
      <c r="K435" s="98"/>
      <c r="L435" s="98"/>
      <c r="M435" s="98"/>
      <c r="N435" s="98" t="s">
        <v>47</v>
      </c>
      <c r="O435" s="98"/>
      <c r="P435" s="98"/>
      <c r="Q435" s="99">
        <v>3</v>
      </c>
      <c r="R435" s="95"/>
      <c r="S435" s="95"/>
      <c r="T435" s="95"/>
      <c r="U435" s="95"/>
      <c r="V435" s="95"/>
      <c r="W435" s="97">
        <v>56.295499999999997</v>
      </c>
      <c r="X435" s="95"/>
      <c r="Y435" s="95"/>
      <c r="Z435" s="95"/>
      <c r="AA435" s="95"/>
      <c r="AB435" s="95"/>
      <c r="AC435" s="182">
        <v>168.89</v>
      </c>
      <c r="AD435" s="95"/>
      <c r="AE435" s="95"/>
      <c r="AF435" s="31"/>
      <c r="AG435" s="31"/>
      <c r="AH435"/>
      <c r="AI435"/>
      <c r="AJ435"/>
      <c r="AK435"/>
      <c r="AM435"/>
    </row>
    <row r="436" spans="1:39" ht="25.15" customHeight="1" outlineLevel="1" x14ac:dyDescent="0.2">
      <c r="A436" s="10" t="s">
        <v>555</v>
      </c>
      <c r="B436" s="98" t="s">
        <v>556</v>
      </c>
      <c r="C436" s="98"/>
      <c r="D436" s="98"/>
      <c r="E436" s="98"/>
      <c r="F436" s="98"/>
      <c r="G436" s="98"/>
      <c r="H436" s="98"/>
      <c r="I436" s="98"/>
      <c r="J436" s="98"/>
      <c r="K436" s="98"/>
      <c r="L436" s="98"/>
      <c r="M436" s="98"/>
      <c r="N436" s="98" t="s">
        <v>47</v>
      </c>
      <c r="O436" s="98"/>
      <c r="P436" s="98"/>
      <c r="Q436" s="133">
        <v>670</v>
      </c>
      <c r="R436" s="95"/>
      <c r="S436" s="95"/>
      <c r="T436" s="95"/>
      <c r="U436" s="95"/>
      <c r="V436" s="95"/>
      <c r="W436" s="97">
        <v>88.538499999999999</v>
      </c>
      <c r="X436" s="95"/>
      <c r="Y436" s="95"/>
      <c r="Z436" s="95"/>
      <c r="AA436" s="95"/>
      <c r="AB436" s="95"/>
      <c r="AC436" s="126">
        <v>59320.800000000003</v>
      </c>
      <c r="AD436" s="95"/>
      <c r="AE436" s="95"/>
      <c r="AF436" s="31"/>
      <c r="AG436" s="31"/>
      <c r="AH436"/>
      <c r="AI436"/>
      <c r="AJ436"/>
      <c r="AK436"/>
      <c r="AM436"/>
    </row>
    <row r="437" spans="1:39" ht="25.15" customHeight="1" outlineLevel="1" x14ac:dyDescent="0.2">
      <c r="A437" s="10"/>
      <c r="B437" s="96" t="s">
        <v>786</v>
      </c>
      <c r="C437" s="96"/>
      <c r="D437" s="96"/>
      <c r="E437" s="96"/>
      <c r="F437" s="96"/>
      <c r="G437" s="96"/>
      <c r="H437" s="96"/>
      <c r="I437" s="96"/>
      <c r="J437" s="96"/>
      <c r="K437" s="96"/>
      <c r="L437" s="96"/>
      <c r="M437" s="96"/>
      <c r="N437" s="98"/>
      <c r="O437" s="98"/>
      <c r="P437" s="98"/>
      <c r="Q437" s="133"/>
      <c r="R437" s="95"/>
      <c r="S437" s="95"/>
      <c r="T437" s="95"/>
      <c r="U437" s="95"/>
      <c r="V437" s="95"/>
      <c r="W437" s="97"/>
      <c r="X437" s="95"/>
      <c r="Y437" s="95"/>
      <c r="Z437" s="95"/>
      <c r="AA437" s="95"/>
      <c r="AB437" s="95"/>
      <c r="AC437" s="126"/>
      <c r="AD437" s="95"/>
      <c r="AE437" s="95"/>
      <c r="AF437" s="31"/>
      <c r="AG437" s="31"/>
      <c r="AH437"/>
      <c r="AI437"/>
      <c r="AJ437"/>
      <c r="AK437"/>
      <c r="AM437"/>
    </row>
    <row r="438" spans="1:39" ht="25.15" customHeight="1" outlineLevel="1" x14ac:dyDescent="0.2">
      <c r="A438" s="10" t="s">
        <v>557</v>
      </c>
      <c r="B438" s="98" t="s">
        <v>558</v>
      </c>
      <c r="C438" s="98"/>
      <c r="D438" s="98"/>
      <c r="E438" s="98"/>
      <c r="F438" s="98"/>
      <c r="G438" s="98"/>
      <c r="H438" s="98"/>
      <c r="I438" s="98"/>
      <c r="J438" s="98"/>
      <c r="K438" s="98"/>
      <c r="L438" s="98"/>
      <c r="M438" s="98"/>
      <c r="N438" s="98" t="s">
        <v>47</v>
      </c>
      <c r="O438" s="98"/>
      <c r="P438" s="98"/>
      <c r="Q438" s="132">
        <v>2155</v>
      </c>
      <c r="R438" s="95"/>
      <c r="S438" s="95"/>
      <c r="T438" s="95"/>
      <c r="U438" s="95"/>
      <c r="V438" s="95"/>
      <c r="W438" s="97">
        <v>76.584800000000001</v>
      </c>
      <c r="X438" s="95"/>
      <c r="Y438" s="95"/>
      <c r="Z438" s="95"/>
      <c r="AA438" s="95"/>
      <c r="AB438" s="95"/>
      <c r="AC438" s="101">
        <v>165040.24</v>
      </c>
      <c r="AD438" s="95"/>
      <c r="AE438" s="95"/>
      <c r="AF438" s="31"/>
      <c r="AG438" s="31"/>
      <c r="AH438"/>
      <c r="AI438"/>
      <c r="AJ438"/>
      <c r="AK438"/>
      <c r="AM438"/>
    </row>
    <row r="439" spans="1:39" ht="25.15" customHeight="1" outlineLevel="1" x14ac:dyDescent="0.2">
      <c r="A439" s="10" t="s">
        <v>559</v>
      </c>
      <c r="B439" s="98" t="s">
        <v>560</v>
      </c>
      <c r="C439" s="98"/>
      <c r="D439" s="98"/>
      <c r="E439" s="98"/>
      <c r="F439" s="98"/>
      <c r="G439" s="98"/>
      <c r="H439" s="98"/>
      <c r="I439" s="98"/>
      <c r="J439" s="98"/>
      <c r="K439" s="98"/>
      <c r="L439" s="98"/>
      <c r="M439" s="98"/>
      <c r="N439" s="98" t="s">
        <v>47</v>
      </c>
      <c r="O439" s="98"/>
      <c r="P439" s="98"/>
      <c r="Q439" s="133">
        <v>412</v>
      </c>
      <c r="R439" s="95"/>
      <c r="S439" s="95"/>
      <c r="T439" s="95"/>
      <c r="U439" s="95"/>
      <c r="V439" s="95"/>
      <c r="W439" s="97">
        <v>83.115799999999993</v>
      </c>
      <c r="X439" s="95"/>
      <c r="Y439" s="95"/>
      <c r="Z439" s="95"/>
      <c r="AA439" s="95"/>
      <c r="AB439" s="95"/>
      <c r="AC439" s="126">
        <v>34243.71</v>
      </c>
      <c r="AD439" s="95"/>
      <c r="AE439" s="95"/>
      <c r="AF439" s="31"/>
      <c r="AG439" s="31"/>
      <c r="AH439"/>
      <c r="AI439"/>
      <c r="AJ439"/>
      <c r="AK439"/>
      <c r="AM439"/>
    </row>
    <row r="440" spans="1:39" ht="25.15" customHeight="1" outlineLevel="1" x14ac:dyDescent="0.2">
      <c r="A440" s="13"/>
      <c r="B440" s="96" t="s">
        <v>792</v>
      </c>
      <c r="C440" s="96"/>
      <c r="D440" s="96"/>
      <c r="E440" s="96"/>
      <c r="F440" s="96"/>
      <c r="G440" s="96"/>
      <c r="H440" s="96"/>
      <c r="I440" s="96"/>
      <c r="J440" s="96"/>
      <c r="K440" s="96"/>
      <c r="L440" s="96"/>
      <c r="M440" s="96"/>
      <c r="N440" s="96" t="s">
        <v>857</v>
      </c>
      <c r="O440" s="96"/>
      <c r="P440" s="96"/>
      <c r="Q440" s="130"/>
      <c r="R440" s="129"/>
      <c r="S440" s="129"/>
      <c r="T440" s="129"/>
      <c r="U440" s="129"/>
      <c r="V440" s="129"/>
      <c r="W440" s="130"/>
      <c r="X440" s="129"/>
      <c r="Y440" s="129"/>
      <c r="Z440" s="129"/>
      <c r="AA440" s="129"/>
      <c r="AB440" s="129"/>
      <c r="AC440" s="131"/>
      <c r="AD440" s="129"/>
      <c r="AE440" s="129"/>
      <c r="AF440" s="93" t="s">
        <v>942</v>
      </c>
      <c r="AG440" s="31"/>
      <c r="AH440"/>
      <c r="AI440"/>
      <c r="AJ440"/>
      <c r="AK440"/>
      <c r="AM440"/>
    </row>
    <row r="441" spans="1:39" ht="25.15" customHeight="1" outlineLevel="1" x14ac:dyDescent="0.2">
      <c r="A441" s="13"/>
      <c r="B441" s="96" t="s">
        <v>793</v>
      </c>
      <c r="C441" s="96"/>
      <c r="D441" s="96"/>
      <c r="E441" s="96"/>
      <c r="F441" s="96"/>
      <c r="G441" s="96"/>
      <c r="H441" s="96"/>
      <c r="I441" s="96"/>
      <c r="J441" s="96"/>
      <c r="K441" s="96"/>
      <c r="L441" s="96"/>
      <c r="M441" s="96"/>
      <c r="N441" s="96" t="s">
        <v>31</v>
      </c>
      <c r="O441" s="96"/>
      <c r="P441" s="96"/>
      <c r="Q441" s="130"/>
      <c r="R441" s="129"/>
      <c r="S441" s="129"/>
      <c r="T441" s="129"/>
      <c r="U441" s="129"/>
      <c r="V441" s="129"/>
      <c r="W441" s="130"/>
      <c r="X441" s="129"/>
      <c r="Y441" s="129"/>
      <c r="Z441" s="129"/>
      <c r="AA441" s="129"/>
      <c r="AB441" s="129"/>
      <c r="AC441" s="131"/>
      <c r="AD441" s="129"/>
      <c r="AE441" s="129"/>
      <c r="AF441" s="93"/>
      <c r="AG441" s="31"/>
      <c r="AH441"/>
      <c r="AI441"/>
      <c r="AJ441"/>
      <c r="AK441"/>
      <c r="AM441"/>
    </row>
    <row r="442" spans="1:39" ht="25.15" customHeight="1" outlineLevel="1" x14ac:dyDescent="0.2">
      <c r="A442" s="13"/>
      <c r="B442" s="96" t="s">
        <v>794</v>
      </c>
      <c r="C442" s="96"/>
      <c r="D442" s="96"/>
      <c r="E442" s="96"/>
      <c r="F442" s="96"/>
      <c r="G442" s="96"/>
      <c r="H442" s="96"/>
      <c r="I442" s="96"/>
      <c r="J442" s="96"/>
      <c r="K442" s="96"/>
      <c r="L442" s="96"/>
      <c r="M442" s="96"/>
      <c r="N442" s="96" t="s">
        <v>27</v>
      </c>
      <c r="O442" s="96"/>
      <c r="P442" s="96"/>
      <c r="Q442" s="130"/>
      <c r="R442" s="129"/>
      <c r="S442" s="129"/>
      <c r="T442" s="129"/>
      <c r="U442" s="129"/>
      <c r="V442" s="129"/>
      <c r="W442" s="130"/>
      <c r="X442" s="129"/>
      <c r="Y442" s="129"/>
      <c r="Z442" s="129"/>
      <c r="AA442" s="129"/>
      <c r="AB442" s="129"/>
      <c r="AC442" s="131"/>
      <c r="AD442" s="129"/>
      <c r="AE442" s="129"/>
      <c r="AF442" s="31" t="s">
        <v>902</v>
      </c>
      <c r="AG442" s="31"/>
      <c r="AH442"/>
      <c r="AI442"/>
      <c r="AJ442"/>
      <c r="AK442"/>
      <c r="AM442"/>
    </row>
    <row r="443" spans="1:39" ht="25.15" customHeight="1" outlineLevel="1" x14ac:dyDescent="0.2">
      <c r="A443" s="13"/>
      <c r="B443" s="96" t="s">
        <v>795</v>
      </c>
      <c r="C443" s="96"/>
      <c r="D443" s="96"/>
      <c r="E443" s="96"/>
      <c r="F443" s="96"/>
      <c r="G443" s="96"/>
      <c r="H443" s="96"/>
      <c r="I443" s="96"/>
      <c r="J443" s="96"/>
      <c r="K443" s="96"/>
      <c r="L443" s="96"/>
      <c r="M443" s="96"/>
      <c r="N443" s="96" t="s">
        <v>762</v>
      </c>
      <c r="O443" s="96"/>
      <c r="P443" s="96"/>
      <c r="Q443" s="130"/>
      <c r="R443" s="129"/>
      <c r="S443" s="129"/>
      <c r="T443" s="129"/>
      <c r="U443" s="129"/>
      <c r="V443" s="129"/>
      <c r="W443" s="130"/>
      <c r="X443" s="129"/>
      <c r="Y443" s="129"/>
      <c r="Z443" s="129"/>
      <c r="AA443" s="129"/>
      <c r="AB443" s="129"/>
      <c r="AC443" s="131"/>
      <c r="AD443" s="129"/>
      <c r="AE443" s="129"/>
      <c r="AF443" s="40"/>
      <c r="AG443" s="31"/>
      <c r="AH443"/>
      <c r="AI443"/>
      <c r="AJ443"/>
      <c r="AK443"/>
      <c r="AM443"/>
    </row>
    <row r="444" spans="1:39" ht="25.15" customHeight="1" outlineLevel="1" x14ac:dyDescent="0.2">
      <c r="A444" s="18" t="s">
        <v>561</v>
      </c>
      <c r="B444" s="137" t="s">
        <v>562</v>
      </c>
      <c r="C444" s="137"/>
      <c r="D444" s="137"/>
      <c r="E444" s="137"/>
      <c r="F444" s="137"/>
      <c r="G444" s="137"/>
      <c r="H444" s="137"/>
      <c r="I444" s="137"/>
      <c r="J444" s="137"/>
      <c r="K444" s="137"/>
      <c r="L444" s="137"/>
      <c r="M444" s="137"/>
      <c r="N444" s="137"/>
      <c r="O444" s="137"/>
      <c r="P444" s="137"/>
      <c r="Q444" s="160"/>
      <c r="R444" s="160"/>
      <c r="S444" s="160"/>
      <c r="T444" s="160"/>
      <c r="U444" s="160"/>
      <c r="V444" s="160"/>
      <c r="W444" s="160"/>
      <c r="X444" s="160"/>
      <c r="Y444" s="160"/>
      <c r="Z444" s="160"/>
      <c r="AA444" s="160"/>
      <c r="AB444" s="160"/>
      <c r="AC444" s="169">
        <v>12492.92</v>
      </c>
      <c r="AD444" s="160"/>
      <c r="AE444" s="160"/>
      <c r="AF444" s="31"/>
      <c r="AG444" s="31"/>
      <c r="AH444"/>
      <c r="AI444"/>
      <c r="AJ444"/>
      <c r="AK444"/>
      <c r="AM444"/>
    </row>
    <row r="445" spans="1:39" ht="25.15" customHeight="1" outlineLevel="1" x14ac:dyDescent="0.2">
      <c r="A445" s="10" t="s">
        <v>563</v>
      </c>
      <c r="B445" s="98" t="s">
        <v>564</v>
      </c>
      <c r="C445" s="98"/>
      <c r="D445" s="98"/>
      <c r="E445" s="98"/>
      <c r="F445" s="98"/>
      <c r="G445" s="98"/>
      <c r="H445" s="98"/>
      <c r="I445" s="98"/>
      <c r="J445" s="98"/>
      <c r="K445" s="98"/>
      <c r="L445" s="98"/>
      <c r="M445" s="98"/>
      <c r="N445" s="98" t="s">
        <v>39</v>
      </c>
      <c r="O445" s="98"/>
      <c r="P445" s="98"/>
      <c r="Q445" s="133">
        <v>671.31</v>
      </c>
      <c r="R445" s="95"/>
      <c r="S445" s="95"/>
      <c r="T445" s="95"/>
      <c r="U445" s="95"/>
      <c r="V445" s="95"/>
      <c r="W445" s="99">
        <v>5.7923999999999998</v>
      </c>
      <c r="X445" s="95"/>
      <c r="Y445" s="95"/>
      <c r="Z445" s="95"/>
      <c r="AA445" s="95"/>
      <c r="AB445" s="95"/>
      <c r="AC445" s="94">
        <v>3888.5</v>
      </c>
      <c r="AD445" s="95"/>
      <c r="AE445" s="95"/>
      <c r="AF445" s="31"/>
      <c r="AG445" s="31"/>
      <c r="AH445"/>
      <c r="AI445"/>
      <c r="AJ445"/>
      <c r="AK445"/>
      <c r="AM445"/>
    </row>
    <row r="446" spans="1:39" ht="25.15" customHeight="1" outlineLevel="1" x14ac:dyDescent="0.2">
      <c r="A446" s="10" t="s">
        <v>565</v>
      </c>
      <c r="B446" s="98" t="s">
        <v>566</v>
      </c>
      <c r="C446" s="98"/>
      <c r="D446" s="98"/>
      <c r="E446" s="98"/>
      <c r="F446" s="98"/>
      <c r="G446" s="98"/>
      <c r="H446" s="98"/>
      <c r="I446" s="98"/>
      <c r="J446" s="98"/>
      <c r="K446" s="98"/>
      <c r="L446" s="98"/>
      <c r="M446" s="98"/>
      <c r="N446" s="98" t="s">
        <v>39</v>
      </c>
      <c r="O446" s="98"/>
      <c r="P446" s="98"/>
      <c r="Q446" s="133">
        <v>978.79</v>
      </c>
      <c r="R446" s="95"/>
      <c r="S446" s="95"/>
      <c r="T446" s="95"/>
      <c r="U446" s="95"/>
      <c r="V446" s="95"/>
      <c r="W446" s="99">
        <v>8.2714999999999996</v>
      </c>
      <c r="X446" s="95"/>
      <c r="Y446" s="95"/>
      <c r="Z446" s="95"/>
      <c r="AA446" s="95"/>
      <c r="AB446" s="95"/>
      <c r="AC446" s="94">
        <v>8096.06</v>
      </c>
      <c r="AD446" s="95"/>
      <c r="AE446" s="95"/>
      <c r="AF446" s="31"/>
      <c r="AG446" s="31"/>
      <c r="AH446"/>
      <c r="AI446"/>
      <c r="AJ446"/>
      <c r="AK446"/>
      <c r="AM446"/>
    </row>
    <row r="447" spans="1:39" ht="25.15" customHeight="1" outlineLevel="1" x14ac:dyDescent="0.2">
      <c r="A447" s="10" t="s">
        <v>567</v>
      </c>
      <c r="B447" s="98" t="s">
        <v>568</v>
      </c>
      <c r="C447" s="98"/>
      <c r="D447" s="98"/>
      <c r="E447" s="98"/>
      <c r="F447" s="98"/>
      <c r="G447" s="98"/>
      <c r="H447" s="98"/>
      <c r="I447" s="98"/>
      <c r="J447" s="98"/>
      <c r="K447" s="98"/>
      <c r="L447" s="98"/>
      <c r="M447" s="98"/>
      <c r="N447" s="98" t="s">
        <v>39</v>
      </c>
      <c r="O447" s="98"/>
      <c r="P447" s="98"/>
      <c r="Q447" s="97">
        <v>19.86</v>
      </c>
      <c r="R447" s="95"/>
      <c r="S447" s="95"/>
      <c r="T447" s="95"/>
      <c r="U447" s="95"/>
      <c r="V447" s="95"/>
      <c r="W447" s="97">
        <v>25.597100000000001</v>
      </c>
      <c r="X447" s="95"/>
      <c r="Y447" s="95"/>
      <c r="Z447" s="95"/>
      <c r="AA447" s="95"/>
      <c r="AB447" s="95"/>
      <c r="AC447" s="182">
        <v>508.36</v>
      </c>
      <c r="AD447" s="95"/>
      <c r="AE447" s="95"/>
      <c r="AF447" s="31"/>
      <c r="AG447" s="31"/>
      <c r="AH447"/>
      <c r="AI447"/>
      <c r="AJ447"/>
      <c r="AK447"/>
      <c r="AM447"/>
    </row>
    <row r="448" spans="1:39" ht="25.15" customHeight="1" outlineLevel="1" x14ac:dyDescent="0.2">
      <c r="A448" s="13"/>
      <c r="B448" s="96" t="s">
        <v>794</v>
      </c>
      <c r="C448" s="96"/>
      <c r="D448" s="96"/>
      <c r="E448" s="96"/>
      <c r="F448" s="96"/>
      <c r="G448" s="96"/>
      <c r="H448" s="96"/>
      <c r="I448" s="96"/>
      <c r="J448" s="96"/>
      <c r="K448" s="96"/>
      <c r="L448" s="96"/>
      <c r="M448" s="96"/>
      <c r="N448" s="96"/>
      <c r="O448" s="96"/>
      <c r="P448" s="96"/>
      <c r="Q448" s="97"/>
      <c r="R448" s="95"/>
      <c r="S448" s="95"/>
      <c r="T448" s="95"/>
      <c r="U448" s="95"/>
      <c r="V448" s="95"/>
      <c r="W448" s="97"/>
      <c r="X448" s="95"/>
      <c r="Y448" s="95"/>
      <c r="Z448" s="95"/>
      <c r="AA448" s="95"/>
      <c r="AB448" s="95"/>
      <c r="AC448" s="94"/>
      <c r="AD448" s="95"/>
      <c r="AE448" s="95"/>
      <c r="AF448" s="31" t="s">
        <v>902</v>
      </c>
      <c r="AG448" s="31"/>
      <c r="AH448"/>
      <c r="AI448"/>
      <c r="AJ448"/>
      <c r="AK448"/>
      <c r="AM448"/>
    </row>
    <row r="449" spans="1:39" ht="25.15" customHeight="1" outlineLevel="1" x14ac:dyDescent="0.2">
      <c r="A449" s="18" t="s">
        <v>569</v>
      </c>
      <c r="B449" s="137" t="s">
        <v>570</v>
      </c>
      <c r="C449" s="137"/>
      <c r="D449" s="137"/>
      <c r="E449" s="137"/>
      <c r="F449" s="137"/>
      <c r="G449" s="137"/>
      <c r="H449" s="137"/>
      <c r="I449" s="137"/>
      <c r="J449" s="137"/>
      <c r="K449" s="137"/>
      <c r="L449" s="137"/>
      <c r="M449" s="137"/>
      <c r="N449" s="137"/>
      <c r="O449" s="137"/>
      <c r="P449" s="137"/>
      <c r="Q449" s="160"/>
      <c r="R449" s="160"/>
      <c r="S449" s="160"/>
      <c r="T449" s="160"/>
      <c r="U449" s="160"/>
      <c r="V449" s="160"/>
      <c r="W449" s="160"/>
      <c r="X449" s="160"/>
      <c r="Y449" s="160"/>
      <c r="Z449" s="160"/>
      <c r="AA449" s="160"/>
      <c r="AB449" s="160"/>
      <c r="AC449" s="211">
        <v>3126.45</v>
      </c>
      <c r="AD449" s="160"/>
      <c r="AE449" s="160"/>
      <c r="AF449" s="31"/>
      <c r="AG449" s="31"/>
      <c r="AH449"/>
      <c r="AI449"/>
      <c r="AJ449"/>
      <c r="AK449"/>
      <c r="AM449"/>
    </row>
    <row r="450" spans="1:39" ht="25.15" customHeight="1" outlineLevel="1" x14ac:dyDescent="0.2">
      <c r="A450" s="10" t="s">
        <v>571</v>
      </c>
      <c r="B450" s="98" t="s">
        <v>572</v>
      </c>
      <c r="C450" s="98"/>
      <c r="D450" s="98"/>
      <c r="E450" s="98"/>
      <c r="F450" s="98"/>
      <c r="G450" s="98"/>
      <c r="H450" s="98"/>
      <c r="I450" s="98"/>
      <c r="J450" s="98"/>
      <c r="K450" s="98"/>
      <c r="L450" s="98"/>
      <c r="M450" s="98"/>
      <c r="N450" s="98" t="s">
        <v>39</v>
      </c>
      <c r="O450" s="98"/>
      <c r="P450" s="98"/>
      <c r="Q450" s="97">
        <v>43.33</v>
      </c>
      <c r="R450" s="95"/>
      <c r="S450" s="95"/>
      <c r="T450" s="95"/>
      <c r="U450" s="95"/>
      <c r="V450" s="95"/>
      <c r="W450" s="97">
        <v>72.154300000000006</v>
      </c>
      <c r="X450" s="95"/>
      <c r="Y450" s="95"/>
      <c r="Z450" s="95"/>
      <c r="AA450" s="95"/>
      <c r="AB450" s="95"/>
      <c r="AC450" s="94">
        <v>3126.45</v>
      </c>
      <c r="AD450" s="95"/>
      <c r="AE450" s="95"/>
      <c r="AF450" s="33"/>
      <c r="AG450" s="33"/>
      <c r="AH450"/>
      <c r="AI450"/>
      <c r="AJ450"/>
      <c r="AK450"/>
      <c r="AM450"/>
    </row>
    <row r="451" spans="1:39" ht="25.15" customHeight="1" outlineLevel="1" x14ac:dyDescent="0.2">
      <c r="A451" s="18" t="s">
        <v>573</v>
      </c>
      <c r="B451" s="137" t="s">
        <v>574</v>
      </c>
      <c r="C451" s="137"/>
      <c r="D451" s="137"/>
      <c r="E451" s="137"/>
      <c r="F451" s="137"/>
      <c r="G451" s="137"/>
      <c r="H451" s="137"/>
      <c r="I451" s="137"/>
      <c r="J451" s="137"/>
      <c r="K451" s="137"/>
      <c r="L451" s="137"/>
      <c r="M451" s="137"/>
      <c r="N451" s="137"/>
      <c r="O451" s="137"/>
      <c r="P451" s="137"/>
      <c r="Q451" s="160"/>
      <c r="R451" s="160"/>
      <c r="S451" s="160"/>
      <c r="T451" s="160"/>
      <c r="U451" s="160"/>
      <c r="V451" s="160"/>
      <c r="W451" s="160"/>
      <c r="X451" s="160"/>
      <c r="Y451" s="160"/>
      <c r="Z451" s="160"/>
      <c r="AA451" s="160"/>
      <c r="AB451" s="160"/>
      <c r="AC451" s="162">
        <v>211876.2</v>
      </c>
      <c r="AD451" s="160"/>
      <c r="AE451" s="160"/>
      <c r="AF451" s="32"/>
      <c r="AG451" s="32"/>
      <c r="AH451"/>
      <c r="AI451"/>
      <c r="AJ451"/>
      <c r="AK451"/>
      <c r="AM451"/>
    </row>
    <row r="452" spans="1:39" ht="25.15" customHeight="1" outlineLevel="1" x14ac:dyDescent="0.2">
      <c r="A452" s="10" t="s">
        <v>575</v>
      </c>
      <c r="B452" s="98" t="s">
        <v>576</v>
      </c>
      <c r="C452" s="98"/>
      <c r="D452" s="98"/>
      <c r="E452" s="98"/>
      <c r="F452" s="98"/>
      <c r="G452" s="98"/>
      <c r="H452" s="98"/>
      <c r="I452" s="98"/>
      <c r="J452" s="98"/>
      <c r="K452" s="98"/>
      <c r="L452" s="98"/>
      <c r="M452" s="98"/>
      <c r="N452" s="98" t="s">
        <v>47</v>
      </c>
      <c r="O452" s="98"/>
      <c r="P452" s="98"/>
      <c r="Q452" s="97">
        <v>20</v>
      </c>
      <c r="R452" s="95"/>
      <c r="S452" s="95"/>
      <c r="T452" s="95"/>
      <c r="U452" s="95"/>
      <c r="V452" s="95"/>
      <c r="W452" s="97">
        <v>58.628700000000002</v>
      </c>
      <c r="X452" s="95"/>
      <c r="Y452" s="95"/>
      <c r="Z452" s="95"/>
      <c r="AA452" s="95"/>
      <c r="AB452" s="95"/>
      <c r="AC452" s="94">
        <v>1172.57</v>
      </c>
      <c r="AD452" s="95"/>
      <c r="AE452" s="95"/>
      <c r="AF452" s="31"/>
      <c r="AG452" s="31"/>
      <c r="AH452"/>
      <c r="AI452"/>
      <c r="AJ452"/>
      <c r="AK452"/>
      <c r="AM452"/>
    </row>
    <row r="453" spans="1:39" ht="25.15" customHeight="1" outlineLevel="1" x14ac:dyDescent="0.2">
      <c r="A453" s="10" t="s">
        <v>577</v>
      </c>
      <c r="B453" s="98" t="s">
        <v>578</v>
      </c>
      <c r="C453" s="98"/>
      <c r="D453" s="98"/>
      <c r="E453" s="98"/>
      <c r="F453" s="98"/>
      <c r="G453" s="98"/>
      <c r="H453" s="98"/>
      <c r="I453" s="98"/>
      <c r="J453" s="98"/>
      <c r="K453" s="98"/>
      <c r="L453" s="98"/>
      <c r="M453" s="98"/>
      <c r="N453" s="98" t="s">
        <v>47</v>
      </c>
      <c r="O453" s="98"/>
      <c r="P453" s="98"/>
      <c r="Q453" s="133">
        <v>775</v>
      </c>
      <c r="R453" s="95"/>
      <c r="S453" s="95"/>
      <c r="T453" s="95"/>
      <c r="U453" s="95"/>
      <c r="V453" s="95"/>
      <c r="W453" s="97">
        <v>61.576799999999999</v>
      </c>
      <c r="X453" s="95"/>
      <c r="Y453" s="95"/>
      <c r="Z453" s="95"/>
      <c r="AA453" s="95"/>
      <c r="AB453" s="95"/>
      <c r="AC453" s="126">
        <v>47722.02</v>
      </c>
      <c r="AD453" s="95"/>
      <c r="AE453" s="95"/>
      <c r="AF453" s="31"/>
      <c r="AG453" s="31"/>
      <c r="AH453"/>
      <c r="AI453"/>
      <c r="AJ453"/>
      <c r="AK453"/>
      <c r="AM453"/>
    </row>
    <row r="454" spans="1:39" ht="25.15" customHeight="1" outlineLevel="1" x14ac:dyDescent="0.2">
      <c r="A454" s="10" t="s">
        <v>579</v>
      </c>
      <c r="B454" s="98" t="s">
        <v>580</v>
      </c>
      <c r="C454" s="98"/>
      <c r="D454" s="98"/>
      <c r="E454" s="98"/>
      <c r="F454" s="98"/>
      <c r="G454" s="98"/>
      <c r="H454" s="98"/>
      <c r="I454" s="98"/>
      <c r="J454" s="98"/>
      <c r="K454" s="98"/>
      <c r="L454" s="98"/>
      <c r="M454" s="98"/>
      <c r="N454" s="98" t="s">
        <v>47</v>
      </c>
      <c r="O454" s="98"/>
      <c r="P454" s="98"/>
      <c r="Q454" s="132">
        <v>2096</v>
      </c>
      <c r="R454" s="95"/>
      <c r="S454" s="95"/>
      <c r="T454" s="95"/>
      <c r="U454" s="95"/>
      <c r="V454" s="95"/>
      <c r="W454" s="97">
        <v>77.758399999999995</v>
      </c>
      <c r="X454" s="95"/>
      <c r="Y454" s="95"/>
      <c r="Z454" s="95"/>
      <c r="AA454" s="95"/>
      <c r="AB454" s="95"/>
      <c r="AC454" s="101">
        <v>162981.60999999999</v>
      </c>
      <c r="AD454" s="95"/>
      <c r="AE454" s="95"/>
      <c r="AF454" s="31"/>
      <c r="AG454" s="31"/>
      <c r="AH454"/>
      <c r="AI454"/>
      <c r="AJ454"/>
      <c r="AK454"/>
      <c r="AM454"/>
    </row>
    <row r="455" spans="1:39" ht="25.15" customHeight="1" outlineLevel="1" x14ac:dyDescent="0.2">
      <c r="A455" s="13"/>
      <c r="B455" s="96" t="s">
        <v>792</v>
      </c>
      <c r="C455" s="96"/>
      <c r="D455" s="96"/>
      <c r="E455" s="96"/>
      <c r="F455" s="96"/>
      <c r="G455" s="96"/>
      <c r="H455" s="96"/>
      <c r="I455" s="96"/>
      <c r="J455" s="96"/>
      <c r="K455" s="96"/>
      <c r="L455" s="96"/>
      <c r="M455" s="96"/>
      <c r="N455" s="96" t="s">
        <v>857</v>
      </c>
      <c r="O455" s="96"/>
      <c r="P455" s="96"/>
      <c r="Q455" s="130"/>
      <c r="R455" s="129"/>
      <c r="S455" s="129"/>
      <c r="T455" s="129"/>
      <c r="U455" s="129"/>
      <c r="V455" s="129"/>
      <c r="W455" s="130"/>
      <c r="X455" s="129"/>
      <c r="Y455" s="129"/>
      <c r="Z455" s="129"/>
      <c r="AA455" s="129"/>
      <c r="AB455" s="129"/>
      <c r="AC455" s="131"/>
      <c r="AD455" s="129"/>
      <c r="AE455" s="129"/>
      <c r="AF455" s="40" t="s">
        <v>929</v>
      </c>
      <c r="AG455" s="31"/>
      <c r="AH455"/>
      <c r="AI455"/>
      <c r="AJ455"/>
      <c r="AK455"/>
      <c r="AM455"/>
    </row>
    <row r="456" spans="1:39" ht="25.15" customHeight="1" outlineLevel="1" x14ac:dyDescent="0.2">
      <c r="A456" s="18" t="s">
        <v>581</v>
      </c>
      <c r="B456" s="137" t="s">
        <v>582</v>
      </c>
      <c r="C456" s="137"/>
      <c r="D456" s="137"/>
      <c r="E456" s="137"/>
      <c r="F456" s="137"/>
      <c r="G456" s="137"/>
      <c r="H456" s="137"/>
      <c r="I456" s="137"/>
      <c r="J456" s="137"/>
      <c r="K456" s="137"/>
      <c r="L456" s="137"/>
      <c r="M456" s="137"/>
      <c r="N456" s="137"/>
      <c r="O456" s="137"/>
      <c r="P456" s="137"/>
      <c r="Q456" s="160"/>
      <c r="R456" s="160"/>
      <c r="S456" s="160"/>
      <c r="T456" s="160"/>
      <c r="U456" s="160"/>
      <c r="V456" s="160"/>
      <c r="W456" s="160"/>
      <c r="X456" s="160"/>
      <c r="Y456" s="160"/>
      <c r="Z456" s="160"/>
      <c r="AA456" s="160"/>
      <c r="AB456" s="160"/>
      <c r="AC456" s="169">
        <v>26763.64</v>
      </c>
      <c r="AD456" s="160"/>
      <c r="AE456" s="160"/>
      <c r="AF456" s="31"/>
      <c r="AG456" s="31"/>
      <c r="AH456"/>
      <c r="AI456"/>
      <c r="AJ456"/>
      <c r="AK456"/>
      <c r="AM456"/>
    </row>
    <row r="457" spans="1:39" ht="25.15" customHeight="1" outlineLevel="1" x14ac:dyDescent="0.2">
      <c r="A457" s="10" t="s">
        <v>583</v>
      </c>
      <c r="B457" s="98" t="s">
        <v>584</v>
      </c>
      <c r="C457" s="98"/>
      <c r="D457" s="98"/>
      <c r="E457" s="98"/>
      <c r="F457" s="98"/>
      <c r="G457" s="98"/>
      <c r="H457" s="98"/>
      <c r="I457" s="98"/>
      <c r="J457" s="98"/>
      <c r="K457" s="98"/>
      <c r="L457" s="98"/>
      <c r="M457" s="98"/>
      <c r="N457" s="98" t="s">
        <v>39</v>
      </c>
      <c r="O457" s="98"/>
      <c r="P457" s="98"/>
      <c r="Q457" s="133">
        <v>357.45</v>
      </c>
      <c r="R457" s="95"/>
      <c r="S457" s="95"/>
      <c r="T457" s="95"/>
      <c r="U457" s="95"/>
      <c r="V457" s="95"/>
      <c r="W457" s="97">
        <v>74.873800000000003</v>
      </c>
      <c r="X457" s="95"/>
      <c r="Y457" s="95"/>
      <c r="Z457" s="95"/>
      <c r="AA457" s="95"/>
      <c r="AB457" s="95"/>
      <c r="AC457" s="126">
        <v>26763.64</v>
      </c>
      <c r="AD457" s="95"/>
      <c r="AE457" s="95"/>
      <c r="AF457" s="31"/>
      <c r="AG457" s="31"/>
      <c r="AH457"/>
      <c r="AI457"/>
      <c r="AJ457"/>
      <c r="AK457"/>
      <c r="AM457"/>
    </row>
    <row r="458" spans="1:39" ht="25.15" customHeight="1" outlineLevel="1" x14ac:dyDescent="0.2">
      <c r="A458" s="18" t="s">
        <v>585</v>
      </c>
      <c r="B458" s="137" t="s">
        <v>288</v>
      </c>
      <c r="C458" s="137"/>
      <c r="D458" s="137"/>
      <c r="E458" s="137"/>
      <c r="F458" s="137"/>
      <c r="G458" s="137"/>
      <c r="H458" s="137"/>
      <c r="I458" s="137"/>
      <c r="J458" s="137"/>
      <c r="K458" s="137"/>
      <c r="L458" s="137"/>
      <c r="M458" s="137"/>
      <c r="N458" s="137"/>
      <c r="O458" s="137"/>
      <c r="P458" s="137"/>
      <c r="Q458" s="160"/>
      <c r="R458" s="160"/>
      <c r="S458" s="160"/>
      <c r="T458" s="160"/>
      <c r="U458" s="160"/>
      <c r="V458" s="160"/>
      <c r="W458" s="160"/>
      <c r="X458" s="160"/>
      <c r="Y458" s="160"/>
      <c r="Z458" s="160"/>
      <c r="AA458" s="160"/>
      <c r="AB458" s="160"/>
      <c r="AC458" s="162">
        <v>260736.58</v>
      </c>
      <c r="AD458" s="160"/>
      <c r="AE458" s="160"/>
      <c r="AF458" s="31"/>
      <c r="AG458" s="31"/>
      <c r="AH458"/>
      <c r="AI458"/>
      <c r="AJ458"/>
      <c r="AK458"/>
      <c r="AM458"/>
    </row>
    <row r="459" spans="1:39" ht="25.15" customHeight="1" outlineLevel="1" x14ac:dyDescent="0.2">
      <c r="A459" s="10" t="s">
        <v>586</v>
      </c>
      <c r="B459" s="98" t="s">
        <v>587</v>
      </c>
      <c r="C459" s="98"/>
      <c r="D459" s="98"/>
      <c r="E459" s="98"/>
      <c r="F459" s="98"/>
      <c r="G459" s="98"/>
      <c r="H459" s="98"/>
      <c r="I459" s="98"/>
      <c r="J459" s="98"/>
      <c r="K459" s="98"/>
      <c r="L459" s="98"/>
      <c r="M459" s="98"/>
      <c r="N459" s="98" t="s">
        <v>47</v>
      </c>
      <c r="O459" s="98"/>
      <c r="P459" s="98"/>
      <c r="Q459" s="97">
        <v>92</v>
      </c>
      <c r="R459" s="95"/>
      <c r="S459" s="95"/>
      <c r="T459" s="95"/>
      <c r="U459" s="95"/>
      <c r="V459" s="95"/>
      <c r="W459" s="97">
        <v>80</v>
      </c>
      <c r="X459" s="95"/>
      <c r="Y459" s="95"/>
      <c r="Z459" s="95"/>
      <c r="AA459" s="95"/>
      <c r="AB459" s="95"/>
      <c r="AC459" s="94">
        <v>7360</v>
      </c>
      <c r="AD459" s="95"/>
      <c r="AE459" s="95"/>
      <c r="AF459" s="31"/>
      <c r="AG459" s="31"/>
      <c r="AH459"/>
      <c r="AI459"/>
      <c r="AJ459"/>
      <c r="AK459"/>
      <c r="AM459"/>
    </row>
    <row r="460" spans="1:39" ht="25.15" customHeight="1" outlineLevel="1" x14ac:dyDescent="0.2">
      <c r="A460" s="13"/>
      <c r="B460" s="96" t="s">
        <v>782</v>
      </c>
      <c r="C460" s="96"/>
      <c r="D460" s="96"/>
      <c r="E460" s="96"/>
      <c r="F460" s="96"/>
      <c r="G460" s="96"/>
      <c r="H460" s="96"/>
      <c r="I460" s="96"/>
      <c r="J460" s="96"/>
      <c r="K460" s="96"/>
      <c r="L460" s="96"/>
      <c r="M460" s="96"/>
      <c r="N460" s="96"/>
      <c r="O460" s="96"/>
      <c r="P460" s="96"/>
      <c r="Q460" s="130"/>
      <c r="R460" s="129"/>
      <c r="S460" s="129"/>
      <c r="T460" s="129"/>
      <c r="U460" s="129"/>
      <c r="V460" s="129"/>
      <c r="W460" s="130"/>
      <c r="X460" s="129"/>
      <c r="Y460" s="129"/>
      <c r="Z460" s="129"/>
      <c r="AA460" s="129"/>
      <c r="AB460" s="129"/>
      <c r="AC460" s="131"/>
      <c r="AD460" s="129"/>
      <c r="AE460" s="129"/>
      <c r="AF460" s="31"/>
      <c r="AG460" s="31"/>
      <c r="AH460"/>
      <c r="AI460"/>
      <c r="AJ460"/>
      <c r="AK460"/>
      <c r="AM460"/>
    </row>
    <row r="461" spans="1:39" ht="25.15" customHeight="1" outlineLevel="1" x14ac:dyDescent="0.2">
      <c r="A461" s="13"/>
      <c r="B461" s="96" t="s">
        <v>796</v>
      </c>
      <c r="C461" s="96"/>
      <c r="D461" s="96"/>
      <c r="E461" s="96"/>
      <c r="F461" s="96"/>
      <c r="G461" s="96"/>
      <c r="H461" s="96"/>
      <c r="I461" s="96"/>
      <c r="J461" s="96"/>
      <c r="K461" s="96"/>
      <c r="L461" s="96"/>
      <c r="M461" s="96"/>
      <c r="N461" s="96"/>
      <c r="O461" s="96"/>
      <c r="P461" s="96"/>
      <c r="Q461" s="130"/>
      <c r="R461" s="129"/>
      <c r="S461" s="129"/>
      <c r="T461" s="129"/>
      <c r="U461" s="129"/>
      <c r="V461" s="129"/>
      <c r="W461" s="130"/>
      <c r="X461" s="129"/>
      <c r="Y461" s="129"/>
      <c r="Z461" s="129"/>
      <c r="AA461" s="129"/>
      <c r="AB461" s="129"/>
      <c r="AC461" s="131"/>
      <c r="AD461" s="129"/>
      <c r="AE461" s="129"/>
      <c r="AF461" s="31"/>
      <c r="AG461" s="31"/>
      <c r="AH461"/>
      <c r="AI461"/>
      <c r="AJ461"/>
      <c r="AK461"/>
      <c r="AM461"/>
    </row>
    <row r="462" spans="1:39" ht="25.15" customHeight="1" outlineLevel="1" x14ac:dyDescent="0.2">
      <c r="A462" s="13"/>
      <c r="B462" s="96" t="s">
        <v>781</v>
      </c>
      <c r="C462" s="96"/>
      <c r="D462" s="96"/>
      <c r="E462" s="96"/>
      <c r="F462" s="96"/>
      <c r="G462" s="96"/>
      <c r="H462" s="96"/>
      <c r="I462" s="96"/>
      <c r="J462" s="96"/>
      <c r="K462" s="96"/>
      <c r="L462" s="96"/>
      <c r="M462" s="96"/>
      <c r="N462" s="96" t="s">
        <v>47</v>
      </c>
      <c r="O462" s="96"/>
      <c r="P462" s="96"/>
      <c r="Q462" s="97"/>
      <c r="R462" s="95"/>
      <c r="S462" s="95"/>
      <c r="T462" s="95"/>
      <c r="U462" s="95"/>
      <c r="V462" s="95"/>
      <c r="W462" s="97"/>
      <c r="X462" s="95"/>
      <c r="Y462" s="95"/>
      <c r="Z462" s="95"/>
      <c r="AA462" s="95"/>
      <c r="AB462" s="95"/>
      <c r="AC462" s="94"/>
      <c r="AD462" s="95"/>
      <c r="AE462" s="95"/>
      <c r="AF462" s="40" t="s">
        <v>936</v>
      </c>
      <c r="AG462" s="31"/>
      <c r="AH462"/>
      <c r="AI462"/>
      <c r="AJ462"/>
      <c r="AK462"/>
      <c r="AM462"/>
    </row>
    <row r="463" spans="1:39" ht="25.15" customHeight="1" outlineLevel="1" x14ac:dyDescent="0.2">
      <c r="A463" s="10" t="s">
        <v>588</v>
      </c>
      <c r="B463" s="98" t="s">
        <v>589</v>
      </c>
      <c r="C463" s="98"/>
      <c r="D463" s="98"/>
      <c r="E463" s="98"/>
      <c r="F463" s="98"/>
      <c r="G463" s="98"/>
      <c r="H463" s="98"/>
      <c r="I463" s="98"/>
      <c r="J463" s="98"/>
      <c r="K463" s="98"/>
      <c r="L463" s="98"/>
      <c r="M463" s="98"/>
      <c r="N463" s="98" t="s">
        <v>47</v>
      </c>
      <c r="O463" s="98"/>
      <c r="P463" s="98"/>
      <c r="Q463" s="97">
        <v>94</v>
      </c>
      <c r="R463" s="95"/>
      <c r="S463" s="95"/>
      <c r="T463" s="95"/>
      <c r="U463" s="95"/>
      <c r="V463" s="95"/>
      <c r="W463" s="97">
        <v>18</v>
      </c>
      <c r="X463" s="95"/>
      <c r="Y463" s="95"/>
      <c r="Z463" s="95"/>
      <c r="AA463" s="95"/>
      <c r="AB463" s="95"/>
      <c r="AC463" s="94">
        <v>1692</v>
      </c>
      <c r="AD463" s="95"/>
      <c r="AE463" s="95"/>
      <c r="AF463" s="31"/>
      <c r="AG463" s="31"/>
      <c r="AH463"/>
      <c r="AI463"/>
      <c r="AJ463"/>
      <c r="AK463"/>
      <c r="AM463"/>
    </row>
    <row r="464" spans="1:39" ht="25.15" customHeight="1" outlineLevel="1" x14ac:dyDescent="0.2">
      <c r="A464" s="10" t="s">
        <v>590</v>
      </c>
      <c r="B464" s="98" t="s">
        <v>591</v>
      </c>
      <c r="C464" s="98"/>
      <c r="D464" s="98"/>
      <c r="E464" s="98"/>
      <c r="F464" s="98"/>
      <c r="G464" s="98"/>
      <c r="H464" s="98"/>
      <c r="I464" s="98"/>
      <c r="J464" s="98"/>
      <c r="K464" s="98"/>
      <c r="L464" s="98"/>
      <c r="M464" s="98"/>
      <c r="N464" s="98" t="s">
        <v>47</v>
      </c>
      <c r="O464" s="98"/>
      <c r="P464" s="98"/>
      <c r="Q464" s="97">
        <v>52</v>
      </c>
      <c r="R464" s="95"/>
      <c r="S464" s="95"/>
      <c r="T464" s="95"/>
      <c r="U464" s="95"/>
      <c r="V464" s="95"/>
      <c r="W464" s="97">
        <v>30</v>
      </c>
      <c r="X464" s="95"/>
      <c r="Y464" s="95"/>
      <c r="Z464" s="95"/>
      <c r="AA464" s="95"/>
      <c r="AB464" s="95"/>
      <c r="AC464" s="94">
        <v>1560</v>
      </c>
      <c r="AD464" s="95"/>
      <c r="AE464" s="95"/>
      <c r="AF464" s="31"/>
      <c r="AG464" s="31"/>
      <c r="AH464"/>
      <c r="AI464"/>
      <c r="AJ464"/>
      <c r="AK464"/>
      <c r="AM464"/>
    </row>
    <row r="465" spans="1:39" ht="25.15" customHeight="1" outlineLevel="1" x14ac:dyDescent="0.2">
      <c r="A465" s="10" t="s">
        <v>592</v>
      </c>
      <c r="B465" s="98" t="s">
        <v>593</v>
      </c>
      <c r="C465" s="98"/>
      <c r="D465" s="98"/>
      <c r="E465" s="98"/>
      <c r="F465" s="98"/>
      <c r="G465" s="98"/>
      <c r="H465" s="98"/>
      <c r="I465" s="98"/>
      <c r="J465" s="98"/>
      <c r="K465" s="98"/>
      <c r="L465" s="98"/>
      <c r="M465" s="98"/>
      <c r="N465" s="98" t="s">
        <v>47</v>
      </c>
      <c r="O465" s="98"/>
      <c r="P465" s="98"/>
      <c r="Q465" s="132">
        <v>6131</v>
      </c>
      <c r="R465" s="95"/>
      <c r="S465" s="95"/>
      <c r="T465" s="95"/>
      <c r="U465" s="95"/>
      <c r="V465" s="95"/>
      <c r="W465" s="97">
        <v>32</v>
      </c>
      <c r="X465" s="95"/>
      <c r="Y465" s="95"/>
      <c r="Z465" s="95"/>
      <c r="AA465" s="95"/>
      <c r="AB465" s="95"/>
      <c r="AC465" s="101">
        <v>196192</v>
      </c>
      <c r="AD465" s="95"/>
      <c r="AE465" s="95"/>
      <c r="AF465" s="31"/>
      <c r="AG465" s="31"/>
      <c r="AH465"/>
      <c r="AI465"/>
      <c r="AJ465"/>
      <c r="AK465"/>
      <c r="AM465"/>
    </row>
    <row r="466" spans="1:39" ht="25.15" customHeight="1" outlineLevel="1" x14ac:dyDescent="0.2">
      <c r="A466" s="10" t="s">
        <v>594</v>
      </c>
      <c r="B466" s="98" t="s">
        <v>595</v>
      </c>
      <c r="C466" s="98"/>
      <c r="D466" s="98"/>
      <c r="E466" s="98"/>
      <c r="F466" s="98"/>
      <c r="G466" s="98"/>
      <c r="H466" s="98"/>
      <c r="I466" s="98"/>
      <c r="J466" s="98"/>
      <c r="K466" s="98"/>
      <c r="L466" s="98"/>
      <c r="M466" s="98"/>
      <c r="N466" s="98" t="s">
        <v>39</v>
      </c>
      <c r="O466" s="98"/>
      <c r="P466" s="98"/>
      <c r="Q466" s="132">
        <v>1650.1</v>
      </c>
      <c r="R466" s="95"/>
      <c r="S466" s="95"/>
      <c r="T466" s="95"/>
      <c r="U466" s="95"/>
      <c r="V466" s="95"/>
      <c r="W466" s="97">
        <v>22</v>
      </c>
      <c r="X466" s="95"/>
      <c r="Y466" s="95"/>
      <c r="Z466" s="95"/>
      <c r="AA466" s="95"/>
      <c r="AB466" s="95"/>
      <c r="AC466" s="126">
        <v>36302.199999999997</v>
      </c>
      <c r="AD466" s="95"/>
      <c r="AE466" s="95"/>
      <c r="AF466" s="31"/>
      <c r="AG466" s="31"/>
      <c r="AH466"/>
      <c r="AI466"/>
      <c r="AJ466"/>
      <c r="AK466"/>
      <c r="AM466"/>
    </row>
    <row r="467" spans="1:39" ht="25.15" customHeight="1" outlineLevel="1" x14ac:dyDescent="0.2">
      <c r="A467" s="10" t="s">
        <v>596</v>
      </c>
      <c r="B467" s="98" t="s">
        <v>597</v>
      </c>
      <c r="C467" s="98"/>
      <c r="D467" s="98"/>
      <c r="E467" s="98"/>
      <c r="F467" s="98"/>
      <c r="G467" s="98"/>
      <c r="H467" s="98"/>
      <c r="I467" s="98"/>
      <c r="J467" s="98"/>
      <c r="K467" s="98"/>
      <c r="L467" s="98"/>
      <c r="M467" s="98"/>
      <c r="N467" s="98" t="s">
        <v>39</v>
      </c>
      <c r="O467" s="98"/>
      <c r="P467" s="98"/>
      <c r="Q467" s="97">
        <v>19.86</v>
      </c>
      <c r="R467" s="95"/>
      <c r="S467" s="95"/>
      <c r="T467" s="95"/>
      <c r="U467" s="95"/>
      <c r="V467" s="95"/>
      <c r="W467" s="97">
        <v>22</v>
      </c>
      <c r="X467" s="95"/>
      <c r="Y467" s="95"/>
      <c r="Z467" s="95"/>
      <c r="AA467" s="95"/>
      <c r="AB467" s="95"/>
      <c r="AC467" s="182">
        <v>436.92</v>
      </c>
      <c r="AD467" s="95"/>
      <c r="AE467" s="95"/>
      <c r="AF467" s="31"/>
      <c r="AG467" s="31"/>
      <c r="AH467"/>
      <c r="AI467"/>
      <c r="AJ467"/>
      <c r="AK467"/>
      <c r="AM467"/>
    </row>
    <row r="468" spans="1:39" ht="25.15" customHeight="1" outlineLevel="1" x14ac:dyDescent="0.2">
      <c r="A468" s="10" t="s">
        <v>598</v>
      </c>
      <c r="B468" s="98" t="s">
        <v>599</v>
      </c>
      <c r="C468" s="98"/>
      <c r="D468" s="98"/>
      <c r="E468" s="98"/>
      <c r="F468" s="98"/>
      <c r="G468" s="98"/>
      <c r="H468" s="98"/>
      <c r="I468" s="98"/>
      <c r="J468" s="98"/>
      <c r="K468" s="98"/>
      <c r="L468" s="98"/>
      <c r="M468" s="98"/>
      <c r="N468" s="98" t="s">
        <v>39</v>
      </c>
      <c r="O468" s="98"/>
      <c r="P468" s="98"/>
      <c r="Q468" s="133">
        <v>400.78</v>
      </c>
      <c r="R468" s="95"/>
      <c r="S468" s="95"/>
      <c r="T468" s="95"/>
      <c r="U468" s="95"/>
      <c r="V468" s="95"/>
      <c r="W468" s="97">
        <v>42.9</v>
      </c>
      <c r="X468" s="95"/>
      <c r="Y468" s="95"/>
      <c r="Z468" s="95"/>
      <c r="AA468" s="95"/>
      <c r="AB468" s="95"/>
      <c r="AC468" s="126">
        <v>17193.46</v>
      </c>
      <c r="AD468" s="95"/>
      <c r="AE468" s="95"/>
      <c r="AF468" s="31"/>
      <c r="AG468" s="31"/>
      <c r="AH468"/>
      <c r="AI468"/>
      <c r="AJ468"/>
      <c r="AK468"/>
      <c r="AM468"/>
    </row>
    <row r="469" spans="1:39" ht="25.15" customHeight="1" outlineLevel="1" x14ac:dyDescent="0.2">
      <c r="A469" s="13"/>
      <c r="B469" s="96" t="s">
        <v>797</v>
      </c>
      <c r="C469" s="96"/>
      <c r="D469" s="96"/>
      <c r="E469" s="96"/>
      <c r="F469" s="96"/>
      <c r="G469" s="96"/>
      <c r="H469" s="96"/>
      <c r="I469" s="96"/>
      <c r="J469" s="96"/>
      <c r="K469" s="96"/>
      <c r="L469" s="96"/>
      <c r="M469" s="96"/>
      <c r="N469" s="96" t="s">
        <v>39</v>
      </c>
      <c r="O469" s="96"/>
      <c r="P469" s="96"/>
      <c r="Q469" s="97"/>
      <c r="R469" s="95"/>
      <c r="S469" s="95"/>
      <c r="T469" s="95"/>
      <c r="U469" s="95"/>
      <c r="V469" s="95"/>
      <c r="W469" s="97"/>
      <c r="X469" s="95"/>
      <c r="Y469" s="95"/>
      <c r="Z469" s="95"/>
      <c r="AA469" s="95"/>
      <c r="AB469" s="95"/>
      <c r="AC469" s="94"/>
      <c r="AD469" s="95"/>
      <c r="AE469" s="95"/>
      <c r="AF469" s="52" t="s">
        <v>952</v>
      </c>
      <c r="AG469" s="31"/>
      <c r="AH469"/>
      <c r="AI469"/>
      <c r="AJ469"/>
      <c r="AK469"/>
      <c r="AM469"/>
    </row>
    <row r="470" spans="1:39" ht="34.15" customHeight="1" x14ac:dyDescent="0.2">
      <c r="A470" s="29" t="s">
        <v>600</v>
      </c>
      <c r="B470" s="174" t="s">
        <v>601</v>
      </c>
      <c r="C470" s="174"/>
      <c r="D470" s="174"/>
      <c r="E470" s="174"/>
      <c r="F470" s="174"/>
      <c r="G470" s="174"/>
      <c r="H470" s="174"/>
      <c r="I470" s="174"/>
      <c r="J470" s="174"/>
      <c r="K470" s="174"/>
      <c r="L470" s="174"/>
      <c r="M470" s="174"/>
      <c r="N470" s="174"/>
      <c r="O470" s="174"/>
      <c r="P470" s="174"/>
      <c r="Q470" s="175"/>
      <c r="R470" s="175"/>
      <c r="S470" s="175"/>
      <c r="T470" s="175"/>
      <c r="U470" s="175"/>
      <c r="V470" s="175"/>
      <c r="W470" s="175"/>
      <c r="X470" s="175"/>
      <c r="Y470" s="175"/>
      <c r="Z470" s="175"/>
      <c r="AA470" s="175"/>
      <c r="AB470" s="175"/>
      <c r="AC470" s="237">
        <v>509419.31</v>
      </c>
      <c r="AD470" s="175"/>
      <c r="AE470" s="175"/>
      <c r="AF470" s="106" t="s">
        <v>884</v>
      </c>
      <c r="AG470" s="107"/>
      <c r="AH470"/>
      <c r="AI470"/>
      <c r="AJ470"/>
      <c r="AK470"/>
      <c r="AM470"/>
    </row>
    <row r="471" spans="1:39" ht="25.15" customHeight="1" outlineLevel="1" x14ac:dyDescent="0.2">
      <c r="A471" s="18" t="s">
        <v>602</v>
      </c>
      <c r="B471" s="137" t="s">
        <v>601</v>
      </c>
      <c r="C471" s="137"/>
      <c r="D471" s="137"/>
      <c r="E471" s="137"/>
      <c r="F471" s="137"/>
      <c r="G471" s="137"/>
      <c r="H471" s="137"/>
      <c r="I471" s="137"/>
      <c r="J471" s="137"/>
      <c r="K471" s="137"/>
      <c r="L471" s="137"/>
      <c r="M471" s="137"/>
      <c r="N471" s="137"/>
      <c r="O471" s="137"/>
      <c r="P471" s="137"/>
      <c r="Q471" s="160"/>
      <c r="R471" s="160"/>
      <c r="S471" s="160"/>
      <c r="T471" s="160"/>
      <c r="U471" s="160"/>
      <c r="V471" s="160"/>
      <c r="W471" s="160"/>
      <c r="X471" s="160"/>
      <c r="Y471" s="160"/>
      <c r="Z471" s="160"/>
      <c r="AA471" s="160"/>
      <c r="AB471" s="160"/>
      <c r="AC471" s="162">
        <v>509419.31</v>
      </c>
      <c r="AD471" s="160"/>
      <c r="AE471" s="160"/>
      <c r="AF471" s="31" t="s">
        <v>937</v>
      </c>
      <c r="AG471" s="31"/>
      <c r="AH471"/>
      <c r="AI471"/>
      <c r="AJ471"/>
      <c r="AK471"/>
      <c r="AM471"/>
    </row>
    <row r="472" spans="1:39" ht="25.15" customHeight="1" outlineLevel="1" x14ac:dyDescent="0.2">
      <c r="A472" s="18" t="s">
        <v>603</v>
      </c>
      <c r="B472" s="137" t="s">
        <v>604</v>
      </c>
      <c r="C472" s="137"/>
      <c r="D472" s="137"/>
      <c r="E472" s="137"/>
      <c r="F472" s="137"/>
      <c r="G472" s="137"/>
      <c r="H472" s="137"/>
      <c r="I472" s="137"/>
      <c r="J472" s="137"/>
      <c r="K472" s="137"/>
      <c r="L472" s="137"/>
      <c r="M472" s="137"/>
      <c r="N472" s="137"/>
      <c r="O472" s="137"/>
      <c r="P472" s="137"/>
      <c r="Q472" s="160"/>
      <c r="R472" s="160"/>
      <c r="S472" s="160"/>
      <c r="T472" s="160"/>
      <c r="U472" s="160"/>
      <c r="V472" s="160"/>
      <c r="W472" s="160"/>
      <c r="X472" s="160"/>
      <c r="Y472" s="160"/>
      <c r="Z472" s="160"/>
      <c r="AA472" s="160"/>
      <c r="AB472" s="160"/>
      <c r="AC472" s="211">
        <v>2241.65</v>
      </c>
      <c r="AD472" s="160"/>
      <c r="AE472" s="160"/>
      <c r="AF472" s="31"/>
      <c r="AG472" s="31"/>
      <c r="AH472"/>
      <c r="AI472"/>
      <c r="AJ472"/>
      <c r="AK472"/>
      <c r="AM472"/>
    </row>
    <row r="473" spans="1:39" ht="25.15" customHeight="1" outlineLevel="1" x14ac:dyDescent="0.2">
      <c r="A473" s="10" t="s">
        <v>605</v>
      </c>
      <c r="B473" s="98" t="s">
        <v>606</v>
      </c>
      <c r="C473" s="98"/>
      <c r="D473" s="98"/>
      <c r="E473" s="98"/>
      <c r="F473" s="98"/>
      <c r="G473" s="98"/>
      <c r="H473" s="98"/>
      <c r="I473" s="98"/>
      <c r="J473" s="98"/>
      <c r="K473" s="98"/>
      <c r="L473" s="98"/>
      <c r="M473" s="98"/>
      <c r="N473" s="98" t="s">
        <v>47</v>
      </c>
      <c r="O473" s="98"/>
      <c r="P473" s="98"/>
      <c r="Q473" s="133">
        <v>233</v>
      </c>
      <c r="R473" s="95"/>
      <c r="S473" s="95"/>
      <c r="T473" s="95"/>
      <c r="U473" s="95"/>
      <c r="V473" s="95"/>
      <c r="W473" s="99">
        <v>9.6207999999999991</v>
      </c>
      <c r="X473" s="95"/>
      <c r="Y473" s="95"/>
      <c r="Z473" s="95"/>
      <c r="AA473" s="95"/>
      <c r="AB473" s="95"/>
      <c r="AC473" s="94">
        <v>2241.65</v>
      </c>
      <c r="AD473" s="95"/>
      <c r="AE473" s="95"/>
      <c r="AF473" s="31"/>
      <c r="AG473" s="31"/>
      <c r="AH473"/>
      <c r="AI473"/>
      <c r="AJ473"/>
      <c r="AK473"/>
      <c r="AM473"/>
    </row>
    <row r="474" spans="1:39" ht="25.15" customHeight="1" outlineLevel="1" x14ac:dyDescent="0.2">
      <c r="A474" s="18" t="s">
        <v>607</v>
      </c>
      <c r="B474" s="137" t="s">
        <v>608</v>
      </c>
      <c r="C474" s="137"/>
      <c r="D474" s="137"/>
      <c r="E474" s="137"/>
      <c r="F474" s="137"/>
      <c r="G474" s="137"/>
      <c r="H474" s="137"/>
      <c r="I474" s="137"/>
      <c r="J474" s="137"/>
      <c r="K474" s="137"/>
      <c r="L474" s="137"/>
      <c r="M474" s="137"/>
      <c r="N474" s="137"/>
      <c r="O474" s="137"/>
      <c r="P474" s="137"/>
      <c r="Q474" s="160"/>
      <c r="R474" s="160"/>
      <c r="S474" s="160"/>
      <c r="T474" s="160"/>
      <c r="U474" s="160"/>
      <c r="V474" s="160"/>
      <c r="W474" s="160"/>
      <c r="X474" s="160"/>
      <c r="Y474" s="160"/>
      <c r="Z474" s="160"/>
      <c r="AA474" s="160"/>
      <c r="AB474" s="160"/>
      <c r="AC474" s="162">
        <v>124537.54</v>
      </c>
      <c r="AD474" s="160"/>
      <c r="AE474" s="160"/>
      <c r="AF474" s="31"/>
      <c r="AG474" s="31"/>
      <c r="AH474"/>
      <c r="AI474"/>
      <c r="AJ474"/>
      <c r="AK474"/>
      <c r="AM474"/>
    </row>
    <row r="475" spans="1:39" ht="25.15" customHeight="1" outlineLevel="1" x14ac:dyDescent="0.2">
      <c r="A475" s="10" t="s">
        <v>609</v>
      </c>
      <c r="B475" s="98" t="s">
        <v>610</v>
      </c>
      <c r="C475" s="98"/>
      <c r="D475" s="98"/>
      <c r="E475" s="98"/>
      <c r="F475" s="98"/>
      <c r="G475" s="98"/>
      <c r="H475" s="98"/>
      <c r="I475" s="98"/>
      <c r="J475" s="98"/>
      <c r="K475" s="98"/>
      <c r="L475" s="98"/>
      <c r="M475" s="98"/>
      <c r="N475" s="98" t="s">
        <v>47</v>
      </c>
      <c r="O475" s="98"/>
      <c r="P475" s="98"/>
      <c r="Q475" s="132">
        <v>7087</v>
      </c>
      <c r="R475" s="95"/>
      <c r="S475" s="95"/>
      <c r="T475" s="95"/>
      <c r="U475" s="95"/>
      <c r="V475" s="95"/>
      <c r="W475" s="97">
        <v>17.2241</v>
      </c>
      <c r="X475" s="95"/>
      <c r="Y475" s="95"/>
      <c r="Z475" s="95"/>
      <c r="AA475" s="95"/>
      <c r="AB475" s="95"/>
      <c r="AC475" s="101">
        <v>122067.2</v>
      </c>
      <c r="AD475" s="95"/>
      <c r="AE475" s="95"/>
      <c r="AF475" s="31"/>
      <c r="AG475" s="31"/>
      <c r="AH475"/>
      <c r="AI475"/>
      <c r="AJ475"/>
      <c r="AK475"/>
      <c r="AM475"/>
    </row>
    <row r="476" spans="1:39" ht="25.15" customHeight="1" outlineLevel="1" x14ac:dyDescent="0.2">
      <c r="A476" s="10" t="s">
        <v>611</v>
      </c>
      <c r="B476" s="98" t="s">
        <v>612</v>
      </c>
      <c r="C476" s="98"/>
      <c r="D476" s="98"/>
      <c r="E476" s="98"/>
      <c r="F476" s="98"/>
      <c r="G476" s="98"/>
      <c r="H476" s="98"/>
      <c r="I476" s="98"/>
      <c r="J476" s="98"/>
      <c r="K476" s="98"/>
      <c r="L476" s="98"/>
      <c r="M476" s="98"/>
      <c r="N476" s="98" t="s">
        <v>47</v>
      </c>
      <c r="O476" s="98"/>
      <c r="P476" s="98"/>
      <c r="Q476" s="133">
        <v>301</v>
      </c>
      <c r="R476" s="95"/>
      <c r="S476" s="95"/>
      <c r="T476" s="95"/>
      <c r="U476" s="95"/>
      <c r="V476" s="95"/>
      <c r="W476" s="99">
        <v>8.2071000000000005</v>
      </c>
      <c r="X476" s="95"/>
      <c r="Y476" s="95"/>
      <c r="Z476" s="95"/>
      <c r="AA476" s="95"/>
      <c r="AB476" s="95"/>
      <c r="AC476" s="94">
        <v>2470.34</v>
      </c>
      <c r="AD476" s="95"/>
      <c r="AE476" s="95"/>
      <c r="AF476" s="31"/>
      <c r="AG476" s="31"/>
      <c r="AH476"/>
      <c r="AI476"/>
      <c r="AJ476"/>
      <c r="AK476"/>
      <c r="AM476"/>
    </row>
    <row r="477" spans="1:39" ht="25.15" customHeight="1" outlineLevel="1" x14ac:dyDescent="0.2">
      <c r="A477" s="10"/>
      <c r="B477" s="127" t="s">
        <v>780</v>
      </c>
      <c r="C477" s="127"/>
      <c r="D477" s="127"/>
      <c r="E477" s="127"/>
      <c r="F477" s="127"/>
      <c r="G477" s="127"/>
      <c r="H477" s="127"/>
      <c r="I477" s="127"/>
      <c r="J477" s="127"/>
      <c r="K477" s="127"/>
      <c r="L477" s="127"/>
      <c r="M477" s="127"/>
      <c r="N477" s="96"/>
      <c r="O477" s="96"/>
      <c r="P477" s="96"/>
      <c r="Q477" s="128"/>
      <c r="R477" s="129"/>
      <c r="S477" s="129"/>
      <c r="T477" s="129"/>
      <c r="U477" s="129"/>
      <c r="V477" s="129"/>
      <c r="W477" s="130"/>
      <c r="X477" s="129"/>
      <c r="Y477" s="129"/>
      <c r="Z477" s="129"/>
      <c r="AA477" s="129"/>
      <c r="AB477" s="129"/>
      <c r="AC477" s="131"/>
      <c r="AD477" s="129"/>
      <c r="AE477" s="129"/>
      <c r="AF477" s="31"/>
      <c r="AG477" s="31"/>
      <c r="AH477"/>
      <c r="AI477"/>
      <c r="AJ477"/>
      <c r="AK477"/>
      <c r="AM477"/>
    </row>
    <row r="478" spans="1:39" ht="25.15" customHeight="1" outlineLevel="1" x14ac:dyDescent="0.2">
      <c r="A478" s="18" t="s">
        <v>613</v>
      </c>
      <c r="B478" s="137" t="s">
        <v>614</v>
      </c>
      <c r="C478" s="137"/>
      <c r="D478" s="137"/>
      <c r="E478" s="137"/>
      <c r="F478" s="137"/>
      <c r="G478" s="137"/>
      <c r="H478" s="137"/>
      <c r="I478" s="137"/>
      <c r="J478" s="137"/>
      <c r="K478" s="137"/>
      <c r="L478" s="137"/>
      <c r="M478" s="137"/>
      <c r="N478" s="137"/>
      <c r="O478" s="137"/>
      <c r="P478" s="137"/>
      <c r="Q478" s="160"/>
      <c r="R478" s="160"/>
      <c r="S478" s="160"/>
      <c r="T478" s="160"/>
      <c r="U478" s="160"/>
      <c r="V478" s="160"/>
      <c r="W478" s="160"/>
      <c r="X478" s="160"/>
      <c r="Y478" s="160"/>
      <c r="Z478" s="160"/>
      <c r="AA478" s="160"/>
      <c r="AB478" s="160"/>
      <c r="AC478" s="169">
        <v>51400.62</v>
      </c>
      <c r="AD478" s="160"/>
      <c r="AE478" s="160"/>
      <c r="AF478" s="31"/>
      <c r="AG478" s="31"/>
      <c r="AH478"/>
      <c r="AI478"/>
      <c r="AJ478"/>
      <c r="AK478"/>
      <c r="AM478"/>
    </row>
    <row r="479" spans="1:39" ht="25.15" customHeight="1" outlineLevel="1" x14ac:dyDescent="0.2">
      <c r="A479" s="10" t="s">
        <v>615</v>
      </c>
      <c r="B479" s="98" t="s">
        <v>616</v>
      </c>
      <c r="C479" s="98"/>
      <c r="D479" s="98"/>
      <c r="E479" s="98"/>
      <c r="F479" s="98"/>
      <c r="G479" s="98"/>
      <c r="H479" s="98"/>
      <c r="I479" s="98"/>
      <c r="J479" s="98"/>
      <c r="K479" s="98"/>
      <c r="L479" s="98"/>
      <c r="M479" s="98"/>
      <c r="N479" s="98" t="s">
        <v>47</v>
      </c>
      <c r="O479" s="98"/>
      <c r="P479" s="98"/>
      <c r="Q479" s="132">
        <v>2940.11</v>
      </c>
      <c r="R479" s="95"/>
      <c r="S479" s="95"/>
      <c r="T479" s="95"/>
      <c r="U479" s="95"/>
      <c r="V479" s="95"/>
      <c r="W479" s="97">
        <v>14.909700000000001</v>
      </c>
      <c r="X479" s="95"/>
      <c r="Y479" s="95"/>
      <c r="Z479" s="95"/>
      <c r="AA479" s="95"/>
      <c r="AB479" s="95"/>
      <c r="AC479" s="126">
        <v>43836.160000000003</v>
      </c>
      <c r="AD479" s="95"/>
      <c r="AE479" s="95"/>
      <c r="AF479" s="31"/>
      <c r="AG479" s="31"/>
      <c r="AH479"/>
      <c r="AI479"/>
      <c r="AJ479"/>
      <c r="AK479"/>
      <c r="AM479"/>
    </row>
    <row r="480" spans="1:39" ht="25.15" customHeight="1" outlineLevel="1" x14ac:dyDescent="0.2">
      <c r="A480" s="10" t="s">
        <v>617</v>
      </c>
      <c r="B480" s="98" t="s">
        <v>618</v>
      </c>
      <c r="C480" s="98"/>
      <c r="D480" s="98"/>
      <c r="E480" s="98"/>
      <c r="F480" s="98"/>
      <c r="G480" s="98"/>
      <c r="H480" s="98"/>
      <c r="I480" s="98"/>
      <c r="J480" s="98"/>
      <c r="K480" s="98"/>
      <c r="L480" s="98"/>
      <c r="M480" s="98"/>
      <c r="N480" s="98" t="s">
        <v>47</v>
      </c>
      <c r="O480" s="98"/>
      <c r="P480" s="98"/>
      <c r="Q480" s="133">
        <v>301.8</v>
      </c>
      <c r="R480" s="95"/>
      <c r="S480" s="95"/>
      <c r="T480" s="95"/>
      <c r="U480" s="95"/>
      <c r="V480" s="95"/>
      <c r="W480" s="97">
        <v>19.1569</v>
      </c>
      <c r="X480" s="95"/>
      <c r="Y480" s="95"/>
      <c r="Z480" s="95"/>
      <c r="AA480" s="95"/>
      <c r="AB480" s="95"/>
      <c r="AC480" s="94">
        <v>5781.55</v>
      </c>
      <c r="AD480" s="95"/>
      <c r="AE480" s="95"/>
      <c r="AF480" s="31"/>
      <c r="AG480" s="31"/>
      <c r="AH480"/>
      <c r="AI480"/>
      <c r="AJ480"/>
      <c r="AK480"/>
      <c r="AM480"/>
    </row>
    <row r="481" spans="1:39" ht="25.15" customHeight="1" outlineLevel="1" x14ac:dyDescent="0.2">
      <c r="A481" s="10" t="s">
        <v>619</v>
      </c>
      <c r="B481" s="98" t="s">
        <v>620</v>
      </c>
      <c r="C481" s="98"/>
      <c r="D481" s="98"/>
      <c r="E481" s="98"/>
      <c r="F481" s="98"/>
      <c r="G481" s="98"/>
      <c r="H481" s="98"/>
      <c r="I481" s="98"/>
      <c r="J481" s="98"/>
      <c r="K481" s="98"/>
      <c r="L481" s="98"/>
      <c r="M481" s="98"/>
      <c r="N481" s="98" t="s">
        <v>47</v>
      </c>
      <c r="O481" s="98"/>
      <c r="P481" s="98"/>
      <c r="Q481" s="133">
        <v>217.24</v>
      </c>
      <c r="R481" s="95"/>
      <c r="S481" s="95"/>
      <c r="T481" s="95"/>
      <c r="U481" s="95"/>
      <c r="V481" s="95"/>
      <c r="W481" s="99">
        <v>8.2071000000000005</v>
      </c>
      <c r="X481" s="95"/>
      <c r="Y481" s="95"/>
      <c r="Z481" s="95"/>
      <c r="AA481" s="95"/>
      <c r="AB481" s="95"/>
      <c r="AC481" s="94">
        <v>1782.91</v>
      </c>
      <c r="AD481" s="95"/>
      <c r="AE481" s="95"/>
      <c r="AF481" s="31"/>
      <c r="AG481" s="31"/>
      <c r="AH481"/>
      <c r="AI481"/>
      <c r="AJ481"/>
      <c r="AK481"/>
      <c r="AM481"/>
    </row>
    <row r="482" spans="1:39" ht="25.15" customHeight="1" outlineLevel="1" x14ac:dyDescent="0.2">
      <c r="A482" s="18" t="s">
        <v>621</v>
      </c>
      <c r="B482" s="137" t="s">
        <v>288</v>
      </c>
      <c r="C482" s="137"/>
      <c r="D482" s="137"/>
      <c r="E482" s="137"/>
      <c r="F482" s="137"/>
      <c r="G482" s="137"/>
      <c r="H482" s="137"/>
      <c r="I482" s="137"/>
      <c r="J482" s="137"/>
      <c r="K482" s="137"/>
      <c r="L482" s="137"/>
      <c r="M482" s="137"/>
      <c r="N482" s="137"/>
      <c r="O482" s="137"/>
      <c r="P482" s="137"/>
      <c r="Q482" s="160"/>
      <c r="R482" s="160"/>
      <c r="S482" s="160"/>
      <c r="T482" s="160"/>
      <c r="U482" s="160"/>
      <c r="V482" s="160"/>
      <c r="W482" s="160"/>
      <c r="X482" s="160"/>
      <c r="Y482" s="160"/>
      <c r="Z482" s="160"/>
      <c r="AA482" s="160"/>
      <c r="AB482" s="160"/>
      <c r="AC482" s="162">
        <v>331239.5</v>
      </c>
      <c r="AD482" s="160"/>
      <c r="AE482" s="160"/>
      <c r="AF482" s="31"/>
      <c r="AG482" s="31"/>
      <c r="AH482"/>
      <c r="AI482"/>
      <c r="AJ482"/>
      <c r="AK482"/>
      <c r="AM482"/>
    </row>
    <row r="483" spans="1:39" ht="25.15" customHeight="1" outlineLevel="1" x14ac:dyDescent="0.2">
      <c r="A483" s="10" t="s">
        <v>622</v>
      </c>
      <c r="B483" s="98" t="s">
        <v>623</v>
      </c>
      <c r="C483" s="98"/>
      <c r="D483" s="98"/>
      <c r="E483" s="98"/>
      <c r="F483" s="98"/>
      <c r="G483" s="98"/>
      <c r="H483" s="98"/>
      <c r="I483" s="98"/>
      <c r="J483" s="98"/>
      <c r="K483" s="98"/>
      <c r="L483" s="98"/>
      <c r="M483" s="98"/>
      <c r="N483" s="98" t="s">
        <v>47</v>
      </c>
      <c r="O483" s="98"/>
      <c r="P483" s="98"/>
      <c r="Q483" s="133">
        <v>233</v>
      </c>
      <c r="R483" s="95"/>
      <c r="S483" s="95"/>
      <c r="T483" s="95"/>
      <c r="U483" s="95"/>
      <c r="V483" s="95"/>
      <c r="W483" s="97">
        <v>25</v>
      </c>
      <c r="X483" s="95"/>
      <c r="Y483" s="95"/>
      <c r="Z483" s="95"/>
      <c r="AA483" s="95"/>
      <c r="AB483" s="95"/>
      <c r="AC483" s="94">
        <v>5825</v>
      </c>
      <c r="AD483" s="95"/>
      <c r="AE483" s="95"/>
      <c r="AF483" s="31"/>
      <c r="AG483" s="31"/>
      <c r="AH483"/>
      <c r="AI483"/>
      <c r="AJ483"/>
      <c r="AK483"/>
      <c r="AM483"/>
    </row>
    <row r="484" spans="1:39" ht="25.15" customHeight="1" outlineLevel="1" x14ac:dyDescent="0.2">
      <c r="A484" s="10" t="s">
        <v>624</v>
      </c>
      <c r="B484" s="98" t="s">
        <v>625</v>
      </c>
      <c r="C484" s="98"/>
      <c r="D484" s="98"/>
      <c r="E484" s="98"/>
      <c r="F484" s="98"/>
      <c r="G484" s="98"/>
      <c r="H484" s="98"/>
      <c r="I484" s="98"/>
      <c r="J484" s="98"/>
      <c r="K484" s="98"/>
      <c r="L484" s="98"/>
      <c r="M484" s="98"/>
      <c r="N484" s="98" t="s">
        <v>47</v>
      </c>
      <c r="O484" s="98"/>
      <c r="P484" s="98"/>
      <c r="Q484" s="173">
        <v>10328.91</v>
      </c>
      <c r="R484" s="95"/>
      <c r="S484" s="95"/>
      <c r="T484" s="95"/>
      <c r="U484" s="95"/>
      <c r="V484" s="95"/>
      <c r="W484" s="97">
        <v>30</v>
      </c>
      <c r="X484" s="95"/>
      <c r="Y484" s="95"/>
      <c r="Z484" s="95"/>
      <c r="AA484" s="95"/>
      <c r="AB484" s="95"/>
      <c r="AC484" s="101">
        <v>309867.3</v>
      </c>
      <c r="AD484" s="95"/>
      <c r="AE484" s="95"/>
      <c r="AF484" s="31"/>
      <c r="AG484" s="31"/>
      <c r="AH484"/>
      <c r="AI484"/>
      <c r="AJ484"/>
      <c r="AK484"/>
      <c r="AM484"/>
    </row>
    <row r="485" spans="1:39" ht="25.15" customHeight="1" outlineLevel="1" x14ac:dyDescent="0.2">
      <c r="A485" s="10" t="s">
        <v>626</v>
      </c>
      <c r="B485" s="98" t="s">
        <v>627</v>
      </c>
      <c r="C485" s="98"/>
      <c r="D485" s="98"/>
      <c r="E485" s="98"/>
      <c r="F485" s="98"/>
      <c r="G485" s="98"/>
      <c r="H485" s="98"/>
      <c r="I485" s="98"/>
      <c r="J485" s="98"/>
      <c r="K485" s="98"/>
      <c r="L485" s="98"/>
      <c r="M485" s="98"/>
      <c r="N485" s="98" t="s">
        <v>47</v>
      </c>
      <c r="O485" s="98"/>
      <c r="P485" s="98"/>
      <c r="Q485" s="133">
        <v>518.24</v>
      </c>
      <c r="R485" s="95"/>
      <c r="S485" s="95"/>
      <c r="T485" s="95"/>
      <c r="U485" s="95"/>
      <c r="V485" s="95"/>
      <c r="W485" s="97">
        <v>30</v>
      </c>
      <c r="X485" s="95"/>
      <c r="Y485" s="95"/>
      <c r="Z485" s="95"/>
      <c r="AA485" s="95"/>
      <c r="AB485" s="95"/>
      <c r="AC485" s="126">
        <v>15547.2</v>
      </c>
      <c r="AD485" s="95"/>
      <c r="AE485" s="95"/>
      <c r="AF485" s="31"/>
      <c r="AG485" s="31"/>
      <c r="AH485"/>
      <c r="AI485"/>
      <c r="AJ485"/>
      <c r="AK485"/>
      <c r="AM485"/>
    </row>
    <row r="486" spans="1:39" ht="25.15" customHeight="1" outlineLevel="1" x14ac:dyDescent="0.2">
      <c r="A486" s="13"/>
      <c r="B486" s="127" t="s">
        <v>801</v>
      </c>
      <c r="C486" s="127" t="s">
        <v>801</v>
      </c>
      <c r="D486" s="127" t="s">
        <v>801</v>
      </c>
      <c r="E486" s="127" t="s">
        <v>801</v>
      </c>
      <c r="F486" s="127" t="s">
        <v>801</v>
      </c>
      <c r="G486" s="127" t="s">
        <v>801</v>
      </c>
      <c r="H486" s="127" t="s">
        <v>801</v>
      </c>
      <c r="I486" s="127" t="s">
        <v>801</v>
      </c>
      <c r="J486" s="127" t="s">
        <v>801</v>
      </c>
      <c r="K486" s="127" t="s">
        <v>801</v>
      </c>
      <c r="L486" s="127" t="s">
        <v>801</v>
      </c>
      <c r="M486" s="127" t="s">
        <v>801</v>
      </c>
      <c r="N486" s="96" t="s">
        <v>787</v>
      </c>
      <c r="O486" s="96" t="s">
        <v>787</v>
      </c>
      <c r="P486" s="96" t="s">
        <v>787</v>
      </c>
      <c r="Q486" s="130"/>
      <c r="R486" s="129"/>
      <c r="S486" s="129"/>
      <c r="T486" s="129"/>
      <c r="U486" s="129"/>
      <c r="V486" s="129"/>
      <c r="W486" s="130"/>
      <c r="X486" s="129"/>
      <c r="Y486" s="129"/>
      <c r="Z486" s="129"/>
      <c r="AA486" s="129"/>
      <c r="AB486" s="129"/>
      <c r="AC486" s="131"/>
      <c r="AD486" s="129"/>
      <c r="AE486" s="129"/>
      <c r="AF486" s="31"/>
      <c r="AG486" s="31"/>
      <c r="AH486"/>
      <c r="AI486"/>
      <c r="AJ486"/>
      <c r="AK486"/>
      <c r="AM486"/>
    </row>
    <row r="487" spans="1:39" ht="25.15" customHeight="1" outlineLevel="1" x14ac:dyDescent="0.2">
      <c r="A487" s="13"/>
      <c r="B487" s="127" t="s">
        <v>802</v>
      </c>
      <c r="C487" s="127" t="s">
        <v>802</v>
      </c>
      <c r="D487" s="127" t="s">
        <v>802</v>
      </c>
      <c r="E487" s="127" t="s">
        <v>802</v>
      </c>
      <c r="F487" s="127" t="s">
        <v>802</v>
      </c>
      <c r="G487" s="127" t="s">
        <v>802</v>
      </c>
      <c r="H487" s="127" t="s">
        <v>802</v>
      </c>
      <c r="I487" s="127" t="s">
        <v>802</v>
      </c>
      <c r="J487" s="127" t="s">
        <v>802</v>
      </c>
      <c r="K487" s="127" t="s">
        <v>802</v>
      </c>
      <c r="L487" s="127" t="s">
        <v>802</v>
      </c>
      <c r="M487" s="127" t="s">
        <v>802</v>
      </c>
      <c r="N487" s="96" t="s">
        <v>787</v>
      </c>
      <c r="O487" s="96" t="s">
        <v>787</v>
      </c>
      <c r="P487" s="96" t="s">
        <v>787</v>
      </c>
      <c r="Q487" s="130"/>
      <c r="R487" s="129"/>
      <c r="S487" s="129"/>
      <c r="T487" s="129"/>
      <c r="U487" s="129"/>
      <c r="V487" s="129"/>
      <c r="W487" s="130"/>
      <c r="X487" s="129"/>
      <c r="Y487" s="129"/>
      <c r="Z487" s="129"/>
      <c r="AA487" s="129"/>
      <c r="AB487" s="129"/>
      <c r="AC487" s="131"/>
      <c r="AD487" s="129"/>
      <c r="AE487" s="129"/>
      <c r="AF487" s="31"/>
      <c r="AG487" s="31"/>
      <c r="AH487"/>
      <c r="AI487"/>
      <c r="AJ487"/>
      <c r="AK487"/>
      <c r="AM487"/>
    </row>
    <row r="488" spans="1:39" ht="25.15" customHeight="1" outlineLevel="1" x14ac:dyDescent="0.2">
      <c r="A488" s="13"/>
      <c r="B488" s="127" t="s">
        <v>803</v>
      </c>
      <c r="C488" s="127" t="s">
        <v>803</v>
      </c>
      <c r="D488" s="127" t="s">
        <v>803</v>
      </c>
      <c r="E488" s="127" t="s">
        <v>803</v>
      </c>
      <c r="F488" s="127" t="s">
        <v>803</v>
      </c>
      <c r="G488" s="127" t="s">
        <v>803</v>
      </c>
      <c r="H488" s="127" t="s">
        <v>803</v>
      </c>
      <c r="I488" s="127" t="s">
        <v>803</v>
      </c>
      <c r="J488" s="127" t="s">
        <v>803</v>
      </c>
      <c r="K488" s="127" t="s">
        <v>803</v>
      </c>
      <c r="L488" s="127" t="s">
        <v>803</v>
      </c>
      <c r="M488" s="127" t="s">
        <v>803</v>
      </c>
      <c r="N488" s="96" t="s">
        <v>787</v>
      </c>
      <c r="O488" s="96" t="s">
        <v>787</v>
      </c>
      <c r="P488" s="96" t="s">
        <v>787</v>
      </c>
      <c r="Q488" s="130"/>
      <c r="R488" s="129"/>
      <c r="S488" s="129"/>
      <c r="T488" s="129"/>
      <c r="U488" s="129"/>
      <c r="V488" s="129"/>
      <c r="W488" s="130"/>
      <c r="X488" s="129"/>
      <c r="Y488" s="129"/>
      <c r="Z488" s="129"/>
      <c r="AA488" s="129"/>
      <c r="AB488" s="129"/>
      <c r="AC488" s="131"/>
      <c r="AD488" s="129"/>
      <c r="AE488" s="129"/>
      <c r="AF488" s="31"/>
      <c r="AG488" s="31"/>
      <c r="AH488"/>
      <c r="AI488"/>
      <c r="AJ488"/>
      <c r="AK488"/>
      <c r="AM488"/>
    </row>
    <row r="489" spans="1:39" ht="25.15" customHeight="1" outlineLevel="1" x14ac:dyDescent="0.2">
      <c r="A489" s="13"/>
      <c r="B489" s="127" t="s">
        <v>804</v>
      </c>
      <c r="C489" s="127" t="s">
        <v>787</v>
      </c>
      <c r="D489" s="127" t="s">
        <v>804</v>
      </c>
      <c r="E489" s="127" t="s">
        <v>787</v>
      </c>
      <c r="F489" s="127" t="s">
        <v>804</v>
      </c>
      <c r="G489" s="127" t="s">
        <v>787</v>
      </c>
      <c r="H489" s="127" t="s">
        <v>804</v>
      </c>
      <c r="I489" s="127" t="s">
        <v>787</v>
      </c>
      <c r="J489" s="127" t="s">
        <v>804</v>
      </c>
      <c r="K489" s="127" t="s">
        <v>787</v>
      </c>
      <c r="L489" s="127" t="s">
        <v>804</v>
      </c>
      <c r="M489" s="127" t="s">
        <v>787</v>
      </c>
      <c r="N489" s="96" t="s">
        <v>787</v>
      </c>
      <c r="O489" s="96" t="s">
        <v>787</v>
      </c>
      <c r="P489" s="96" t="s">
        <v>787</v>
      </c>
      <c r="Q489" s="97"/>
      <c r="R489" s="95"/>
      <c r="S489" s="95"/>
      <c r="T489" s="95"/>
      <c r="U489" s="95"/>
      <c r="V489" s="95"/>
      <c r="W489" s="97"/>
      <c r="X489" s="95"/>
      <c r="Y489" s="95"/>
      <c r="Z489" s="95"/>
      <c r="AA489" s="95"/>
      <c r="AB489" s="95"/>
      <c r="AC489" s="94"/>
      <c r="AD489" s="95"/>
      <c r="AE489" s="95"/>
      <c r="AF489" s="31"/>
      <c r="AG489" s="31"/>
      <c r="AH489"/>
      <c r="AI489"/>
      <c r="AJ489"/>
      <c r="AK489"/>
      <c r="AM489"/>
    </row>
    <row r="490" spans="1:39" ht="25.15" customHeight="1" outlineLevel="1" x14ac:dyDescent="0.2">
      <c r="A490" s="13"/>
      <c r="B490" s="127" t="s">
        <v>805</v>
      </c>
      <c r="C490" s="127" t="s">
        <v>787</v>
      </c>
      <c r="D490" s="127" t="s">
        <v>805</v>
      </c>
      <c r="E490" s="127" t="s">
        <v>787</v>
      </c>
      <c r="F490" s="127" t="s">
        <v>805</v>
      </c>
      <c r="G490" s="127" t="s">
        <v>787</v>
      </c>
      <c r="H490" s="127" t="s">
        <v>805</v>
      </c>
      <c r="I490" s="127" t="s">
        <v>787</v>
      </c>
      <c r="J490" s="127" t="s">
        <v>805</v>
      </c>
      <c r="K490" s="127" t="s">
        <v>787</v>
      </c>
      <c r="L490" s="127" t="s">
        <v>805</v>
      </c>
      <c r="M490" s="127" t="s">
        <v>787</v>
      </c>
      <c r="N490" s="96" t="s">
        <v>787</v>
      </c>
      <c r="O490" s="96" t="s">
        <v>787</v>
      </c>
      <c r="P490" s="96" t="s">
        <v>787</v>
      </c>
      <c r="Q490" s="97"/>
      <c r="R490" s="95"/>
      <c r="S490" s="95"/>
      <c r="T490" s="95"/>
      <c r="U490" s="95"/>
      <c r="V490" s="95"/>
      <c r="W490" s="97"/>
      <c r="X490" s="95"/>
      <c r="Y490" s="95"/>
      <c r="Z490" s="95"/>
      <c r="AA490" s="95"/>
      <c r="AB490" s="95"/>
      <c r="AC490" s="94"/>
      <c r="AD490" s="95"/>
      <c r="AE490" s="95"/>
      <c r="AF490" s="31"/>
      <c r="AG490" s="31"/>
      <c r="AH490"/>
      <c r="AI490"/>
      <c r="AJ490"/>
      <c r="AK490"/>
      <c r="AM490"/>
    </row>
    <row r="491" spans="1:39" ht="25.15" customHeight="1" outlineLevel="1" x14ac:dyDescent="0.2">
      <c r="A491" s="13"/>
      <c r="B491" s="127" t="s">
        <v>806</v>
      </c>
      <c r="C491" s="127" t="s">
        <v>787</v>
      </c>
      <c r="D491" s="127" t="s">
        <v>806</v>
      </c>
      <c r="E491" s="127" t="s">
        <v>787</v>
      </c>
      <c r="F491" s="127" t="s">
        <v>806</v>
      </c>
      <c r="G491" s="127" t="s">
        <v>787</v>
      </c>
      <c r="H491" s="127" t="s">
        <v>806</v>
      </c>
      <c r="I491" s="127" t="s">
        <v>787</v>
      </c>
      <c r="J491" s="127" t="s">
        <v>806</v>
      </c>
      <c r="K491" s="127" t="s">
        <v>787</v>
      </c>
      <c r="L491" s="127" t="s">
        <v>806</v>
      </c>
      <c r="M491" s="127" t="s">
        <v>787</v>
      </c>
      <c r="N491" s="96" t="s">
        <v>787</v>
      </c>
      <c r="O491" s="96" t="s">
        <v>787</v>
      </c>
      <c r="P491" s="96" t="s">
        <v>787</v>
      </c>
      <c r="Q491" s="97"/>
      <c r="R491" s="95"/>
      <c r="S491" s="95"/>
      <c r="T491" s="95"/>
      <c r="U491" s="95"/>
      <c r="V491" s="95"/>
      <c r="W491" s="97"/>
      <c r="X491" s="95"/>
      <c r="Y491" s="95"/>
      <c r="Z491" s="95"/>
      <c r="AA491" s="95"/>
      <c r="AB491" s="95"/>
      <c r="AC491" s="94"/>
      <c r="AD491" s="95"/>
      <c r="AE491" s="95"/>
      <c r="AF491" s="31"/>
      <c r="AG491" s="31"/>
      <c r="AH491"/>
      <c r="AI491"/>
      <c r="AJ491"/>
      <c r="AK491"/>
      <c r="AM491"/>
    </row>
    <row r="492" spans="1:39" ht="25.15" customHeight="1" x14ac:dyDescent="0.2">
      <c r="A492" s="19" t="s">
        <v>628</v>
      </c>
      <c r="B492" s="134" t="s">
        <v>629</v>
      </c>
      <c r="C492" s="134"/>
      <c r="D492" s="134"/>
      <c r="E492" s="134"/>
      <c r="F492" s="134"/>
      <c r="G492" s="134"/>
      <c r="H492" s="134"/>
      <c r="I492" s="134"/>
      <c r="J492" s="134"/>
      <c r="K492" s="134"/>
      <c r="L492" s="134"/>
      <c r="M492" s="134"/>
      <c r="N492" s="134"/>
      <c r="O492" s="134"/>
      <c r="P492" s="134"/>
      <c r="Q492" s="135"/>
      <c r="R492" s="135"/>
      <c r="S492" s="135"/>
      <c r="T492" s="135"/>
      <c r="U492" s="135"/>
      <c r="V492" s="135"/>
      <c r="W492" s="135"/>
      <c r="X492" s="135"/>
      <c r="Y492" s="135"/>
      <c r="Z492" s="135"/>
      <c r="AA492" s="135"/>
      <c r="AB492" s="135"/>
      <c r="AC492" s="136">
        <v>1915759.04</v>
      </c>
      <c r="AD492" s="135"/>
      <c r="AE492" s="135"/>
      <c r="AF492" s="31"/>
      <c r="AG492" s="31"/>
      <c r="AH492"/>
      <c r="AI492"/>
      <c r="AJ492"/>
      <c r="AK492"/>
      <c r="AM492"/>
    </row>
    <row r="493" spans="1:39" ht="25.15" customHeight="1" outlineLevel="1" x14ac:dyDescent="0.2">
      <c r="A493" s="18" t="s">
        <v>630</v>
      </c>
      <c r="B493" s="137" t="s">
        <v>629</v>
      </c>
      <c r="C493" s="137"/>
      <c r="D493" s="137"/>
      <c r="E493" s="137"/>
      <c r="F493" s="137"/>
      <c r="G493" s="137"/>
      <c r="H493" s="137"/>
      <c r="I493" s="137"/>
      <c r="J493" s="137"/>
      <c r="K493" s="137"/>
      <c r="L493" s="137"/>
      <c r="M493" s="137"/>
      <c r="N493" s="137"/>
      <c r="O493" s="137"/>
      <c r="P493" s="137"/>
      <c r="Q493" s="160"/>
      <c r="R493" s="160"/>
      <c r="S493" s="160"/>
      <c r="T493" s="160"/>
      <c r="U493" s="160"/>
      <c r="V493" s="160"/>
      <c r="W493" s="160"/>
      <c r="X493" s="160"/>
      <c r="Y493" s="160"/>
      <c r="Z493" s="160"/>
      <c r="AA493" s="160"/>
      <c r="AB493" s="160"/>
      <c r="AC493" s="161">
        <v>1915759.04</v>
      </c>
      <c r="AD493" s="160"/>
      <c r="AE493" s="160"/>
      <c r="AF493" s="31"/>
      <c r="AG493" s="31"/>
      <c r="AH493"/>
      <c r="AI493"/>
      <c r="AJ493"/>
      <c r="AK493"/>
      <c r="AM493"/>
    </row>
    <row r="494" spans="1:39" ht="25.15" customHeight="1" outlineLevel="1" x14ac:dyDescent="0.2">
      <c r="A494" s="18" t="s">
        <v>631</v>
      </c>
      <c r="B494" s="137" t="s">
        <v>632</v>
      </c>
      <c r="C494" s="137"/>
      <c r="D494" s="137"/>
      <c r="E494" s="137"/>
      <c r="F494" s="137"/>
      <c r="G494" s="137"/>
      <c r="H494" s="137"/>
      <c r="I494" s="137"/>
      <c r="J494" s="137"/>
      <c r="K494" s="137"/>
      <c r="L494" s="137"/>
      <c r="M494" s="137"/>
      <c r="N494" s="137"/>
      <c r="O494" s="137"/>
      <c r="P494" s="137"/>
      <c r="Q494" s="160"/>
      <c r="R494" s="160"/>
      <c r="S494" s="160"/>
      <c r="T494" s="160"/>
      <c r="U494" s="160"/>
      <c r="V494" s="160"/>
      <c r="W494" s="160"/>
      <c r="X494" s="160"/>
      <c r="Y494" s="160"/>
      <c r="Z494" s="160"/>
      <c r="AA494" s="160"/>
      <c r="AB494" s="160"/>
      <c r="AC494" s="211">
        <v>1530.04</v>
      </c>
      <c r="AD494" s="160"/>
      <c r="AE494" s="160"/>
      <c r="AF494" s="31"/>
      <c r="AG494" s="31"/>
      <c r="AH494"/>
      <c r="AI494"/>
      <c r="AJ494"/>
      <c r="AK494"/>
      <c r="AM494"/>
    </row>
    <row r="495" spans="1:39" ht="25.15" customHeight="1" outlineLevel="1" x14ac:dyDescent="0.2">
      <c r="A495" s="10" t="s">
        <v>633</v>
      </c>
      <c r="B495" s="98" t="s">
        <v>634</v>
      </c>
      <c r="C495" s="98"/>
      <c r="D495" s="98"/>
      <c r="E495" s="98"/>
      <c r="F495" s="98"/>
      <c r="G495" s="98"/>
      <c r="H495" s="98"/>
      <c r="I495" s="98"/>
      <c r="J495" s="98"/>
      <c r="K495" s="98"/>
      <c r="L495" s="98"/>
      <c r="M495" s="98"/>
      <c r="N495" s="98" t="s">
        <v>39</v>
      </c>
      <c r="O495" s="98"/>
      <c r="P495" s="98"/>
      <c r="Q495" s="132">
        <v>1568.31</v>
      </c>
      <c r="R495" s="95"/>
      <c r="S495" s="95"/>
      <c r="T495" s="95"/>
      <c r="U495" s="95"/>
      <c r="V495" s="95"/>
      <c r="W495" s="99">
        <v>0.97560000000000002</v>
      </c>
      <c r="X495" s="95"/>
      <c r="Y495" s="95"/>
      <c r="Z495" s="95"/>
      <c r="AA495" s="95"/>
      <c r="AB495" s="95"/>
      <c r="AC495" s="94">
        <v>1530.04</v>
      </c>
      <c r="AD495" s="95"/>
      <c r="AE495" s="95"/>
      <c r="AF495" s="31"/>
      <c r="AG495" s="31"/>
      <c r="AH495"/>
      <c r="AI495"/>
      <c r="AJ495"/>
      <c r="AK495"/>
      <c r="AM495"/>
    </row>
    <row r="496" spans="1:39" ht="25.15" customHeight="1" outlineLevel="1" x14ac:dyDescent="0.2">
      <c r="A496" s="18" t="s">
        <v>635</v>
      </c>
      <c r="B496" s="137" t="s">
        <v>636</v>
      </c>
      <c r="C496" s="137"/>
      <c r="D496" s="137"/>
      <c r="E496" s="137"/>
      <c r="F496" s="137"/>
      <c r="G496" s="137"/>
      <c r="H496" s="137"/>
      <c r="I496" s="137"/>
      <c r="J496" s="137"/>
      <c r="K496" s="137"/>
      <c r="L496" s="137"/>
      <c r="M496" s="137"/>
      <c r="N496" s="137"/>
      <c r="O496" s="137"/>
      <c r="P496" s="137"/>
      <c r="Q496" s="160"/>
      <c r="R496" s="160"/>
      <c r="S496" s="160"/>
      <c r="T496" s="160"/>
      <c r="U496" s="160"/>
      <c r="V496" s="160"/>
      <c r="W496" s="160"/>
      <c r="X496" s="160"/>
      <c r="Y496" s="160"/>
      <c r="Z496" s="160"/>
      <c r="AA496" s="160"/>
      <c r="AB496" s="160"/>
      <c r="AC496" s="161">
        <v>1010268.54</v>
      </c>
      <c r="AD496" s="160"/>
      <c r="AE496" s="160"/>
      <c r="AF496" s="31"/>
      <c r="AG496" s="31"/>
      <c r="AH496"/>
      <c r="AI496"/>
      <c r="AJ496"/>
      <c r="AK496"/>
      <c r="AM496"/>
    </row>
    <row r="497" spans="1:39" ht="25.15" customHeight="1" outlineLevel="1" x14ac:dyDescent="0.2">
      <c r="A497" s="10" t="s">
        <v>637</v>
      </c>
      <c r="B497" s="98" t="s">
        <v>638</v>
      </c>
      <c r="C497" s="98"/>
      <c r="D497" s="98"/>
      <c r="E497" s="98"/>
      <c r="F497" s="98"/>
      <c r="G497" s="98"/>
      <c r="H497" s="98"/>
      <c r="I497" s="98"/>
      <c r="J497" s="98"/>
      <c r="K497" s="98"/>
      <c r="L497" s="98"/>
      <c r="M497" s="98"/>
      <c r="N497" s="98" t="s">
        <v>47</v>
      </c>
      <c r="O497" s="98"/>
      <c r="P497" s="98"/>
      <c r="Q497" s="97">
        <v>90.9</v>
      </c>
      <c r="R497" s="95"/>
      <c r="S497" s="95"/>
      <c r="T497" s="95"/>
      <c r="U497" s="95"/>
      <c r="V497" s="95"/>
      <c r="W497" s="132">
        <v>1024.6099999999999</v>
      </c>
      <c r="X497" s="95"/>
      <c r="Y497" s="95"/>
      <c r="Z497" s="95"/>
      <c r="AA497" s="95"/>
      <c r="AB497" s="95"/>
      <c r="AC497" s="126">
        <v>93137.05</v>
      </c>
      <c r="AD497" s="95"/>
      <c r="AE497" s="95"/>
      <c r="AF497" s="31"/>
      <c r="AG497" s="31"/>
      <c r="AH497"/>
      <c r="AI497"/>
      <c r="AJ497"/>
      <c r="AK497"/>
      <c r="AM497"/>
    </row>
    <row r="498" spans="1:39" ht="25.15" customHeight="1" outlineLevel="1" x14ac:dyDescent="0.2">
      <c r="A498" s="10" t="s">
        <v>639</v>
      </c>
      <c r="B498" s="98" t="s">
        <v>640</v>
      </c>
      <c r="C498" s="98"/>
      <c r="D498" s="98"/>
      <c r="E498" s="98"/>
      <c r="F498" s="98"/>
      <c r="G498" s="98"/>
      <c r="H498" s="98"/>
      <c r="I498" s="98"/>
      <c r="J498" s="98"/>
      <c r="K498" s="98"/>
      <c r="L498" s="98"/>
      <c r="M498" s="98"/>
      <c r="N498" s="98" t="s">
        <v>47</v>
      </c>
      <c r="O498" s="98"/>
      <c r="P498" s="98"/>
      <c r="Q498" s="133">
        <v>765.18</v>
      </c>
      <c r="R498" s="95"/>
      <c r="S498" s="95"/>
      <c r="T498" s="95"/>
      <c r="U498" s="95"/>
      <c r="V498" s="95"/>
      <c r="W498" s="132">
        <v>1165.47</v>
      </c>
      <c r="X498" s="95"/>
      <c r="Y498" s="95"/>
      <c r="Z498" s="95"/>
      <c r="AA498" s="95"/>
      <c r="AB498" s="95"/>
      <c r="AC498" s="101">
        <v>891794.33</v>
      </c>
      <c r="AD498" s="95"/>
      <c r="AE498" s="95"/>
      <c r="AF498" s="31"/>
      <c r="AG498" s="31"/>
      <c r="AH498"/>
      <c r="AI498"/>
      <c r="AJ498"/>
      <c r="AK498"/>
      <c r="AM498"/>
    </row>
    <row r="499" spans="1:39" ht="25.15" customHeight="1" outlineLevel="1" x14ac:dyDescent="0.2">
      <c r="A499" s="10" t="s">
        <v>641</v>
      </c>
      <c r="B499" s="98" t="s">
        <v>642</v>
      </c>
      <c r="C499" s="98"/>
      <c r="D499" s="98"/>
      <c r="E499" s="98"/>
      <c r="F499" s="98"/>
      <c r="G499" s="98"/>
      <c r="H499" s="98"/>
      <c r="I499" s="98"/>
      <c r="J499" s="98"/>
      <c r="K499" s="98"/>
      <c r="L499" s="98"/>
      <c r="M499" s="98"/>
      <c r="N499" s="98" t="s">
        <v>47</v>
      </c>
      <c r="O499" s="98"/>
      <c r="P499" s="98"/>
      <c r="Q499" s="97">
        <v>16.25</v>
      </c>
      <c r="R499" s="95"/>
      <c r="S499" s="95"/>
      <c r="T499" s="95"/>
      <c r="U499" s="95"/>
      <c r="V499" s="95"/>
      <c r="W499" s="132">
        <v>1559.21</v>
      </c>
      <c r="X499" s="95"/>
      <c r="Y499" s="95"/>
      <c r="Z499" s="95"/>
      <c r="AA499" s="95"/>
      <c r="AB499" s="95"/>
      <c r="AC499" s="126">
        <v>25337.16</v>
      </c>
      <c r="AD499" s="95"/>
      <c r="AE499" s="95"/>
      <c r="AF499" s="31"/>
      <c r="AG499" s="31"/>
      <c r="AH499"/>
      <c r="AI499"/>
      <c r="AJ499"/>
      <c r="AK499"/>
      <c r="AM499"/>
    </row>
    <row r="500" spans="1:39" ht="25.15" customHeight="1" outlineLevel="1" x14ac:dyDescent="0.2">
      <c r="A500" s="18" t="s">
        <v>643</v>
      </c>
      <c r="B500" s="137" t="s">
        <v>644</v>
      </c>
      <c r="C500" s="137"/>
      <c r="D500" s="137"/>
      <c r="E500" s="137"/>
      <c r="F500" s="137"/>
      <c r="G500" s="137"/>
      <c r="H500" s="137"/>
      <c r="I500" s="137"/>
      <c r="J500" s="137"/>
      <c r="K500" s="137"/>
      <c r="L500" s="137"/>
      <c r="M500" s="137"/>
      <c r="N500" s="137"/>
      <c r="O500" s="137"/>
      <c r="P500" s="137"/>
      <c r="Q500" s="160"/>
      <c r="R500" s="160"/>
      <c r="S500" s="160"/>
      <c r="T500" s="160"/>
      <c r="U500" s="160"/>
      <c r="V500" s="160"/>
      <c r="W500" s="160"/>
      <c r="X500" s="160"/>
      <c r="Y500" s="160"/>
      <c r="Z500" s="160"/>
      <c r="AA500" s="160"/>
      <c r="AB500" s="160"/>
      <c r="AC500" s="162">
        <v>102893.65</v>
      </c>
      <c r="AD500" s="160"/>
      <c r="AE500" s="160"/>
      <c r="AF500" s="31"/>
      <c r="AG500" s="31"/>
      <c r="AH500"/>
      <c r="AI500"/>
      <c r="AJ500"/>
      <c r="AK500"/>
      <c r="AM500"/>
    </row>
    <row r="501" spans="1:39" ht="25.15" customHeight="1" outlineLevel="1" x14ac:dyDescent="0.2">
      <c r="A501" s="10" t="s">
        <v>645</v>
      </c>
      <c r="B501" s="98" t="s">
        <v>646</v>
      </c>
      <c r="C501" s="98"/>
      <c r="D501" s="98"/>
      <c r="E501" s="98"/>
      <c r="F501" s="98"/>
      <c r="G501" s="98"/>
      <c r="H501" s="98"/>
      <c r="I501" s="98"/>
      <c r="J501" s="98"/>
      <c r="K501" s="98"/>
      <c r="L501" s="98"/>
      <c r="M501" s="98"/>
      <c r="N501" s="98" t="s">
        <v>158</v>
      </c>
      <c r="O501" s="98"/>
      <c r="P501" s="98"/>
      <c r="Q501" s="133">
        <v>107</v>
      </c>
      <c r="R501" s="95"/>
      <c r="S501" s="95"/>
      <c r="T501" s="95"/>
      <c r="U501" s="95"/>
      <c r="V501" s="95"/>
      <c r="W501" s="133">
        <v>305.89960000000002</v>
      </c>
      <c r="X501" s="95"/>
      <c r="Y501" s="95"/>
      <c r="Z501" s="95"/>
      <c r="AA501" s="95"/>
      <c r="AB501" s="95"/>
      <c r="AC501" s="126">
        <v>32731.26</v>
      </c>
      <c r="AD501" s="95"/>
      <c r="AE501" s="95"/>
      <c r="AF501" s="31"/>
      <c r="AG501" s="31"/>
      <c r="AH501"/>
      <c r="AI501"/>
      <c r="AJ501"/>
      <c r="AK501"/>
      <c r="AM501"/>
    </row>
    <row r="502" spans="1:39" ht="25.15" customHeight="1" outlineLevel="1" x14ac:dyDescent="0.2">
      <c r="A502" s="10" t="s">
        <v>647</v>
      </c>
      <c r="B502" s="98" t="s">
        <v>648</v>
      </c>
      <c r="C502" s="98"/>
      <c r="D502" s="98"/>
      <c r="E502" s="98"/>
      <c r="F502" s="98"/>
      <c r="G502" s="98"/>
      <c r="H502" s="98"/>
      <c r="I502" s="98"/>
      <c r="J502" s="98"/>
      <c r="K502" s="98"/>
      <c r="L502" s="98"/>
      <c r="M502" s="98"/>
      <c r="N502" s="98" t="s">
        <v>158</v>
      </c>
      <c r="O502" s="98"/>
      <c r="P502" s="98"/>
      <c r="Q502" s="133">
        <v>129</v>
      </c>
      <c r="R502" s="95"/>
      <c r="S502" s="95"/>
      <c r="T502" s="95"/>
      <c r="U502" s="95"/>
      <c r="V502" s="95"/>
      <c r="W502" s="133">
        <v>438.3596</v>
      </c>
      <c r="X502" s="95"/>
      <c r="Y502" s="95"/>
      <c r="Z502" s="95"/>
      <c r="AA502" s="95"/>
      <c r="AB502" s="95"/>
      <c r="AC502" s="126">
        <v>56548.39</v>
      </c>
      <c r="AD502" s="95"/>
      <c r="AE502" s="95"/>
      <c r="AF502" s="31"/>
      <c r="AG502" s="31"/>
      <c r="AH502"/>
      <c r="AI502"/>
      <c r="AJ502"/>
      <c r="AK502"/>
      <c r="AM502"/>
    </row>
    <row r="503" spans="1:39" ht="25.15" customHeight="1" outlineLevel="1" x14ac:dyDescent="0.2">
      <c r="A503" s="10" t="s">
        <v>649</v>
      </c>
      <c r="B503" s="98" t="s">
        <v>650</v>
      </c>
      <c r="C503" s="98"/>
      <c r="D503" s="98"/>
      <c r="E503" s="98"/>
      <c r="F503" s="98"/>
      <c r="G503" s="98"/>
      <c r="H503" s="98"/>
      <c r="I503" s="98"/>
      <c r="J503" s="98"/>
      <c r="K503" s="98"/>
      <c r="L503" s="98"/>
      <c r="M503" s="98"/>
      <c r="N503" s="98" t="s">
        <v>158</v>
      </c>
      <c r="O503" s="98"/>
      <c r="P503" s="98"/>
      <c r="Q503" s="97">
        <v>14</v>
      </c>
      <c r="R503" s="95"/>
      <c r="S503" s="95"/>
      <c r="T503" s="95"/>
      <c r="U503" s="95"/>
      <c r="V503" s="95"/>
      <c r="W503" s="133">
        <v>688.37959999999998</v>
      </c>
      <c r="X503" s="95"/>
      <c r="Y503" s="95"/>
      <c r="Z503" s="95"/>
      <c r="AA503" s="95"/>
      <c r="AB503" s="95"/>
      <c r="AC503" s="94">
        <v>9637.31</v>
      </c>
      <c r="AD503" s="95"/>
      <c r="AE503" s="95"/>
      <c r="AF503" s="31"/>
      <c r="AG503" s="31"/>
      <c r="AH503"/>
      <c r="AI503"/>
      <c r="AJ503"/>
      <c r="AK503"/>
      <c r="AM503"/>
    </row>
    <row r="504" spans="1:39" ht="25.15" customHeight="1" outlineLevel="1" x14ac:dyDescent="0.2">
      <c r="A504" s="10" t="s">
        <v>651</v>
      </c>
      <c r="B504" s="98" t="s">
        <v>652</v>
      </c>
      <c r="C504" s="98"/>
      <c r="D504" s="98"/>
      <c r="E504" s="98"/>
      <c r="F504" s="98"/>
      <c r="G504" s="98"/>
      <c r="H504" s="98"/>
      <c r="I504" s="98"/>
      <c r="J504" s="98"/>
      <c r="K504" s="98"/>
      <c r="L504" s="98"/>
      <c r="M504" s="98"/>
      <c r="N504" s="98" t="s">
        <v>158</v>
      </c>
      <c r="O504" s="98"/>
      <c r="P504" s="98"/>
      <c r="Q504" s="97">
        <v>13</v>
      </c>
      <c r="R504" s="95"/>
      <c r="S504" s="95"/>
      <c r="T504" s="95"/>
      <c r="U504" s="95"/>
      <c r="V504" s="95"/>
      <c r="W504" s="133">
        <v>305.89960000000002</v>
      </c>
      <c r="X504" s="95"/>
      <c r="Y504" s="95"/>
      <c r="Z504" s="95"/>
      <c r="AA504" s="95"/>
      <c r="AB504" s="95"/>
      <c r="AC504" s="94">
        <v>3976.69</v>
      </c>
      <c r="AD504" s="95"/>
      <c r="AE504" s="95"/>
      <c r="AF504" s="31"/>
      <c r="AG504" s="31"/>
      <c r="AH504"/>
      <c r="AI504"/>
      <c r="AJ504"/>
      <c r="AK504"/>
      <c r="AM504"/>
    </row>
    <row r="505" spans="1:39" ht="25.15" customHeight="1" outlineLevel="1" x14ac:dyDescent="0.2">
      <c r="A505" s="13"/>
      <c r="B505" s="96" t="s">
        <v>807</v>
      </c>
      <c r="C505" s="96" t="s">
        <v>789</v>
      </c>
      <c r="D505" s="96" t="s">
        <v>807</v>
      </c>
      <c r="E505" s="96" t="s">
        <v>789</v>
      </c>
      <c r="F505" s="96" t="s">
        <v>807</v>
      </c>
      <c r="G505" s="96" t="s">
        <v>789</v>
      </c>
      <c r="H505" s="96" t="s">
        <v>807</v>
      </c>
      <c r="I505" s="96" t="s">
        <v>789</v>
      </c>
      <c r="J505" s="96" t="s">
        <v>807</v>
      </c>
      <c r="K505" s="96" t="s">
        <v>789</v>
      </c>
      <c r="L505" s="96" t="s">
        <v>807</v>
      </c>
      <c r="M505" s="96" t="s">
        <v>789</v>
      </c>
      <c r="N505" s="96" t="s">
        <v>27</v>
      </c>
      <c r="O505" s="96"/>
      <c r="P505" s="96"/>
      <c r="Q505" s="130">
        <v>1</v>
      </c>
      <c r="R505" s="129"/>
      <c r="S505" s="129"/>
      <c r="T505" s="129"/>
      <c r="U505" s="129"/>
      <c r="V505" s="129"/>
      <c r="W505" s="97"/>
      <c r="X505" s="95"/>
      <c r="Y505" s="95"/>
      <c r="Z505" s="95"/>
      <c r="AA505" s="95"/>
      <c r="AB505" s="95"/>
      <c r="AC505" s="94"/>
      <c r="AD505" s="95"/>
      <c r="AE505" s="95"/>
      <c r="AF505" s="40" t="s">
        <v>929</v>
      </c>
      <c r="AG505" s="31"/>
      <c r="AH505"/>
      <c r="AI505"/>
      <c r="AJ505"/>
      <c r="AK505"/>
      <c r="AM505"/>
    </row>
    <row r="506" spans="1:39" ht="25.15" customHeight="1" outlineLevel="1" x14ac:dyDescent="0.2">
      <c r="A506" s="13"/>
      <c r="B506" s="96" t="s">
        <v>860</v>
      </c>
      <c r="C506" s="96" t="s">
        <v>787</v>
      </c>
      <c r="D506" s="96">
        <v>236</v>
      </c>
      <c r="E506" s="96" t="s">
        <v>808</v>
      </c>
      <c r="F506" s="96" t="s">
        <v>787</v>
      </c>
      <c r="G506" s="96">
        <v>236</v>
      </c>
      <c r="H506" s="96" t="s">
        <v>808</v>
      </c>
      <c r="I506" s="96" t="s">
        <v>787</v>
      </c>
      <c r="J506" s="96">
        <v>236</v>
      </c>
      <c r="K506" s="96" t="s">
        <v>808</v>
      </c>
      <c r="L506" s="96" t="s">
        <v>787</v>
      </c>
      <c r="M506" s="96">
        <v>236</v>
      </c>
      <c r="N506" s="96" t="s">
        <v>158</v>
      </c>
      <c r="O506" s="96"/>
      <c r="P506" s="96"/>
      <c r="Q506" s="130">
        <v>1</v>
      </c>
      <c r="R506" s="129"/>
      <c r="S506" s="129"/>
      <c r="T506" s="129"/>
      <c r="U506" s="129"/>
      <c r="V506" s="129"/>
      <c r="W506" s="130"/>
      <c r="X506" s="129"/>
      <c r="Y506" s="129"/>
      <c r="Z506" s="129"/>
      <c r="AA506" s="129"/>
      <c r="AB506" s="129"/>
      <c r="AC506" s="131"/>
      <c r="AD506" s="129"/>
      <c r="AE506" s="129"/>
      <c r="AF506" s="40" t="s">
        <v>903</v>
      </c>
      <c r="AG506" s="31"/>
      <c r="AH506"/>
      <c r="AI506"/>
      <c r="AJ506"/>
      <c r="AK506"/>
      <c r="AM506"/>
    </row>
    <row r="507" spans="1:39" ht="25.15" customHeight="1" outlineLevel="1" x14ac:dyDescent="0.2">
      <c r="A507" s="18" t="s">
        <v>653</v>
      </c>
      <c r="B507" s="137" t="s">
        <v>654</v>
      </c>
      <c r="C507" s="137"/>
      <c r="D507" s="137"/>
      <c r="E507" s="137"/>
      <c r="F507" s="137"/>
      <c r="G507" s="137"/>
      <c r="H507" s="137"/>
      <c r="I507" s="137"/>
      <c r="J507" s="137"/>
      <c r="K507" s="137"/>
      <c r="L507" s="137"/>
      <c r="M507" s="137"/>
      <c r="N507" s="137"/>
      <c r="O507" s="137"/>
      <c r="P507" s="137"/>
      <c r="Q507" s="160"/>
      <c r="R507" s="160"/>
      <c r="S507" s="160"/>
      <c r="T507" s="160"/>
      <c r="U507" s="160"/>
      <c r="V507" s="160"/>
      <c r="W507" s="160"/>
      <c r="X507" s="160"/>
      <c r="Y507" s="160"/>
      <c r="Z507" s="160"/>
      <c r="AA507" s="160"/>
      <c r="AB507" s="160"/>
      <c r="AC507" s="162">
        <v>226588</v>
      </c>
      <c r="AD507" s="160"/>
      <c r="AE507" s="160"/>
      <c r="AF507" s="31"/>
      <c r="AG507" s="31"/>
      <c r="AH507"/>
      <c r="AI507"/>
      <c r="AJ507"/>
      <c r="AK507"/>
      <c r="AM507"/>
    </row>
    <row r="508" spans="1:39" ht="25.15" customHeight="1" outlineLevel="1" x14ac:dyDescent="0.2">
      <c r="A508" s="10" t="s">
        <v>655</v>
      </c>
      <c r="B508" s="98" t="s">
        <v>656</v>
      </c>
      <c r="C508" s="98"/>
      <c r="D508" s="98"/>
      <c r="E508" s="98"/>
      <c r="F508" s="98"/>
      <c r="G508" s="98"/>
      <c r="H508" s="98"/>
      <c r="I508" s="98"/>
      <c r="J508" s="98"/>
      <c r="K508" s="98"/>
      <c r="L508" s="98"/>
      <c r="M508" s="98"/>
      <c r="N508" s="98" t="s">
        <v>158</v>
      </c>
      <c r="O508" s="98"/>
      <c r="P508" s="98"/>
      <c r="Q508" s="97">
        <v>17</v>
      </c>
      <c r="R508" s="95"/>
      <c r="S508" s="95"/>
      <c r="T508" s="95"/>
      <c r="U508" s="95"/>
      <c r="V508" s="95"/>
      <c r="W508" s="132">
        <v>3250</v>
      </c>
      <c r="X508" s="95"/>
      <c r="Y508" s="95"/>
      <c r="Z508" s="95"/>
      <c r="AA508" s="95"/>
      <c r="AB508" s="95"/>
      <c r="AC508" s="126">
        <v>55250</v>
      </c>
      <c r="AD508" s="95"/>
      <c r="AE508" s="95"/>
      <c r="AF508" s="31"/>
      <c r="AG508" s="31"/>
      <c r="AH508"/>
      <c r="AI508"/>
      <c r="AJ508"/>
      <c r="AK508"/>
      <c r="AM508"/>
    </row>
    <row r="509" spans="1:39" ht="25.15" customHeight="1" outlineLevel="1" x14ac:dyDescent="0.2">
      <c r="A509" s="10" t="s">
        <v>657</v>
      </c>
      <c r="B509" s="98" t="s">
        <v>658</v>
      </c>
      <c r="C509" s="98"/>
      <c r="D509" s="98"/>
      <c r="E509" s="98"/>
      <c r="F509" s="98"/>
      <c r="G509" s="98"/>
      <c r="H509" s="98"/>
      <c r="I509" s="98"/>
      <c r="J509" s="98"/>
      <c r="K509" s="98"/>
      <c r="L509" s="98"/>
      <c r="M509" s="98"/>
      <c r="N509" s="98" t="s">
        <v>158</v>
      </c>
      <c r="O509" s="98"/>
      <c r="P509" s="98"/>
      <c r="Q509" s="99">
        <v>2</v>
      </c>
      <c r="R509" s="95"/>
      <c r="S509" s="95"/>
      <c r="T509" s="95"/>
      <c r="U509" s="95"/>
      <c r="V509" s="95"/>
      <c r="W509" s="132">
        <v>3250</v>
      </c>
      <c r="X509" s="95"/>
      <c r="Y509" s="95"/>
      <c r="Z509" s="95"/>
      <c r="AA509" s="95"/>
      <c r="AB509" s="95"/>
      <c r="AC509" s="94">
        <v>6500</v>
      </c>
      <c r="AD509" s="95"/>
      <c r="AE509" s="95"/>
      <c r="AF509" s="31"/>
      <c r="AG509" s="31"/>
      <c r="AH509"/>
      <c r="AI509"/>
      <c r="AJ509"/>
      <c r="AK509"/>
      <c r="AM509"/>
    </row>
    <row r="510" spans="1:39" ht="25.15" customHeight="1" outlineLevel="1" x14ac:dyDescent="0.2">
      <c r="A510" s="10" t="s">
        <v>659</v>
      </c>
      <c r="B510" s="98" t="s">
        <v>660</v>
      </c>
      <c r="C510" s="98"/>
      <c r="D510" s="98"/>
      <c r="E510" s="98"/>
      <c r="F510" s="98"/>
      <c r="G510" s="98"/>
      <c r="H510" s="98"/>
      <c r="I510" s="98"/>
      <c r="J510" s="98"/>
      <c r="K510" s="98"/>
      <c r="L510" s="98"/>
      <c r="M510" s="98"/>
      <c r="N510" s="98" t="s">
        <v>158</v>
      </c>
      <c r="O510" s="98"/>
      <c r="P510" s="98"/>
      <c r="Q510" s="97">
        <v>14</v>
      </c>
      <c r="R510" s="95"/>
      <c r="S510" s="95"/>
      <c r="T510" s="95"/>
      <c r="U510" s="95"/>
      <c r="V510" s="95"/>
      <c r="W510" s="132">
        <v>5500</v>
      </c>
      <c r="X510" s="95"/>
      <c r="Y510" s="95"/>
      <c r="Z510" s="95"/>
      <c r="AA510" s="95"/>
      <c r="AB510" s="95"/>
      <c r="AC510" s="126">
        <v>77000</v>
      </c>
      <c r="AD510" s="95"/>
      <c r="AE510" s="95"/>
      <c r="AF510" s="40" t="s">
        <v>938</v>
      </c>
      <c r="AG510" s="31"/>
      <c r="AH510"/>
      <c r="AI510"/>
      <c r="AJ510"/>
      <c r="AK510"/>
      <c r="AM510"/>
    </row>
    <row r="511" spans="1:39" ht="25.15" customHeight="1" outlineLevel="1" x14ac:dyDescent="0.2">
      <c r="A511" s="10" t="s">
        <v>661</v>
      </c>
      <c r="B511" s="98" t="s">
        <v>662</v>
      </c>
      <c r="C511" s="98"/>
      <c r="D511" s="98"/>
      <c r="E511" s="98"/>
      <c r="F511" s="98"/>
      <c r="G511" s="98"/>
      <c r="H511" s="98"/>
      <c r="I511" s="98"/>
      <c r="J511" s="98"/>
      <c r="K511" s="98"/>
      <c r="L511" s="98"/>
      <c r="M511" s="98"/>
      <c r="N511" s="98" t="s">
        <v>158</v>
      </c>
      <c r="O511" s="98"/>
      <c r="P511" s="98"/>
      <c r="Q511" s="97">
        <v>14</v>
      </c>
      <c r="R511" s="95"/>
      <c r="S511" s="95"/>
      <c r="T511" s="95"/>
      <c r="U511" s="95"/>
      <c r="V511" s="95"/>
      <c r="W511" s="132">
        <v>5750</v>
      </c>
      <c r="X511" s="95"/>
      <c r="Y511" s="95"/>
      <c r="Z511" s="95"/>
      <c r="AA511" s="95"/>
      <c r="AB511" s="95"/>
      <c r="AC511" s="126">
        <v>80500</v>
      </c>
      <c r="AD511" s="95"/>
      <c r="AE511" s="95"/>
      <c r="AF511" s="31"/>
      <c r="AG511" s="31"/>
      <c r="AH511"/>
      <c r="AI511"/>
      <c r="AJ511"/>
      <c r="AK511"/>
      <c r="AM511"/>
    </row>
    <row r="512" spans="1:39" ht="25.15" customHeight="1" outlineLevel="1" x14ac:dyDescent="0.2">
      <c r="A512" s="10" t="s">
        <v>663</v>
      </c>
      <c r="B512" s="98" t="s">
        <v>664</v>
      </c>
      <c r="C512" s="98"/>
      <c r="D512" s="98"/>
      <c r="E512" s="98"/>
      <c r="F512" s="98"/>
      <c r="G512" s="98"/>
      <c r="H512" s="98"/>
      <c r="I512" s="98"/>
      <c r="J512" s="98"/>
      <c r="K512" s="98"/>
      <c r="L512" s="98"/>
      <c r="M512" s="98"/>
      <c r="N512" s="98" t="s">
        <v>158</v>
      </c>
      <c r="O512" s="98"/>
      <c r="P512" s="98"/>
      <c r="Q512" s="99">
        <v>3</v>
      </c>
      <c r="R512" s="95"/>
      <c r="S512" s="95"/>
      <c r="T512" s="95"/>
      <c r="U512" s="95"/>
      <c r="V512" s="95"/>
      <c r="W512" s="133">
        <v>486</v>
      </c>
      <c r="X512" s="95"/>
      <c r="Y512" s="95"/>
      <c r="Z512" s="95"/>
      <c r="AA512" s="95"/>
      <c r="AB512" s="95"/>
      <c r="AC512" s="94">
        <v>1458</v>
      </c>
      <c r="AD512" s="95"/>
      <c r="AE512" s="95"/>
      <c r="AF512" s="31"/>
      <c r="AG512" s="31"/>
      <c r="AH512"/>
      <c r="AI512"/>
      <c r="AJ512"/>
      <c r="AK512"/>
      <c r="AM512"/>
    </row>
    <row r="513" spans="1:39" ht="25.15" customHeight="1" outlineLevel="1" x14ac:dyDescent="0.2">
      <c r="A513" s="10" t="s">
        <v>665</v>
      </c>
      <c r="B513" s="98" t="s">
        <v>666</v>
      </c>
      <c r="C513" s="98"/>
      <c r="D513" s="98"/>
      <c r="E513" s="98"/>
      <c r="F513" s="98"/>
      <c r="G513" s="98"/>
      <c r="H513" s="98"/>
      <c r="I513" s="98"/>
      <c r="J513" s="98"/>
      <c r="K513" s="98"/>
      <c r="L513" s="98"/>
      <c r="M513" s="98"/>
      <c r="N513" s="98" t="s">
        <v>158</v>
      </c>
      <c r="O513" s="98"/>
      <c r="P513" s="98"/>
      <c r="Q513" s="99">
        <v>4</v>
      </c>
      <c r="R513" s="95"/>
      <c r="S513" s="95"/>
      <c r="T513" s="95"/>
      <c r="U513" s="95"/>
      <c r="V513" s="95"/>
      <c r="W513" s="133">
        <v>140</v>
      </c>
      <c r="X513" s="95"/>
      <c r="Y513" s="95"/>
      <c r="Z513" s="95"/>
      <c r="AA513" s="95"/>
      <c r="AB513" s="95"/>
      <c r="AC513" s="182">
        <v>560</v>
      </c>
      <c r="AD513" s="95"/>
      <c r="AE513" s="95"/>
      <c r="AF513" s="31"/>
      <c r="AG513" s="31"/>
      <c r="AH513"/>
      <c r="AI513"/>
      <c r="AJ513"/>
      <c r="AK513"/>
      <c r="AM513"/>
    </row>
    <row r="514" spans="1:39" ht="25.15" customHeight="1" outlineLevel="1" x14ac:dyDescent="0.2">
      <c r="A514" s="10" t="s">
        <v>667</v>
      </c>
      <c r="B514" s="98" t="s">
        <v>668</v>
      </c>
      <c r="C514" s="98"/>
      <c r="D514" s="98"/>
      <c r="E514" s="98"/>
      <c r="F514" s="98"/>
      <c r="G514" s="98"/>
      <c r="H514" s="98"/>
      <c r="I514" s="98"/>
      <c r="J514" s="98"/>
      <c r="K514" s="98"/>
      <c r="L514" s="98"/>
      <c r="M514" s="98"/>
      <c r="N514" s="98" t="s">
        <v>158</v>
      </c>
      <c r="O514" s="98"/>
      <c r="P514" s="98"/>
      <c r="Q514" s="97">
        <v>24</v>
      </c>
      <c r="R514" s="95"/>
      <c r="S514" s="95"/>
      <c r="T514" s="95"/>
      <c r="U514" s="95"/>
      <c r="V514" s="95"/>
      <c r="W514" s="133">
        <v>180</v>
      </c>
      <c r="X514" s="95"/>
      <c r="Y514" s="95"/>
      <c r="Z514" s="95"/>
      <c r="AA514" s="95"/>
      <c r="AB514" s="95"/>
      <c r="AC514" s="94">
        <v>4320</v>
      </c>
      <c r="AD514" s="95"/>
      <c r="AE514" s="95"/>
      <c r="AF514" s="31"/>
      <c r="AG514" s="31"/>
      <c r="AH514"/>
      <c r="AI514"/>
      <c r="AJ514"/>
      <c r="AK514"/>
      <c r="AM514"/>
    </row>
    <row r="515" spans="1:39" ht="25.15" customHeight="1" outlineLevel="1" x14ac:dyDescent="0.2">
      <c r="A515" s="10" t="s">
        <v>669</v>
      </c>
      <c r="B515" s="98" t="s">
        <v>670</v>
      </c>
      <c r="C515" s="98"/>
      <c r="D515" s="98"/>
      <c r="E515" s="98"/>
      <c r="F515" s="98"/>
      <c r="G515" s="98"/>
      <c r="H515" s="98"/>
      <c r="I515" s="98"/>
      <c r="J515" s="98"/>
      <c r="K515" s="98"/>
      <c r="L515" s="98"/>
      <c r="M515" s="98"/>
      <c r="N515" s="98" t="s">
        <v>27</v>
      </c>
      <c r="O515" s="98"/>
      <c r="P515" s="98"/>
      <c r="Q515" s="99">
        <v>1</v>
      </c>
      <c r="R515" s="95"/>
      <c r="S515" s="95"/>
      <c r="T515" s="95"/>
      <c r="U515" s="95"/>
      <c r="V515" s="95"/>
      <c r="W515" s="132">
        <v>1000</v>
      </c>
      <c r="X515" s="95"/>
      <c r="Y515" s="95"/>
      <c r="Z515" s="95"/>
      <c r="AA515" s="95"/>
      <c r="AB515" s="95"/>
      <c r="AC515" s="94">
        <v>1000</v>
      </c>
      <c r="AD515" s="95"/>
      <c r="AE515" s="95"/>
      <c r="AF515" s="31"/>
      <c r="AG515" s="31"/>
      <c r="AH515"/>
      <c r="AI515"/>
      <c r="AJ515"/>
      <c r="AK515"/>
      <c r="AM515"/>
    </row>
    <row r="516" spans="1:39" ht="25.15" customHeight="1" outlineLevel="1" x14ac:dyDescent="0.2">
      <c r="A516" s="13"/>
      <c r="B516" s="96" t="s">
        <v>809</v>
      </c>
      <c r="C516" s="96" t="s">
        <v>787</v>
      </c>
      <c r="D516" s="96" t="s">
        <v>809</v>
      </c>
      <c r="E516" s="96" t="s">
        <v>787</v>
      </c>
      <c r="F516" s="96" t="s">
        <v>809</v>
      </c>
      <c r="G516" s="96" t="s">
        <v>787</v>
      </c>
      <c r="H516" s="96" t="s">
        <v>809</v>
      </c>
      <c r="I516" s="96" t="s">
        <v>787</v>
      </c>
      <c r="J516" s="96" t="s">
        <v>809</v>
      </c>
      <c r="K516" s="96" t="s">
        <v>787</v>
      </c>
      <c r="L516" s="96" t="s">
        <v>809</v>
      </c>
      <c r="M516" s="96" t="s">
        <v>787</v>
      </c>
      <c r="N516" s="96" t="s">
        <v>158</v>
      </c>
      <c r="O516" s="96"/>
      <c r="P516" s="96"/>
      <c r="Q516" s="130"/>
      <c r="R516" s="129"/>
      <c r="S516" s="129"/>
      <c r="T516" s="129"/>
      <c r="U516" s="129"/>
      <c r="V516" s="129"/>
      <c r="W516" s="130"/>
      <c r="X516" s="129"/>
      <c r="Y516" s="129"/>
      <c r="Z516" s="129"/>
      <c r="AA516" s="129"/>
      <c r="AB516" s="129"/>
      <c r="AC516" s="131"/>
      <c r="AD516" s="129"/>
      <c r="AE516" s="129"/>
      <c r="AF516" s="40"/>
      <c r="AG516" s="31"/>
      <c r="AH516"/>
      <c r="AI516"/>
      <c r="AJ516"/>
      <c r="AK516"/>
      <c r="AM516"/>
    </row>
    <row r="517" spans="1:39" ht="25.15" customHeight="1" outlineLevel="1" x14ac:dyDescent="0.2">
      <c r="A517" s="13"/>
      <c r="B517" s="96" t="s">
        <v>861</v>
      </c>
      <c r="C517" s="96" t="s">
        <v>787</v>
      </c>
      <c r="D517" s="96" t="s">
        <v>809</v>
      </c>
      <c r="E517" s="96" t="s">
        <v>787</v>
      </c>
      <c r="F517" s="96" t="s">
        <v>809</v>
      </c>
      <c r="G517" s="96" t="s">
        <v>787</v>
      </c>
      <c r="H517" s="96" t="s">
        <v>809</v>
      </c>
      <c r="I517" s="96" t="s">
        <v>787</v>
      </c>
      <c r="J517" s="96" t="s">
        <v>809</v>
      </c>
      <c r="K517" s="96" t="s">
        <v>787</v>
      </c>
      <c r="L517" s="96" t="s">
        <v>809</v>
      </c>
      <c r="M517" s="96" t="s">
        <v>787</v>
      </c>
      <c r="N517" s="96" t="s">
        <v>158</v>
      </c>
      <c r="O517" s="96"/>
      <c r="P517" s="96"/>
      <c r="Q517" s="130"/>
      <c r="R517" s="129"/>
      <c r="S517" s="129"/>
      <c r="T517" s="129"/>
      <c r="U517" s="129"/>
      <c r="V517" s="129"/>
      <c r="W517" s="130"/>
      <c r="X517" s="129"/>
      <c r="Y517" s="129"/>
      <c r="Z517" s="129"/>
      <c r="AA517" s="129"/>
      <c r="AB517" s="129"/>
      <c r="AC517" s="131"/>
      <c r="AD517" s="129"/>
      <c r="AE517" s="129"/>
      <c r="AF517" s="49" t="s">
        <v>929</v>
      </c>
      <c r="AG517" s="31"/>
      <c r="AH517"/>
      <c r="AI517"/>
      <c r="AJ517"/>
      <c r="AK517"/>
      <c r="AM517"/>
    </row>
    <row r="518" spans="1:39" ht="25.15" customHeight="1" outlineLevel="1" x14ac:dyDescent="0.2">
      <c r="A518" s="18" t="s">
        <v>671</v>
      </c>
      <c r="B518" s="137" t="s">
        <v>672</v>
      </c>
      <c r="C518" s="137"/>
      <c r="D518" s="137"/>
      <c r="E518" s="137"/>
      <c r="F518" s="137"/>
      <c r="G518" s="137"/>
      <c r="H518" s="137"/>
      <c r="I518" s="137"/>
      <c r="J518" s="137"/>
      <c r="K518" s="137"/>
      <c r="L518" s="137"/>
      <c r="M518" s="137"/>
      <c r="N518" s="137"/>
      <c r="O518" s="137"/>
      <c r="P518" s="137"/>
      <c r="Q518" s="160"/>
      <c r="R518" s="160"/>
      <c r="S518" s="160"/>
      <c r="T518" s="160"/>
      <c r="U518" s="160"/>
      <c r="V518" s="160"/>
      <c r="W518" s="160"/>
      <c r="X518" s="160"/>
      <c r="Y518" s="160"/>
      <c r="Z518" s="160"/>
      <c r="AA518" s="160"/>
      <c r="AB518" s="160"/>
      <c r="AC518" s="169">
        <v>27086.95</v>
      </c>
      <c r="AD518" s="160"/>
      <c r="AE518" s="160"/>
      <c r="AF518" s="31"/>
      <c r="AG518" s="31"/>
      <c r="AH518"/>
      <c r="AI518"/>
      <c r="AJ518"/>
      <c r="AK518"/>
      <c r="AM518"/>
    </row>
    <row r="519" spans="1:39" ht="25.15" customHeight="1" outlineLevel="1" x14ac:dyDescent="0.2">
      <c r="A519" s="10" t="s">
        <v>673</v>
      </c>
      <c r="B519" s="98" t="s">
        <v>674</v>
      </c>
      <c r="C519" s="98"/>
      <c r="D519" s="98"/>
      <c r="E519" s="98"/>
      <c r="F519" s="98"/>
      <c r="G519" s="98"/>
      <c r="H519" s="98"/>
      <c r="I519" s="98"/>
      <c r="J519" s="98"/>
      <c r="K519" s="98"/>
      <c r="L519" s="98"/>
      <c r="M519" s="98"/>
      <c r="N519" s="98" t="s">
        <v>39</v>
      </c>
      <c r="O519" s="98"/>
      <c r="P519" s="98"/>
      <c r="Q519" s="133">
        <v>265.41000000000003</v>
      </c>
      <c r="R519" s="95"/>
      <c r="S519" s="95"/>
      <c r="T519" s="95"/>
      <c r="U519" s="95"/>
      <c r="V519" s="95"/>
      <c r="W519" s="97">
        <v>95</v>
      </c>
      <c r="X519" s="95"/>
      <c r="Y519" s="95"/>
      <c r="Z519" s="95"/>
      <c r="AA519" s="95"/>
      <c r="AB519" s="95"/>
      <c r="AC519" s="126">
        <v>25213.95</v>
      </c>
      <c r="AD519" s="95"/>
      <c r="AE519" s="95"/>
      <c r="AF519" s="31"/>
      <c r="AG519" s="31"/>
      <c r="AH519"/>
      <c r="AI519"/>
      <c r="AJ519"/>
      <c r="AK519"/>
      <c r="AM519"/>
    </row>
    <row r="520" spans="1:39" ht="25.15" customHeight="1" outlineLevel="1" x14ac:dyDescent="0.2">
      <c r="A520" s="10" t="s">
        <v>675</v>
      </c>
      <c r="B520" s="98" t="s">
        <v>676</v>
      </c>
      <c r="C520" s="98"/>
      <c r="D520" s="98"/>
      <c r="E520" s="98"/>
      <c r="F520" s="98"/>
      <c r="G520" s="98"/>
      <c r="H520" s="98"/>
      <c r="I520" s="98"/>
      <c r="J520" s="98"/>
      <c r="K520" s="98"/>
      <c r="L520" s="98"/>
      <c r="M520" s="98"/>
      <c r="N520" s="98" t="s">
        <v>39</v>
      </c>
      <c r="O520" s="98"/>
      <c r="P520" s="98"/>
      <c r="Q520" s="133">
        <v>265.41000000000003</v>
      </c>
      <c r="R520" s="95"/>
      <c r="S520" s="95"/>
      <c r="T520" s="95"/>
      <c r="U520" s="95"/>
      <c r="V520" s="95"/>
      <c r="W520" s="99">
        <v>7.0570000000000004</v>
      </c>
      <c r="X520" s="95"/>
      <c r="Y520" s="95"/>
      <c r="Z520" s="95"/>
      <c r="AA520" s="95"/>
      <c r="AB520" s="95"/>
      <c r="AC520" s="94">
        <v>1873</v>
      </c>
      <c r="AD520" s="95"/>
      <c r="AE520" s="95"/>
      <c r="AF520" s="31"/>
      <c r="AG520" s="31"/>
      <c r="AH520"/>
      <c r="AI520"/>
      <c r="AJ520"/>
      <c r="AK520"/>
      <c r="AM520"/>
    </row>
    <row r="521" spans="1:39" ht="25.15" customHeight="1" outlineLevel="1" x14ac:dyDescent="0.2">
      <c r="A521" s="18" t="s">
        <v>677</v>
      </c>
      <c r="B521" s="137" t="s">
        <v>678</v>
      </c>
      <c r="C521" s="137"/>
      <c r="D521" s="137"/>
      <c r="E521" s="137"/>
      <c r="F521" s="137"/>
      <c r="G521" s="137"/>
      <c r="H521" s="137"/>
      <c r="I521" s="137"/>
      <c r="J521" s="137"/>
      <c r="K521" s="137"/>
      <c r="L521" s="137"/>
      <c r="M521" s="137"/>
      <c r="N521" s="137"/>
      <c r="O521" s="137"/>
      <c r="P521" s="137"/>
      <c r="Q521" s="160"/>
      <c r="R521" s="160"/>
      <c r="S521" s="160"/>
      <c r="T521" s="160"/>
      <c r="U521" s="160"/>
      <c r="V521" s="160"/>
      <c r="W521" s="160"/>
      <c r="X521" s="160"/>
      <c r="Y521" s="160"/>
      <c r="Z521" s="160"/>
      <c r="AA521" s="160"/>
      <c r="AB521" s="160"/>
      <c r="AC521" s="162">
        <v>496874</v>
      </c>
      <c r="AD521" s="160"/>
      <c r="AE521" s="160"/>
      <c r="AF521" s="31"/>
      <c r="AG521" s="31"/>
      <c r="AH521"/>
      <c r="AI521"/>
      <c r="AJ521"/>
      <c r="AK521"/>
      <c r="AM521"/>
    </row>
    <row r="522" spans="1:39" ht="25.15" customHeight="1" outlineLevel="1" x14ac:dyDescent="0.2">
      <c r="A522" s="10" t="s">
        <v>679</v>
      </c>
      <c r="B522" s="98" t="s">
        <v>680</v>
      </c>
      <c r="C522" s="98"/>
      <c r="D522" s="98"/>
      <c r="E522" s="98"/>
      <c r="F522" s="98"/>
      <c r="G522" s="98"/>
      <c r="H522" s="98"/>
      <c r="I522" s="98"/>
      <c r="J522" s="98"/>
      <c r="K522" s="98"/>
      <c r="L522" s="98"/>
      <c r="M522" s="98"/>
      <c r="N522" s="98" t="s">
        <v>47</v>
      </c>
      <c r="O522" s="98"/>
      <c r="P522" s="98"/>
      <c r="Q522" s="133">
        <v>346.73</v>
      </c>
      <c r="R522" s="95"/>
      <c r="S522" s="95"/>
      <c r="T522" s="95"/>
      <c r="U522" s="95"/>
      <c r="V522" s="95"/>
      <c r="W522" s="132">
        <v>1000</v>
      </c>
      <c r="X522" s="95"/>
      <c r="Y522" s="95"/>
      <c r="Z522" s="95"/>
      <c r="AA522" s="95"/>
      <c r="AB522" s="95"/>
      <c r="AC522" s="101">
        <v>346730</v>
      </c>
      <c r="AD522" s="95"/>
      <c r="AE522" s="95"/>
      <c r="AF522" s="31"/>
      <c r="AG522" s="31"/>
      <c r="AH522"/>
      <c r="AI522"/>
      <c r="AJ522"/>
      <c r="AK522"/>
      <c r="AM522"/>
    </row>
    <row r="523" spans="1:39" ht="25.15" customHeight="1" outlineLevel="1" x14ac:dyDescent="0.2">
      <c r="A523" s="10" t="s">
        <v>681</v>
      </c>
      <c r="B523" s="98" t="s">
        <v>682</v>
      </c>
      <c r="C523" s="98"/>
      <c r="D523" s="98"/>
      <c r="E523" s="98"/>
      <c r="F523" s="98"/>
      <c r="G523" s="98"/>
      <c r="H523" s="98"/>
      <c r="I523" s="98"/>
      <c r="J523" s="98"/>
      <c r="K523" s="98"/>
      <c r="L523" s="98"/>
      <c r="M523" s="98"/>
      <c r="N523" s="98" t="s">
        <v>47</v>
      </c>
      <c r="O523" s="98"/>
      <c r="P523" s="98"/>
      <c r="Q523" s="133">
        <v>176.64</v>
      </c>
      <c r="R523" s="95"/>
      <c r="S523" s="95"/>
      <c r="T523" s="95"/>
      <c r="U523" s="95"/>
      <c r="V523" s="95"/>
      <c r="W523" s="133">
        <v>850</v>
      </c>
      <c r="X523" s="95"/>
      <c r="Y523" s="95"/>
      <c r="Z523" s="95"/>
      <c r="AA523" s="95"/>
      <c r="AB523" s="95"/>
      <c r="AC523" s="101">
        <v>150144</v>
      </c>
      <c r="AD523" s="95"/>
      <c r="AE523" s="95"/>
      <c r="AF523" s="31"/>
      <c r="AG523" s="31"/>
      <c r="AH523"/>
      <c r="AI523"/>
      <c r="AJ523"/>
      <c r="AK523"/>
      <c r="AM523"/>
    </row>
    <row r="524" spans="1:39" ht="25.15" customHeight="1" outlineLevel="1" x14ac:dyDescent="0.2">
      <c r="A524" s="18" t="s">
        <v>683</v>
      </c>
      <c r="B524" s="137" t="s">
        <v>684</v>
      </c>
      <c r="C524" s="137"/>
      <c r="D524" s="137"/>
      <c r="E524" s="137"/>
      <c r="F524" s="137"/>
      <c r="G524" s="137"/>
      <c r="H524" s="137"/>
      <c r="I524" s="137"/>
      <c r="J524" s="137"/>
      <c r="K524" s="137"/>
      <c r="L524" s="137"/>
      <c r="M524" s="137"/>
      <c r="N524" s="137"/>
      <c r="O524" s="137"/>
      <c r="P524" s="137"/>
      <c r="Q524" s="160"/>
      <c r="R524" s="160"/>
      <c r="S524" s="160"/>
      <c r="T524" s="160"/>
      <c r="U524" s="160"/>
      <c r="V524" s="160"/>
      <c r="W524" s="160"/>
      <c r="X524" s="160"/>
      <c r="Y524" s="160"/>
      <c r="Z524" s="160"/>
      <c r="AA524" s="160"/>
      <c r="AB524" s="160"/>
      <c r="AC524" s="169">
        <v>29477.86</v>
      </c>
      <c r="AD524" s="160"/>
      <c r="AE524" s="160"/>
      <c r="AF524" s="31"/>
      <c r="AG524" s="31"/>
      <c r="AH524"/>
      <c r="AI524"/>
      <c r="AJ524"/>
      <c r="AK524"/>
      <c r="AM524"/>
    </row>
    <row r="525" spans="1:39" ht="25.15" customHeight="1" outlineLevel="1" x14ac:dyDescent="0.2">
      <c r="A525" s="10" t="s">
        <v>685</v>
      </c>
      <c r="B525" s="98" t="s">
        <v>686</v>
      </c>
      <c r="C525" s="98"/>
      <c r="D525" s="98"/>
      <c r="E525" s="98"/>
      <c r="F525" s="98"/>
      <c r="G525" s="98"/>
      <c r="H525" s="98"/>
      <c r="I525" s="98"/>
      <c r="J525" s="98"/>
      <c r="K525" s="98"/>
      <c r="L525" s="98"/>
      <c r="M525" s="98"/>
      <c r="N525" s="98" t="s">
        <v>158</v>
      </c>
      <c r="O525" s="98"/>
      <c r="P525" s="98"/>
      <c r="Q525" s="133">
        <v>789</v>
      </c>
      <c r="R525" s="95"/>
      <c r="S525" s="95"/>
      <c r="T525" s="95"/>
      <c r="U525" s="95"/>
      <c r="V525" s="95"/>
      <c r="W525" s="99">
        <v>9.9700000000000006</v>
      </c>
      <c r="X525" s="95"/>
      <c r="Y525" s="95"/>
      <c r="Z525" s="95"/>
      <c r="AA525" s="95"/>
      <c r="AB525" s="95"/>
      <c r="AC525" s="94">
        <v>7866.33</v>
      </c>
      <c r="AD525" s="95"/>
      <c r="AE525" s="95"/>
      <c r="AF525" s="31"/>
      <c r="AG525" s="31"/>
      <c r="AH525"/>
      <c r="AI525"/>
      <c r="AJ525"/>
      <c r="AK525"/>
      <c r="AM525"/>
    </row>
    <row r="526" spans="1:39" ht="25.15" customHeight="1" outlineLevel="1" x14ac:dyDescent="0.2">
      <c r="A526" s="10" t="s">
        <v>687</v>
      </c>
      <c r="B526" s="98" t="s">
        <v>688</v>
      </c>
      <c r="C526" s="98"/>
      <c r="D526" s="98"/>
      <c r="E526" s="98"/>
      <c r="F526" s="98"/>
      <c r="G526" s="98"/>
      <c r="H526" s="98"/>
      <c r="I526" s="98"/>
      <c r="J526" s="98"/>
      <c r="K526" s="98"/>
      <c r="L526" s="98"/>
      <c r="M526" s="98"/>
      <c r="N526" s="98" t="s">
        <v>158</v>
      </c>
      <c r="O526" s="98"/>
      <c r="P526" s="98"/>
      <c r="Q526" s="133">
        <v>129</v>
      </c>
      <c r="R526" s="95"/>
      <c r="S526" s="95"/>
      <c r="T526" s="95"/>
      <c r="U526" s="95"/>
      <c r="V526" s="95"/>
      <c r="W526" s="133">
        <v>110.68</v>
      </c>
      <c r="X526" s="95"/>
      <c r="Y526" s="95"/>
      <c r="Z526" s="95"/>
      <c r="AA526" s="95"/>
      <c r="AB526" s="95"/>
      <c r="AC526" s="126">
        <v>14277.72</v>
      </c>
      <c r="AD526" s="95"/>
      <c r="AE526" s="95"/>
      <c r="AF526" s="31"/>
      <c r="AG526" s="31"/>
      <c r="AH526"/>
      <c r="AI526"/>
      <c r="AJ526"/>
      <c r="AK526"/>
      <c r="AM526"/>
    </row>
    <row r="527" spans="1:39" ht="25.15" customHeight="1" outlineLevel="1" x14ac:dyDescent="0.2">
      <c r="A527" s="10" t="s">
        <v>689</v>
      </c>
      <c r="B527" s="98" t="s">
        <v>690</v>
      </c>
      <c r="C527" s="98"/>
      <c r="D527" s="98"/>
      <c r="E527" s="98"/>
      <c r="F527" s="98"/>
      <c r="G527" s="98"/>
      <c r="H527" s="98"/>
      <c r="I527" s="98"/>
      <c r="J527" s="98"/>
      <c r="K527" s="98"/>
      <c r="L527" s="98"/>
      <c r="M527" s="98"/>
      <c r="N527" s="98" t="s">
        <v>158</v>
      </c>
      <c r="O527" s="98"/>
      <c r="P527" s="98"/>
      <c r="Q527" s="133">
        <v>121</v>
      </c>
      <c r="R527" s="95"/>
      <c r="S527" s="95"/>
      <c r="T527" s="95"/>
      <c r="U527" s="95"/>
      <c r="V527" s="95"/>
      <c r="W527" s="97">
        <v>60.61</v>
      </c>
      <c r="X527" s="95"/>
      <c r="Y527" s="95"/>
      <c r="Z527" s="95"/>
      <c r="AA527" s="95"/>
      <c r="AB527" s="95"/>
      <c r="AC527" s="94">
        <v>7333.81</v>
      </c>
      <c r="AD527" s="95"/>
      <c r="AE527" s="95"/>
      <c r="AF527" s="31"/>
      <c r="AG527" s="31"/>
      <c r="AH527"/>
      <c r="AI527"/>
      <c r="AJ527"/>
      <c r="AK527"/>
      <c r="AM527"/>
    </row>
    <row r="528" spans="1:39" ht="25.15" customHeight="1" outlineLevel="1" x14ac:dyDescent="0.2">
      <c r="A528" s="18" t="s">
        <v>691</v>
      </c>
      <c r="B528" s="137" t="s">
        <v>288</v>
      </c>
      <c r="C528" s="137"/>
      <c r="D528" s="137"/>
      <c r="E528" s="137"/>
      <c r="F528" s="137"/>
      <c r="G528" s="137"/>
      <c r="H528" s="137"/>
      <c r="I528" s="137"/>
      <c r="J528" s="137"/>
      <c r="K528" s="137"/>
      <c r="L528" s="137"/>
      <c r="M528" s="137"/>
      <c r="N528" s="137"/>
      <c r="O528" s="137"/>
      <c r="P528" s="137"/>
      <c r="Q528" s="160"/>
      <c r="R528" s="160"/>
      <c r="S528" s="160"/>
      <c r="T528" s="160"/>
      <c r="U528" s="160"/>
      <c r="V528" s="160"/>
      <c r="W528" s="160"/>
      <c r="X528" s="160"/>
      <c r="Y528" s="160"/>
      <c r="Z528" s="160"/>
      <c r="AA528" s="160"/>
      <c r="AB528" s="160"/>
      <c r="AC528" s="169">
        <v>21040</v>
      </c>
      <c r="AD528" s="160"/>
      <c r="AE528" s="160"/>
      <c r="AF528" s="31"/>
      <c r="AG528" s="31"/>
      <c r="AH528"/>
      <c r="AI528"/>
      <c r="AJ528"/>
      <c r="AK528"/>
      <c r="AM528"/>
    </row>
    <row r="529" spans="1:39" ht="25.15" customHeight="1" outlineLevel="1" x14ac:dyDescent="0.2">
      <c r="A529" s="10" t="s">
        <v>692</v>
      </c>
      <c r="B529" s="98" t="s">
        <v>693</v>
      </c>
      <c r="C529" s="98"/>
      <c r="D529" s="98"/>
      <c r="E529" s="98"/>
      <c r="F529" s="98"/>
      <c r="G529" s="98"/>
      <c r="H529" s="98"/>
      <c r="I529" s="98"/>
      <c r="J529" s="98"/>
      <c r="K529" s="98"/>
      <c r="L529" s="98"/>
      <c r="M529" s="98"/>
      <c r="N529" s="98" t="s">
        <v>158</v>
      </c>
      <c r="O529" s="98"/>
      <c r="P529" s="98"/>
      <c r="Q529" s="133">
        <v>263</v>
      </c>
      <c r="R529" s="95"/>
      <c r="S529" s="95"/>
      <c r="T529" s="95"/>
      <c r="U529" s="95"/>
      <c r="V529" s="95"/>
      <c r="W529" s="97">
        <v>80</v>
      </c>
      <c r="X529" s="95"/>
      <c r="Y529" s="95"/>
      <c r="Z529" s="95"/>
      <c r="AA529" s="95"/>
      <c r="AB529" s="95"/>
      <c r="AC529" s="126">
        <v>21040</v>
      </c>
      <c r="AD529" s="95"/>
      <c r="AE529" s="95"/>
      <c r="AF529" s="31"/>
      <c r="AG529" s="31"/>
      <c r="AH529"/>
      <c r="AI529"/>
      <c r="AJ529"/>
      <c r="AK529"/>
      <c r="AM529"/>
    </row>
    <row r="530" spans="1:39" ht="25.15" customHeight="1" outlineLevel="1" x14ac:dyDescent="0.2">
      <c r="A530" s="13"/>
      <c r="B530" s="96" t="s">
        <v>859</v>
      </c>
      <c r="C530" s="96" t="s">
        <v>787</v>
      </c>
      <c r="D530" s="96" t="s">
        <v>809</v>
      </c>
      <c r="E530" s="96" t="s">
        <v>787</v>
      </c>
      <c r="F530" s="96" t="s">
        <v>809</v>
      </c>
      <c r="G530" s="96" t="s">
        <v>787</v>
      </c>
      <c r="H530" s="96" t="s">
        <v>809</v>
      </c>
      <c r="I530" s="96" t="s">
        <v>787</v>
      </c>
      <c r="J530" s="96" t="s">
        <v>809</v>
      </c>
      <c r="K530" s="96" t="s">
        <v>787</v>
      </c>
      <c r="L530" s="96" t="s">
        <v>809</v>
      </c>
      <c r="M530" s="96" t="s">
        <v>787</v>
      </c>
      <c r="N530" s="98" t="s">
        <v>158</v>
      </c>
      <c r="O530" s="98"/>
      <c r="P530" s="98"/>
      <c r="Q530" s="97"/>
      <c r="R530" s="95"/>
      <c r="S530" s="95"/>
      <c r="T530" s="95"/>
      <c r="U530" s="95"/>
      <c r="V530" s="95"/>
      <c r="W530" s="97"/>
      <c r="X530" s="95"/>
      <c r="Y530" s="95"/>
      <c r="Z530" s="95"/>
      <c r="AA530" s="95"/>
      <c r="AB530" s="95"/>
      <c r="AC530" s="94"/>
      <c r="AD530" s="95"/>
      <c r="AE530" s="95"/>
      <c r="AF530" s="40"/>
      <c r="AG530" s="31"/>
      <c r="AH530"/>
      <c r="AI530"/>
      <c r="AJ530"/>
      <c r="AK530"/>
      <c r="AM530"/>
    </row>
    <row r="531" spans="1:39" ht="30.6" customHeight="1" x14ac:dyDescent="0.2">
      <c r="A531" s="29" t="s">
        <v>694</v>
      </c>
      <c r="B531" s="174" t="s">
        <v>695</v>
      </c>
      <c r="C531" s="174"/>
      <c r="D531" s="174"/>
      <c r="E531" s="174"/>
      <c r="F531" s="174"/>
      <c r="G531" s="174"/>
      <c r="H531" s="174"/>
      <c r="I531" s="174"/>
      <c r="J531" s="174"/>
      <c r="K531" s="174"/>
      <c r="L531" s="174"/>
      <c r="M531" s="174"/>
      <c r="N531" s="174"/>
      <c r="O531" s="174"/>
      <c r="P531" s="174"/>
      <c r="Q531" s="175"/>
      <c r="R531" s="175"/>
      <c r="S531" s="175"/>
      <c r="T531" s="175"/>
      <c r="U531" s="175"/>
      <c r="V531" s="175"/>
      <c r="W531" s="175"/>
      <c r="X531" s="175"/>
      <c r="Y531" s="175"/>
      <c r="Z531" s="175"/>
      <c r="AA531" s="175"/>
      <c r="AB531" s="175"/>
      <c r="AC531" s="237">
        <v>256815.37</v>
      </c>
      <c r="AD531" s="175"/>
      <c r="AE531" s="175"/>
      <c r="AF531" s="104" t="s">
        <v>873</v>
      </c>
      <c r="AG531" s="105"/>
      <c r="AH531"/>
      <c r="AI531"/>
      <c r="AJ531"/>
      <c r="AK531"/>
      <c r="AM531"/>
    </row>
    <row r="532" spans="1:39" ht="25.15" customHeight="1" outlineLevel="1" x14ac:dyDescent="0.2">
      <c r="A532" s="9" t="s">
        <v>696</v>
      </c>
      <c r="B532" s="212" t="s">
        <v>695</v>
      </c>
      <c r="C532" s="212"/>
      <c r="D532" s="212"/>
      <c r="E532" s="212"/>
      <c r="F532" s="212"/>
      <c r="G532" s="212"/>
      <c r="H532" s="212"/>
      <c r="I532" s="212"/>
      <c r="J532" s="212"/>
      <c r="K532" s="212"/>
      <c r="L532" s="212"/>
      <c r="M532" s="212"/>
      <c r="N532" s="212"/>
      <c r="O532" s="212"/>
      <c r="P532" s="212"/>
      <c r="Q532" s="160"/>
      <c r="R532" s="160"/>
      <c r="S532" s="160"/>
      <c r="T532" s="160"/>
      <c r="U532" s="160"/>
      <c r="V532" s="160"/>
      <c r="W532" s="160"/>
      <c r="X532" s="160"/>
      <c r="Y532" s="160"/>
      <c r="Z532" s="160"/>
      <c r="AA532" s="160"/>
      <c r="AB532" s="160"/>
      <c r="AC532" s="162">
        <v>256815.37</v>
      </c>
      <c r="AD532" s="160"/>
      <c r="AE532" s="160"/>
      <c r="AF532" s="31"/>
      <c r="AG532" s="31"/>
      <c r="AH532"/>
      <c r="AI532"/>
      <c r="AJ532"/>
      <c r="AK532"/>
      <c r="AM532"/>
    </row>
    <row r="533" spans="1:39" ht="25.15" customHeight="1" outlineLevel="1" x14ac:dyDescent="0.2">
      <c r="A533" s="9" t="s">
        <v>697</v>
      </c>
      <c r="B533" s="212" t="s">
        <v>698</v>
      </c>
      <c r="C533" s="212"/>
      <c r="D533" s="212"/>
      <c r="E533" s="212"/>
      <c r="F533" s="212"/>
      <c r="G533" s="212"/>
      <c r="H533" s="212"/>
      <c r="I533" s="212"/>
      <c r="J533" s="212"/>
      <c r="K533" s="212"/>
      <c r="L533" s="212"/>
      <c r="M533" s="212"/>
      <c r="N533" s="212"/>
      <c r="O533" s="212"/>
      <c r="P533" s="212"/>
      <c r="Q533" s="160"/>
      <c r="R533" s="160"/>
      <c r="S533" s="160"/>
      <c r="T533" s="160"/>
      <c r="U533" s="160"/>
      <c r="V533" s="160"/>
      <c r="W533" s="160"/>
      <c r="X533" s="160"/>
      <c r="Y533" s="160"/>
      <c r="Z533" s="160"/>
      <c r="AA533" s="160"/>
      <c r="AB533" s="160"/>
      <c r="AC533" s="169">
        <v>98867.38</v>
      </c>
      <c r="AD533" s="160"/>
      <c r="AE533" s="160"/>
      <c r="AF533" s="31"/>
      <c r="AG533" s="31"/>
      <c r="AH533"/>
      <c r="AI533"/>
      <c r="AJ533"/>
      <c r="AK533"/>
      <c r="AM533"/>
    </row>
    <row r="534" spans="1:39" ht="25.15" customHeight="1" outlineLevel="1" x14ac:dyDescent="0.2">
      <c r="A534" s="10" t="s">
        <v>699</v>
      </c>
      <c r="B534" s="98" t="s">
        <v>700</v>
      </c>
      <c r="C534" s="98"/>
      <c r="D534" s="98"/>
      <c r="E534" s="98"/>
      <c r="F534" s="98"/>
      <c r="G534" s="98"/>
      <c r="H534" s="98"/>
      <c r="I534" s="98"/>
      <c r="J534" s="98"/>
      <c r="K534" s="98"/>
      <c r="L534" s="98"/>
      <c r="M534" s="98"/>
      <c r="N534" s="98" t="s">
        <v>47</v>
      </c>
      <c r="O534" s="98"/>
      <c r="P534" s="98"/>
      <c r="Q534" s="185">
        <v>1534</v>
      </c>
      <c r="R534" s="165"/>
      <c r="S534" s="165"/>
      <c r="T534" s="165"/>
      <c r="U534" s="165"/>
      <c r="V534" s="165"/>
      <c r="W534" s="99">
        <v>3.0017</v>
      </c>
      <c r="X534" s="95"/>
      <c r="Y534" s="95"/>
      <c r="Z534" s="95"/>
      <c r="AA534" s="95"/>
      <c r="AB534" s="95"/>
      <c r="AC534" s="94">
        <v>4604.6099999999997</v>
      </c>
      <c r="AD534" s="95"/>
      <c r="AE534" s="95"/>
      <c r="AF534" s="49" t="s">
        <v>939</v>
      </c>
      <c r="AG534" s="31"/>
      <c r="AH534"/>
      <c r="AI534"/>
      <c r="AJ534"/>
      <c r="AK534"/>
      <c r="AM534"/>
    </row>
    <row r="535" spans="1:39" ht="25.15" customHeight="1" outlineLevel="1" x14ac:dyDescent="0.2">
      <c r="A535" s="10" t="s">
        <v>701</v>
      </c>
      <c r="B535" s="98" t="s">
        <v>702</v>
      </c>
      <c r="C535" s="98"/>
      <c r="D535" s="98"/>
      <c r="E535" s="98"/>
      <c r="F535" s="98"/>
      <c r="G535" s="98"/>
      <c r="H535" s="98"/>
      <c r="I535" s="98"/>
      <c r="J535" s="98"/>
      <c r="K535" s="98"/>
      <c r="L535" s="98"/>
      <c r="M535" s="98"/>
      <c r="N535" s="98" t="s">
        <v>47</v>
      </c>
      <c r="O535" s="98"/>
      <c r="P535" s="98"/>
      <c r="Q535" s="185">
        <v>1534</v>
      </c>
      <c r="R535" s="165"/>
      <c r="S535" s="165"/>
      <c r="T535" s="165"/>
      <c r="U535" s="165"/>
      <c r="V535" s="165"/>
      <c r="W535" s="97">
        <v>61.448999999999998</v>
      </c>
      <c r="X535" s="95"/>
      <c r="Y535" s="95"/>
      <c r="Z535" s="95"/>
      <c r="AA535" s="95"/>
      <c r="AB535" s="95"/>
      <c r="AC535" s="126">
        <v>94262.77</v>
      </c>
      <c r="AD535" s="95"/>
      <c r="AE535" s="95"/>
      <c r="AF535" s="31"/>
      <c r="AG535" s="31"/>
      <c r="AH535"/>
      <c r="AI535"/>
      <c r="AJ535"/>
      <c r="AK535"/>
      <c r="AM535"/>
    </row>
    <row r="536" spans="1:39" ht="25.15" customHeight="1" outlineLevel="1" x14ac:dyDescent="0.2">
      <c r="A536" s="18" t="s">
        <v>703</v>
      </c>
      <c r="B536" s="137" t="s">
        <v>704</v>
      </c>
      <c r="C536" s="137"/>
      <c r="D536" s="137"/>
      <c r="E536" s="137"/>
      <c r="F536" s="137"/>
      <c r="G536" s="137"/>
      <c r="H536" s="137"/>
      <c r="I536" s="137"/>
      <c r="J536" s="137"/>
      <c r="K536" s="137"/>
      <c r="L536" s="137"/>
      <c r="M536" s="137"/>
      <c r="N536" s="137"/>
      <c r="O536" s="137"/>
      <c r="P536" s="137"/>
      <c r="Q536" s="160"/>
      <c r="R536" s="160"/>
      <c r="S536" s="160"/>
      <c r="T536" s="160"/>
      <c r="U536" s="160"/>
      <c r="V536" s="160"/>
      <c r="W536" s="160"/>
      <c r="X536" s="160"/>
      <c r="Y536" s="160"/>
      <c r="Z536" s="160"/>
      <c r="AA536" s="160"/>
      <c r="AB536" s="160"/>
      <c r="AC536" s="169">
        <v>34275.39</v>
      </c>
      <c r="AD536" s="160"/>
      <c r="AE536" s="160"/>
      <c r="AF536" s="31"/>
      <c r="AG536" s="31"/>
      <c r="AH536"/>
      <c r="AI536"/>
      <c r="AJ536"/>
      <c r="AK536"/>
      <c r="AM536"/>
    </row>
    <row r="537" spans="1:39" ht="25.15" customHeight="1" outlineLevel="1" x14ac:dyDescent="0.2">
      <c r="A537" s="10" t="s">
        <v>705</v>
      </c>
      <c r="B537" s="98" t="s">
        <v>706</v>
      </c>
      <c r="C537" s="98"/>
      <c r="D537" s="98"/>
      <c r="E537" s="98"/>
      <c r="F537" s="98"/>
      <c r="G537" s="98"/>
      <c r="H537" s="98"/>
      <c r="I537" s="98"/>
      <c r="J537" s="98"/>
      <c r="K537" s="98"/>
      <c r="L537" s="98"/>
      <c r="M537" s="98"/>
      <c r="N537" s="98" t="s">
        <v>47</v>
      </c>
      <c r="O537" s="98"/>
      <c r="P537" s="98"/>
      <c r="Q537" s="185">
        <v>1534</v>
      </c>
      <c r="R537" s="165"/>
      <c r="S537" s="165"/>
      <c r="T537" s="165"/>
      <c r="U537" s="165"/>
      <c r="V537" s="165"/>
      <c r="W537" s="97">
        <v>22.343800000000002</v>
      </c>
      <c r="X537" s="95"/>
      <c r="Y537" s="95"/>
      <c r="Z537" s="95"/>
      <c r="AA537" s="95"/>
      <c r="AB537" s="95"/>
      <c r="AC537" s="126">
        <v>34275.39</v>
      </c>
      <c r="AD537" s="95"/>
      <c r="AE537" s="95"/>
      <c r="AF537" s="31"/>
      <c r="AG537" s="31"/>
      <c r="AH537"/>
      <c r="AI537"/>
      <c r="AJ537"/>
      <c r="AK537"/>
      <c r="AM537"/>
    </row>
    <row r="538" spans="1:39" ht="25.15" customHeight="1" outlineLevel="1" x14ac:dyDescent="0.2">
      <c r="A538" s="18" t="s">
        <v>707</v>
      </c>
      <c r="B538" s="137" t="s">
        <v>708</v>
      </c>
      <c r="C538" s="137"/>
      <c r="D538" s="137"/>
      <c r="E538" s="137"/>
      <c r="F538" s="137"/>
      <c r="G538" s="137"/>
      <c r="H538" s="137"/>
      <c r="I538" s="137"/>
      <c r="J538" s="137"/>
      <c r="K538" s="137"/>
      <c r="L538" s="137"/>
      <c r="M538" s="137"/>
      <c r="N538" s="137"/>
      <c r="O538" s="137"/>
      <c r="P538" s="137"/>
      <c r="Q538" s="160"/>
      <c r="R538" s="160"/>
      <c r="S538" s="160"/>
      <c r="T538" s="160"/>
      <c r="U538" s="160"/>
      <c r="V538" s="160"/>
      <c r="W538" s="160"/>
      <c r="X538" s="160"/>
      <c r="Y538" s="160"/>
      <c r="Z538" s="160"/>
      <c r="AA538" s="160"/>
      <c r="AB538" s="160"/>
      <c r="AC538" s="169">
        <v>25496.6</v>
      </c>
      <c r="AD538" s="160"/>
      <c r="AE538" s="160"/>
      <c r="AF538" s="31"/>
      <c r="AG538" s="31"/>
      <c r="AH538"/>
      <c r="AI538"/>
      <c r="AJ538"/>
      <c r="AK538"/>
      <c r="AM538"/>
    </row>
    <row r="539" spans="1:39" ht="25.15" customHeight="1" outlineLevel="1" x14ac:dyDescent="0.2">
      <c r="A539" s="10" t="s">
        <v>709</v>
      </c>
      <c r="B539" s="98" t="s">
        <v>710</v>
      </c>
      <c r="C539" s="98"/>
      <c r="D539" s="98"/>
      <c r="E539" s="98"/>
      <c r="F539" s="98"/>
      <c r="G539" s="98"/>
      <c r="H539" s="98"/>
      <c r="I539" s="98"/>
      <c r="J539" s="98"/>
      <c r="K539" s="98"/>
      <c r="L539" s="98"/>
      <c r="M539" s="98"/>
      <c r="N539" s="98" t="s">
        <v>39</v>
      </c>
      <c r="O539" s="98"/>
      <c r="P539" s="98"/>
      <c r="Q539" s="132">
        <v>1274.83</v>
      </c>
      <c r="R539" s="95"/>
      <c r="S539" s="95"/>
      <c r="T539" s="95"/>
      <c r="U539" s="95"/>
      <c r="V539" s="95"/>
      <c r="W539" s="97">
        <v>20</v>
      </c>
      <c r="X539" s="95"/>
      <c r="Y539" s="95"/>
      <c r="Z539" s="95"/>
      <c r="AA539" s="95"/>
      <c r="AB539" s="95"/>
      <c r="AC539" s="126">
        <v>25496.6</v>
      </c>
      <c r="AD539" s="95"/>
      <c r="AE539" s="95"/>
      <c r="AF539" s="31"/>
      <c r="AG539" s="31"/>
      <c r="AH539"/>
      <c r="AI539"/>
      <c r="AJ539"/>
      <c r="AK539"/>
      <c r="AM539"/>
    </row>
    <row r="540" spans="1:39" ht="25.15" customHeight="1" outlineLevel="1" x14ac:dyDescent="0.2">
      <c r="A540" s="18" t="s">
        <v>711</v>
      </c>
      <c r="B540" s="137" t="s">
        <v>288</v>
      </c>
      <c r="C540" s="137"/>
      <c r="D540" s="137"/>
      <c r="E540" s="137"/>
      <c r="F540" s="137"/>
      <c r="G540" s="137"/>
      <c r="H540" s="137"/>
      <c r="I540" s="137"/>
      <c r="J540" s="137"/>
      <c r="K540" s="137"/>
      <c r="L540" s="137"/>
      <c r="M540" s="137"/>
      <c r="N540" s="137"/>
      <c r="O540" s="137"/>
      <c r="P540" s="137"/>
      <c r="Q540" s="160"/>
      <c r="R540" s="160"/>
      <c r="S540" s="160"/>
      <c r="T540" s="160"/>
      <c r="U540" s="160"/>
      <c r="V540" s="160"/>
      <c r="W540" s="160"/>
      <c r="X540" s="160"/>
      <c r="Y540" s="160"/>
      <c r="Z540" s="160"/>
      <c r="AA540" s="160"/>
      <c r="AB540" s="160"/>
      <c r="AC540" s="169">
        <v>98176</v>
      </c>
      <c r="AD540" s="160"/>
      <c r="AE540" s="160"/>
      <c r="AF540" s="31"/>
      <c r="AG540" s="31"/>
      <c r="AH540"/>
      <c r="AI540"/>
      <c r="AJ540"/>
      <c r="AK540"/>
      <c r="AM540"/>
    </row>
    <row r="541" spans="1:39" ht="25.15" customHeight="1" outlineLevel="1" x14ac:dyDescent="0.2">
      <c r="A541" s="13"/>
      <c r="B541" s="96" t="s">
        <v>862</v>
      </c>
      <c r="C541" s="96" t="s">
        <v>787</v>
      </c>
      <c r="D541" s="96" t="s">
        <v>809</v>
      </c>
      <c r="E541" s="96" t="s">
        <v>787</v>
      </c>
      <c r="F541" s="96" t="s">
        <v>809</v>
      </c>
      <c r="G541" s="96" t="s">
        <v>787</v>
      </c>
      <c r="H541" s="96" t="s">
        <v>809</v>
      </c>
      <c r="I541" s="96" t="s">
        <v>787</v>
      </c>
      <c r="J541" s="96" t="s">
        <v>809</v>
      </c>
      <c r="K541" s="96" t="s">
        <v>787</v>
      </c>
      <c r="L541" s="96" t="s">
        <v>809</v>
      </c>
      <c r="M541" s="96" t="s">
        <v>787</v>
      </c>
      <c r="N541" s="98" t="s">
        <v>158</v>
      </c>
      <c r="O541" s="98"/>
      <c r="P541" s="98"/>
      <c r="Q541" s="97"/>
      <c r="R541" s="95"/>
      <c r="S541" s="95"/>
      <c r="T541" s="95"/>
      <c r="U541" s="95"/>
      <c r="V541" s="95"/>
      <c r="W541" s="97"/>
      <c r="X541" s="95"/>
      <c r="Y541" s="95"/>
      <c r="Z541" s="95"/>
      <c r="AA541" s="95"/>
      <c r="AB541" s="95"/>
      <c r="AC541" s="94"/>
      <c r="AD541" s="95"/>
      <c r="AE541" s="95"/>
      <c r="AF541" s="40" t="s">
        <v>929</v>
      </c>
      <c r="AG541" s="31"/>
      <c r="AH541"/>
      <c r="AI541"/>
      <c r="AJ541"/>
      <c r="AK541"/>
      <c r="AM541"/>
    </row>
    <row r="542" spans="1:39" ht="25.15" customHeight="1" outlineLevel="1" x14ac:dyDescent="0.2">
      <c r="A542" s="10" t="s">
        <v>712</v>
      </c>
      <c r="B542" s="98" t="s">
        <v>713</v>
      </c>
      <c r="C542" s="98"/>
      <c r="D542" s="98"/>
      <c r="E542" s="98"/>
      <c r="F542" s="98"/>
      <c r="G542" s="98"/>
      <c r="H542" s="98"/>
      <c r="I542" s="98"/>
      <c r="J542" s="98"/>
      <c r="K542" s="98"/>
      <c r="L542" s="98"/>
      <c r="M542" s="98"/>
      <c r="N542" s="98" t="s">
        <v>47</v>
      </c>
      <c r="O542" s="98"/>
      <c r="P542" s="98"/>
      <c r="Q542" s="185">
        <v>1534</v>
      </c>
      <c r="R542" s="165"/>
      <c r="S542" s="165"/>
      <c r="T542" s="165"/>
      <c r="U542" s="165"/>
      <c r="V542" s="165"/>
      <c r="W542" s="97">
        <v>34</v>
      </c>
      <c r="X542" s="95"/>
      <c r="Y542" s="95"/>
      <c r="Z542" s="95"/>
      <c r="AA542" s="95"/>
      <c r="AB542" s="95"/>
      <c r="AC542" s="126">
        <v>52156</v>
      </c>
      <c r="AD542" s="95"/>
      <c r="AE542" s="95"/>
      <c r="AF542" s="31"/>
      <c r="AG542" s="31"/>
      <c r="AH542"/>
      <c r="AI542"/>
      <c r="AJ542"/>
      <c r="AK542"/>
      <c r="AM542"/>
    </row>
    <row r="543" spans="1:39" ht="9.6" customHeight="1" outlineLevel="1" x14ac:dyDescent="0.2">
      <c r="A543" s="10" t="s">
        <v>714</v>
      </c>
      <c r="B543" s="98" t="s">
        <v>715</v>
      </c>
      <c r="C543" s="98"/>
      <c r="D543" s="98"/>
      <c r="E543" s="98"/>
      <c r="F543" s="98"/>
      <c r="G543" s="98"/>
      <c r="H543" s="98"/>
      <c r="I543" s="98"/>
      <c r="J543" s="98"/>
      <c r="K543" s="98"/>
      <c r="L543" s="98"/>
      <c r="M543" s="98"/>
      <c r="N543" s="98" t="s">
        <v>47</v>
      </c>
      <c r="O543" s="98"/>
      <c r="P543" s="98"/>
      <c r="Q543" s="185">
        <v>1534</v>
      </c>
      <c r="R543" s="165"/>
      <c r="S543" s="165"/>
      <c r="T543" s="165"/>
      <c r="U543" s="165"/>
      <c r="V543" s="165"/>
      <c r="W543" s="97">
        <v>30</v>
      </c>
      <c r="X543" s="95"/>
      <c r="Y543" s="95"/>
      <c r="Z543" s="95"/>
      <c r="AA543" s="95"/>
      <c r="AB543" s="95"/>
      <c r="AC543" s="126">
        <v>46020</v>
      </c>
      <c r="AD543" s="95"/>
      <c r="AE543" s="95"/>
      <c r="AF543" s="31"/>
      <c r="AG543" s="31"/>
      <c r="AH543"/>
      <c r="AI543"/>
      <c r="AJ543"/>
      <c r="AK543"/>
      <c r="AM543"/>
    </row>
    <row r="544" spans="1:39" ht="38.450000000000003" customHeight="1" x14ac:dyDescent="0.2">
      <c r="A544" s="29" t="s">
        <v>716</v>
      </c>
      <c r="B544" s="174" t="s">
        <v>717</v>
      </c>
      <c r="C544" s="174"/>
      <c r="D544" s="174"/>
      <c r="E544" s="174"/>
      <c r="F544" s="174"/>
      <c r="G544" s="174"/>
      <c r="H544" s="174"/>
      <c r="I544" s="174"/>
      <c r="J544" s="174"/>
      <c r="K544" s="174"/>
      <c r="L544" s="174"/>
      <c r="M544" s="174"/>
      <c r="N544" s="174"/>
      <c r="O544" s="174"/>
      <c r="P544" s="174"/>
      <c r="Q544" s="175"/>
      <c r="R544" s="175"/>
      <c r="S544" s="175"/>
      <c r="T544" s="175"/>
      <c r="U544" s="175"/>
      <c r="V544" s="175"/>
      <c r="W544" s="175"/>
      <c r="X544" s="175"/>
      <c r="Y544" s="175"/>
      <c r="Z544" s="175"/>
      <c r="AA544" s="175"/>
      <c r="AB544" s="175"/>
      <c r="AC544" s="237">
        <v>812089.24</v>
      </c>
      <c r="AD544" s="175"/>
      <c r="AE544" s="175"/>
      <c r="AF544" s="279" t="s">
        <v>877</v>
      </c>
      <c r="AG544" s="280"/>
      <c r="AH544"/>
      <c r="AI544"/>
      <c r="AJ544"/>
      <c r="AK544"/>
      <c r="AM544"/>
    </row>
    <row r="545" spans="1:39" ht="25.15" customHeight="1" outlineLevel="1" x14ac:dyDescent="0.2">
      <c r="A545" s="18" t="s">
        <v>718</v>
      </c>
      <c r="B545" s="137" t="s">
        <v>717</v>
      </c>
      <c r="C545" s="137"/>
      <c r="D545" s="137"/>
      <c r="E545" s="137"/>
      <c r="F545" s="137"/>
      <c r="G545" s="137"/>
      <c r="H545" s="137"/>
      <c r="I545" s="137"/>
      <c r="J545" s="137"/>
      <c r="K545" s="137"/>
      <c r="L545" s="137"/>
      <c r="M545" s="137"/>
      <c r="N545" s="137"/>
      <c r="O545" s="137"/>
      <c r="P545" s="137"/>
      <c r="Q545" s="160"/>
      <c r="R545" s="160"/>
      <c r="S545" s="160"/>
      <c r="T545" s="160"/>
      <c r="U545" s="160"/>
      <c r="V545" s="160"/>
      <c r="W545" s="160"/>
      <c r="X545" s="160"/>
      <c r="Y545" s="160"/>
      <c r="Z545" s="160"/>
      <c r="AA545" s="160"/>
      <c r="AB545" s="160"/>
      <c r="AC545" s="162">
        <v>812089.24</v>
      </c>
      <c r="AD545" s="160"/>
      <c r="AE545" s="160"/>
      <c r="AG545" s="31"/>
      <c r="AH545"/>
      <c r="AI545"/>
      <c r="AJ545"/>
      <c r="AK545"/>
      <c r="AM545"/>
    </row>
    <row r="546" spans="1:39" ht="25.15" customHeight="1" outlineLevel="2" x14ac:dyDescent="0.2">
      <c r="A546" s="18" t="s">
        <v>719</v>
      </c>
      <c r="B546" s="137" t="s">
        <v>720</v>
      </c>
      <c r="C546" s="137"/>
      <c r="D546" s="137"/>
      <c r="E546" s="137"/>
      <c r="F546" s="137"/>
      <c r="G546" s="137"/>
      <c r="H546" s="137"/>
      <c r="I546" s="137"/>
      <c r="J546" s="137"/>
      <c r="K546" s="137"/>
      <c r="L546" s="137"/>
      <c r="M546" s="137"/>
      <c r="N546" s="137"/>
      <c r="O546" s="137"/>
      <c r="P546" s="137"/>
      <c r="Q546" s="160"/>
      <c r="R546" s="160"/>
      <c r="S546" s="160"/>
      <c r="T546" s="160"/>
      <c r="U546" s="160"/>
      <c r="V546" s="160"/>
      <c r="W546" s="160"/>
      <c r="X546" s="160"/>
      <c r="Y546" s="160"/>
      <c r="Z546" s="160"/>
      <c r="AA546" s="160"/>
      <c r="AB546" s="160"/>
      <c r="AC546" s="162">
        <v>499640</v>
      </c>
      <c r="AD546" s="160"/>
      <c r="AE546" s="160"/>
      <c r="AF546" s="31"/>
      <c r="AG546" s="31"/>
      <c r="AH546"/>
      <c r="AI546"/>
      <c r="AJ546"/>
      <c r="AK546"/>
      <c r="AM546"/>
    </row>
    <row r="547" spans="1:39" ht="25.15" customHeight="1" outlineLevel="2" x14ac:dyDescent="0.2">
      <c r="A547" s="10" t="s">
        <v>721</v>
      </c>
      <c r="B547" s="183" t="s">
        <v>720</v>
      </c>
      <c r="C547" s="183"/>
      <c r="D547" s="183"/>
      <c r="E547" s="183"/>
      <c r="F547" s="183"/>
      <c r="G547" s="183"/>
      <c r="H547" s="183"/>
      <c r="I547" s="183"/>
      <c r="J547" s="183"/>
      <c r="K547" s="183"/>
      <c r="L547" s="183"/>
      <c r="M547" s="183"/>
      <c r="N547" s="98" t="s">
        <v>27</v>
      </c>
      <c r="O547" s="98"/>
      <c r="P547" s="98"/>
      <c r="Q547" s="99">
        <v>1</v>
      </c>
      <c r="R547" s="95"/>
      <c r="S547" s="95"/>
      <c r="T547" s="95"/>
      <c r="U547" s="95"/>
      <c r="V547" s="95"/>
      <c r="W547" s="100">
        <v>499640</v>
      </c>
      <c r="X547" s="95"/>
      <c r="Y547" s="95"/>
      <c r="Z547" s="95"/>
      <c r="AA547" s="95"/>
      <c r="AB547" s="95"/>
      <c r="AC547" s="101">
        <v>499640</v>
      </c>
      <c r="AD547" s="95"/>
      <c r="AE547" s="95"/>
      <c r="AF547" s="40" t="s">
        <v>940</v>
      </c>
      <c r="AG547" s="31"/>
      <c r="AH547"/>
      <c r="AI547"/>
      <c r="AJ547"/>
      <c r="AK547"/>
      <c r="AM547"/>
    </row>
    <row r="548" spans="1:39" ht="25.15" customHeight="1" outlineLevel="2" x14ac:dyDescent="0.2">
      <c r="A548" s="18" t="s">
        <v>722</v>
      </c>
      <c r="B548" s="137" t="s">
        <v>723</v>
      </c>
      <c r="C548" s="137"/>
      <c r="D548" s="137"/>
      <c r="E548" s="137"/>
      <c r="F548" s="137"/>
      <c r="G548" s="137"/>
      <c r="H548" s="137"/>
      <c r="I548" s="137"/>
      <c r="J548" s="137"/>
      <c r="K548" s="137"/>
      <c r="L548" s="137"/>
      <c r="M548" s="137"/>
      <c r="N548" s="137"/>
      <c r="O548" s="137"/>
      <c r="P548" s="137"/>
      <c r="Q548" s="160"/>
      <c r="R548" s="160"/>
      <c r="S548" s="160"/>
      <c r="T548" s="160"/>
      <c r="U548" s="160"/>
      <c r="V548" s="160"/>
      <c r="W548" s="160"/>
      <c r="X548" s="160"/>
      <c r="Y548" s="160"/>
      <c r="Z548" s="160"/>
      <c r="AA548" s="160"/>
      <c r="AB548" s="160"/>
      <c r="AC548" s="169">
        <v>50000</v>
      </c>
      <c r="AD548" s="160"/>
      <c r="AE548" s="160"/>
      <c r="AF548" s="31"/>
      <c r="AG548" s="31"/>
      <c r="AH548"/>
      <c r="AI548"/>
      <c r="AJ548"/>
      <c r="AK548"/>
      <c r="AM548"/>
    </row>
    <row r="549" spans="1:39" ht="25.15" customHeight="1" outlineLevel="2" x14ac:dyDescent="0.2">
      <c r="A549" s="10" t="s">
        <v>724</v>
      </c>
      <c r="B549" s="98" t="s">
        <v>725</v>
      </c>
      <c r="C549" s="98"/>
      <c r="D549" s="98"/>
      <c r="E549" s="98"/>
      <c r="F549" s="98"/>
      <c r="G549" s="98"/>
      <c r="H549" s="98"/>
      <c r="I549" s="98"/>
      <c r="J549" s="98"/>
      <c r="K549" s="98"/>
      <c r="L549" s="98"/>
      <c r="M549" s="98"/>
      <c r="N549" s="98" t="s">
        <v>27</v>
      </c>
      <c r="O549" s="98"/>
      <c r="P549" s="98"/>
      <c r="Q549" s="99">
        <v>1</v>
      </c>
      <c r="R549" s="95"/>
      <c r="S549" s="95"/>
      <c r="T549" s="95"/>
      <c r="U549" s="95"/>
      <c r="V549" s="95"/>
      <c r="W549" s="173">
        <v>50000</v>
      </c>
      <c r="X549" s="95"/>
      <c r="Y549" s="95"/>
      <c r="Z549" s="95"/>
      <c r="AA549" s="95"/>
      <c r="AB549" s="95"/>
      <c r="AC549" s="126">
        <v>50000</v>
      </c>
      <c r="AD549" s="95"/>
      <c r="AE549" s="95"/>
      <c r="AF549" s="31"/>
      <c r="AG549" s="31"/>
      <c r="AH549"/>
      <c r="AI549"/>
      <c r="AJ549"/>
      <c r="AK549"/>
      <c r="AM549"/>
    </row>
    <row r="550" spans="1:39" ht="25.15" customHeight="1" outlineLevel="2" x14ac:dyDescent="0.2">
      <c r="A550" s="18" t="s">
        <v>726</v>
      </c>
      <c r="B550" s="137" t="s">
        <v>727</v>
      </c>
      <c r="C550" s="137"/>
      <c r="D550" s="137"/>
      <c r="E550" s="137"/>
      <c r="F550" s="137"/>
      <c r="G550" s="137"/>
      <c r="H550" s="137"/>
      <c r="I550" s="137"/>
      <c r="J550" s="137"/>
      <c r="K550" s="137"/>
      <c r="L550" s="137"/>
      <c r="M550" s="137"/>
      <c r="N550" s="137"/>
      <c r="O550" s="137"/>
      <c r="P550" s="137"/>
      <c r="Q550" s="160"/>
      <c r="R550" s="160"/>
      <c r="S550" s="160"/>
      <c r="T550" s="160"/>
      <c r="U550" s="160"/>
      <c r="V550" s="160"/>
      <c r="W550" s="160"/>
      <c r="X550" s="160"/>
      <c r="Y550" s="160"/>
      <c r="Z550" s="160"/>
      <c r="AA550" s="160"/>
      <c r="AB550" s="160"/>
      <c r="AC550" s="169">
        <v>35000</v>
      </c>
      <c r="AD550" s="160"/>
      <c r="AE550" s="160"/>
      <c r="AF550" s="31"/>
      <c r="AG550" s="31"/>
      <c r="AH550"/>
      <c r="AI550"/>
      <c r="AJ550"/>
      <c r="AK550"/>
      <c r="AM550"/>
    </row>
    <row r="551" spans="1:39" ht="25.15" customHeight="1" outlineLevel="2" x14ac:dyDescent="0.2">
      <c r="A551" s="10" t="s">
        <v>728</v>
      </c>
      <c r="B551" s="98" t="s">
        <v>727</v>
      </c>
      <c r="C551" s="98"/>
      <c r="D551" s="98"/>
      <c r="E551" s="98"/>
      <c r="F551" s="98"/>
      <c r="G551" s="98"/>
      <c r="H551" s="98"/>
      <c r="I551" s="98"/>
      <c r="J551" s="98"/>
      <c r="K551" s="98"/>
      <c r="L551" s="98"/>
      <c r="M551" s="98"/>
      <c r="N551" s="98" t="s">
        <v>27</v>
      </c>
      <c r="O551" s="98"/>
      <c r="P551" s="98"/>
      <c r="Q551" s="99">
        <v>1</v>
      </c>
      <c r="R551" s="95"/>
      <c r="S551" s="95"/>
      <c r="T551" s="95"/>
      <c r="U551" s="95"/>
      <c r="V551" s="95"/>
      <c r="W551" s="173">
        <v>35000</v>
      </c>
      <c r="X551" s="95"/>
      <c r="Y551" s="95"/>
      <c r="Z551" s="95"/>
      <c r="AA551" s="95"/>
      <c r="AB551" s="95"/>
      <c r="AC551" s="126">
        <v>35000</v>
      </c>
      <c r="AD551" s="95"/>
      <c r="AE551" s="95"/>
      <c r="AF551" s="31"/>
      <c r="AG551" s="31"/>
      <c r="AH551"/>
      <c r="AI551"/>
      <c r="AJ551"/>
      <c r="AK551"/>
      <c r="AM551"/>
    </row>
    <row r="552" spans="1:39" ht="25.15" customHeight="1" outlineLevel="2" x14ac:dyDescent="0.2">
      <c r="A552" s="18" t="s">
        <v>729</v>
      </c>
      <c r="B552" s="137" t="s">
        <v>730</v>
      </c>
      <c r="C552" s="137"/>
      <c r="D552" s="137"/>
      <c r="E552" s="137"/>
      <c r="F552" s="137"/>
      <c r="G552" s="137"/>
      <c r="H552" s="137"/>
      <c r="I552" s="137"/>
      <c r="J552" s="137"/>
      <c r="K552" s="137"/>
      <c r="L552" s="137"/>
      <c r="M552" s="137"/>
      <c r="N552" s="137"/>
      <c r="O552" s="137"/>
      <c r="P552" s="137"/>
      <c r="Q552" s="160"/>
      <c r="R552" s="160"/>
      <c r="S552" s="160"/>
      <c r="T552" s="160"/>
      <c r="U552" s="160"/>
      <c r="V552" s="160"/>
      <c r="W552" s="160"/>
      <c r="X552" s="160"/>
      <c r="Y552" s="160"/>
      <c r="Z552" s="160"/>
      <c r="AA552" s="160"/>
      <c r="AB552" s="160"/>
      <c r="AC552" s="169">
        <v>57449.24</v>
      </c>
      <c r="AD552" s="160"/>
      <c r="AE552" s="160"/>
      <c r="AF552" s="31"/>
      <c r="AG552" s="31"/>
      <c r="AH552"/>
      <c r="AI552"/>
      <c r="AJ552"/>
      <c r="AK552"/>
      <c r="AM552"/>
    </row>
    <row r="553" spans="1:39" ht="25.15" customHeight="1" outlineLevel="2" x14ac:dyDescent="0.2">
      <c r="A553" s="10" t="s">
        <v>731</v>
      </c>
      <c r="B553" s="98" t="s">
        <v>732</v>
      </c>
      <c r="C553" s="98"/>
      <c r="D553" s="98"/>
      <c r="E553" s="98"/>
      <c r="F553" s="98"/>
      <c r="G553" s="98"/>
      <c r="H553" s="98"/>
      <c r="I553" s="98"/>
      <c r="J553" s="98"/>
      <c r="K553" s="98"/>
      <c r="L553" s="98"/>
      <c r="M553" s="98"/>
      <c r="N553" s="98" t="s">
        <v>47</v>
      </c>
      <c r="O553" s="98"/>
      <c r="P553" s="98"/>
      <c r="Q553" s="132">
        <v>4245.7700000000004</v>
      </c>
      <c r="R553" s="95"/>
      <c r="S553" s="95"/>
      <c r="T553" s="95"/>
      <c r="U553" s="95"/>
      <c r="V553" s="95"/>
      <c r="W553" s="97">
        <v>12</v>
      </c>
      <c r="X553" s="95"/>
      <c r="Y553" s="95"/>
      <c r="Z553" s="95"/>
      <c r="AA553" s="95"/>
      <c r="AB553" s="95"/>
      <c r="AC553" s="126">
        <v>50949.24</v>
      </c>
      <c r="AD553" s="95"/>
      <c r="AE553" s="95"/>
      <c r="AF553" s="31"/>
      <c r="AG553" s="31"/>
      <c r="AH553"/>
      <c r="AI553"/>
      <c r="AJ553"/>
      <c r="AK553"/>
      <c r="AM553"/>
    </row>
    <row r="554" spans="1:39" ht="25.15" customHeight="1" outlineLevel="2" x14ac:dyDescent="0.2">
      <c r="A554" s="10" t="s">
        <v>733</v>
      </c>
      <c r="B554" s="98" t="s">
        <v>734</v>
      </c>
      <c r="C554" s="98"/>
      <c r="D554" s="98"/>
      <c r="E554" s="98"/>
      <c r="F554" s="98"/>
      <c r="G554" s="98"/>
      <c r="H554" s="98"/>
      <c r="I554" s="98"/>
      <c r="J554" s="98"/>
      <c r="K554" s="98"/>
      <c r="L554" s="98"/>
      <c r="M554" s="98"/>
      <c r="N554" s="98" t="s">
        <v>27</v>
      </c>
      <c r="O554" s="98"/>
      <c r="P554" s="98"/>
      <c r="Q554" s="99">
        <v>1</v>
      </c>
      <c r="R554" s="95"/>
      <c r="S554" s="95"/>
      <c r="T554" s="95"/>
      <c r="U554" s="95"/>
      <c r="V554" s="95"/>
      <c r="W554" s="132">
        <v>6500</v>
      </c>
      <c r="X554" s="95"/>
      <c r="Y554" s="95"/>
      <c r="Z554" s="95"/>
      <c r="AA554" s="95"/>
      <c r="AB554" s="95"/>
      <c r="AC554" s="94">
        <v>6500</v>
      </c>
      <c r="AD554" s="95"/>
      <c r="AE554" s="95"/>
      <c r="AF554" s="31"/>
      <c r="AG554" s="31"/>
      <c r="AH554"/>
      <c r="AI554"/>
      <c r="AJ554"/>
      <c r="AK554"/>
      <c r="AM554"/>
    </row>
    <row r="555" spans="1:39" ht="25.15" customHeight="1" outlineLevel="2" x14ac:dyDescent="0.2">
      <c r="A555" s="13"/>
      <c r="B555" s="96" t="s">
        <v>811</v>
      </c>
      <c r="C555" s="96"/>
      <c r="D555" s="96"/>
      <c r="E555" s="96"/>
      <c r="F555" s="96"/>
      <c r="G555" s="96"/>
      <c r="H555" s="96"/>
      <c r="I555" s="96"/>
      <c r="J555" s="96"/>
      <c r="K555" s="96"/>
      <c r="L555" s="96"/>
      <c r="M555" s="96"/>
      <c r="N555" s="98" t="s">
        <v>27</v>
      </c>
      <c r="O555" s="98"/>
      <c r="P555" s="98"/>
      <c r="Q555" s="97">
        <v>1</v>
      </c>
      <c r="R555" s="95"/>
      <c r="S555" s="95"/>
      <c r="T555" s="95"/>
      <c r="U555" s="95"/>
      <c r="V555" s="95"/>
      <c r="W555" s="97"/>
      <c r="X555" s="95"/>
      <c r="Y555" s="95"/>
      <c r="Z555" s="95"/>
      <c r="AA555" s="95"/>
      <c r="AB555" s="95"/>
      <c r="AC555" s="94"/>
      <c r="AD555" s="95"/>
      <c r="AE555" s="95"/>
      <c r="AF555" s="40"/>
      <c r="AG555" s="31"/>
      <c r="AH555"/>
      <c r="AI555"/>
      <c r="AJ555"/>
      <c r="AK555"/>
      <c r="AM555"/>
    </row>
    <row r="556" spans="1:39" ht="25.15" customHeight="1" outlineLevel="2" x14ac:dyDescent="0.2">
      <c r="A556" s="18" t="s">
        <v>735</v>
      </c>
      <c r="B556" s="137" t="s">
        <v>736</v>
      </c>
      <c r="C556" s="137"/>
      <c r="D556" s="137"/>
      <c r="E556" s="137"/>
      <c r="F556" s="137"/>
      <c r="G556" s="137"/>
      <c r="H556" s="137"/>
      <c r="I556" s="137"/>
      <c r="J556" s="137"/>
      <c r="K556" s="137"/>
      <c r="L556" s="137"/>
      <c r="M556" s="137"/>
      <c r="N556" s="137"/>
      <c r="O556" s="137"/>
      <c r="P556" s="137"/>
      <c r="Q556" s="160"/>
      <c r="R556" s="160"/>
      <c r="S556" s="160"/>
      <c r="T556" s="160"/>
      <c r="U556" s="160"/>
      <c r="V556" s="160"/>
      <c r="W556" s="160"/>
      <c r="X556" s="160"/>
      <c r="Y556" s="160"/>
      <c r="Z556" s="160"/>
      <c r="AA556" s="160"/>
      <c r="AB556" s="160"/>
      <c r="AC556" s="162">
        <v>170000</v>
      </c>
      <c r="AD556" s="160"/>
      <c r="AE556" s="160"/>
      <c r="AF556" s="49" t="s">
        <v>943</v>
      </c>
      <c r="AG556" s="31"/>
      <c r="AH556"/>
      <c r="AI556"/>
      <c r="AJ556"/>
      <c r="AK556"/>
      <c r="AM556"/>
    </row>
    <row r="557" spans="1:39" ht="25.15" customHeight="1" outlineLevel="2" x14ac:dyDescent="0.2">
      <c r="A557" s="10" t="s">
        <v>737</v>
      </c>
      <c r="B557" s="98" t="s">
        <v>738</v>
      </c>
      <c r="C557" s="98"/>
      <c r="D557" s="98"/>
      <c r="E557" s="98"/>
      <c r="F557" s="98"/>
      <c r="G557" s="98"/>
      <c r="H557" s="98"/>
      <c r="I557" s="98"/>
      <c r="J557" s="98"/>
      <c r="K557" s="98"/>
      <c r="L557" s="98"/>
      <c r="M557" s="98"/>
      <c r="N557" s="98" t="s">
        <v>27</v>
      </c>
      <c r="O557" s="98"/>
      <c r="P557" s="98"/>
      <c r="Q557" s="99">
        <v>1</v>
      </c>
      <c r="R557" s="95"/>
      <c r="S557" s="95"/>
      <c r="T557" s="95"/>
      <c r="U557" s="95"/>
      <c r="V557" s="95"/>
      <c r="W557" s="100">
        <v>170000</v>
      </c>
      <c r="X557" s="95"/>
      <c r="Y557" s="95"/>
      <c r="Z557" s="95"/>
      <c r="AA557" s="95"/>
      <c r="AB557" s="95"/>
      <c r="AC557" s="101">
        <v>170000</v>
      </c>
      <c r="AD557" s="95"/>
      <c r="AE557" s="95"/>
      <c r="AF557" s="31"/>
      <c r="AG557" s="31"/>
      <c r="AH557"/>
      <c r="AI557"/>
      <c r="AJ557"/>
      <c r="AK557"/>
      <c r="AM557"/>
    </row>
    <row r="558" spans="1:39" ht="25.15" customHeight="1" outlineLevel="2" x14ac:dyDescent="0.2">
      <c r="A558" s="9"/>
      <c r="B558" s="120" t="s">
        <v>812</v>
      </c>
      <c r="C558" s="121"/>
      <c r="D558" s="121"/>
      <c r="E558" s="121"/>
      <c r="F558" s="121"/>
      <c r="G558" s="121"/>
      <c r="H558" s="121"/>
      <c r="I558" s="121"/>
      <c r="J558" s="121"/>
      <c r="K558" s="121"/>
      <c r="L558" s="121"/>
      <c r="M558" s="122"/>
      <c r="N558" s="265"/>
      <c r="O558" s="266"/>
      <c r="P558" s="267"/>
      <c r="Q558" s="268"/>
      <c r="R558" s="269"/>
      <c r="S558" s="269"/>
      <c r="T558" s="269"/>
      <c r="U558" s="269"/>
      <c r="V558" s="270"/>
      <c r="W558" s="268"/>
      <c r="X558" s="269"/>
      <c r="Y558" s="269"/>
      <c r="Z558" s="269"/>
      <c r="AA558" s="269"/>
      <c r="AB558" s="270"/>
      <c r="AC558" s="271"/>
      <c r="AD558" s="272"/>
      <c r="AE558" s="273"/>
      <c r="AF558" s="40" t="s">
        <v>941</v>
      </c>
      <c r="AG558" s="31"/>
      <c r="AH558"/>
      <c r="AI558"/>
      <c r="AJ558"/>
      <c r="AK558"/>
      <c r="AM558"/>
    </row>
    <row r="559" spans="1:39" ht="25.15" customHeight="1" x14ac:dyDescent="0.2">
      <c r="A559" s="202" t="s">
        <v>48</v>
      </c>
      <c r="B559" s="202"/>
      <c r="C559" s="202"/>
      <c r="D559" s="202"/>
      <c r="E559" s="202"/>
      <c r="F559" s="202"/>
      <c r="G559" s="202"/>
      <c r="H559" s="202"/>
      <c r="I559" s="202"/>
      <c r="J559" s="202"/>
      <c r="K559" s="202"/>
      <c r="L559" s="202"/>
      <c r="M559" s="202"/>
      <c r="N559" s="202"/>
      <c r="O559" s="202"/>
      <c r="P559" s="202"/>
      <c r="Q559" s="202"/>
      <c r="R559" s="202"/>
      <c r="S559" s="202"/>
      <c r="T559" s="202"/>
      <c r="U559" s="202"/>
      <c r="V559" s="202"/>
      <c r="W559" s="202"/>
      <c r="X559" s="202"/>
      <c r="Y559" s="202"/>
      <c r="Z559" s="202"/>
      <c r="AA559" s="202"/>
      <c r="AB559" s="202"/>
      <c r="AC559" s="263">
        <v>13168146.67</v>
      </c>
      <c r="AD559" s="202"/>
      <c r="AE559" s="202"/>
      <c r="AF559" s="31"/>
      <c r="AG559" s="31"/>
      <c r="AH559"/>
      <c r="AI559"/>
      <c r="AJ559"/>
      <c r="AK559"/>
      <c r="AM559"/>
    </row>
    <row r="560" spans="1:39" ht="25.15" customHeight="1" x14ac:dyDescent="0.2">
      <c r="A560" s="202" t="s">
        <v>739</v>
      </c>
      <c r="B560" s="202"/>
      <c r="C560" s="202"/>
      <c r="D560" s="202"/>
      <c r="E560" s="202"/>
      <c r="F560" s="202"/>
      <c r="G560" s="202"/>
      <c r="H560" s="202"/>
      <c r="I560" s="202"/>
      <c r="J560" s="202"/>
      <c r="K560" s="202"/>
      <c r="L560" s="202"/>
      <c r="M560" s="202"/>
      <c r="N560" s="202"/>
      <c r="O560" s="202"/>
      <c r="P560" s="202"/>
      <c r="Q560" s="202"/>
      <c r="R560" s="202"/>
      <c r="S560" s="202"/>
      <c r="T560" s="202"/>
      <c r="U560" s="202"/>
      <c r="V560" s="202"/>
      <c r="W560" s="202"/>
      <c r="X560" s="202"/>
      <c r="Y560" s="202"/>
      <c r="Z560" s="202"/>
      <c r="AA560" s="202"/>
      <c r="AB560" s="202"/>
      <c r="AC560" s="263">
        <f>23661252.34-7764766.15</f>
        <v>15896486.189999999</v>
      </c>
      <c r="AD560" s="202"/>
      <c r="AE560" s="202"/>
      <c r="AF560" s="31"/>
      <c r="AG560" s="31"/>
      <c r="AH560"/>
      <c r="AI560"/>
      <c r="AJ560"/>
      <c r="AK560"/>
      <c r="AM560"/>
    </row>
    <row r="561" spans="1:39" ht="25.15" customHeight="1" x14ac:dyDescent="0.2">
      <c r="A561" s="60"/>
      <c r="B561" s="60"/>
      <c r="C561" s="60"/>
      <c r="D561" s="60"/>
      <c r="E561" s="60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2"/>
      <c r="V561" s="62"/>
      <c r="W561" s="62"/>
      <c r="X561" s="62"/>
      <c r="Y561" s="62"/>
      <c r="Z561" s="62"/>
      <c r="AA561" s="62"/>
      <c r="AB561" s="62"/>
      <c r="AC561" s="62"/>
      <c r="AD561" s="62"/>
      <c r="AE561" s="62"/>
      <c r="AF561" s="5"/>
      <c r="AG561" s="5"/>
      <c r="AK561" s="16"/>
      <c r="AM561" s="26"/>
    </row>
    <row r="562" spans="1:39" ht="25.15" customHeight="1" x14ac:dyDescent="0.2">
      <c r="A562" s="63" t="s">
        <v>740</v>
      </c>
      <c r="B562" s="63"/>
      <c r="C562" s="63"/>
      <c r="D562" s="63"/>
      <c r="E562" s="63"/>
      <c r="F562" s="64" t="s">
        <v>741</v>
      </c>
      <c r="G562" s="64"/>
      <c r="H562" s="64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5"/>
      <c r="V562" s="65"/>
      <c r="W562" s="65"/>
      <c r="X562" s="65"/>
      <c r="Y562" s="65"/>
      <c r="Z562" s="65"/>
      <c r="AA562" s="65"/>
      <c r="AB562" s="65"/>
      <c r="AC562" s="65"/>
      <c r="AD562" s="65"/>
      <c r="AE562" s="65"/>
      <c r="AF562" s="5"/>
      <c r="AG562" s="5"/>
      <c r="AH562" s="28"/>
      <c r="AI562" s="28"/>
      <c r="AJ562" s="28"/>
      <c r="AK562" s="27"/>
      <c r="AM562" s="16"/>
    </row>
    <row r="563" spans="1:39" ht="25.15" customHeight="1" x14ac:dyDescent="0.2">
      <c r="A563" s="10"/>
      <c r="B563" s="96"/>
      <c r="C563" s="96"/>
      <c r="D563" s="96"/>
      <c r="E563" s="96"/>
      <c r="F563" s="96"/>
      <c r="G563" s="96"/>
      <c r="H563" s="96"/>
      <c r="I563" s="96"/>
      <c r="J563" s="96"/>
      <c r="K563" s="96"/>
      <c r="L563" s="96"/>
      <c r="M563" s="96"/>
      <c r="N563" s="98"/>
      <c r="O563" s="98"/>
      <c r="P563" s="98"/>
      <c r="Q563" s="99"/>
      <c r="R563" s="95"/>
      <c r="S563" s="95"/>
      <c r="T563" s="95"/>
      <c r="U563" s="95"/>
      <c r="V563" s="95"/>
      <c r="W563" s="100"/>
      <c r="X563" s="95"/>
      <c r="Y563" s="95"/>
      <c r="Z563" s="95"/>
      <c r="AA563" s="95"/>
      <c r="AB563" s="95"/>
      <c r="AC563" s="101"/>
      <c r="AD563" s="95"/>
      <c r="AE563" s="95"/>
      <c r="AF563" s="5"/>
      <c r="AG563" s="5"/>
      <c r="AK563" s="16"/>
    </row>
    <row r="564" spans="1:39" ht="25.15" customHeight="1" x14ac:dyDescent="0.2">
      <c r="B564" s="28"/>
      <c r="C564" s="28"/>
      <c r="D564" s="28"/>
      <c r="E564" s="27"/>
      <c r="G564" s="6"/>
      <c r="AH564"/>
      <c r="AI564"/>
      <c r="AJ564"/>
      <c r="AK564"/>
      <c r="AM564"/>
    </row>
    <row r="565" spans="1:39" ht="25.15" customHeight="1" x14ac:dyDescent="0.2">
      <c r="B565" s="4"/>
      <c r="C565" s="4"/>
      <c r="D565" s="4"/>
      <c r="E565" s="4"/>
      <c r="F565" s="4"/>
      <c r="G565" s="6"/>
      <c r="AH565"/>
      <c r="AI565"/>
      <c r="AJ565"/>
      <c r="AK565"/>
      <c r="AM565"/>
    </row>
    <row r="566" spans="1:39" ht="25.15" customHeight="1" x14ac:dyDescent="0.2">
      <c r="B566" s="4"/>
      <c r="C566" s="4"/>
      <c r="D566" s="4"/>
      <c r="E566" s="4"/>
      <c r="F566" s="4"/>
      <c r="G566" s="6"/>
      <c r="AH566"/>
      <c r="AI566"/>
      <c r="AJ566"/>
      <c r="AK566"/>
      <c r="AM566"/>
    </row>
    <row r="567" spans="1:39" ht="25.15" customHeight="1" x14ac:dyDescent="0.2">
      <c r="B567" s="4"/>
      <c r="C567" s="4"/>
      <c r="D567" s="4"/>
      <c r="E567" s="4"/>
      <c r="F567" s="4"/>
      <c r="G567" s="6"/>
      <c r="AH567"/>
      <c r="AI567"/>
      <c r="AJ567"/>
      <c r="AK567"/>
      <c r="AM567"/>
    </row>
    <row r="568" spans="1:39" ht="25.15" customHeight="1" x14ac:dyDescent="0.2">
      <c r="B568" s="4"/>
      <c r="C568" s="4"/>
      <c r="D568" s="4"/>
      <c r="E568" s="4"/>
      <c r="F568" s="4"/>
      <c r="G568" s="6"/>
      <c r="AH568"/>
      <c r="AI568"/>
      <c r="AJ568"/>
      <c r="AK568"/>
      <c r="AM568"/>
    </row>
    <row r="569" spans="1:39" ht="25.15" customHeight="1" x14ac:dyDescent="0.2">
      <c r="B569" s="4"/>
      <c r="C569" s="4"/>
      <c r="D569" s="4"/>
      <c r="E569" s="4"/>
      <c r="F569" s="4"/>
      <c r="G569" s="6"/>
      <c r="AH569"/>
      <c r="AI569"/>
      <c r="AJ569"/>
      <c r="AK569"/>
      <c r="AM569"/>
    </row>
    <row r="570" spans="1:39" ht="25.15" customHeight="1" x14ac:dyDescent="0.2">
      <c r="B570" s="4"/>
      <c r="C570" s="4"/>
      <c r="D570" s="4"/>
      <c r="E570" s="4"/>
      <c r="F570" s="4"/>
      <c r="G570" s="6"/>
      <c r="AH570"/>
      <c r="AI570"/>
      <c r="AJ570"/>
      <c r="AK570"/>
      <c r="AM570"/>
    </row>
    <row r="571" spans="1:39" ht="25.15" customHeight="1" x14ac:dyDescent="0.2">
      <c r="B571" s="4"/>
      <c r="C571" s="7"/>
      <c r="D571" s="6"/>
      <c r="E571" s="4"/>
      <c r="F571" s="4"/>
      <c r="G571" s="6"/>
      <c r="AH571"/>
      <c r="AI571"/>
      <c r="AJ571"/>
      <c r="AK571"/>
      <c r="AM571"/>
    </row>
    <row r="572" spans="1:39" ht="25.15" customHeight="1" x14ac:dyDescent="0.2">
      <c r="B572" s="4"/>
      <c r="C572" s="7"/>
      <c r="D572" s="6"/>
      <c r="E572" s="4"/>
      <c r="F572" s="4"/>
      <c r="G572" s="6"/>
      <c r="AH572"/>
      <c r="AI572"/>
      <c r="AJ572"/>
      <c r="AK572"/>
      <c r="AM572"/>
    </row>
    <row r="573" spans="1:39" ht="25.15" customHeight="1" x14ac:dyDescent="0.2">
      <c r="B573" s="4"/>
      <c r="C573" s="4"/>
      <c r="D573" s="4"/>
      <c r="E573" s="4"/>
      <c r="F573" s="4"/>
      <c r="G573" s="6"/>
      <c r="AH573"/>
      <c r="AI573"/>
      <c r="AJ573"/>
      <c r="AK573"/>
      <c r="AM573"/>
    </row>
    <row r="574" spans="1:39" ht="25.15" customHeight="1" x14ac:dyDescent="0.2">
      <c r="G574" s="6"/>
      <c r="AH574"/>
      <c r="AI574"/>
      <c r="AJ574"/>
      <c r="AK574"/>
      <c r="AM574"/>
    </row>
    <row r="575" spans="1:39" ht="25.15" customHeight="1" x14ac:dyDescent="0.2">
      <c r="G575" s="6"/>
      <c r="AH575"/>
      <c r="AI575"/>
      <c r="AJ575"/>
      <c r="AK575"/>
      <c r="AM575"/>
    </row>
    <row r="576" spans="1:39" ht="25.15" customHeight="1" x14ac:dyDescent="0.2">
      <c r="G576" s="6"/>
      <c r="AH576"/>
      <c r="AI576"/>
      <c r="AJ576"/>
      <c r="AK576"/>
      <c r="AM576"/>
    </row>
    <row r="577" spans="7:39" ht="25.15" customHeight="1" x14ac:dyDescent="0.2">
      <c r="G577" s="6"/>
      <c r="AH577"/>
      <c r="AI577"/>
      <c r="AJ577"/>
      <c r="AK577"/>
      <c r="AM577"/>
    </row>
    <row r="578" spans="7:39" ht="25.15" customHeight="1" x14ac:dyDescent="0.2">
      <c r="G578" s="6"/>
      <c r="AH578"/>
      <c r="AI578"/>
      <c r="AJ578"/>
      <c r="AK578"/>
      <c r="AM578"/>
    </row>
  </sheetData>
  <autoFilter ref="A14:AE173" xr:uid="{D4F4CFCB-EB59-46B9-B684-21CB504A403F}"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3" showButton="0"/>
    <filterColumn colId="14" showButton="0"/>
    <filterColumn colId="16" showButton="0"/>
    <filterColumn colId="17" showButton="0"/>
    <filterColumn colId="18" showButton="0"/>
    <filterColumn colId="19" showButton="0"/>
    <filterColumn colId="20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</autoFilter>
  <mergeCells count="2753">
    <mergeCell ref="B68:M68"/>
    <mergeCell ref="N68:P68"/>
    <mergeCell ref="Q68:V68"/>
    <mergeCell ref="W68:AB68"/>
    <mergeCell ref="AC68:AE68"/>
    <mergeCell ref="B168:M168"/>
    <mergeCell ref="N168:P168"/>
    <mergeCell ref="Q168:V168"/>
    <mergeCell ref="W168:AB168"/>
    <mergeCell ref="AC168:AE168"/>
    <mergeCell ref="B165:M165"/>
    <mergeCell ref="N165:P165"/>
    <mergeCell ref="Q165:V165"/>
    <mergeCell ref="W165:AB165"/>
    <mergeCell ref="AC165:AE165"/>
    <mergeCell ref="B89:M89"/>
    <mergeCell ref="N89:P89"/>
    <mergeCell ref="B123:M123"/>
    <mergeCell ref="W78:AB78"/>
    <mergeCell ref="AC78:AE78"/>
    <mergeCell ref="B129:M129"/>
    <mergeCell ref="N129:P129"/>
    <mergeCell ref="Q77:V77"/>
    <mergeCell ref="W77:AB77"/>
    <mergeCell ref="AC77:AE77"/>
    <mergeCell ref="B78:M78"/>
    <mergeCell ref="AC127:AE127"/>
    <mergeCell ref="B128:M128"/>
    <mergeCell ref="N128:P128"/>
    <mergeCell ref="Q128:V128"/>
    <mergeCell ref="W128:AB128"/>
    <mergeCell ref="AC128:AE128"/>
    <mergeCell ref="AF140:AF143"/>
    <mergeCell ref="AF343:AG343"/>
    <mergeCell ref="AF531:AG531"/>
    <mergeCell ref="AF270:AG270"/>
    <mergeCell ref="AF226:AG226"/>
    <mergeCell ref="AF544:AG544"/>
    <mergeCell ref="AF96:AG96"/>
    <mergeCell ref="AF470:AG470"/>
    <mergeCell ref="Q129:V129"/>
    <mergeCell ref="W129:AB129"/>
    <mergeCell ref="AC129:AE129"/>
    <mergeCell ref="B242:M242"/>
    <mergeCell ref="N242:P242"/>
    <mergeCell ref="Q242:V242"/>
    <mergeCell ref="W242:AB242"/>
    <mergeCell ref="W120:AB120"/>
    <mergeCell ref="AC120:AE120"/>
    <mergeCell ref="B121:M121"/>
    <mergeCell ref="N121:P121"/>
    <mergeCell ref="Q121:V121"/>
    <mergeCell ref="N140:P140"/>
    <mergeCell ref="Q140:V140"/>
    <mergeCell ref="W140:AB140"/>
    <mergeCell ref="B126:M126"/>
    <mergeCell ref="N126:P126"/>
    <mergeCell ref="Q126:V126"/>
    <mergeCell ref="W126:AB126"/>
    <mergeCell ref="AC126:AE126"/>
    <mergeCell ref="B127:M127"/>
    <mergeCell ref="N127:P127"/>
    <mergeCell ref="Q127:V127"/>
    <mergeCell ref="W127:AB127"/>
    <mergeCell ref="B122:M122"/>
    <mergeCell ref="N122:P122"/>
    <mergeCell ref="Q122:V122"/>
    <mergeCell ref="W122:AB122"/>
    <mergeCell ref="AC122:AE122"/>
    <mergeCell ref="AC106:AE106"/>
    <mergeCell ref="B96:M96"/>
    <mergeCell ref="N96:P96"/>
    <mergeCell ref="Q96:V96"/>
    <mergeCell ref="W96:AB96"/>
    <mergeCell ref="N123:P123"/>
    <mergeCell ref="Q123:V123"/>
    <mergeCell ref="W123:AB123"/>
    <mergeCell ref="AC123:AE123"/>
    <mergeCell ref="B124:M124"/>
    <mergeCell ref="N124:P124"/>
    <mergeCell ref="Q124:V124"/>
    <mergeCell ref="W124:AB124"/>
    <mergeCell ref="AC124:AE124"/>
    <mergeCell ref="AC107:AE107"/>
    <mergeCell ref="Q115:V115"/>
    <mergeCell ref="W115:AB115"/>
    <mergeCell ref="AC115:AE115"/>
    <mergeCell ref="B116:M116"/>
    <mergeCell ref="N116:P116"/>
    <mergeCell ref="Q116:V116"/>
    <mergeCell ref="W116:AB116"/>
    <mergeCell ref="AC116:AE116"/>
    <mergeCell ref="B112:M112"/>
    <mergeCell ref="N112:P112"/>
    <mergeCell ref="Q112:V112"/>
    <mergeCell ref="W112:AB112"/>
    <mergeCell ref="B125:M125"/>
    <mergeCell ref="N125:P125"/>
    <mergeCell ref="Q125:V125"/>
    <mergeCell ref="W125:AB125"/>
    <mergeCell ref="AC125:AE125"/>
    <mergeCell ref="B109:M109"/>
    <mergeCell ref="N109:P109"/>
    <mergeCell ref="Q109:V109"/>
    <mergeCell ref="W109:AB109"/>
    <mergeCell ref="AC109:AE109"/>
    <mergeCell ref="B114:M114"/>
    <mergeCell ref="N114:P114"/>
    <mergeCell ref="Q114:V114"/>
    <mergeCell ref="W114:AB114"/>
    <mergeCell ref="AC114:AE114"/>
    <mergeCell ref="B120:M120"/>
    <mergeCell ref="N120:P120"/>
    <mergeCell ref="Q120:V120"/>
    <mergeCell ref="W121:AB121"/>
    <mergeCell ref="AC121:AE121"/>
    <mergeCell ref="B117:M117"/>
    <mergeCell ref="N117:P117"/>
    <mergeCell ref="Q117:V117"/>
    <mergeCell ref="W117:AB117"/>
    <mergeCell ref="AC117:AE117"/>
    <mergeCell ref="B119:M119"/>
    <mergeCell ref="N119:P119"/>
    <mergeCell ref="Q119:V119"/>
    <mergeCell ref="W119:AB119"/>
    <mergeCell ref="AC119:AE119"/>
    <mergeCell ref="B115:M115"/>
    <mergeCell ref="N115:P115"/>
    <mergeCell ref="B105:M105"/>
    <mergeCell ref="N90:P90"/>
    <mergeCell ref="Q90:V90"/>
    <mergeCell ref="W90:AB90"/>
    <mergeCell ref="B98:M98"/>
    <mergeCell ref="N98:P98"/>
    <mergeCell ref="Q98:V98"/>
    <mergeCell ref="N105:P105"/>
    <mergeCell ref="Q105:V105"/>
    <mergeCell ref="W105:AB105"/>
    <mergeCell ref="AC105:AE105"/>
    <mergeCell ref="B104:M104"/>
    <mergeCell ref="N104:P104"/>
    <mergeCell ref="Q104:V104"/>
    <mergeCell ref="W104:AB104"/>
    <mergeCell ref="B103:M103"/>
    <mergeCell ref="N103:P103"/>
    <mergeCell ref="Q103:V103"/>
    <mergeCell ref="W103:AB103"/>
    <mergeCell ref="AC103:AE103"/>
    <mergeCell ref="B101:M101"/>
    <mergeCell ref="N101:P101"/>
    <mergeCell ref="Q101:V101"/>
    <mergeCell ref="W101:AB101"/>
    <mergeCell ref="AC101:AE101"/>
    <mergeCell ref="AC93:AE93"/>
    <mergeCell ref="B61:M61"/>
    <mergeCell ref="N61:P61"/>
    <mergeCell ref="Q61:V61"/>
    <mergeCell ref="W61:AB61"/>
    <mergeCell ref="AC61:AE61"/>
    <mergeCell ref="B62:M62"/>
    <mergeCell ref="N62:P62"/>
    <mergeCell ref="Q62:V62"/>
    <mergeCell ref="W62:AB62"/>
    <mergeCell ref="AC62:AE62"/>
    <mergeCell ref="B102:M102"/>
    <mergeCell ref="N102:P102"/>
    <mergeCell ref="Q102:V102"/>
    <mergeCell ref="W102:AB102"/>
    <mergeCell ref="B100:M100"/>
    <mergeCell ref="N100:P100"/>
    <mergeCell ref="Q100:V100"/>
    <mergeCell ref="W100:AB100"/>
    <mergeCell ref="AC100:AE100"/>
    <mergeCell ref="AC102:AE102"/>
    <mergeCell ref="W98:AB98"/>
    <mergeCell ref="AC98:AE98"/>
    <mergeCell ref="B99:M99"/>
    <mergeCell ref="N99:P99"/>
    <mergeCell ref="Q99:V99"/>
    <mergeCell ref="W99:AB99"/>
    <mergeCell ref="AC99:AE99"/>
    <mergeCell ref="AC90:AE90"/>
    <mergeCell ref="B91:M91"/>
    <mergeCell ref="N91:P91"/>
    <mergeCell ref="Q91:V91"/>
    <mergeCell ref="W91:AB91"/>
    <mergeCell ref="B192:M192"/>
    <mergeCell ref="B193:M193"/>
    <mergeCell ref="N193:P193"/>
    <mergeCell ref="Q193:V193"/>
    <mergeCell ref="W193:AB193"/>
    <mergeCell ref="AC193:AE193"/>
    <mergeCell ref="B241:M241"/>
    <mergeCell ref="N241:P241"/>
    <mergeCell ref="Q241:V241"/>
    <mergeCell ref="W241:AB241"/>
    <mergeCell ref="AC241:AE241"/>
    <mergeCell ref="B217:M217"/>
    <mergeCell ref="N217:P217"/>
    <mergeCell ref="Q217:V217"/>
    <mergeCell ref="W217:AB217"/>
    <mergeCell ref="AC217:AE217"/>
    <mergeCell ref="B240:M240"/>
    <mergeCell ref="N240:P240"/>
    <mergeCell ref="Q240:V240"/>
    <mergeCell ref="W240:AB240"/>
    <mergeCell ref="AC240:AE240"/>
    <mergeCell ref="B234:M234"/>
    <mergeCell ref="N234:P234"/>
    <mergeCell ref="Q234:V234"/>
    <mergeCell ref="W234:AB234"/>
    <mergeCell ref="AC234:AE234"/>
    <mergeCell ref="B230:M230"/>
    <mergeCell ref="N230:P230"/>
    <mergeCell ref="Q230:V230"/>
    <mergeCell ref="W230:AB230"/>
    <mergeCell ref="AC230:AE230"/>
    <mergeCell ref="B231:M231"/>
    <mergeCell ref="B555:M555"/>
    <mergeCell ref="N555:P555"/>
    <mergeCell ref="Q555:V555"/>
    <mergeCell ref="W555:AB555"/>
    <mergeCell ref="AC555:AE555"/>
    <mergeCell ref="B558:M558"/>
    <mergeCell ref="N558:P558"/>
    <mergeCell ref="Q558:V558"/>
    <mergeCell ref="W558:AB558"/>
    <mergeCell ref="AC558:AE558"/>
    <mergeCell ref="Q313:V313"/>
    <mergeCell ref="W313:AB313"/>
    <mergeCell ref="AC313:AE313"/>
    <mergeCell ref="B314:M314"/>
    <mergeCell ref="N314:P314"/>
    <mergeCell ref="Q314:V314"/>
    <mergeCell ref="W314:AB314"/>
    <mergeCell ref="AC314:AE314"/>
    <mergeCell ref="B315:M315"/>
    <mergeCell ref="N315:P315"/>
    <mergeCell ref="Q315:V315"/>
    <mergeCell ref="AC506:AE506"/>
    <mergeCell ref="B517:M517"/>
    <mergeCell ref="N517:P517"/>
    <mergeCell ref="Q517:V517"/>
    <mergeCell ref="W517:AB517"/>
    <mergeCell ref="AC517:AE517"/>
    <mergeCell ref="B541:M541"/>
    <mergeCell ref="N541:P541"/>
    <mergeCell ref="Q541:V541"/>
    <mergeCell ref="W541:AB541"/>
    <mergeCell ref="AC541:AE541"/>
    <mergeCell ref="B490:M490"/>
    <mergeCell ref="N490:P490"/>
    <mergeCell ref="Q490:V490"/>
    <mergeCell ref="W490:AB490"/>
    <mergeCell ref="AC490:AE490"/>
    <mergeCell ref="B491:M491"/>
    <mergeCell ref="N491:P491"/>
    <mergeCell ref="Q491:V491"/>
    <mergeCell ref="W491:AB491"/>
    <mergeCell ref="AC491:AE491"/>
    <mergeCell ref="B502:M502"/>
    <mergeCell ref="N502:P502"/>
    <mergeCell ref="Q502:V502"/>
    <mergeCell ref="W502:AB502"/>
    <mergeCell ref="AC502:AE502"/>
    <mergeCell ref="B503:M503"/>
    <mergeCell ref="N503:P503"/>
    <mergeCell ref="Q503:V503"/>
    <mergeCell ref="W503:AB503"/>
    <mergeCell ref="AC503:AE503"/>
    <mergeCell ref="B500:M500"/>
    <mergeCell ref="N500:P500"/>
    <mergeCell ref="Q500:V500"/>
    <mergeCell ref="W500:AB500"/>
    <mergeCell ref="AC500:AE500"/>
    <mergeCell ref="B501:M501"/>
    <mergeCell ref="N501:P501"/>
    <mergeCell ref="Q501:V501"/>
    <mergeCell ref="W501:AB501"/>
    <mergeCell ref="AC501:AE501"/>
    <mergeCell ref="B498:M498"/>
    <mergeCell ref="N498:P498"/>
    <mergeCell ref="B486:M486"/>
    <mergeCell ref="N486:P486"/>
    <mergeCell ref="Q486:V486"/>
    <mergeCell ref="W486:AB486"/>
    <mergeCell ref="AC486:AE486"/>
    <mergeCell ref="B487:M487"/>
    <mergeCell ref="N487:P487"/>
    <mergeCell ref="Q487:V487"/>
    <mergeCell ref="W487:AB487"/>
    <mergeCell ref="AC487:AE487"/>
    <mergeCell ref="B488:M488"/>
    <mergeCell ref="N488:P488"/>
    <mergeCell ref="Q488:V488"/>
    <mergeCell ref="W488:AB488"/>
    <mergeCell ref="AC488:AE488"/>
    <mergeCell ref="B489:M489"/>
    <mergeCell ref="N489:P489"/>
    <mergeCell ref="Q489:V489"/>
    <mergeCell ref="W489:AB489"/>
    <mergeCell ref="AC489:AE489"/>
    <mergeCell ref="N455:P455"/>
    <mergeCell ref="Q455:V455"/>
    <mergeCell ref="W455:AB455"/>
    <mergeCell ref="AC455:AE455"/>
    <mergeCell ref="B460:M460"/>
    <mergeCell ref="N460:P460"/>
    <mergeCell ref="Q460:V460"/>
    <mergeCell ref="W460:AB460"/>
    <mergeCell ref="AC460:AE460"/>
    <mergeCell ref="B459:M459"/>
    <mergeCell ref="N459:P459"/>
    <mergeCell ref="Q459:V459"/>
    <mergeCell ref="W459:AB459"/>
    <mergeCell ref="AC459:AE459"/>
    <mergeCell ref="B452:M452"/>
    <mergeCell ref="N452:P452"/>
    <mergeCell ref="Q452:V452"/>
    <mergeCell ref="W452:AB452"/>
    <mergeCell ref="AC452:AE452"/>
    <mergeCell ref="B453:M453"/>
    <mergeCell ref="N453:P453"/>
    <mergeCell ref="Q453:V453"/>
    <mergeCell ref="W453:AB453"/>
    <mergeCell ref="B440:M440"/>
    <mergeCell ref="N440:P440"/>
    <mergeCell ref="Q440:V440"/>
    <mergeCell ref="W440:AB440"/>
    <mergeCell ref="AC440:AE440"/>
    <mergeCell ref="B348:M348"/>
    <mergeCell ref="N348:P348"/>
    <mergeCell ref="Q348:V348"/>
    <mergeCell ref="W348:AB348"/>
    <mergeCell ref="AC348:AE348"/>
    <mergeCell ref="B349:M349"/>
    <mergeCell ref="N349:P349"/>
    <mergeCell ref="Q349:V349"/>
    <mergeCell ref="W349:AB349"/>
    <mergeCell ref="AC349:AE349"/>
    <mergeCell ref="B350:M350"/>
    <mergeCell ref="N350:P350"/>
    <mergeCell ref="Q350:V350"/>
    <mergeCell ref="W350:AB350"/>
    <mergeCell ref="B436:M436"/>
    <mergeCell ref="N436:P436"/>
    <mergeCell ref="Q436:V436"/>
    <mergeCell ref="W436:AB436"/>
    <mergeCell ref="AC436:AE436"/>
    <mergeCell ref="B438:M438"/>
    <mergeCell ref="N438:P438"/>
    <mergeCell ref="Q438:V438"/>
    <mergeCell ref="W438:AB438"/>
    <mergeCell ref="AC438:AE438"/>
    <mergeCell ref="B434:M434"/>
    <mergeCell ref="N434:P434"/>
    <mergeCell ref="Q434:V434"/>
    <mergeCell ref="AC328:AE328"/>
    <mergeCell ref="A560:AB560"/>
    <mergeCell ref="AC560:AE560"/>
    <mergeCell ref="A561:E561"/>
    <mergeCell ref="F561:T561"/>
    <mergeCell ref="U561:AE561"/>
    <mergeCell ref="A562:E562"/>
    <mergeCell ref="F562:T562"/>
    <mergeCell ref="U562:AE562"/>
    <mergeCell ref="B557:M557"/>
    <mergeCell ref="N557:P557"/>
    <mergeCell ref="Q557:V557"/>
    <mergeCell ref="W557:AB557"/>
    <mergeCell ref="AC557:AE557"/>
    <mergeCell ref="A559:AB559"/>
    <mergeCell ref="AC559:AE559"/>
    <mergeCell ref="B554:M554"/>
    <mergeCell ref="N554:P554"/>
    <mergeCell ref="Q554:V554"/>
    <mergeCell ref="W554:AB554"/>
    <mergeCell ref="AC554:AE554"/>
    <mergeCell ref="B556:M556"/>
    <mergeCell ref="N556:P556"/>
    <mergeCell ref="Q556:V556"/>
    <mergeCell ref="W556:AB556"/>
    <mergeCell ref="B461:M461"/>
    <mergeCell ref="N461:P461"/>
    <mergeCell ref="Q461:V461"/>
    <mergeCell ref="W461:AB461"/>
    <mergeCell ref="AC556:AE556"/>
    <mergeCell ref="B552:M552"/>
    <mergeCell ref="N552:P552"/>
    <mergeCell ref="Q552:V552"/>
    <mergeCell ref="W552:AB552"/>
    <mergeCell ref="AC552:AE552"/>
    <mergeCell ref="B553:M553"/>
    <mergeCell ref="N553:P553"/>
    <mergeCell ref="Q553:V553"/>
    <mergeCell ref="W553:AB553"/>
    <mergeCell ref="AC553:AE553"/>
    <mergeCell ref="B550:M550"/>
    <mergeCell ref="N550:P550"/>
    <mergeCell ref="Q550:V550"/>
    <mergeCell ref="W550:AB550"/>
    <mergeCell ref="AC550:AE550"/>
    <mergeCell ref="B551:M551"/>
    <mergeCell ref="N551:P551"/>
    <mergeCell ref="Q551:V551"/>
    <mergeCell ref="W551:AB551"/>
    <mergeCell ref="AC551:AE551"/>
    <mergeCell ref="B548:M548"/>
    <mergeCell ref="N548:P548"/>
    <mergeCell ref="Q548:V548"/>
    <mergeCell ref="W548:AB548"/>
    <mergeCell ref="AC548:AE548"/>
    <mergeCell ref="B549:M549"/>
    <mergeCell ref="N549:P549"/>
    <mergeCell ref="Q549:V549"/>
    <mergeCell ref="W549:AB549"/>
    <mergeCell ref="AC549:AE549"/>
    <mergeCell ref="B546:M546"/>
    <mergeCell ref="N546:P546"/>
    <mergeCell ref="Q546:V546"/>
    <mergeCell ref="W546:AB546"/>
    <mergeCell ref="AC546:AE546"/>
    <mergeCell ref="B547:M547"/>
    <mergeCell ref="N547:P547"/>
    <mergeCell ref="Q547:V547"/>
    <mergeCell ref="W547:AB547"/>
    <mergeCell ref="AC547:AE547"/>
    <mergeCell ref="B544:M544"/>
    <mergeCell ref="N544:P544"/>
    <mergeCell ref="Q544:V544"/>
    <mergeCell ref="W544:AB544"/>
    <mergeCell ref="AC544:AE544"/>
    <mergeCell ref="B545:M545"/>
    <mergeCell ref="N545:P545"/>
    <mergeCell ref="Q545:V545"/>
    <mergeCell ref="W545:AB545"/>
    <mergeCell ref="AC545:AE545"/>
    <mergeCell ref="B542:M542"/>
    <mergeCell ref="N542:P542"/>
    <mergeCell ref="Q542:V542"/>
    <mergeCell ref="W542:AB542"/>
    <mergeCell ref="AC542:AE542"/>
    <mergeCell ref="B543:M543"/>
    <mergeCell ref="N543:P543"/>
    <mergeCell ref="Q543:V543"/>
    <mergeCell ref="W543:AB543"/>
    <mergeCell ref="AC543:AE543"/>
    <mergeCell ref="B539:M539"/>
    <mergeCell ref="N539:P539"/>
    <mergeCell ref="Q539:V539"/>
    <mergeCell ref="W539:AB539"/>
    <mergeCell ref="AC539:AE539"/>
    <mergeCell ref="B540:M540"/>
    <mergeCell ref="N540:P540"/>
    <mergeCell ref="Q540:V540"/>
    <mergeCell ref="W540:AB540"/>
    <mergeCell ref="AC540:AE540"/>
    <mergeCell ref="B537:M537"/>
    <mergeCell ref="N537:P537"/>
    <mergeCell ref="Q537:V537"/>
    <mergeCell ref="W537:AB537"/>
    <mergeCell ref="AC537:AE537"/>
    <mergeCell ref="B538:M538"/>
    <mergeCell ref="N538:P538"/>
    <mergeCell ref="Q538:V538"/>
    <mergeCell ref="W538:AB538"/>
    <mergeCell ref="AC538:AE538"/>
    <mergeCell ref="B535:M535"/>
    <mergeCell ref="N535:P535"/>
    <mergeCell ref="Q535:V535"/>
    <mergeCell ref="W535:AB535"/>
    <mergeCell ref="AC535:AE535"/>
    <mergeCell ref="B536:M536"/>
    <mergeCell ref="N536:P536"/>
    <mergeCell ref="Q536:V536"/>
    <mergeCell ref="W536:AB536"/>
    <mergeCell ref="AC536:AE536"/>
    <mergeCell ref="B533:M533"/>
    <mergeCell ref="N533:P533"/>
    <mergeCell ref="Q533:V533"/>
    <mergeCell ref="W533:AB533"/>
    <mergeCell ref="AC533:AE533"/>
    <mergeCell ref="B534:M534"/>
    <mergeCell ref="N534:P534"/>
    <mergeCell ref="Q534:V534"/>
    <mergeCell ref="W534:AB534"/>
    <mergeCell ref="AC534:AE534"/>
    <mergeCell ref="B531:M531"/>
    <mergeCell ref="N531:P531"/>
    <mergeCell ref="Q531:V531"/>
    <mergeCell ref="W531:AB531"/>
    <mergeCell ref="AC531:AE531"/>
    <mergeCell ref="B532:M532"/>
    <mergeCell ref="N532:P532"/>
    <mergeCell ref="Q532:V532"/>
    <mergeCell ref="W532:AB532"/>
    <mergeCell ref="AC532:AE532"/>
    <mergeCell ref="B528:M528"/>
    <mergeCell ref="N528:P528"/>
    <mergeCell ref="Q528:V528"/>
    <mergeCell ref="W528:AB528"/>
    <mergeCell ref="AC528:AE528"/>
    <mergeCell ref="B529:M529"/>
    <mergeCell ref="N529:P529"/>
    <mergeCell ref="Q529:V529"/>
    <mergeCell ref="W529:AB529"/>
    <mergeCell ref="AC529:AE529"/>
    <mergeCell ref="B530:M530"/>
    <mergeCell ref="N530:P530"/>
    <mergeCell ref="Q530:V530"/>
    <mergeCell ref="W530:AB530"/>
    <mergeCell ref="AC530:AE530"/>
    <mergeCell ref="B526:M526"/>
    <mergeCell ref="N526:P526"/>
    <mergeCell ref="Q526:V526"/>
    <mergeCell ref="W526:AB526"/>
    <mergeCell ref="AC526:AE526"/>
    <mergeCell ref="B527:M527"/>
    <mergeCell ref="N527:P527"/>
    <mergeCell ref="Q527:V527"/>
    <mergeCell ref="W527:AB527"/>
    <mergeCell ref="AC527:AE527"/>
    <mergeCell ref="B524:M524"/>
    <mergeCell ref="N524:P524"/>
    <mergeCell ref="Q524:V524"/>
    <mergeCell ref="W524:AB524"/>
    <mergeCell ref="AC524:AE524"/>
    <mergeCell ref="B525:M525"/>
    <mergeCell ref="N525:P525"/>
    <mergeCell ref="Q525:V525"/>
    <mergeCell ref="W525:AB525"/>
    <mergeCell ref="AC525:AE525"/>
    <mergeCell ref="B522:M522"/>
    <mergeCell ref="N522:P522"/>
    <mergeCell ref="Q522:V522"/>
    <mergeCell ref="W522:AB522"/>
    <mergeCell ref="AC522:AE522"/>
    <mergeCell ref="B523:M523"/>
    <mergeCell ref="N523:P523"/>
    <mergeCell ref="Q523:V523"/>
    <mergeCell ref="W523:AB523"/>
    <mergeCell ref="AC523:AE523"/>
    <mergeCell ref="B520:M520"/>
    <mergeCell ref="N520:P520"/>
    <mergeCell ref="Q520:V520"/>
    <mergeCell ref="W520:AB520"/>
    <mergeCell ref="AC520:AE520"/>
    <mergeCell ref="B521:M521"/>
    <mergeCell ref="N521:P521"/>
    <mergeCell ref="Q521:V521"/>
    <mergeCell ref="W521:AB521"/>
    <mergeCell ref="AC521:AE521"/>
    <mergeCell ref="B518:M518"/>
    <mergeCell ref="N518:P518"/>
    <mergeCell ref="Q518:V518"/>
    <mergeCell ref="W518:AB518"/>
    <mergeCell ref="AC518:AE518"/>
    <mergeCell ref="B519:M519"/>
    <mergeCell ref="N519:P519"/>
    <mergeCell ref="Q519:V519"/>
    <mergeCell ref="W519:AB519"/>
    <mergeCell ref="AC519:AE519"/>
    <mergeCell ref="B514:M514"/>
    <mergeCell ref="N514:P514"/>
    <mergeCell ref="Q514:V514"/>
    <mergeCell ref="W514:AB514"/>
    <mergeCell ref="AC514:AE514"/>
    <mergeCell ref="B515:M515"/>
    <mergeCell ref="N515:P515"/>
    <mergeCell ref="Q515:V515"/>
    <mergeCell ref="W515:AB515"/>
    <mergeCell ref="AC515:AE515"/>
    <mergeCell ref="B516:M516"/>
    <mergeCell ref="N516:P516"/>
    <mergeCell ref="Q516:V516"/>
    <mergeCell ref="W516:AB516"/>
    <mergeCell ref="AC516:AE516"/>
    <mergeCell ref="B512:M512"/>
    <mergeCell ref="N512:P512"/>
    <mergeCell ref="Q512:V512"/>
    <mergeCell ref="W512:AB512"/>
    <mergeCell ref="AC512:AE512"/>
    <mergeCell ref="B513:M513"/>
    <mergeCell ref="N513:P513"/>
    <mergeCell ref="Q513:V513"/>
    <mergeCell ref="W513:AB513"/>
    <mergeCell ref="AC513:AE513"/>
    <mergeCell ref="B510:M510"/>
    <mergeCell ref="N510:P510"/>
    <mergeCell ref="Q510:V510"/>
    <mergeCell ref="W510:AB510"/>
    <mergeCell ref="AC510:AE510"/>
    <mergeCell ref="B511:M511"/>
    <mergeCell ref="N511:P511"/>
    <mergeCell ref="Q511:V511"/>
    <mergeCell ref="W511:AB511"/>
    <mergeCell ref="AC511:AE511"/>
    <mergeCell ref="B508:M508"/>
    <mergeCell ref="N508:P508"/>
    <mergeCell ref="Q508:V508"/>
    <mergeCell ref="W508:AB508"/>
    <mergeCell ref="AC508:AE508"/>
    <mergeCell ref="B509:M509"/>
    <mergeCell ref="N509:P509"/>
    <mergeCell ref="Q509:V509"/>
    <mergeCell ref="W509:AB509"/>
    <mergeCell ref="AC509:AE509"/>
    <mergeCell ref="B504:M504"/>
    <mergeCell ref="N504:P504"/>
    <mergeCell ref="Q504:V504"/>
    <mergeCell ref="W504:AB504"/>
    <mergeCell ref="AC504:AE504"/>
    <mergeCell ref="B507:M507"/>
    <mergeCell ref="N507:P507"/>
    <mergeCell ref="Q507:V507"/>
    <mergeCell ref="W507:AB507"/>
    <mergeCell ref="AC507:AE507"/>
    <mergeCell ref="B505:M505"/>
    <mergeCell ref="N505:P505"/>
    <mergeCell ref="Q505:V505"/>
    <mergeCell ref="W505:AB505"/>
    <mergeCell ref="AC505:AE505"/>
    <mergeCell ref="B506:M506"/>
    <mergeCell ref="N506:P506"/>
    <mergeCell ref="Q506:V506"/>
    <mergeCell ref="W506:AB506"/>
    <mergeCell ref="Q498:V498"/>
    <mergeCell ref="W498:AB498"/>
    <mergeCell ref="AC498:AE498"/>
    <mergeCell ref="B499:M499"/>
    <mergeCell ref="N499:P499"/>
    <mergeCell ref="Q499:V499"/>
    <mergeCell ref="W499:AB499"/>
    <mergeCell ref="AC499:AE499"/>
    <mergeCell ref="B496:M496"/>
    <mergeCell ref="N496:P496"/>
    <mergeCell ref="Q496:V496"/>
    <mergeCell ref="W496:AB496"/>
    <mergeCell ref="AC496:AE496"/>
    <mergeCell ref="B497:M497"/>
    <mergeCell ref="N497:P497"/>
    <mergeCell ref="Q497:V497"/>
    <mergeCell ref="W497:AB497"/>
    <mergeCell ref="AC497:AE497"/>
    <mergeCell ref="B494:M494"/>
    <mergeCell ref="N494:P494"/>
    <mergeCell ref="Q494:V494"/>
    <mergeCell ref="W494:AB494"/>
    <mergeCell ref="AC494:AE494"/>
    <mergeCell ref="B495:M495"/>
    <mergeCell ref="N495:P495"/>
    <mergeCell ref="Q495:V495"/>
    <mergeCell ref="W495:AB495"/>
    <mergeCell ref="AC495:AE495"/>
    <mergeCell ref="B492:M492"/>
    <mergeCell ref="N492:P492"/>
    <mergeCell ref="Q492:V492"/>
    <mergeCell ref="W492:AB492"/>
    <mergeCell ref="AC492:AE492"/>
    <mergeCell ref="B493:M493"/>
    <mergeCell ref="N493:P493"/>
    <mergeCell ref="Q493:V493"/>
    <mergeCell ref="W493:AB493"/>
    <mergeCell ref="AC493:AE493"/>
    <mergeCell ref="B484:M484"/>
    <mergeCell ref="N484:P484"/>
    <mergeCell ref="Q484:V484"/>
    <mergeCell ref="W484:AB484"/>
    <mergeCell ref="AC484:AE484"/>
    <mergeCell ref="B485:M485"/>
    <mergeCell ref="N485:P485"/>
    <mergeCell ref="Q485:V485"/>
    <mergeCell ref="W485:AB485"/>
    <mergeCell ref="AC485:AE485"/>
    <mergeCell ref="B482:M482"/>
    <mergeCell ref="N482:P482"/>
    <mergeCell ref="Q482:V482"/>
    <mergeCell ref="W482:AB482"/>
    <mergeCell ref="AC482:AE482"/>
    <mergeCell ref="B483:M483"/>
    <mergeCell ref="N483:P483"/>
    <mergeCell ref="Q483:V483"/>
    <mergeCell ref="W483:AB483"/>
    <mergeCell ref="AC483:AE483"/>
    <mergeCell ref="B480:M480"/>
    <mergeCell ref="N480:P480"/>
    <mergeCell ref="Q480:V480"/>
    <mergeCell ref="W480:AB480"/>
    <mergeCell ref="AC480:AE480"/>
    <mergeCell ref="B481:M481"/>
    <mergeCell ref="N481:P481"/>
    <mergeCell ref="Q481:V481"/>
    <mergeCell ref="W481:AB481"/>
    <mergeCell ref="AC481:AE481"/>
    <mergeCell ref="B478:M478"/>
    <mergeCell ref="N478:P478"/>
    <mergeCell ref="Q478:V478"/>
    <mergeCell ref="W478:AB478"/>
    <mergeCell ref="AC478:AE478"/>
    <mergeCell ref="B479:M479"/>
    <mergeCell ref="N479:P479"/>
    <mergeCell ref="Q479:V479"/>
    <mergeCell ref="W479:AB479"/>
    <mergeCell ref="AC479:AE479"/>
    <mergeCell ref="B475:M475"/>
    <mergeCell ref="N475:P475"/>
    <mergeCell ref="Q475:V475"/>
    <mergeCell ref="W475:AB475"/>
    <mergeCell ref="AC475:AE475"/>
    <mergeCell ref="B476:M476"/>
    <mergeCell ref="N476:P476"/>
    <mergeCell ref="Q476:V476"/>
    <mergeCell ref="W476:AB476"/>
    <mergeCell ref="AC476:AE476"/>
    <mergeCell ref="B473:M473"/>
    <mergeCell ref="N473:P473"/>
    <mergeCell ref="Q473:V473"/>
    <mergeCell ref="W473:AB473"/>
    <mergeCell ref="AC473:AE473"/>
    <mergeCell ref="B474:M474"/>
    <mergeCell ref="N474:P474"/>
    <mergeCell ref="Q474:V474"/>
    <mergeCell ref="W474:AB474"/>
    <mergeCell ref="AC474:AE474"/>
    <mergeCell ref="B471:M471"/>
    <mergeCell ref="N471:P471"/>
    <mergeCell ref="Q471:V471"/>
    <mergeCell ref="W471:AB471"/>
    <mergeCell ref="AC471:AE471"/>
    <mergeCell ref="B472:M472"/>
    <mergeCell ref="N472:P472"/>
    <mergeCell ref="Q472:V472"/>
    <mergeCell ref="W472:AB472"/>
    <mergeCell ref="AC472:AE472"/>
    <mergeCell ref="B468:M468"/>
    <mergeCell ref="N468:P468"/>
    <mergeCell ref="Q468:V468"/>
    <mergeCell ref="W468:AB468"/>
    <mergeCell ref="AC468:AE468"/>
    <mergeCell ref="B470:M470"/>
    <mergeCell ref="N470:P470"/>
    <mergeCell ref="Q470:V470"/>
    <mergeCell ref="W470:AB470"/>
    <mergeCell ref="AC470:AE470"/>
    <mergeCell ref="B469:M469"/>
    <mergeCell ref="N469:P469"/>
    <mergeCell ref="Q469:V469"/>
    <mergeCell ref="W469:AB469"/>
    <mergeCell ref="AC469:AE469"/>
    <mergeCell ref="B466:M466"/>
    <mergeCell ref="N466:P466"/>
    <mergeCell ref="Q466:V466"/>
    <mergeCell ref="W466:AB466"/>
    <mergeCell ref="AC466:AE466"/>
    <mergeCell ref="B467:M467"/>
    <mergeCell ref="N467:P467"/>
    <mergeCell ref="Q467:V467"/>
    <mergeCell ref="W467:AB467"/>
    <mergeCell ref="AC467:AE467"/>
    <mergeCell ref="B464:M464"/>
    <mergeCell ref="N464:P464"/>
    <mergeCell ref="Q464:V464"/>
    <mergeCell ref="W464:AB464"/>
    <mergeCell ref="AC464:AE464"/>
    <mergeCell ref="B465:M465"/>
    <mergeCell ref="N465:P465"/>
    <mergeCell ref="Q465:V465"/>
    <mergeCell ref="W465:AB465"/>
    <mergeCell ref="AC465:AE465"/>
    <mergeCell ref="B463:M463"/>
    <mergeCell ref="N463:P463"/>
    <mergeCell ref="Q463:V463"/>
    <mergeCell ref="W463:AB463"/>
    <mergeCell ref="AC463:AE463"/>
    <mergeCell ref="B457:M457"/>
    <mergeCell ref="N457:P457"/>
    <mergeCell ref="Q457:V457"/>
    <mergeCell ref="W457:AB457"/>
    <mergeCell ref="AC457:AE457"/>
    <mergeCell ref="B458:M458"/>
    <mergeCell ref="N458:P458"/>
    <mergeCell ref="Q458:V458"/>
    <mergeCell ref="W458:AB458"/>
    <mergeCell ref="AC458:AE458"/>
    <mergeCell ref="AC461:AE461"/>
    <mergeCell ref="B454:M454"/>
    <mergeCell ref="N454:P454"/>
    <mergeCell ref="Q454:V454"/>
    <mergeCell ref="W454:AB454"/>
    <mergeCell ref="AC454:AE454"/>
    <mergeCell ref="B456:M456"/>
    <mergeCell ref="N456:P456"/>
    <mergeCell ref="Q456:V456"/>
    <mergeCell ref="W456:AB456"/>
    <mergeCell ref="AC456:AE456"/>
    <mergeCell ref="B462:M462"/>
    <mergeCell ref="N462:P462"/>
    <mergeCell ref="Q462:V462"/>
    <mergeCell ref="W462:AB462"/>
    <mergeCell ref="AC462:AE462"/>
    <mergeCell ref="B455:M455"/>
    <mergeCell ref="N443:P443"/>
    <mergeCell ref="AC453:AE453"/>
    <mergeCell ref="B450:M450"/>
    <mergeCell ref="N450:P450"/>
    <mergeCell ref="Q450:V450"/>
    <mergeCell ref="W450:AB450"/>
    <mergeCell ref="AC450:AE450"/>
    <mergeCell ref="B451:M451"/>
    <mergeCell ref="N451:P451"/>
    <mergeCell ref="Q451:V451"/>
    <mergeCell ref="W451:AB451"/>
    <mergeCell ref="AC451:AE451"/>
    <mergeCell ref="B447:M447"/>
    <mergeCell ref="N447:P447"/>
    <mergeCell ref="Q447:V447"/>
    <mergeCell ref="W447:AB447"/>
    <mergeCell ref="AC447:AE447"/>
    <mergeCell ref="B449:M449"/>
    <mergeCell ref="N449:P449"/>
    <mergeCell ref="Q449:V449"/>
    <mergeCell ref="W449:AB449"/>
    <mergeCell ref="AC449:AE449"/>
    <mergeCell ref="Q443:V443"/>
    <mergeCell ref="W443:AB443"/>
    <mergeCell ref="AC443:AE443"/>
    <mergeCell ref="B448:M448"/>
    <mergeCell ref="N448:P448"/>
    <mergeCell ref="Q448:V448"/>
    <mergeCell ref="W448:AB448"/>
    <mergeCell ref="AC448:AE448"/>
    <mergeCell ref="W431:AB431"/>
    <mergeCell ref="B445:M445"/>
    <mergeCell ref="N445:P445"/>
    <mergeCell ref="Q445:V445"/>
    <mergeCell ref="W445:AB445"/>
    <mergeCell ref="AC445:AE445"/>
    <mergeCell ref="B446:M446"/>
    <mergeCell ref="N446:P446"/>
    <mergeCell ref="Q446:V446"/>
    <mergeCell ref="W446:AB446"/>
    <mergeCell ref="AC446:AE446"/>
    <mergeCell ref="B439:M439"/>
    <mergeCell ref="N439:P439"/>
    <mergeCell ref="Q439:V439"/>
    <mergeCell ref="W439:AB439"/>
    <mergeCell ref="AC439:AE439"/>
    <mergeCell ref="B444:M444"/>
    <mergeCell ref="N444:P444"/>
    <mergeCell ref="Q444:V444"/>
    <mergeCell ref="W444:AB444"/>
    <mergeCell ref="AC444:AE444"/>
    <mergeCell ref="B441:M441"/>
    <mergeCell ref="N441:P441"/>
    <mergeCell ref="Q441:V441"/>
    <mergeCell ref="W441:AB441"/>
    <mergeCell ref="AC441:AE441"/>
    <mergeCell ref="B442:M442"/>
    <mergeCell ref="N442:P442"/>
    <mergeCell ref="Q442:V442"/>
    <mergeCell ref="W442:AB442"/>
    <mergeCell ref="AC442:AE442"/>
    <mergeCell ref="B443:M443"/>
    <mergeCell ref="W426:AB426"/>
    <mergeCell ref="W434:AB434"/>
    <mergeCell ref="AC434:AE434"/>
    <mergeCell ref="B435:M435"/>
    <mergeCell ref="N435:P435"/>
    <mergeCell ref="Q435:V435"/>
    <mergeCell ref="W435:AB435"/>
    <mergeCell ref="AC435:AE435"/>
    <mergeCell ref="AC429:AE429"/>
    <mergeCell ref="B433:M433"/>
    <mergeCell ref="N433:P433"/>
    <mergeCell ref="Q433:V433"/>
    <mergeCell ref="W433:AB433"/>
    <mergeCell ref="AC433:AE433"/>
    <mergeCell ref="B427:M427"/>
    <mergeCell ref="N427:P427"/>
    <mergeCell ref="Q427:V427"/>
    <mergeCell ref="W427:AB427"/>
    <mergeCell ref="AC427:AE427"/>
    <mergeCell ref="B428:M428"/>
    <mergeCell ref="N428:P428"/>
    <mergeCell ref="Q428:V428"/>
    <mergeCell ref="W428:AB428"/>
    <mergeCell ref="AC428:AE428"/>
    <mergeCell ref="B430:M430"/>
    <mergeCell ref="N430:P430"/>
    <mergeCell ref="Q430:V430"/>
    <mergeCell ref="W430:AB430"/>
    <mergeCell ref="AC430:AE430"/>
    <mergeCell ref="B431:M431"/>
    <mergeCell ref="N431:P431"/>
    <mergeCell ref="Q431:V431"/>
    <mergeCell ref="B418:M418"/>
    <mergeCell ref="N418:P418"/>
    <mergeCell ref="Q418:V418"/>
    <mergeCell ref="W418:AB418"/>
    <mergeCell ref="AC418:AE418"/>
    <mergeCell ref="B424:M424"/>
    <mergeCell ref="N424:P424"/>
    <mergeCell ref="Q424:V424"/>
    <mergeCell ref="W424:AB424"/>
    <mergeCell ref="AC424:AE424"/>
    <mergeCell ref="B419:M419"/>
    <mergeCell ref="N419:P419"/>
    <mergeCell ref="Q419:V419"/>
    <mergeCell ref="W419:AB419"/>
    <mergeCell ref="AC419:AE419"/>
    <mergeCell ref="B420:M420"/>
    <mergeCell ref="N420:P420"/>
    <mergeCell ref="Q420:V420"/>
    <mergeCell ref="W420:AB420"/>
    <mergeCell ref="AC420:AE420"/>
    <mergeCell ref="B421:M421"/>
    <mergeCell ref="N421:P421"/>
    <mergeCell ref="B416:M416"/>
    <mergeCell ref="N416:P416"/>
    <mergeCell ref="Q416:V416"/>
    <mergeCell ref="W416:AB416"/>
    <mergeCell ref="AC416:AE416"/>
    <mergeCell ref="B417:M417"/>
    <mergeCell ref="N417:P417"/>
    <mergeCell ref="Q417:V417"/>
    <mergeCell ref="W417:AB417"/>
    <mergeCell ref="AC417:AE417"/>
    <mergeCell ref="B414:M414"/>
    <mergeCell ref="N414:P414"/>
    <mergeCell ref="Q414:V414"/>
    <mergeCell ref="W414:AB414"/>
    <mergeCell ref="AC414:AE414"/>
    <mergeCell ref="B415:M415"/>
    <mergeCell ref="N415:P415"/>
    <mergeCell ref="Q415:V415"/>
    <mergeCell ref="W415:AB415"/>
    <mergeCell ref="AC415:AE415"/>
    <mergeCell ref="B412:M412"/>
    <mergeCell ref="N412:P412"/>
    <mergeCell ref="Q412:V412"/>
    <mergeCell ref="W412:AB412"/>
    <mergeCell ref="AC412:AE412"/>
    <mergeCell ref="B413:M413"/>
    <mergeCell ref="N413:P413"/>
    <mergeCell ref="Q413:V413"/>
    <mergeCell ref="W413:AB413"/>
    <mergeCell ref="AC413:AE413"/>
    <mergeCell ref="B410:M410"/>
    <mergeCell ref="N410:P410"/>
    <mergeCell ref="Q410:V410"/>
    <mergeCell ref="W410:AB410"/>
    <mergeCell ref="AC410:AE410"/>
    <mergeCell ref="B411:M411"/>
    <mergeCell ref="N411:P411"/>
    <mergeCell ref="Q411:V411"/>
    <mergeCell ref="W411:AB411"/>
    <mergeCell ref="AC411:AE411"/>
    <mergeCell ref="B407:M407"/>
    <mergeCell ref="N407:P407"/>
    <mergeCell ref="Q407:V407"/>
    <mergeCell ref="W407:AB407"/>
    <mergeCell ref="AC407:AE407"/>
    <mergeCell ref="B408:M408"/>
    <mergeCell ref="N408:P408"/>
    <mergeCell ref="Q408:V408"/>
    <mergeCell ref="W408:AB408"/>
    <mergeCell ref="AC408:AE408"/>
    <mergeCell ref="B405:M405"/>
    <mergeCell ref="N405:P405"/>
    <mergeCell ref="Q405:V405"/>
    <mergeCell ref="W405:AB405"/>
    <mergeCell ref="AC405:AE405"/>
    <mergeCell ref="B406:M406"/>
    <mergeCell ref="N406:P406"/>
    <mergeCell ref="Q406:V406"/>
    <mergeCell ref="W406:AB406"/>
    <mergeCell ref="AC406:AE406"/>
    <mergeCell ref="Q396:V396"/>
    <mergeCell ref="W396:AB396"/>
    <mergeCell ref="AC396:AE396"/>
    <mergeCell ref="B397:M397"/>
    <mergeCell ref="N397:P397"/>
    <mergeCell ref="Q397:V397"/>
    <mergeCell ref="W397:AB397"/>
    <mergeCell ref="AC397:AE397"/>
    <mergeCell ref="B403:M403"/>
    <mergeCell ref="N403:P403"/>
    <mergeCell ref="Q403:V403"/>
    <mergeCell ref="W403:AB403"/>
    <mergeCell ref="AC403:AE403"/>
    <mergeCell ref="B404:M404"/>
    <mergeCell ref="N404:P404"/>
    <mergeCell ref="Q404:V404"/>
    <mergeCell ref="W404:AB404"/>
    <mergeCell ref="AC404:AE404"/>
    <mergeCell ref="B401:M401"/>
    <mergeCell ref="N401:P401"/>
    <mergeCell ref="Q401:V401"/>
    <mergeCell ref="W401:AB401"/>
    <mergeCell ref="AC401:AE401"/>
    <mergeCell ref="B402:M402"/>
    <mergeCell ref="N402:P402"/>
    <mergeCell ref="Q402:V402"/>
    <mergeCell ref="W402:AB402"/>
    <mergeCell ref="AC402:AE402"/>
    <mergeCell ref="B400:M400"/>
    <mergeCell ref="N400:P400"/>
    <mergeCell ref="Q400:V400"/>
    <mergeCell ref="W400:AB400"/>
    <mergeCell ref="B394:M394"/>
    <mergeCell ref="N394:P394"/>
    <mergeCell ref="Q394:V394"/>
    <mergeCell ref="W394:AB394"/>
    <mergeCell ref="AC394:AE394"/>
    <mergeCell ref="B395:M395"/>
    <mergeCell ref="N395:P395"/>
    <mergeCell ref="Q395:V395"/>
    <mergeCell ref="W395:AB395"/>
    <mergeCell ref="AC395:AE395"/>
    <mergeCell ref="B392:M392"/>
    <mergeCell ref="N392:P392"/>
    <mergeCell ref="Q392:V392"/>
    <mergeCell ref="W392:AB392"/>
    <mergeCell ref="AC392:AE392"/>
    <mergeCell ref="B393:M393"/>
    <mergeCell ref="N393:P393"/>
    <mergeCell ref="Q393:V393"/>
    <mergeCell ref="W393:AB393"/>
    <mergeCell ref="AC393:AE393"/>
    <mergeCell ref="B388:M388"/>
    <mergeCell ref="N388:P388"/>
    <mergeCell ref="Q388:V388"/>
    <mergeCell ref="W388:AB388"/>
    <mergeCell ref="AC388:AE388"/>
    <mergeCell ref="B391:M391"/>
    <mergeCell ref="N391:P391"/>
    <mergeCell ref="Q391:V391"/>
    <mergeCell ref="W391:AB391"/>
    <mergeCell ref="AC391:AE391"/>
    <mergeCell ref="B386:M386"/>
    <mergeCell ref="N386:P386"/>
    <mergeCell ref="Q386:V386"/>
    <mergeCell ref="W386:AB386"/>
    <mergeCell ref="AC386:AE386"/>
    <mergeCell ref="B387:M387"/>
    <mergeCell ref="N387:P387"/>
    <mergeCell ref="Q387:V387"/>
    <mergeCell ref="W387:AB387"/>
    <mergeCell ref="AC387:AE387"/>
    <mergeCell ref="B384:M384"/>
    <mergeCell ref="N384:P384"/>
    <mergeCell ref="Q384:V384"/>
    <mergeCell ref="W384:AB384"/>
    <mergeCell ref="AC384:AE384"/>
    <mergeCell ref="B385:M385"/>
    <mergeCell ref="N385:P385"/>
    <mergeCell ref="Q385:V385"/>
    <mergeCell ref="W385:AB385"/>
    <mergeCell ref="AC385:AE385"/>
    <mergeCell ref="B382:M382"/>
    <mergeCell ref="N382:P382"/>
    <mergeCell ref="Q382:V382"/>
    <mergeCell ref="W382:AB382"/>
    <mergeCell ref="AC382:AE382"/>
    <mergeCell ref="B383:M383"/>
    <mergeCell ref="N383:P383"/>
    <mergeCell ref="Q383:V383"/>
    <mergeCell ref="W383:AB383"/>
    <mergeCell ref="AC383:AE383"/>
    <mergeCell ref="B380:M380"/>
    <mergeCell ref="N380:P380"/>
    <mergeCell ref="Q380:V380"/>
    <mergeCell ref="W380:AB380"/>
    <mergeCell ref="AC380:AE380"/>
    <mergeCell ref="B381:M381"/>
    <mergeCell ref="N381:P381"/>
    <mergeCell ref="Q381:V381"/>
    <mergeCell ref="W381:AB381"/>
    <mergeCell ref="AC381:AE381"/>
    <mergeCell ref="B378:M378"/>
    <mergeCell ref="N378:P378"/>
    <mergeCell ref="Q378:V378"/>
    <mergeCell ref="W378:AB378"/>
    <mergeCell ref="AC378:AE378"/>
    <mergeCell ref="B379:M379"/>
    <mergeCell ref="N379:P379"/>
    <mergeCell ref="Q379:V379"/>
    <mergeCell ref="W379:AB379"/>
    <mergeCell ref="AC379:AE379"/>
    <mergeCell ref="B376:M376"/>
    <mergeCell ref="N376:P376"/>
    <mergeCell ref="Q376:V376"/>
    <mergeCell ref="W376:AB376"/>
    <mergeCell ref="AC376:AE376"/>
    <mergeCell ref="B377:M377"/>
    <mergeCell ref="N377:P377"/>
    <mergeCell ref="Q377:V377"/>
    <mergeCell ref="W377:AB377"/>
    <mergeCell ref="AC377:AE377"/>
    <mergeCell ref="B374:M374"/>
    <mergeCell ref="N374:P374"/>
    <mergeCell ref="Q374:V374"/>
    <mergeCell ref="W374:AB374"/>
    <mergeCell ref="AC374:AE374"/>
    <mergeCell ref="B375:M375"/>
    <mergeCell ref="N375:P375"/>
    <mergeCell ref="Q375:V375"/>
    <mergeCell ref="W375:AB375"/>
    <mergeCell ref="AC375:AE375"/>
    <mergeCell ref="B372:M372"/>
    <mergeCell ref="N372:P372"/>
    <mergeCell ref="Q372:V372"/>
    <mergeCell ref="W372:AB372"/>
    <mergeCell ref="AC372:AE372"/>
    <mergeCell ref="B373:M373"/>
    <mergeCell ref="N373:P373"/>
    <mergeCell ref="Q373:V373"/>
    <mergeCell ref="W373:AB373"/>
    <mergeCell ref="AC373:AE373"/>
    <mergeCell ref="B370:M370"/>
    <mergeCell ref="N370:P370"/>
    <mergeCell ref="Q370:V370"/>
    <mergeCell ref="W370:AB370"/>
    <mergeCell ref="AC370:AE370"/>
    <mergeCell ref="B371:M371"/>
    <mergeCell ref="N371:P371"/>
    <mergeCell ref="Q371:V371"/>
    <mergeCell ref="W371:AB371"/>
    <mergeCell ref="AC371:AE371"/>
    <mergeCell ref="B367:M367"/>
    <mergeCell ref="N367:P367"/>
    <mergeCell ref="Q367:V367"/>
    <mergeCell ref="W367:AB367"/>
    <mergeCell ref="AC367:AE367"/>
    <mergeCell ref="B369:M369"/>
    <mergeCell ref="N369:P369"/>
    <mergeCell ref="Q369:V369"/>
    <mergeCell ref="W369:AB369"/>
    <mergeCell ref="AC369:AE369"/>
    <mergeCell ref="B365:M365"/>
    <mergeCell ref="N365:P365"/>
    <mergeCell ref="Q365:V365"/>
    <mergeCell ref="W365:AB365"/>
    <mergeCell ref="AC365:AE365"/>
    <mergeCell ref="B366:M366"/>
    <mergeCell ref="N366:P366"/>
    <mergeCell ref="Q366:V366"/>
    <mergeCell ref="W366:AB366"/>
    <mergeCell ref="AC366:AE366"/>
    <mergeCell ref="B368:M368"/>
    <mergeCell ref="N368:P368"/>
    <mergeCell ref="Q368:V368"/>
    <mergeCell ref="W368:AB368"/>
    <mergeCell ref="AC368:AE368"/>
    <mergeCell ref="B363:M363"/>
    <mergeCell ref="N363:P363"/>
    <mergeCell ref="Q363:V363"/>
    <mergeCell ref="W363:AB363"/>
    <mergeCell ref="AC363:AE363"/>
    <mergeCell ref="B364:M364"/>
    <mergeCell ref="N364:P364"/>
    <mergeCell ref="Q364:V364"/>
    <mergeCell ref="W364:AB364"/>
    <mergeCell ref="AC364:AE364"/>
    <mergeCell ref="B361:M361"/>
    <mergeCell ref="N361:P361"/>
    <mergeCell ref="Q361:V361"/>
    <mergeCell ref="W361:AB361"/>
    <mergeCell ref="AC361:AE361"/>
    <mergeCell ref="B362:M362"/>
    <mergeCell ref="N362:P362"/>
    <mergeCell ref="Q362:V362"/>
    <mergeCell ref="W362:AB362"/>
    <mergeCell ref="AC362:AE362"/>
    <mergeCell ref="B359:M359"/>
    <mergeCell ref="N359:P359"/>
    <mergeCell ref="Q359:V359"/>
    <mergeCell ref="W359:AB359"/>
    <mergeCell ref="AC359:AE359"/>
    <mergeCell ref="B360:M360"/>
    <mergeCell ref="N360:P360"/>
    <mergeCell ref="Q360:V360"/>
    <mergeCell ref="W360:AB360"/>
    <mergeCell ref="AC360:AE360"/>
    <mergeCell ref="B357:M357"/>
    <mergeCell ref="N357:P357"/>
    <mergeCell ref="Q357:V357"/>
    <mergeCell ref="W357:AB357"/>
    <mergeCell ref="AC357:AE357"/>
    <mergeCell ref="B358:M358"/>
    <mergeCell ref="N358:P358"/>
    <mergeCell ref="Q358:V358"/>
    <mergeCell ref="W358:AB358"/>
    <mergeCell ref="AC358:AE358"/>
    <mergeCell ref="B355:M355"/>
    <mergeCell ref="N355:P355"/>
    <mergeCell ref="Q355:V355"/>
    <mergeCell ref="W355:AB355"/>
    <mergeCell ref="AC355:AE355"/>
    <mergeCell ref="B356:M356"/>
    <mergeCell ref="N356:P356"/>
    <mergeCell ref="Q356:V356"/>
    <mergeCell ref="W356:AB356"/>
    <mergeCell ref="AC356:AE356"/>
    <mergeCell ref="B353:M353"/>
    <mergeCell ref="N353:P353"/>
    <mergeCell ref="Q353:V353"/>
    <mergeCell ref="W353:AB353"/>
    <mergeCell ref="AC353:AE353"/>
    <mergeCell ref="B354:M354"/>
    <mergeCell ref="N354:P354"/>
    <mergeCell ref="Q354:V354"/>
    <mergeCell ref="W354:AB354"/>
    <mergeCell ref="AC354:AE354"/>
    <mergeCell ref="B346:M346"/>
    <mergeCell ref="N346:P346"/>
    <mergeCell ref="Q346:V346"/>
    <mergeCell ref="W346:AB346"/>
    <mergeCell ref="AC346:AE346"/>
    <mergeCell ref="B352:M352"/>
    <mergeCell ref="N352:P352"/>
    <mergeCell ref="Q352:V352"/>
    <mergeCell ref="W352:AB352"/>
    <mergeCell ref="AC352:AE352"/>
    <mergeCell ref="B344:M344"/>
    <mergeCell ref="N344:P344"/>
    <mergeCell ref="Q344:V344"/>
    <mergeCell ref="W344:AB344"/>
    <mergeCell ref="AC344:AE344"/>
    <mergeCell ref="B345:M345"/>
    <mergeCell ref="N345:P345"/>
    <mergeCell ref="Q345:V345"/>
    <mergeCell ref="W345:AB345"/>
    <mergeCell ref="AC345:AE345"/>
    <mergeCell ref="Q347:V347"/>
    <mergeCell ref="W347:AB347"/>
    <mergeCell ref="AC347:AE347"/>
    <mergeCell ref="B351:M351"/>
    <mergeCell ref="N351:P351"/>
    <mergeCell ref="Q351:V351"/>
    <mergeCell ref="W351:AB351"/>
    <mergeCell ref="AC351:AE351"/>
    <mergeCell ref="AC350:AE350"/>
    <mergeCell ref="B343:M343"/>
    <mergeCell ref="N343:P343"/>
    <mergeCell ref="Q343:V343"/>
    <mergeCell ref="W343:AB343"/>
    <mergeCell ref="AC343:AE343"/>
    <mergeCell ref="B337:M337"/>
    <mergeCell ref="N337:P337"/>
    <mergeCell ref="Q337:V337"/>
    <mergeCell ref="W337:AB337"/>
    <mergeCell ref="AC337:AE337"/>
    <mergeCell ref="B341:M341"/>
    <mergeCell ref="N341:P341"/>
    <mergeCell ref="Q341:V341"/>
    <mergeCell ref="W341:AB341"/>
    <mergeCell ref="AC341:AE341"/>
    <mergeCell ref="B339:M339"/>
    <mergeCell ref="N339:P339"/>
    <mergeCell ref="Q339:V339"/>
    <mergeCell ref="W339:AB339"/>
    <mergeCell ref="AC339:AE339"/>
    <mergeCell ref="B340:M340"/>
    <mergeCell ref="N340:P340"/>
    <mergeCell ref="Q340:V340"/>
    <mergeCell ref="W340:AB340"/>
    <mergeCell ref="AC340:AE340"/>
    <mergeCell ref="W336:AB336"/>
    <mergeCell ref="AC336:AE336"/>
    <mergeCell ref="B332:M332"/>
    <mergeCell ref="N332:P332"/>
    <mergeCell ref="Q332:V332"/>
    <mergeCell ref="W332:AB332"/>
    <mergeCell ref="AC332:AE332"/>
    <mergeCell ref="B333:M333"/>
    <mergeCell ref="N333:P333"/>
    <mergeCell ref="Q333:V333"/>
    <mergeCell ref="W333:AB333"/>
    <mergeCell ref="AC333:AE333"/>
    <mergeCell ref="B342:M342"/>
    <mergeCell ref="N342:P342"/>
    <mergeCell ref="Q342:V342"/>
    <mergeCell ref="W342:AB342"/>
    <mergeCell ref="AC342:AE342"/>
    <mergeCell ref="B338:M338"/>
    <mergeCell ref="N338:P338"/>
    <mergeCell ref="Q338:V338"/>
    <mergeCell ref="W338:AB338"/>
    <mergeCell ref="AC338:AE338"/>
    <mergeCell ref="N336:P336"/>
    <mergeCell ref="B327:M327"/>
    <mergeCell ref="N327:P327"/>
    <mergeCell ref="Q327:V327"/>
    <mergeCell ref="W327:AB327"/>
    <mergeCell ref="AC327:AE327"/>
    <mergeCell ref="B331:M331"/>
    <mergeCell ref="N331:P331"/>
    <mergeCell ref="Q331:V331"/>
    <mergeCell ref="W331:AB331"/>
    <mergeCell ref="AC331:AE331"/>
    <mergeCell ref="B325:M325"/>
    <mergeCell ref="N325:P325"/>
    <mergeCell ref="Q325:V325"/>
    <mergeCell ref="W325:AB325"/>
    <mergeCell ref="AC325:AE325"/>
    <mergeCell ref="B326:M326"/>
    <mergeCell ref="N326:P326"/>
    <mergeCell ref="Q326:V326"/>
    <mergeCell ref="W326:AB326"/>
    <mergeCell ref="AC326:AE326"/>
    <mergeCell ref="B330:M330"/>
    <mergeCell ref="N330:P330"/>
    <mergeCell ref="Q330:V330"/>
    <mergeCell ref="W330:AB330"/>
    <mergeCell ref="AC330:AE330"/>
    <mergeCell ref="B328:M328"/>
    <mergeCell ref="N328:P328"/>
    <mergeCell ref="Q328:V328"/>
    <mergeCell ref="W328:AB328"/>
    <mergeCell ref="B329:M329"/>
    <mergeCell ref="N329:P329"/>
    <mergeCell ref="Q329:V329"/>
    <mergeCell ref="B323:M323"/>
    <mergeCell ref="N323:P323"/>
    <mergeCell ref="Q323:V323"/>
    <mergeCell ref="W323:AB323"/>
    <mergeCell ref="AC323:AE323"/>
    <mergeCell ref="B324:M324"/>
    <mergeCell ref="N324:P324"/>
    <mergeCell ref="Q324:V324"/>
    <mergeCell ref="W324:AB324"/>
    <mergeCell ref="AC324:AE324"/>
    <mergeCell ref="B321:M321"/>
    <mergeCell ref="N321:P321"/>
    <mergeCell ref="Q321:V321"/>
    <mergeCell ref="W321:AB321"/>
    <mergeCell ref="AC321:AE321"/>
    <mergeCell ref="B322:M322"/>
    <mergeCell ref="N322:P322"/>
    <mergeCell ref="Q322:V322"/>
    <mergeCell ref="W322:AB322"/>
    <mergeCell ref="AC322:AE322"/>
    <mergeCell ref="B319:M319"/>
    <mergeCell ref="N319:P319"/>
    <mergeCell ref="Q319:V319"/>
    <mergeCell ref="W319:AB319"/>
    <mergeCell ref="AC319:AE319"/>
    <mergeCell ref="B320:M320"/>
    <mergeCell ref="N320:P320"/>
    <mergeCell ref="Q320:V320"/>
    <mergeCell ref="W320:AB320"/>
    <mergeCell ref="AC320:AE320"/>
    <mergeCell ref="B317:M317"/>
    <mergeCell ref="N317:P317"/>
    <mergeCell ref="Q317:V317"/>
    <mergeCell ref="W317:AB317"/>
    <mergeCell ref="AC317:AE317"/>
    <mergeCell ref="B318:M318"/>
    <mergeCell ref="N318:P318"/>
    <mergeCell ref="Q318:V318"/>
    <mergeCell ref="W318:AB318"/>
    <mergeCell ref="AC318:AE318"/>
    <mergeCell ref="B312:M312"/>
    <mergeCell ref="N312:P312"/>
    <mergeCell ref="Q312:V312"/>
    <mergeCell ref="W312:AB312"/>
    <mergeCell ref="AC312:AE312"/>
    <mergeCell ref="B316:M316"/>
    <mergeCell ref="N316:P316"/>
    <mergeCell ref="Q316:V316"/>
    <mergeCell ref="W316:AB316"/>
    <mergeCell ref="AC316:AE316"/>
    <mergeCell ref="B310:M310"/>
    <mergeCell ref="N310:P310"/>
    <mergeCell ref="Q310:V310"/>
    <mergeCell ref="W310:AB310"/>
    <mergeCell ref="AC310:AE310"/>
    <mergeCell ref="B311:M311"/>
    <mergeCell ref="N311:P311"/>
    <mergeCell ref="Q311:V311"/>
    <mergeCell ref="W311:AB311"/>
    <mergeCell ref="AC311:AE311"/>
    <mergeCell ref="W315:AB315"/>
    <mergeCell ref="AC315:AE315"/>
    <mergeCell ref="B313:M313"/>
    <mergeCell ref="N313:P313"/>
    <mergeCell ref="B308:M308"/>
    <mergeCell ref="N308:P308"/>
    <mergeCell ref="Q308:V308"/>
    <mergeCell ref="W308:AB308"/>
    <mergeCell ref="AC308:AE308"/>
    <mergeCell ref="B309:M309"/>
    <mergeCell ref="N309:P309"/>
    <mergeCell ref="Q309:V309"/>
    <mergeCell ref="W309:AB309"/>
    <mergeCell ref="AC309:AE309"/>
    <mergeCell ref="B306:M306"/>
    <mergeCell ref="N306:P306"/>
    <mergeCell ref="Q306:V306"/>
    <mergeCell ref="W306:AB306"/>
    <mergeCell ref="AC306:AE306"/>
    <mergeCell ref="B307:M307"/>
    <mergeCell ref="N307:P307"/>
    <mergeCell ref="Q307:V307"/>
    <mergeCell ref="W307:AB307"/>
    <mergeCell ref="AC307:AE307"/>
    <mergeCell ref="B304:M304"/>
    <mergeCell ref="N304:P304"/>
    <mergeCell ref="Q304:V304"/>
    <mergeCell ref="W304:AB304"/>
    <mergeCell ref="AC304:AE304"/>
    <mergeCell ref="B305:M305"/>
    <mergeCell ref="N305:P305"/>
    <mergeCell ref="Q305:V305"/>
    <mergeCell ref="W305:AB305"/>
    <mergeCell ref="AC305:AE305"/>
    <mergeCell ref="B301:M301"/>
    <mergeCell ref="N301:P301"/>
    <mergeCell ref="Q301:V301"/>
    <mergeCell ref="W301:AB301"/>
    <mergeCell ref="AC301:AE301"/>
    <mergeCell ref="B303:M303"/>
    <mergeCell ref="N303:P303"/>
    <mergeCell ref="Q303:V303"/>
    <mergeCell ref="W303:AB303"/>
    <mergeCell ref="AC303:AE303"/>
    <mergeCell ref="N302:P302"/>
    <mergeCell ref="Q302:V302"/>
    <mergeCell ref="W302:AB302"/>
    <mergeCell ref="AC302:AE302"/>
    <mergeCell ref="B302:M302"/>
    <mergeCell ref="B299:M299"/>
    <mergeCell ref="N299:P299"/>
    <mergeCell ref="Q299:V299"/>
    <mergeCell ref="W299:AB299"/>
    <mergeCell ref="AC299:AE299"/>
    <mergeCell ref="B300:M300"/>
    <mergeCell ref="N300:P300"/>
    <mergeCell ref="Q300:V300"/>
    <mergeCell ref="W300:AB300"/>
    <mergeCell ref="AC300:AE300"/>
    <mergeCell ref="B297:M297"/>
    <mergeCell ref="N297:P297"/>
    <mergeCell ref="Q297:V297"/>
    <mergeCell ref="W297:AB297"/>
    <mergeCell ref="AC297:AE297"/>
    <mergeCell ref="B298:M298"/>
    <mergeCell ref="N298:P298"/>
    <mergeCell ref="Q298:V298"/>
    <mergeCell ref="W298:AB298"/>
    <mergeCell ref="AC298:AE298"/>
    <mergeCell ref="B295:M295"/>
    <mergeCell ref="N295:P295"/>
    <mergeCell ref="Q295:V295"/>
    <mergeCell ref="W295:AB295"/>
    <mergeCell ref="AC295:AE295"/>
    <mergeCell ref="B296:M296"/>
    <mergeCell ref="N296:P296"/>
    <mergeCell ref="Q296:V296"/>
    <mergeCell ref="W296:AB296"/>
    <mergeCell ref="AC296:AE296"/>
    <mergeCell ref="B293:M293"/>
    <mergeCell ref="N293:P293"/>
    <mergeCell ref="Q293:V293"/>
    <mergeCell ref="W293:AB293"/>
    <mergeCell ref="AC293:AE293"/>
    <mergeCell ref="B294:M294"/>
    <mergeCell ref="N294:P294"/>
    <mergeCell ref="Q294:V294"/>
    <mergeCell ref="W294:AB294"/>
    <mergeCell ref="AC294:AE294"/>
    <mergeCell ref="B291:M291"/>
    <mergeCell ref="N291:P291"/>
    <mergeCell ref="Q291:V291"/>
    <mergeCell ref="W291:AB291"/>
    <mergeCell ref="AC291:AE291"/>
    <mergeCell ref="B292:M292"/>
    <mergeCell ref="N292:P292"/>
    <mergeCell ref="Q292:V292"/>
    <mergeCell ref="W292:AB292"/>
    <mergeCell ref="AC292:AE292"/>
    <mergeCell ref="B289:M289"/>
    <mergeCell ref="N289:P289"/>
    <mergeCell ref="Q289:V289"/>
    <mergeCell ref="W289:AB289"/>
    <mergeCell ref="AC289:AE289"/>
    <mergeCell ref="B290:M290"/>
    <mergeCell ref="N290:P290"/>
    <mergeCell ref="Q290:V290"/>
    <mergeCell ref="W290:AB290"/>
    <mergeCell ref="AC290:AE290"/>
    <mergeCell ref="B287:M287"/>
    <mergeCell ref="N287:P287"/>
    <mergeCell ref="Q287:V287"/>
    <mergeCell ref="W287:AB287"/>
    <mergeCell ref="AC287:AE287"/>
    <mergeCell ref="B288:M288"/>
    <mergeCell ref="N288:P288"/>
    <mergeCell ref="Q288:V288"/>
    <mergeCell ref="W288:AB288"/>
    <mergeCell ref="AC288:AE288"/>
    <mergeCell ref="B284:M284"/>
    <mergeCell ref="N284:P284"/>
    <mergeCell ref="Q284:V284"/>
    <mergeCell ref="W284:AB284"/>
    <mergeCell ref="AC284:AE284"/>
    <mergeCell ref="B286:M286"/>
    <mergeCell ref="N286:P286"/>
    <mergeCell ref="Q286:V286"/>
    <mergeCell ref="W286:AB286"/>
    <mergeCell ref="AC286:AE286"/>
    <mergeCell ref="B285:M285"/>
    <mergeCell ref="N285:P285"/>
    <mergeCell ref="Q285:V285"/>
    <mergeCell ref="W285:AB285"/>
    <mergeCell ref="AC285:AE285"/>
    <mergeCell ref="B282:M282"/>
    <mergeCell ref="N282:P282"/>
    <mergeCell ref="Q282:V282"/>
    <mergeCell ref="W282:AB282"/>
    <mergeCell ref="AC282:AE282"/>
    <mergeCell ref="B283:M283"/>
    <mergeCell ref="N283:P283"/>
    <mergeCell ref="Q283:V283"/>
    <mergeCell ref="W283:AB283"/>
    <mergeCell ref="AC283:AE283"/>
    <mergeCell ref="B280:M280"/>
    <mergeCell ref="N280:P280"/>
    <mergeCell ref="Q280:V280"/>
    <mergeCell ref="W280:AB280"/>
    <mergeCell ref="AC280:AE280"/>
    <mergeCell ref="B281:M281"/>
    <mergeCell ref="N281:P281"/>
    <mergeCell ref="Q281:V281"/>
    <mergeCell ref="W281:AB281"/>
    <mergeCell ref="AC281:AE281"/>
    <mergeCell ref="B274:M274"/>
    <mergeCell ref="N274:P274"/>
    <mergeCell ref="Q274:V274"/>
    <mergeCell ref="W274:AB274"/>
    <mergeCell ref="AC274:AE274"/>
    <mergeCell ref="B275:M275"/>
    <mergeCell ref="N275:P275"/>
    <mergeCell ref="Q275:V275"/>
    <mergeCell ref="W275:AB275"/>
    <mergeCell ref="AC275:AE275"/>
    <mergeCell ref="B272:M272"/>
    <mergeCell ref="N272:P272"/>
    <mergeCell ref="Q272:V272"/>
    <mergeCell ref="W272:AB272"/>
    <mergeCell ref="AC272:AE272"/>
    <mergeCell ref="B273:M273"/>
    <mergeCell ref="N273:P273"/>
    <mergeCell ref="Q273:V273"/>
    <mergeCell ref="W273:AB273"/>
    <mergeCell ref="AC273:AE273"/>
    <mergeCell ref="B271:M271"/>
    <mergeCell ref="N271:P271"/>
    <mergeCell ref="Q271:V271"/>
    <mergeCell ref="W271:AB271"/>
    <mergeCell ref="AC271:AE271"/>
    <mergeCell ref="B268:M268"/>
    <mergeCell ref="N268:P268"/>
    <mergeCell ref="Q268:V268"/>
    <mergeCell ref="W268:AB268"/>
    <mergeCell ref="AC268:AE268"/>
    <mergeCell ref="B269:M269"/>
    <mergeCell ref="N269:P269"/>
    <mergeCell ref="Q269:V269"/>
    <mergeCell ref="W269:AB269"/>
    <mergeCell ref="AC269:AE269"/>
    <mergeCell ref="B263:M263"/>
    <mergeCell ref="N263:P263"/>
    <mergeCell ref="Q263:V263"/>
    <mergeCell ref="W263:AB263"/>
    <mergeCell ref="AC263:AE263"/>
    <mergeCell ref="B264:M264"/>
    <mergeCell ref="N264:P264"/>
    <mergeCell ref="N267:P267"/>
    <mergeCell ref="Q267:V267"/>
    <mergeCell ref="W267:AB267"/>
    <mergeCell ref="AC267:AE267"/>
    <mergeCell ref="Q262:V262"/>
    <mergeCell ref="W262:AB262"/>
    <mergeCell ref="AC262:AE262"/>
    <mergeCell ref="B257:M257"/>
    <mergeCell ref="N257:P257"/>
    <mergeCell ref="Q257:V257"/>
    <mergeCell ref="W257:AB257"/>
    <mergeCell ref="AC257:AE257"/>
    <mergeCell ref="B260:M260"/>
    <mergeCell ref="N260:P260"/>
    <mergeCell ref="Q260:V260"/>
    <mergeCell ref="W260:AB260"/>
    <mergeCell ref="AC260:AE260"/>
    <mergeCell ref="B270:M270"/>
    <mergeCell ref="N270:P270"/>
    <mergeCell ref="Q270:V270"/>
    <mergeCell ref="W270:AB270"/>
    <mergeCell ref="AC270:AE270"/>
    <mergeCell ref="Q264:V264"/>
    <mergeCell ref="W264:AB264"/>
    <mergeCell ref="AC264:AE264"/>
    <mergeCell ref="B265:M265"/>
    <mergeCell ref="N265:P265"/>
    <mergeCell ref="Q265:V265"/>
    <mergeCell ref="W265:AB265"/>
    <mergeCell ref="AC265:AE265"/>
    <mergeCell ref="B266:M266"/>
    <mergeCell ref="N266:P266"/>
    <mergeCell ref="Q266:V266"/>
    <mergeCell ref="W266:AB266"/>
    <mergeCell ref="AC266:AE266"/>
    <mergeCell ref="W261:AB261"/>
    <mergeCell ref="AC248:AE248"/>
    <mergeCell ref="B249:M249"/>
    <mergeCell ref="N249:P249"/>
    <mergeCell ref="Q249:V249"/>
    <mergeCell ref="W249:AB249"/>
    <mergeCell ref="AC249:AE249"/>
    <mergeCell ref="B254:M254"/>
    <mergeCell ref="N254:P254"/>
    <mergeCell ref="Q254:V254"/>
    <mergeCell ref="W254:AB254"/>
    <mergeCell ref="AC254:AE254"/>
    <mergeCell ref="B256:M256"/>
    <mergeCell ref="N256:P256"/>
    <mergeCell ref="Q256:V256"/>
    <mergeCell ref="W256:AB256"/>
    <mergeCell ref="AC256:AE256"/>
    <mergeCell ref="B252:M252"/>
    <mergeCell ref="N252:P252"/>
    <mergeCell ref="Q252:V252"/>
    <mergeCell ref="W252:AB252"/>
    <mergeCell ref="AC252:AE252"/>
    <mergeCell ref="B253:M253"/>
    <mergeCell ref="N253:P253"/>
    <mergeCell ref="Q253:V253"/>
    <mergeCell ref="W253:AB253"/>
    <mergeCell ref="AC253:AE253"/>
    <mergeCell ref="AC251:AE251"/>
    <mergeCell ref="Q248:V248"/>
    <mergeCell ref="N243:P243"/>
    <mergeCell ref="Q243:V243"/>
    <mergeCell ref="W243:AB243"/>
    <mergeCell ref="AC243:AE243"/>
    <mergeCell ref="B239:M239"/>
    <mergeCell ref="B232:M232"/>
    <mergeCell ref="N232:P232"/>
    <mergeCell ref="Q232:V232"/>
    <mergeCell ref="W232:AB232"/>
    <mergeCell ref="AC232:AE232"/>
    <mergeCell ref="B233:M233"/>
    <mergeCell ref="N233:P233"/>
    <mergeCell ref="Q233:V233"/>
    <mergeCell ref="W233:AB233"/>
    <mergeCell ref="AC233:AE233"/>
    <mergeCell ref="B235:M235"/>
    <mergeCell ref="N235:P235"/>
    <mergeCell ref="Q235:V235"/>
    <mergeCell ref="W235:AB235"/>
    <mergeCell ref="AC235:AE235"/>
    <mergeCell ref="B236:M236"/>
    <mergeCell ref="B237:M237"/>
    <mergeCell ref="B238:M238"/>
    <mergeCell ref="Q236:V236"/>
    <mergeCell ref="W236:AB236"/>
    <mergeCell ref="AC236:AE236"/>
    <mergeCell ref="AC242:AE242"/>
    <mergeCell ref="N231:P231"/>
    <mergeCell ref="Q231:V231"/>
    <mergeCell ref="W231:AB231"/>
    <mergeCell ref="AC231:AE231"/>
    <mergeCell ref="B228:M228"/>
    <mergeCell ref="N228:P228"/>
    <mergeCell ref="Q228:V228"/>
    <mergeCell ref="W228:AB228"/>
    <mergeCell ref="AC228:AE228"/>
    <mergeCell ref="B229:M229"/>
    <mergeCell ref="N229:P229"/>
    <mergeCell ref="Q229:V229"/>
    <mergeCell ref="W229:AB229"/>
    <mergeCell ref="AC229:AE229"/>
    <mergeCell ref="B226:M226"/>
    <mergeCell ref="N226:P226"/>
    <mergeCell ref="Q226:V226"/>
    <mergeCell ref="W226:AB226"/>
    <mergeCell ref="AC226:AE226"/>
    <mergeCell ref="B227:M227"/>
    <mergeCell ref="N227:P227"/>
    <mergeCell ref="Q227:V227"/>
    <mergeCell ref="W227:AB227"/>
    <mergeCell ref="AC227:AE227"/>
    <mergeCell ref="B223:M223"/>
    <mergeCell ref="N223:P223"/>
    <mergeCell ref="Q223:V223"/>
    <mergeCell ref="W223:AB223"/>
    <mergeCell ref="AC223:AE223"/>
    <mergeCell ref="B224:M224"/>
    <mergeCell ref="N224:P224"/>
    <mergeCell ref="Q224:V224"/>
    <mergeCell ref="W224:AB224"/>
    <mergeCell ref="AC224:AE224"/>
    <mergeCell ref="B225:M225"/>
    <mergeCell ref="N225:P225"/>
    <mergeCell ref="Q225:V225"/>
    <mergeCell ref="W225:AB225"/>
    <mergeCell ref="AC225:AE225"/>
    <mergeCell ref="B221:M221"/>
    <mergeCell ref="N221:P221"/>
    <mergeCell ref="Q221:V221"/>
    <mergeCell ref="W221:AB221"/>
    <mergeCell ref="AC221:AE221"/>
    <mergeCell ref="B222:M222"/>
    <mergeCell ref="N222:P222"/>
    <mergeCell ref="Q222:V222"/>
    <mergeCell ref="W222:AB222"/>
    <mergeCell ref="AC222:AE222"/>
    <mergeCell ref="B214:M214"/>
    <mergeCell ref="N214:P214"/>
    <mergeCell ref="Q214:V214"/>
    <mergeCell ref="W214:AB214"/>
    <mergeCell ref="AC214:AE214"/>
    <mergeCell ref="B215:M215"/>
    <mergeCell ref="N215:P215"/>
    <mergeCell ref="Q215:V215"/>
    <mergeCell ref="W215:AB215"/>
    <mergeCell ref="AC215:AE215"/>
    <mergeCell ref="AC218:AE218"/>
    <mergeCell ref="AC219:AE219"/>
    <mergeCell ref="AC220:AE220"/>
    <mergeCell ref="B218:M218"/>
    <mergeCell ref="B219:M219"/>
    <mergeCell ref="B220:M220"/>
    <mergeCell ref="N218:P218"/>
    <mergeCell ref="N219:P219"/>
    <mergeCell ref="N220:P220"/>
    <mergeCell ref="Q218:V218"/>
    <mergeCell ref="Q219:V219"/>
    <mergeCell ref="Q220:V220"/>
    <mergeCell ref="W218:AB218"/>
    <mergeCell ref="W219:AB219"/>
    <mergeCell ref="W220:AB220"/>
    <mergeCell ref="B212:M212"/>
    <mergeCell ref="N212:P212"/>
    <mergeCell ref="Q212:V212"/>
    <mergeCell ref="W212:AB212"/>
    <mergeCell ref="AC212:AE212"/>
    <mergeCell ref="B213:M213"/>
    <mergeCell ref="N213:P213"/>
    <mergeCell ref="Q213:V213"/>
    <mergeCell ref="W213:AB213"/>
    <mergeCell ref="AC213:AE213"/>
    <mergeCell ref="B210:M210"/>
    <mergeCell ref="N210:P210"/>
    <mergeCell ref="Q210:V210"/>
    <mergeCell ref="W210:AB210"/>
    <mergeCell ref="AC210:AE210"/>
    <mergeCell ref="B211:M211"/>
    <mergeCell ref="N211:P211"/>
    <mergeCell ref="Q211:V211"/>
    <mergeCell ref="W211:AB211"/>
    <mergeCell ref="AC211:AE211"/>
    <mergeCell ref="B208:M208"/>
    <mergeCell ref="N208:P208"/>
    <mergeCell ref="Q208:V208"/>
    <mergeCell ref="W208:AB208"/>
    <mergeCell ref="AC208:AE208"/>
    <mergeCell ref="B209:M209"/>
    <mergeCell ref="N209:P209"/>
    <mergeCell ref="Q209:V209"/>
    <mergeCell ref="W209:AB209"/>
    <mergeCell ref="AC209:AE209"/>
    <mergeCell ref="B206:M206"/>
    <mergeCell ref="N206:P206"/>
    <mergeCell ref="Q206:V206"/>
    <mergeCell ref="W206:AB206"/>
    <mergeCell ref="AC206:AE206"/>
    <mergeCell ref="B207:M207"/>
    <mergeCell ref="N207:P207"/>
    <mergeCell ref="Q207:V207"/>
    <mergeCell ref="W207:AB207"/>
    <mergeCell ref="AC207:AE207"/>
    <mergeCell ref="B204:M204"/>
    <mergeCell ref="N204:P204"/>
    <mergeCell ref="Q204:V204"/>
    <mergeCell ref="W204:AB204"/>
    <mergeCell ref="AC204:AE204"/>
    <mergeCell ref="B205:M205"/>
    <mergeCell ref="N205:P205"/>
    <mergeCell ref="Q205:V205"/>
    <mergeCell ref="W205:AB205"/>
    <mergeCell ref="AC205:AE205"/>
    <mergeCell ref="B202:M202"/>
    <mergeCell ref="N202:P202"/>
    <mergeCell ref="Q202:V202"/>
    <mergeCell ref="W202:AB202"/>
    <mergeCell ref="AC202:AE202"/>
    <mergeCell ref="B203:M203"/>
    <mergeCell ref="N203:P203"/>
    <mergeCell ref="Q203:V203"/>
    <mergeCell ref="W203:AB203"/>
    <mergeCell ref="AC203:AE203"/>
    <mergeCell ref="W194:AB194"/>
    <mergeCell ref="AC194:AE194"/>
    <mergeCell ref="B195:M195"/>
    <mergeCell ref="N195:P195"/>
    <mergeCell ref="Q195:V195"/>
    <mergeCell ref="W195:AB195"/>
    <mergeCell ref="AC195:AE195"/>
    <mergeCell ref="B200:M200"/>
    <mergeCell ref="N200:P200"/>
    <mergeCell ref="Q200:V200"/>
    <mergeCell ref="W200:AB200"/>
    <mergeCell ref="AC200:AE200"/>
    <mergeCell ref="B201:M201"/>
    <mergeCell ref="N201:P201"/>
    <mergeCell ref="Q201:V201"/>
    <mergeCell ref="W201:AB201"/>
    <mergeCell ref="AC201:AE201"/>
    <mergeCell ref="B198:M198"/>
    <mergeCell ref="N198:P198"/>
    <mergeCell ref="Q198:V198"/>
    <mergeCell ref="W198:AB198"/>
    <mergeCell ref="AC198:AE198"/>
    <mergeCell ref="B199:M199"/>
    <mergeCell ref="N199:P199"/>
    <mergeCell ref="Q199:V199"/>
    <mergeCell ref="W199:AB199"/>
    <mergeCell ref="AC199:AE199"/>
    <mergeCell ref="B190:M190"/>
    <mergeCell ref="N190:P190"/>
    <mergeCell ref="Q190:V190"/>
    <mergeCell ref="W190:AB190"/>
    <mergeCell ref="AC190:AE190"/>
    <mergeCell ref="B191:M191"/>
    <mergeCell ref="N191:P191"/>
    <mergeCell ref="Q191:V191"/>
    <mergeCell ref="W191:AB191"/>
    <mergeCell ref="AC191:AE191"/>
    <mergeCell ref="B216:M216"/>
    <mergeCell ref="N216:P216"/>
    <mergeCell ref="Q216:V216"/>
    <mergeCell ref="W216:AB216"/>
    <mergeCell ref="AC216:AE216"/>
    <mergeCell ref="N192:P192"/>
    <mergeCell ref="Q192:V192"/>
    <mergeCell ref="W192:AB192"/>
    <mergeCell ref="AC192:AE192"/>
    <mergeCell ref="B196:M196"/>
    <mergeCell ref="N196:P196"/>
    <mergeCell ref="Q196:V196"/>
    <mergeCell ref="W196:AB196"/>
    <mergeCell ref="AC196:AE196"/>
    <mergeCell ref="B197:M197"/>
    <mergeCell ref="N197:P197"/>
    <mergeCell ref="Q197:V197"/>
    <mergeCell ref="W197:AB197"/>
    <mergeCell ref="AC197:AE197"/>
    <mergeCell ref="B194:M194"/>
    <mergeCell ref="N194:P194"/>
    <mergeCell ref="Q194:V194"/>
    <mergeCell ref="B188:M188"/>
    <mergeCell ref="N188:P188"/>
    <mergeCell ref="Q188:V188"/>
    <mergeCell ref="W188:AB188"/>
    <mergeCell ref="AC188:AE188"/>
    <mergeCell ref="B189:M189"/>
    <mergeCell ref="N189:P189"/>
    <mergeCell ref="Q189:V189"/>
    <mergeCell ref="W189:AB189"/>
    <mergeCell ref="AC189:AE189"/>
    <mergeCell ref="B186:M186"/>
    <mergeCell ref="N186:P186"/>
    <mergeCell ref="Q186:V186"/>
    <mergeCell ref="W186:AB186"/>
    <mergeCell ref="AC186:AE186"/>
    <mergeCell ref="B187:M187"/>
    <mergeCell ref="N187:P187"/>
    <mergeCell ref="Q187:V187"/>
    <mergeCell ref="W187:AB187"/>
    <mergeCell ref="AC187:AE187"/>
    <mergeCell ref="B184:M184"/>
    <mergeCell ref="N184:P184"/>
    <mergeCell ref="Q184:V184"/>
    <mergeCell ref="W184:AB184"/>
    <mergeCell ref="AC184:AE184"/>
    <mergeCell ref="B185:M185"/>
    <mergeCell ref="N185:P185"/>
    <mergeCell ref="Q185:V185"/>
    <mergeCell ref="W185:AB185"/>
    <mergeCell ref="AC185:AE185"/>
    <mergeCell ref="A182:AE182"/>
    <mergeCell ref="B183:M183"/>
    <mergeCell ref="N183:P183"/>
    <mergeCell ref="Q183:V183"/>
    <mergeCell ref="W183:AB183"/>
    <mergeCell ref="AC183:AE183"/>
    <mergeCell ref="A180:C180"/>
    <mergeCell ref="D180:K180"/>
    <mergeCell ref="L180:U180"/>
    <mergeCell ref="V180:AE180"/>
    <mergeCell ref="A181:C181"/>
    <mergeCell ref="D181:AE181"/>
    <mergeCell ref="A177:C177"/>
    <mergeCell ref="D177:AE177"/>
    <mergeCell ref="A178:C178"/>
    <mergeCell ref="D178:AE178"/>
    <mergeCell ref="A179:C179"/>
    <mergeCell ref="D179:K179"/>
    <mergeCell ref="L179:U179"/>
    <mergeCell ref="V179:AE179"/>
    <mergeCell ref="A173:AB173"/>
    <mergeCell ref="AC173:AE173"/>
    <mergeCell ref="A174:AE174"/>
    <mergeCell ref="A175:C175"/>
    <mergeCell ref="D175:AE175"/>
    <mergeCell ref="A176:C176"/>
    <mergeCell ref="D176:AE176"/>
    <mergeCell ref="B171:M171"/>
    <mergeCell ref="N171:P171"/>
    <mergeCell ref="Q171:V171"/>
    <mergeCell ref="W171:AB171"/>
    <mergeCell ref="AC171:AE171"/>
    <mergeCell ref="B172:M172"/>
    <mergeCell ref="N172:P172"/>
    <mergeCell ref="Q172:V172"/>
    <mergeCell ref="W172:AB172"/>
    <mergeCell ref="AC172:AE172"/>
    <mergeCell ref="B169:M169"/>
    <mergeCell ref="N169:P169"/>
    <mergeCell ref="Q169:V169"/>
    <mergeCell ref="W169:AB169"/>
    <mergeCell ref="AC169:AE169"/>
    <mergeCell ref="B170:M170"/>
    <mergeCell ref="N170:P170"/>
    <mergeCell ref="Q170:V170"/>
    <mergeCell ref="W170:AB170"/>
    <mergeCell ref="AC170:AE170"/>
    <mergeCell ref="B166:M166"/>
    <mergeCell ref="N166:P166"/>
    <mergeCell ref="Q166:V166"/>
    <mergeCell ref="W166:AB166"/>
    <mergeCell ref="AC166:AE166"/>
    <mergeCell ref="B167:M167"/>
    <mergeCell ref="N167:P167"/>
    <mergeCell ref="Q167:V167"/>
    <mergeCell ref="W167:AB167"/>
    <mergeCell ref="AC167:AE167"/>
    <mergeCell ref="B163:M163"/>
    <mergeCell ref="N163:P163"/>
    <mergeCell ref="Q163:V163"/>
    <mergeCell ref="W163:AB163"/>
    <mergeCell ref="AC163:AE163"/>
    <mergeCell ref="B164:M164"/>
    <mergeCell ref="N164:P164"/>
    <mergeCell ref="Q164:V164"/>
    <mergeCell ref="W164:AB164"/>
    <mergeCell ref="AC164:AE164"/>
    <mergeCell ref="B161:M161"/>
    <mergeCell ref="N161:P161"/>
    <mergeCell ref="Q161:V161"/>
    <mergeCell ref="W161:AB161"/>
    <mergeCell ref="AC161:AE161"/>
    <mergeCell ref="B162:M162"/>
    <mergeCell ref="N162:P162"/>
    <mergeCell ref="Q162:V162"/>
    <mergeCell ref="W162:AB162"/>
    <mergeCell ref="AC162:AE162"/>
    <mergeCell ref="B159:M159"/>
    <mergeCell ref="N159:P159"/>
    <mergeCell ref="Q159:V159"/>
    <mergeCell ref="W159:AB159"/>
    <mergeCell ref="AC159:AE159"/>
    <mergeCell ref="B160:M160"/>
    <mergeCell ref="N160:P160"/>
    <mergeCell ref="Q160:V160"/>
    <mergeCell ref="W160:AB160"/>
    <mergeCell ref="AC160:AE160"/>
    <mergeCell ref="B157:M157"/>
    <mergeCell ref="N157:P157"/>
    <mergeCell ref="Q157:V157"/>
    <mergeCell ref="W157:AB157"/>
    <mergeCell ref="AC157:AE157"/>
    <mergeCell ref="B158:M158"/>
    <mergeCell ref="N158:P158"/>
    <mergeCell ref="Q158:V158"/>
    <mergeCell ref="W158:AB158"/>
    <mergeCell ref="AC158:AE158"/>
    <mergeCell ref="B155:M155"/>
    <mergeCell ref="N155:P155"/>
    <mergeCell ref="Q155:V155"/>
    <mergeCell ref="W155:AB155"/>
    <mergeCell ref="AC155:AE155"/>
    <mergeCell ref="B156:M156"/>
    <mergeCell ref="N156:P156"/>
    <mergeCell ref="Q156:V156"/>
    <mergeCell ref="W156:AB156"/>
    <mergeCell ref="AC156:AE156"/>
    <mergeCell ref="B153:M153"/>
    <mergeCell ref="N153:P153"/>
    <mergeCell ref="Q153:V153"/>
    <mergeCell ref="W153:AB153"/>
    <mergeCell ref="AC153:AE153"/>
    <mergeCell ref="B154:M154"/>
    <mergeCell ref="N154:P154"/>
    <mergeCell ref="Q154:V154"/>
    <mergeCell ref="W154:AB154"/>
    <mergeCell ref="AC154:AE154"/>
    <mergeCell ref="B151:M151"/>
    <mergeCell ref="N151:P151"/>
    <mergeCell ref="Q151:V151"/>
    <mergeCell ref="W151:AB151"/>
    <mergeCell ref="AC151:AE151"/>
    <mergeCell ref="B152:M152"/>
    <mergeCell ref="N152:P152"/>
    <mergeCell ref="Q152:V152"/>
    <mergeCell ref="W152:AB152"/>
    <mergeCell ref="AC152:AE152"/>
    <mergeCell ref="B149:M149"/>
    <mergeCell ref="N149:P149"/>
    <mergeCell ref="Q149:V149"/>
    <mergeCell ref="W149:AB149"/>
    <mergeCell ref="AC149:AE149"/>
    <mergeCell ref="B150:M150"/>
    <mergeCell ref="N150:P150"/>
    <mergeCell ref="Q150:V150"/>
    <mergeCell ref="W150:AB150"/>
    <mergeCell ref="AC150:AE150"/>
    <mergeCell ref="B147:M147"/>
    <mergeCell ref="N147:P147"/>
    <mergeCell ref="Q147:V147"/>
    <mergeCell ref="W147:AB147"/>
    <mergeCell ref="AC147:AE147"/>
    <mergeCell ref="B148:M148"/>
    <mergeCell ref="N148:P148"/>
    <mergeCell ref="Q148:V148"/>
    <mergeCell ref="W148:AB148"/>
    <mergeCell ref="AC148:AE148"/>
    <mergeCell ref="B145:M145"/>
    <mergeCell ref="N145:P145"/>
    <mergeCell ref="Q145:V145"/>
    <mergeCell ref="W145:AB145"/>
    <mergeCell ref="AC145:AE145"/>
    <mergeCell ref="B146:M146"/>
    <mergeCell ref="N146:P146"/>
    <mergeCell ref="Q146:V146"/>
    <mergeCell ref="W146:AB146"/>
    <mergeCell ref="AC146:AE146"/>
    <mergeCell ref="B139:M139"/>
    <mergeCell ref="N139:P139"/>
    <mergeCell ref="Q139:V139"/>
    <mergeCell ref="W139:AB139"/>
    <mergeCell ref="AC139:AE139"/>
    <mergeCell ref="B144:M144"/>
    <mergeCell ref="N144:P144"/>
    <mergeCell ref="Q144:V144"/>
    <mergeCell ref="W144:AB144"/>
    <mergeCell ref="AC144:AE144"/>
    <mergeCell ref="B137:M137"/>
    <mergeCell ref="N137:P137"/>
    <mergeCell ref="Q137:V137"/>
    <mergeCell ref="W137:AB137"/>
    <mergeCell ref="AC137:AE137"/>
    <mergeCell ref="B138:M138"/>
    <mergeCell ref="N138:P138"/>
    <mergeCell ref="Q138:V138"/>
    <mergeCell ref="W138:AB138"/>
    <mergeCell ref="AC138:AE138"/>
    <mergeCell ref="B141:M141"/>
    <mergeCell ref="N141:P141"/>
    <mergeCell ref="Q141:V141"/>
    <mergeCell ref="W141:AB141"/>
    <mergeCell ref="AC141:AE141"/>
    <mergeCell ref="B142:M142"/>
    <mergeCell ref="N142:P142"/>
    <mergeCell ref="Q142:V142"/>
    <mergeCell ref="W142:AB142"/>
    <mergeCell ref="AC142:AE142"/>
    <mergeCell ref="AC140:AE140"/>
    <mergeCell ref="B140:M140"/>
    <mergeCell ref="B135:M135"/>
    <mergeCell ref="N135:P135"/>
    <mergeCell ref="Q135:V135"/>
    <mergeCell ref="W135:AB135"/>
    <mergeCell ref="AC135:AE135"/>
    <mergeCell ref="B136:M136"/>
    <mergeCell ref="N136:P136"/>
    <mergeCell ref="Q136:V136"/>
    <mergeCell ref="W136:AB136"/>
    <mergeCell ref="AC136:AE136"/>
    <mergeCell ref="B133:M133"/>
    <mergeCell ref="N133:P133"/>
    <mergeCell ref="Q133:V133"/>
    <mergeCell ref="W133:AB133"/>
    <mergeCell ref="AC133:AE133"/>
    <mergeCell ref="B134:M134"/>
    <mergeCell ref="N134:P134"/>
    <mergeCell ref="Q134:V134"/>
    <mergeCell ref="W134:AB134"/>
    <mergeCell ref="AC134:AE134"/>
    <mergeCell ref="AC112:AE112"/>
    <mergeCell ref="B113:M113"/>
    <mergeCell ref="N113:P113"/>
    <mergeCell ref="Q113:V113"/>
    <mergeCell ref="W113:AB113"/>
    <mergeCell ref="AC113:AE113"/>
    <mergeCell ref="B110:M110"/>
    <mergeCell ref="N110:P110"/>
    <mergeCell ref="Q110:V110"/>
    <mergeCell ref="W110:AB110"/>
    <mergeCell ref="AC110:AE110"/>
    <mergeCell ref="B111:M111"/>
    <mergeCell ref="N111:P111"/>
    <mergeCell ref="Q111:V111"/>
    <mergeCell ref="W111:AB111"/>
    <mergeCell ref="AC111:AE111"/>
    <mergeCell ref="B108:M108"/>
    <mergeCell ref="N108:P108"/>
    <mergeCell ref="Q108:V108"/>
    <mergeCell ref="W108:AB108"/>
    <mergeCell ref="AC108:AE108"/>
    <mergeCell ref="B82:M82"/>
    <mergeCell ref="N82:P82"/>
    <mergeCell ref="Q82:V82"/>
    <mergeCell ref="W82:AB82"/>
    <mergeCell ref="AC82:AE82"/>
    <mergeCell ref="B83:M83"/>
    <mergeCell ref="B107:M107"/>
    <mergeCell ref="N107:P107"/>
    <mergeCell ref="Q107:V107"/>
    <mergeCell ref="W107:AB107"/>
    <mergeCell ref="AC104:AE104"/>
    <mergeCell ref="B106:M106"/>
    <mergeCell ref="N106:P106"/>
    <mergeCell ref="Q106:V106"/>
    <mergeCell ref="W106:AB106"/>
    <mergeCell ref="AC96:AE96"/>
    <mergeCell ref="B97:M97"/>
    <mergeCell ref="N97:P97"/>
    <mergeCell ref="Q97:V97"/>
    <mergeCell ref="W97:AB97"/>
    <mergeCell ref="AC97:AE97"/>
    <mergeCell ref="B94:M94"/>
    <mergeCell ref="N94:P94"/>
    <mergeCell ref="Q94:V94"/>
    <mergeCell ref="W94:AB94"/>
    <mergeCell ref="AC94:AE94"/>
    <mergeCell ref="B95:M95"/>
    <mergeCell ref="N95:P95"/>
    <mergeCell ref="Q95:V95"/>
    <mergeCell ref="W95:AB95"/>
    <mergeCell ref="AC95:AE95"/>
    <mergeCell ref="AC91:AE91"/>
    <mergeCell ref="B87:M87"/>
    <mergeCell ref="N87:P87"/>
    <mergeCell ref="Q87:V87"/>
    <mergeCell ref="W87:AB87"/>
    <mergeCell ref="AC87:AE87"/>
    <mergeCell ref="B88:M88"/>
    <mergeCell ref="N88:P88"/>
    <mergeCell ref="Q88:V88"/>
    <mergeCell ref="W88:AB88"/>
    <mergeCell ref="AC88:AE88"/>
    <mergeCell ref="Q89:V89"/>
    <mergeCell ref="W89:AB89"/>
    <mergeCell ref="AC89:AE89"/>
    <mergeCell ref="B90:M90"/>
    <mergeCell ref="B85:M85"/>
    <mergeCell ref="N85:P85"/>
    <mergeCell ref="Q85:V85"/>
    <mergeCell ref="W85:AB85"/>
    <mergeCell ref="AC85:AE85"/>
    <mergeCell ref="B86:M86"/>
    <mergeCell ref="N86:P86"/>
    <mergeCell ref="Q86:V86"/>
    <mergeCell ref="W86:AB86"/>
    <mergeCell ref="AC86:AE86"/>
    <mergeCell ref="N83:P83"/>
    <mergeCell ref="Q83:V83"/>
    <mergeCell ref="W83:AB83"/>
    <mergeCell ref="AC83:AE83"/>
    <mergeCell ref="B84:M84"/>
    <mergeCell ref="N84:P84"/>
    <mergeCell ref="Q84:V84"/>
    <mergeCell ref="W84:AB84"/>
    <mergeCell ref="AC84:AE84"/>
    <mergeCell ref="W70:AB70"/>
    <mergeCell ref="AC70:AE70"/>
    <mergeCell ref="Q75:V75"/>
    <mergeCell ref="W75:AB75"/>
    <mergeCell ref="AC75:AE75"/>
    <mergeCell ref="B76:M76"/>
    <mergeCell ref="N76:P76"/>
    <mergeCell ref="Q76:V76"/>
    <mergeCell ref="W76:AB76"/>
    <mergeCell ref="AC76:AE76"/>
    <mergeCell ref="B73:M73"/>
    <mergeCell ref="N73:P73"/>
    <mergeCell ref="Q73:V73"/>
    <mergeCell ref="W73:AB73"/>
    <mergeCell ref="AC73:AE73"/>
    <mergeCell ref="B74:M74"/>
    <mergeCell ref="N74:P74"/>
    <mergeCell ref="Q74:V74"/>
    <mergeCell ref="W74:AB74"/>
    <mergeCell ref="AC74:AE74"/>
    <mergeCell ref="Q71:V71"/>
    <mergeCell ref="W71:AB71"/>
    <mergeCell ref="AC71:AE71"/>
    <mergeCell ref="B72:M72"/>
    <mergeCell ref="N72:P72"/>
    <mergeCell ref="Q72:V72"/>
    <mergeCell ref="W72:AB72"/>
    <mergeCell ref="AC72:AE72"/>
    <mergeCell ref="B80:M80"/>
    <mergeCell ref="N80:P80"/>
    <mergeCell ref="Q80:V80"/>
    <mergeCell ref="W80:AB80"/>
    <mergeCell ref="AC80:AE80"/>
    <mergeCell ref="B81:M81"/>
    <mergeCell ref="N81:P81"/>
    <mergeCell ref="Q81:V81"/>
    <mergeCell ref="W81:AB81"/>
    <mergeCell ref="AC81:AE81"/>
    <mergeCell ref="B77:M77"/>
    <mergeCell ref="N77:P77"/>
    <mergeCell ref="B75:M75"/>
    <mergeCell ref="N75:P75"/>
    <mergeCell ref="N78:P78"/>
    <mergeCell ref="Q78:V78"/>
    <mergeCell ref="Q64:V64"/>
    <mergeCell ref="W64:AB64"/>
    <mergeCell ref="AC64:AE64"/>
    <mergeCell ref="B65:M65"/>
    <mergeCell ref="N65:P65"/>
    <mergeCell ref="Q65:V65"/>
    <mergeCell ref="W65:AB65"/>
    <mergeCell ref="AC65:AE65"/>
    <mergeCell ref="B66:M66"/>
    <mergeCell ref="N66:P66"/>
    <mergeCell ref="Q66:V66"/>
    <mergeCell ref="W66:AB66"/>
    <mergeCell ref="AC66:AE66"/>
    <mergeCell ref="B67:M67"/>
    <mergeCell ref="N67:P67"/>
    <mergeCell ref="Q67:V67"/>
    <mergeCell ref="W67:AB67"/>
    <mergeCell ref="AC67:AE67"/>
    <mergeCell ref="B71:M71"/>
    <mergeCell ref="N71:P71"/>
    <mergeCell ref="B60:M60"/>
    <mergeCell ref="N60:P60"/>
    <mergeCell ref="Q60:V60"/>
    <mergeCell ref="W60:AB60"/>
    <mergeCell ref="AC60:AE60"/>
    <mergeCell ref="B63:M63"/>
    <mergeCell ref="N63:P63"/>
    <mergeCell ref="Q63:V63"/>
    <mergeCell ref="W63:AB63"/>
    <mergeCell ref="AC63:AE63"/>
    <mergeCell ref="B58:M58"/>
    <mergeCell ref="N58:P58"/>
    <mergeCell ref="Q58:V58"/>
    <mergeCell ref="W58:AB58"/>
    <mergeCell ref="AC58:AE58"/>
    <mergeCell ref="B59:M59"/>
    <mergeCell ref="N59:P59"/>
    <mergeCell ref="Q59:V59"/>
    <mergeCell ref="W59:AB59"/>
    <mergeCell ref="AC59:AE59"/>
    <mergeCell ref="B69:M69"/>
    <mergeCell ref="N69:P69"/>
    <mergeCell ref="Q69:V69"/>
    <mergeCell ref="W69:AB69"/>
    <mergeCell ref="AC69:AE69"/>
    <mergeCell ref="B70:M70"/>
    <mergeCell ref="N70:P70"/>
    <mergeCell ref="Q70:V70"/>
    <mergeCell ref="B64:M64"/>
    <mergeCell ref="N64:P64"/>
    <mergeCell ref="B56:M56"/>
    <mergeCell ref="N56:P56"/>
    <mergeCell ref="Q56:V56"/>
    <mergeCell ref="W56:AB56"/>
    <mergeCell ref="AC56:AE56"/>
    <mergeCell ref="B57:M57"/>
    <mergeCell ref="N57:P57"/>
    <mergeCell ref="Q57:V57"/>
    <mergeCell ref="W57:AB57"/>
    <mergeCell ref="AC57:AE57"/>
    <mergeCell ref="B54:M54"/>
    <mergeCell ref="N54:P54"/>
    <mergeCell ref="Q54:V54"/>
    <mergeCell ref="W54:AB54"/>
    <mergeCell ref="AC54:AE54"/>
    <mergeCell ref="B55:M55"/>
    <mergeCell ref="N55:P55"/>
    <mergeCell ref="Q55:V55"/>
    <mergeCell ref="W55:AB55"/>
    <mergeCell ref="AC55:AE55"/>
    <mergeCell ref="B52:M52"/>
    <mergeCell ref="N52:P52"/>
    <mergeCell ref="Q52:V52"/>
    <mergeCell ref="W52:AB52"/>
    <mergeCell ref="AC52:AE52"/>
    <mergeCell ref="B53:M53"/>
    <mergeCell ref="N53:P53"/>
    <mergeCell ref="Q53:V53"/>
    <mergeCell ref="W53:AB53"/>
    <mergeCell ref="AC53:AE53"/>
    <mergeCell ref="B50:M50"/>
    <mergeCell ref="N50:P50"/>
    <mergeCell ref="Q50:V50"/>
    <mergeCell ref="W50:AB50"/>
    <mergeCell ref="AC50:AE50"/>
    <mergeCell ref="B51:M51"/>
    <mergeCell ref="N51:P51"/>
    <mergeCell ref="Q51:V51"/>
    <mergeCell ref="W51:AB51"/>
    <mergeCell ref="AC51:AE51"/>
    <mergeCell ref="B48:M48"/>
    <mergeCell ref="N48:P48"/>
    <mergeCell ref="Q48:V48"/>
    <mergeCell ref="W48:AB48"/>
    <mergeCell ref="AC48:AE48"/>
    <mergeCell ref="B49:M49"/>
    <mergeCell ref="N49:P49"/>
    <mergeCell ref="Q49:V49"/>
    <mergeCell ref="W49:AB49"/>
    <mergeCell ref="AC49:AE49"/>
    <mergeCell ref="B46:M46"/>
    <mergeCell ref="N46:P46"/>
    <mergeCell ref="Q46:V46"/>
    <mergeCell ref="W46:AB46"/>
    <mergeCell ref="AC46:AE46"/>
    <mergeCell ref="B47:M47"/>
    <mergeCell ref="N47:P47"/>
    <mergeCell ref="Q47:V47"/>
    <mergeCell ref="W47:AB47"/>
    <mergeCell ref="AC47:AE47"/>
    <mergeCell ref="B44:M44"/>
    <mergeCell ref="N44:P44"/>
    <mergeCell ref="Q44:V44"/>
    <mergeCell ref="W44:AB44"/>
    <mergeCell ref="AC44:AE44"/>
    <mergeCell ref="B45:M45"/>
    <mergeCell ref="N45:P45"/>
    <mergeCell ref="Q45:V45"/>
    <mergeCell ref="W45:AB45"/>
    <mergeCell ref="AC45:AE45"/>
    <mergeCell ref="B42:M42"/>
    <mergeCell ref="N42:P42"/>
    <mergeCell ref="Q42:V42"/>
    <mergeCell ref="W42:AB42"/>
    <mergeCell ref="AC42:AE42"/>
    <mergeCell ref="B43:M43"/>
    <mergeCell ref="N43:P43"/>
    <mergeCell ref="Q43:V43"/>
    <mergeCell ref="W43:AB43"/>
    <mergeCell ref="AC43:AE43"/>
    <mergeCell ref="B40:M40"/>
    <mergeCell ref="N40:P40"/>
    <mergeCell ref="Q40:V40"/>
    <mergeCell ref="W40:AB40"/>
    <mergeCell ref="AC40:AE40"/>
    <mergeCell ref="B41:M41"/>
    <mergeCell ref="N41:P41"/>
    <mergeCell ref="Q41:V41"/>
    <mergeCell ref="W41:AB41"/>
    <mergeCell ref="AC41:AE41"/>
    <mergeCell ref="B37:M37"/>
    <mergeCell ref="N37:P37"/>
    <mergeCell ref="Q37:V37"/>
    <mergeCell ref="W37:AB37"/>
    <mergeCell ref="AC37:AE37"/>
    <mergeCell ref="B38:M38"/>
    <mergeCell ref="N38:P38"/>
    <mergeCell ref="Q38:V38"/>
    <mergeCell ref="W38:AB38"/>
    <mergeCell ref="AC38:AE38"/>
    <mergeCell ref="B39:M39"/>
    <mergeCell ref="N39:P39"/>
    <mergeCell ref="Q39:V39"/>
    <mergeCell ref="W39:AB39"/>
    <mergeCell ref="AC39:AE39"/>
    <mergeCell ref="B35:M35"/>
    <mergeCell ref="N35:P35"/>
    <mergeCell ref="Q35:V35"/>
    <mergeCell ref="W35:AB35"/>
    <mergeCell ref="AC35:AE35"/>
    <mergeCell ref="B36:M36"/>
    <mergeCell ref="N36:P36"/>
    <mergeCell ref="Q36:V36"/>
    <mergeCell ref="W36:AB36"/>
    <mergeCell ref="AC36:AE36"/>
    <mergeCell ref="B33:M33"/>
    <mergeCell ref="N33:P33"/>
    <mergeCell ref="Q33:V33"/>
    <mergeCell ref="W33:AB33"/>
    <mergeCell ref="AC33:AE33"/>
    <mergeCell ref="B34:M34"/>
    <mergeCell ref="N34:P34"/>
    <mergeCell ref="Q34:V34"/>
    <mergeCell ref="W34:AB34"/>
    <mergeCell ref="AC34:AE34"/>
    <mergeCell ref="B31:M31"/>
    <mergeCell ref="N31:P31"/>
    <mergeCell ref="Q31:V31"/>
    <mergeCell ref="W31:AB31"/>
    <mergeCell ref="AC31:AE31"/>
    <mergeCell ref="B32:M32"/>
    <mergeCell ref="N32:P32"/>
    <mergeCell ref="Q32:V32"/>
    <mergeCell ref="W32:AB32"/>
    <mergeCell ref="AC32:AE32"/>
    <mergeCell ref="B29:M29"/>
    <mergeCell ref="N29:P29"/>
    <mergeCell ref="Q29:V29"/>
    <mergeCell ref="W29:AB29"/>
    <mergeCell ref="AC29:AE29"/>
    <mergeCell ref="B30:M30"/>
    <mergeCell ref="N30:P30"/>
    <mergeCell ref="Q30:V30"/>
    <mergeCell ref="W30:AB30"/>
    <mergeCell ref="AC30:AE30"/>
    <mergeCell ref="B27:M27"/>
    <mergeCell ref="N27:P27"/>
    <mergeCell ref="Q27:V27"/>
    <mergeCell ref="W27:AB27"/>
    <mergeCell ref="AC27:AE27"/>
    <mergeCell ref="B28:M28"/>
    <mergeCell ref="N28:P28"/>
    <mergeCell ref="Q28:V28"/>
    <mergeCell ref="W28:AB28"/>
    <mergeCell ref="AC28:AE28"/>
    <mergeCell ref="N18:P18"/>
    <mergeCell ref="Q18:V18"/>
    <mergeCell ref="W18:AB18"/>
    <mergeCell ref="AC18:AE18"/>
    <mergeCell ref="B25:M25"/>
    <mergeCell ref="N25:P25"/>
    <mergeCell ref="Q25:V25"/>
    <mergeCell ref="W25:AB25"/>
    <mergeCell ref="AC25:AE25"/>
    <mergeCell ref="B26:M26"/>
    <mergeCell ref="N26:P26"/>
    <mergeCell ref="Q26:V26"/>
    <mergeCell ref="W26:AB26"/>
    <mergeCell ref="AC26:AE26"/>
    <mergeCell ref="B23:M23"/>
    <mergeCell ref="N23:P23"/>
    <mergeCell ref="Q23:V23"/>
    <mergeCell ref="W23:AB23"/>
    <mergeCell ref="AC23:AE23"/>
    <mergeCell ref="B24:M24"/>
    <mergeCell ref="N24:P24"/>
    <mergeCell ref="Q24:V24"/>
    <mergeCell ref="W24:AB24"/>
    <mergeCell ref="AC24:AE24"/>
    <mergeCell ref="B21:M21"/>
    <mergeCell ref="N21:P21"/>
    <mergeCell ref="Q21:V21"/>
    <mergeCell ref="W21:AB21"/>
    <mergeCell ref="AC21:AE21"/>
    <mergeCell ref="B22:M22"/>
    <mergeCell ref="N22:P22"/>
    <mergeCell ref="Q22:V22"/>
    <mergeCell ref="AC14:AE14"/>
    <mergeCell ref="W22:AB22"/>
    <mergeCell ref="AC22:AE22"/>
    <mergeCell ref="B19:M19"/>
    <mergeCell ref="N19:P19"/>
    <mergeCell ref="Q19:V19"/>
    <mergeCell ref="W19:AB19"/>
    <mergeCell ref="AC19:AE19"/>
    <mergeCell ref="B20:M20"/>
    <mergeCell ref="N20:P20"/>
    <mergeCell ref="Q20:V20"/>
    <mergeCell ref="W20:AB20"/>
    <mergeCell ref="AC20:AE20"/>
    <mergeCell ref="B18:M18"/>
    <mergeCell ref="A11:C11"/>
    <mergeCell ref="D11:K11"/>
    <mergeCell ref="L11:U11"/>
    <mergeCell ref="V11:AE11"/>
    <mergeCell ref="A12:C12"/>
    <mergeCell ref="D12:AE12"/>
    <mergeCell ref="B17:M17"/>
    <mergeCell ref="N17:P17"/>
    <mergeCell ref="Q17:V17"/>
    <mergeCell ref="W17:AB17"/>
    <mergeCell ref="AC17:AE17"/>
    <mergeCell ref="B15:M15"/>
    <mergeCell ref="N15:P15"/>
    <mergeCell ref="Q15:V15"/>
    <mergeCell ref="N16:P16"/>
    <mergeCell ref="Q16:V16"/>
    <mergeCell ref="W16:AB16"/>
    <mergeCell ref="AC16:AE16"/>
    <mergeCell ref="W15:AB15"/>
    <mergeCell ref="AC15:AE15"/>
    <mergeCell ref="B16:M16"/>
    <mergeCell ref="A13:AE13"/>
    <mergeCell ref="B14:M14"/>
    <mergeCell ref="N14:P14"/>
    <mergeCell ref="Q14:V14"/>
    <mergeCell ref="W14:AB14"/>
    <mergeCell ref="A5:AE5"/>
    <mergeCell ref="A6:C6"/>
    <mergeCell ref="D6:AE6"/>
    <mergeCell ref="A7:C7"/>
    <mergeCell ref="D7:AE7"/>
    <mergeCell ref="A8:C8"/>
    <mergeCell ref="D8:AE8"/>
    <mergeCell ref="A1:D2"/>
    <mergeCell ref="E1:AE1"/>
    <mergeCell ref="E2:AE2"/>
    <mergeCell ref="A3:D3"/>
    <mergeCell ref="E3:AE3"/>
    <mergeCell ref="A4:D4"/>
    <mergeCell ref="E4:AE4"/>
    <mergeCell ref="A9:C9"/>
    <mergeCell ref="D9:AE9"/>
    <mergeCell ref="A10:C10"/>
    <mergeCell ref="D10:K10"/>
    <mergeCell ref="L10:U10"/>
    <mergeCell ref="V10:AE10"/>
    <mergeCell ref="B261:M261"/>
    <mergeCell ref="N261:P261"/>
    <mergeCell ref="Q261:V261"/>
    <mergeCell ref="Q237:V237"/>
    <mergeCell ref="W237:AB237"/>
    <mergeCell ref="AC237:AE237"/>
    <mergeCell ref="Q238:V238"/>
    <mergeCell ref="W238:AB238"/>
    <mergeCell ref="AC238:AE238"/>
    <mergeCell ref="N236:P236"/>
    <mergeCell ref="N237:P237"/>
    <mergeCell ref="N238:P238"/>
    <mergeCell ref="B246:M246"/>
    <mergeCell ref="N246:P246"/>
    <mergeCell ref="Q246:V246"/>
    <mergeCell ref="W246:AB246"/>
    <mergeCell ref="AC246:AE246"/>
    <mergeCell ref="B247:M247"/>
    <mergeCell ref="N247:P247"/>
    <mergeCell ref="Q247:V247"/>
    <mergeCell ref="W247:AB247"/>
    <mergeCell ref="AC247:AE247"/>
    <mergeCell ref="B244:M244"/>
    <mergeCell ref="N244:P244"/>
    <mergeCell ref="Q244:V244"/>
    <mergeCell ref="W244:AB244"/>
    <mergeCell ref="AC244:AE244"/>
    <mergeCell ref="N239:P239"/>
    <mergeCell ref="Q239:V239"/>
    <mergeCell ref="W239:AB239"/>
    <mergeCell ref="AC239:AE239"/>
    <mergeCell ref="B243:M243"/>
    <mergeCell ref="B258:M258"/>
    <mergeCell ref="N258:P258"/>
    <mergeCell ref="Q258:V258"/>
    <mergeCell ref="W258:AB258"/>
    <mergeCell ref="B259:M259"/>
    <mergeCell ref="N259:P259"/>
    <mergeCell ref="Q259:V259"/>
    <mergeCell ref="W259:AB259"/>
    <mergeCell ref="AC259:AE259"/>
    <mergeCell ref="B255:M255"/>
    <mergeCell ref="N255:P255"/>
    <mergeCell ref="Q255:V255"/>
    <mergeCell ref="W255:AB255"/>
    <mergeCell ref="AC255:AE255"/>
    <mergeCell ref="B245:M245"/>
    <mergeCell ref="N245:P245"/>
    <mergeCell ref="Q245:V245"/>
    <mergeCell ref="W245:AB245"/>
    <mergeCell ref="AC245:AE245"/>
    <mergeCell ref="B250:M250"/>
    <mergeCell ref="N250:P250"/>
    <mergeCell ref="Q250:V250"/>
    <mergeCell ref="W250:AB250"/>
    <mergeCell ref="AC250:AE250"/>
    <mergeCell ref="B251:M251"/>
    <mergeCell ref="N251:P251"/>
    <mergeCell ref="Q251:V251"/>
    <mergeCell ref="W251:AB251"/>
    <mergeCell ref="AC258:AE258"/>
    <mergeCell ref="B248:M248"/>
    <mergeCell ref="N248:P248"/>
    <mergeCell ref="W248:AB248"/>
    <mergeCell ref="AC400:AE400"/>
    <mergeCell ref="B409:M409"/>
    <mergeCell ref="N409:P409"/>
    <mergeCell ref="Q409:V409"/>
    <mergeCell ref="AC261:AE261"/>
    <mergeCell ref="B262:M262"/>
    <mergeCell ref="N262:P262"/>
    <mergeCell ref="B278:M278"/>
    <mergeCell ref="N276:P276"/>
    <mergeCell ref="Q276:V276"/>
    <mergeCell ref="W278:AB278"/>
    <mergeCell ref="AC278:AE278"/>
    <mergeCell ref="B277:M277"/>
    <mergeCell ref="W277:AB277"/>
    <mergeCell ref="AC277:AE277"/>
    <mergeCell ref="B276:M276"/>
    <mergeCell ref="W276:AB276"/>
    <mergeCell ref="AC276:AE276"/>
    <mergeCell ref="N277:P277"/>
    <mergeCell ref="Q277:V277"/>
    <mergeCell ref="B279:M279"/>
    <mergeCell ref="N279:P279"/>
    <mergeCell ref="N278:P278"/>
    <mergeCell ref="Q278:V278"/>
    <mergeCell ref="Q279:V279"/>
    <mergeCell ref="W279:AB279"/>
    <mergeCell ref="AC279:AE279"/>
    <mergeCell ref="B267:M267"/>
    <mergeCell ref="AC409:AE409"/>
    <mergeCell ref="B398:M398"/>
    <mergeCell ref="N398:P398"/>
    <mergeCell ref="N399:P399"/>
    <mergeCell ref="W399:AB399"/>
    <mergeCell ref="AC399:AE399"/>
    <mergeCell ref="B396:M396"/>
    <mergeCell ref="N396:P396"/>
    <mergeCell ref="W329:AB329"/>
    <mergeCell ref="AC329:AE329"/>
    <mergeCell ref="B335:M335"/>
    <mergeCell ref="N335:P335"/>
    <mergeCell ref="Q335:V335"/>
    <mergeCell ref="W335:AB335"/>
    <mergeCell ref="AC335:AE335"/>
    <mergeCell ref="B389:M389"/>
    <mergeCell ref="N389:P389"/>
    <mergeCell ref="Q389:V389"/>
    <mergeCell ref="W389:AB389"/>
    <mergeCell ref="AC389:AE389"/>
    <mergeCell ref="B390:M390"/>
    <mergeCell ref="N390:P390"/>
    <mergeCell ref="Q390:V390"/>
    <mergeCell ref="W390:AB390"/>
    <mergeCell ref="AC390:AE390"/>
    <mergeCell ref="B347:M347"/>
    <mergeCell ref="N347:P347"/>
    <mergeCell ref="B334:M334"/>
    <mergeCell ref="N334:P334"/>
    <mergeCell ref="Q334:V334"/>
    <mergeCell ref="W334:AB334"/>
    <mergeCell ref="AC334:AE334"/>
    <mergeCell ref="B336:M336"/>
    <mergeCell ref="B399:M399"/>
    <mergeCell ref="Q398:V398"/>
    <mergeCell ref="Q336:V336"/>
    <mergeCell ref="B477:M477"/>
    <mergeCell ref="N477:P477"/>
    <mergeCell ref="Q477:V477"/>
    <mergeCell ref="W477:AB477"/>
    <mergeCell ref="AC477:AE477"/>
    <mergeCell ref="Q421:V421"/>
    <mergeCell ref="W421:AB421"/>
    <mergeCell ref="AC421:AE421"/>
    <mergeCell ref="B422:M422"/>
    <mergeCell ref="N422:P422"/>
    <mergeCell ref="Q422:V422"/>
    <mergeCell ref="W422:AB422"/>
    <mergeCell ref="AC422:AE422"/>
    <mergeCell ref="B423:M423"/>
    <mergeCell ref="N423:P423"/>
    <mergeCell ref="Q423:V423"/>
    <mergeCell ref="W423:AB423"/>
    <mergeCell ref="AC423:AE423"/>
    <mergeCell ref="B425:M425"/>
    <mergeCell ref="N425:P425"/>
    <mergeCell ref="Q425:V425"/>
    <mergeCell ref="W425:AB425"/>
    <mergeCell ref="B437:M437"/>
    <mergeCell ref="N437:P437"/>
    <mergeCell ref="Q437:V437"/>
    <mergeCell ref="W437:AB437"/>
    <mergeCell ref="AC437:AE437"/>
    <mergeCell ref="AC425:AE425"/>
    <mergeCell ref="B426:M426"/>
    <mergeCell ref="N426:P426"/>
    <mergeCell ref="Q426:V426"/>
    <mergeCell ref="AC426:AE426"/>
    <mergeCell ref="W432:AB432"/>
    <mergeCell ref="AC432:AE432"/>
    <mergeCell ref="B429:M429"/>
    <mergeCell ref="N429:P429"/>
    <mergeCell ref="Q429:V429"/>
    <mergeCell ref="W429:AB429"/>
    <mergeCell ref="B79:M79"/>
    <mergeCell ref="N79:P79"/>
    <mergeCell ref="Q79:V79"/>
    <mergeCell ref="W79:AB79"/>
    <mergeCell ref="AC79:AE79"/>
    <mergeCell ref="B118:M118"/>
    <mergeCell ref="N118:P118"/>
    <mergeCell ref="Q118:V118"/>
    <mergeCell ref="W118:AB118"/>
    <mergeCell ref="AC118:AE118"/>
    <mergeCell ref="B143:M143"/>
    <mergeCell ref="N143:P143"/>
    <mergeCell ref="Q143:V143"/>
    <mergeCell ref="W143:AB143"/>
    <mergeCell ref="AC143:AE143"/>
    <mergeCell ref="B130:M130"/>
    <mergeCell ref="N130:P130"/>
    <mergeCell ref="Q130:V130"/>
    <mergeCell ref="W130:AB130"/>
    <mergeCell ref="AC130:AE130"/>
    <mergeCell ref="B131:M131"/>
    <mergeCell ref="N131:P131"/>
    <mergeCell ref="W409:AB409"/>
    <mergeCell ref="W398:AB398"/>
    <mergeCell ref="AC398:AE398"/>
    <mergeCell ref="Q399:V399"/>
    <mergeCell ref="AF440:AF441"/>
    <mergeCell ref="AC431:AE431"/>
    <mergeCell ref="B432:M432"/>
    <mergeCell ref="N432:P432"/>
    <mergeCell ref="Q432:V432"/>
    <mergeCell ref="B563:M563"/>
    <mergeCell ref="N563:P563"/>
    <mergeCell ref="Q563:V563"/>
    <mergeCell ref="W563:AB563"/>
    <mergeCell ref="AC563:AE563"/>
    <mergeCell ref="AF46:AG46"/>
    <mergeCell ref="AF70:AG70"/>
    <mergeCell ref="AF133:AG133"/>
    <mergeCell ref="AF40:AG40"/>
    <mergeCell ref="AF170:AG170"/>
    <mergeCell ref="Q131:V131"/>
    <mergeCell ref="W131:AB131"/>
    <mergeCell ref="AC131:AE131"/>
    <mergeCell ref="B92:M92"/>
    <mergeCell ref="N92:P92"/>
    <mergeCell ref="Q92:V92"/>
    <mergeCell ref="W92:AB92"/>
    <mergeCell ref="AC92:AE92"/>
    <mergeCell ref="B132:M132"/>
    <mergeCell ref="N132:P132"/>
    <mergeCell ref="Q132:V132"/>
    <mergeCell ref="W132:AB132"/>
    <mergeCell ref="AC132:AE132"/>
    <mergeCell ref="B93:M93"/>
    <mergeCell ref="N93:P93"/>
    <mergeCell ref="Q93:V93"/>
    <mergeCell ref="W93:AB93"/>
  </mergeCells>
  <phoneticPr fontId="10" type="noConversion"/>
  <pageMargins left="0.52999994886203072" right="0.52999994886203072" top="0.52999994886203072" bottom="0.68999998212799307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Relatório</vt:lpstr>
      <vt:lpstr>Orçamento - comparativo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Engª Carla Sena</dc:creator>
  <cp:keywords/>
  <dc:description/>
  <cp:lastModifiedBy>Patricia Bragatto</cp:lastModifiedBy>
  <dcterms:created xsi:type="dcterms:W3CDTF">2022-11-03T13:59:29Z</dcterms:created>
  <dcterms:modified xsi:type="dcterms:W3CDTF">2022-11-16T16:56:17Z</dcterms:modified>
  <cp:category/>
  <cp:contentStatus/>
</cp:coreProperties>
</file>