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arraro - 10.2021\Vértice\03. Custo\03.5 Custo - Determinação do orçamento\"/>
    </mc:Choice>
  </mc:AlternateContent>
  <xr:revisionPtr revIDLastSave="0" documentId="13_ncr:1_{3DD299C6-E1EC-45F1-B0ED-239F60170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enciamento executivo " sheetId="3" r:id="rId1"/>
    <sheet name="Gerenciamento_Exec" sheetId="4" r:id="rId2"/>
    <sheet name="Executivo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3" l="1"/>
  <c r="G24" i="4"/>
  <c r="B8" i="4" l="1"/>
  <c r="B4" i="3" l="1"/>
  <c r="B5" i="3"/>
  <c r="B6" i="3"/>
  <c r="B7" i="3"/>
  <c r="B8" i="3"/>
  <c r="B9" i="3"/>
  <c r="B10" i="3"/>
  <c r="B11" i="3"/>
  <c r="B12" i="3"/>
  <c r="B13" i="3"/>
  <c r="B14" i="3"/>
  <c r="B15" i="3"/>
  <c r="C15" i="3"/>
  <c r="B16" i="3"/>
  <c r="B17" i="3"/>
  <c r="B18" i="3"/>
  <c r="B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3" i="3"/>
  <c r="D8" i="4"/>
  <c r="C8" i="3" s="1"/>
  <c r="B2" i="4"/>
  <c r="D2" i="4" s="1"/>
  <c r="D4" i="4"/>
  <c r="C4" i="3" s="1"/>
  <c r="D3" i="4"/>
  <c r="C3" i="3" s="1"/>
  <c r="E19" i="3"/>
  <c r="D18" i="4"/>
  <c r="C18" i="3" s="1"/>
  <c r="D17" i="4"/>
  <c r="C17" i="3" s="1"/>
  <c r="D15" i="4"/>
  <c r="D14" i="4"/>
  <c r="C14" i="3" s="1"/>
  <c r="D12" i="4"/>
  <c r="C12" i="3" s="1"/>
  <c r="E14" i="4"/>
  <c r="D10" i="4"/>
  <c r="C10" i="3" s="1"/>
  <c r="D7" i="4"/>
  <c r="C7" i="3" s="1"/>
  <c r="D6" i="4"/>
  <c r="C6" i="3" s="1"/>
  <c r="D5" i="4"/>
  <c r="C5" i="3" s="1"/>
  <c r="B25" i="1"/>
  <c r="D24" i="1"/>
  <c r="D23" i="1"/>
  <c r="D21" i="1"/>
  <c r="D25" i="1" s="1"/>
  <c r="D5" i="1"/>
  <c r="D6" i="1"/>
  <c r="D3" i="1"/>
  <c r="D4" i="1"/>
  <c r="D2" i="1"/>
  <c r="B19" i="1"/>
  <c r="B11" i="1"/>
  <c r="L3" i="3"/>
  <c r="B15" i="1"/>
  <c r="B18" i="1"/>
  <c r="B13" i="1"/>
  <c r="E4" i="4" l="1"/>
  <c r="E3" i="4"/>
  <c r="E9" i="4"/>
  <c r="E11" i="4"/>
  <c r="E10" i="4"/>
  <c r="E16" i="4"/>
  <c r="E5" i="4"/>
  <c r="E12" i="4"/>
  <c r="E8" i="4"/>
  <c r="E13" i="4"/>
  <c r="E15" i="4"/>
  <c r="E17" i="4"/>
  <c r="B19" i="4"/>
  <c r="E6" i="4"/>
  <c r="D13" i="4"/>
  <c r="C13" i="3" s="1"/>
  <c r="E2" i="4"/>
  <c r="D9" i="4"/>
  <c r="C9" i="3" s="1"/>
  <c r="D11" i="4"/>
  <c r="C11" i="3" s="1"/>
  <c r="D16" i="4"/>
  <c r="C16" i="3" s="1"/>
  <c r="E18" i="4"/>
  <c r="E7" i="4"/>
  <c r="C24" i="1"/>
  <c r="D22" i="1"/>
  <c r="H12" i="1"/>
  <c r="E24" i="1" s="1"/>
  <c r="E19" i="4" l="1"/>
  <c r="C3" i="4"/>
  <c r="C4" i="4"/>
  <c r="D19" i="4"/>
  <c r="D20" i="4" s="1"/>
  <c r="C8" i="4"/>
  <c r="C6" i="4"/>
  <c r="G19" i="4"/>
  <c r="C12" i="4"/>
  <c r="C10" i="4"/>
  <c r="C5" i="4"/>
  <c r="C14" i="4"/>
  <c r="C17" i="4"/>
  <c r="C16" i="4"/>
  <c r="C7" i="4"/>
  <c r="C18" i="4"/>
  <c r="C15" i="4"/>
  <c r="C2" i="4"/>
  <c r="C13" i="4"/>
  <c r="C11" i="4"/>
  <c r="C9" i="4"/>
  <c r="C21" i="1"/>
  <c r="C23" i="1"/>
  <c r="E21" i="1"/>
  <c r="E25" i="1" s="1"/>
  <c r="E23" i="1"/>
  <c r="E6" i="1"/>
  <c r="E5" i="1"/>
  <c r="C6" i="1"/>
  <c r="C5" i="1"/>
  <c r="E4" i="1"/>
  <c r="E3" i="1"/>
  <c r="C4" i="1"/>
  <c r="C3" i="1"/>
  <c r="E2" i="1"/>
  <c r="C2" i="1"/>
  <c r="E22" i="1"/>
  <c r="C22" i="1"/>
  <c r="E18" i="1"/>
  <c r="D18" i="1"/>
  <c r="E10" i="1"/>
  <c r="D10" i="1"/>
  <c r="C19" i="4" l="1"/>
  <c r="B25" i="3"/>
  <c r="B19" i="3"/>
  <c r="C18" i="1" l="1"/>
  <c r="D7" i="1"/>
  <c r="E7" i="1"/>
  <c r="D8" i="1"/>
  <c r="E8" i="1"/>
  <c r="D9" i="1"/>
  <c r="E9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9" i="1"/>
  <c r="D20" i="1"/>
  <c r="E20" i="1"/>
  <c r="C19" i="3" l="1"/>
  <c r="C10" i="1"/>
  <c r="G25" i="1"/>
  <c r="E19" i="1"/>
  <c r="C16" i="1" l="1"/>
  <c r="C20" i="1"/>
  <c r="C19" i="1"/>
  <c r="C8" i="1"/>
  <c r="C11" i="1"/>
  <c r="C14" i="1"/>
  <c r="C17" i="1"/>
  <c r="C12" i="1"/>
  <c r="C9" i="1"/>
  <c r="C15" i="1"/>
  <c r="C7" i="1"/>
  <c r="C13" i="1"/>
  <c r="C25" i="1" l="1"/>
  <c r="D26" i="1"/>
</calcChain>
</file>

<file path=xl/sharedStrings.xml><?xml version="1.0" encoding="utf-8"?>
<sst xmlns="http://schemas.openxmlformats.org/spreadsheetml/2006/main" count="117" uniqueCount="75">
  <si>
    <t>ETAPA</t>
  </si>
  <si>
    <t>SUPRAESTRUTURA</t>
  </si>
  <si>
    <t>ALVENARIA</t>
  </si>
  <si>
    <t>REVESTIMENTOS E ACABAMENTOS INTERNOS EM TETO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</si>
  <si>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</si>
  <si>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</si>
  <si>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</si>
  <si>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</si>
  <si>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</si>
  <si>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</si>
  <si>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</si>
  <si>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</si>
  <si>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</si>
  <si>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</si>
  <si>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</si>
  <si>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</si>
  <si>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</si>
  <si>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</si>
  <si>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</si>
  <si>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INSTALAÇÕES ELÉTRICAS, HIDRÁULICAS, GLP E PREVENTIVAS</t>
  </si>
  <si>
    <t>CUBs</t>
  </si>
  <si>
    <t>COBERTURA</t>
  </si>
  <si>
    <t>VALOR</t>
  </si>
  <si>
    <t>240-320</t>
  </si>
  <si>
    <t>25,00 - 30,00</t>
  </si>
  <si>
    <t>-</t>
  </si>
  <si>
    <t>55,00 - 70,00</t>
  </si>
  <si>
    <t>35,00 - 50,00</t>
  </si>
  <si>
    <t>150,00 - 220,00</t>
  </si>
  <si>
    <t>900,00 - 1100</t>
  </si>
  <si>
    <t>15,00 - 22,00</t>
  </si>
  <si>
    <t>440,00 - 510,00</t>
  </si>
  <si>
    <t>170,00 - 200,00</t>
  </si>
  <si>
    <t>165,00 - 230,00</t>
  </si>
  <si>
    <t>40,00 - 70,00</t>
  </si>
  <si>
    <t>55,00 - 77,00</t>
  </si>
  <si>
    <t>130,00 - 175,00</t>
  </si>
  <si>
    <t>35,00 - 65,00</t>
  </si>
  <si>
    <t>35,00 - 55,00</t>
  </si>
  <si>
    <t>430,00 - 550,00</t>
  </si>
  <si>
    <t>150,00 - 200,00</t>
  </si>
  <si>
    <t>INFRAESTRUTURA E MOVIMENTAÇÃO DE TERRA</t>
  </si>
  <si>
    <t>580,00 - 630,00</t>
  </si>
  <si>
    <t>10,00 - 20,00</t>
  </si>
  <si>
    <t xml:space="preserve">IMPREVISTOS E CONTINGÊNCIAS </t>
  </si>
  <si>
    <t>PRÉ - OBRA</t>
  </si>
  <si>
    <t xml:space="preserve">SERVIÇOS INICIAIS </t>
  </si>
  <si>
    <t>SERVIÇOS TÉCNICOS E FINAIS</t>
  </si>
  <si>
    <t>MARKETING E VENDAS</t>
  </si>
  <si>
    <t>SERVIÇOS FINAIS</t>
  </si>
  <si>
    <t>PÓS OBRA</t>
  </si>
  <si>
    <t>DESPESAS COM VIZINHOS</t>
  </si>
  <si>
    <t>INCORPORAÇÃO</t>
  </si>
  <si>
    <t>MOVIMENTAÇÃO DE TERRA</t>
  </si>
  <si>
    <t>CONTENÇÕES</t>
  </si>
  <si>
    <t>INFRAESTRUTURA</t>
  </si>
  <si>
    <t>ADMINISTRAÇÃO E CANTEIRO DE OBRA E EQUIPAMENTOS</t>
  </si>
  <si>
    <t>70,00 - 130,00</t>
  </si>
  <si>
    <t>180,00 - 240,00</t>
  </si>
  <si>
    <t>ALVENARIA ESTRUTURAL</t>
  </si>
  <si>
    <t>250,00 - 300,00</t>
  </si>
  <si>
    <t>330,00 - 450,00</t>
  </si>
  <si>
    <t>100,00 - 180,00</t>
  </si>
  <si>
    <t>70,00 - 90,00</t>
  </si>
  <si>
    <t>60,00 - 80,00</t>
  </si>
  <si>
    <t>160,00 - 170,00</t>
  </si>
  <si>
    <t>175,00 - 200,00</t>
  </si>
  <si>
    <t>85,00 - 120,00</t>
  </si>
  <si>
    <t>150,00 - 190,00</t>
  </si>
  <si>
    <t>VÉRTICE</t>
  </si>
  <si>
    <t>140,00 - 170,00</t>
  </si>
  <si>
    <t>30,00 - 50,00</t>
  </si>
  <si>
    <t>2450,00 - 3100,00</t>
  </si>
  <si>
    <t>CUB/SP - R16</t>
  </si>
  <si>
    <t>INSTALAÇÕES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</si>
</sst>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08183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rgb="FF808183"/>
      </right>
      <top style="thin">
        <color theme="1" tint="0.34998626667073579"/>
      </top>
      <bottom style="medium">
        <color indexed="64"/>
      </bottom>
      <diagonal/>
    </border>
    <border>
      <left style="thin">
        <color rgb="FF808183"/>
      </left>
      <right style="thin">
        <color rgb="FF808183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theme="1" tint="0.34998626667073579"/>
      </right>
      <top style="thin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95">
    <xf numFmtId="0" fontId="0" fillId="0" borderId="0" xfId="0"/>
    <xf numFmtId="0" fontId="5" fillId="0" borderId="0" xfId="0" applyFont="1"/>
    <xf numFmtId="43" fontId="4" fillId="5" borderId="1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7" fillId="4" borderId="0" xfId="1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3" fontId="5" fillId="3" borderId="22" xfId="1" applyFont="1" applyFill="1" applyBorder="1" applyAlignment="1">
      <alignment horizontal="center"/>
    </xf>
    <xf numFmtId="43" fontId="5" fillId="6" borderId="22" xfId="1" applyFont="1" applyFill="1" applyBorder="1" applyAlignment="1">
      <alignment horizontal="center"/>
    </xf>
    <xf numFmtId="0" fontId="4" fillId="5" borderId="23" xfId="0" applyFont="1" applyFill="1" applyBorder="1" applyAlignment="1">
      <alignment horizontal="right"/>
    </xf>
    <xf numFmtId="43" fontId="4" fillId="5" borderId="24" xfId="1" applyFont="1" applyFill="1" applyBorder="1" applyAlignment="1">
      <alignment horizontal="right"/>
    </xf>
    <xf numFmtId="43" fontId="4" fillId="5" borderId="24" xfId="0" applyNumberFormat="1" applyFont="1" applyFill="1" applyBorder="1" applyAlignment="1">
      <alignment horizontal="right"/>
    </xf>
    <xf numFmtId="43" fontId="5" fillId="0" borderId="0" xfId="0" applyNumberFormat="1" applyFont="1"/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3" fontId="5" fillId="6" borderId="17" xfId="1" applyFont="1" applyFill="1" applyBorder="1" applyAlignment="1">
      <alignment horizontal="left" vertical="center"/>
    </xf>
    <xf numFmtId="43" fontId="5" fillId="6" borderId="17" xfId="0" applyNumberFormat="1" applyFont="1" applyFill="1" applyBorder="1" applyAlignment="1">
      <alignment horizontal="left" vertical="center"/>
    </xf>
    <xf numFmtId="43" fontId="5" fillId="6" borderId="18" xfId="0" applyNumberFormat="1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43" fontId="5" fillId="3" borderId="20" xfId="1" applyFont="1" applyFill="1" applyBorder="1" applyAlignment="1">
      <alignment horizontal="left" vertical="center"/>
    </xf>
    <xf numFmtId="43" fontId="5" fillId="3" borderId="20" xfId="0" applyNumberFormat="1" applyFont="1" applyFill="1" applyBorder="1" applyAlignment="1">
      <alignment horizontal="left" vertical="center"/>
    </xf>
    <xf numFmtId="43" fontId="5" fillId="3" borderId="21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43" fontId="4" fillId="5" borderId="8" xfId="1" applyFont="1" applyFill="1" applyBorder="1" applyAlignment="1">
      <alignment horizontal="left" vertical="center"/>
    </xf>
    <xf numFmtId="43" fontId="4" fillId="5" borderId="14" xfId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10" fontId="5" fillId="6" borderId="17" xfId="2" applyNumberFormat="1" applyFont="1" applyFill="1" applyBorder="1" applyAlignment="1">
      <alignment horizontal="center" vertical="center"/>
    </xf>
    <xf numFmtId="10" fontId="5" fillId="3" borderId="20" xfId="2" applyNumberFormat="1" applyFont="1" applyFill="1" applyBorder="1" applyAlignment="1">
      <alignment horizontal="center" vertical="center"/>
    </xf>
    <xf numFmtId="17" fontId="4" fillId="5" borderId="8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43" fontId="5" fillId="6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6" xfId="0" applyFont="1" applyFill="1" applyBorder="1" applyAlignment="1">
      <alignment vertical="center"/>
    </xf>
    <xf numFmtId="43" fontId="5" fillId="3" borderId="1" xfId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43" fontId="5" fillId="6" borderId="27" xfId="1" applyFont="1" applyFill="1" applyBorder="1" applyAlignment="1">
      <alignment horizontal="center" vertical="center"/>
    </xf>
    <xf numFmtId="43" fontId="5" fillId="3" borderId="27" xfId="1" applyFont="1" applyFill="1" applyBorder="1" applyAlignment="1">
      <alignment horizontal="center" vertical="center"/>
    </xf>
    <xf numFmtId="43" fontId="4" fillId="5" borderId="28" xfId="0" applyNumberFormat="1" applyFont="1" applyFill="1" applyBorder="1" applyAlignment="1">
      <alignment horizontal="center"/>
    </xf>
    <xf numFmtId="43" fontId="5" fillId="0" borderId="0" xfId="1" applyFont="1" applyAlignment="1">
      <alignment vertical="center"/>
    </xf>
    <xf numFmtId="4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6" fillId="6" borderId="29" xfId="0" applyFont="1" applyFill="1" applyBorder="1" applyAlignment="1">
      <alignment horizontal="left" vertical="center"/>
    </xf>
    <xf numFmtId="43" fontId="5" fillId="6" borderId="30" xfId="1" applyFont="1" applyFill="1" applyBorder="1" applyAlignment="1">
      <alignment horizontal="left" vertical="center"/>
    </xf>
    <xf numFmtId="10" fontId="5" fillId="6" borderId="30" xfId="2" applyNumberFormat="1" applyFont="1" applyFill="1" applyBorder="1" applyAlignment="1">
      <alignment horizontal="center" vertical="center"/>
    </xf>
    <xf numFmtId="43" fontId="5" fillId="6" borderId="30" xfId="0" applyNumberFormat="1" applyFont="1" applyFill="1" applyBorder="1" applyAlignment="1">
      <alignment horizontal="left" vertical="center"/>
    </xf>
    <xf numFmtId="43" fontId="5" fillId="6" borderId="31" xfId="0" applyNumberFormat="1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left" vertical="center"/>
    </xf>
    <xf numFmtId="43" fontId="5" fillId="3" borderId="33" xfId="1" applyFont="1" applyFill="1" applyBorder="1" applyAlignment="1">
      <alignment horizontal="left" vertical="center"/>
    </xf>
    <xf numFmtId="10" fontId="5" fillId="3" borderId="33" xfId="2" applyNumberFormat="1" applyFont="1" applyFill="1" applyBorder="1" applyAlignment="1">
      <alignment horizontal="center" vertical="center"/>
    </xf>
    <xf numFmtId="43" fontId="5" fillId="3" borderId="33" xfId="0" applyNumberFormat="1" applyFont="1" applyFill="1" applyBorder="1" applyAlignment="1">
      <alignment horizontal="left" vertical="center"/>
    </xf>
    <xf numFmtId="43" fontId="5" fillId="3" borderId="34" xfId="0" applyNumberFormat="1" applyFont="1" applyFill="1" applyBorder="1" applyAlignment="1">
      <alignment horizontal="left" vertical="center"/>
    </xf>
    <xf numFmtId="0" fontId="6" fillId="6" borderId="35" xfId="0" applyFont="1" applyFill="1" applyBorder="1" applyAlignment="1">
      <alignment horizontal="left" vertical="center"/>
    </xf>
    <xf numFmtId="43" fontId="5" fillId="6" borderId="36" xfId="1" applyFont="1" applyFill="1" applyBorder="1" applyAlignment="1">
      <alignment horizontal="left" vertical="center"/>
    </xf>
    <xf numFmtId="10" fontId="5" fillId="6" borderId="36" xfId="2" applyNumberFormat="1" applyFont="1" applyFill="1" applyBorder="1" applyAlignment="1">
      <alignment horizontal="center" vertical="center"/>
    </xf>
    <xf numFmtId="43" fontId="5" fillId="6" borderId="36" xfId="0" applyNumberFormat="1" applyFont="1" applyFill="1" applyBorder="1" applyAlignment="1">
      <alignment horizontal="left" vertical="center"/>
    </xf>
    <xf numFmtId="43" fontId="5" fillId="6" borderId="37" xfId="0" applyNumberFormat="1" applyFont="1" applyFill="1" applyBorder="1" applyAlignment="1">
      <alignment horizontal="left" vertical="center"/>
    </xf>
    <xf numFmtId="0" fontId="6" fillId="3" borderId="38" xfId="0" applyFont="1" applyFill="1" applyBorder="1" applyAlignment="1">
      <alignment horizontal="left" vertical="center"/>
    </xf>
    <xf numFmtId="43" fontId="5" fillId="3" borderId="39" xfId="1" applyFont="1" applyFill="1" applyBorder="1" applyAlignment="1">
      <alignment horizontal="left" vertical="center"/>
    </xf>
    <xf numFmtId="10" fontId="5" fillId="3" borderId="39" xfId="2" applyNumberFormat="1" applyFont="1" applyFill="1" applyBorder="1" applyAlignment="1">
      <alignment horizontal="center" vertical="center"/>
    </xf>
    <xf numFmtId="43" fontId="5" fillId="3" borderId="39" xfId="0" applyNumberFormat="1" applyFont="1" applyFill="1" applyBorder="1" applyAlignment="1">
      <alignment horizontal="left" vertical="center"/>
    </xf>
    <xf numFmtId="43" fontId="5" fillId="3" borderId="40" xfId="0" applyNumberFormat="1" applyFont="1" applyFill="1" applyBorder="1" applyAlignment="1">
      <alignment horizontal="left" vertical="center"/>
    </xf>
    <xf numFmtId="0" fontId="4" fillId="5" borderId="41" xfId="0" applyFont="1" applyFill="1" applyBorder="1" applyAlignment="1">
      <alignment horizontal="left" vertical="center"/>
    </xf>
    <xf numFmtId="43" fontId="4" fillId="5" borderId="42" xfId="0" applyNumberFormat="1" applyFont="1" applyFill="1" applyBorder="1" applyAlignment="1">
      <alignment horizontal="left" vertical="center"/>
    </xf>
    <xf numFmtId="0" fontId="6" fillId="6" borderId="43" xfId="0" applyFont="1" applyFill="1" applyBorder="1" applyAlignment="1">
      <alignment horizontal="left" vertical="center"/>
    </xf>
    <xf numFmtId="43" fontId="5" fillId="6" borderId="44" xfId="1" applyFont="1" applyFill="1" applyBorder="1" applyAlignment="1">
      <alignment horizontal="left" vertical="center"/>
    </xf>
    <xf numFmtId="10" fontId="5" fillId="6" borderId="44" xfId="2" applyNumberFormat="1" applyFont="1" applyFill="1" applyBorder="1" applyAlignment="1">
      <alignment horizontal="center" vertical="center"/>
    </xf>
    <xf numFmtId="43" fontId="5" fillId="6" borderId="44" xfId="0" applyNumberFormat="1" applyFont="1" applyFill="1" applyBorder="1" applyAlignment="1">
      <alignment horizontal="left" vertical="center"/>
    </xf>
    <xf numFmtId="43" fontId="5" fillId="6" borderId="45" xfId="0" applyNumberFormat="1" applyFont="1" applyFill="1" applyBorder="1" applyAlignment="1">
      <alignment horizontal="left" vertical="center"/>
    </xf>
    <xf numFmtId="0" fontId="6" fillId="3" borderId="43" xfId="0" applyFont="1" applyFill="1" applyBorder="1" applyAlignment="1">
      <alignment horizontal="left" vertical="center"/>
    </xf>
    <xf numFmtId="43" fontId="5" fillId="3" borderId="44" xfId="1" applyFont="1" applyFill="1" applyBorder="1" applyAlignment="1">
      <alignment horizontal="left" vertical="center"/>
    </xf>
    <xf numFmtId="10" fontId="5" fillId="3" borderId="44" xfId="2" applyNumberFormat="1" applyFont="1" applyFill="1" applyBorder="1" applyAlignment="1">
      <alignment horizontal="center" vertical="center"/>
    </xf>
    <xf numFmtId="43" fontId="5" fillId="3" borderId="44" xfId="0" applyNumberFormat="1" applyFont="1" applyFill="1" applyBorder="1" applyAlignment="1">
      <alignment horizontal="left" vertical="center"/>
    </xf>
    <xf numFmtId="43" fontId="5" fillId="3" borderId="45" xfId="0" applyNumberFormat="1" applyFont="1" applyFill="1" applyBorder="1" applyAlignment="1">
      <alignment horizontal="left" vertical="center"/>
    </xf>
    <xf numFmtId="9" fontId="4" fillId="5" borderId="42" xfId="2" applyFont="1" applyFill="1" applyBorder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vertical="center"/>
    </xf>
    <xf numFmtId="43" fontId="7" fillId="0" borderId="0" xfId="1" applyFont="1" applyFill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0" fillId="0" borderId="0" xfId="1" applyFont="1"/>
    <xf numFmtId="43" fontId="4" fillId="5" borderId="46" xfId="0" applyNumberFormat="1" applyFont="1" applyFill="1" applyBorder="1" applyAlignment="1">
      <alignment horizontal="left" vertical="center"/>
    </xf>
  </cellXfs>
  <cellStyles count="9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808183"/>
      <color rgb="FFBCBDC1"/>
      <color rgb="FF283549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8862760690818804"/>
          <c:y val="6.762024196248155E-2"/>
          <c:w val="0.5652462879535588"/>
          <c:h val="0.8725016862665895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Gerenciamento_Exec!$A$5:$A$18</c:f>
              <c:strCache>
                <c:ptCount val="14"/>
                <c:pt idx="0">
                  <c:v>INFRAESTRUTURA</c:v>
                </c:pt>
                <c:pt idx="1">
                  <c:v>SUPRAESTRUTURA</c:v>
                </c:pt>
                <c:pt idx="2">
                  <c:v>ALVENARIA ESTRUTURAL</c:v>
                </c:pt>
                <c:pt idx="3">
                  <c:v>INSTALAÇÕES</c:v>
                </c:pt>
                <c:pt idx="4">
                  <c:v>SISTEMAS E EQUIPAMENTOS ESPECIAIS</c:v>
                </c:pt>
                <c:pt idx="5">
                  <c:v>IMPERMEABILIZAÇÃO</c:v>
                </c:pt>
                <c:pt idx="6">
                  <c:v>REVESTIMENTOS INTERNOS EM PISO E PAREDE</c:v>
                </c:pt>
                <c:pt idx="7">
                  <c:v>REVESTIMENTOS E ACABAMENTOS INTERNOS EM TETO</c:v>
                </c:pt>
                <c:pt idx="8">
                  <c:v>ACABAMENTOS EM PISO E PAREDE</c:v>
                </c:pt>
                <c:pt idx="9">
                  <c:v>COBERTURA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SERVIÇOS COMPLEMENTARES</c:v>
                </c:pt>
              </c:strCache>
            </c:strRef>
          </c:cat>
          <c:val>
            <c:numRef>
              <c:f>Gerenciamento_Exec!$C$5:$C$18</c:f>
              <c:numCache>
                <c:formatCode>0.00%</c:formatCode>
                <c:ptCount val="14"/>
                <c:pt idx="0">
                  <c:v>6.3820290391364595E-2</c:v>
                </c:pt>
                <c:pt idx="1">
                  <c:v>0.20004641067202197</c:v>
                </c:pt>
                <c:pt idx="2">
                  <c:v>6.7066595536750692E-2</c:v>
                </c:pt>
                <c:pt idx="3">
                  <c:v>0.22567654815688321</c:v>
                </c:pt>
                <c:pt idx="4">
                  <c:v>3.6214331199486235E-2</c:v>
                </c:pt>
                <c:pt idx="5">
                  <c:v>2.6371010807124159E-2</c:v>
                </c:pt>
                <c:pt idx="6">
                  <c:v>4.6447027858713873E-2</c:v>
                </c:pt>
                <c:pt idx="7">
                  <c:v>2.141161933404041E-2</c:v>
                </c:pt>
                <c:pt idx="8">
                  <c:v>5.1050102966392091E-2</c:v>
                </c:pt>
                <c:pt idx="9">
                  <c:v>5.7374183077538009E-3</c:v>
                </c:pt>
                <c:pt idx="10">
                  <c:v>2.2757061021574664E-2</c:v>
                </c:pt>
                <c:pt idx="11">
                  <c:v>5.618573891878112E-2</c:v>
                </c:pt>
                <c:pt idx="12">
                  <c:v>2.2365260969807212E-2</c:v>
                </c:pt>
                <c:pt idx="13">
                  <c:v>5.7671050669236494E-2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9-4A5E-AE99-47ADD78B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1356087696"/>
        <c:axId val="-1356094224"/>
      </c:barChart>
      <c:catAx>
        <c:axId val="-135608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94224"/>
        <c:crosses val="autoZero"/>
        <c:auto val="1"/>
        <c:lblAlgn val="ctr"/>
        <c:lblOffset val="100"/>
        <c:noMultiLvlLbl val="0"/>
      </c:catAx>
      <c:valAx>
        <c:axId val="-13560942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8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8862760690818804"/>
          <c:y val="6.762024196248155E-2"/>
          <c:w val="0.5652462879535588"/>
          <c:h val="0.8725016862665895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Executivo!$A$7:$A$20</c:f>
              <c:strCache>
                <c:ptCount val="14"/>
                <c:pt idx="0">
                  <c:v>INFRAESTRUTURA E MOVIMENTAÇÃO DE TERRA</c:v>
                </c:pt>
                <c:pt idx="1">
                  <c:v>SUPRAESTRUTURA</c:v>
                </c:pt>
                <c:pt idx="2">
                  <c:v>ALVENARIA</c:v>
                </c:pt>
                <c:pt idx="3">
                  <c:v>INSTALAÇÕES ELÉTRICAS, HIDRÁULICAS, GLP E PREVENTIVAS</c:v>
                </c:pt>
                <c:pt idx="4">
                  <c:v>SISTEMAS E EQUIPAMENTOS ESPECIAIS</c:v>
                </c:pt>
                <c:pt idx="5">
                  <c:v>IMPERMEABILIZAÇÃO</c:v>
                </c:pt>
                <c:pt idx="6">
                  <c:v>REVESTIMENTOS INTERNOS EM PISO E PAREDE</c:v>
                </c:pt>
                <c:pt idx="7">
                  <c:v>REVESTIMENTOS E ACABAMENTOS INTERNOS EM TETO</c:v>
                </c:pt>
                <c:pt idx="8">
                  <c:v>ACABAMENTOS EM PISO E PAREDE</c:v>
                </c:pt>
                <c:pt idx="9">
                  <c:v>COBERTURA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SERVIÇOS COMPLEMENTARES</c:v>
                </c:pt>
              </c:strCache>
            </c:strRef>
          </c:cat>
          <c:val>
            <c:numRef>
              <c:f>Executivo!$C$7:$C$20</c:f>
              <c:numCache>
                <c:formatCode>0.00%</c:formatCode>
                <c:ptCount val="14"/>
                <c:pt idx="0">
                  <c:v>2.7997915381985428E-2</c:v>
                </c:pt>
                <c:pt idx="1">
                  <c:v>0.15479863106639943</c:v>
                </c:pt>
                <c:pt idx="2">
                  <c:v>2.4520979020509821E-2</c:v>
                </c:pt>
                <c:pt idx="3">
                  <c:v>8.3880186983690291E-2</c:v>
                </c:pt>
                <c:pt idx="4">
                  <c:v>4.8489978596090645E-2</c:v>
                </c:pt>
                <c:pt idx="5">
                  <c:v>1.0778113477611685E-2</c:v>
                </c:pt>
                <c:pt idx="6">
                  <c:v>3.4795049829779164E-2</c:v>
                </c:pt>
                <c:pt idx="7">
                  <c:v>1.074968829110603E-2</c:v>
                </c:pt>
                <c:pt idx="8">
                  <c:v>5.8403547945271958E-2</c:v>
                </c:pt>
                <c:pt idx="9">
                  <c:v>4.3390151346515563E-3</c:v>
                </c:pt>
                <c:pt idx="10">
                  <c:v>1.8197282676013143E-2</c:v>
                </c:pt>
                <c:pt idx="11">
                  <c:v>7.1702615831956459E-2</c:v>
                </c:pt>
                <c:pt idx="12">
                  <c:v>2.3105919602982951E-2</c:v>
                </c:pt>
                <c:pt idx="13">
                  <c:v>5.3923044566837289E-2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1356087696"/>
        <c:axId val="-1356094224"/>
      </c:barChart>
      <c:catAx>
        <c:axId val="-135608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94224"/>
        <c:crosses val="autoZero"/>
        <c:auto val="1"/>
        <c:lblAlgn val="ctr"/>
        <c:lblOffset val="100"/>
        <c:noMultiLvlLbl val="0"/>
      </c:catAx>
      <c:valAx>
        <c:axId val="-13560942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-135608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18058E-CCF4-4CB5-A89B-0962F2147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27</xdr:row>
      <xdr:rowOff>57149</xdr:rowOff>
    </xdr:from>
    <xdr:to>
      <xdr:col>4</xdr:col>
      <xdr:colOff>952502</xdr:colOff>
      <xdr:row>54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3" zoomScale="115" zoomScaleNormal="115" workbookViewId="0">
      <selection sqref="A1:D19"/>
    </sheetView>
  </sheetViews>
  <sheetFormatPr defaultColWidth="9.109375" defaultRowHeight="13.8" x14ac:dyDescent="0.25"/>
  <cols>
    <col min="1" max="1" width="66.33203125" style="1" bestFit="1" customWidth="1"/>
    <col min="2" max="2" width="22.33203125" style="4" customWidth="1"/>
    <col min="3" max="3" width="16.88671875" style="1" customWidth="1"/>
    <col min="4" max="4" width="20.6640625" style="5" customWidth="1"/>
    <col min="5" max="6" width="9.109375" style="1"/>
    <col min="7" max="7" width="10.88671875" style="1" bestFit="1" customWidth="1"/>
    <col min="8" max="8" width="9.109375" style="1"/>
    <col min="9" max="9" width="11.77734375" style="1" bestFit="1" customWidth="1"/>
    <col min="10" max="12" width="9.109375" style="1"/>
    <col min="13" max="13" width="10.88671875" style="1" bestFit="1" customWidth="1"/>
    <col min="14" max="16384" width="9.109375" style="1"/>
  </cols>
  <sheetData>
    <row r="1" spans="1:13" x14ac:dyDescent="0.25">
      <c r="A1" s="90" t="s">
        <v>0</v>
      </c>
      <c r="B1" s="88" t="s">
        <v>69</v>
      </c>
      <c r="C1" s="89"/>
      <c r="D1" s="44" t="s">
        <v>11</v>
      </c>
    </row>
    <row r="2" spans="1:13" x14ac:dyDescent="0.25">
      <c r="A2" s="91"/>
      <c r="B2" s="2" t="s">
        <v>22</v>
      </c>
      <c r="C2" s="3" t="s">
        <v>9</v>
      </c>
      <c r="D2" s="45" t="s">
        <v>9</v>
      </c>
    </row>
    <row r="3" spans="1:13" s="41" customFormat="1" ht="19.95" customHeight="1" x14ac:dyDescent="0.3">
      <c r="A3" s="39" t="str">
        <f>Gerenciamento_Exec!A3</f>
        <v>MOVIMENTAÇÃO DE TERRA</v>
      </c>
      <c r="B3" s="40">
        <f>Gerenciamento_Exec!B3</f>
        <v>698368</v>
      </c>
      <c r="C3" s="40">
        <f>Gerenciamento_Exec!D3</f>
        <v>38.035007534914676</v>
      </c>
      <c r="D3" s="46" t="s">
        <v>71</v>
      </c>
      <c r="E3" s="41">
        <v>30</v>
      </c>
      <c r="F3" s="41">
        <v>50</v>
      </c>
      <c r="G3" s="49"/>
      <c r="I3" s="49">
        <v>1945.43</v>
      </c>
      <c r="J3" s="50">
        <v>2544.17</v>
      </c>
      <c r="L3" s="51">
        <f>J3/I3</f>
        <v>1.3077674344489394</v>
      </c>
      <c r="M3" s="51"/>
    </row>
    <row r="4" spans="1:13" s="41" customFormat="1" ht="19.95" customHeight="1" x14ac:dyDescent="0.3">
      <c r="A4" s="42" t="str">
        <f>Gerenciamento_Exec!A4</f>
        <v>CONTENÇÕES</v>
      </c>
      <c r="B4" s="43">
        <f>Gerenciamento_Exec!B4</f>
        <v>2128517.7599999998</v>
      </c>
      <c r="C4" s="43">
        <f>Gerenciamento_Exec!D4</f>
        <v>115.92482622313695</v>
      </c>
      <c r="D4" s="47" t="s">
        <v>57</v>
      </c>
      <c r="E4" s="41">
        <v>70</v>
      </c>
      <c r="F4" s="41">
        <v>130</v>
      </c>
    </row>
    <row r="5" spans="1:13" s="41" customFormat="1" ht="19.95" customHeight="1" x14ac:dyDescent="0.3">
      <c r="A5" s="39" t="str">
        <f>Gerenciamento_Exec!A5</f>
        <v>INFRAESTRUTURA</v>
      </c>
      <c r="B5" s="40">
        <f>Gerenciamento_Exec!B5</f>
        <v>4087599.47</v>
      </c>
      <c r="C5" s="40">
        <f>Gerenciamento_Exec!D5</f>
        <v>222.62170752549267</v>
      </c>
      <c r="D5" s="46" t="s">
        <v>58</v>
      </c>
      <c r="E5" s="41">
        <v>180</v>
      </c>
      <c r="F5" s="41">
        <v>240</v>
      </c>
    </row>
    <row r="6" spans="1:13" s="41" customFormat="1" ht="19.95" customHeight="1" x14ac:dyDescent="0.3">
      <c r="A6" s="42" t="str">
        <f>Gerenciamento_Exec!A6</f>
        <v>SUPRAESTRUTURA</v>
      </c>
      <c r="B6" s="43">
        <f>Gerenciamento_Exec!B6</f>
        <v>12812690.09</v>
      </c>
      <c r="C6" s="43">
        <f>Gerenciamento_Exec!D6</f>
        <v>697.81370869753005</v>
      </c>
      <c r="D6" s="47" t="s">
        <v>42</v>
      </c>
      <c r="E6" s="41">
        <v>580</v>
      </c>
      <c r="F6" s="41">
        <v>630</v>
      </c>
    </row>
    <row r="7" spans="1:13" s="41" customFormat="1" ht="19.95" customHeight="1" x14ac:dyDescent="0.3">
      <c r="A7" s="39" t="str">
        <f>Gerenciamento_Exec!A7</f>
        <v>ALVENARIA ESTRUTURAL</v>
      </c>
      <c r="B7" s="40">
        <f>Gerenciamento_Exec!B7</f>
        <v>4295520.7300000004</v>
      </c>
      <c r="C7" s="40">
        <f>Gerenciamento_Exec!D7</f>
        <v>233.94566092938425</v>
      </c>
      <c r="D7" s="46" t="s">
        <v>60</v>
      </c>
      <c r="E7" s="41">
        <v>250</v>
      </c>
      <c r="F7" s="41">
        <v>300</v>
      </c>
    </row>
    <row r="8" spans="1:13" s="41" customFormat="1" ht="19.95" customHeight="1" x14ac:dyDescent="0.3">
      <c r="A8" s="42" t="str">
        <f>Gerenciamento_Exec!A8</f>
        <v>INSTALAÇÕES</v>
      </c>
      <c r="B8" s="43">
        <f>Gerenciamento_Exec!B8</f>
        <v>14454264.199999999</v>
      </c>
      <c r="C8" s="43">
        <f>Gerenciamento_Exec!D8</f>
        <v>787.21826853270409</v>
      </c>
      <c r="D8" s="47" t="s">
        <v>61</v>
      </c>
      <c r="E8" s="41">
        <v>330</v>
      </c>
      <c r="F8" s="41">
        <v>450</v>
      </c>
    </row>
    <row r="9" spans="1:13" s="41" customFormat="1" ht="19.95" customHeight="1" x14ac:dyDescent="0.3">
      <c r="A9" s="39" t="str">
        <f>Gerenciamento_Exec!A9</f>
        <v>SISTEMAS E EQUIPAMENTOS ESPECIAIS</v>
      </c>
      <c r="B9" s="40">
        <f>Gerenciamento_Exec!B9</f>
        <v>2319476.77</v>
      </c>
      <c r="C9" s="40">
        <f>Gerenciamento_Exec!D9</f>
        <v>126.32496967789126</v>
      </c>
      <c r="D9" s="46" t="s">
        <v>62</v>
      </c>
      <c r="E9" s="41">
        <v>100</v>
      </c>
      <c r="F9" s="41">
        <v>180</v>
      </c>
    </row>
    <row r="10" spans="1:13" s="41" customFormat="1" ht="19.95" customHeight="1" x14ac:dyDescent="0.3">
      <c r="A10" s="42" t="str">
        <f>Gerenciamento_Exec!A10</f>
        <v>IMPERMEABILIZAÇÃO</v>
      </c>
      <c r="B10" s="43">
        <f>Gerenciamento_Exec!B10</f>
        <v>1689026</v>
      </c>
      <c r="C10" s="43">
        <f>Gerenciamento_Exec!D10</f>
        <v>91.988917929611318</v>
      </c>
      <c r="D10" s="47" t="s">
        <v>63</v>
      </c>
      <c r="E10" s="41">
        <v>70</v>
      </c>
      <c r="F10" s="41">
        <v>90</v>
      </c>
    </row>
    <row r="11" spans="1:13" s="41" customFormat="1" ht="19.95" customHeight="1" x14ac:dyDescent="0.3">
      <c r="A11" s="39" t="str">
        <f>Gerenciamento_Exec!A11</f>
        <v>REVESTIMENTOS INTERNOS EM PISO E PAREDE</v>
      </c>
      <c r="B11" s="40">
        <f>Gerenciamento_Exec!B11</f>
        <v>2974866.54</v>
      </c>
      <c r="C11" s="40">
        <f>Gerenciamento_Exec!D11</f>
        <v>162.01926672508699</v>
      </c>
      <c r="D11" s="46" t="s">
        <v>70</v>
      </c>
      <c r="E11" s="41">
        <v>140</v>
      </c>
      <c r="F11" s="41">
        <v>170</v>
      </c>
    </row>
    <row r="12" spans="1:13" s="41" customFormat="1" ht="19.95" customHeight="1" x14ac:dyDescent="0.3">
      <c r="A12" s="42" t="str">
        <f>Gerenciamento_Exec!A12</f>
        <v>REVESTIMENTOS E ACABAMENTOS INTERNOS EM TETO</v>
      </c>
      <c r="B12" s="43">
        <f>Gerenciamento_Exec!B12</f>
        <v>1371383.98</v>
      </c>
      <c r="C12" s="43">
        <f>Gerenciamento_Exec!D12</f>
        <v>74.689275586168435</v>
      </c>
      <c r="D12" s="47" t="s">
        <v>64</v>
      </c>
      <c r="E12" s="41">
        <v>60</v>
      </c>
      <c r="F12" s="41">
        <v>80</v>
      </c>
    </row>
    <row r="13" spans="1:13" s="41" customFormat="1" ht="19.95" customHeight="1" x14ac:dyDescent="0.3">
      <c r="A13" s="39" t="str">
        <f>Gerenciamento_Exec!A13</f>
        <v>ACABAMENTOS EM PISO E PAREDE</v>
      </c>
      <c r="B13" s="40">
        <f>Gerenciamento_Exec!B13</f>
        <v>3269687</v>
      </c>
      <c r="C13" s="40">
        <f>Gerenciamento_Exec!D13</f>
        <v>178.07598527110716</v>
      </c>
      <c r="D13" s="46" t="s">
        <v>65</v>
      </c>
      <c r="E13" s="41">
        <v>160</v>
      </c>
      <c r="F13" s="41">
        <v>170</v>
      </c>
    </row>
    <row r="14" spans="1:13" s="41" customFormat="1" ht="19.95" customHeight="1" x14ac:dyDescent="0.3">
      <c r="A14" s="42" t="str">
        <f>Gerenciamento_Exec!A14</f>
        <v>COBERTURA</v>
      </c>
      <c r="B14" s="43">
        <f>Gerenciamento_Exec!B14</f>
        <v>367473.54</v>
      </c>
      <c r="C14" s="43">
        <f>Gerenciamento_Exec!D14</f>
        <v>20.013601514934489</v>
      </c>
      <c r="D14" s="47" t="s">
        <v>43</v>
      </c>
      <c r="E14" s="41">
        <v>10</v>
      </c>
      <c r="F14" s="41">
        <v>20</v>
      </c>
    </row>
    <row r="15" spans="1:13" s="41" customFormat="1" ht="19.95" customHeight="1" x14ac:dyDescent="0.3">
      <c r="A15" s="39" t="str">
        <f>Gerenciamento_Exec!A15</f>
        <v>PINTURA INTERNA</v>
      </c>
      <c r="B15" s="40">
        <f>Gerenciamento_Exec!B15</f>
        <v>1457557.62</v>
      </c>
      <c r="C15" s="40">
        <f>Gerenciamento_Exec!D15</f>
        <v>79.382524770997975</v>
      </c>
      <c r="D15" s="46" t="s">
        <v>64</v>
      </c>
      <c r="E15" s="41">
        <v>60</v>
      </c>
      <c r="F15" s="41">
        <v>80</v>
      </c>
    </row>
    <row r="16" spans="1:13" s="41" customFormat="1" ht="19.95" customHeight="1" x14ac:dyDescent="0.3">
      <c r="A16" s="42" t="str">
        <f>Gerenciamento_Exec!A16</f>
        <v>ESQUADRIAS, VIDROS E FERRAGENS</v>
      </c>
      <c r="B16" s="43">
        <f>Gerenciamento_Exec!B16</f>
        <v>3598617.23</v>
      </c>
      <c r="C16" s="43">
        <f>Gerenciamento_Exec!D16</f>
        <v>195.99041402000634</v>
      </c>
      <c r="D16" s="47" t="s">
        <v>66</v>
      </c>
      <c r="E16" s="41">
        <v>175</v>
      </c>
      <c r="F16" s="41">
        <v>200</v>
      </c>
    </row>
    <row r="17" spans="1:6" s="41" customFormat="1" ht="19.95" customHeight="1" x14ac:dyDescent="0.3">
      <c r="A17" s="39" t="str">
        <f>Gerenciamento_Exec!A17</f>
        <v>REVESTIMENTOS E ACABAMENTOS DE FACHADA</v>
      </c>
      <c r="B17" s="40">
        <f>Gerenciamento_Exec!B17</f>
        <v>1432463.38</v>
      </c>
      <c r="C17" s="40">
        <f>Gerenciamento_Exec!D17</f>
        <v>78.015824682387148</v>
      </c>
      <c r="D17" s="46" t="s">
        <v>67</v>
      </c>
      <c r="E17" s="41">
        <v>85</v>
      </c>
      <c r="F17" s="41">
        <v>120</v>
      </c>
    </row>
    <row r="18" spans="1:6" s="41" customFormat="1" ht="19.95" customHeight="1" x14ac:dyDescent="0.3">
      <c r="A18" s="42" t="str">
        <f>Gerenciamento_Exec!A18</f>
        <v>SERVIÇOS COMPLEMENTARES</v>
      </c>
      <c r="B18" s="43">
        <f>Gerenciamento_Exec!B18</f>
        <v>3693749.35</v>
      </c>
      <c r="C18" s="43">
        <f>Gerenciamento_Exec!D18</f>
        <v>201.17156622201503</v>
      </c>
      <c r="D18" s="47" t="s">
        <v>68</v>
      </c>
      <c r="E18" s="41">
        <v>150</v>
      </c>
      <c r="F18" s="41">
        <v>190</v>
      </c>
    </row>
    <row r="19" spans="1:6" ht="21" thickBot="1" x14ac:dyDescent="0.75">
      <c r="A19" s="17" t="s">
        <v>5</v>
      </c>
      <c r="B19" s="18">
        <f>SUM(B3:B18)</f>
        <v>60651261.659999996</v>
      </c>
      <c r="C19" s="19">
        <f>SUM(C3:C18)</f>
        <v>3303.2315258433696</v>
      </c>
      <c r="D19" s="48" t="s">
        <v>72</v>
      </c>
      <c r="E19" s="1">
        <f>SUM(E3:E18)</f>
        <v>2450</v>
      </c>
      <c r="F19" s="1">
        <f>SUM(F3:F18)</f>
        <v>3100</v>
      </c>
    </row>
    <row r="22" spans="1:6" hidden="1" x14ac:dyDescent="0.25"/>
    <row r="23" spans="1:6" hidden="1" x14ac:dyDescent="0.25">
      <c r="B23" s="4">
        <v>2007.57</v>
      </c>
    </row>
    <row r="24" spans="1:6" hidden="1" x14ac:dyDescent="0.25">
      <c r="B24" s="4">
        <v>2461.35</v>
      </c>
    </row>
    <row r="25" spans="1:6" hidden="1" x14ac:dyDescent="0.25">
      <c r="B25" s="4">
        <f>B24/B23</f>
        <v>1.2260344595705255</v>
      </c>
    </row>
    <row r="26" spans="1:6" hidden="1" x14ac:dyDescent="0.25"/>
    <row r="27" spans="1:6" hidden="1" x14ac:dyDescent="0.25"/>
    <row r="28" spans="1:6" hidden="1" x14ac:dyDescent="0.25">
      <c r="C28" s="1">
        <v>1.1023000000000001</v>
      </c>
    </row>
    <row r="29" spans="1:6" hidden="1" x14ac:dyDescent="0.25"/>
    <row r="30" spans="1:6" hidden="1" x14ac:dyDescent="0.25">
      <c r="A30" s="16" t="s">
        <v>29</v>
      </c>
      <c r="B30" s="4">
        <v>900</v>
      </c>
      <c r="C30" s="20"/>
      <c r="D30" s="20"/>
    </row>
    <row r="31" spans="1:6" hidden="1" x14ac:dyDescent="0.25">
      <c r="A31" s="15" t="s">
        <v>24</v>
      </c>
      <c r="B31" s="4">
        <v>25</v>
      </c>
      <c r="C31" s="20"/>
      <c r="D31" s="20"/>
    </row>
    <row r="32" spans="1:6" hidden="1" x14ac:dyDescent="0.25">
      <c r="A32" s="16" t="s">
        <v>30</v>
      </c>
      <c r="B32" s="4">
        <v>15</v>
      </c>
      <c r="C32" s="20"/>
      <c r="D32" s="20"/>
    </row>
    <row r="33" spans="1:4" hidden="1" x14ac:dyDescent="0.25">
      <c r="A33" s="15" t="s">
        <v>40</v>
      </c>
      <c r="B33" s="4">
        <v>150</v>
      </c>
      <c r="C33" s="20"/>
      <c r="D33" s="20"/>
    </row>
    <row r="34" spans="1:4" hidden="1" x14ac:dyDescent="0.25">
      <c r="A34" s="16" t="s">
        <v>31</v>
      </c>
      <c r="B34" s="4">
        <v>440</v>
      </c>
      <c r="C34" s="20"/>
      <c r="D34" s="20"/>
    </row>
    <row r="35" spans="1:4" hidden="1" x14ac:dyDescent="0.25">
      <c r="A35" s="15" t="s">
        <v>25</v>
      </c>
      <c r="C35" s="20"/>
      <c r="D35" s="20"/>
    </row>
    <row r="36" spans="1:4" hidden="1" x14ac:dyDescent="0.25">
      <c r="A36" s="16" t="s">
        <v>26</v>
      </c>
      <c r="B36" s="4">
        <v>55</v>
      </c>
      <c r="C36" s="20"/>
      <c r="D36" s="20"/>
    </row>
    <row r="37" spans="1:4" hidden="1" x14ac:dyDescent="0.25">
      <c r="A37" s="15" t="s">
        <v>32</v>
      </c>
      <c r="B37" s="4">
        <v>170</v>
      </c>
      <c r="C37" s="20"/>
      <c r="D37" s="20"/>
    </row>
    <row r="38" spans="1:4" hidden="1" x14ac:dyDescent="0.25">
      <c r="A38" s="16" t="s">
        <v>33</v>
      </c>
      <c r="B38" s="4">
        <v>165</v>
      </c>
      <c r="C38" s="20"/>
      <c r="D38" s="20"/>
    </row>
    <row r="39" spans="1:4" hidden="1" x14ac:dyDescent="0.25">
      <c r="A39" s="15" t="s">
        <v>34</v>
      </c>
      <c r="B39" s="4">
        <v>40</v>
      </c>
      <c r="C39" s="20"/>
      <c r="D39" s="20"/>
    </row>
    <row r="40" spans="1:4" hidden="1" x14ac:dyDescent="0.25">
      <c r="A40" s="16" t="s">
        <v>35</v>
      </c>
      <c r="B40" s="4">
        <v>55</v>
      </c>
      <c r="C40" s="20"/>
      <c r="D40" s="20"/>
    </row>
    <row r="41" spans="1:4" hidden="1" x14ac:dyDescent="0.25">
      <c r="A41" s="15" t="s">
        <v>27</v>
      </c>
      <c r="B41" s="4">
        <v>35</v>
      </c>
      <c r="C41" s="20"/>
      <c r="D41" s="20"/>
    </row>
    <row r="42" spans="1:4" hidden="1" x14ac:dyDescent="0.25">
      <c r="A42" s="16" t="s">
        <v>36</v>
      </c>
      <c r="B42" s="4">
        <v>130</v>
      </c>
      <c r="C42" s="20"/>
      <c r="D42" s="20"/>
    </row>
    <row r="43" spans="1:4" hidden="1" x14ac:dyDescent="0.25">
      <c r="A43" s="15" t="s">
        <v>37</v>
      </c>
      <c r="B43" s="4">
        <v>35</v>
      </c>
      <c r="C43" s="20"/>
      <c r="D43" s="20"/>
    </row>
    <row r="44" spans="1:4" hidden="1" x14ac:dyDescent="0.25">
      <c r="A44" s="16" t="s">
        <v>38</v>
      </c>
      <c r="B44" s="4">
        <v>35</v>
      </c>
      <c r="C44" s="20"/>
      <c r="D44" s="20"/>
    </row>
    <row r="45" spans="1:4" hidden="1" x14ac:dyDescent="0.25">
      <c r="A45" s="15" t="s">
        <v>39</v>
      </c>
      <c r="B45" s="4">
        <v>430</v>
      </c>
      <c r="C45" s="20"/>
      <c r="D45" s="20"/>
    </row>
    <row r="46" spans="1:4" hidden="1" x14ac:dyDescent="0.25">
      <c r="A46" s="16" t="s">
        <v>27</v>
      </c>
      <c r="B46" s="4">
        <v>35</v>
      </c>
      <c r="C46" s="20"/>
      <c r="D46" s="20"/>
    </row>
    <row r="47" spans="1:4" hidden="1" x14ac:dyDescent="0.25">
      <c r="A47" s="15" t="s">
        <v>28</v>
      </c>
      <c r="B47" s="4">
        <v>150</v>
      </c>
      <c r="C47" s="20"/>
      <c r="D47" s="20"/>
    </row>
    <row r="48" spans="1: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C576-39B9-4A32-B209-A0BC6E979195}">
  <dimension ref="A1:I27"/>
  <sheetViews>
    <sheetView zoomScaleNormal="100" workbookViewId="0">
      <selection sqref="A1:E20"/>
    </sheetView>
  </sheetViews>
  <sheetFormatPr defaultColWidth="9.109375" defaultRowHeight="13.2" x14ac:dyDescent="0.3"/>
  <cols>
    <col min="1" max="1" width="64.44140625" style="6" bestFit="1" customWidth="1"/>
    <col min="2" max="2" width="18.5546875" style="6" bestFit="1" customWidth="1"/>
    <col min="3" max="3" width="14.33203125" style="7" customWidth="1"/>
    <col min="4" max="4" width="15.109375" style="6" customWidth="1"/>
    <col min="5" max="5" width="20.6640625" style="6" customWidth="1"/>
    <col min="6" max="6" width="9.109375" style="6"/>
    <col min="7" max="7" width="15.44140625" style="12" bestFit="1" customWidth="1"/>
    <col min="8" max="8" width="14.33203125" style="6" bestFit="1" customWidth="1"/>
    <col min="9" max="9" width="9.109375" style="6" customWidth="1"/>
    <col min="10" max="16384" width="9.109375" style="6"/>
  </cols>
  <sheetData>
    <row r="1" spans="1:9" ht="22.5" customHeight="1" x14ac:dyDescent="0.3">
      <c r="A1" s="21" t="s">
        <v>0</v>
      </c>
      <c r="B1" s="22" t="s">
        <v>7</v>
      </c>
      <c r="C1" s="35" t="s">
        <v>8</v>
      </c>
      <c r="D1" s="22" t="s">
        <v>9</v>
      </c>
      <c r="E1" s="23" t="s">
        <v>10</v>
      </c>
    </row>
    <row r="2" spans="1:9" ht="19.95" customHeight="1" x14ac:dyDescent="0.3">
      <c r="A2" s="24" t="s">
        <v>56</v>
      </c>
      <c r="B2" s="25">
        <f>1820737.7+1576588.4</f>
        <v>3397326.0999999996</v>
      </c>
      <c r="C2" s="36">
        <f t="shared" ref="C2:C18" si="0">B2/B$19</f>
        <v>5.3042950966074504E-2</v>
      </c>
      <c r="D2" s="26">
        <f>B2/Gerenciamento_Exec!H$13</f>
        <v>185.02755540354408</v>
      </c>
      <c r="E2" s="27">
        <f>B2/H$10</f>
        <v>24266.614999999998</v>
      </c>
      <c r="G2" s="92"/>
      <c r="I2" s="13"/>
    </row>
    <row r="3" spans="1:9" ht="19.95" customHeight="1" x14ac:dyDescent="0.3">
      <c r="A3" s="28" t="s">
        <v>53</v>
      </c>
      <c r="B3" s="29">
        <v>698368</v>
      </c>
      <c r="C3" s="37">
        <f t="shared" si="0"/>
        <v>1.0903722071388885E-2</v>
      </c>
      <c r="D3" s="30">
        <f>B3/Gerenciamento_Exec!H$13</f>
        <v>38.035007534914676</v>
      </c>
      <c r="E3" s="31">
        <f>B3/H$10</f>
        <v>4988.3428571428567</v>
      </c>
    </row>
    <row r="4" spans="1:9" ht="19.95" customHeight="1" x14ac:dyDescent="0.3">
      <c r="A4" s="24" t="s">
        <v>54</v>
      </c>
      <c r="B4" s="25">
        <v>2128517.7599999998</v>
      </c>
      <c r="C4" s="36">
        <f t="shared" si="0"/>
        <v>3.3232860152606118E-2</v>
      </c>
      <c r="D4" s="26">
        <f>B4/Gerenciamento_Exec!H$13</f>
        <v>115.92482622313695</v>
      </c>
      <c r="E4" s="27">
        <f>B4/H$10</f>
        <v>15203.698285714285</v>
      </c>
      <c r="G4" s="92"/>
      <c r="I4" s="13"/>
    </row>
    <row r="5" spans="1:9" ht="19.95" customHeight="1" x14ac:dyDescent="0.3">
      <c r="A5" s="28" t="s">
        <v>55</v>
      </c>
      <c r="B5" s="29">
        <v>4087599.47</v>
      </c>
      <c r="C5" s="37">
        <f t="shared" si="0"/>
        <v>6.3820290391364595E-2</v>
      </c>
      <c r="D5" s="30">
        <f>B5/Gerenciamento_Exec!H$13</f>
        <v>222.62170752549267</v>
      </c>
      <c r="E5" s="31">
        <f>B5/H$10</f>
        <v>29197.139071428574</v>
      </c>
    </row>
    <row r="6" spans="1:9" ht="19.95" customHeight="1" x14ac:dyDescent="0.3">
      <c r="A6" s="24" t="s">
        <v>1</v>
      </c>
      <c r="B6" s="25">
        <v>12812690.09</v>
      </c>
      <c r="C6" s="36">
        <f t="shared" si="0"/>
        <v>0.20004641067202197</v>
      </c>
      <c r="D6" s="26">
        <f>B6/Gerenciamento_Exec!H$13</f>
        <v>697.81370869753005</v>
      </c>
      <c r="E6" s="27">
        <f t="shared" ref="E6:E18" si="1">B6/H$10</f>
        <v>91519.214928571426</v>
      </c>
      <c r="G6" s="92"/>
      <c r="I6" s="13"/>
    </row>
    <row r="7" spans="1:9" ht="19.95" customHeight="1" x14ac:dyDescent="0.3">
      <c r="A7" s="28" t="s">
        <v>59</v>
      </c>
      <c r="B7" s="29">
        <v>4295520.7300000004</v>
      </c>
      <c r="C7" s="37">
        <f t="shared" si="0"/>
        <v>6.7066595536750692E-2</v>
      </c>
      <c r="D7" s="30">
        <f>B7/Gerenciamento_Exec!H$13</f>
        <v>233.94566092938425</v>
      </c>
      <c r="E7" s="31">
        <f t="shared" si="1"/>
        <v>30682.29092857143</v>
      </c>
    </row>
    <row r="8" spans="1:9" ht="19.95" customHeight="1" x14ac:dyDescent="0.3">
      <c r="A8" s="24" t="s">
        <v>74</v>
      </c>
      <c r="B8" s="25">
        <f>7977479.2+6476785</f>
        <v>14454264.199999999</v>
      </c>
      <c r="C8" s="36">
        <f t="shared" si="0"/>
        <v>0.22567654815688321</v>
      </c>
      <c r="D8" s="26">
        <f>B8/Gerenciamento_Exec!H$13</f>
        <v>787.21826853270409</v>
      </c>
      <c r="E8" s="27">
        <f t="shared" si="1"/>
        <v>103244.74428571427</v>
      </c>
      <c r="G8" s="92"/>
    </row>
    <row r="9" spans="1:9" ht="19.95" customHeight="1" x14ac:dyDescent="0.3">
      <c r="A9" s="28" t="s">
        <v>16</v>
      </c>
      <c r="B9" s="29">
        <v>2319476.77</v>
      </c>
      <c r="C9" s="37">
        <f t="shared" si="0"/>
        <v>3.6214331199486235E-2</v>
      </c>
      <c r="D9" s="30">
        <f>B9/Gerenciamento_Exec!H$13</f>
        <v>126.32496967789126</v>
      </c>
      <c r="E9" s="31">
        <f t="shared" si="1"/>
        <v>16567.691214285715</v>
      </c>
      <c r="G9" s="93"/>
    </row>
    <row r="10" spans="1:9" ht="19.95" customHeight="1" x14ac:dyDescent="0.3">
      <c r="A10" s="24" t="s">
        <v>18</v>
      </c>
      <c r="B10" s="25">
        <v>1689026</v>
      </c>
      <c r="C10" s="36">
        <f t="shared" si="0"/>
        <v>2.6371010807124159E-2</v>
      </c>
      <c r="D10" s="26">
        <f>B10/Gerenciamento_Exec!H$13</f>
        <v>91.988917929611318</v>
      </c>
      <c r="E10" s="27">
        <f t="shared" si="1"/>
        <v>12064.471428571429</v>
      </c>
      <c r="G10" s="92"/>
      <c r="H10" s="6">
        <v>140</v>
      </c>
    </row>
    <row r="11" spans="1:9" ht="19.95" customHeight="1" x14ac:dyDescent="0.3">
      <c r="A11" s="28" t="s">
        <v>12</v>
      </c>
      <c r="B11" s="29">
        <v>2974866.54</v>
      </c>
      <c r="C11" s="37">
        <f t="shared" si="0"/>
        <v>4.6447027858713873E-2</v>
      </c>
      <c r="D11" s="30">
        <f>B11/Gerenciamento_Exec!H$13</f>
        <v>162.01926672508699</v>
      </c>
      <c r="E11" s="31">
        <f>B11/H$10</f>
        <v>21249.046714285716</v>
      </c>
    </row>
    <row r="12" spans="1:9" ht="19.95" customHeight="1" x14ac:dyDescent="0.3">
      <c r="A12" s="24" t="s">
        <v>3</v>
      </c>
      <c r="B12" s="25">
        <v>1371383.98</v>
      </c>
      <c r="C12" s="36">
        <f t="shared" si="0"/>
        <v>2.141161933404041E-2</v>
      </c>
      <c r="D12" s="26">
        <f>B12/Gerenciamento_Exec!H$13</f>
        <v>74.689275586168435</v>
      </c>
      <c r="E12" s="27">
        <f t="shared" si="1"/>
        <v>9795.5998571428572</v>
      </c>
    </row>
    <row r="13" spans="1:9" ht="19.95" customHeight="1" x14ac:dyDescent="0.3">
      <c r="A13" s="28" t="s">
        <v>13</v>
      </c>
      <c r="B13" s="29">
        <v>3269687</v>
      </c>
      <c r="C13" s="37">
        <f t="shared" si="0"/>
        <v>5.1050102966392091E-2</v>
      </c>
      <c r="D13" s="30">
        <f>B13/Gerenciamento_Exec!H$13</f>
        <v>178.07598527110716</v>
      </c>
      <c r="E13" s="31">
        <f t="shared" si="1"/>
        <v>23354.907142857144</v>
      </c>
      <c r="H13" s="87">
        <v>18361.189999999999</v>
      </c>
      <c r="I13" s="9" t="s">
        <v>12</v>
      </c>
    </row>
    <row r="14" spans="1:9" ht="19.95" customHeight="1" x14ac:dyDescent="0.3">
      <c r="A14" s="24" t="s">
        <v>21</v>
      </c>
      <c r="B14" s="25">
        <v>367473.54</v>
      </c>
      <c r="C14" s="36">
        <f t="shared" si="0"/>
        <v>5.7374183077538009E-3</v>
      </c>
      <c r="D14" s="26">
        <f>B14/Gerenciamento_Exec!H$13</f>
        <v>20.013601514934489</v>
      </c>
      <c r="E14" s="27">
        <f t="shared" si="1"/>
        <v>2624.8109999999997</v>
      </c>
      <c r="I14" s="10" t="s">
        <v>3</v>
      </c>
    </row>
    <row r="15" spans="1:9" ht="19.95" customHeight="1" x14ac:dyDescent="0.3">
      <c r="A15" s="28" t="s">
        <v>4</v>
      </c>
      <c r="B15" s="29">
        <v>1457557.62</v>
      </c>
      <c r="C15" s="37">
        <f t="shared" si="0"/>
        <v>2.2757061021574664E-2</v>
      </c>
      <c r="D15" s="30">
        <f>B15/Gerenciamento_Exec!H$13</f>
        <v>79.382524770997975</v>
      </c>
      <c r="E15" s="31">
        <f t="shared" si="1"/>
        <v>10411.125857142857</v>
      </c>
      <c r="I15" s="9" t="s">
        <v>13</v>
      </c>
    </row>
    <row r="16" spans="1:9" ht="19.95" customHeight="1" x14ac:dyDescent="0.3">
      <c r="A16" s="24" t="s">
        <v>17</v>
      </c>
      <c r="B16" s="25">
        <v>3598617.23</v>
      </c>
      <c r="C16" s="36">
        <f t="shared" si="0"/>
        <v>5.618573891878112E-2</v>
      </c>
      <c r="D16" s="26">
        <f>B16/Gerenciamento_Exec!H$13</f>
        <v>195.99041402000634</v>
      </c>
      <c r="E16" s="27">
        <f t="shared" si="1"/>
        <v>25704.408785714284</v>
      </c>
      <c r="I16" s="10" t="s">
        <v>4</v>
      </c>
    </row>
    <row r="17" spans="1:9" ht="19.95" customHeight="1" x14ac:dyDescent="0.3">
      <c r="A17" s="28" t="s">
        <v>14</v>
      </c>
      <c r="B17" s="29">
        <v>1432463.38</v>
      </c>
      <c r="C17" s="37">
        <f t="shared" si="0"/>
        <v>2.2365260969807212E-2</v>
      </c>
      <c r="D17" s="30">
        <f>B17/Gerenciamento_Exec!H$13</f>
        <v>78.015824682387148</v>
      </c>
      <c r="E17" s="31">
        <f t="shared" si="1"/>
        <v>10231.881285714286</v>
      </c>
      <c r="I17" s="9" t="s">
        <v>4</v>
      </c>
    </row>
    <row r="18" spans="1:9" ht="19.95" customHeight="1" x14ac:dyDescent="0.3">
      <c r="A18" s="24" t="s">
        <v>15</v>
      </c>
      <c r="B18" s="25">
        <v>3693749.35</v>
      </c>
      <c r="C18" s="36">
        <f t="shared" si="0"/>
        <v>5.7671050669236494E-2</v>
      </c>
      <c r="D18" s="26">
        <f>B18/Gerenciamento_Exec!H$13</f>
        <v>201.17156622201503</v>
      </c>
      <c r="E18" s="27">
        <f t="shared" si="1"/>
        <v>26383.923928571428</v>
      </c>
      <c r="I18" s="10" t="s">
        <v>17</v>
      </c>
    </row>
    <row r="19" spans="1:9" ht="22.5" customHeight="1" x14ac:dyDescent="0.3">
      <c r="A19" s="72" t="s">
        <v>5</v>
      </c>
      <c r="B19" s="73">
        <f>SUM(B2:B18)</f>
        <v>64048587.759999998</v>
      </c>
      <c r="C19" s="84">
        <f>SUM(C2:C18)</f>
        <v>1</v>
      </c>
      <c r="D19" s="73">
        <f>SUM(D2:D18)</f>
        <v>3488.2590812469134</v>
      </c>
      <c r="E19" s="94">
        <f>SUM(E2:E18)</f>
        <v>457489.91257142858</v>
      </c>
      <c r="G19" s="12">
        <f>B19*0.015</f>
        <v>960728.81639999989</v>
      </c>
    </row>
    <row r="20" spans="1:9" ht="22.5" customHeight="1" thickBot="1" x14ac:dyDescent="0.35">
      <c r="A20" s="32" t="s">
        <v>73</v>
      </c>
      <c r="B20" s="33">
        <v>1850.46</v>
      </c>
      <c r="C20" s="38">
        <v>44805</v>
      </c>
      <c r="D20" s="34">
        <f>+D19/B20</f>
        <v>1.8850767275417535</v>
      </c>
      <c r="E20" s="11" t="s">
        <v>20</v>
      </c>
    </row>
    <row r="21" spans="1:9" ht="15" customHeight="1" x14ac:dyDescent="0.3"/>
    <row r="22" spans="1:9" x14ac:dyDescent="0.3">
      <c r="B22" s="13"/>
      <c r="H22" s="13"/>
    </row>
    <row r="23" spans="1:9" x14ac:dyDescent="0.3">
      <c r="H23" s="13"/>
    </row>
    <row r="24" spans="1:9" x14ac:dyDescent="0.3">
      <c r="G24" s="12">
        <f>960000/H13</f>
        <v>52.284192909065268</v>
      </c>
      <c r="H24" s="86"/>
    </row>
    <row r="25" spans="1:9" x14ac:dyDescent="0.3">
      <c r="H25" s="12"/>
    </row>
    <row r="27" spans="1:9" x14ac:dyDescent="0.3">
      <c r="H27" s="13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A4" zoomScale="85" zoomScaleNormal="85" workbookViewId="0">
      <selection sqref="A1:E26"/>
    </sheetView>
  </sheetViews>
  <sheetFormatPr defaultColWidth="9.109375" defaultRowHeight="13.2" x14ac:dyDescent="0.3"/>
  <cols>
    <col min="1" max="1" width="64.44140625" style="6" bestFit="1" customWidth="1"/>
    <col min="2" max="2" width="18.5546875" style="6" bestFit="1" customWidth="1"/>
    <col min="3" max="3" width="14.33203125" style="7" customWidth="1"/>
    <col min="4" max="4" width="15.109375" style="6" customWidth="1"/>
    <col min="5" max="5" width="20.6640625" style="6" customWidth="1"/>
    <col min="6" max="6" width="9.109375" style="6"/>
    <col min="7" max="8" width="14.33203125" style="6" bestFit="1" customWidth="1"/>
    <col min="9" max="9" width="9.109375" style="6" customWidth="1"/>
    <col min="10" max="16384" width="9.109375" style="6"/>
  </cols>
  <sheetData>
    <row r="1" spans="1:9" ht="22.5" customHeight="1" x14ac:dyDescent="0.3">
      <c r="A1" s="21" t="s">
        <v>0</v>
      </c>
      <c r="B1" s="22" t="s">
        <v>7</v>
      </c>
      <c r="C1" s="35" t="s">
        <v>8</v>
      </c>
      <c r="D1" s="22" t="s">
        <v>9</v>
      </c>
      <c r="E1" s="23" t="s">
        <v>10</v>
      </c>
    </row>
    <row r="2" spans="1:9" ht="19.95" customHeight="1" x14ac:dyDescent="0.3">
      <c r="A2" s="52" t="s">
        <v>45</v>
      </c>
      <c r="B2" s="53">
        <v>87845.22</v>
      </c>
      <c r="C2" s="54">
        <f t="shared" ref="C2:C21" si="0">B2/B$25</f>
        <v>4.9354985119091296E-3</v>
      </c>
      <c r="D2" s="55">
        <f>B2/Executivo!H$15</f>
        <v>19.917292823942862</v>
      </c>
      <c r="E2" s="56">
        <f t="shared" ref="E2:E7" si="1">B2/H$12</f>
        <v>2745.163125</v>
      </c>
      <c r="G2" s="7" t="s">
        <v>23</v>
      </c>
    </row>
    <row r="3" spans="1:9" ht="19.95" customHeight="1" x14ac:dyDescent="0.3">
      <c r="A3" s="57" t="s">
        <v>46</v>
      </c>
      <c r="B3" s="58">
        <v>107202.52</v>
      </c>
      <c r="C3" s="59">
        <f t="shared" si="0"/>
        <v>6.0230696437769604E-3</v>
      </c>
      <c r="D3" s="60">
        <f>B3/Executivo!H$15</f>
        <v>24.306205645618412</v>
      </c>
      <c r="E3" s="61">
        <f t="shared" si="1"/>
        <v>3350.0787500000001</v>
      </c>
    </row>
    <row r="4" spans="1:9" ht="19.95" customHeight="1" x14ac:dyDescent="0.3">
      <c r="A4" s="24" t="s">
        <v>47</v>
      </c>
      <c r="B4" s="25">
        <v>2148719.7400000002</v>
      </c>
      <c r="C4" s="36">
        <f t="shared" si="0"/>
        <v>0.12072373521609682</v>
      </c>
      <c r="D4" s="26">
        <f>B4/Executivo!H$15</f>
        <v>487.18280013603902</v>
      </c>
      <c r="E4" s="27">
        <f t="shared" si="1"/>
        <v>67147.491875000007</v>
      </c>
      <c r="G4" s="7" t="s">
        <v>23</v>
      </c>
    </row>
    <row r="5" spans="1:9" ht="19.95" customHeight="1" x14ac:dyDescent="0.3">
      <c r="A5" s="28" t="s">
        <v>48</v>
      </c>
      <c r="B5" s="29">
        <v>1160000</v>
      </c>
      <c r="C5" s="37">
        <f t="shared" si="0"/>
        <v>6.5173475276339335E-2</v>
      </c>
      <c r="D5" s="30">
        <f>B5/Executivo!H$15</f>
        <v>263.00872916902847</v>
      </c>
      <c r="E5" s="31">
        <f t="shared" si="1"/>
        <v>36250</v>
      </c>
    </row>
    <row r="6" spans="1:9" ht="19.95" customHeight="1" x14ac:dyDescent="0.3">
      <c r="A6" s="62" t="s">
        <v>49</v>
      </c>
      <c r="B6" s="63">
        <v>9500</v>
      </c>
      <c r="C6" s="64">
        <f t="shared" si="0"/>
        <v>5.33748288901055E-4</v>
      </c>
      <c r="D6" s="65">
        <f>B6/Executivo!H$15</f>
        <v>2.1539507992291123</v>
      </c>
      <c r="E6" s="66">
        <f t="shared" si="1"/>
        <v>296.875</v>
      </c>
      <c r="G6" s="7" t="s">
        <v>23</v>
      </c>
    </row>
    <row r="7" spans="1:9" ht="19.95" customHeight="1" x14ac:dyDescent="0.3">
      <c r="A7" s="28" t="s">
        <v>41</v>
      </c>
      <c r="B7" s="29">
        <v>498325.15</v>
      </c>
      <c r="C7" s="37">
        <f t="shared" si="0"/>
        <v>2.7997915381985428E-2</v>
      </c>
      <c r="D7" s="30">
        <f>B7/Executivo!H$15</f>
        <v>112.98609001247024</v>
      </c>
      <c r="E7" s="31">
        <f t="shared" si="1"/>
        <v>15572.660937500001</v>
      </c>
    </row>
    <row r="8" spans="1:9" ht="19.95" customHeight="1" x14ac:dyDescent="0.3">
      <c r="A8" s="24" t="s">
        <v>1</v>
      </c>
      <c r="B8" s="25">
        <v>2755206.95</v>
      </c>
      <c r="C8" s="36">
        <f t="shared" si="0"/>
        <v>0.15479863106639943</v>
      </c>
      <c r="D8" s="26">
        <f>B8/Executivo!H$15</f>
        <v>624.69265389411635</v>
      </c>
      <c r="E8" s="27">
        <f t="shared" ref="E8:E20" si="2">B8/H$12</f>
        <v>86100.217187500006</v>
      </c>
      <c r="G8" s="85"/>
      <c r="I8" s="13"/>
    </row>
    <row r="9" spans="1:9" ht="19.95" customHeight="1" x14ac:dyDescent="0.3">
      <c r="A9" s="28" t="s">
        <v>2</v>
      </c>
      <c r="B9" s="29">
        <v>436440.37</v>
      </c>
      <c r="C9" s="37">
        <f t="shared" si="0"/>
        <v>2.4520979020509821E-2</v>
      </c>
      <c r="D9" s="30">
        <f>B9/Executivo!H$15</f>
        <v>98.954850923931531</v>
      </c>
      <c r="E9" s="31">
        <f t="shared" si="2"/>
        <v>13638.7615625</v>
      </c>
    </row>
    <row r="10" spans="1:9" ht="19.95" customHeight="1" x14ac:dyDescent="0.3">
      <c r="A10" s="24" t="s">
        <v>19</v>
      </c>
      <c r="B10" s="25">
        <v>1492954.25</v>
      </c>
      <c r="C10" s="36">
        <f t="shared" si="0"/>
        <v>8.3880186983690291E-2</v>
      </c>
      <c r="D10" s="26">
        <f>B10/Executivo!H$15</f>
        <v>338.5</v>
      </c>
      <c r="E10" s="27">
        <f t="shared" ref="E10" si="3">B10/H$12</f>
        <v>46654.8203125</v>
      </c>
      <c r="G10" s="7"/>
    </row>
    <row r="11" spans="1:9" ht="19.95" customHeight="1" x14ac:dyDescent="0.3">
      <c r="A11" s="28" t="s">
        <v>16</v>
      </c>
      <c r="B11" s="29">
        <f>160000+77250+150000+475806.25</f>
        <v>863056.25</v>
      </c>
      <c r="C11" s="37">
        <f t="shared" si="0"/>
        <v>4.8489978596090645E-2</v>
      </c>
      <c r="D11" s="30">
        <f>B11/Executivo!H$15</f>
        <v>195.68217889128218</v>
      </c>
      <c r="E11" s="31">
        <f t="shared" si="2"/>
        <v>26970.5078125</v>
      </c>
      <c r="G11" s="14"/>
    </row>
    <row r="12" spans="1:9" ht="19.95" customHeight="1" x14ac:dyDescent="0.3">
      <c r="A12" s="24" t="s">
        <v>18</v>
      </c>
      <c r="B12" s="25">
        <v>191835.89</v>
      </c>
      <c r="C12" s="36">
        <f t="shared" si="0"/>
        <v>1.0778113477611685E-2</v>
      </c>
      <c r="D12" s="26">
        <f>B12/Executivo!H$15</f>
        <v>43.49527037750822</v>
      </c>
      <c r="E12" s="27">
        <f t="shared" si="2"/>
        <v>5994.8715625000004</v>
      </c>
      <c r="G12" s="7"/>
      <c r="H12" s="6">
        <f>4*8</f>
        <v>32</v>
      </c>
    </row>
    <row r="13" spans="1:9" ht="19.95" customHeight="1" x14ac:dyDescent="0.3">
      <c r="A13" s="28" t="s">
        <v>12</v>
      </c>
      <c r="B13" s="29">
        <f>403152.32+216152.66</f>
        <v>619304.98</v>
      </c>
      <c r="C13" s="37">
        <f t="shared" si="0"/>
        <v>3.4795049829779164E-2</v>
      </c>
      <c r="D13" s="30">
        <f>B13/Executivo!H$15</f>
        <v>140.41604806711257</v>
      </c>
      <c r="E13" s="31">
        <f>B13/H$12</f>
        <v>19353.280624999999</v>
      </c>
      <c r="G13" s="13"/>
    </row>
    <row r="14" spans="1:9" ht="19.95" customHeight="1" x14ac:dyDescent="0.3">
      <c r="A14" s="24" t="s">
        <v>3</v>
      </c>
      <c r="B14" s="25">
        <v>191329.96</v>
      </c>
      <c r="C14" s="36">
        <f t="shared" si="0"/>
        <v>1.074968829110603E-2</v>
      </c>
      <c r="D14" s="26">
        <f>B14/Executivo!H$15</f>
        <v>43.3805600272078</v>
      </c>
      <c r="E14" s="27">
        <f t="shared" si="2"/>
        <v>5979.0612499999997</v>
      </c>
    </row>
    <row r="15" spans="1:9" ht="19.95" customHeight="1" x14ac:dyDescent="0.3">
      <c r="A15" s="28" t="s">
        <v>13</v>
      </c>
      <c r="B15" s="29">
        <f>482976.19+445572.63+110955.6</f>
        <v>1039504.42</v>
      </c>
      <c r="C15" s="37">
        <f t="shared" si="0"/>
        <v>5.8403547945271958E-2</v>
      </c>
      <c r="D15" s="30">
        <f>B15/Executivo!H$15</f>
        <v>235.68856592223105</v>
      </c>
      <c r="E15" s="31">
        <f t="shared" si="2"/>
        <v>32484.513125000001</v>
      </c>
      <c r="H15" s="8">
        <v>4410.5</v>
      </c>
      <c r="I15" s="9" t="s">
        <v>12</v>
      </c>
    </row>
    <row r="16" spans="1:9" ht="19.95" customHeight="1" x14ac:dyDescent="0.3">
      <c r="A16" s="24" t="s">
        <v>21</v>
      </c>
      <c r="B16" s="25">
        <v>77228.62</v>
      </c>
      <c r="C16" s="36">
        <f t="shared" si="0"/>
        <v>4.3390151346515563E-3</v>
      </c>
      <c r="D16" s="26">
        <f>B16/Executivo!H$15</f>
        <v>17.510173449722252</v>
      </c>
      <c r="E16" s="27">
        <f t="shared" si="2"/>
        <v>2413.3943749999999</v>
      </c>
      <c r="I16" s="10" t="s">
        <v>3</v>
      </c>
    </row>
    <row r="17" spans="1:9" ht="19.95" customHeight="1" x14ac:dyDescent="0.3">
      <c r="A17" s="28" t="s">
        <v>4</v>
      </c>
      <c r="B17" s="29">
        <v>323887.09999999998</v>
      </c>
      <c r="C17" s="37">
        <f t="shared" si="0"/>
        <v>1.8197282676013143E-2</v>
      </c>
      <c r="D17" s="30">
        <f>B17/Executivo!H$15</f>
        <v>73.435460832105193</v>
      </c>
      <c r="E17" s="31">
        <f t="shared" si="2"/>
        <v>10121.471874999999</v>
      </c>
      <c r="I17" s="9" t="s">
        <v>13</v>
      </c>
    </row>
    <row r="18" spans="1:9" ht="19.95" customHeight="1" x14ac:dyDescent="0.3">
      <c r="A18" s="24" t="s">
        <v>17</v>
      </c>
      <c r="B18" s="25">
        <f>942795.13+325499.57+7915.2</f>
        <v>1276209.8999999999</v>
      </c>
      <c r="C18" s="36">
        <f t="shared" si="0"/>
        <v>7.1702615831956459E-2</v>
      </c>
      <c r="D18" s="26">
        <f>B18/Executivo!H$15</f>
        <v>289.35719306201111</v>
      </c>
      <c r="E18" s="27">
        <f t="shared" ref="E18" si="4">B18/H$12</f>
        <v>39881.559374999997</v>
      </c>
      <c r="I18" s="10" t="s">
        <v>4</v>
      </c>
    </row>
    <row r="19" spans="1:9" ht="19.95" customHeight="1" x14ac:dyDescent="0.3">
      <c r="A19" s="28" t="s">
        <v>14</v>
      </c>
      <c r="B19" s="29">
        <f>1500+103348.08+306406.14</f>
        <v>411254.22000000003</v>
      </c>
      <c r="C19" s="37">
        <f t="shared" si="0"/>
        <v>2.3105919602982951E-2</v>
      </c>
      <c r="D19" s="30">
        <f>B19/Executivo!H$15</f>
        <v>93.244353247931087</v>
      </c>
      <c r="E19" s="31">
        <f t="shared" si="2"/>
        <v>12851.694375000001</v>
      </c>
      <c r="I19" s="9" t="s">
        <v>4</v>
      </c>
    </row>
    <row r="20" spans="1:9" ht="19.95" customHeight="1" x14ac:dyDescent="0.3">
      <c r="A20" s="24" t="s">
        <v>15</v>
      </c>
      <c r="B20" s="25">
        <v>959757.5</v>
      </c>
      <c r="C20" s="36">
        <f t="shared" si="0"/>
        <v>5.3923044566837289E-2</v>
      </c>
      <c r="D20" s="26">
        <f>B20/Executivo!H$15</f>
        <v>217.6074141253826</v>
      </c>
      <c r="E20" s="27">
        <f t="shared" si="2"/>
        <v>29992.421875</v>
      </c>
      <c r="I20" s="10" t="s">
        <v>17</v>
      </c>
    </row>
    <row r="21" spans="1:9" ht="19.95" customHeight="1" x14ac:dyDescent="0.3">
      <c r="A21" s="67" t="s">
        <v>44</v>
      </c>
      <c r="B21" s="68">
        <v>334088.86680000002</v>
      </c>
      <c r="C21" s="69">
        <f t="shared" si="0"/>
        <v>1.8770459052146575E-2</v>
      </c>
      <c r="D21" s="70">
        <f>B21/Executivo!H$15</f>
        <v>75.748524384990361</v>
      </c>
      <c r="E21" s="71">
        <f t="shared" ref="E21" si="5">B21/H$12</f>
        <v>10440.277087500001</v>
      </c>
      <c r="I21" s="9" t="s">
        <v>17</v>
      </c>
    </row>
    <row r="22" spans="1:9" ht="19.95" customHeight="1" x14ac:dyDescent="0.3">
      <c r="A22" s="74" t="s">
        <v>50</v>
      </c>
      <c r="B22" s="75">
        <v>200000</v>
      </c>
      <c r="C22" s="76">
        <f t="shared" ref="C22" si="6">B22/B$25</f>
        <v>1.1236806082127473E-2</v>
      </c>
      <c r="D22" s="77">
        <f>B22/Executivo!H$15</f>
        <v>45.346332615349731</v>
      </c>
      <c r="E22" s="78">
        <f t="shared" ref="E22:E23" si="7">B22/H$12</f>
        <v>6250</v>
      </c>
      <c r="I22" s="10" t="s">
        <v>4</v>
      </c>
    </row>
    <row r="23" spans="1:9" ht="19.95" customHeight="1" x14ac:dyDescent="0.3">
      <c r="A23" s="79" t="s">
        <v>51</v>
      </c>
      <c r="B23" s="80">
        <v>10000</v>
      </c>
      <c r="C23" s="81">
        <f>B23/B$25</f>
        <v>5.6184030410637363E-4</v>
      </c>
      <c r="D23" s="82">
        <f>B23/Executivo!H$15</f>
        <v>2.2673166307674868</v>
      </c>
      <c r="E23" s="83">
        <f t="shared" si="7"/>
        <v>312.5</v>
      </c>
      <c r="I23" s="9" t="s">
        <v>17</v>
      </c>
    </row>
    <row r="24" spans="1:9" ht="19.95" customHeight="1" x14ac:dyDescent="0.3">
      <c r="A24" s="74" t="s">
        <v>52</v>
      </c>
      <c r="B24" s="75">
        <v>2605000</v>
      </c>
      <c r="C24" s="76">
        <f t="shared" ref="C24" si="8">B24/B$25</f>
        <v>0.14635939921971033</v>
      </c>
      <c r="D24" s="77">
        <f>B24/Executivo!H$15</f>
        <v>590.63598231493029</v>
      </c>
      <c r="E24" s="78">
        <f t="shared" ref="E24" si="9">B24/H$12</f>
        <v>81406.25</v>
      </c>
      <c r="I24" s="10" t="s">
        <v>4</v>
      </c>
    </row>
    <row r="25" spans="1:9" ht="22.5" customHeight="1" x14ac:dyDescent="0.3">
      <c r="A25" s="72" t="s">
        <v>5</v>
      </c>
      <c r="B25" s="73">
        <f>SUM(B2:B24)</f>
        <v>17798651.906800002</v>
      </c>
      <c r="C25" s="84">
        <f t="shared" ref="C25:E25" si="10">SUM(C2:C24)</f>
        <v>0.99999999999999978</v>
      </c>
      <c r="D25" s="73">
        <f t="shared" si="10"/>
        <v>4035.5179473529079</v>
      </c>
      <c r="E25" s="73">
        <f t="shared" si="10"/>
        <v>556207.87208750006</v>
      </c>
      <c r="G25" s="13">
        <f>B25*0.015</f>
        <v>266979.77860200003</v>
      </c>
    </row>
    <row r="26" spans="1:9" ht="22.5" customHeight="1" thickBot="1" x14ac:dyDescent="0.35">
      <c r="A26" s="32" t="s">
        <v>6</v>
      </c>
      <c r="B26" s="33">
        <v>2544.17</v>
      </c>
      <c r="C26" s="38">
        <v>44713</v>
      </c>
      <c r="D26" s="34">
        <f>+D25/B26</f>
        <v>1.5861825064177739</v>
      </c>
      <c r="E26" s="11" t="s">
        <v>20</v>
      </c>
    </row>
    <row r="27" spans="1:9" ht="15" customHeight="1" x14ac:dyDescent="0.3">
      <c r="G27" s="12"/>
    </row>
    <row r="28" spans="1:9" x14ac:dyDescent="0.3">
      <c r="B28" s="13"/>
      <c r="H28" s="13"/>
    </row>
    <row r="29" spans="1:9" x14ac:dyDescent="0.3">
      <c r="G29" s="13"/>
      <c r="H29" s="13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Gerenciamento_Exec</vt:lpstr>
      <vt:lpstr>Executivo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Luisa Romaniello</cp:lastModifiedBy>
  <dcterms:created xsi:type="dcterms:W3CDTF">2021-06-30T18:49:34Z</dcterms:created>
  <dcterms:modified xsi:type="dcterms:W3CDTF">2022-09-12T17:31:44Z</dcterms:modified>
</cp:coreProperties>
</file>