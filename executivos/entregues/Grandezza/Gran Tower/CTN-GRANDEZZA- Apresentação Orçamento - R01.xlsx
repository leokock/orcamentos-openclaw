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andezza - 05.2023\Gran Tower\03. Custo\03.7 Custo - Orçamento Executivo\R02\"/>
    </mc:Choice>
  </mc:AlternateContent>
  <xr:revisionPtr revIDLastSave="0" documentId="13_ncr:1_{525A8214-EEB9-40C7-AF00-FC6024EE704F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ORÇAMENTO_EXECUTIVO" sheetId="1" r:id="rId1"/>
    <sheet name="ANÁLISE_CUSTOS" sheetId="2" r:id="rId2"/>
    <sheet name="CÁLCULO_MÉDIAS" sheetId="3" r:id="rId3"/>
    <sheet name="RELATÓRIO" sheetId="4" r:id="rId4"/>
  </sheets>
  <externalReferences>
    <externalReference r:id="rId5"/>
  </externalReferences>
  <calcPr calcId="191029"/>
</workbook>
</file>

<file path=xl/calcChain.xml><?xml version="1.0" encoding="utf-8"?>
<calcChain xmlns="http://schemas.openxmlformats.org/spreadsheetml/2006/main">
  <c r="D52" i="1" l="1"/>
  <c r="B3" i="1"/>
  <c r="D3" i="1" s="1"/>
  <c r="C3" i="2" s="1"/>
  <c r="B2" i="1"/>
  <c r="D2" i="1"/>
  <c r="B4" i="1"/>
  <c r="D4" i="1"/>
  <c r="C4" i="2" s="1"/>
  <c r="B5" i="1"/>
  <c r="D5" i="1"/>
  <c r="C5" i="2" s="1"/>
  <c r="B6" i="1"/>
  <c r="D6" i="1"/>
  <c r="C6" i="2" s="1"/>
  <c r="B7" i="1"/>
  <c r="B8" i="1"/>
  <c r="D8" i="1"/>
  <c r="C8" i="2" s="1"/>
  <c r="B9" i="1"/>
  <c r="D9" i="1"/>
  <c r="C9" i="2" s="1"/>
  <c r="B10" i="1"/>
  <c r="D10" i="1"/>
  <c r="B11" i="1"/>
  <c r="D11" i="1"/>
  <c r="C11" i="2" s="1"/>
  <c r="B12" i="1"/>
  <c r="D12" i="1" s="1"/>
  <c r="C12" i="2" s="1"/>
  <c r="B13" i="1"/>
  <c r="D13" i="1"/>
  <c r="B14" i="1"/>
  <c r="D14" i="1"/>
  <c r="C14" i="2" s="1"/>
  <c r="B15" i="1"/>
  <c r="D15" i="1"/>
  <c r="C15" i="2" s="1"/>
  <c r="B16" i="1"/>
  <c r="D16" i="1"/>
  <c r="C16" i="2" s="1"/>
  <c r="B17" i="1"/>
  <c r="D17" i="1"/>
  <c r="C17" i="2" s="1"/>
  <c r="B18" i="1"/>
  <c r="D18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B51" i="1"/>
  <c r="B30" i="1"/>
  <c r="B28" i="1"/>
  <c r="B27" i="1"/>
  <c r="X37" i="4"/>
  <c r="K24" i="3"/>
  <c r="J24" i="3"/>
  <c r="G24" i="3"/>
  <c r="E24" i="3"/>
  <c r="C24" i="3"/>
  <c r="H23" i="3"/>
  <c r="F23" i="3"/>
  <c r="D23" i="3"/>
  <c r="H22" i="3"/>
  <c r="F22" i="3"/>
  <c r="D22" i="3"/>
  <c r="H21" i="3"/>
  <c r="F21" i="3"/>
  <c r="D21" i="3"/>
  <c r="H20" i="3"/>
  <c r="F20" i="3"/>
  <c r="D20" i="3"/>
  <c r="H19" i="3"/>
  <c r="F19" i="3"/>
  <c r="D19" i="3"/>
  <c r="H18" i="3"/>
  <c r="F18" i="3"/>
  <c r="D18" i="3"/>
  <c r="H17" i="3"/>
  <c r="F17" i="3"/>
  <c r="D17" i="3"/>
  <c r="H16" i="3"/>
  <c r="F16" i="3"/>
  <c r="D16" i="3"/>
  <c r="H15" i="3"/>
  <c r="F15" i="3"/>
  <c r="D15" i="3"/>
  <c r="H14" i="3"/>
  <c r="F14" i="3"/>
  <c r="D14" i="3"/>
  <c r="H13" i="3"/>
  <c r="F13" i="3"/>
  <c r="D13" i="3"/>
  <c r="H12" i="3"/>
  <c r="F12" i="3"/>
  <c r="D12" i="3"/>
  <c r="H11" i="3"/>
  <c r="F11" i="3"/>
  <c r="D11" i="3"/>
  <c r="H10" i="3"/>
  <c r="F10" i="3"/>
  <c r="D10" i="3"/>
  <c r="H9" i="3"/>
  <c r="F9" i="3"/>
  <c r="D9" i="3"/>
  <c r="H8" i="3"/>
  <c r="F8" i="3"/>
  <c r="D8" i="3"/>
  <c r="B24" i="2"/>
  <c r="D17" i="2"/>
  <c r="B17" i="2"/>
  <c r="A17" i="2"/>
  <c r="D16" i="2"/>
  <c r="B16" i="2"/>
  <c r="A16" i="2"/>
  <c r="D15" i="2"/>
  <c r="B15" i="2"/>
  <c r="D14" i="2"/>
  <c r="B14" i="2"/>
  <c r="A14" i="2"/>
  <c r="D13" i="2"/>
  <c r="B13" i="2"/>
  <c r="A13" i="2"/>
  <c r="D12" i="2"/>
  <c r="B12" i="2"/>
  <c r="A12" i="2"/>
  <c r="D11" i="2"/>
  <c r="B11" i="2"/>
  <c r="A11" i="2"/>
  <c r="D10" i="2"/>
  <c r="B10" i="2"/>
  <c r="A10" i="2"/>
  <c r="D9" i="2"/>
  <c r="B9" i="2"/>
  <c r="A9" i="2"/>
  <c r="D8" i="2"/>
  <c r="B8" i="2"/>
  <c r="A8" i="2"/>
  <c r="D7" i="2"/>
  <c r="B7" i="2"/>
  <c r="A7" i="2"/>
  <c r="D6" i="2"/>
  <c r="B6" i="2"/>
  <c r="A6" i="2"/>
  <c r="D5" i="2"/>
  <c r="B5" i="2"/>
  <c r="A5" i="2"/>
  <c r="D4" i="2"/>
  <c r="B4" i="2"/>
  <c r="A4" i="2"/>
  <c r="D3" i="2"/>
  <c r="B3" i="2"/>
  <c r="A3" i="2"/>
  <c r="B19" i="1" l="1"/>
  <c r="C2" i="1" s="1"/>
  <c r="C18" i="1"/>
  <c r="C13" i="1"/>
  <c r="C8" i="1"/>
  <c r="C3" i="1"/>
  <c r="C14" i="1"/>
  <c r="C9" i="1"/>
  <c r="C15" i="1"/>
  <c r="C46" i="1"/>
  <c r="C44" i="1"/>
  <c r="C5" i="1"/>
  <c r="C41" i="1"/>
  <c r="C35" i="1"/>
  <c r="C11" i="1"/>
  <c r="C17" i="1"/>
  <c r="C4" i="1"/>
  <c r="C10" i="1"/>
  <c r="C16" i="1"/>
  <c r="C6" i="1"/>
  <c r="D7" i="1"/>
  <c r="C7" i="2" s="1"/>
  <c r="C36" i="1"/>
  <c r="C47" i="1"/>
  <c r="C42" i="1"/>
  <c r="C37" i="1"/>
  <c r="C48" i="1"/>
  <c r="C43" i="1"/>
  <c r="C38" i="1"/>
  <c r="C49" i="1"/>
  <c r="C39" i="1"/>
  <c r="C34" i="1"/>
  <c r="D51" i="1"/>
  <c r="C45" i="1"/>
  <c r="C40" i="1"/>
  <c r="D18" i="2"/>
  <c r="C10" i="2"/>
  <c r="C13" i="2"/>
  <c r="C18" i="2" s="1"/>
  <c r="D24" i="3"/>
  <c r="H24" i="3"/>
  <c r="F24" i="3"/>
  <c r="B18" i="2"/>
  <c r="C50" i="1" l="1"/>
  <c r="C51" i="1" s="1"/>
  <c r="C12" i="1"/>
  <c r="C7" i="1"/>
  <c r="D19" i="1"/>
  <c r="D20" i="1" s="1"/>
  <c r="C19" i="1"/>
  <c r="C26" i="1"/>
  <c r="C30" i="1" l="1"/>
  <c r="C29" i="1"/>
  <c r="C28" i="1"/>
  <c r="C27" i="1"/>
</calcChain>
</file>

<file path=xl/sharedStrings.xml><?xml version="1.0" encoding="utf-8"?>
<sst xmlns="http://schemas.openxmlformats.org/spreadsheetml/2006/main" count="220" uniqueCount="134">
  <si>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</si>
  <si>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</si>
  <si>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</si>
  <si>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</si>
  <si>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</si>
  <si>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</si>
  <si>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</si>
  <si>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</si>
  <si>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</si>
  <si>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</si>
  <si>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PAREDES E PAINEIS</t>
  </si>
  <si>
    <t>INSTALAÇÕES ELÉTRICAS, HIDRÁULICAS, GLP E PREVENTIVAS</t>
  </si>
  <si>
    <t>EQUIPAMENTOS E SISTEMAS ESPECIAIS</t>
  </si>
  <si>
    <t>IMPERMEABILIZAÇÃO</t>
  </si>
  <si>
    <t>REVESTIMENTOS INTERNOS DE PAREDE</t>
  </si>
  <si>
    <t>REVESTIMENTOS E ACABAMENTOS INTERNOS EM TETO</t>
  </si>
  <si>
    <t>PISOS E PAVIMENTAÇÕES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</si>
  <si>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</si>
  <si>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</si>
  <si>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</si>
  <si>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</si>
  <si>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</si>
  <si>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</si>
  <si>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</si>
  <si>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</si>
  <si>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ÁREA</t>
  </si>
  <si>
    <t>VALOR TOTAL</t>
  </si>
  <si>
    <t>VALOR POR UNIDADE PRIVATIVA (R$/m²)</t>
  </si>
  <si>
    <t>OBRA</t>
  </si>
  <si>
    <t>OBRA SIMILAR</t>
  </si>
  <si>
    <t>VALOR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</si>
  <si>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</si>
  <si>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</si>
  <si>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</si>
  <si>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</si>
  <si>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</si>
  <si>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</si>
  <si>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</si>
  <si>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</si>
  <si>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</si>
  <si>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</si>
  <si>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</si>
  <si>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</si>
  <si>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</si>
  <si>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</si>
  <si>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</si>
  <si>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</si>
  <si>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</si>
  <si>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DATA BASE</t>
  </si>
  <si>
    <t>CUB</t>
  </si>
  <si>
    <t>ÁGUAS DE MARÇO - INBRASUL</t>
  </si>
  <si>
    <t>MAIORI - AMALFI</t>
  </si>
  <si>
    <t>GRAN TORINO - MABREM</t>
  </si>
  <si>
    <t>MÉDIAS</t>
  </si>
  <si>
    <t>VALOR / M2</t>
  </si>
  <si>
    <t>INDEXADO</t>
  </si>
  <si>
    <t>MÍNIMA</t>
  </si>
  <si>
    <t>MÁXIMA</t>
  </si>
  <si>
    <t>GERENCIAMENTO TECNICO E ADMINISTRATIVO</t>
  </si>
  <si>
    <t>ALVENARIA</t>
  </si>
  <si>
    <t>REVESTIMENTOS INTERNOS EM PISO E PAREDE</t>
  </si>
  <si>
    <t>ACABAMENTOS EM PISO E PAREDE</t>
  </si>
  <si>
    <t>Orçamento</t>
  </si>
  <si>
    <t>Resumo por Células Construtivas</t>
  </si>
  <si>
    <t>Obra</t>
  </si>
  <si>
    <t>6 - Gran Tower - Custo direto</t>
  </si>
  <si>
    <t>Unidade construtiva</t>
  </si>
  <si>
    <t>1 - GERENCIAMENTO EXECUTIVO</t>
  </si>
  <si>
    <t>Tipo de obra</t>
  </si>
  <si>
    <t>1 - Construção Civil</t>
  </si>
  <si>
    <t>Endereço da obra</t>
  </si>
  <si>
    <t>Avenida Itapocorói, s/n - esquina com a Avenida Alfredo Brunetti - Armação - Penha/SC - 88385-000</t>
  </si>
  <si>
    <t>Versão do orçamento</t>
  </si>
  <si>
    <t>2 - 28/07/2023 - 16:32:21</t>
  </si>
  <si>
    <t>Data base</t>
  </si>
  <si>
    <t>28/07/2023</t>
  </si>
  <si>
    <t>BDI</t>
  </si>
  <si>
    <t>não aplicado</t>
  </si>
  <si>
    <t>Encargos sociais</t>
  </si>
  <si>
    <t>Preços expressos em</t>
  </si>
  <si>
    <t>R$ (REAL)</t>
  </si>
  <si>
    <t>Código</t>
  </si>
  <si>
    <t>Descrição</t>
  </si>
  <si>
    <t>Preço total</t>
  </si>
  <si>
    <t>% Total</t>
  </si>
  <si>
    <t xml:space="preserve">01 </t>
  </si>
  <si>
    <t xml:space="preserve">02 </t>
  </si>
  <si>
    <t xml:space="preserve">03 </t>
  </si>
  <si>
    <t xml:space="preserve">04 </t>
  </si>
  <si>
    <t>PAREDES E PAINÉIS</t>
  </si>
  <si>
    <t xml:space="preserve">05 </t>
  </si>
  <si>
    <t>IMPERMEABILIZAÇÃO E TRATAMENTOS</t>
  </si>
  <si>
    <t xml:space="preserve">06 </t>
  </si>
  <si>
    <t>SISTEMAS E INSTALAÇÕES HIDROSSANITÁRIAS E DRENAGEM</t>
  </si>
  <si>
    <t xml:space="preserve">07 </t>
  </si>
  <si>
    <t>SISTEMAS E INSTALAÇÕES ELÉTRICAS</t>
  </si>
  <si>
    <t xml:space="preserve">08 </t>
  </si>
  <si>
    <t>INSTALAÇÕES PREVENTIVAS</t>
  </si>
  <si>
    <t xml:space="preserve">09 </t>
  </si>
  <si>
    <t>INSTALAÇÕES DE GÁS</t>
  </si>
  <si>
    <t xml:space="preserve">10 </t>
  </si>
  <si>
    <t>INSTALAÇÕES DE COMUNICAÇÕES</t>
  </si>
  <si>
    <t xml:space="preserve">11 </t>
  </si>
  <si>
    <t xml:space="preserve">12 </t>
  </si>
  <si>
    <t>CLIMATIZAÇÃO, EXAUSTÃO MECÂNICA E PRESSURIZAÇÃO</t>
  </si>
  <si>
    <t xml:space="preserve">13 </t>
  </si>
  <si>
    <t xml:space="preserve">14 </t>
  </si>
  <si>
    <t xml:space="preserve">15 </t>
  </si>
  <si>
    <t xml:space="preserve">16 </t>
  </si>
  <si>
    <t>SISTEMAS DE PINTURA INTERNA</t>
  </si>
  <si>
    <t xml:space="preserve">17 </t>
  </si>
  <si>
    <t xml:space="preserve">18 </t>
  </si>
  <si>
    <t>LOUÇAS E METAIS</t>
  </si>
  <si>
    <t xml:space="preserve">19 </t>
  </si>
  <si>
    <t xml:space="preserve">20 </t>
  </si>
  <si>
    <t>REVESTIMENTOS E ACABAMENTOS EM FACHADA</t>
  </si>
  <si>
    <t xml:space="preserve">21 </t>
  </si>
  <si>
    <t>SERVIÇOS COMPLEMENTARES E FINAIS</t>
  </si>
  <si>
    <t xml:space="preserve">22 </t>
  </si>
  <si>
    <t>IMPREVISTOS E CONTINGÊNCIAS</t>
  </si>
  <si>
    <t>Total da unidade construtiva</t>
  </si>
  <si>
    <t>2 - GERENCIAMENTO TÉCNICO E ADMINISTRATIVO</t>
  </si>
  <si>
    <t>SERVIÇOS TÉCNICOS</t>
  </si>
  <si>
    <t>SERVIÇOS INICIAIS</t>
  </si>
  <si>
    <t>EQUIPAMENTOS</t>
  </si>
  <si>
    <t>Total da obra</t>
  </si>
  <si>
    <t>26/04/2024 - 11:39:46</t>
  </si>
  <si>
    <t>SIENGE / SOFTPLAN</t>
  </si>
  <si>
    <t>VALOR POR UNIDADE TIPO 02</t>
  </si>
  <si>
    <t>VALOR POR UNIDADE DIFERENCIADO</t>
  </si>
  <si>
    <t xml:space="preserve">VALOR POR UNIDADE TIPO 01 </t>
  </si>
  <si>
    <t xml:space="preserve">VALOR POR UNIDADE TIPO 03 </t>
  </si>
  <si>
    <t>DESCRIÇÃO - 25 APARTAMENTOS (ÁREA TOTAL)</t>
  </si>
  <si>
    <t>ÁREA PRIVATIVA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</si>
</sst>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#,##0.00"/>
    <numFmt numFmtId="167" formatCode="#,###,##0.00"/>
    <numFmt numFmtId="168" formatCode="#0.00"/>
    <numFmt numFmtId="169" formatCode="###,##0.00"/>
    <numFmt numFmtId="170" formatCode="##,###,##0.00"/>
    <numFmt numFmtId="171" formatCode="##0.00"/>
  </numFmts>
  <fonts count="23">
    <font>
      <sz val="11"/>
      <color theme="1"/>
      <name val="Calibri"/>
      <scheme val="minor"/>
    </font>
    <font>
      <b/>
      <sz val="11"/>
      <color theme="0"/>
      <name val="Poppins"/>
    </font>
    <font>
      <sz val="10"/>
      <color theme="1"/>
      <name val="Poppins"/>
    </font>
    <font>
      <sz val="11"/>
      <color theme="1"/>
      <name val="Poppins"/>
    </font>
    <font>
      <b/>
      <sz val="10"/>
      <color theme="1"/>
      <name val="Poppins"/>
    </font>
    <font>
      <sz val="10"/>
      <color rgb="FFFF0000"/>
      <name val="Poppins"/>
    </font>
    <font>
      <sz val="10"/>
      <color rgb="FF121212"/>
      <name val="Poppins"/>
    </font>
    <font>
      <sz val="11"/>
      <color theme="1"/>
      <name val="Calibri"/>
    </font>
    <font>
      <b/>
      <sz val="11"/>
      <color rgb="FFF5F5F5"/>
      <name val="Poppins"/>
    </font>
    <font>
      <sz val="11"/>
      <name val="Calibri"/>
    </font>
    <font>
      <b/>
      <sz val="11"/>
      <color theme="0"/>
      <name val="Calibri"/>
    </font>
    <font>
      <sz val="11"/>
      <color rgb="FF000000"/>
      <name val="Arial"/>
    </font>
    <font>
      <sz val="8"/>
      <color rgb="FF000000"/>
      <name val="Arial"/>
    </font>
    <font>
      <b/>
      <sz val="14"/>
      <color rgb="FF000000"/>
      <name val="Arial"/>
    </font>
    <font>
      <i/>
      <sz val="12"/>
      <color rgb="FF000000"/>
      <name val="Arial"/>
    </font>
    <font>
      <b/>
      <sz val="7"/>
      <color rgb="FF000000"/>
      <name val="Arial"/>
    </font>
    <font>
      <sz val="7"/>
      <color rgb="FF000000"/>
      <name val="Arial"/>
    </font>
    <font>
      <b/>
      <sz val="7"/>
      <color theme="0"/>
      <name val="Arial"/>
    </font>
    <font>
      <sz val="11"/>
      <color theme="0"/>
      <name val="Calibri"/>
    </font>
    <font>
      <sz val="1"/>
      <color rgb="FF000000"/>
      <name val="Arial"/>
    </font>
    <font>
      <sz val="6"/>
      <color rgb="FF000000"/>
      <name val="Arial"/>
    </font>
    <font>
      <sz val="11"/>
      <color theme="1"/>
      <name val="Calibri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</fills>
  <borders count="7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46464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B7B7B7"/>
      </top>
      <bottom style="dotted">
        <color rgb="FF000000"/>
      </bottom>
      <diagonal/>
    </border>
    <border>
      <left style="medium">
        <color rgb="FF000000"/>
      </left>
      <right/>
      <top style="thin">
        <color rgb="FF646464"/>
      </top>
      <bottom style="hair">
        <color rgb="FF000000"/>
      </bottom>
      <diagonal/>
    </border>
    <border>
      <left style="medium">
        <color rgb="FF000000"/>
      </left>
      <right/>
      <top style="medium">
        <color rgb="FFCCCCCC"/>
      </top>
      <bottom style="dotted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/>
      <top style="medium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thin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thin">
        <color indexed="64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thin">
        <color indexed="64"/>
      </bottom>
      <diagonal/>
    </border>
  </borders>
  <cellStyleXfs count="3">
    <xf numFmtId="0" fontId="0" fillId="0" borderId="0"/>
    <xf numFmtId="44" fontId="21" fillId="0" borderId="0" applyFont="0" applyFill="0" applyBorder="0" applyAlignment="0" applyProtection="0"/>
    <xf numFmtId="0" fontId="22" fillId="0" borderId="60" applyNumberFormat="0" applyFont="0" applyFill="0" applyBorder="0" applyAlignment="0" applyProtection="0"/>
  </cellStyleXfs>
  <cellXfs count="15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3" xfId="0" applyNumberFormat="1" applyFont="1" applyFill="1" applyBorder="1" applyAlignment="1">
      <alignment horizontal="left" vertical="center"/>
    </xf>
    <xf numFmtId="10" fontId="3" fillId="3" borderId="3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5" xfId="0" applyFont="1" applyBorder="1" applyAlignment="1">
      <alignment vertical="center"/>
    </xf>
    <xf numFmtId="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164" fontId="3" fillId="4" borderId="9" xfId="0" applyNumberFormat="1" applyFont="1" applyFill="1" applyBorder="1" applyAlignment="1">
      <alignment horizontal="left" vertical="center"/>
    </xf>
    <xf numFmtId="10" fontId="3" fillId="4" borderId="9" xfId="0" applyNumberFormat="1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164" fontId="3" fillId="3" borderId="9" xfId="0" applyNumberFormat="1" applyFont="1" applyFill="1" applyBorder="1" applyAlignment="1">
      <alignment horizontal="left" vertical="center"/>
    </xf>
    <xf numFmtId="10" fontId="3" fillId="3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horizontal="left" vertical="center"/>
    </xf>
    <xf numFmtId="9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1" fillId="2" borderId="13" xfId="0" applyNumberFormat="1" applyFont="1" applyFill="1" applyBorder="1" applyAlignment="1">
      <alignment horizontal="center" vertical="center"/>
    </xf>
    <xf numFmtId="0" fontId="3" fillId="0" borderId="0" xfId="0" applyFont="1"/>
    <xf numFmtId="164" fontId="1" fillId="2" borderId="15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16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19" xfId="0" applyFont="1" applyFill="1" applyBorder="1" applyAlignment="1">
      <alignment horizontal="right"/>
    </xf>
    <xf numFmtId="164" fontId="1" fillId="2" borderId="20" xfId="0" applyNumberFormat="1" applyFont="1" applyFill="1" applyBorder="1" applyAlignment="1">
      <alignment horizontal="right"/>
    </xf>
    <xf numFmtId="164" fontId="1" fillId="2" borderId="20" xfId="0" applyNumberFormat="1" applyFont="1" applyFill="1" applyBorder="1" applyAlignment="1">
      <alignment horizontal="center"/>
    </xf>
    <xf numFmtId="164" fontId="8" fillId="2" borderId="21" xfId="0" applyNumberFormat="1" applyFont="1" applyFill="1" applyBorder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3" fillId="3" borderId="22" xfId="0" applyNumberFormat="1" applyFont="1" applyFill="1" applyBorder="1" applyAlignment="1">
      <alignment horizontal="center"/>
    </xf>
    <xf numFmtId="164" fontId="3" fillId="4" borderId="22" xfId="0" applyNumberFormat="1" applyFont="1" applyFill="1" applyBorder="1" applyAlignment="1">
      <alignment horizontal="center"/>
    </xf>
    <xf numFmtId="164" fontId="7" fillId="0" borderId="0" xfId="0" applyNumberFormat="1" applyFont="1"/>
    <xf numFmtId="0" fontId="10" fillId="5" borderId="23" xfId="0" applyFont="1" applyFill="1" applyBorder="1"/>
    <xf numFmtId="17" fontId="7" fillId="0" borderId="13" xfId="0" applyNumberFormat="1" applyFont="1" applyBorder="1"/>
    <xf numFmtId="0" fontId="10" fillId="5" borderId="19" xfId="0" applyFont="1" applyFill="1" applyBorder="1"/>
    <xf numFmtId="0" fontId="7" fillId="4" borderId="21" xfId="0" applyFont="1" applyFill="1" applyBorder="1"/>
    <xf numFmtId="0" fontId="7" fillId="0" borderId="0" xfId="0" applyFont="1"/>
    <xf numFmtId="165" fontId="10" fillId="5" borderId="27" xfId="0" applyNumberFormat="1" applyFont="1" applyFill="1" applyBorder="1" applyAlignment="1">
      <alignment horizontal="center"/>
    </xf>
    <xf numFmtId="165" fontId="10" fillId="5" borderId="28" xfId="0" applyNumberFormat="1" applyFont="1" applyFill="1" applyBorder="1" applyAlignment="1">
      <alignment horizontal="center"/>
    </xf>
    <xf numFmtId="164" fontId="10" fillId="5" borderId="1" xfId="0" applyNumberFormat="1" applyFont="1" applyFill="1" applyBorder="1" applyAlignment="1">
      <alignment horizontal="center"/>
    </xf>
    <xf numFmtId="0" fontId="3" fillId="3" borderId="29" xfId="0" applyFont="1" applyFill="1" applyBorder="1" applyAlignment="1">
      <alignment horizontal="left" vertical="center"/>
    </xf>
    <xf numFmtId="0" fontId="2" fillId="3" borderId="30" xfId="0" applyFont="1" applyFill="1" applyBorder="1"/>
    <xf numFmtId="165" fontId="7" fillId="6" borderId="1" xfId="0" applyNumberFormat="1" applyFont="1" applyFill="1" applyBorder="1"/>
    <xf numFmtId="0" fontId="2" fillId="3" borderId="1" xfId="0" applyFont="1" applyFill="1" applyBorder="1"/>
    <xf numFmtId="165" fontId="7" fillId="6" borderId="15" xfId="0" applyNumberFormat="1" applyFont="1" applyFill="1" applyBorder="1"/>
    <xf numFmtId="164" fontId="7" fillId="0" borderId="1" xfId="0" applyNumberFormat="1" applyFont="1" applyBorder="1"/>
    <xf numFmtId="0" fontId="3" fillId="4" borderId="31" xfId="0" applyFont="1" applyFill="1" applyBorder="1" applyAlignment="1">
      <alignment horizontal="left" vertical="center"/>
    </xf>
    <xf numFmtId="0" fontId="2" fillId="4" borderId="32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3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3" borderId="34" xfId="0" applyFont="1" applyFill="1" applyBorder="1" applyAlignment="1">
      <alignment vertical="center" wrapText="1"/>
    </xf>
    <xf numFmtId="0" fontId="3" fillId="4" borderId="35" xfId="0" applyFont="1" applyFill="1" applyBorder="1" applyAlignment="1">
      <alignment horizontal="left" vertical="center"/>
    </xf>
    <xf numFmtId="0" fontId="2" fillId="4" borderId="36" xfId="0" applyFont="1" applyFill="1" applyBorder="1" applyAlignment="1">
      <alignment vertical="center" wrapText="1"/>
    </xf>
    <xf numFmtId="165" fontId="7" fillId="6" borderId="37" xfId="0" applyNumberFormat="1" applyFont="1" applyFill="1" applyBorder="1"/>
    <xf numFmtId="0" fontId="2" fillId="4" borderId="37" xfId="0" applyFont="1" applyFill="1" applyBorder="1" applyAlignment="1">
      <alignment vertical="center" wrapText="1"/>
    </xf>
    <xf numFmtId="165" fontId="7" fillId="6" borderId="38" xfId="0" applyNumberFormat="1" applyFont="1" applyFill="1" applyBorder="1"/>
    <xf numFmtId="164" fontId="7" fillId="0" borderId="39" xfId="0" applyNumberFormat="1" applyFont="1" applyBorder="1"/>
    <xf numFmtId="0" fontId="1" fillId="5" borderId="27" xfId="0" applyFont="1" applyFill="1" applyBorder="1" applyAlignment="1">
      <alignment horizontal="left" vertical="center"/>
    </xf>
    <xf numFmtId="165" fontId="10" fillId="5" borderId="27" xfId="0" applyNumberFormat="1" applyFont="1" applyFill="1" applyBorder="1"/>
    <xf numFmtId="165" fontId="10" fillId="6" borderId="40" xfId="0" applyNumberFormat="1" applyFont="1" applyFill="1" applyBorder="1"/>
    <xf numFmtId="165" fontId="10" fillId="5" borderId="40" xfId="0" applyNumberFormat="1" applyFont="1" applyFill="1" applyBorder="1"/>
    <xf numFmtId="165" fontId="10" fillId="6" borderId="41" xfId="0" applyNumberFormat="1" applyFont="1" applyFill="1" applyBorder="1"/>
    <xf numFmtId="164" fontId="10" fillId="5" borderId="40" xfId="0" applyNumberFormat="1" applyFont="1" applyFill="1" applyBorder="1"/>
    <xf numFmtId="0" fontId="17" fillId="8" borderId="64" xfId="0" applyFont="1" applyFill="1" applyBorder="1" applyAlignment="1">
      <alignment horizontal="right" vertical="top" wrapText="1"/>
    </xf>
    <xf numFmtId="0" fontId="18" fillId="0" borderId="0" xfId="0" applyFont="1"/>
    <xf numFmtId="2" fontId="16" fillId="7" borderId="64" xfId="0" applyNumberFormat="1" applyFont="1" applyFill="1" applyBorder="1" applyAlignment="1">
      <alignment horizontal="right" vertical="top" wrapText="1"/>
    </xf>
    <xf numFmtId="168" fontId="16" fillId="7" borderId="64" xfId="0" applyNumberFormat="1" applyFont="1" applyFill="1" applyBorder="1" applyAlignment="1">
      <alignment horizontal="right" vertical="top" wrapText="1"/>
    </xf>
    <xf numFmtId="168" fontId="17" fillId="8" borderId="64" xfId="0" applyNumberFormat="1" applyFont="1" applyFill="1" applyBorder="1" applyAlignment="1">
      <alignment horizontal="right" vertical="top" wrapText="1"/>
    </xf>
    <xf numFmtId="171" fontId="17" fillId="8" borderId="64" xfId="0" applyNumberFormat="1" applyFont="1" applyFill="1" applyBorder="1" applyAlignment="1">
      <alignment horizontal="right" vertical="top" wrapText="1"/>
    </xf>
    <xf numFmtId="164" fontId="3" fillId="3" borderId="9" xfId="0" applyNumberFormat="1" applyFont="1" applyFill="1" applyBorder="1" applyAlignment="1">
      <alignment vertical="center"/>
    </xf>
    <xf numFmtId="164" fontId="3" fillId="4" borderId="9" xfId="0" applyNumberFormat="1" applyFont="1" applyFill="1" applyBorder="1" applyAlignment="1">
      <alignment vertical="center"/>
    </xf>
    <xf numFmtId="0" fontId="8" fillId="2" borderId="68" xfId="0" applyFont="1" applyFill="1" applyBorder="1" applyAlignment="1">
      <alignment horizontal="left" vertical="center"/>
    </xf>
    <xf numFmtId="0" fontId="8" fillId="2" borderId="69" xfId="0" applyFont="1" applyFill="1" applyBorder="1" applyAlignment="1">
      <alignment horizontal="center" vertical="center"/>
    </xf>
    <xf numFmtId="0" fontId="8" fillId="2" borderId="70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left" vertical="center"/>
    </xf>
    <xf numFmtId="44" fontId="3" fillId="3" borderId="72" xfId="1" applyFont="1" applyFill="1" applyBorder="1" applyAlignment="1">
      <alignment horizontal="right" vertical="center"/>
    </xf>
    <xf numFmtId="0" fontId="3" fillId="4" borderId="71" xfId="0" applyFont="1" applyFill="1" applyBorder="1" applyAlignment="1">
      <alignment horizontal="left" vertical="center"/>
    </xf>
    <xf numFmtId="44" fontId="3" fillId="4" borderId="72" xfId="1" applyFont="1" applyFill="1" applyBorder="1" applyAlignment="1">
      <alignment horizontal="right" vertical="center"/>
    </xf>
    <xf numFmtId="0" fontId="3" fillId="3" borderId="73" xfId="0" applyFont="1" applyFill="1" applyBorder="1" applyAlignment="1">
      <alignment horizontal="left" vertical="center"/>
    </xf>
    <xf numFmtId="164" fontId="3" fillId="3" borderId="74" xfId="0" applyNumberFormat="1" applyFont="1" applyFill="1" applyBorder="1" applyAlignment="1">
      <alignment vertical="center"/>
    </xf>
    <xf numFmtId="44" fontId="3" fillId="3" borderId="75" xfId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horizontal="center" vertical="center"/>
    </xf>
    <xf numFmtId="0" fontId="9" fillId="0" borderId="14" xfId="0" applyFont="1" applyBorder="1"/>
    <xf numFmtId="0" fontId="8" fillId="2" borderId="11" xfId="0" applyFont="1" applyFill="1" applyBorder="1" applyAlignment="1">
      <alignment horizontal="center" vertical="center"/>
    </xf>
    <xf numFmtId="0" fontId="9" fillId="0" borderId="12" xfId="0" applyFont="1" applyBorder="1"/>
    <xf numFmtId="0" fontId="1" fillId="2" borderId="24" xfId="0" applyFont="1" applyFill="1" applyBorder="1" applyAlignment="1">
      <alignment horizontal="center" vertical="center"/>
    </xf>
    <xf numFmtId="0" fontId="9" fillId="0" borderId="25" xfId="0" applyFont="1" applyBorder="1"/>
    <xf numFmtId="0" fontId="9" fillId="0" borderId="26" xfId="0" applyFont="1" applyBorder="1"/>
    <xf numFmtId="164" fontId="1" fillId="2" borderId="17" xfId="0" applyNumberFormat="1" applyFont="1" applyFill="1" applyBorder="1" applyAlignment="1">
      <alignment horizontal="center" vertical="center"/>
    </xf>
    <xf numFmtId="0" fontId="9" fillId="0" borderId="18" xfId="0" applyFont="1" applyBorder="1"/>
    <xf numFmtId="0" fontId="20" fillId="7" borderId="45" xfId="0" applyFont="1" applyFill="1" applyBorder="1" applyAlignment="1">
      <alignment horizontal="left" vertical="top" wrapText="1"/>
    </xf>
    <xf numFmtId="0" fontId="9" fillId="0" borderId="46" xfId="0" applyFont="1" applyBorder="1"/>
    <xf numFmtId="0" fontId="9" fillId="0" borderId="67" xfId="0" applyFont="1" applyBorder="1"/>
    <xf numFmtId="0" fontId="17" fillId="8" borderId="61" xfId="0" applyFont="1" applyFill="1" applyBorder="1" applyAlignment="1">
      <alignment horizontal="right" vertical="top" wrapText="1"/>
    </xf>
    <xf numFmtId="0" fontId="9" fillId="0" borderId="62" xfId="0" applyFont="1" applyBorder="1"/>
    <xf numFmtId="0" fontId="9" fillId="0" borderId="63" xfId="0" applyFont="1" applyBorder="1"/>
    <xf numFmtId="0" fontId="16" fillId="7" borderId="61" xfId="0" applyFont="1" applyFill="1" applyBorder="1" applyAlignment="1">
      <alignment horizontal="left" vertical="top" wrapText="1"/>
    </xf>
    <xf numFmtId="0" fontId="12" fillId="7" borderId="65" xfId="0" applyFont="1" applyFill="1" applyBorder="1" applyAlignment="1">
      <alignment horizontal="left" vertical="top" wrapText="1"/>
    </xf>
    <xf numFmtId="0" fontId="9" fillId="0" borderId="66" xfId="0" applyFont="1" applyBorder="1"/>
    <xf numFmtId="0" fontId="20" fillId="7" borderId="45" xfId="0" applyFont="1" applyFill="1" applyBorder="1" applyAlignment="1">
      <alignment horizontal="center" vertical="top" wrapText="1"/>
    </xf>
    <xf numFmtId="0" fontId="20" fillId="7" borderId="45" xfId="0" applyFont="1" applyFill="1" applyBorder="1" applyAlignment="1">
      <alignment horizontal="right" vertical="top" wrapText="1"/>
    </xf>
    <xf numFmtId="0" fontId="17" fillId="8" borderId="61" xfId="0" applyFont="1" applyFill="1" applyBorder="1" applyAlignment="1">
      <alignment horizontal="left" vertical="top" wrapText="1"/>
    </xf>
    <xf numFmtId="0" fontId="19" fillId="7" borderId="50" xfId="0" applyFont="1" applyFill="1" applyBorder="1" applyAlignment="1">
      <alignment horizontal="left" vertical="top" wrapText="1"/>
    </xf>
    <xf numFmtId="0" fontId="9" fillId="0" borderId="51" xfId="0" applyFont="1" applyBorder="1"/>
    <xf numFmtId="0" fontId="9" fillId="0" borderId="60" xfId="0" applyFont="1" applyBorder="1"/>
    <xf numFmtId="170" fontId="17" fillId="8" borderId="61" xfId="0" applyNumberFormat="1" applyFont="1" applyFill="1" applyBorder="1" applyAlignment="1">
      <alignment horizontal="right" vertical="top" wrapText="1"/>
    </xf>
    <xf numFmtId="0" fontId="19" fillId="7" borderId="50" xfId="0" applyFont="1" applyFill="1" applyBorder="1" applyAlignment="1">
      <alignment horizontal="center" vertical="top" wrapText="1"/>
    </xf>
    <xf numFmtId="0" fontId="19" fillId="7" borderId="50" xfId="0" applyFont="1" applyFill="1" applyBorder="1" applyAlignment="1">
      <alignment horizontal="right" vertical="top" wrapText="1"/>
    </xf>
    <xf numFmtId="169" fontId="16" fillId="7" borderId="61" xfId="0" applyNumberFormat="1" applyFont="1" applyFill="1" applyBorder="1" applyAlignment="1">
      <alignment horizontal="right" vertical="top" wrapText="1"/>
    </xf>
    <xf numFmtId="167" fontId="16" fillId="7" borderId="61" xfId="0" applyNumberFormat="1" applyFont="1" applyFill="1" applyBorder="1" applyAlignment="1">
      <alignment horizontal="right" vertical="top" wrapText="1"/>
    </xf>
    <xf numFmtId="167" fontId="17" fillId="8" borderId="61" xfId="0" applyNumberFormat="1" applyFont="1" applyFill="1" applyBorder="1" applyAlignment="1">
      <alignment horizontal="right" vertical="top" wrapText="1"/>
    </xf>
    <xf numFmtId="166" fontId="16" fillId="7" borderId="61" xfId="0" applyNumberFormat="1" applyFont="1" applyFill="1" applyBorder="1" applyAlignment="1">
      <alignment horizontal="right" vertical="top" wrapText="1"/>
    </xf>
    <xf numFmtId="0" fontId="11" fillId="7" borderId="42" xfId="0" applyFont="1" applyFill="1" applyBorder="1" applyAlignment="1">
      <alignment horizontal="center" vertical="center" wrapText="1"/>
    </xf>
    <xf numFmtId="0" fontId="9" fillId="0" borderId="43" xfId="0" applyFont="1" applyBorder="1"/>
    <xf numFmtId="0" fontId="9" fillId="0" borderId="44" xfId="0" applyFont="1" applyBorder="1"/>
    <xf numFmtId="0" fontId="9" fillId="0" borderId="48" xfId="0" applyFont="1" applyBorder="1"/>
    <xf numFmtId="0" fontId="0" fillId="0" borderId="0" xfId="0"/>
    <xf numFmtId="0" fontId="9" fillId="0" borderId="49" xfId="0" applyFont="1" applyBorder="1"/>
    <xf numFmtId="0" fontId="9" fillId="0" borderId="53" xfId="0" applyFont="1" applyBorder="1"/>
    <xf numFmtId="0" fontId="9" fillId="0" borderId="54" xfId="0" applyFont="1" applyBorder="1"/>
    <xf numFmtId="0" fontId="9" fillId="0" borderId="55" xfId="0" applyFont="1" applyBorder="1"/>
    <xf numFmtId="0" fontId="12" fillId="7" borderId="45" xfId="0" applyFont="1" applyFill="1" applyBorder="1" applyAlignment="1">
      <alignment horizontal="center" vertical="top" wrapText="1"/>
    </xf>
    <xf numFmtId="0" fontId="9" fillId="0" borderId="47" xfId="0" applyFont="1" applyBorder="1"/>
    <xf numFmtId="0" fontId="13" fillId="7" borderId="50" xfId="0" applyFont="1" applyFill="1" applyBorder="1" applyAlignment="1">
      <alignment horizontal="center" vertical="top" wrapText="1"/>
    </xf>
    <xf numFmtId="0" fontId="9" fillId="0" borderId="52" xfId="0" applyFont="1" applyBorder="1"/>
    <xf numFmtId="0" fontId="14" fillId="7" borderId="50" xfId="0" applyFont="1" applyFill="1" applyBorder="1" applyAlignment="1">
      <alignment horizontal="center" vertical="top" wrapText="1"/>
    </xf>
    <xf numFmtId="0" fontId="11" fillId="7" borderId="56" xfId="0" applyFont="1" applyFill="1" applyBorder="1" applyAlignment="1">
      <alignment horizontal="center" vertical="center" wrapText="1"/>
    </xf>
    <xf numFmtId="0" fontId="9" fillId="0" borderId="57" xfId="0" applyFont="1" applyBorder="1"/>
    <xf numFmtId="0" fontId="9" fillId="0" borderId="58" xfId="0" applyFont="1" applyBorder="1"/>
    <xf numFmtId="0" fontId="12" fillId="7" borderId="59" xfId="0" applyFont="1" applyFill="1" applyBorder="1" applyAlignment="1">
      <alignment horizontal="center" vertical="top" wrapText="1"/>
    </xf>
    <xf numFmtId="0" fontId="12" fillId="7" borderId="50" xfId="0" applyFont="1" applyFill="1" applyBorder="1" applyAlignment="1">
      <alignment horizontal="center" vertical="top" wrapText="1"/>
    </xf>
    <xf numFmtId="0" fontId="12" fillId="7" borderId="50" xfId="0" applyFont="1" applyFill="1" applyBorder="1" applyAlignment="1">
      <alignment horizontal="center" vertical="center" wrapText="1"/>
    </xf>
    <xf numFmtId="0" fontId="15" fillId="8" borderId="61" xfId="0" applyFont="1" applyFill="1" applyBorder="1" applyAlignment="1">
      <alignment horizontal="right" vertical="top" wrapText="1"/>
    </xf>
    <xf numFmtId="0" fontId="12" fillId="7" borderId="50" xfId="0" applyFont="1" applyFill="1" applyBorder="1" applyAlignment="1">
      <alignment horizontal="left" vertical="top" wrapText="1"/>
    </xf>
  </cellXfs>
  <cellStyles count="3">
    <cellStyle name="Moeda" xfId="1" builtinId="4"/>
    <cellStyle name="Normal" xfId="0" builtinId="0"/>
    <cellStyle name="Normal 2" xfId="2" xr:uid="{B2E36469-E409-4CF1-8E81-7DBF80C2B1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1857375" cy="581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2438400" cy="5619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eo\Downloads\relatorio%20(4).xls" TargetMode="External"/><Relationship Id="rId1" Type="http://schemas.openxmlformats.org/officeDocument/2006/relationships/externalLinkPath" Target="file:///C:\Users\deleo\Downloads\relatorio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ório"/>
    </sheetNames>
    <sheetDataSet>
      <sheetData sheetId="0">
        <row r="15">
          <cell r="X15">
            <v>230869.63</v>
          </cell>
        </row>
        <row r="51">
          <cell r="X51">
            <v>2384931.88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workbookViewId="0">
      <selection sqref="A1:XFD1048576"/>
    </sheetView>
  </sheetViews>
  <sheetFormatPr defaultColWidth="14.375" defaultRowHeight="14.95" customHeight="1"/>
  <cols>
    <col min="1" max="1" width="60.25" customWidth="1"/>
    <col min="2" max="2" width="21.75" customWidth="1"/>
    <col min="3" max="3" width="20" bestFit="1" customWidth="1"/>
    <col min="4" max="4" width="15.125" customWidth="1"/>
    <col min="5" max="6" width="17.625" customWidth="1"/>
    <col min="7" max="7" width="30.75" customWidth="1"/>
    <col min="8" max="8" width="14.375" customWidth="1"/>
    <col min="9" max="16" width="9.125" customWidth="1"/>
  </cols>
  <sheetData>
    <row r="1" spans="1:16" ht="22.6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2.6" customHeight="1" thickBot="1">
      <c r="A2" s="4" t="s">
        <v>4</v>
      </c>
      <c r="B2" s="5">
        <f>[1]Relatório!$X$51</f>
        <v>2384931.88</v>
      </c>
      <c r="C2" s="6">
        <f t="shared" ref="C2:C18" si="0">B2/B$19</f>
        <v>0.11233346590819367</v>
      </c>
      <c r="D2" s="7">
        <f>B2/ORÇAMENTO_EXECUTIVO!H$2</f>
        <v>381.86526576019776</v>
      </c>
      <c r="F2" s="8"/>
      <c r="G2" s="9" t="s">
        <v>5</v>
      </c>
      <c r="H2" s="10">
        <v>6245.48</v>
      </c>
      <c r="I2" s="11" t="s">
        <v>6</v>
      </c>
      <c r="J2" s="3"/>
      <c r="K2" s="3"/>
      <c r="L2" s="3"/>
      <c r="M2" s="3"/>
      <c r="N2" s="3"/>
      <c r="O2" s="3"/>
      <c r="P2" s="3"/>
    </row>
    <row r="3" spans="1:16" ht="19.55" customHeight="1">
      <c r="A3" s="12" t="s">
        <v>7</v>
      </c>
      <c r="B3" s="13">
        <f>[1]Relatório!$X$15</f>
        <v>230869.63</v>
      </c>
      <c r="C3" s="14">
        <f t="shared" si="0"/>
        <v>1.0874266862012967E-2</v>
      </c>
      <c r="D3" s="15">
        <f>B3/ORÇAMENTO_EXECUTIVO!H$2</f>
        <v>36.965874520453198</v>
      </c>
      <c r="F3" s="3"/>
      <c r="G3" s="16"/>
      <c r="H3" s="16"/>
      <c r="I3" s="16"/>
      <c r="J3" s="16"/>
      <c r="K3" s="3"/>
      <c r="L3" s="3"/>
      <c r="M3" s="3"/>
      <c r="N3" s="3"/>
      <c r="O3" s="3"/>
      <c r="P3" s="3"/>
    </row>
    <row r="4" spans="1:16" ht="19.55" customHeight="1">
      <c r="A4" s="4" t="s">
        <v>8</v>
      </c>
      <c r="B4" s="5">
        <f>RELATÓRIO!X16</f>
        <v>933522.84</v>
      </c>
      <c r="C4" s="6">
        <f t="shared" si="0"/>
        <v>4.3970168289108588E-2</v>
      </c>
      <c r="D4" s="7">
        <f>B4/ORÇAMENTO_EXECUTIVO!H$2</f>
        <v>149.47175237131495</v>
      </c>
      <c r="F4" s="3"/>
      <c r="G4" s="17"/>
      <c r="H4" s="16"/>
      <c r="I4" s="16"/>
      <c r="J4" s="16"/>
      <c r="K4" s="3"/>
      <c r="L4" s="3"/>
      <c r="M4" s="3"/>
      <c r="N4" s="3"/>
      <c r="O4" s="3"/>
      <c r="P4" s="3"/>
    </row>
    <row r="5" spans="1:16" ht="19.55" customHeight="1">
      <c r="A5" s="12" t="s">
        <v>9</v>
      </c>
      <c r="B5" s="13">
        <f>RELATÓRIO!X17</f>
        <v>4384787.09</v>
      </c>
      <c r="C5" s="14">
        <f t="shared" si="0"/>
        <v>0.20652930811977854</v>
      </c>
      <c r="D5" s="15">
        <f>B5/ORÇAMENTO_EXECUTIVO!H$2</f>
        <v>702.07367408109542</v>
      </c>
      <c r="F5" s="3"/>
      <c r="G5" s="17"/>
      <c r="H5" s="16"/>
      <c r="I5" s="16"/>
      <c r="J5" s="16"/>
      <c r="K5" s="3"/>
      <c r="L5" s="3"/>
      <c r="M5" s="3"/>
      <c r="N5" s="3"/>
      <c r="O5" s="3"/>
      <c r="P5" s="3"/>
    </row>
    <row r="6" spans="1:16" ht="19.55" customHeight="1">
      <c r="A6" s="18" t="s">
        <v>10</v>
      </c>
      <c r="B6" s="19">
        <f>RELATÓRIO!X18</f>
        <v>863630.83</v>
      </c>
      <c r="C6" s="20">
        <f t="shared" si="0"/>
        <v>4.0678161591378451E-2</v>
      </c>
      <c r="D6" s="7">
        <f>B6/ORÇAMENTO_EXECUTIVO!H$2</f>
        <v>138.28093757405355</v>
      </c>
      <c r="F6" s="3"/>
      <c r="G6" s="21"/>
      <c r="I6" s="3"/>
      <c r="J6" s="3"/>
      <c r="K6" s="3"/>
      <c r="L6" s="3"/>
      <c r="M6" s="3"/>
      <c r="N6" s="3"/>
      <c r="O6" s="3"/>
      <c r="P6" s="3"/>
    </row>
    <row r="7" spans="1:16" ht="19.55" customHeight="1">
      <c r="A7" s="12" t="s">
        <v>11</v>
      </c>
      <c r="B7" s="13">
        <f>RELATÓRIO!X20+RELATÓRIO!X21+RELATÓRIO!X22+RELATÓRIO!X23+RELATÓRIO!X24+RELATÓRIO!X32</f>
        <v>1935344.2200000002</v>
      </c>
      <c r="C7" s="14">
        <f t="shared" si="0"/>
        <v>9.1157288718028154E-2</v>
      </c>
      <c r="D7" s="15">
        <f>B7/ORÇAMENTO_EXECUTIVO!H$2</f>
        <v>309.87917982284796</v>
      </c>
      <c r="F7" s="3"/>
      <c r="H7" s="22"/>
      <c r="I7" s="3"/>
      <c r="J7" s="3"/>
      <c r="K7" s="3"/>
      <c r="L7" s="3"/>
      <c r="M7" s="3"/>
      <c r="N7" s="3"/>
      <c r="O7" s="3"/>
      <c r="P7" s="3"/>
    </row>
    <row r="8" spans="1:16" ht="19.55" customHeight="1">
      <c r="A8" s="18" t="s">
        <v>12</v>
      </c>
      <c r="B8" s="19">
        <f>RELATÓRIO!X25+RELATÓRIO!X26</f>
        <v>1404690.9</v>
      </c>
      <c r="C8" s="20">
        <f t="shared" si="0"/>
        <v>6.6162811042930023E-2</v>
      </c>
      <c r="D8" s="7">
        <f>B8/ORÇAMENTO_EXECUTIVO!H$2</f>
        <v>224.91320122712747</v>
      </c>
      <c r="F8" s="3"/>
      <c r="H8" s="22"/>
      <c r="I8" s="3"/>
      <c r="J8" s="3"/>
      <c r="K8" s="3"/>
      <c r="L8" s="3"/>
      <c r="M8" s="3"/>
      <c r="N8" s="3"/>
      <c r="O8" s="3"/>
      <c r="P8" s="3"/>
    </row>
    <row r="9" spans="1:16" ht="19.55" customHeight="1">
      <c r="A9" s="12" t="s">
        <v>13</v>
      </c>
      <c r="B9" s="13">
        <f>RELATÓRIO!X19</f>
        <v>420004.94</v>
      </c>
      <c r="C9" s="14">
        <f t="shared" si="0"/>
        <v>1.9782791703368455E-2</v>
      </c>
      <c r="D9" s="15">
        <f>B9/ORÇAMENTO_EXECUTIVO!H$2</f>
        <v>67.249425184293287</v>
      </c>
      <c r="F9" s="3"/>
      <c r="H9" s="23"/>
      <c r="I9" s="3"/>
      <c r="J9" s="3"/>
      <c r="K9" s="3"/>
      <c r="L9" s="3"/>
      <c r="M9" s="3"/>
      <c r="N9" s="3"/>
      <c r="O9" s="3"/>
      <c r="P9" s="3"/>
    </row>
    <row r="10" spans="1:16" ht="19.55" customHeight="1">
      <c r="A10" s="18" t="s">
        <v>14</v>
      </c>
      <c r="B10" s="19">
        <f>RELATÓRIO!X27</f>
        <v>1030085.41</v>
      </c>
      <c r="C10" s="20">
        <f t="shared" si="0"/>
        <v>4.8518393861531464E-2</v>
      </c>
      <c r="D10" s="7">
        <f>B10/ORÇAMENTO_EXECUTIVO!H$2</f>
        <v>164.93294510590061</v>
      </c>
      <c r="F10" s="3"/>
      <c r="K10" s="3"/>
      <c r="L10" s="3"/>
      <c r="M10" s="3"/>
      <c r="N10" s="3"/>
      <c r="O10" s="3"/>
      <c r="P10" s="3"/>
    </row>
    <row r="11" spans="1:16" ht="19.55" customHeight="1">
      <c r="A11" s="12" t="s">
        <v>15</v>
      </c>
      <c r="B11" s="13">
        <f>RELATÓRIO!X28</f>
        <v>344380.88</v>
      </c>
      <c r="C11" s="14">
        <f t="shared" si="0"/>
        <v>1.6220797821241643E-2</v>
      </c>
      <c r="D11" s="15">
        <f>B11/ORÇAMENTO_EXECUTIVO!H$2</f>
        <v>55.140818640040479</v>
      </c>
      <c r="F11" s="3"/>
      <c r="K11" s="3"/>
      <c r="L11" s="3"/>
      <c r="M11" s="3"/>
      <c r="N11" s="3"/>
      <c r="O11" s="3"/>
      <c r="P11" s="3"/>
    </row>
    <row r="12" spans="1:16" ht="19.55" customHeight="1">
      <c r="A12" s="18" t="s">
        <v>16</v>
      </c>
      <c r="B12" s="19">
        <f>RELATÓRIO!X29</f>
        <v>1388564.53</v>
      </c>
      <c r="C12" s="20">
        <f t="shared" si="0"/>
        <v>6.5403237551624305E-2</v>
      </c>
      <c r="D12" s="7">
        <f>B12/ORÇAMENTO_EXECUTIVO!H$2</f>
        <v>222.33111466212367</v>
      </c>
      <c r="F12" s="3"/>
      <c r="K12" s="3"/>
      <c r="L12" s="3"/>
      <c r="M12" s="3"/>
      <c r="N12" s="3"/>
      <c r="O12" s="3"/>
      <c r="P12" s="3"/>
    </row>
    <row r="13" spans="1:16" ht="19.55" customHeight="1">
      <c r="A13" s="12" t="s">
        <v>17</v>
      </c>
      <c r="B13" s="13">
        <f>RELATÓRIO!X30</f>
        <v>712320.05</v>
      </c>
      <c r="C13" s="14">
        <f t="shared" si="0"/>
        <v>3.3551222457723955E-2</v>
      </c>
      <c r="D13" s="15">
        <f>B13/ORÇAMENTO_EXECUTIVO!H$2</f>
        <v>114.05369162978668</v>
      </c>
      <c r="F13" s="3"/>
      <c r="K13" s="3"/>
      <c r="L13" s="3"/>
      <c r="M13" s="3"/>
      <c r="N13" s="3"/>
      <c r="O13" s="3"/>
      <c r="P13" s="3"/>
    </row>
    <row r="14" spans="1:16" ht="19.55" customHeight="1">
      <c r="A14" s="18" t="s">
        <v>18</v>
      </c>
      <c r="B14" s="19">
        <f>RELATÓRIO!X31</f>
        <v>1623887.72</v>
      </c>
      <c r="C14" s="20">
        <f t="shared" si="0"/>
        <v>7.6487273017355251E-2</v>
      </c>
      <c r="D14" s="7">
        <f>B14/ORÇAMENTO_EXECUTIVO!H$2</f>
        <v>260.01007448586819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9.55" customHeight="1">
      <c r="A15" s="12" t="s">
        <v>19</v>
      </c>
      <c r="B15" s="13">
        <f>RELATÓRIO!X33</f>
        <v>17889.509999999998</v>
      </c>
      <c r="C15" s="14">
        <f t="shared" si="0"/>
        <v>8.4261973205678711E-4</v>
      </c>
      <c r="D15" s="15">
        <f>B15/ORÇAMENTO_EXECUTIVO!H$2</f>
        <v>2.8643931291109732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9.55" customHeight="1">
      <c r="A16" s="18" t="s">
        <v>20</v>
      </c>
      <c r="B16" s="19">
        <f>RELATÓRIO!X34</f>
        <v>1579912.11</v>
      </c>
      <c r="C16" s="20">
        <f t="shared" si="0"/>
        <v>7.4415963254525888E-2</v>
      </c>
      <c r="D16" s="7">
        <f>B16/ORÇAMENTO_EXECUTIVO!H$2</f>
        <v>252.96888469741322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9.55" customHeight="1">
      <c r="A17" s="12" t="s">
        <v>21</v>
      </c>
      <c r="B17" s="13">
        <f>RELATÓRIO!X35</f>
        <v>1676000</v>
      </c>
      <c r="C17" s="14">
        <f t="shared" si="0"/>
        <v>7.8941830767146517E-2</v>
      </c>
      <c r="D17" s="15">
        <f>B17/ORÇAMENTO_EXECUTIVO!H$2</f>
        <v>268.35407366607535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9.55" customHeight="1">
      <c r="A18" s="18" t="s">
        <v>22</v>
      </c>
      <c r="B18" s="19">
        <f>RELATÓRIO!X36</f>
        <v>300000</v>
      </c>
      <c r="C18" s="20">
        <f t="shared" si="0"/>
        <v>1.41303993019952E-2</v>
      </c>
      <c r="D18" s="7">
        <f>B18/ORÇAMENTO_EXECUTIVO!H$2</f>
        <v>48.034738723044512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9.55" customHeight="1">
      <c r="A19" s="1" t="s">
        <v>23</v>
      </c>
      <c r="B19" s="24">
        <f t="shared" ref="B19:D19" si="1">SUM(B2:B18)</f>
        <v>21230822.540000003</v>
      </c>
      <c r="C19" s="25">
        <f t="shared" si="1"/>
        <v>1</v>
      </c>
      <c r="D19" s="26">
        <f t="shared" si="1"/>
        <v>3399.3900452807466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9.55" customHeight="1">
      <c r="A20" s="1" t="s">
        <v>24</v>
      </c>
      <c r="B20" s="24">
        <v>2793.27</v>
      </c>
      <c r="C20" s="27">
        <v>45474</v>
      </c>
      <c r="D20" s="26">
        <f>+D19/B20</f>
        <v>1.2169930029251546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22.6" customHeight="1">
      <c r="A21" s="3"/>
      <c r="B21" s="3"/>
      <c r="C21" s="28"/>
      <c r="D21" s="29"/>
      <c r="E21" s="3"/>
      <c r="F21" s="3"/>
      <c r="G21" s="8"/>
      <c r="H21" s="3"/>
      <c r="I21" s="3"/>
      <c r="J21" s="3"/>
      <c r="K21" s="3"/>
      <c r="L21" s="3"/>
      <c r="M21" s="3"/>
      <c r="N21" s="3"/>
      <c r="O21" s="3"/>
      <c r="P21" s="3"/>
    </row>
    <row r="22" spans="1:16" ht="22.6" customHeight="1">
      <c r="A22" s="3"/>
      <c r="B22" s="8"/>
      <c r="C22" s="29"/>
      <c r="D22" s="2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4.3" customHeight="1">
      <c r="A23" s="3"/>
      <c r="B23" s="3"/>
      <c r="C23" s="29"/>
      <c r="D23" s="29"/>
      <c r="E23" s="3"/>
      <c r="F23" s="3"/>
      <c r="G23" s="8"/>
      <c r="H23" s="3"/>
      <c r="I23" s="3"/>
      <c r="J23" s="3"/>
      <c r="K23" s="3"/>
      <c r="L23" s="3"/>
      <c r="M23" s="3"/>
      <c r="N23" s="3"/>
      <c r="O23" s="3"/>
      <c r="P23" s="3"/>
    </row>
    <row r="24" spans="1:16" ht="19.5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9.55" customHeight="1">
      <c r="A25" s="87" t="s">
        <v>132</v>
      </c>
      <c r="B25" s="88" t="s">
        <v>25</v>
      </c>
      <c r="C25" s="89" t="s">
        <v>26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9.55" customHeight="1">
      <c r="A26" s="90" t="s">
        <v>27</v>
      </c>
      <c r="B26" s="85">
        <v>3199.82</v>
      </c>
      <c r="C26" s="91">
        <f>B19/B26</f>
        <v>6635.0052627960331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9.55" customHeight="1">
      <c r="A27" s="92" t="s">
        <v>130</v>
      </c>
      <c r="B27" s="86">
        <f>121</f>
        <v>121</v>
      </c>
      <c r="C27" s="93">
        <f>C26*B27</f>
        <v>802835.63679831999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9.55" customHeight="1">
      <c r="A28" s="90" t="s">
        <v>128</v>
      </c>
      <c r="B28" s="85">
        <f>121</f>
        <v>121</v>
      </c>
      <c r="C28" s="91">
        <f>C26*B28</f>
        <v>802835.63679831999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9.55" customHeight="1">
      <c r="A29" s="92" t="s">
        <v>129</v>
      </c>
      <c r="B29" s="86">
        <v>245.7</v>
      </c>
      <c r="C29" s="93">
        <f>B29*C26</f>
        <v>1630220.7930689852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9.55" customHeight="1">
      <c r="A30" s="94" t="s">
        <v>131</v>
      </c>
      <c r="B30" s="95">
        <f>124.58</f>
        <v>124.58</v>
      </c>
      <c r="C30" s="96">
        <f>B30*C26</f>
        <v>826588.95563912974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9.5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9.55" customHeight="1" thickBo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9.55" customHeight="1" thickBot="1">
      <c r="A33" s="1" t="s">
        <v>0</v>
      </c>
      <c r="B33" s="1" t="s">
        <v>1</v>
      </c>
      <c r="C33" s="2" t="s">
        <v>2</v>
      </c>
      <c r="D33" s="2" t="s">
        <v>3</v>
      </c>
      <c r="E33" s="3"/>
      <c r="F33" s="3"/>
      <c r="G33" s="9" t="s">
        <v>133</v>
      </c>
      <c r="H33" s="10">
        <v>3199.82</v>
      </c>
      <c r="I33" s="11" t="s">
        <v>6</v>
      </c>
      <c r="J33" s="3"/>
      <c r="K33" s="3"/>
      <c r="L33" s="3"/>
      <c r="M33" s="3"/>
      <c r="N33" s="3"/>
      <c r="O33" s="3"/>
      <c r="P33" s="3"/>
    </row>
    <row r="34" spans="1:16" ht="19.55" customHeight="1">
      <c r="A34" s="4" t="s">
        <v>4</v>
      </c>
      <c r="B34" s="5">
        <v>2384931.88</v>
      </c>
      <c r="C34" s="6">
        <f t="shared" ref="C34:C50" si="2">B34/B$19</f>
        <v>0.11233346590819367</v>
      </c>
      <c r="D34" s="7">
        <f>B34/H33</f>
        <v>745.33313748898365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9.55" customHeight="1">
      <c r="A35" s="12" t="s">
        <v>7</v>
      </c>
      <c r="B35" s="13">
        <v>230869.63</v>
      </c>
      <c r="C35" s="14">
        <f t="shared" si="2"/>
        <v>1.0874266862012967E-2</v>
      </c>
      <c r="D35" s="15">
        <f>B35/H33</f>
        <v>72.150817858504539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9.55" customHeight="1">
      <c r="A36" s="4" t="s">
        <v>8</v>
      </c>
      <c r="B36" s="5">
        <v>933522.84</v>
      </c>
      <c r="C36" s="6">
        <f t="shared" si="2"/>
        <v>4.3970168289108588E-2</v>
      </c>
      <c r="D36" s="7">
        <f>B36/H33</f>
        <v>291.74229800426269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9.55" customHeight="1">
      <c r="A37" s="12" t="s">
        <v>9</v>
      </c>
      <c r="B37" s="13">
        <v>4384787.09</v>
      </c>
      <c r="C37" s="14">
        <f t="shared" si="2"/>
        <v>0.20652930811977854</v>
      </c>
      <c r="D37" s="15">
        <f>B37/H33</f>
        <v>1370.3230462963541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9.55" customHeight="1">
      <c r="A38" s="18" t="s">
        <v>10</v>
      </c>
      <c r="B38" s="19">
        <v>863630.83</v>
      </c>
      <c r="C38" s="20">
        <f t="shared" si="2"/>
        <v>4.0678161591378451E-2</v>
      </c>
      <c r="D38" s="7">
        <f>B38/H33</f>
        <v>269.89981623966344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9.55" customHeight="1">
      <c r="A39" s="12" t="s">
        <v>11</v>
      </c>
      <c r="B39" s="13">
        <v>1935344.2200000002</v>
      </c>
      <c r="C39" s="14">
        <f t="shared" si="2"/>
        <v>9.1157288718028154E-2</v>
      </c>
      <c r="D39" s="15">
        <f>B39/H33</f>
        <v>604.82909038633431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9.55" customHeight="1">
      <c r="A40" s="18" t="s">
        <v>12</v>
      </c>
      <c r="B40" s="19">
        <v>1404690.9</v>
      </c>
      <c r="C40" s="20">
        <f t="shared" si="2"/>
        <v>6.6162811042930023E-2</v>
      </c>
      <c r="D40" s="7">
        <f>B40/H33</f>
        <v>438.99059947122021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5" customHeight="1">
      <c r="A41" s="12" t="s">
        <v>13</v>
      </c>
      <c r="B41" s="13">
        <v>420004.94</v>
      </c>
      <c r="C41" s="14">
        <f t="shared" si="2"/>
        <v>1.9782791703368455E-2</v>
      </c>
      <c r="D41" s="15">
        <f>B41/H33</f>
        <v>131.25892706464737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9.55" customHeight="1">
      <c r="A42" s="18" t="s">
        <v>14</v>
      </c>
      <c r="B42" s="19">
        <v>1030085.41</v>
      </c>
      <c r="C42" s="20">
        <f t="shared" si="2"/>
        <v>4.8518393861531464E-2</v>
      </c>
      <c r="D42" s="7">
        <f>B42/H33</f>
        <v>321.91979861367201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9.55" customHeight="1">
      <c r="A43" s="12" t="s">
        <v>15</v>
      </c>
      <c r="B43" s="13">
        <v>344380.88</v>
      </c>
      <c r="C43" s="14">
        <f t="shared" si="2"/>
        <v>1.6220797821241643E-2</v>
      </c>
      <c r="D43" s="15">
        <f>B43/H33</f>
        <v>107.62507891068873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9.55" customHeight="1">
      <c r="A44" s="18" t="s">
        <v>16</v>
      </c>
      <c r="B44" s="19">
        <v>1388564.53</v>
      </c>
      <c r="C44" s="20">
        <f t="shared" si="2"/>
        <v>6.5403237551624305E-2</v>
      </c>
      <c r="D44" s="7">
        <f>B44/H33</f>
        <v>433.95082535892641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5" customHeight="1">
      <c r="A45" s="12" t="s">
        <v>17</v>
      </c>
      <c r="B45" s="13">
        <v>712320.05</v>
      </c>
      <c r="C45" s="14">
        <f t="shared" si="2"/>
        <v>3.3551222457723955E-2</v>
      </c>
      <c r="D45" s="15">
        <f>B45/H33</f>
        <v>222.61253758023889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5" customHeight="1">
      <c r="A46" s="18" t="s">
        <v>18</v>
      </c>
      <c r="B46" s="19">
        <v>1623887.72</v>
      </c>
      <c r="C46" s="20">
        <f t="shared" si="2"/>
        <v>7.6487273017355251E-2</v>
      </c>
      <c r="D46" s="7">
        <f>B46/H33</f>
        <v>507.49345900706913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9.55" customHeight="1">
      <c r="A47" s="12" t="s">
        <v>19</v>
      </c>
      <c r="B47" s="13">
        <v>17889.509999999998</v>
      </c>
      <c r="C47" s="14">
        <f t="shared" si="2"/>
        <v>8.4261973205678711E-4</v>
      </c>
      <c r="D47" s="15">
        <f>B47/H33</f>
        <v>5.5907863567325657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5" customHeight="1">
      <c r="A48" s="18" t="s">
        <v>20</v>
      </c>
      <c r="B48" s="19">
        <v>1579912.11</v>
      </c>
      <c r="C48" s="20">
        <f t="shared" si="2"/>
        <v>7.4415963254525888E-2</v>
      </c>
      <c r="D48" s="7">
        <f>B48/H33</f>
        <v>493.75030782981543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5" customHeight="1">
      <c r="A49" s="12" t="s">
        <v>21</v>
      </c>
      <c r="B49" s="13">
        <v>1676000</v>
      </c>
      <c r="C49" s="14">
        <f t="shared" si="2"/>
        <v>7.8941830767146517E-2</v>
      </c>
      <c r="D49" s="15">
        <f>B49/H33</f>
        <v>523.77946259477096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9.55" customHeight="1">
      <c r="A50" s="18" t="s">
        <v>22</v>
      </c>
      <c r="B50" s="19">
        <v>300000</v>
      </c>
      <c r="C50" s="20">
        <f t="shared" si="2"/>
        <v>1.41303993019952E-2</v>
      </c>
      <c r="D50" s="7">
        <f>B50/H33</f>
        <v>93.755273734147536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9.55" customHeight="1">
      <c r="A51" s="1" t="s">
        <v>23</v>
      </c>
      <c r="B51" s="24">
        <f t="shared" ref="B51:D51" si="3">SUM(B34:B50)</f>
        <v>21230822.540000003</v>
      </c>
      <c r="C51" s="25">
        <f t="shared" si="3"/>
        <v>1</v>
      </c>
      <c r="D51" s="26">
        <f t="shared" si="3"/>
        <v>6635.0052627960313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5" customHeight="1">
      <c r="A52" s="1" t="s">
        <v>24</v>
      </c>
      <c r="B52" s="24">
        <v>2793.27</v>
      </c>
      <c r="C52" s="27">
        <v>45474</v>
      </c>
      <c r="D52" s="26">
        <f>+D51/B52</f>
        <v>2.375354069887992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9.5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9.5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9.5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9.5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9.5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9.5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9.5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9.5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9.5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9.5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9.5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9.5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9.5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9.5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9.5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9.5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9.5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9.5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9.5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9.5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9.5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9.5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9.5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9.5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9.5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9.5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9.5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9.5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9.5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9.5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9.5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9.5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9.5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9.5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9.5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9.5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9.5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9.5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9.5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9.5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9.5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9.5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9.5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9.5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9.5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9.5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9.5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9.5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9.5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9.5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9.5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9.5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9.5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9.5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9.5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9.5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9.5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9.5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9.5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9.5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9.5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9.5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9.5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9.5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9.5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9.5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ht="19.5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19.5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19.5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ht="19.5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9.5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9.5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9.5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19.5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9.5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19.5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ht="19.5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19.5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9.5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9.5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19.5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19.5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ht="19.5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ht="19.5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19.5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ht="19.5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ht="19.5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ht="19.5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ht="19.5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ht="19.5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19.5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ht="19.5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ht="19.5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19.5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19.5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9.5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19.5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ht="19.5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ht="19.5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ht="19.5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ht="19.5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ht="19.5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ht="19.5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ht="19.5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ht="19.5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ht="19.5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ht="19.5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19.5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ht="19.5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9.5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ht="19.5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19.5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19.5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19.5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ht="19.5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ht="19.5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ht="19.5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19.5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ht="19.5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ht="19.5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ht="19.5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19.5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ht="19.5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19.5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19.5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ht="19.5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ht="19.5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ht="19.5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ht="19.5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ht="19.5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19.5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ht="19.5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ht="19.5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ht="19.5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ht="19.5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ht="19.5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ht="19.5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ht="19.5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ht="19.5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19.5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ht="19.5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19.5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ht="19.5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19.5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19.5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ht="19.5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ht="19.5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19.5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ht="19.5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ht="19.5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ht="19.5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ht="19.5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ht="19.5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19.5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ht="19.5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ht="19.5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ht="19.5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ht="19.5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19.5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ht="19.5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ht="19.5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19.5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ht="19.5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19.5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19.5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ht="19.5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ht="19.5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14.3" customHeight="1">
      <c r="C220" s="30"/>
      <c r="D220" s="30"/>
    </row>
    <row r="221" spans="1:16" ht="14.3" customHeight="1">
      <c r="C221" s="30"/>
      <c r="D221" s="30"/>
    </row>
    <row r="222" spans="1:16" ht="14.3" customHeight="1">
      <c r="C222" s="30"/>
      <c r="D222" s="30"/>
    </row>
    <row r="223" spans="1:16" ht="14.3" customHeight="1">
      <c r="C223" s="30"/>
      <c r="D223" s="30"/>
    </row>
    <row r="224" spans="1:16" ht="14.3" customHeight="1">
      <c r="C224" s="30"/>
      <c r="D224" s="30"/>
    </row>
    <row r="225" spans="3:4" ht="14.3" customHeight="1">
      <c r="C225" s="30"/>
      <c r="D225" s="30"/>
    </row>
    <row r="226" spans="3:4" ht="14.3" customHeight="1">
      <c r="C226" s="30"/>
      <c r="D226" s="30"/>
    </row>
    <row r="227" spans="3:4" ht="14.3" customHeight="1">
      <c r="C227" s="30"/>
      <c r="D227" s="30"/>
    </row>
    <row r="228" spans="3:4" ht="14.3" customHeight="1">
      <c r="C228" s="30"/>
      <c r="D228" s="30"/>
    </row>
    <row r="229" spans="3:4" ht="14.3" customHeight="1">
      <c r="C229" s="30"/>
      <c r="D229" s="30"/>
    </row>
    <row r="230" spans="3:4" ht="14.3" customHeight="1">
      <c r="C230" s="30"/>
      <c r="D230" s="30"/>
    </row>
    <row r="231" spans="3:4" ht="14.3" customHeight="1">
      <c r="C231" s="30"/>
      <c r="D231" s="30"/>
    </row>
    <row r="232" spans="3:4" ht="14.3" customHeight="1">
      <c r="C232" s="30"/>
      <c r="D232" s="30"/>
    </row>
    <row r="233" spans="3:4" ht="14.3" customHeight="1">
      <c r="C233" s="30"/>
      <c r="D233" s="30"/>
    </row>
    <row r="234" spans="3:4" ht="14.3" customHeight="1">
      <c r="C234" s="30"/>
      <c r="D234" s="30"/>
    </row>
    <row r="235" spans="3:4" ht="14.3" customHeight="1">
      <c r="C235" s="30"/>
      <c r="D235" s="30"/>
    </row>
    <row r="236" spans="3:4" ht="14.3" customHeight="1">
      <c r="C236" s="30"/>
      <c r="D236" s="30"/>
    </row>
    <row r="237" spans="3:4" ht="14.3" customHeight="1">
      <c r="C237" s="30"/>
      <c r="D237" s="30"/>
    </row>
    <row r="238" spans="3:4" ht="14.3" customHeight="1">
      <c r="C238" s="30"/>
      <c r="D238" s="30"/>
    </row>
    <row r="239" spans="3:4" ht="14.3" customHeight="1">
      <c r="C239" s="30"/>
      <c r="D239" s="30"/>
    </row>
    <row r="240" spans="3:4" ht="14.3" customHeight="1">
      <c r="C240" s="30"/>
      <c r="D240" s="30"/>
    </row>
    <row r="241" spans="3:4" ht="14.3" customHeight="1">
      <c r="C241" s="30"/>
      <c r="D241" s="30"/>
    </row>
    <row r="242" spans="3:4" ht="14.3" customHeight="1">
      <c r="C242" s="30"/>
      <c r="D242" s="30"/>
    </row>
    <row r="243" spans="3:4" ht="14.3" customHeight="1">
      <c r="C243" s="30"/>
      <c r="D243" s="30"/>
    </row>
    <row r="244" spans="3:4" ht="14.3" customHeight="1">
      <c r="C244" s="30"/>
      <c r="D244" s="30"/>
    </row>
    <row r="245" spans="3:4" ht="14.3" customHeight="1">
      <c r="C245" s="30"/>
      <c r="D245" s="30"/>
    </row>
    <row r="246" spans="3:4" ht="14.3" customHeight="1">
      <c r="C246" s="30"/>
      <c r="D246" s="30"/>
    </row>
    <row r="247" spans="3:4" ht="14.3" customHeight="1">
      <c r="C247" s="30"/>
      <c r="D247" s="30"/>
    </row>
    <row r="248" spans="3:4" ht="14.3" customHeight="1">
      <c r="C248" s="30"/>
      <c r="D248" s="30"/>
    </row>
    <row r="249" spans="3:4" ht="14.3" customHeight="1">
      <c r="C249" s="30"/>
      <c r="D249" s="30"/>
    </row>
    <row r="250" spans="3:4" ht="14.3" customHeight="1">
      <c r="C250" s="30"/>
      <c r="D250" s="30"/>
    </row>
    <row r="251" spans="3:4" ht="14.3" customHeight="1">
      <c r="C251" s="30"/>
      <c r="D251" s="30"/>
    </row>
    <row r="252" spans="3:4" ht="14.3" customHeight="1">
      <c r="C252" s="30"/>
      <c r="D252" s="30"/>
    </row>
    <row r="253" spans="3:4" ht="14.3" customHeight="1">
      <c r="C253" s="30"/>
      <c r="D253" s="30"/>
    </row>
    <row r="254" spans="3:4" ht="14.3" customHeight="1">
      <c r="C254" s="30"/>
      <c r="D254" s="30"/>
    </row>
    <row r="255" spans="3:4" ht="14.3" customHeight="1">
      <c r="C255" s="30"/>
      <c r="D255" s="30"/>
    </row>
    <row r="256" spans="3:4" ht="14.3" customHeight="1">
      <c r="C256" s="30"/>
      <c r="D256" s="30"/>
    </row>
    <row r="257" spans="3:4" ht="14.3" customHeight="1">
      <c r="C257" s="30"/>
      <c r="D257" s="30"/>
    </row>
    <row r="258" spans="3:4" ht="14.3" customHeight="1">
      <c r="C258" s="30"/>
      <c r="D258" s="30"/>
    </row>
    <row r="259" spans="3:4" ht="14.3" customHeight="1">
      <c r="C259" s="30"/>
      <c r="D259" s="30"/>
    </row>
    <row r="260" spans="3:4" ht="14.3" customHeight="1">
      <c r="C260" s="30"/>
      <c r="D260" s="30"/>
    </row>
    <row r="261" spans="3:4" ht="14.3" customHeight="1">
      <c r="C261" s="30"/>
      <c r="D261" s="30"/>
    </row>
    <row r="262" spans="3:4" ht="14.3" customHeight="1">
      <c r="C262" s="30"/>
      <c r="D262" s="30"/>
    </row>
    <row r="263" spans="3:4" ht="14.3" customHeight="1">
      <c r="C263" s="30"/>
      <c r="D263" s="30"/>
    </row>
    <row r="264" spans="3:4" ht="14.3" customHeight="1">
      <c r="C264" s="30"/>
      <c r="D264" s="30"/>
    </row>
    <row r="265" spans="3:4" ht="14.3" customHeight="1">
      <c r="C265" s="30"/>
      <c r="D265" s="30"/>
    </row>
    <row r="266" spans="3:4" ht="14.3" customHeight="1">
      <c r="C266" s="30"/>
      <c r="D266" s="30"/>
    </row>
    <row r="267" spans="3:4" ht="14.3" customHeight="1">
      <c r="C267" s="30"/>
      <c r="D267" s="30"/>
    </row>
    <row r="268" spans="3:4" ht="14.3" customHeight="1">
      <c r="C268" s="30"/>
      <c r="D268" s="30"/>
    </row>
    <row r="269" spans="3:4" ht="14.3" customHeight="1">
      <c r="C269" s="30"/>
      <c r="D269" s="30"/>
    </row>
    <row r="270" spans="3:4" ht="14.3" customHeight="1">
      <c r="C270" s="30"/>
      <c r="D270" s="30"/>
    </row>
    <row r="271" spans="3:4" ht="14.3" customHeight="1">
      <c r="C271" s="30"/>
      <c r="D271" s="30"/>
    </row>
    <row r="272" spans="3:4" ht="14.3" customHeight="1">
      <c r="C272" s="30"/>
      <c r="D272" s="30"/>
    </row>
    <row r="273" spans="3:4" ht="14.3" customHeight="1">
      <c r="C273" s="30"/>
      <c r="D273" s="30"/>
    </row>
    <row r="274" spans="3:4" ht="14.3" customHeight="1">
      <c r="C274" s="30"/>
      <c r="D274" s="30"/>
    </row>
    <row r="275" spans="3:4" ht="14.3" customHeight="1">
      <c r="C275" s="30"/>
      <c r="D275" s="30"/>
    </row>
    <row r="276" spans="3:4" ht="14.3" customHeight="1">
      <c r="C276" s="30"/>
      <c r="D276" s="30"/>
    </row>
    <row r="277" spans="3:4" ht="14.3" customHeight="1">
      <c r="C277" s="30"/>
      <c r="D277" s="30"/>
    </row>
    <row r="278" spans="3:4" ht="14.3" customHeight="1">
      <c r="C278" s="30"/>
      <c r="D278" s="30"/>
    </row>
    <row r="279" spans="3:4" ht="14.3" customHeight="1">
      <c r="C279" s="30"/>
      <c r="D279" s="30"/>
    </row>
    <row r="280" spans="3:4" ht="14.3" customHeight="1">
      <c r="C280" s="30"/>
      <c r="D280" s="30"/>
    </row>
    <row r="281" spans="3:4" ht="14.3" customHeight="1">
      <c r="C281" s="30"/>
      <c r="D281" s="30"/>
    </row>
    <row r="282" spans="3:4" ht="14.3" customHeight="1">
      <c r="C282" s="30"/>
      <c r="D282" s="30"/>
    </row>
    <row r="283" spans="3:4" ht="14.3" customHeight="1">
      <c r="C283" s="30"/>
      <c r="D283" s="30"/>
    </row>
    <row r="284" spans="3:4" ht="14.3" customHeight="1">
      <c r="C284" s="30"/>
      <c r="D284" s="30"/>
    </row>
    <row r="285" spans="3:4" ht="14.3" customHeight="1">
      <c r="C285" s="30"/>
      <c r="D285" s="30"/>
    </row>
    <row r="286" spans="3:4" ht="14.3" customHeight="1">
      <c r="C286" s="30"/>
      <c r="D286" s="30"/>
    </row>
    <row r="287" spans="3:4" ht="14.3" customHeight="1">
      <c r="C287" s="30"/>
      <c r="D287" s="30"/>
    </row>
    <row r="288" spans="3:4" ht="14.3" customHeight="1">
      <c r="C288" s="30"/>
      <c r="D288" s="30"/>
    </row>
    <row r="289" spans="3:4" ht="14.3" customHeight="1">
      <c r="C289" s="30"/>
      <c r="D289" s="30"/>
    </row>
    <row r="290" spans="3:4" ht="14.3" customHeight="1">
      <c r="C290" s="30"/>
      <c r="D290" s="30"/>
    </row>
    <row r="291" spans="3:4" ht="14.3" customHeight="1">
      <c r="C291" s="30"/>
      <c r="D291" s="30"/>
    </row>
    <row r="292" spans="3:4" ht="14.3" customHeight="1">
      <c r="C292" s="30"/>
      <c r="D292" s="30"/>
    </row>
    <row r="293" spans="3:4" ht="14.3" customHeight="1">
      <c r="C293" s="30"/>
      <c r="D293" s="30"/>
    </row>
    <row r="294" spans="3:4" ht="14.3" customHeight="1">
      <c r="C294" s="30"/>
      <c r="D294" s="30"/>
    </row>
    <row r="295" spans="3:4" ht="14.3" customHeight="1">
      <c r="C295" s="30"/>
      <c r="D295" s="30"/>
    </row>
    <row r="296" spans="3:4" ht="14.3" customHeight="1">
      <c r="C296" s="30"/>
      <c r="D296" s="30"/>
    </row>
    <row r="297" spans="3:4" ht="14.3" customHeight="1">
      <c r="C297" s="30"/>
      <c r="D297" s="30"/>
    </row>
    <row r="298" spans="3:4" ht="14.3" customHeight="1">
      <c r="C298" s="30"/>
      <c r="D298" s="30"/>
    </row>
    <row r="299" spans="3:4" ht="14.3" customHeight="1">
      <c r="C299" s="30"/>
      <c r="D299" s="30"/>
    </row>
    <row r="300" spans="3:4" ht="14.3" customHeight="1">
      <c r="C300" s="30"/>
      <c r="D300" s="30"/>
    </row>
    <row r="301" spans="3:4" ht="14.3" customHeight="1">
      <c r="C301" s="30"/>
      <c r="D301" s="30"/>
    </row>
    <row r="302" spans="3:4" ht="14.3" customHeight="1">
      <c r="C302" s="30"/>
      <c r="D302" s="30"/>
    </row>
    <row r="303" spans="3:4" ht="14.3" customHeight="1">
      <c r="C303" s="30"/>
      <c r="D303" s="30"/>
    </row>
    <row r="304" spans="3:4" ht="14.3" customHeight="1">
      <c r="C304" s="30"/>
      <c r="D304" s="30"/>
    </row>
    <row r="305" spans="3:4" ht="14.3" customHeight="1">
      <c r="C305" s="30"/>
      <c r="D305" s="30"/>
    </row>
    <row r="306" spans="3:4" ht="14.3" customHeight="1">
      <c r="C306" s="30"/>
      <c r="D306" s="30"/>
    </row>
    <row r="307" spans="3:4" ht="14.3" customHeight="1">
      <c r="C307" s="30"/>
      <c r="D307" s="30"/>
    </row>
    <row r="308" spans="3:4" ht="14.3" customHeight="1">
      <c r="C308" s="30"/>
      <c r="D308" s="30"/>
    </row>
    <row r="309" spans="3:4" ht="14.3" customHeight="1">
      <c r="C309" s="30"/>
      <c r="D309" s="30"/>
    </row>
    <row r="310" spans="3:4" ht="14.3" customHeight="1">
      <c r="C310" s="30"/>
      <c r="D310" s="30"/>
    </row>
    <row r="311" spans="3:4" ht="14.3" customHeight="1">
      <c r="C311" s="30"/>
      <c r="D311" s="30"/>
    </row>
    <row r="312" spans="3:4" ht="14.3" customHeight="1">
      <c r="C312" s="30"/>
      <c r="D312" s="30"/>
    </row>
    <row r="313" spans="3:4" ht="14.3" customHeight="1">
      <c r="C313" s="30"/>
      <c r="D313" s="30"/>
    </row>
    <row r="314" spans="3:4" ht="14.3" customHeight="1">
      <c r="C314" s="30"/>
      <c r="D314" s="30"/>
    </row>
    <row r="315" spans="3:4" ht="14.3" customHeight="1">
      <c r="C315" s="30"/>
      <c r="D315" s="30"/>
    </row>
    <row r="316" spans="3:4" ht="14.3" customHeight="1">
      <c r="C316" s="30"/>
      <c r="D316" s="30"/>
    </row>
    <row r="317" spans="3:4" ht="14.3" customHeight="1">
      <c r="C317" s="30"/>
      <c r="D317" s="30"/>
    </row>
    <row r="318" spans="3:4" ht="14.3" customHeight="1">
      <c r="C318" s="30"/>
      <c r="D318" s="30"/>
    </row>
    <row r="319" spans="3:4" ht="14.3" customHeight="1">
      <c r="C319" s="30"/>
      <c r="D319" s="30"/>
    </row>
    <row r="320" spans="3:4" ht="14.3" customHeight="1">
      <c r="C320" s="30"/>
      <c r="D320" s="30"/>
    </row>
    <row r="321" spans="3:4" ht="14.3" customHeight="1">
      <c r="C321" s="30"/>
      <c r="D321" s="30"/>
    </row>
    <row r="322" spans="3:4" ht="14.3" customHeight="1">
      <c r="C322" s="30"/>
      <c r="D322" s="30"/>
    </row>
    <row r="323" spans="3:4" ht="14.3" customHeight="1">
      <c r="C323" s="30"/>
      <c r="D323" s="30"/>
    </row>
    <row r="324" spans="3:4" ht="14.3" customHeight="1">
      <c r="C324" s="30"/>
      <c r="D324" s="30"/>
    </row>
    <row r="325" spans="3:4" ht="14.3" customHeight="1">
      <c r="C325" s="30"/>
      <c r="D325" s="30"/>
    </row>
    <row r="326" spans="3:4" ht="14.3" customHeight="1">
      <c r="C326" s="30"/>
      <c r="D326" s="30"/>
    </row>
    <row r="327" spans="3:4" ht="14.3" customHeight="1">
      <c r="C327" s="30"/>
      <c r="D327" s="30"/>
    </row>
    <row r="328" spans="3:4" ht="14.3" customHeight="1">
      <c r="C328" s="30"/>
      <c r="D328" s="30"/>
    </row>
    <row r="329" spans="3:4" ht="14.3" customHeight="1">
      <c r="C329" s="30"/>
      <c r="D329" s="30"/>
    </row>
    <row r="330" spans="3:4" ht="14.3" customHeight="1">
      <c r="C330" s="30"/>
      <c r="D330" s="30"/>
    </row>
    <row r="331" spans="3:4" ht="14.3" customHeight="1">
      <c r="C331" s="30"/>
      <c r="D331" s="30"/>
    </row>
    <row r="332" spans="3:4" ht="14.3" customHeight="1">
      <c r="C332" s="30"/>
      <c r="D332" s="30"/>
    </row>
    <row r="333" spans="3:4" ht="14.3" customHeight="1">
      <c r="C333" s="30"/>
      <c r="D333" s="30"/>
    </row>
    <row r="334" spans="3:4" ht="14.3" customHeight="1">
      <c r="C334" s="30"/>
      <c r="D334" s="30"/>
    </row>
    <row r="335" spans="3:4" ht="14.3" customHeight="1">
      <c r="C335" s="30"/>
      <c r="D335" s="30"/>
    </row>
    <row r="336" spans="3:4" ht="14.3" customHeight="1">
      <c r="C336" s="30"/>
      <c r="D336" s="30"/>
    </row>
    <row r="337" spans="3:4" ht="14.3" customHeight="1">
      <c r="C337" s="30"/>
      <c r="D337" s="30"/>
    </row>
    <row r="338" spans="3:4" ht="14.3" customHeight="1">
      <c r="C338" s="30"/>
      <c r="D338" s="30"/>
    </row>
    <row r="339" spans="3:4" ht="14.3" customHeight="1">
      <c r="C339" s="30"/>
      <c r="D339" s="30"/>
    </row>
    <row r="340" spans="3:4" ht="14.3" customHeight="1">
      <c r="C340" s="30"/>
      <c r="D340" s="30"/>
    </row>
    <row r="341" spans="3:4" ht="14.3" customHeight="1">
      <c r="C341" s="30"/>
      <c r="D341" s="30"/>
    </row>
    <row r="342" spans="3:4" ht="14.3" customHeight="1">
      <c r="C342" s="30"/>
      <c r="D342" s="30"/>
    </row>
    <row r="343" spans="3:4" ht="14.3" customHeight="1">
      <c r="C343" s="30"/>
      <c r="D343" s="30"/>
    </row>
    <row r="344" spans="3:4" ht="14.3" customHeight="1">
      <c r="C344" s="30"/>
      <c r="D344" s="30"/>
    </row>
    <row r="345" spans="3:4" ht="14.3" customHeight="1">
      <c r="C345" s="30"/>
      <c r="D345" s="30"/>
    </row>
    <row r="346" spans="3:4" ht="14.3" customHeight="1">
      <c r="C346" s="30"/>
      <c r="D346" s="30"/>
    </row>
    <row r="347" spans="3:4" ht="14.3" customHeight="1">
      <c r="C347" s="30"/>
      <c r="D347" s="30"/>
    </row>
    <row r="348" spans="3:4" ht="14.3" customHeight="1">
      <c r="C348" s="30"/>
      <c r="D348" s="30"/>
    </row>
    <row r="349" spans="3:4" ht="14.3" customHeight="1">
      <c r="C349" s="30"/>
      <c r="D349" s="30"/>
    </row>
    <row r="350" spans="3:4" ht="14.3" customHeight="1">
      <c r="C350" s="30"/>
      <c r="D350" s="30"/>
    </row>
    <row r="351" spans="3:4" ht="14.3" customHeight="1">
      <c r="C351" s="30"/>
      <c r="D351" s="30"/>
    </row>
    <row r="352" spans="3:4" ht="14.3" customHeight="1">
      <c r="C352" s="30"/>
      <c r="D352" s="30"/>
    </row>
    <row r="353" spans="3:4" ht="14.3" customHeight="1">
      <c r="C353" s="30"/>
      <c r="D353" s="30"/>
    </row>
    <row r="354" spans="3:4" ht="14.3" customHeight="1">
      <c r="C354" s="30"/>
      <c r="D354" s="30"/>
    </row>
    <row r="355" spans="3:4" ht="14.3" customHeight="1">
      <c r="C355" s="30"/>
      <c r="D355" s="30"/>
    </row>
    <row r="356" spans="3:4" ht="14.3" customHeight="1">
      <c r="C356" s="30"/>
      <c r="D356" s="30"/>
    </row>
    <row r="357" spans="3:4" ht="14.3" customHeight="1">
      <c r="C357" s="30"/>
      <c r="D357" s="30"/>
    </row>
    <row r="358" spans="3:4" ht="14.3" customHeight="1">
      <c r="C358" s="30"/>
      <c r="D358" s="30"/>
    </row>
    <row r="359" spans="3:4" ht="14.3" customHeight="1">
      <c r="C359" s="30"/>
      <c r="D359" s="30"/>
    </row>
    <row r="360" spans="3:4" ht="14.3" customHeight="1">
      <c r="C360" s="30"/>
      <c r="D360" s="30"/>
    </row>
    <row r="361" spans="3:4" ht="14.3" customHeight="1">
      <c r="C361" s="30"/>
      <c r="D361" s="30"/>
    </row>
    <row r="362" spans="3:4" ht="14.3" customHeight="1">
      <c r="C362" s="30"/>
      <c r="D362" s="30"/>
    </row>
    <row r="363" spans="3:4" ht="14.3" customHeight="1">
      <c r="C363" s="30"/>
      <c r="D363" s="30"/>
    </row>
    <row r="364" spans="3:4" ht="14.3" customHeight="1">
      <c r="C364" s="30"/>
      <c r="D364" s="30"/>
    </row>
    <row r="365" spans="3:4" ht="14.3" customHeight="1">
      <c r="C365" s="30"/>
      <c r="D365" s="30"/>
    </row>
    <row r="366" spans="3:4" ht="14.3" customHeight="1">
      <c r="C366" s="30"/>
      <c r="D366" s="30"/>
    </row>
    <row r="367" spans="3:4" ht="14.3" customHeight="1">
      <c r="C367" s="30"/>
      <c r="D367" s="30"/>
    </row>
    <row r="368" spans="3:4" ht="14.3" customHeight="1">
      <c r="C368" s="30"/>
      <c r="D368" s="30"/>
    </row>
    <row r="369" spans="3:4" ht="14.3" customHeight="1">
      <c r="C369" s="30"/>
      <c r="D369" s="30"/>
    </row>
    <row r="370" spans="3:4" ht="14.3" customHeight="1">
      <c r="C370" s="30"/>
      <c r="D370" s="30"/>
    </row>
    <row r="371" spans="3:4" ht="14.3" customHeight="1">
      <c r="C371" s="30"/>
      <c r="D371" s="30"/>
    </row>
    <row r="372" spans="3:4" ht="14.3" customHeight="1">
      <c r="C372" s="30"/>
      <c r="D372" s="30"/>
    </row>
    <row r="373" spans="3:4" ht="14.3" customHeight="1">
      <c r="C373" s="30"/>
      <c r="D373" s="30"/>
    </row>
    <row r="374" spans="3:4" ht="14.3" customHeight="1">
      <c r="C374" s="30"/>
      <c r="D374" s="30"/>
    </row>
    <row r="375" spans="3:4" ht="14.3" customHeight="1">
      <c r="C375" s="30"/>
      <c r="D375" s="30"/>
    </row>
    <row r="376" spans="3:4" ht="14.3" customHeight="1">
      <c r="C376" s="30"/>
      <c r="D376" s="30"/>
    </row>
    <row r="377" spans="3:4" ht="14.3" customHeight="1">
      <c r="C377" s="30"/>
      <c r="D377" s="30"/>
    </row>
    <row r="378" spans="3:4" ht="14.3" customHeight="1">
      <c r="C378" s="30"/>
      <c r="D378" s="30"/>
    </row>
    <row r="379" spans="3:4" ht="14.3" customHeight="1">
      <c r="C379" s="30"/>
      <c r="D379" s="30"/>
    </row>
    <row r="380" spans="3:4" ht="14.3" customHeight="1">
      <c r="C380" s="30"/>
      <c r="D380" s="30"/>
    </row>
    <row r="381" spans="3:4" ht="14.3" customHeight="1">
      <c r="C381" s="30"/>
      <c r="D381" s="30"/>
    </row>
    <row r="382" spans="3:4" ht="14.3" customHeight="1">
      <c r="C382" s="30"/>
      <c r="D382" s="30"/>
    </row>
    <row r="383" spans="3:4" ht="14.3" customHeight="1">
      <c r="C383" s="30"/>
      <c r="D383" s="30"/>
    </row>
    <row r="384" spans="3:4" ht="14.3" customHeight="1">
      <c r="C384" s="30"/>
      <c r="D384" s="30"/>
    </row>
    <row r="385" spans="3:4" ht="14.3" customHeight="1">
      <c r="C385" s="30"/>
      <c r="D385" s="30"/>
    </row>
    <row r="386" spans="3:4" ht="14.3" customHeight="1">
      <c r="C386" s="30"/>
      <c r="D386" s="30"/>
    </row>
    <row r="387" spans="3:4" ht="14.3" customHeight="1">
      <c r="C387" s="30"/>
      <c r="D387" s="30"/>
    </row>
    <row r="388" spans="3:4" ht="14.3" customHeight="1">
      <c r="C388" s="30"/>
      <c r="D388" s="30"/>
    </row>
    <row r="389" spans="3:4" ht="14.3" customHeight="1">
      <c r="C389" s="30"/>
      <c r="D389" s="30"/>
    </row>
    <row r="390" spans="3:4" ht="14.3" customHeight="1">
      <c r="C390" s="30"/>
      <c r="D390" s="30"/>
    </row>
    <row r="391" spans="3:4" ht="14.3" customHeight="1">
      <c r="C391" s="30"/>
      <c r="D391" s="30"/>
    </row>
    <row r="392" spans="3:4" ht="14.3" customHeight="1">
      <c r="C392" s="30"/>
      <c r="D392" s="30"/>
    </row>
    <row r="393" spans="3:4" ht="14.3" customHeight="1">
      <c r="C393" s="30"/>
      <c r="D393" s="30"/>
    </row>
    <row r="394" spans="3:4" ht="14.3" customHeight="1">
      <c r="C394" s="30"/>
      <c r="D394" s="30"/>
    </row>
    <row r="395" spans="3:4" ht="14.3" customHeight="1">
      <c r="C395" s="30"/>
      <c r="D395" s="30"/>
    </row>
    <row r="396" spans="3:4" ht="14.3" customHeight="1">
      <c r="C396" s="30"/>
      <c r="D396" s="30"/>
    </row>
    <row r="397" spans="3:4" ht="14.3" customHeight="1">
      <c r="C397" s="30"/>
      <c r="D397" s="30"/>
    </row>
    <row r="398" spans="3:4" ht="14.3" customHeight="1">
      <c r="C398" s="30"/>
      <c r="D398" s="30"/>
    </row>
    <row r="399" spans="3:4" ht="14.3" customHeight="1">
      <c r="C399" s="30"/>
      <c r="D399" s="30"/>
    </row>
    <row r="400" spans="3:4" ht="14.3" customHeight="1">
      <c r="C400" s="30"/>
      <c r="D400" s="30"/>
    </row>
    <row r="401" spans="3:4" ht="14.3" customHeight="1">
      <c r="C401" s="30"/>
      <c r="D401" s="30"/>
    </row>
    <row r="402" spans="3:4" ht="14.3" customHeight="1">
      <c r="C402" s="30"/>
      <c r="D402" s="30"/>
    </row>
    <row r="403" spans="3:4" ht="14.3" customHeight="1">
      <c r="C403" s="30"/>
      <c r="D403" s="30"/>
    </row>
    <row r="404" spans="3:4" ht="14.3" customHeight="1">
      <c r="C404" s="30"/>
      <c r="D404" s="30"/>
    </row>
    <row r="405" spans="3:4" ht="14.3" customHeight="1">
      <c r="C405" s="30"/>
      <c r="D405" s="30"/>
    </row>
    <row r="406" spans="3:4" ht="14.3" customHeight="1">
      <c r="C406" s="30"/>
      <c r="D406" s="30"/>
    </row>
    <row r="407" spans="3:4" ht="14.3" customHeight="1">
      <c r="C407" s="30"/>
      <c r="D407" s="30"/>
    </row>
    <row r="408" spans="3:4" ht="14.3" customHeight="1">
      <c r="C408" s="30"/>
      <c r="D408" s="30"/>
    </row>
    <row r="409" spans="3:4" ht="14.3" customHeight="1">
      <c r="C409" s="30"/>
      <c r="D409" s="30"/>
    </row>
    <row r="410" spans="3:4" ht="14.3" customHeight="1">
      <c r="C410" s="30"/>
      <c r="D410" s="30"/>
    </row>
    <row r="411" spans="3:4" ht="14.3" customHeight="1">
      <c r="C411" s="30"/>
      <c r="D411" s="30"/>
    </row>
    <row r="412" spans="3:4" ht="14.3" customHeight="1">
      <c r="C412" s="30"/>
      <c r="D412" s="30"/>
    </row>
    <row r="413" spans="3:4" ht="14.3" customHeight="1">
      <c r="C413" s="30"/>
      <c r="D413" s="30"/>
    </row>
    <row r="414" spans="3:4" ht="14.3" customHeight="1">
      <c r="C414" s="30"/>
      <c r="D414" s="30"/>
    </row>
    <row r="415" spans="3:4" ht="14.3" customHeight="1">
      <c r="C415" s="30"/>
      <c r="D415" s="30"/>
    </row>
    <row r="416" spans="3:4" ht="14.3" customHeight="1">
      <c r="C416" s="30"/>
      <c r="D416" s="30"/>
    </row>
    <row r="417" spans="3:4" ht="14.3" customHeight="1">
      <c r="C417" s="30"/>
      <c r="D417" s="30"/>
    </row>
    <row r="418" spans="3:4" ht="14.3" customHeight="1">
      <c r="C418" s="30"/>
      <c r="D418" s="30"/>
    </row>
    <row r="419" spans="3:4" ht="14.3" customHeight="1">
      <c r="C419" s="30"/>
      <c r="D419" s="30"/>
    </row>
    <row r="420" spans="3:4" ht="14.3" customHeight="1">
      <c r="C420" s="30"/>
      <c r="D420" s="30"/>
    </row>
    <row r="421" spans="3:4" ht="14.3" customHeight="1">
      <c r="C421" s="30"/>
      <c r="D421" s="30"/>
    </row>
    <row r="422" spans="3:4" ht="14.3" customHeight="1">
      <c r="C422" s="30"/>
      <c r="D422" s="30"/>
    </row>
    <row r="423" spans="3:4" ht="14.3" customHeight="1">
      <c r="C423" s="30"/>
      <c r="D423" s="30"/>
    </row>
    <row r="424" spans="3:4" ht="14.3" customHeight="1">
      <c r="C424" s="30"/>
      <c r="D424" s="30"/>
    </row>
    <row r="425" spans="3:4" ht="14.3" customHeight="1">
      <c r="C425" s="30"/>
      <c r="D425" s="30"/>
    </row>
    <row r="426" spans="3:4" ht="14.3" customHeight="1">
      <c r="C426" s="30"/>
      <c r="D426" s="30"/>
    </row>
    <row r="427" spans="3:4" ht="14.3" customHeight="1">
      <c r="C427" s="30"/>
      <c r="D427" s="30"/>
    </row>
    <row r="428" spans="3:4" ht="14.3" customHeight="1">
      <c r="C428" s="30"/>
      <c r="D428" s="30"/>
    </row>
    <row r="429" spans="3:4" ht="14.3" customHeight="1">
      <c r="C429" s="30"/>
      <c r="D429" s="30"/>
    </row>
    <row r="430" spans="3:4" ht="14.3" customHeight="1">
      <c r="C430" s="30"/>
      <c r="D430" s="30"/>
    </row>
    <row r="431" spans="3:4" ht="14.3" customHeight="1">
      <c r="C431" s="30"/>
      <c r="D431" s="30"/>
    </row>
    <row r="432" spans="3:4" ht="14.3" customHeight="1">
      <c r="C432" s="30"/>
      <c r="D432" s="30"/>
    </row>
    <row r="433" spans="3:4" ht="14.3" customHeight="1">
      <c r="C433" s="30"/>
      <c r="D433" s="30"/>
    </row>
    <row r="434" spans="3:4" ht="14.3" customHeight="1">
      <c r="C434" s="30"/>
      <c r="D434" s="30"/>
    </row>
    <row r="435" spans="3:4" ht="14.3" customHeight="1">
      <c r="C435" s="30"/>
      <c r="D435" s="30"/>
    </row>
    <row r="436" spans="3:4" ht="14.3" customHeight="1">
      <c r="C436" s="30"/>
      <c r="D436" s="30"/>
    </row>
    <row r="437" spans="3:4" ht="14.3" customHeight="1">
      <c r="C437" s="30"/>
      <c r="D437" s="30"/>
    </row>
    <row r="438" spans="3:4" ht="14.3" customHeight="1">
      <c r="C438" s="30"/>
      <c r="D438" s="30"/>
    </row>
    <row r="439" spans="3:4" ht="14.3" customHeight="1">
      <c r="C439" s="30"/>
      <c r="D439" s="30"/>
    </row>
    <row r="440" spans="3:4" ht="14.3" customHeight="1">
      <c r="C440" s="30"/>
      <c r="D440" s="30"/>
    </row>
    <row r="441" spans="3:4" ht="14.3" customHeight="1">
      <c r="C441" s="30"/>
      <c r="D441" s="30"/>
    </row>
    <row r="442" spans="3:4" ht="14.3" customHeight="1">
      <c r="C442" s="30"/>
      <c r="D442" s="30"/>
    </row>
    <row r="443" spans="3:4" ht="14.3" customHeight="1">
      <c r="C443" s="30"/>
      <c r="D443" s="30"/>
    </row>
    <row r="444" spans="3:4" ht="14.3" customHeight="1">
      <c r="C444" s="30"/>
      <c r="D444" s="30"/>
    </row>
    <row r="445" spans="3:4" ht="14.3" customHeight="1">
      <c r="C445" s="30"/>
      <c r="D445" s="30"/>
    </row>
    <row r="446" spans="3:4" ht="14.3" customHeight="1">
      <c r="C446" s="30"/>
      <c r="D446" s="30"/>
    </row>
    <row r="447" spans="3:4" ht="14.3" customHeight="1">
      <c r="C447" s="30"/>
      <c r="D447" s="30"/>
    </row>
    <row r="448" spans="3:4" ht="14.3" customHeight="1">
      <c r="C448" s="30"/>
      <c r="D448" s="30"/>
    </row>
    <row r="449" spans="3:4" ht="14.3" customHeight="1">
      <c r="C449" s="30"/>
      <c r="D449" s="30"/>
    </row>
    <row r="450" spans="3:4" ht="14.3" customHeight="1">
      <c r="C450" s="30"/>
      <c r="D450" s="30"/>
    </row>
    <row r="451" spans="3:4" ht="14.3" customHeight="1">
      <c r="C451" s="30"/>
      <c r="D451" s="30"/>
    </row>
    <row r="452" spans="3:4" ht="14.3" customHeight="1">
      <c r="C452" s="30"/>
      <c r="D452" s="30"/>
    </row>
    <row r="453" spans="3:4" ht="14.3" customHeight="1">
      <c r="C453" s="30"/>
      <c r="D453" s="30"/>
    </row>
    <row r="454" spans="3:4" ht="14.3" customHeight="1">
      <c r="C454" s="30"/>
      <c r="D454" s="30"/>
    </row>
    <row r="455" spans="3:4" ht="14.3" customHeight="1">
      <c r="C455" s="30"/>
      <c r="D455" s="30"/>
    </row>
    <row r="456" spans="3:4" ht="14.3" customHeight="1">
      <c r="C456" s="30"/>
      <c r="D456" s="30"/>
    </row>
    <row r="457" spans="3:4" ht="14.3" customHeight="1">
      <c r="C457" s="30"/>
      <c r="D457" s="30"/>
    </row>
    <row r="458" spans="3:4" ht="14.3" customHeight="1">
      <c r="C458" s="30"/>
      <c r="D458" s="30"/>
    </row>
    <row r="459" spans="3:4" ht="14.3" customHeight="1">
      <c r="C459" s="30"/>
      <c r="D459" s="30"/>
    </row>
    <row r="460" spans="3:4" ht="14.3" customHeight="1">
      <c r="C460" s="30"/>
      <c r="D460" s="30"/>
    </row>
    <row r="461" spans="3:4" ht="14.3" customHeight="1">
      <c r="C461" s="30"/>
      <c r="D461" s="30"/>
    </row>
    <row r="462" spans="3:4" ht="14.3" customHeight="1">
      <c r="C462" s="30"/>
      <c r="D462" s="30"/>
    </row>
    <row r="463" spans="3:4" ht="14.3" customHeight="1">
      <c r="C463" s="30"/>
      <c r="D463" s="30"/>
    </row>
    <row r="464" spans="3:4" ht="14.3" customHeight="1">
      <c r="C464" s="30"/>
      <c r="D464" s="30"/>
    </row>
    <row r="465" spans="3:4" ht="14.3" customHeight="1">
      <c r="C465" s="30"/>
      <c r="D465" s="30"/>
    </row>
    <row r="466" spans="3:4" ht="14.3" customHeight="1">
      <c r="C466" s="30"/>
      <c r="D466" s="30"/>
    </row>
    <row r="467" spans="3:4" ht="14.3" customHeight="1">
      <c r="C467" s="30"/>
      <c r="D467" s="30"/>
    </row>
    <row r="468" spans="3:4" ht="14.3" customHeight="1">
      <c r="C468" s="30"/>
      <c r="D468" s="30"/>
    </row>
    <row r="469" spans="3:4" ht="14.3" customHeight="1">
      <c r="C469" s="30"/>
      <c r="D469" s="30"/>
    </row>
    <row r="470" spans="3:4" ht="14.3" customHeight="1">
      <c r="C470" s="30"/>
      <c r="D470" s="30"/>
    </row>
    <row r="471" spans="3:4" ht="14.3" customHeight="1">
      <c r="C471" s="30"/>
      <c r="D471" s="30"/>
    </row>
    <row r="472" spans="3:4" ht="14.3" customHeight="1">
      <c r="C472" s="30"/>
      <c r="D472" s="30"/>
    </row>
    <row r="473" spans="3:4" ht="14.3" customHeight="1">
      <c r="C473" s="30"/>
      <c r="D473" s="30"/>
    </row>
    <row r="474" spans="3:4" ht="14.3" customHeight="1">
      <c r="C474" s="30"/>
      <c r="D474" s="30"/>
    </row>
    <row r="475" spans="3:4" ht="14.3" customHeight="1">
      <c r="C475" s="30"/>
      <c r="D475" s="30"/>
    </row>
    <row r="476" spans="3:4" ht="14.3" customHeight="1">
      <c r="C476" s="30"/>
      <c r="D476" s="30"/>
    </row>
    <row r="477" spans="3:4" ht="14.3" customHeight="1">
      <c r="C477" s="30"/>
      <c r="D477" s="30"/>
    </row>
    <row r="478" spans="3:4" ht="14.3" customHeight="1">
      <c r="C478" s="30"/>
      <c r="D478" s="30"/>
    </row>
    <row r="479" spans="3:4" ht="14.3" customHeight="1">
      <c r="C479" s="30"/>
      <c r="D479" s="30"/>
    </row>
    <row r="480" spans="3:4" ht="14.3" customHeight="1">
      <c r="C480" s="30"/>
      <c r="D480" s="30"/>
    </row>
    <row r="481" spans="3:4" ht="14.3" customHeight="1">
      <c r="C481" s="30"/>
      <c r="D481" s="30"/>
    </row>
    <row r="482" spans="3:4" ht="14.3" customHeight="1">
      <c r="C482" s="30"/>
      <c r="D482" s="30"/>
    </row>
    <row r="483" spans="3:4" ht="14.3" customHeight="1">
      <c r="C483" s="30"/>
      <c r="D483" s="30"/>
    </row>
    <row r="484" spans="3:4" ht="14.3" customHeight="1">
      <c r="C484" s="30"/>
      <c r="D484" s="30"/>
    </row>
    <row r="485" spans="3:4" ht="14.3" customHeight="1">
      <c r="C485" s="30"/>
      <c r="D485" s="30"/>
    </row>
    <row r="486" spans="3:4" ht="14.3" customHeight="1">
      <c r="C486" s="30"/>
      <c r="D486" s="30"/>
    </row>
    <row r="487" spans="3:4" ht="14.3" customHeight="1">
      <c r="C487" s="30"/>
      <c r="D487" s="30"/>
    </row>
    <row r="488" spans="3:4" ht="14.3" customHeight="1">
      <c r="C488" s="30"/>
      <c r="D488" s="30"/>
    </row>
    <row r="489" spans="3:4" ht="14.3" customHeight="1">
      <c r="C489" s="30"/>
      <c r="D489" s="30"/>
    </row>
    <row r="490" spans="3:4" ht="14.3" customHeight="1">
      <c r="C490" s="30"/>
      <c r="D490" s="30"/>
    </row>
    <row r="491" spans="3:4" ht="14.3" customHeight="1">
      <c r="C491" s="30"/>
      <c r="D491" s="30"/>
    </row>
    <row r="492" spans="3:4" ht="14.3" customHeight="1">
      <c r="C492" s="30"/>
      <c r="D492" s="30"/>
    </row>
    <row r="493" spans="3:4" ht="14.3" customHeight="1">
      <c r="C493" s="30"/>
      <c r="D493" s="30"/>
    </row>
    <row r="494" spans="3:4" ht="14.3" customHeight="1">
      <c r="C494" s="30"/>
      <c r="D494" s="30"/>
    </row>
    <row r="495" spans="3:4" ht="14.3" customHeight="1">
      <c r="C495" s="30"/>
      <c r="D495" s="30"/>
    </row>
    <row r="496" spans="3:4" ht="14.3" customHeight="1">
      <c r="C496" s="30"/>
      <c r="D496" s="30"/>
    </row>
    <row r="497" spans="3:4" ht="14.3" customHeight="1">
      <c r="C497" s="30"/>
      <c r="D497" s="30"/>
    </row>
    <row r="498" spans="3:4" ht="14.3" customHeight="1">
      <c r="C498" s="30"/>
      <c r="D498" s="30"/>
    </row>
    <row r="499" spans="3:4" ht="14.3" customHeight="1">
      <c r="C499" s="30"/>
      <c r="D499" s="30"/>
    </row>
    <row r="500" spans="3:4" ht="14.3" customHeight="1">
      <c r="C500" s="30"/>
      <c r="D500" s="30"/>
    </row>
    <row r="501" spans="3:4" ht="14.3" customHeight="1">
      <c r="C501" s="30"/>
      <c r="D501" s="30"/>
    </row>
    <row r="502" spans="3:4" ht="14.3" customHeight="1">
      <c r="C502" s="30"/>
      <c r="D502" s="30"/>
    </row>
    <row r="503" spans="3:4" ht="14.3" customHeight="1">
      <c r="C503" s="30"/>
      <c r="D503" s="30"/>
    </row>
    <row r="504" spans="3:4" ht="14.3" customHeight="1">
      <c r="C504" s="30"/>
      <c r="D504" s="30"/>
    </row>
    <row r="505" spans="3:4" ht="14.3" customHeight="1">
      <c r="C505" s="30"/>
      <c r="D505" s="30"/>
    </row>
    <row r="506" spans="3:4" ht="14.3" customHeight="1">
      <c r="C506" s="30"/>
      <c r="D506" s="30"/>
    </row>
    <row r="507" spans="3:4" ht="14.3" customHeight="1">
      <c r="C507" s="30"/>
      <c r="D507" s="30"/>
    </row>
    <row r="508" spans="3:4" ht="14.3" customHeight="1">
      <c r="C508" s="30"/>
      <c r="D508" s="30"/>
    </row>
    <row r="509" spans="3:4" ht="14.3" customHeight="1">
      <c r="C509" s="30"/>
      <c r="D509" s="30"/>
    </row>
    <row r="510" spans="3:4" ht="14.3" customHeight="1">
      <c r="C510" s="30"/>
      <c r="D510" s="30"/>
    </row>
    <row r="511" spans="3:4" ht="14.3" customHeight="1">
      <c r="C511" s="30"/>
      <c r="D511" s="30"/>
    </row>
    <row r="512" spans="3:4" ht="14.3" customHeight="1">
      <c r="C512" s="30"/>
      <c r="D512" s="30"/>
    </row>
    <row r="513" spans="3:4" ht="14.3" customHeight="1">
      <c r="C513" s="30"/>
      <c r="D513" s="30"/>
    </row>
    <row r="514" spans="3:4" ht="14.3" customHeight="1">
      <c r="C514" s="30"/>
      <c r="D514" s="30"/>
    </row>
    <row r="515" spans="3:4" ht="14.3" customHeight="1">
      <c r="C515" s="30"/>
      <c r="D515" s="30"/>
    </row>
    <row r="516" spans="3:4" ht="14.3" customHeight="1">
      <c r="C516" s="30"/>
      <c r="D516" s="30"/>
    </row>
    <row r="517" spans="3:4" ht="14.3" customHeight="1">
      <c r="C517" s="30"/>
      <c r="D517" s="30"/>
    </row>
    <row r="518" spans="3:4" ht="14.3" customHeight="1">
      <c r="C518" s="30"/>
      <c r="D518" s="30"/>
    </row>
    <row r="519" spans="3:4" ht="14.3" customHeight="1">
      <c r="C519" s="30"/>
      <c r="D519" s="30"/>
    </row>
    <row r="520" spans="3:4" ht="14.3" customHeight="1">
      <c r="C520" s="30"/>
      <c r="D520" s="30"/>
    </row>
    <row r="521" spans="3:4" ht="14.3" customHeight="1">
      <c r="C521" s="30"/>
      <c r="D521" s="30"/>
    </row>
    <row r="522" spans="3:4" ht="14.3" customHeight="1">
      <c r="C522" s="30"/>
      <c r="D522" s="30"/>
    </row>
    <row r="523" spans="3:4" ht="14.3" customHeight="1">
      <c r="C523" s="30"/>
      <c r="D523" s="30"/>
    </row>
    <row r="524" spans="3:4" ht="14.3" customHeight="1">
      <c r="C524" s="30"/>
      <c r="D524" s="30"/>
    </row>
    <row r="525" spans="3:4" ht="14.3" customHeight="1">
      <c r="C525" s="30"/>
      <c r="D525" s="30"/>
    </row>
    <row r="526" spans="3:4" ht="14.3" customHeight="1">
      <c r="C526" s="30"/>
      <c r="D526" s="30"/>
    </row>
    <row r="527" spans="3:4" ht="14.3" customHeight="1">
      <c r="C527" s="30"/>
      <c r="D527" s="30"/>
    </row>
    <row r="528" spans="3:4" ht="14.3" customHeight="1">
      <c r="C528" s="30"/>
      <c r="D528" s="30"/>
    </row>
    <row r="529" spans="3:4" ht="14.3" customHeight="1">
      <c r="C529" s="30"/>
      <c r="D529" s="30"/>
    </row>
    <row r="530" spans="3:4" ht="14.3" customHeight="1">
      <c r="C530" s="30"/>
      <c r="D530" s="30"/>
    </row>
    <row r="531" spans="3:4" ht="14.3" customHeight="1">
      <c r="C531" s="30"/>
      <c r="D531" s="30"/>
    </row>
    <row r="532" spans="3:4" ht="14.3" customHeight="1">
      <c r="C532" s="30"/>
      <c r="D532" s="30"/>
    </row>
    <row r="533" spans="3:4" ht="14.3" customHeight="1">
      <c r="C533" s="30"/>
      <c r="D533" s="30"/>
    </row>
    <row r="534" spans="3:4" ht="14.3" customHeight="1">
      <c r="C534" s="30"/>
      <c r="D534" s="30"/>
    </row>
    <row r="535" spans="3:4" ht="14.3" customHeight="1">
      <c r="C535" s="30"/>
      <c r="D535" s="30"/>
    </row>
    <row r="536" spans="3:4" ht="14.3" customHeight="1">
      <c r="C536" s="30"/>
      <c r="D536" s="30"/>
    </row>
    <row r="537" spans="3:4" ht="14.3" customHeight="1">
      <c r="C537" s="30"/>
      <c r="D537" s="30"/>
    </row>
    <row r="538" spans="3:4" ht="14.3" customHeight="1">
      <c r="C538" s="30"/>
      <c r="D538" s="30"/>
    </row>
    <row r="539" spans="3:4" ht="14.3" customHeight="1">
      <c r="C539" s="30"/>
      <c r="D539" s="30"/>
    </row>
    <row r="540" spans="3:4" ht="14.3" customHeight="1">
      <c r="C540" s="30"/>
      <c r="D540" s="30"/>
    </row>
    <row r="541" spans="3:4" ht="14.3" customHeight="1">
      <c r="C541" s="30"/>
      <c r="D541" s="30"/>
    </row>
    <row r="542" spans="3:4" ht="14.3" customHeight="1">
      <c r="C542" s="30"/>
      <c r="D542" s="30"/>
    </row>
    <row r="543" spans="3:4" ht="14.3" customHeight="1">
      <c r="C543" s="30"/>
      <c r="D543" s="30"/>
    </row>
    <row r="544" spans="3:4" ht="14.3" customHeight="1">
      <c r="C544" s="30"/>
      <c r="D544" s="30"/>
    </row>
    <row r="545" spans="3:4" ht="14.3" customHeight="1">
      <c r="C545" s="30"/>
      <c r="D545" s="30"/>
    </row>
    <row r="546" spans="3:4" ht="14.3" customHeight="1">
      <c r="C546" s="30"/>
      <c r="D546" s="30"/>
    </row>
    <row r="547" spans="3:4" ht="14.3" customHeight="1">
      <c r="C547" s="30"/>
      <c r="D547" s="30"/>
    </row>
    <row r="548" spans="3:4" ht="14.3" customHeight="1">
      <c r="C548" s="30"/>
      <c r="D548" s="30"/>
    </row>
    <row r="549" spans="3:4" ht="14.3" customHeight="1">
      <c r="C549" s="30"/>
      <c r="D549" s="30"/>
    </row>
    <row r="550" spans="3:4" ht="14.3" customHeight="1">
      <c r="C550" s="30"/>
      <c r="D550" s="30"/>
    </row>
    <row r="551" spans="3:4" ht="14.3" customHeight="1">
      <c r="C551" s="30"/>
      <c r="D551" s="30"/>
    </row>
    <row r="552" spans="3:4" ht="14.3" customHeight="1">
      <c r="C552" s="30"/>
      <c r="D552" s="30"/>
    </row>
    <row r="553" spans="3:4" ht="14.3" customHeight="1">
      <c r="C553" s="30"/>
      <c r="D553" s="30"/>
    </row>
    <row r="554" spans="3:4" ht="14.3" customHeight="1">
      <c r="C554" s="30"/>
      <c r="D554" s="30"/>
    </row>
    <row r="555" spans="3:4" ht="14.3" customHeight="1">
      <c r="C555" s="30"/>
      <c r="D555" s="30"/>
    </row>
    <row r="556" spans="3:4" ht="14.3" customHeight="1">
      <c r="C556" s="30"/>
      <c r="D556" s="30"/>
    </row>
    <row r="557" spans="3:4" ht="14.3" customHeight="1">
      <c r="C557" s="30"/>
      <c r="D557" s="30"/>
    </row>
    <row r="558" spans="3:4" ht="14.3" customHeight="1">
      <c r="C558" s="30"/>
      <c r="D558" s="30"/>
    </row>
    <row r="559" spans="3:4" ht="14.3" customHeight="1">
      <c r="C559" s="30"/>
      <c r="D559" s="30"/>
    </row>
    <row r="560" spans="3:4" ht="14.3" customHeight="1">
      <c r="C560" s="30"/>
      <c r="D560" s="30"/>
    </row>
    <row r="561" spans="3:4" ht="14.3" customHeight="1">
      <c r="C561" s="30"/>
      <c r="D561" s="30"/>
    </row>
    <row r="562" spans="3:4" ht="14.3" customHeight="1">
      <c r="C562" s="30"/>
      <c r="D562" s="30"/>
    </row>
    <row r="563" spans="3:4" ht="14.3" customHeight="1">
      <c r="C563" s="30"/>
      <c r="D563" s="30"/>
    </row>
    <row r="564" spans="3:4" ht="14.3" customHeight="1">
      <c r="C564" s="30"/>
      <c r="D564" s="30"/>
    </row>
    <row r="565" spans="3:4" ht="14.3" customHeight="1">
      <c r="C565" s="30"/>
      <c r="D565" s="30"/>
    </row>
    <row r="566" spans="3:4" ht="14.3" customHeight="1">
      <c r="C566" s="30"/>
      <c r="D566" s="30"/>
    </row>
    <row r="567" spans="3:4" ht="14.3" customHeight="1">
      <c r="C567" s="30"/>
      <c r="D567" s="30"/>
    </row>
    <row r="568" spans="3:4" ht="14.3" customHeight="1">
      <c r="C568" s="30"/>
      <c r="D568" s="30"/>
    </row>
    <row r="569" spans="3:4" ht="14.3" customHeight="1">
      <c r="C569" s="30"/>
      <c r="D569" s="30"/>
    </row>
    <row r="570" spans="3:4" ht="14.3" customHeight="1">
      <c r="C570" s="30"/>
      <c r="D570" s="30"/>
    </row>
    <row r="571" spans="3:4" ht="14.3" customHeight="1">
      <c r="C571" s="30"/>
      <c r="D571" s="30"/>
    </row>
    <row r="572" spans="3:4" ht="14.3" customHeight="1">
      <c r="C572" s="30"/>
      <c r="D572" s="30"/>
    </row>
    <row r="573" spans="3:4" ht="14.3" customHeight="1">
      <c r="C573" s="30"/>
      <c r="D573" s="30"/>
    </row>
    <row r="574" spans="3:4" ht="14.3" customHeight="1">
      <c r="C574" s="30"/>
      <c r="D574" s="30"/>
    </row>
    <row r="575" spans="3:4" ht="14.3" customHeight="1">
      <c r="C575" s="30"/>
      <c r="D575" s="30"/>
    </row>
    <row r="576" spans="3:4" ht="14.3" customHeight="1">
      <c r="C576" s="30"/>
      <c r="D576" s="30"/>
    </row>
    <row r="577" spans="3:4" ht="14.3" customHeight="1">
      <c r="C577" s="30"/>
      <c r="D577" s="30"/>
    </row>
    <row r="578" spans="3:4" ht="14.3" customHeight="1">
      <c r="C578" s="30"/>
      <c r="D578" s="30"/>
    </row>
    <row r="579" spans="3:4" ht="14.3" customHeight="1">
      <c r="C579" s="30"/>
      <c r="D579" s="30"/>
    </row>
    <row r="580" spans="3:4" ht="14.3" customHeight="1">
      <c r="C580" s="30"/>
      <c r="D580" s="30"/>
    </row>
    <row r="581" spans="3:4" ht="14.3" customHeight="1">
      <c r="C581" s="30"/>
      <c r="D581" s="30"/>
    </row>
    <row r="582" spans="3:4" ht="14.3" customHeight="1">
      <c r="C582" s="30"/>
      <c r="D582" s="30"/>
    </row>
    <row r="583" spans="3:4" ht="14.3" customHeight="1">
      <c r="C583" s="30"/>
      <c r="D583" s="30"/>
    </row>
    <row r="584" spans="3:4" ht="14.3" customHeight="1">
      <c r="C584" s="30"/>
      <c r="D584" s="30"/>
    </row>
    <row r="585" spans="3:4" ht="14.3" customHeight="1">
      <c r="C585" s="30"/>
      <c r="D585" s="30"/>
    </row>
    <row r="586" spans="3:4" ht="14.3" customHeight="1">
      <c r="C586" s="30"/>
      <c r="D586" s="30"/>
    </row>
    <row r="587" spans="3:4" ht="14.3" customHeight="1">
      <c r="C587" s="30"/>
      <c r="D587" s="30"/>
    </row>
    <row r="588" spans="3:4" ht="14.3" customHeight="1">
      <c r="C588" s="30"/>
      <c r="D588" s="30"/>
    </row>
    <row r="589" spans="3:4" ht="14.3" customHeight="1">
      <c r="C589" s="30"/>
      <c r="D589" s="30"/>
    </row>
    <row r="590" spans="3:4" ht="14.3" customHeight="1">
      <c r="C590" s="30"/>
      <c r="D590" s="30"/>
    </row>
    <row r="591" spans="3:4" ht="14.3" customHeight="1">
      <c r="C591" s="30"/>
      <c r="D591" s="30"/>
    </row>
    <row r="592" spans="3:4" ht="14.3" customHeight="1">
      <c r="C592" s="30"/>
      <c r="D592" s="30"/>
    </row>
    <row r="593" spans="3:4" ht="14.3" customHeight="1">
      <c r="C593" s="30"/>
      <c r="D593" s="30"/>
    </row>
    <row r="594" spans="3:4" ht="14.3" customHeight="1">
      <c r="C594" s="30"/>
      <c r="D594" s="30"/>
    </row>
    <row r="595" spans="3:4" ht="14.3" customHeight="1">
      <c r="C595" s="30"/>
      <c r="D595" s="30"/>
    </row>
    <row r="596" spans="3:4" ht="14.3" customHeight="1">
      <c r="C596" s="30"/>
      <c r="D596" s="30"/>
    </row>
    <row r="597" spans="3:4" ht="14.3" customHeight="1">
      <c r="C597" s="30"/>
      <c r="D597" s="30"/>
    </row>
    <row r="598" spans="3:4" ht="14.3" customHeight="1">
      <c r="C598" s="30"/>
      <c r="D598" s="30"/>
    </row>
    <row r="599" spans="3:4" ht="14.3" customHeight="1">
      <c r="C599" s="30"/>
      <c r="D599" s="30"/>
    </row>
    <row r="600" spans="3:4" ht="14.3" customHeight="1">
      <c r="C600" s="30"/>
      <c r="D600" s="30"/>
    </row>
    <row r="601" spans="3:4" ht="14.3" customHeight="1">
      <c r="C601" s="30"/>
      <c r="D601" s="30"/>
    </row>
    <row r="602" spans="3:4" ht="14.3" customHeight="1">
      <c r="C602" s="30"/>
      <c r="D602" s="30"/>
    </row>
    <row r="603" spans="3:4" ht="14.3" customHeight="1">
      <c r="C603" s="30"/>
      <c r="D603" s="30"/>
    </row>
    <row r="604" spans="3:4" ht="14.3" customHeight="1">
      <c r="C604" s="30"/>
      <c r="D604" s="30"/>
    </row>
    <row r="605" spans="3:4" ht="14.3" customHeight="1">
      <c r="C605" s="30"/>
      <c r="D605" s="30"/>
    </row>
    <row r="606" spans="3:4" ht="14.3" customHeight="1">
      <c r="C606" s="30"/>
      <c r="D606" s="30"/>
    </row>
    <row r="607" spans="3:4" ht="14.3" customHeight="1">
      <c r="C607" s="30"/>
      <c r="D607" s="30"/>
    </row>
    <row r="608" spans="3:4" ht="14.3" customHeight="1">
      <c r="C608" s="30"/>
      <c r="D608" s="30"/>
    </row>
    <row r="609" spans="3:4" ht="14.3" customHeight="1">
      <c r="C609" s="30"/>
      <c r="D609" s="30"/>
    </row>
    <row r="610" spans="3:4" ht="14.3" customHeight="1">
      <c r="C610" s="30"/>
      <c r="D610" s="30"/>
    </row>
    <row r="611" spans="3:4" ht="14.3" customHeight="1">
      <c r="C611" s="30"/>
      <c r="D611" s="30"/>
    </row>
    <row r="612" spans="3:4" ht="14.3" customHeight="1">
      <c r="C612" s="30"/>
      <c r="D612" s="30"/>
    </row>
    <row r="613" spans="3:4" ht="14.3" customHeight="1">
      <c r="C613" s="30"/>
      <c r="D613" s="30"/>
    </row>
    <row r="614" spans="3:4" ht="14.3" customHeight="1">
      <c r="C614" s="30"/>
      <c r="D614" s="30"/>
    </row>
    <row r="615" spans="3:4" ht="14.3" customHeight="1">
      <c r="C615" s="30"/>
      <c r="D615" s="30"/>
    </row>
    <row r="616" spans="3:4" ht="14.3" customHeight="1">
      <c r="C616" s="30"/>
      <c r="D616" s="30"/>
    </row>
    <row r="617" spans="3:4" ht="14.3" customHeight="1">
      <c r="C617" s="30"/>
      <c r="D617" s="30"/>
    </row>
    <row r="618" spans="3:4" ht="14.3" customHeight="1">
      <c r="C618" s="30"/>
      <c r="D618" s="30"/>
    </row>
    <row r="619" spans="3:4" ht="14.3" customHeight="1">
      <c r="C619" s="30"/>
      <c r="D619" s="30"/>
    </row>
    <row r="620" spans="3:4" ht="14.3" customHeight="1">
      <c r="C620" s="30"/>
      <c r="D620" s="30"/>
    </row>
    <row r="621" spans="3:4" ht="14.3" customHeight="1">
      <c r="C621" s="30"/>
      <c r="D621" s="30"/>
    </row>
    <row r="622" spans="3:4" ht="14.3" customHeight="1">
      <c r="C622" s="30"/>
      <c r="D622" s="30"/>
    </row>
    <row r="623" spans="3:4" ht="14.3" customHeight="1">
      <c r="C623" s="30"/>
      <c r="D623" s="30"/>
    </row>
    <row r="624" spans="3:4" ht="14.3" customHeight="1">
      <c r="C624" s="30"/>
      <c r="D624" s="30"/>
    </row>
    <row r="625" spans="3:4" ht="14.3" customHeight="1">
      <c r="C625" s="30"/>
      <c r="D625" s="30"/>
    </row>
    <row r="626" spans="3:4" ht="14.3" customHeight="1">
      <c r="C626" s="30"/>
      <c r="D626" s="30"/>
    </row>
    <row r="627" spans="3:4" ht="14.3" customHeight="1">
      <c r="C627" s="30"/>
      <c r="D627" s="30"/>
    </row>
    <row r="628" spans="3:4" ht="14.3" customHeight="1">
      <c r="C628" s="30"/>
      <c r="D628" s="30"/>
    </row>
    <row r="629" spans="3:4" ht="14.3" customHeight="1">
      <c r="C629" s="30"/>
      <c r="D629" s="30"/>
    </row>
    <row r="630" spans="3:4" ht="14.3" customHeight="1">
      <c r="C630" s="30"/>
      <c r="D630" s="30"/>
    </row>
    <row r="631" spans="3:4" ht="14.3" customHeight="1">
      <c r="C631" s="30"/>
      <c r="D631" s="30"/>
    </row>
    <row r="632" spans="3:4" ht="14.3" customHeight="1">
      <c r="C632" s="30"/>
      <c r="D632" s="30"/>
    </row>
    <row r="633" spans="3:4" ht="14.3" customHeight="1">
      <c r="C633" s="30"/>
      <c r="D633" s="30"/>
    </row>
    <row r="634" spans="3:4" ht="14.3" customHeight="1">
      <c r="C634" s="30"/>
      <c r="D634" s="30"/>
    </row>
    <row r="635" spans="3:4" ht="14.3" customHeight="1">
      <c r="C635" s="30"/>
      <c r="D635" s="30"/>
    </row>
    <row r="636" spans="3:4" ht="14.3" customHeight="1">
      <c r="C636" s="30"/>
      <c r="D636" s="30"/>
    </row>
    <row r="637" spans="3:4" ht="14.3" customHeight="1">
      <c r="C637" s="30"/>
      <c r="D637" s="30"/>
    </row>
    <row r="638" spans="3:4" ht="14.3" customHeight="1">
      <c r="C638" s="30"/>
      <c r="D638" s="30"/>
    </row>
    <row r="639" spans="3:4" ht="14.3" customHeight="1">
      <c r="C639" s="30"/>
      <c r="D639" s="30"/>
    </row>
    <row r="640" spans="3:4" ht="14.3" customHeight="1">
      <c r="C640" s="30"/>
      <c r="D640" s="30"/>
    </row>
    <row r="641" spans="3:4" ht="14.3" customHeight="1">
      <c r="C641" s="30"/>
      <c r="D641" s="30"/>
    </row>
    <row r="642" spans="3:4" ht="14.3" customHeight="1">
      <c r="C642" s="30"/>
      <c r="D642" s="30"/>
    </row>
    <row r="643" spans="3:4" ht="14.3" customHeight="1">
      <c r="C643" s="30"/>
      <c r="D643" s="30"/>
    </row>
    <row r="644" spans="3:4" ht="14.3" customHeight="1">
      <c r="C644" s="30"/>
      <c r="D644" s="30"/>
    </row>
    <row r="645" spans="3:4" ht="14.3" customHeight="1">
      <c r="C645" s="30"/>
      <c r="D645" s="30"/>
    </row>
    <row r="646" spans="3:4" ht="14.3" customHeight="1">
      <c r="C646" s="30"/>
      <c r="D646" s="30"/>
    </row>
    <row r="647" spans="3:4" ht="14.3" customHeight="1">
      <c r="C647" s="30"/>
      <c r="D647" s="30"/>
    </row>
    <row r="648" spans="3:4" ht="14.3" customHeight="1">
      <c r="C648" s="30"/>
      <c r="D648" s="30"/>
    </row>
    <row r="649" spans="3:4" ht="14.3" customHeight="1">
      <c r="C649" s="30"/>
      <c r="D649" s="30"/>
    </row>
    <row r="650" spans="3:4" ht="14.3" customHeight="1">
      <c r="C650" s="30"/>
      <c r="D650" s="30"/>
    </row>
    <row r="651" spans="3:4" ht="14.3" customHeight="1">
      <c r="C651" s="30"/>
      <c r="D651" s="30"/>
    </row>
    <row r="652" spans="3:4" ht="14.3" customHeight="1">
      <c r="C652" s="30"/>
      <c r="D652" s="30"/>
    </row>
    <row r="653" spans="3:4" ht="14.3" customHeight="1">
      <c r="C653" s="30"/>
      <c r="D653" s="30"/>
    </row>
    <row r="654" spans="3:4" ht="14.3" customHeight="1">
      <c r="C654" s="30"/>
      <c r="D654" s="30"/>
    </row>
    <row r="655" spans="3:4" ht="14.3" customHeight="1">
      <c r="C655" s="30"/>
      <c r="D655" s="30"/>
    </row>
    <row r="656" spans="3:4" ht="14.3" customHeight="1">
      <c r="C656" s="30"/>
      <c r="D656" s="30"/>
    </row>
    <row r="657" spans="3:4" ht="14.3" customHeight="1">
      <c r="C657" s="30"/>
      <c r="D657" s="30"/>
    </row>
    <row r="658" spans="3:4" ht="14.3" customHeight="1">
      <c r="C658" s="30"/>
      <c r="D658" s="30"/>
    </row>
    <row r="659" spans="3:4" ht="14.3" customHeight="1">
      <c r="C659" s="30"/>
      <c r="D659" s="30"/>
    </row>
    <row r="660" spans="3:4" ht="14.3" customHeight="1">
      <c r="C660" s="30"/>
      <c r="D660" s="30"/>
    </row>
    <row r="661" spans="3:4" ht="14.3" customHeight="1">
      <c r="C661" s="30"/>
      <c r="D661" s="30"/>
    </row>
    <row r="662" spans="3:4" ht="14.3" customHeight="1">
      <c r="C662" s="30"/>
      <c r="D662" s="30"/>
    </row>
    <row r="663" spans="3:4" ht="14.3" customHeight="1">
      <c r="C663" s="30"/>
      <c r="D663" s="30"/>
    </row>
    <row r="664" spans="3:4" ht="14.3" customHeight="1">
      <c r="C664" s="30"/>
      <c r="D664" s="30"/>
    </row>
    <row r="665" spans="3:4" ht="14.3" customHeight="1">
      <c r="C665" s="30"/>
      <c r="D665" s="30"/>
    </row>
    <row r="666" spans="3:4" ht="14.3" customHeight="1">
      <c r="C666" s="30"/>
      <c r="D666" s="30"/>
    </row>
    <row r="667" spans="3:4" ht="14.3" customHeight="1">
      <c r="C667" s="30"/>
      <c r="D667" s="30"/>
    </row>
    <row r="668" spans="3:4" ht="14.3" customHeight="1">
      <c r="C668" s="30"/>
      <c r="D668" s="30"/>
    </row>
    <row r="669" spans="3:4" ht="14.3" customHeight="1">
      <c r="C669" s="30"/>
      <c r="D669" s="30"/>
    </row>
    <row r="670" spans="3:4" ht="14.3" customHeight="1">
      <c r="C670" s="30"/>
      <c r="D670" s="30"/>
    </row>
    <row r="671" spans="3:4" ht="14.3" customHeight="1">
      <c r="C671" s="30"/>
      <c r="D671" s="30"/>
    </row>
    <row r="672" spans="3:4" ht="14.3" customHeight="1">
      <c r="C672" s="30"/>
      <c r="D672" s="30"/>
    </row>
    <row r="673" spans="3:4" ht="14.3" customHeight="1">
      <c r="C673" s="30"/>
      <c r="D673" s="30"/>
    </row>
    <row r="674" spans="3:4" ht="14.3" customHeight="1">
      <c r="C674" s="30"/>
      <c r="D674" s="30"/>
    </row>
    <row r="675" spans="3:4" ht="14.3" customHeight="1">
      <c r="C675" s="30"/>
      <c r="D675" s="30"/>
    </row>
    <row r="676" spans="3:4" ht="14.3" customHeight="1">
      <c r="C676" s="30"/>
      <c r="D676" s="30"/>
    </row>
    <row r="677" spans="3:4" ht="14.3" customHeight="1">
      <c r="C677" s="30"/>
      <c r="D677" s="30"/>
    </row>
    <row r="678" spans="3:4" ht="14.3" customHeight="1">
      <c r="C678" s="30"/>
      <c r="D678" s="30"/>
    </row>
    <row r="679" spans="3:4" ht="14.3" customHeight="1">
      <c r="C679" s="30"/>
      <c r="D679" s="30"/>
    </row>
    <row r="680" spans="3:4" ht="14.3" customHeight="1">
      <c r="C680" s="30"/>
      <c r="D680" s="30"/>
    </row>
    <row r="681" spans="3:4" ht="14.3" customHeight="1">
      <c r="C681" s="30"/>
      <c r="D681" s="30"/>
    </row>
    <row r="682" spans="3:4" ht="14.3" customHeight="1">
      <c r="C682" s="30"/>
      <c r="D682" s="30"/>
    </row>
    <row r="683" spans="3:4" ht="14.3" customHeight="1">
      <c r="C683" s="30"/>
      <c r="D683" s="30"/>
    </row>
    <row r="684" spans="3:4" ht="14.3" customHeight="1">
      <c r="C684" s="30"/>
      <c r="D684" s="30"/>
    </row>
    <row r="685" spans="3:4" ht="14.3" customHeight="1">
      <c r="C685" s="30"/>
      <c r="D685" s="30"/>
    </row>
    <row r="686" spans="3:4" ht="14.3" customHeight="1">
      <c r="C686" s="30"/>
      <c r="D686" s="30"/>
    </row>
    <row r="687" spans="3:4" ht="14.3" customHeight="1">
      <c r="C687" s="30"/>
      <c r="D687" s="30"/>
    </row>
    <row r="688" spans="3:4" ht="14.3" customHeight="1">
      <c r="C688" s="30"/>
      <c r="D688" s="30"/>
    </row>
    <row r="689" spans="3:4" ht="14.3" customHeight="1">
      <c r="C689" s="30"/>
      <c r="D689" s="30"/>
    </row>
    <row r="690" spans="3:4" ht="14.3" customHeight="1">
      <c r="C690" s="30"/>
      <c r="D690" s="30"/>
    </row>
    <row r="691" spans="3:4" ht="14.3" customHeight="1">
      <c r="C691" s="30"/>
      <c r="D691" s="30"/>
    </row>
    <row r="692" spans="3:4" ht="14.3" customHeight="1">
      <c r="C692" s="30"/>
      <c r="D692" s="30"/>
    </row>
    <row r="693" spans="3:4" ht="14.3" customHeight="1">
      <c r="C693" s="30"/>
      <c r="D693" s="30"/>
    </row>
    <row r="694" spans="3:4" ht="14.3" customHeight="1">
      <c r="C694" s="30"/>
      <c r="D694" s="30"/>
    </row>
    <row r="695" spans="3:4" ht="14.3" customHeight="1">
      <c r="C695" s="30"/>
      <c r="D695" s="30"/>
    </row>
    <row r="696" spans="3:4" ht="14.3" customHeight="1">
      <c r="C696" s="30"/>
      <c r="D696" s="30"/>
    </row>
    <row r="697" spans="3:4" ht="14.3" customHeight="1">
      <c r="C697" s="30"/>
      <c r="D697" s="30"/>
    </row>
    <row r="698" spans="3:4" ht="14.3" customHeight="1">
      <c r="C698" s="30"/>
      <c r="D698" s="30"/>
    </row>
    <row r="699" spans="3:4" ht="14.3" customHeight="1">
      <c r="C699" s="30"/>
      <c r="D699" s="30"/>
    </row>
    <row r="700" spans="3:4" ht="14.3" customHeight="1">
      <c r="C700" s="30"/>
      <c r="D700" s="30"/>
    </row>
    <row r="701" spans="3:4" ht="14.3" customHeight="1">
      <c r="C701" s="30"/>
      <c r="D701" s="30"/>
    </row>
    <row r="702" spans="3:4" ht="14.3" customHeight="1">
      <c r="C702" s="30"/>
      <c r="D702" s="30"/>
    </row>
    <row r="703" spans="3:4" ht="14.3" customHeight="1">
      <c r="C703" s="30"/>
      <c r="D703" s="30"/>
    </row>
    <row r="704" spans="3:4" ht="14.3" customHeight="1">
      <c r="C704" s="30"/>
      <c r="D704" s="30"/>
    </row>
    <row r="705" spans="3:4" ht="14.3" customHeight="1">
      <c r="C705" s="30"/>
      <c r="D705" s="30"/>
    </row>
    <row r="706" spans="3:4" ht="14.3" customHeight="1">
      <c r="C706" s="30"/>
      <c r="D706" s="30"/>
    </row>
    <row r="707" spans="3:4" ht="14.3" customHeight="1">
      <c r="C707" s="30"/>
      <c r="D707" s="30"/>
    </row>
    <row r="708" spans="3:4" ht="14.3" customHeight="1">
      <c r="C708" s="30"/>
      <c r="D708" s="30"/>
    </row>
    <row r="709" spans="3:4" ht="14.3" customHeight="1">
      <c r="C709" s="30"/>
      <c r="D709" s="30"/>
    </row>
    <row r="710" spans="3:4" ht="14.3" customHeight="1">
      <c r="C710" s="30"/>
      <c r="D710" s="30"/>
    </row>
    <row r="711" spans="3:4" ht="14.3" customHeight="1">
      <c r="C711" s="30"/>
      <c r="D711" s="30"/>
    </row>
    <row r="712" spans="3:4" ht="14.3" customHeight="1">
      <c r="C712" s="30"/>
      <c r="D712" s="30"/>
    </row>
    <row r="713" spans="3:4" ht="14.3" customHeight="1">
      <c r="C713" s="30"/>
      <c r="D713" s="30"/>
    </row>
    <row r="714" spans="3:4" ht="14.3" customHeight="1">
      <c r="C714" s="30"/>
      <c r="D714" s="30"/>
    </row>
    <row r="715" spans="3:4" ht="14.3" customHeight="1">
      <c r="C715" s="30"/>
      <c r="D715" s="30"/>
    </row>
    <row r="716" spans="3:4" ht="14.3" customHeight="1">
      <c r="C716" s="30"/>
      <c r="D716" s="30"/>
    </row>
    <row r="717" spans="3:4" ht="14.3" customHeight="1">
      <c r="C717" s="30"/>
      <c r="D717" s="30"/>
    </row>
    <row r="718" spans="3:4" ht="14.3" customHeight="1">
      <c r="C718" s="30"/>
      <c r="D718" s="30"/>
    </row>
    <row r="719" spans="3:4" ht="14.3" customHeight="1">
      <c r="C719" s="30"/>
      <c r="D719" s="30"/>
    </row>
    <row r="720" spans="3:4" ht="14.3" customHeight="1">
      <c r="C720" s="30"/>
      <c r="D720" s="30"/>
    </row>
    <row r="721" spans="3:4" ht="14.3" customHeight="1">
      <c r="C721" s="30"/>
      <c r="D721" s="30"/>
    </row>
    <row r="722" spans="3:4" ht="14.3" customHeight="1">
      <c r="C722" s="30"/>
      <c r="D722" s="30"/>
    </row>
    <row r="723" spans="3:4" ht="14.3" customHeight="1">
      <c r="C723" s="30"/>
      <c r="D723" s="30"/>
    </row>
    <row r="724" spans="3:4" ht="14.3" customHeight="1">
      <c r="C724" s="30"/>
      <c r="D724" s="30"/>
    </row>
    <row r="725" spans="3:4" ht="14.3" customHeight="1">
      <c r="C725" s="30"/>
      <c r="D725" s="30"/>
    </row>
    <row r="726" spans="3:4" ht="14.3" customHeight="1">
      <c r="C726" s="30"/>
      <c r="D726" s="30"/>
    </row>
    <row r="727" spans="3:4" ht="14.3" customHeight="1">
      <c r="C727" s="30"/>
      <c r="D727" s="30"/>
    </row>
    <row r="728" spans="3:4" ht="14.3" customHeight="1">
      <c r="C728" s="30"/>
      <c r="D728" s="30"/>
    </row>
    <row r="729" spans="3:4" ht="14.3" customHeight="1">
      <c r="C729" s="30"/>
      <c r="D729" s="30"/>
    </row>
    <row r="730" spans="3:4" ht="14.3" customHeight="1">
      <c r="C730" s="30"/>
      <c r="D730" s="30"/>
    </row>
    <row r="731" spans="3:4" ht="14.3" customHeight="1">
      <c r="C731" s="30"/>
      <c r="D731" s="30"/>
    </row>
    <row r="732" spans="3:4" ht="14.3" customHeight="1">
      <c r="C732" s="30"/>
      <c r="D732" s="30"/>
    </row>
    <row r="733" spans="3:4" ht="14.3" customHeight="1">
      <c r="C733" s="30"/>
      <c r="D733" s="30"/>
    </row>
    <row r="734" spans="3:4" ht="14.3" customHeight="1">
      <c r="C734" s="30"/>
      <c r="D734" s="30"/>
    </row>
    <row r="735" spans="3:4" ht="14.3" customHeight="1">
      <c r="C735" s="30"/>
      <c r="D735" s="30"/>
    </row>
    <row r="736" spans="3:4" ht="14.3" customHeight="1">
      <c r="C736" s="30"/>
      <c r="D736" s="30"/>
    </row>
    <row r="737" spans="3:4" ht="14.3" customHeight="1">
      <c r="C737" s="30"/>
      <c r="D737" s="30"/>
    </row>
    <row r="738" spans="3:4" ht="14.3" customHeight="1">
      <c r="C738" s="30"/>
      <c r="D738" s="30"/>
    </row>
    <row r="739" spans="3:4" ht="14.3" customHeight="1">
      <c r="C739" s="30"/>
      <c r="D739" s="30"/>
    </row>
    <row r="740" spans="3:4" ht="14.3" customHeight="1">
      <c r="C740" s="30"/>
      <c r="D740" s="30"/>
    </row>
    <row r="741" spans="3:4" ht="14.3" customHeight="1">
      <c r="C741" s="30"/>
      <c r="D741" s="30"/>
    </row>
    <row r="742" spans="3:4" ht="14.3" customHeight="1">
      <c r="C742" s="30"/>
      <c r="D742" s="30"/>
    </row>
    <row r="743" spans="3:4" ht="14.3" customHeight="1">
      <c r="C743" s="30"/>
      <c r="D743" s="30"/>
    </row>
    <row r="744" spans="3:4" ht="14.3" customHeight="1">
      <c r="C744" s="30"/>
      <c r="D744" s="30"/>
    </row>
    <row r="745" spans="3:4" ht="14.3" customHeight="1">
      <c r="C745" s="30"/>
      <c r="D745" s="30"/>
    </row>
    <row r="746" spans="3:4" ht="14.3" customHeight="1">
      <c r="C746" s="30"/>
      <c r="D746" s="30"/>
    </row>
    <row r="747" spans="3:4" ht="14.3" customHeight="1">
      <c r="C747" s="30"/>
      <c r="D747" s="30"/>
    </row>
    <row r="748" spans="3:4" ht="14.3" customHeight="1">
      <c r="C748" s="30"/>
      <c r="D748" s="30"/>
    </row>
    <row r="749" spans="3:4" ht="14.3" customHeight="1">
      <c r="C749" s="30"/>
      <c r="D749" s="30"/>
    </row>
    <row r="750" spans="3:4" ht="14.3" customHeight="1">
      <c r="C750" s="30"/>
      <c r="D750" s="30"/>
    </row>
    <row r="751" spans="3:4" ht="14.3" customHeight="1">
      <c r="C751" s="30"/>
      <c r="D751" s="30"/>
    </row>
    <row r="752" spans="3:4" ht="14.3" customHeight="1">
      <c r="C752" s="30"/>
      <c r="D752" s="30"/>
    </row>
    <row r="753" spans="3:4" ht="14.3" customHeight="1">
      <c r="C753" s="30"/>
      <c r="D753" s="30"/>
    </row>
    <row r="754" spans="3:4" ht="14.3" customHeight="1">
      <c r="C754" s="30"/>
      <c r="D754" s="30"/>
    </row>
    <row r="755" spans="3:4" ht="14.3" customHeight="1">
      <c r="C755" s="30"/>
      <c r="D755" s="30"/>
    </row>
    <row r="756" spans="3:4" ht="14.3" customHeight="1">
      <c r="C756" s="30"/>
      <c r="D756" s="30"/>
    </row>
    <row r="757" spans="3:4" ht="14.3" customHeight="1">
      <c r="C757" s="30"/>
      <c r="D757" s="30"/>
    </row>
    <row r="758" spans="3:4" ht="14.3" customHeight="1">
      <c r="C758" s="30"/>
      <c r="D758" s="30"/>
    </row>
    <row r="759" spans="3:4" ht="14.3" customHeight="1">
      <c r="C759" s="30"/>
      <c r="D759" s="30"/>
    </row>
    <row r="760" spans="3:4" ht="14.3" customHeight="1">
      <c r="C760" s="30"/>
      <c r="D760" s="30"/>
    </row>
    <row r="761" spans="3:4" ht="14.3" customHeight="1">
      <c r="C761" s="30"/>
      <c r="D761" s="30"/>
    </row>
    <row r="762" spans="3:4" ht="14.3" customHeight="1">
      <c r="C762" s="30"/>
      <c r="D762" s="30"/>
    </row>
    <row r="763" spans="3:4" ht="14.3" customHeight="1">
      <c r="C763" s="30"/>
      <c r="D763" s="30"/>
    </row>
    <row r="764" spans="3:4" ht="14.3" customHeight="1">
      <c r="C764" s="30"/>
      <c r="D764" s="30"/>
    </row>
    <row r="765" spans="3:4" ht="14.3" customHeight="1">
      <c r="C765" s="30"/>
      <c r="D765" s="30"/>
    </row>
    <row r="766" spans="3:4" ht="14.3" customHeight="1">
      <c r="C766" s="30"/>
      <c r="D766" s="30"/>
    </row>
    <row r="767" spans="3:4" ht="14.3" customHeight="1">
      <c r="C767" s="30"/>
      <c r="D767" s="30"/>
    </row>
    <row r="768" spans="3:4" ht="14.3" customHeight="1">
      <c r="C768" s="30"/>
      <c r="D768" s="30"/>
    </row>
    <row r="769" spans="3:4" ht="14.3" customHeight="1">
      <c r="C769" s="30"/>
      <c r="D769" s="30"/>
    </row>
    <row r="770" spans="3:4" ht="14.3" customHeight="1">
      <c r="C770" s="30"/>
      <c r="D770" s="30"/>
    </row>
    <row r="771" spans="3:4" ht="14.3" customHeight="1">
      <c r="C771" s="30"/>
      <c r="D771" s="30"/>
    </row>
    <row r="772" spans="3:4" ht="14.3" customHeight="1">
      <c r="C772" s="30"/>
      <c r="D772" s="30"/>
    </row>
    <row r="773" spans="3:4" ht="14.3" customHeight="1">
      <c r="C773" s="30"/>
      <c r="D773" s="30"/>
    </row>
    <row r="774" spans="3:4" ht="14.3" customHeight="1">
      <c r="C774" s="30"/>
      <c r="D774" s="30"/>
    </row>
    <row r="775" spans="3:4" ht="14.3" customHeight="1">
      <c r="C775" s="30"/>
      <c r="D775" s="30"/>
    </row>
    <row r="776" spans="3:4" ht="14.3" customHeight="1">
      <c r="C776" s="30"/>
      <c r="D776" s="30"/>
    </row>
    <row r="777" spans="3:4" ht="14.3" customHeight="1">
      <c r="C777" s="30"/>
      <c r="D777" s="30"/>
    </row>
    <row r="778" spans="3:4" ht="14.3" customHeight="1">
      <c r="C778" s="30"/>
      <c r="D778" s="30"/>
    </row>
    <row r="779" spans="3:4" ht="14.3" customHeight="1">
      <c r="C779" s="30"/>
      <c r="D779" s="30"/>
    </row>
    <row r="780" spans="3:4" ht="14.3" customHeight="1">
      <c r="C780" s="30"/>
      <c r="D780" s="30"/>
    </row>
    <row r="781" spans="3:4" ht="14.3" customHeight="1">
      <c r="C781" s="30"/>
      <c r="D781" s="30"/>
    </row>
    <row r="782" spans="3:4" ht="14.3" customHeight="1">
      <c r="C782" s="30"/>
      <c r="D782" s="30"/>
    </row>
    <row r="783" spans="3:4" ht="14.3" customHeight="1">
      <c r="C783" s="30"/>
      <c r="D783" s="30"/>
    </row>
    <row r="784" spans="3:4" ht="14.3" customHeight="1">
      <c r="C784" s="30"/>
      <c r="D784" s="30"/>
    </row>
    <row r="785" spans="3:4" ht="14.3" customHeight="1">
      <c r="C785" s="30"/>
      <c r="D785" s="30"/>
    </row>
    <row r="786" spans="3:4" ht="14.3" customHeight="1">
      <c r="C786" s="30"/>
      <c r="D786" s="30"/>
    </row>
    <row r="787" spans="3:4" ht="14.3" customHeight="1">
      <c r="C787" s="30"/>
      <c r="D787" s="30"/>
    </row>
    <row r="788" spans="3:4" ht="14.3" customHeight="1">
      <c r="C788" s="30"/>
      <c r="D788" s="30"/>
    </row>
    <row r="789" spans="3:4" ht="14.3" customHeight="1">
      <c r="C789" s="30"/>
      <c r="D789" s="30"/>
    </row>
    <row r="790" spans="3:4" ht="14.3" customHeight="1">
      <c r="C790" s="30"/>
      <c r="D790" s="30"/>
    </row>
    <row r="791" spans="3:4" ht="14.3" customHeight="1">
      <c r="C791" s="30"/>
      <c r="D791" s="30"/>
    </row>
    <row r="792" spans="3:4" ht="14.3" customHeight="1">
      <c r="C792" s="30"/>
      <c r="D792" s="30"/>
    </row>
    <row r="793" spans="3:4" ht="14.3" customHeight="1">
      <c r="C793" s="30"/>
      <c r="D793" s="30"/>
    </row>
    <row r="794" spans="3:4" ht="14.3" customHeight="1">
      <c r="C794" s="30"/>
      <c r="D794" s="30"/>
    </row>
    <row r="795" spans="3:4" ht="14.3" customHeight="1">
      <c r="C795" s="30"/>
      <c r="D795" s="30"/>
    </row>
    <row r="796" spans="3:4" ht="14.3" customHeight="1">
      <c r="C796" s="30"/>
      <c r="D796" s="30"/>
    </row>
    <row r="797" spans="3:4" ht="14.3" customHeight="1">
      <c r="C797" s="30"/>
      <c r="D797" s="30"/>
    </row>
    <row r="798" spans="3:4" ht="14.3" customHeight="1">
      <c r="C798" s="30"/>
      <c r="D798" s="30"/>
    </row>
    <row r="799" spans="3:4" ht="14.3" customHeight="1">
      <c r="C799" s="30"/>
      <c r="D799" s="30"/>
    </row>
    <row r="800" spans="3:4" ht="14.3" customHeight="1">
      <c r="C800" s="30"/>
      <c r="D800" s="30"/>
    </row>
    <row r="801" spans="3:4" ht="14.3" customHeight="1">
      <c r="C801" s="30"/>
      <c r="D801" s="30"/>
    </row>
    <row r="802" spans="3:4" ht="14.3" customHeight="1">
      <c r="C802" s="30"/>
      <c r="D802" s="30"/>
    </row>
    <row r="803" spans="3:4" ht="14.3" customHeight="1">
      <c r="C803" s="30"/>
      <c r="D803" s="30"/>
    </row>
    <row r="804" spans="3:4" ht="14.3" customHeight="1">
      <c r="C804" s="30"/>
      <c r="D804" s="30"/>
    </row>
    <row r="805" spans="3:4" ht="14.3" customHeight="1">
      <c r="C805" s="30"/>
      <c r="D805" s="30"/>
    </row>
    <row r="806" spans="3:4" ht="14.3" customHeight="1">
      <c r="C806" s="30"/>
      <c r="D806" s="30"/>
    </row>
    <row r="807" spans="3:4" ht="14.3" customHeight="1">
      <c r="C807" s="30"/>
      <c r="D807" s="30"/>
    </row>
    <row r="808" spans="3:4" ht="14.3" customHeight="1">
      <c r="C808" s="30"/>
      <c r="D808" s="30"/>
    </row>
    <row r="809" spans="3:4" ht="14.3" customHeight="1">
      <c r="C809" s="30"/>
      <c r="D809" s="30"/>
    </row>
    <row r="810" spans="3:4" ht="14.3" customHeight="1">
      <c r="C810" s="30"/>
      <c r="D810" s="30"/>
    </row>
    <row r="811" spans="3:4" ht="14.3" customHeight="1">
      <c r="C811" s="30"/>
      <c r="D811" s="30"/>
    </row>
    <row r="812" spans="3:4" ht="14.3" customHeight="1">
      <c r="C812" s="30"/>
      <c r="D812" s="30"/>
    </row>
    <row r="813" spans="3:4" ht="14.3" customHeight="1">
      <c r="C813" s="30"/>
      <c r="D813" s="30"/>
    </row>
    <row r="814" spans="3:4" ht="14.3" customHeight="1">
      <c r="C814" s="30"/>
      <c r="D814" s="30"/>
    </row>
    <row r="815" spans="3:4" ht="14.3" customHeight="1">
      <c r="C815" s="30"/>
      <c r="D815" s="30"/>
    </row>
    <row r="816" spans="3:4" ht="14.3" customHeight="1">
      <c r="C816" s="30"/>
      <c r="D816" s="30"/>
    </row>
    <row r="817" spans="3:4" ht="14.3" customHeight="1">
      <c r="C817" s="30"/>
      <c r="D817" s="30"/>
    </row>
    <row r="818" spans="3:4" ht="14.3" customHeight="1">
      <c r="C818" s="30"/>
      <c r="D818" s="30"/>
    </row>
    <row r="819" spans="3:4" ht="14.3" customHeight="1">
      <c r="C819" s="30"/>
      <c r="D819" s="30"/>
    </row>
    <row r="820" spans="3:4" ht="14.3" customHeight="1">
      <c r="C820" s="30"/>
      <c r="D820" s="30"/>
    </row>
    <row r="821" spans="3:4" ht="14.3" customHeight="1">
      <c r="C821" s="30"/>
      <c r="D821" s="30"/>
    </row>
    <row r="822" spans="3:4" ht="14.3" customHeight="1">
      <c r="C822" s="30"/>
      <c r="D822" s="30"/>
    </row>
    <row r="823" spans="3:4" ht="14.3" customHeight="1">
      <c r="C823" s="30"/>
      <c r="D823" s="30"/>
    </row>
    <row r="824" spans="3:4" ht="14.3" customHeight="1">
      <c r="C824" s="30"/>
      <c r="D824" s="30"/>
    </row>
    <row r="825" spans="3:4" ht="14.3" customHeight="1">
      <c r="C825" s="30"/>
      <c r="D825" s="30"/>
    </row>
    <row r="826" spans="3:4" ht="14.3" customHeight="1">
      <c r="C826" s="30"/>
      <c r="D826" s="30"/>
    </row>
    <row r="827" spans="3:4" ht="14.3" customHeight="1">
      <c r="C827" s="30"/>
      <c r="D827" s="30"/>
    </row>
    <row r="828" spans="3:4" ht="14.3" customHeight="1">
      <c r="C828" s="30"/>
      <c r="D828" s="30"/>
    </row>
    <row r="829" spans="3:4" ht="14.3" customHeight="1">
      <c r="C829" s="30"/>
      <c r="D829" s="30"/>
    </row>
    <row r="830" spans="3:4" ht="14.3" customHeight="1">
      <c r="C830" s="30"/>
      <c r="D830" s="30"/>
    </row>
    <row r="831" spans="3:4" ht="14.3" customHeight="1">
      <c r="C831" s="30"/>
      <c r="D831" s="30"/>
    </row>
    <row r="832" spans="3:4" ht="14.3" customHeight="1">
      <c r="C832" s="30"/>
      <c r="D832" s="30"/>
    </row>
    <row r="833" spans="3:4" ht="14.3" customHeight="1">
      <c r="C833" s="30"/>
      <c r="D833" s="30"/>
    </row>
    <row r="834" spans="3:4" ht="14.3" customHeight="1">
      <c r="C834" s="30"/>
      <c r="D834" s="30"/>
    </row>
    <row r="835" spans="3:4" ht="14.3" customHeight="1">
      <c r="C835" s="30"/>
      <c r="D835" s="30"/>
    </row>
    <row r="836" spans="3:4" ht="14.3" customHeight="1">
      <c r="C836" s="30"/>
      <c r="D836" s="30"/>
    </row>
    <row r="837" spans="3:4" ht="14.3" customHeight="1">
      <c r="C837" s="30"/>
      <c r="D837" s="30"/>
    </row>
    <row r="838" spans="3:4" ht="14.3" customHeight="1">
      <c r="C838" s="30"/>
      <c r="D838" s="30"/>
    </row>
    <row r="839" spans="3:4" ht="14.3" customHeight="1">
      <c r="C839" s="30"/>
      <c r="D839" s="30"/>
    </row>
    <row r="840" spans="3:4" ht="14.3" customHeight="1">
      <c r="C840" s="30"/>
      <c r="D840" s="30"/>
    </row>
    <row r="841" spans="3:4" ht="14.3" customHeight="1">
      <c r="C841" s="30"/>
      <c r="D841" s="30"/>
    </row>
    <row r="842" spans="3:4" ht="14.3" customHeight="1">
      <c r="C842" s="30"/>
      <c r="D842" s="30"/>
    </row>
    <row r="843" spans="3:4" ht="14.3" customHeight="1">
      <c r="C843" s="30"/>
      <c r="D843" s="30"/>
    </row>
    <row r="844" spans="3:4" ht="14.3" customHeight="1">
      <c r="C844" s="30"/>
      <c r="D844" s="30"/>
    </row>
    <row r="845" spans="3:4" ht="14.3" customHeight="1">
      <c r="C845" s="30"/>
      <c r="D845" s="30"/>
    </row>
    <row r="846" spans="3:4" ht="14.3" customHeight="1">
      <c r="C846" s="30"/>
      <c r="D846" s="30"/>
    </row>
    <row r="847" spans="3:4" ht="14.3" customHeight="1">
      <c r="C847" s="30"/>
      <c r="D847" s="30"/>
    </row>
    <row r="848" spans="3:4" ht="14.3" customHeight="1">
      <c r="C848" s="30"/>
      <c r="D848" s="30"/>
    </row>
    <row r="849" spans="3:4" ht="14.3" customHeight="1">
      <c r="C849" s="30"/>
      <c r="D849" s="30"/>
    </row>
    <row r="850" spans="3:4" ht="14.3" customHeight="1">
      <c r="C850" s="30"/>
      <c r="D850" s="30"/>
    </row>
    <row r="851" spans="3:4" ht="14.3" customHeight="1">
      <c r="C851" s="30"/>
      <c r="D851" s="30"/>
    </row>
    <row r="852" spans="3:4" ht="14.3" customHeight="1">
      <c r="C852" s="30"/>
      <c r="D852" s="30"/>
    </row>
    <row r="853" spans="3:4" ht="14.3" customHeight="1">
      <c r="C853" s="30"/>
      <c r="D853" s="30"/>
    </row>
    <row r="854" spans="3:4" ht="14.3" customHeight="1">
      <c r="C854" s="30"/>
      <c r="D854" s="30"/>
    </row>
    <row r="855" spans="3:4" ht="14.3" customHeight="1">
      <c r="C855" s="30"/>
      <c r="D855" s="30"/>
    </row>
    <row r="856" spans="3:4" ht="14.3" customHeight="1">
      <c r="C856" s="30"/>
      <c r="D856" s="30"/>
    </row>
    <row r="857" spans="3:4" ht="14.3" customHeight="1">
      <c r="C857" s="30"/>
      <c r="D857" s="30"/>
    </row>
    <row r="858" spans="3:4" ht="14.3" customHeight="1">
      <c r="C858" s="30"/>
      <c r="D858" s="30"/>
    </row>
    <row r="859" spans="3:4" ht="14.3" customHeight="1">
      <c r="C859" s="30"/>
      <c r="D859" s="30"/>
    </row>
    <row r="860" spans="3:4" ht="14.3" customHeight="1">
      <c r="C860" s="30"/>
      <c r="D860" s="30"/>
    </row>
    <row r="861" spans="3:4" ht="14.3" customHeight="1">
      <c r="C861" s="30"/>
      <c r="D861" s="30"/>
    </row>
    <row r="862" spans="3:4" ht="14.3" customHeight="1">
      <c r="C862" s="30"/>
      <c r="D862" s="30"/>
    </row>
    <row r="863" spans="3:4" ht="14.3" customHeight="1">
      <c r="C863" s="30"/>
      <c r="D863" s="30"/>
    </row>
    <row r="864" spans="3:4" ht="14.3" customHeight="1">
      <c r="C864" s="30"/>
      <c r="D864" s="30"/>
    </row>
    <row r="865" spans="3:4" ht="14.3" customHeight="1">
      <c r="C865" s="30"/>
      <c r="D865" s="30"/>
    </row>
    <row r="866" spans="3:4" ht="14.3" customHeight="1">
      <c r="C866" s="30"/>
      <c r="D866" s="30"/>
    </row>
    <row r="867" spans="3:4" ht="14.3" customHeight="1">
      <c r="C867" s="30"/>
      <c r="D867" s="30"/>
    </row>
    <row r="868" spans="3:4" ht="14.3" customHeight="1">
      <c r="C868" s="30"/>
      <c r="D868" s="30"/>
    </row>
    <row r="869" spans="3:4" ht="14.3" customHeight="1">
      <c r="C869" s="30"/>
      <c r="D869" s="30"/>
    </row>
    <row r="870" spans="3:4" ht="14.3" customHeight="1">
      <c r="C870" s="30"/>
      <c r="D870" s="30"/>
    </row>
    <row r="871" spans="3:4" ht="14.3" customHeight="1">
      <c r="C871" s="30"/>
      <c r="D871" s="30"/>
    </row>
    <row r="872" spans="3:4" ht="14.3" customHeight="1">
      <c r="C872" s="30"/>
      <c r="D872" s="30"/>
    </row>
    <row r="873" spans="3:4" ht="14.3" customHeight="1">
      <c r="C873" s="30"/>
      <c r="D873" s="30"/>
    </row>
    <row r="874" spans="3:4" ht="14.3" customHeight="1">
      <c r="C874" s="30"/>
      <c r="D874" s="30"/>
    </row>
    <row r="875" spans="3:4" ht="14.3" customHeight="1">
      <c r="C875" s="30"/>
      <c r="D875" s="30"/>
    </row>
    <row r="876" spans="3:4" ht="14.3" customHeight="1">
      <c r="C876" s="30"/>
      <c r="D876" s="30"/>
    </row>
    <row r="877" spans="3:4" ht="14.3" customHeight="1">
      <c r="C877" s="30"/>
      <c r="D877" s="30"/>
    </row>
    <row r="878" spans="3:4" ht="14.3" customHeight="1">
      <c r="C878" s="30"/>
      <c r="D878" s="30"/>
    </row>
    <row r="879" spans="3:4" ht="14.3" customHeight="1">
      <c r="C879" s="30"/>
      <c r="D879" s="30"/>
    </row>
    <row r="880" spans="3:4" ht="14.3" customHeight="1">
      <c r="C880" s="30"/>
      <c r="D880" s="30"/>
    </row>
    <row r="881" spans="3:4" ht="14.3" customHeight="1">
      <c r="C881" s="30"/>
      <c r="D881" s="30"/>
    </row>
    <row r="882" spans="3:4" ht="14.3" customHeight="1">
      <c r="C882" s="30"/>
      <c r="D882" s="30"/>
    </row>
    <row r="883" spans="3:4" ht="14.3" customHeight="1">
      <c r="C883" s="30"/>
      <c r="D883" s="30"/>
    </row>
    <row r="884" spans="3:4" ht="14.3" customHeight="1">
      <c r="C884" s="30"/>
      <c r="D884" s="30"/>
    </row>
    <row r="885" spans="3:4" ht="14.3" customHeight="1">
      <c r="C885" s="30"/>
      <c r="D885" s="30"/>
    </row>
    <row r="886" spans="3:4" ht="14.3" customHeight="1">
      <c r="C886" s="30"/>
      <c r="D886" s="30"/>
    </row>
    <row r="887" spans="3:4" ht="14.3" customHeight="1">
      <c r="C887" s="30"/>
      <c r="D887" s="30"/>
    </row>
    <row r="888" spans="3:4" ht="14.3" customHeight="1">
      <c r="C888" s="30"/>
      <c r="D888" s="30"/>
    </row>
    <row r="889" spans="3:4" ht="14.3" customHeight="1">
      <c r="C889" s="30"/>
      <c r="D889" s="30"/>
    </row>
    <row r="890" spans="3:4" ht="14.3" customHeight="1">
      <c r="C890" s="30"/>
      <c r="D890" s="30"/>
    </row>
    <row r="891" spans="3:4" ht="14.3" customHeight="1">
      <c r="C891" s="30"/>
      <c r="D891" s="30"/>
    </row>
    <row r="892" spans="3:4" ht="14.3" customHeight="1">
      <c r="C892" s="30"/>
      <c r="D892" s="30"/>
    </row>
    <row r="893" spans="3:4" ht="14.3" customHeight="1">
      <c r="C893" s="30"/>
      <c r="D893" s="30"/>
    </row>
    <row r="894" spans="3:4" ht="14.3" customHeight="1">
      <c r="C894" s="30"/>
      <c r="D894" s="30"/>
    </row>
    <row r="895" spans="3:4" ht="14.3" customHeight="1">
      <c r="C895" s="30"/>
      <c r="D895" s="30"/>
    </row>
    <row r="896" spans="3:4" ht="14.3" customHeight="1">
      <c r="C896" s="30"/>
      <c r="D896" s="30"/>
    </row>
    <row r="897" spans="3:4" ht="14.3" customHeight="1">
      <c r="C897" s="30"/>
      <c r="D897" s="30"/>
    </row>
    <row r="898" spans="3:4" ht="14.3" customHeight="1">
      <c r="C898" s="30"/>
      <c r="D898" s="30"/>
    </row>
    <row r="899" spans="3:4" ht="14.3" customHeight="1">
      <c r="C899" s="30"/>
      <c r="D899" s="30"/>
    </row>
    <row r="900" spans="3:4" ht="14.3" customHeight="1">
      <c r="C900" s="30"/>
      <c r="D900" s="30"/>
    </row>
    <row r="901" spans="3:4" ht="14.3" customHeight="1">
      <c r="C901" s="30"/>
      <c r="D901" s="30"/>
    </row>
    <row r="902" spans="3:4" ht="14.3" customHeight="1">
      <c r="C902" s="30"/>
      <c r="D902" s="30"/>
    </row>
    <row r="903" spans="3:4" ht="14.3" customHeight="1">
      <c r="C903" s="30"/>
      <c r="D903" s="30"/>
    </row>
    <row r="904" spans="3:4" ht="14.3" customHeight="1">
      <c r="C904" s="30"/>
      <c r="D904" s="30"/>
    </row>
    <row r="905" spans="3:4" ht="14.3" customHeight="1">
      <c r="C905" s="30"/>
      <c r="D905" s="30"/>
    </row>
    <row r="906" spans="3:4" ht="14.3" customHeight="1">
      <c r="C906" s="30"/>
      <c r="D906" s="30"/>
    </row>
    <row r="907" spans="3:4" ht="14.3" customHeight="1">
      <c r="C907" s="30"/>
      <c r="D907" s="30"/>
    </row>
    <row r="908" spans="3:4" ht="14.3" customHeight="1">
      <c r="C908" s="30"/>
      <c r="D908" s="30"/>
    </row>
    <row r="909" spans="3:4" ht="14.3" customHeight="1">
      <c r="C909" s="30"/>
      <c r="D909" s="30"/>
    </row>
    <row r="910" spans="3:4" ht="14.3" customHeight="1">
      <c r="C910" s="30"/>
      <c r="D910" s="30"/>
    </row>
    <row r="911" spans="3:4" ht="14.3" customHeight="1">
      <c r="C911" s="30"/>
      <c r="D911" s="30"/>
    </row>
    <row r="912" spans="3:4" ht="14.3" customHeight="1">
      <c r="C912" s="30"/>
      <c r="D912" s="30"/>
    </row>
    <row r="913" spans="3:4" ht="14.3" customHeight="1">
      <c r="C913" s="30"/>
      <c r="D913" s="30"/>
    </row>
    <row r="914" spans="3:4" ht="14.3" customHeight="1">
      <c r="C914" s="30"/>
      <c r="D914" s="30"/>
    </row>
    <row r="915" spans="3:4" ht="14.3" customHeight="1">
      <c r="C915" s="30"/>
      <c r="D915" s="30"/>
    </row>
    <row r="916" spans="3:4" ht="14.3" customHeight="1">
      <c r="C916" s="30"/>
      <c r="D916" s="30"/>
    </row>
    <row r="917" spans="3:4" ht="14.3" customHeight="1">
      <c r="C917" s="30"/>
      <c r="D917" s="30"/>
    </row>
    <row r="918" spans="3:4" ht="14.3" customHeight="1">
      <c r="C918" s="30"/>
      <c r="D918" s="30"/>
    </row>
    <row r="919" spans="3:4" ht="14.3" customHeight="1">
      <c r="C919" s="30"/>
      <c r="D919" s="30"/>
    </row>
    <row r="920" spans="3:4" ht="14.3" customHeight="1">
      <c r="C920" s="30"/>
      <c r="D920" s="30"/>
    </row>
    <row r="921" spans="3:4" ht="14.3" customHeight="1">
      <c r="C921" s="30"/>
      <c r="D921" s="30"/>
    </row>
    <row r="922" spans="3:4" ht="14.3" customHeight="1">
      <c r="C922" s="30"/>
      <c r="D922" s="30"/>
    </row>
    <row r="923" spans="3:4" ht="14.3" customHeight="1">
      <c r="C923" s="30"/>
      <c r="D923" s="30"/>
    </row>
    <row r="924" spans="3:4" ht="14.3" customHeight="1">
      <c r="C924" s="30"/>
      <c r="D924" s="30"/>
    </row>
    <row r="925" spans="3:4" ht="14.3" customHeight="1">
      <c r="C925" s="30"/>
      <c r="D925" s="30"/>
    </row>
    <row r="926" spans="3:4" ht="14.3" customHeight="1">
      <c r="C926" s="30"/>
      <c r="D926" s="30"/>
    </row>
    <row r="927" spans="3:4" ht="14.3" customHeight="1">
      <c r="C927" s="30"/>
      <c r="D927" s="30"/>
    </row>
    <row r="928" spans="3:4" ht="14.3" customHeight="1">
      <c r="C928" s="30"/>
      <c r="D928" s="30"/>
    </row>
    <row r="929" spans="3:4" ht="14.3" customHeight="1">
      <c r="C929" s="30"/>
      <c r="D929" s="30"/>
    </row>
    <row r="930" spans="3:4" ht="14.3" customHeight="1">
      <c r="C930" s="30"/>
      <c r="D930" s="30"/>
    </row>
    <row r="931" spans="3:4" ht="14.3" customHeight="1">
      <c r="C931" s="30"/>
      <c r="D931" s="30"/>
    </row>
    <row r="932" spans="3:4" ht="14.3" customHeight="1">
      <c r="C932" s="30"/>
      <c r="D932" s="30"/>
    </row>
    <row r="933" spans="3:4" ht="14.3" customHeight="1">
      <c r="C933" s="30"/>
      <c r="D933" s="30"/>
    </row>
    <row r="934" spans="3:4" ht="14.3" customHeight="1">
      <c r="C934" s="30"/>
      <c r="D934" s="30"/>
    </row>
    <row r="935" spans="3:4" ht="14.3" customHeight="1">
      <c r="C935" s="30"/>
      <c r="D935" s="30"/>
    </row>
    <row r="936" spans="3:4" ht="14.3" customHeight="1">
      <c r="C936" s="30"/>
      <c r="D936" s="30"/>
    </row>
    <row r="937" spans="3:4" ht="14.3" customHeight="1">
      <c r="C937" s="30"/>
      <c r="D937" s="30"/>
    </row>
    <row r="938" spans="3:4" ht="14.3" customHeight="1">
      <c r="C938" s="30"/>
      <c r="D938" s="30"/>
    </row>
    <row r="939" spans="3:4" ht="14.3" customHeight="1">
      <c r="C939" s="30"/>
      <c r="D939" s="30"/>
    </row>
    <row r="940" spans="3:4" ht="14.3" customHeight="1">
      <c r="C940" s="30"/>
      <c r="D940" s="30"/>
    </row>
    <row r="941" spans="3:4" ht="14.3" customHeight="1">
      <c r="C941" s="30"/>
      <c r="D941" s="30"/>
    </row>
    <row r="942" spans="3:4" ht="14.3" customHeight="1">
      <c r="C942" s="30"/>
      <c r="D942" s="30"/>
    </row>
    <row r="943" spans="3:4" ht="14.3" customHeight="1">
      <c r="C943" s="30"/>
      <c r="D943" s="30"/>
    </row>
    <row r="944" spans="3:4" ht="14.3" customHeight="1">
      <c r="C944" s="30"/>
      <c r="D944" s="30"/>
    </row>
    <row r="945" spans="3:4" ht="14.3" customHeight="1">
      <c r="C945" s="30"/>
      <c r="D945" s="30"/>
    </row>
    <row r="946" spans="3:4" ht="14.3" customHeight="1">
      <c r="C946" s="30"/>
      <c r="D946" s="30"/>
    </row>
    <row r="947" spans="3:4" ht="14.3" customHeight="1">
      <c r="C947" s="30"/>
      <c r="D947" s="30"/>
    </row>
    <row r="948" spans="3:4" ht="14.3" customHeight="1">
      <c r="C948" s="30"/>
      <c r="D948" s="30"/>
    </row>
    <row r="949" spans="3:4" ht="14.3" customHeight="1">
      <c r="C949" s="30"/>
      <c r="D949" s="30"/>
    </row>
    <row r="950" spans="3:4" ht="14.3" customHeight="1">
      <c r="C950" s="30"/>
      <c r="D950" s="30"/>
    </row>
    <row r="951" spans="3:4" ht="14.3" customHeight="1">
      <c r="C951" s="30"/>
      <c r="D951" s="30"/>
    </row>
    <row r="952" spans="3:4" ht="14.3" customHeight="1">
      <c r="C952" s="30"/>
      <c r="D952" s="30"/>
    </row>
    <row r="953" spans="3:4" ht="14.3" customHeight="1">
      <c r="C953" s="30"/>
      <c r="D953" s="30"/>
    </row>
    <row r="954" spans="3:4" ht="14.3" customHeight="1">
      <c r="C954" s="30"/>
      <c r="D954" s="30"/>
    </row>
    <row r="955" spans="3:4" ht="14.3" customHeight="1">
      <c r="C955" s="30"/>
      <c r="D955" s="30"/>
    </row>
    <row r="956" spans="3:4" ht="14.3" customHeight="1">
      <c r="C956" s="30"/>
      <c r="D956" s="30"/>
    </row>
    <row r="957" spans="3:4" ht="14.3" customHeight="1">
      <c r="C957" s="30"/>
      <c r="D957" s="30"/>
    </row>
    <row r="958" spans="3:4" ht="14.3" customHeight="1">
      <c r="C958" s="30"/>
      <c r="D958" s="30"/>
    </row>
    <row r="959" spans="3:4" ht="14.3" customHeight="1">
      <c r="C959" s="30"/>
      <c r="D959" s="30"/>
    </row>
    <row r="960" spans="3:4" ht="14.3" customHeight="1">
      <c r="C960" s="30"/>
      <c r="D960" s="30"/>
    </row>
    <row r="961" spans="3:4" ht="14.3" customHeight="1">
      <c r="C961" s="30"/>
      <c r="D961" s="30"/>
    </row>
    <row r="962" spans="3:4" ht="14.3" customHeight="1">
      <c r="C962" s="30"/>
      <c r="D962" s="30"/>
    </row>
    <row r="963" spans="3:4" ht="14.3" customHeight="1">
      <c r="C963" s="30"/>
      <c r="D963" s="30"/>
    </row>
    <row r="964" spans="3:4" ht="14.3" customHeight="1">
      <c r="C964" s="30"/>
      <c r="D964" s="30"/>
    </row>
    <row r="965" spans="3:4" ht="14.3" customHeight="1">
      <c r="C965" s="30"/>
      <c r="D965" s="30"/>
    </row>
    <row r="966" spans="3:4" ht="14.3" customHeight="1">
      <c r="C966" s="30"/>
      <c r="D966" s="30"/>
    </row>
    <row r="967" spans="3:4" ht="14.3" customHeight="1">
      <c r="C967" s="30"/>
      <c r="D967" s="30"/>
    </row>
    <row r="968" spans="3:4" ht="14.3" customHeight="1">
      <c r="C968" s="30"/>
      <c r="D968" s="30"/>
    </row>
    <row r="969" spans="3:4" ht="14.3" customHeight="1">
      <c r="C969" s="30"/>
      <c r="D969" s="30"/>
    </row>
    <row r="970" spans="3:4" ht="14.3" customHeight="1">
      <c r="C970" s="30"/>
      <c r="D970" s="30"/>
    </row>
    <row r="971" spans="3:4" ht="14.3" customHeight="1">
      <c r="C971" s="30"/>
      <c r="D971" s="30"/>
    </row>
    <row r="972" spans="3:4" ht="14.3" customHeight="1">
      <c r="C972" s="30"/>
      <c r="D972" s="30"/>
    </row>
    <row r="973" spans="3:4" ht="14.3" customHeight="1">
      <c r="C973" s="30"/>
      <c r="D973" s="30"/>
    </row>
    <row r="974" spans="3:4" ht="14.3" customHeight="1">
      <c r="C974" s="30"/>
      <c r="D974" s="30"/>
    </row>
    <row r="975" spans="3:4" ht="14.3" customHeight="1">
      <c r="C975" s="30"/>
      <c r="D975" s="30"/>
    </row>
    <row r="976" spans="3:4" ht="14.3" customHeight="1">
      <c r="C976" s="30"/>
      <c r="D976" s="30"/>
    </row>
    <row r="977" spans="3:4" ht="14.3" customHeight="1">
      <c r="C977" s="30"/>
      <c r="D977" s="30"/>
    </row>
    <row r="978" spans="3:4" ht="14.3" customHeight="1">
      <c r="C978" s="30"/>
      <c r="D978" s="30"/>
    </row>
    <row r="979" spans="3:4" ht="14.3" customHeight="1">
      <c r="C979" s="30"/>
      <c r="D979" s="30"/>
    </row>
    <row r="980" spans="3:4" ht="14.3" customHeight="1">
      <c r="C980" s="30"/>
      <c r="D980" s="30"/>
    </row>
    <row r="981" spans="3:4" ht="14.3" customHeight="1">
      <c r="C981" s="30"/>
      <c r="D981" s="30"/>
    </row>
    <row r="982" spans="3:4" ht="14.3" customHeight="1">
      <c r="C982" s="30"/>
      <c r="D982" s="30"/>
    </row>
    <row r="983" spans="3:4" ht="14.3" customHeight="1">
      <c r="C983" s="30"/>
      <c r="D983" s="30"/>
    </row>
    <row r="984" spans="3:4" ht="14.3" customHeight="1">
      <c r="C984" s="30"/>
      <c r="D984" s="30"/>
    </row>
    <row r="985" spans="3:4" ht="14.3" customHeight="1">
      <c r="C985" s="30"/>
      <c r="D985" s="30"/>
    </row>
    <row r="986" spans="3:4" ht="14.3" customHeight="1">
      <c r="C986" s="30"/>
      <c r="D986" s="30"/>
    </row>
    <row r="987" spans="3:4" ht="14.3" customHeight="1">
      <c r="C987" s="30"/>
      <c r="D987" s="30"/>
    </row>
    <row r="988" spans="3:4" ht="14.3" customHeight="1">
      <c r="C988" s="30"/>
      <c r="D988" s="30"/>
    </row>
    <row r="989" spans="3:4" ht="14.3" customHeight="1">
      <c r="C989" s="30"/>
      <c r="D989" s="30"/>
    </row>
    <row r="990" spans="3:4" ht="14.3" customHeight="1">
      <c r="C990" s="30"/>
      <c r="D990" s="30"/>
    </row>
    <row r="991" spans="3:4" ht="14.3" customHeight="1">
      <c r="C991" s="30"/>
      <c r="D991" s="30"/>
    </row>
    <row r="992" spans="3:4" ht="14.3" customHeight="1">
      <c r="C992" s="30"/>
      <c r="D992" s="30"/>
    </row>
    <row r="993" spans="3:4" ht="14.3" customHeight="1">
      <c r="C993" s="30"/>
      <c r="D993" s="30"/>
    </row>
    <row r="994" spans="3:4" ht="14.3" customHeight="1">
      <c r="C994" s="30"/>
      <c r="D994" s="30"/>
    </row>
    <row r="995" spans="3:4" ht="14.3" customHeight="1">
      <c r="C995" s="30"/>
      <c r="D995" s="30"/>
    </row>
    <row r="996" spans="3:4" ht="14.3" customHeight="1">
      <c r="C996" s="30"/>
      <c r="D996" s="30"/>
    </row>
    <row r="997" spans="3:4" ht="14.3" customHeight="1">
      <c r="C997" s="30"/>
      <c r="D997" s="30"/>
    </row>
    <row r="998" spans="3:4" ht="14.3" customHeight="1">
      <c r="C998" s="30"/>
      <c r="D998" s="30"/>
    </row>
    <row r="999" spans="3:4" ht="14.3" customHeight="1">
      <c r="C999" s="30"/>
      <c r="D999" s="30"/>
    </row>
  </sheetData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tabSelected="1" workbookViewId="0">
      <selection activeCell="D3" sqref="D3:D17"/>
    </sheetView>
  </sheetViews>
  <sheetFormatPr defaultColWidth="14.375" defaultRowHeight="14.95" customHeight="1"/>
  <cols>
    <col min="1" max="1" width="66.375" customWidth="1"/>
    <col min="2" max="2" width="22.375" customWidth="1"/>
    <col min="3" max="3" width="16.875" customWidth="1"/>
    <col min="4" max="4" width="24.125" customWidth="1"/>
    <col min="5" max="5" width="10.875" customWidth="1"/>
    <col min="6" max="6" width="9.125" customWidth="1"/>
    <col min="7" max="7" width="11.625" customWidth="1"/>
    <col min="8" max="10" width="9.125" customWidth="1"/>
    <col min="11" max="11" width="10.875" customWidth="1"/>
    <col min="12" max="23" width="9.125" customWidth="1"/>
  </cols>
  <sheetData>
    <row r="1" spans="1:23" ht="16.5" customHeight="1">
      <c r="A1" s="97" t="s">
        <v>0</v>
      </c>
      <c r="B1" s="99" t="s">
        <v>28</v>
      </c>
      <c r="C1" s="100"/>
      <c r="D1" s="31" t="s">
        <v>29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</row>
    <row r="2" spans="1:23" ht="19.55" customHeight="1">
      <c r="A2" s="98"/>
      <c r="B2" s="26" t="s">
        <v>30</v>
      </c>
      <c r="C2" s="2" t="s">
        <v>3</v>
      </c>
      <c r="D2" s="33" t="s">
        <v>3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ht="19.55" customHeight="1">
      <c r="A3" s="4" t="str">
        <f>ORÇAMENTO_EXECUTIVO!A3</f>
        <v>MOVIMENTAÇÃO DE TERRA</v>
      </c>
      <c r="B3" s="5">
        <f>RELATÓRIO!X15</f>
        <v>230869.63</v>
      </c>
      <c r="C3" s="34">
        <f>ORÇAMENTO_EXECUTIVO!D3</f>
        <v>36.965874520453198</v>
      </c>
      <c r="D3" s="35" t="str">
        <f>FIXED(CÁLCULO_MÉDIAS!J9,2,FALSE)&amp;" "&amp;"-"&amp;FIXED(CÁLCULO_MÉDIAS!K9,2,FALSE)</f>
        <v>10,00 -15,00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ht="19.55" customHeight="1">
      <c r="A4" s="12" t="str">
        <f>ORÇAMENTO_EXECUTIVO!A4</f>
        <v>INFRAESTRUTURA</v>
      </c>
      <c r="B4" s="13">
        <f>RELATÓRIO!X16</f>
        <v>933522.84</v>
      </c>
      <c r="C4" s="36">
        <f>ORÇAMENTO_EXECUTIVO!D4</f>
        <v>149.47175237131495</v>
      </c>
      <c r="D4" s="15" t="str">
        <f>FIXED(CÁLCULO_MÉDIAS!J10,2,FALSE)&amp;" "&amp;"-"&amp;FIXED(CÁLCULO_MÉDIAS!K10,2,FALSE)</f>
        <v>140,00 -190,00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7"/>
      <c r="P4" s="37"/>
      <c r="Q4" s="37"/>
      <c r="R4" s="37"/>
      <c r="S4" s="37"/>
      <c r="T4" s="37"/>
      <c r="U4" s="37"/>
      <c r="V4" s="37"/>
      <c r="W4" s="37"/>
    </row>
    <row r="5" spans="1:23" ht="19.55" customHeight="1">
      <c r="A5" s="4" t="str">
        <f>ORÇAMENTO_EXECUTIVO!A5</f>
        <v>SUPRAESTRUTURA</v>
      </c>
      <c r="B5" s="5">
        <f>RELATÓRIO!X17</f>
        <v>4384787.09</v>
      </c>
      <c r="C5" s="34">
        <f>ORÇAMENTO_EXECUTIVO!D5</f>
        <v>702.07367408109542</v>
      </c>
      <c r="D5" s="35" t="str">
        <f>FIXED(CÁLCULO_MÉDIAS!J11,2,FALSE)&amp;" "&amp;"-"&amp;FIXED(CÁLCULO_MÉDIAS!K11,2,FALSE)</f>
        <v>650,00 -695,00</v>
      </c>
      <c r="E5" s="32"/>
      <c r="F5" s="32"/>
      <c r="G5" s="32"/>
      <c r="H5" s="32"/>
      <c r="I5" s="32"/>
      <c r="J5" s="32"/>
      <c r="K5" s="32"/>
      <c r="L5" s="32"/>
      <c r="M5" s="32"/>
      <c r="N5" s="32"/>
      <c r="O5" s="37"/>
      <c r="P5" s="37"/>
      <c r="Q5" s="37"/>
      <c r="R5" s="37"/>
      <c r="S5" s="37"/>
      <c r="T5" s="37"/>
      <c r="U5" s="37"/>
      <c r="V5" s="37"/>
      <c r="W5" s="37"/>
    </row>
    <row r="6" spans="1:23" ht="19.55" customHeight="1">
      <c r="A6" s="12" t="str">
        <f>ORÇAMENTO_EXECUTIVO!A6</f>
        <v>PAREDES E PAINEIS</v>
      </c>
      <c r="B6" s="13">
        <f>RELATÓRIO!X18</f>
        <v>863630.83</v>
      </c>
      <c r="C6" s="36">
        <f>ORÇAMENTO_EXECUTIVO!D6</f>
        <v>138.28093757405355</v>
      </c>
      <c r="D6" s="15" t="str">
        <f>FIXED(CÁLCULO_MÉDIAS!J12,2,FALSE)&amp;" "&amp;"-"&amp;FIXED(CÁLCULO_MÉDIAS!K12,2,FALSE)</f>
        <v>120,00 -135,00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7"/>
      <c r="P6" s="37"/>
      <c r="Q6" s="37"/>
      <c r="R6" s="37"/>
      <c r="S6" s="37"/>
      <c r="T6" s="37"/>
      <c r="U6" s="37"/>
      <c r="V6" s="37"/>
      <c r="W6" s="37"/>
    </row>
    <row r="7" spans="1:23" ht="19.55" customHeight="1">
      <c r="A7" s="4" t="str">
        <f>ORÇAMENTO_EXECUTIVO!A7</f>
        <v>INSTALAÇÕES ELÉTRICAS, HIDRÁULICAS, GLP E PREVENTIVAS</v>
      </c>
      <c r="B7" s="5">
        <f>RELATÓRIO!X20+RELATÓRIO!X21+RELATÓRIO!X22+RELATÓRIO!X23+RELATÓRIO!X24+RELATÓRIO!X32</f>
        <v>1935344.2200000002</v>
      </c>
      <c r="C7" s="34">
        <f>ORÇAMENTO_EXECUTIVO!D7</f>
        <v>309.87917982284796</v>
      </c>
      <c r="D7" s="35" t="str">
        <f>FIXED(CÁLCULO_MÉDIAS!J13,2,FALSE)&amp;" "&amp;"-"&amp;FIXED(CÁLCULO_MÉDIAS!K13,2,FALSE)</f>
        <v>270,00 -365,00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7"/>
      <c r="P7" s="37"/>
      <c r="Q7" s="37"/>
      <c r="R7" s="37"/>
      <c r="S7" s="37"/>
      <c r="T7" s="37"/>
      <c r="U7" s="37"/>
      <c r="V7" s="37"/>
      <c r="W7" s="37"/>
    </row>
    <row r="8" spans="1:23" ht="19.55" customHeight="1">
      <c r="A8" s="12" t="str">
        <f>ORÇAMENTO_EXECUTIVO!A8</f>
        <v>EQUIPAMENTOS E SISTEMAS ESPECIAIS</v>
      </c>
      <c r="B8" s="13">
        <f>RELATÓRIO!X25+RELATÓRIO!X26</f>
        <v>1404690.9</v>
      </c>
      <c r="C8" s="36">
        <f>ORÇAMENTO_EXECUTIVO!D8</f>
        <v>224.91320122712747</v>
      </c>
      <c r="D8" s="15" t="str">
        <f>FIXED(CÁLCULO_MÉDIAS!J14,2,FALSE)&amp;" "&amp;"-"&amp;FIXED(CÁLCULO_MÉDIAS!K14,2,FALSE)</f>
        <v>140,00 -170,00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7"/>
      <c r="P8" s="37"/>
      <c r="Q8" s="37"/>
      <c r="R8" s="37"/>
      <c r="S8" s="37"/>
      <c r="T8" s="37"/>
      <c r="U8" s="37"/>
      <c r="V8" s="37"/>
      <c r="W8" s="37"/>
    </row>
    <row r="9" spans="1:23" ht="19.55" customHeight="1">
      <c r="A9" s="4" t="str">
        <f>ORÇAMENTO_EXECUTIVO!A9</f>
        <v>IMPERMEABILIZAÇÃO</v>
      </c>
      <c r="B9" s="5">
        <f>RELATÓRIO!X19</f>
        <v>420004.94</v>
      </c>
      <c r="C9" s="34">
        <f>ORÇAMENTO_EXECUTIVO!D9</f>
        <v>67.249425184293287</v>
      </c>
      <c r="D9" s="35" t="str">
        <f>FIXED(CÁLCULO_MÉDIAS!J15,2,FALSE)&amp;" "&amp;"-"&amp;FIXED(CÁLCULO_MÉDIAS!K15,2,FALSE)</f>
        <v>45,00 -80,00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7"/>
      <c r="P9" s="37"/>
      <c r="Q9" s="37"/>
      <c r="R9" s="37"/>
      <c r="S9" s="37"/>
      <c r="T9" s="37"/>
      <c r="U9" s="37"/>
      <c r="V9" s="37"/>
      <c r="W9" s="37"/>
    </row>
    <row r="10" spans="1:23" ht="19.55" customHeight="1">
      <c r="A10" s="12" t="str">
        <f>ORÇAMENTO_EXECUTIVO!A10</f>
        <v>REVESTIMENTOS INTERNOS DE PAREDE</v>
      </c>
      <c r="B10" s="13">
        <f>RELATÓRIO!X27</f>
        <v>1030085.41</v>
      </c>
      <c r="C10" s="36">
        <f>ORÇAMENTO_EXECUTIVO!D10</f>
        <v>164.93294510590061</v>
      </c>
      <c r="D10" s="15" t="str">
        <f>FIXED(CÁLCULO_MÉDIAS!J16,2,FALSE)&amp;" "&amp;"-"&amp;FIXED(CÁLCULO_MÉDIAS!K16,2,FALSE)</f>
        <v>145,00 -190,00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7"/>
      <c r="P10" s="37"/>
      <c r="Q10" s="37"/>
      <c r="R10" s="37"/>
      <c r="S10" s="37"/>
      <c r="T10" s="37"/>
      <c r="U10" s="37"/>
      <c r="V10" s="37"/>
      <c r="W10" s="37"/>
    </row>
    <row r="11" spans="1:23" ht="19.55" customHeight="1">
      <c r="A11" s="4" t="str">
        <f>ORÇAMENTO_EXECUTIVO!A11</f>
        <v>REVESTIMENTOS E ACABAMENTOS INTERNOS EM TETO</v>
      </c>
      <c r="B11" s="5">
        <f>RELATÓRIO!X28</f>
        <v>344380.88</v>
      </c>
      <c r="C11" s="34">
        <f>ORÇAMENTO_EXECUTIVO!D11</f>
        <v>55.140818640040479</v>
      </c>
      <c r="D11" s="35" t="str">
        <f>FIXED(CÁLCULO_MÉDIAS!J17,2,FALSE)&amp;" "&amp;"-"&amp;FIXED(CÁLCULO_MÉDIAS!K17,2,FALSE)</f>
        <v>55,00 -70,00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7"/>
      <c r="P11" s="37"/>
      <c r="Q11" s="37"/>
      <c r="R11" s="37"/>
      <c r="S11" s="37"/>
      <c r="T11" s="37"/>
      <c r="U11" s="37"/>
      <c r="V11" s="37"/>
      <c r="W11" s="37"/>
    </row>
    <row r="12" spans="1:23" ht="19.55" customHeight="1">
      <c r="A12" s="12" t="str">
        <f>ORÇAMENTO_EXECUTIVO!A12</f>
        <v>PISOS E PAVIMENTAÇÕES</v>
      </c>
      <c r="B12" s="13">
        <f>RELATÓRIO!X29</f>
        <v>1388564.53</v>
      </c>
      <c r="C12" s="36">
        <f>ORÇAMENTO_EXECUTIVO!D12</f>
        <v>222.33111466212367</v>
      </c>
      <c r="D12" s="15" t="str">
        <f>FIXED(CÁLCULO_MÉDIAS!J18,2,FALSE)&amp;" "&amp;"-"&amp;FIXED(CÁLCULO_MÉDIAS!K18,2,FALSE)</f>
        <v>170,00 -210,00</v>
      </c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7"/>
      <c r="P12" s="37"/>
      <c r="Q12" s="37"/>
      <c r="R12" s="37"/>
      <c r="S12" s="37"/>
      <c r="T12" s="37"/>
      <c r="U12" s="37"/>
      <c r="V12" s="37"/>
      <c r="W12" s="37"/>
    </row>
    <row r="13" spans="1:23" ht="19.55" customHeight="1">
      <c r="A13" s="4" t="str">
        <f>ORÇAMENTO_EXECUTIVO!A13</f>
        <v>PINTURA INTERNA</v>
      </c>
      <c r="B13" s="5">
        <f>RELATÓRIO!X30</f>
        <v>712320.05</v>
      </c>
      <c r="C13" s="34">
        <f>ORÇAMENTO_EXECUTIVO!D13</f>
        <v>114.05369162978668</v>
      </c>
      <c r="D13" s="35" t="str">
        <f>FIXED(CÁLCULO_MÉDIAS!J19,2,FALSE)&amp;" "&amp;"-"&amp;FIXED(CÁLCULO_MÉDIAS!K19,2,FALSE)</f>
        <v>100,00 -135,00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7"/>
      <c r="P13" s="37"/>
      <c r="Q13" s="37"/>
      <c r="R13" s="37"/>
      <c r="S13" s="37"/>
      <c r="T13" s="37"/>
      <c r="U13" s="37"/>
      <c r="V13" s="37"/>
      <c r="W13" s="37"/>
    </row>
    <row r="14" spans="1:23" ht="19.55" customHeight="1">
      <c r="A14" s="12" t="str">
        <f>ORÇAMENTO_EXECUTIVO!A14</f>
        <v>ESQUADRIAS, VIDROS E FERRAGENS</v>
      </c>
      <c r="B14" s="13">
        <f>RELATÓRIO!X31</f>
        <v>1623887.72</v>
      </c>
      <c r="C14" s="36">
        <f>ORÇAMENTO_EXECUTIVO!D14</f>
        <v>260.01007448586819</v>
      </c>
      <c r="D14" s="15" t="str">
        <f>FIXED(CÁLCULO_MÉDIAS!J20,2,FALSE)&amp;" "&amp;"-"&amp;FIXED(CÁLCULO_MÉDIAS!K20,2,FALSE)</f>
        <v>250,00 -290,00</v>
      </c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7"/>
      <c r="P14" s="37"/>
      <c r="Q14" s="37"/>
      <c r="R14" s="37"/>
      <c r="S14" s="37"/>
      <c r="T14" s="37"/>
      <c r="U14" s="37"/>
      <c r="V14" s="37"/>
      <c r="W14" s="37"/>
    </row>
    <row r="15" spans="1:23" ht="19.55" customHeight="1">
      <c r="A15" s="4" t="s">
        <v>19</v>
      </c>
      <c r="B15" s="5">
        <f>RELATÓRIO!X33</f>
        <v>17889.509999999998</v>
      </c>
      <c r="C15" s="34">
        <f>ORÇAMENTO_EXECUTIVO!D15</f>
        <v>2.8643931291109732</v>
      </c>
      <c r="D15" s="35" t="str">
        <f>FIXED(CÁLCULO_MÉDIAS!J21,2,FALSE)&amp;" "&amp;"-"&amp;FIXED(CÁLCULO_MÉDIAS!K21,2,FALSE)</f>
        <v>15,00 -50,00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7"/>
      <c r="P15" s="37"/>
      <c r="Q15" s="37"/>
      <c r="R15" s="37"/>
      <c r="S15" s="37"/>
      <c r="T15" s="37"/>
      <c r="U15" s="37"/>
      <c r="V15" s="37"/>
      <c r="W15" s="37"/>
    </row>
    <row r="16" spans="1:23" ht="18" customHeight="1">
      <c r="A16" s="12" t="str">
        <f>ORÇAMENTO_EXECUTIVO!A16</f>
        <v>REVESTIMENTOS E ACABAMENTOS DE FACHADA</v>
      </c>
      <c r="B16" s="13">
        <f>RELATÓRIO!X34</f>
        <v>1579912.11</v>
      </c>
      <c r="C16" s="36">
        <f>ORÇAMENTO_EXECUTIVO!D16</f>
        <v>252.96888469741322</v>
      </c>
      <c r="D16" s="15" t="str">
        <f>FIXED(CÁLCULO_MÉDIAS!J22,2,FALSE)&amp;" "&amp;"-"&amp;FIXED(CÁLCULO_MÉDIAS!K22,2,FALSE)</f>
        <v>115,00 -130,00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7"/>
      <c r="P16" s="37"/>
      <c r="Q16" s="37"/>
      <c r="R16" s="37"/>
      <c r="S16" s="37"/>
      <c r="T16" s="37"/>
      <c r="U16" s="37"/>
      <c r="V16" s="37"/>
      <c r="W16" s="37"/>
    </row>
    <row r="17" spans="1:23" ht="19.55" customHeight="1">
      <c r="A17" s="4" t="str">
        <f>ORÇAMENTO_EXECUTIVO!A17</f>
        <v>SERVIÇOS COMPLEMENTARES</v>
      </c>
      <c r="B17" s="5">
        <f>RELATÓRIO!X35</f>
        <v>1676000</v>
      </c>
      <c r="C17" s="34">
        <f>ORÇAMENTO_EXECUTIVO!D17</f>
        <v>268.35407366607535</v>
      </c>
      <c r="D17" s="35" t="str">
        <f>FIXED(CÁLCULO_MÉDIAS!J23,2,FALSE)&amp;" "&amp;"-"&amp;FIXED(CÁLCULO_MÉDIAS!K23,2,FALSE)</f>
        <v>160,00 -220,00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7"/>
      <c r="P17" s="37"/>
      <c r="Q17" s="37"/>
      <c r="R17" s="37"/>
      <c r="S17" s="37"/>
      <c r="T17" s="37"/>
      <c r="U17" s="37"/>
      <c r="V17" s="37"/>
      <c r="W17" s="37"/>
    </row>
    <row r="18" spans="1:23" ht="19.55" customHeight="1">
      <c r="A18" s="38" t="s">
        <v>23</v>
      </c>
      <c r="B18" s="39">
        <f t="shared" ref="B18:C18" si="0">SUM(B3:B17)</f>
        <v>18545890.66</v>
      </c>
      <c r="C18" s="40">
        <f t="shared" si="0"/>
        <v>2969.4900407975047</v>
      </c>
      <c r="D18" s="41" t="str">
        <f>FIXED(CÁLCULO_MÉDIAS!J24,2,FALSE)&amp;" "&amp;"-"&amp;FIXED(CÁLCULO_MÉDIAS!K24,2,FALSE)</f>
        <v>2.720,00 -3.365,00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7"/>
      <c r="P18" s="37"/>
      <c r="Q18" s="37"/>
      <c r="R18" s="37"/>
      <c r="S18" s="37"/>
      <c r="T18" s="37"/>
      <c r="U18" s="37"/>
      <c r="V18" s="37"/>
      <c r="W18" s="37"/>
    </row>
    <row r="19" spans="1:23" ht="21.75" customHeight="1">
      <c r="A19" s="32"/>
      <c r="B19" s="42"/>
      <c r="C19" s="32"/>
      <c r="D19" s="43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</row>
    <row r="20" spans="1:23" ht="21.75" customHeight="1">
      <c r="A20" s="32"/>
      <c r="B20" s="42"/>
      <c r="C20" s="32"/>
      <c r="D20" s="43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</row>
    <row r="21" spans="1:23" ht="21.75" customHeight="1">
      <c r="A21" s="32"/>
      <c r="B21" s="42"/>
      <c r="C21" s="32"/>
      <c r="D21" s="43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</row>
    <row r="22" spans="1:23" ht="21.75" hidden="1" customHeight="1">
      <c r="A22" s="32"/>
      <c r="B22" s="42">
        <v>2007.57</v>
      </c>
      <c r="C22" s="32"/>
      <c r="D22" s="43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</row>
    <row r="23" spans="1:23" ht="21.75" hidden="1" customHeight="1">
      <c r="A23" s="32"/>
      <c r="B23" s="42">
        <v>2461.35</v>
      </c>
      <c r="C23" s="32"/>
      <c r="D23" s="43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</row>
    <row r="24" spans="1:23" ht="21.75" hidden="1" customHeight="1">
      <c r="A24" s="32"/>
      <c r="B24" s="42">
        <f>B23/B22</f>
        <v>1.2260344595705255</v>
      </c>
      <c r="C24" s="32"/>
      <c r="D24" s="43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</row>
    <row r="25" spans="1:23" ht="21.75" hidden="1" customHeight="1">
      <c r="A25" s="32"/>
      <c r="B25" s="42"/>
      <c r="C25" s="32"/>
      <c r="D25" s="43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</row>
    <row r="26" spans="1:23" ht="21.75" hidden="1" customHeight="1">
      <c r="A26" s="32"/>
      <c r="B26" s="42"/>
      <c r="C26" s="32"/>
      <c r="D26" s="43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</row>
    <row r="27" spans="1:23" ht="21.75" hidden="1" customHeight="1">
      <c r="A27" s="32"/>
      <c r="B27" s="42"/>
      <c r="C27" s="32">
        <v>1.1023000000000001</v>
      </c>
      <c r="D27" s="43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</row>
    <row r="28" spans="1:23" ht="21.75" hidden="1" customHeight="1">
      <c r="A28" s="32"/>
      <c r="B28" s="42"/>
      <c r="C28" s="32"/>
      <c r="D28" s="43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</row>
    <row r="29" spans="1:23" ht="21.75" hidden="1" customHeight="1">
      <c r="A29" s="44" t="s">
        <v>31</v>
      </c>
      <c r="B29" s="42">
        <v>900</v>
      </c>
      <c r="C29" s="42"/>
      <c r="D29" s="4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</row>
    <row r="30" spans="1:23" ht="21.75" hidden="1" customHeight="1">
      <c r="A30" s="45" t="s">
        <v>32</v>
      </c>
      <c r="B30" s="42">
        <v>25</v>
      </c>
      <c r="C30" s="42"/>
      <c r="D30" s="4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</row>
    <row r="31" spans="1:23" ht="21.75" hidden="1" customHeight="1">
      <c r="A31" s="44" t="s">
        <v>33</v>
      </c>
      <c r="B31" s="42">
        <v>15</v>
      </c>
      <c r="C31" s="42"/>
      <c r="D31" s="4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</row>
    <row r="32" spans="1:23" ht="21.75" hidden="1" customHeight="1">
      <c r="A32" s="45" t="s">
        <v>34</v>
      </c>
      <c r="B32" s="42">
        <v>150</v>
      </c>
      <c r="C32" s="42"/>
      <c r="D32" s="4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</row>
    <row r="33" spans="1:23" ht="21.75" hidden="1" customHeight="1">
      <c r="A33" s="44" t="s">
        <v>35</v>
      </c>
      <c r="B33" s="42">
        <v>440</v>
      </c>
      <c r="C33" s="42"/>
      <c r="D33" s="4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</row>
    <row r="34" spans="1:23" ht="21.75" hidden="1" customHeight="1">
      <c r="A34" s="45" t="s">
        <v>36</v>
      </c>
      <c r="B34" s="42"/>
      <c r="C34" s="42"/>
      <c r="D34" s="4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</row>
    <row r="35" spans="1:23" ht="21.75" hidden="1" customHeight="1">
      <c r="A35" s="44" t="s">
        <v>37</v>
      </c>
      <c r="B35" s="42">
        <v>55</v>
      </c>
      <c r="C35" s="42"/>
      <c r="D35" s="4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</row>
    <row r="36" spans="1:23" ht="21.75" hidden="1" customHeight="1">
      <c r="A36" s="45" t="s">
        <v>38</v>
      </c>
      <c r="B36" s="42">
        <v>170</v>
      </c>
      <c r="C36" s="42"/>
      <c r="D36" s="4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</row>
    <row r="37" spans="1:23" ht="21.75" hidden="1" customHeight="1">
      <c r="A37" s="44" t="s">
        <v>39</v>
      </c>
      <c r="B37" s="42">
        <v>165</v>
      </c>
      <c r="C37" s="42"/>
      <c r="D37" s="4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</row>
    <row r="38" spans="1:23" ht="21.75" hidden="1" customHeight="1">
      <c r="A38" s="45" t="s">
        <v>40</v>
      </c>
      <c r="B38" s="42">
        <v>40</v>
      </c>
      <c r="C38" s="42"/>
      <c r="D38" s="4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</row>
    <row r="39" spans="1:23" ht="21.75" hidden="1" customHeight="1">
      <c r="A39" s="44" t="s">
        <v>41</v>
      </c>
      <c r="B39" s="42">
        <v>55</v>
      </c>
      <c r="C39" s="42"/>
      <c r="D39" s="4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</row>
    <row r="40" spans="1:23" ht="21.75" hidden="1" customHeight="1">
      <c r="A40" s="45" t="s">
        <v>42</v>
      </c>
      <c r="B40" s="42">
        <v>35</v>
      </c>
      <c r="C40" s="42"/>
      <c r="D40" s="4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</row>
    <row r="41" spans="1:23" ht="21.75" hidden="1" customHeight="1">
      <c r="A41" s="44" t="s">
        <v>43</v>
      </c>
      <c r="B41" s="42">
        <v>130</v>
      </c>
      <c r="C41" s="42"/>
      <c r="D41" s="4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</row>
    <row r="42" spans="1:23" ht="21.75" hidden="1" customHeight="1">
      <c r="A42" s="45" t="s">
        <v>44</v>
      </c>
      <c r="B42" s="42">
        <v>35</v>
      </c>
      <c r="C42" s="42"/>
      <c r="D42" s="4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</row>
    <row r="43" spans="1:23" ht="21.75" hidden="1" customHeight="1">
      <c r="A43" s="44" t="s">
        <v>45</v>
      </c>
      <c r="B43" s="42">
        <v>35</v>
      </c>
      <c r="C43" s="42"/>
      <c r="D43" s="4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</row>
    <row r="44" spans="1:23" ht="21.75" hidden="1" customHeight="1">
      <c r="A44" s="45" t="s">
        <v>46</v>
      </c>
      <c r="B44" s="42">
        <v>430</v>
      </c>
      <c r="C44" s="42"/>
      <c r="D44" s="4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</row>
    <row r="45" spans="1:23" ht="21.75" hidden="1" customHeight="1">
      <c r="A45" s="44" t="s">
        <v>42</v>
      </c>
      <c r="B45" s="42">
        <v>35</v>
      </c>
      <c r="C45" s="42"/>
      <c r="D45" s="4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</row>
    <row r="46" spans="1:23" ht="21.75" hidden="1" customHeight="1">
      <c r="A46" s="45" t="s">
        <v>47</v>
      </c>
      <c r="B46" s="42">
        <v>150</v>
      </c>
      <c r="C46" s="42"/>
      <c r="D46" s="4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</row>
    <row r="47" spans="1:23" ht="21.75" hidden="1" customHeight="1">
      <c r="A47" s="32"/>
      <c r="B47" s="42"/>
      <c r="C47" s="32"/>
      <c r="D47" s="43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1:23" ht="21.75" hidden="1" customHeight="1">
      <c r="A48" s="32"/>
      <c r="B48" s="42"/>
      <c r="C48" s="32"/>
      <c r="D48" s="43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</row>
    <row r="49" spans="1:23" ht="21.75" hidden="1" customHeight="1">
      <c r="A49" s="32"/>
      <c r="B49" s="42"/>
      <c r="C49" s="32"/>
      <c r="D49" s="43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</row>
    <row r="50" spans="1:23" ht="21.75" hidden="1" customHeight="1">
      <c r="A50" s="32"/>
      <c r="B50" s="42"/>
      <c r="C50" s="32"/>
      <c r="D50" s="43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</row>
    <row r="51" spans="1:23" ht="21.75" hidden="1" customHeight="1">
      <c r="A51" s="32"/>
      <c r="B51" s="42"/>
      <c r="C51" s="32"/>
      <c r="D51" s="43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</row>
    <row r="52" spans="1:23" ht="21.75" hidden="1" customHeight="1">
      <c r="A52" s="32"/>
      <c r="B52" s="42"/>
      <c r="C52" s="32"/>
      <c r="D52" s="43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</row>
    <row r="53" spans="1:23" ht="21.75" hidden="1" customHeight="1">
      <c r="A53" s="32"/>
      <c r="B53" s="42"/>
      <c r="C53" s="32"/>
      <c r="D53" s="43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</row>
    <row r="54" spans="1:23" ht="21.75" hidden="1" customHeight="1">
      <c r="A54" s="32"/>
      <c r="B54" s="42"/>
      <c r="C54" s="32"/>
      <c r="D54" s="43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</row>
    <row r="55" spans="1:23" ht="21.75" hidden="1" customHeight="1">
      <c r="A55" s="32"/>
      <c r="B55" s="42"/>
      <c r="C55" s="32"/>
      <c r="D55" s="43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</row>
    <row r="56" spans="1:23" ht="21.75" hidden="1" customHeight="1">
      <c r="A56" s="32"/>
      <c r="B56" s="42"/>
      <c r="C56" s="32"/>
      <c r="D56" s="43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</row>
    <row r="57" spans="1:23" ht="21.75" hidden="1" customHeight="1">
      <c r="A57" s="32"/>
      <c r="B57" s="42"/>
      <c r="C57" s="32"/>
      <c r="D57" s="43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</row>
    <row r="58" spans="1:23" ht="21.75" hidden="1" customHeight="1">
      <c r="A58" s="32"/>
      <c r="B58" s="42"/>
      <c r="C58" s="32"/>
      <c r="D58" s="43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</row>
    <row r="59" spans="1:23" ht="21.75" hidden="1" customHeight="1">
      <c r="A59" s="32"/>
      <c r="B59" s="42"/>
      <c r="C59" s="32"/>
      <c r="D59" s="43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</row>
    <row r="60" spans="1:23" ht="21.75" hidden="1" customHeight="1">
      <c r="A60" s="32"/>
      <c r="B60" s="42"/>
      <c r="C60" s="32"/>
      <c r="D60" s="43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</row>
    <row r="61" spans="1:23" ht="21.75" hidden="1" customHeight="1">
      <c r="A61" s="32"/>
      <c r="B61" s="42"/>
      <c r="C61" s="32"/>
      <c r="D61" s="43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</row>
    <row r="62" spans="1:23" ht="21.75" hidden="1" customHeight="1">
      <c r="A62" s="32"/>
      <c r="B62" s="42"/>
      <c r="C62" s="32"/>
      <c r="D62" s="43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1:23" ht="21.75" hidden="1" customHeight="1">
      <c r="A63" s="32"/>
      <c r="B63" s="42"/>
      <c r="C63" s="32"/>
      <c r="D63" s="43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</row>
    <row r="64" spans="1:23" ht="21.75" hidden="1" customHeight="1">
      <c r="A64" s="32"/>
      <c r="B64" s="42"/>
      <c r="C64" s="32"/>
      <c r="D64" s="43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</row>
    <row r="65" spans="1:23" ht="21.75" hidden="1" customHeight="1">
      <c r="A65" s="32"/>
      <c r="B65" s="42"/>
      <c r="C65" s="32"/>
      <c r="D65" s="43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</row>
    <row r="66" spans="1:23" ht="21.75" hidden="1" customHeight="1">
      <c r="A66" s="32"/>
      <c r="B66" s="42"/>
      <c r="C66" s="32"/>
      <c r="D66" s="43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</row>
    <row r="67" spans="1:23" ht="21.75" hidden="1" customHeight="1">
      <c r="A67" s="32"/>
      <c r="B67" s="42"/>
      <c r="C67" s="32"/>
      <c r="D67" s="43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</row>
    <row r="68" spans="1:23" ht="21.75" hidden="1" customHeight="1">
      <c r="A68" s="32"/>
      <c r="B68" s="42"/>
      <c r="C68" s="32"/>
      <c r="D68" s="43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</row>
    <row r="69" spans="1:23" ht="21.75" hidden="1" customHeight="1">
      <c r="A69" s="32"/>
      <c r="B69" s="42"/>
      <c r="C69" s="32"/>
      <c r="D69" s="43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</row>
    <row r="70" spans="1:23" ht="21.75" hidden="1" customHeight="1">
      <c r="A70" s="32"/>
      <c r="B70" s="42"/>
      <c r="C70" s="32"/>
      <c r="D70" s="43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</row>
    <row r="71" spans="1:23" ht="21.75" hidden="1" customHeight="1">
      <c r="A71" s="32"/>
      <c r="B71" s="42"/>
      <c r="C71" s="32"/>
      <c r="D71" s="43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</row>
    <row r="72" spans="1:23" ht="21.75" hidden="1" customHeight="1">
      <c r="A72" s="32"/>
      <c r="B72" s="42"/>
      <c r="C72" s="32"/>
      <c r="D72" s="43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</row>
    <row r="73" spans="1:23" ht="21.75" hidden="1" customHeight="1">
      <c r="A73" s="32"/>
      <c r="B73" s="42"/>
      <c r="C73" s="32"/>
      <c r="D73" s="43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</row>
    <row r="74" spans="1:23" ht="21.75" hidden="1" customHeight="1">
      <c r="A74" s="32"/>
      <c r="B74" s="42"/>
      <c r="C74" s="32"/>
      <c r="D74" s="43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</row>
    <row r="75" spans="1:23" ht="21.75" customHeight="1">
      <c r="A75" s="32"/>
      <c r="B75" s="42"/>
      <c r="C75" s="32"/>
      <c r="D75" s="43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</row>
    <row r="76" spans="1:23" ht="21.75" customHeight="1">
      <c r="A76" s="32"/>
      <c r="B76" s="4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</row>
    <row r="77" spans="1:23" ht="21.75" customHeight="1">
      <c r="A77" s="32"/>
      <c r="B77" s="4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</row>
    <row r="78" spans="1:23" ht="21.75" customHeight="1">
      <c r="A78" s="32"/>
      <c r="B78" s="4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</row>
    <row r="79" spans="1:23" ht="21.75" customHeight="1">
      <c r="A79" s="32"/>
      <c r="B79" s="4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</row>
    <row r="80" spans="1:23" ht="21.75" customHeight="1">
      <c r="A80" s="32"/>
      <c r="B80" s="4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</row>
    <row r="81" spans="1:23" ht="21.75" customHeight="1">
      <c r="A81" s="32"/>
      <c r="B81" s="42"/>
      <c r="C81" s="32"/>
      <c r="D81" s="43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</row>
    <row r="82" spans="1:23" ht="21.75" customHeight="1">
      <c r="A82" s="32"/>
      <c r="B82" s="42"/>
      <c r="C82" s="32"/>
      <c r="D82" s="43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</row>
    <row r="83" spans="1:23" ht="21.75" customHeight="1">
      <c r="A83" s="32"/>
      <c r="B83" s="42"/>
      <c r="C83" s="32"/>
      <c r="D83" s="43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</row>
    <row r="84" spans="1:23" ht="21.75" customHeight="1">
      <c r="A84" s="32"/>
      <c r="B84" s="42"/>
      <c r="C84" s="32"/>
      <c r="D84" s="43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</row>
    <row r="85" spans="1:23" ht="21.75" customHeight="1">
      <c r="A85" s="32"/>
      <c r="B85" s="42"/>
      <c r="C85" s="32"/>
      <c r="D85" s="43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</row>
    <row r="86" spans="1:23" ht="21.75" customHeight="1">
      <c r="A86" s="32"/>
      <c r="B86" s="42"/>
      <c r="C86" s="32"/>
      <c r="D86" s="43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</row>
    <row r="87" spans="1:23" ht="21.75" customHeight="1">
      <c r="A87" s="32"/>
      <c r="B87" s="42"/>
      <c r="C87" s="32"/>
      <c r="D87" s="43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</row>
    <row r="88" spans="1:23" ht="21.75" customHeight="1">
      <c r="A88" s="32"/>
      <c r="B88" s="42"/>
      <c r="C88" s="32"/>
      <c r="D88" s="43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</row>
    <row r="89" spans="1:23" ht="21.75" customHeight="1">
      <c r="A89" s="32"/>
      <c r="B89" s="42"/>
      <c r="C89" s="32"/>
      <c r="D89" s="43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</row>
    <row r="90" spans="1:23" ht="21.75" customHeight="1">
      <c r="A90" s="32"/>
      <c r="B90" s="42"/>
      <c r="C90" s="32"/>
      <c r="D90" s="43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</row>
    <row r="91" spans="1:23" ht="21.75" customHeight="1">
      <c r="A91" s="32"/>
      <c r="B91" s="42"/>
      <c r="C91" s="32"/>
      <c r="D91" s="43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</row>
    <row r="92" spans="1:23" ht="21.75" customHeight="1">
      <c r="A92" s="32"/>
      <c r="B92" s="42"/>
      <c r="C92" s="32"/>
      <c r="D92" s="43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</row>
    <row r="93" spans="1:23" ht="21.75" customHeight="1">
      <c r="A93" s="32"/>
      <c r="B93" s="42"/>
      <c r="C93" s="32"/>
      <c r="D93" s="43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</row>
    <row r="94" spans="1:23" ht="21.75" customHeight="1">
      <c r="A94" s="32"/>
      <c r="B94" s="42"/>
      <c r="C94" s="32"/>
      <c r="D94" s="43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</row>
    <row r="95" spans="1:23" ht="21.75" customHeight="1">
      <c r="A95" s="32"/>
      <c r="B95" s="42"/>
      <c r="C95" s="32"/>
      <c r="D95" s="43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</row>
    <row r="96" spans="1:23" ht="21.75" customHeight="1">
      <c r="A96" s="32"/>
      <c r="B96" s="42"/>
      <c r="C96" s="32"/>
      <c r="D96" s="43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</row>
    <row r="97" spans="1:23" ht="21.75" customHeight="1">
      <c r="A97" s="32"/>
      <c r="B97" s="42"/>
      <c r="C97" s="32"/>
      <c r="D97" s="43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</row>
    <row r="98" spans="1:23" ht="21.75" customHeight="1">
      <c r="A98" s="32"/>
      <c r="B98" s="42"/>
      <c r="C98" s="32"/>
      <c r="D98" s="43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</row>
    <row r="99" spans="1:23" ht="21.75" customHeight="1">
      <c r="A99" s="32"/>
      <c r="B99" s="42"/>
      <c r="C99" s="32"/>
      <c r="D99" s="43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</row>
    <row r="100" spans="1:23" ht="21.75" customHeight="1">
      <c r="A100" s="32"/>
      <c r="B100" s="42"/>
      <c r="C100" s="32"/>
      <c r="D100" s="43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</row>
    <row r="101" spans="1:23" ht="21.75" customHeight="1">
      <c r="A101" s="32"/>
      <c r="B101" s="42"/>
      <c r="C101" s="32"/>
      <c r="D101" s="43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</row>
    <row r="102" spans="1:23" ht="21.75" customHeight="1">
      <c r="A102" s="32"/>
      <c r="B102" s="42"/>
      <c r="C102" s="32"/>
      <c r="D102" s="43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</row>
    <row r="103" spans="1:23" ht="21.75" customHeight="1">
      <c r="A103" s="32"/>
      <c r="B103" s="42"/>
      <c r="C103" s="32"/>
      <c r="D103" s="43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</row>
    <row r="104" spans="1:23" ht="21.75" customHeight="1">
      <c r="A104" s="32"/>
      <c r="B104" s="42"/>
      <c r="C104" s="32"/>
      <c r="D104" s="43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</row>
    <row r="105" spans="1:23" ht="21.75" customHeight="1">
      <c r="A105" s="32"/>
      <c r="B105" s="42"/>
      <c r="C105" s="32"/>
      <c r="D105" s="43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</row>
    <row r="106" spans="1:23" ht="21.75" customHeight="1">
      <c r="A106" s="32"/>
      <c r="B106" s="42"/>
      <c r="C106" s="32"/>
      <c r="D106" s="43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</row>
    <row r="107" spans="1:23" ht="21.75" customHeight="1">
      <c r="A107" s="32"/>
      <c r="B107" s="42"/>
      <c r="C107" s="32"/>
      <c r="D107" s="43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</row>
    <row r="108" spans="1:23" ht="21.75" customHeight="1">
      <c r="A108" s="32"/>
      <c r="B108" s="42"/>
      <c r="C108" s="32"/>
      <c r="D108" s="43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</row>
    <row r="109" spans="1:23" ht="21.75" customHeight="1">
      <c r="A109" s="32"/>
      <c r="B109" s="42"/>
      <c r="C109" s="32"/>
      <c r="D109" s="43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</row>
    <row r="110" spans="1:23" ht="21.75" customHeight="1">
      <c r="A110" s="32"/>
      <c r="B110" s="42"/>
      <c r="C110" s="32"/>
      <c r="D110" s="43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</row>
    <row r="111" spans="1:23" ht="21.75" customHeight="1">
      <c r="A111" s="32"/>
      <c r="B111" s="42"/>
      <c r="C111" s="32"/>
      <c r="D111" s="43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</row>
    <row r="112" spans="1:23" ht="21.75" customHeight="1">
      <c r="A112" s="32"/>
      <c r="B112" s="42"/>
      <c r="C112" s="32"/>
      <c r="D112" s="43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</row>
    <row r="113" spans="1:23" ht="21.75" customHeight="1">
      <c r="A113" s="32"/>
      <c r="B113" s="42"/>
      <c r="C113" s="32"/>
      <c r="D113" s="43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</row>
    <row r="114" spans="1:23" ht="21.75" customHeight="1">
      <c r="A114" s="32"/>
      <c r="B114" s="42"/>
      <c r="C114" s="32"/>
      <c r="D114" s="43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</row>
    <row r="115" spans="1:23" ht="21.75" customHeight="1">
      <c r="A115" s="32"/>
      <c r="B115" s="42"/>
      <c r="C115" s="32"/>
      <c r="D115" s="43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</row>
    <row r="116" spans="1:23" ht="21.75" customHeight="1">
      <c r="A116" s="32"/>
      <c r="B116" s="42"/>
      <c r="C116" s="32"/>
      <c r="D116" s="43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</row>
    <row r="117" spans="1:23" ht="21.75" customHeight="1">
      <c r="A117" s="32"/>
      <c r="B117" s="42"/>
      <c r="C117" s="32"/>
      <c r="D117" s="43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</row>
    <row r="118" spans="1:23" ht="21.75" customHeight="1">
      <c r="A118" s="32"/>
      <c r="B118" s="42"/>
      <c r="C118" s="32"/>
      <c r="D118" s="43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</row>
    <row r="119" spans="1:23" ht="21.75" customHeight="1">
      <c r="A119" s="32"/>
      <c r="B119" s="42"/>
      <c r="C119" s="32"/>
      <c r="D119" s="43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</row>
    <row r="120" spans="1:23" ht="21.75" customHeight="1">
      <c r="A120" s="32"/>
      <c r="B120" s="42"/>
      <c r="C120" s="32"/>
      <c r="D120" s="43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</row>
    <row r="121" spans="1:23" ht="21.75" customHeight="1">
      <c r="A121" s="32"/>
      <c r="B121" s="42"/>
      <c r="C121" s="32"/>
      <c r="D121" s="43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</row>
    <row r="122" spans="1:23" ht="21.75" customHeight="1">
      <c r="A122" s="32"/>
      <c r="B122" s="42"/>
      <c r="C122" s="32"/>
      <c r="D122" s="43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</row>
    <row r="123" spans="1:23" ht="21.75" customHeight="1">
      <c r="A123" s="32"/>
      <c r="B123" s="42"/>
      <c r="C123" s="32"/>
      <c r="D123" s="43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</row>
    <row r="124" spans="1:23" ht="21.75" customHeight="1">
      <c r="A124" s="32"/>
      <c r="B124" s="42"/>
      <c r="C124" s="32"/>
      <c r="D124" s="43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</row>
    <row r="125" spans="1:23" ht="21.75" customHeight="1">
      <c r="A125" s="32"/>
      <c r="B125" s="42"/>
      <c r="C125" s="32"/>
      <c r="D125" s="43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</row>
    <row r="126" spans="1:23" ht="21.75" customHeight="1">
      <c r="A126" s="32"/>
      <c r="B126" s="42"/>
      <c r="C126" s="32"/>
      <c r="D126" s="43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</row>
    <row r="127" spans="1:23" ht="21.75" customHeight="1">
      <c r="A127" s="32"/>
      <c r="B127" s="42"/>
      <c r="C127" s="32"/>
      <c r="D127" s="43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</row>
    <row r="128" spans="1:23" ht="21.75" customHeight="1">
      <c r="A128" s="32"/>
      <c r="B128" s="42"/>
      <c r="C128" s="32"/>
      <c r="D128" s="43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</row>
    <row r="129" spans="1:23" ht="21.75" customHeight="1">
      <c r="A129" s="32"/>
      <c r="B129" s="42"/>
      <c r="C129" s="32"/>
      <c r="D129" s="43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</row>
    <row r="130" spans="1:23" ht="21.75" customHeight="1">
      <c r="A130" s="32"/>
      <c r="B130" s="42"/>
      <c r="C130" s="32"/>
      <c r="D130" s="43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</row>
    <row r="131" spans="1:23" ht="21.75" customHeight="1">
      <c r="A131" s="32"/>
      <c r="B131" s="42"/>
      <c r="C131" s="32"/>
      <c r="D131" s="43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</row>
    <row r="132" spans="1:23" ht="21.75" customHeight="1">
      <c r="A132" s="32"/>
      <c r="B132" s="42"/>
      <c r="C132" s="32"/>
      <c r="D132" s="43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</row>
    <row r="133" spans="1:23" ht="21.75" customHeight="1">
      <c r="A133" s="32"/>
      <c r="B133" s="42"/>
      <c r="C133" s="32"/>
      <c r="D133" s="43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</row>
    <row r="134" spans="1:23" ht="21.75" customHeight="1">
      <c r="A134" s="32"/>
      <c r="B134" s="42"/>
      <c r="C134" s="32"/>
      <c r="D134" s="43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</row>
    <row r="135" spans="1:23" ht="21.75" customHeight="1">
      <c r="A135" s="32"/>
      <c r="B135" s="42"/>
      <c r="C135" s="32"/>
      <c r="D135" s="43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</row>
    <row r="136" spans="1:23" ht="21.75" customHeight="1">
      <c r="A136" s="32"/>
      <c r="B136" s="42"/>
      <c r="C136" s="32"/>
      <c r="D136" s="43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</row>
    <row r="137" spans="1:23" ht="21.75" customHeight="1">
      <c r="A137" s="32"/>
      <c r="B137" s="42"/>
      <c r="C137" s="32"/>
      <c r="D137" s="43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</row>
    <row r="138" spans="1:23" ht="21.75" customHeight="1">
      <c r="A138" s="32"/>
      <c r="B138" s="42"/>
      <c r="C138" s="32"/>
      <c r="D138" s="43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</row>
    <row r="139" spans="1:23" ht="21.75" customHeight="1">
      <c r="A139" s="32"/>
      <c r="B139" s="42"/>
      <c r="C139" s="32"/>
      <c r="D139" s="43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</row>
    <row r="140" spans="1:23" ht="21.75" customHeight="1">
      <c r="A140" s="32"/>
      <c r="B140" s="42"/>
      <c r="C140" s="32"/>
      <c r="D140" s="43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</row>
    <row r="141" spans="1:23" ht="21.75" customHeight="1">
      <c r="A141" s="32"/>
      <c r="B141" s="42"/>
      <c r="C141" s="32"/>
      <c r="D141" s="43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</row>
    <row r="142" spans="1:23" ht="21.75" customHeight="1">
      <c r="A142" s="32"/>
      <c r="B142" s="42"/>
      <c r="C142" s="32"/>
      <c r="D142" s="43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</row>
    <row r="143" spans="1:23" ht="21.75" customHeight="1">
      <c r="A143" s="32"/>
      <c r="B143" s="42"/>
      <c r="C143" s="32"/>
      <c r="D143" s="43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</row>
    <row r="144" spans="1:23" ht="21.75" customHeight="1">
      <c r="A144" s="32"/>
      <c r="B144" s="42"/>
      <c r="C144" s="32"/>
      <c r="D144" s="43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</row>
    <row r="145" spans="1:23" ht="21.75" customHeight="1">
      <c r="A145" s="32"/>
      <c r="B145" s="42"/>
      <c r="C145" s="32"/>
      <c r="D145" s="43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</row>
    <row r="146" spans="1:23" ht="21.75" customHeight="1">
      <c r="A146" s="32"/>
      <c r="B146" s="42"/>
      <c r="C146" s="32"/>
      <c r="D146" s="43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</row>
    <row r="147" spans="1:23" ht="21.75" customHeight="1">
      <c r="A147" s="32"/>
      <c r="B147" s="42"/>
      <c r="C147" s="32"/>
      <c r="D147" s="43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</row>
    <row r="148" spans="1:23" ht="21.75" customHeight="1">
      <c r="A148" s="32"/>
      <c r="B148" s="42"/>
      <c r="C148" s="32"/>
      <c r="D148" s="43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</row>
    <row r="149" spans="1:23" ht="21.75" customHeight="1">
      <c r="A149" s="32"/>
      <c r="B149" s="42"/>
      <c r="C149" s="32"/>
      <c r="D149" s="43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</row>
    <row r="150" spans="1:23" ht="21.75" customHeight="1">
      <c r="A150" s="32"/>
      <c r="B150" s="42"/>
      <c r="C150" s="32"/>
      <c r="D150" s="43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</row>
    <row r="151" spans="1:23" ht="21.75" customHeight="1">
      <c r="A151" s="32"/>
      <c r="B151" s="42"/>
      <c r="C151" s="32"/>
      <c r="D151" s="43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</row>
    <row r="152" spans="1:23" ht="21.75" customHeight="1">
      <c r="A152" s="32"/>
      <c r="B152" s="42"/>
      <c r="C152" s="32"/>
      <c r="D152" s="43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</row>
    <row r="153" spans="1:23" ht="21.75" customHeight="1">
      <c r="A153" s="32"/>
      <c r="B153" s="42"/>
      <c r="C153" s="32"/>
      <c r="D153" s="43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</row>
    <row r="154" spans="1:23" ht="21.75" customHeight="1">
      <c r="A154" s="32"/>
      <c r="B154" s="42"/>
      <c r="C154" s="32"/>
      <c r="D154" s="43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</row>
    <row r="155" spans="1:23" ht="21.75" customHeight="1">
      <c r="A155" s="32"/>
      <c r="B155" s="42"/>
      <c r="C155" s="32"/>
      <c r="D155" s="43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</row>
    <row r="156" spans="1:23" ht="21.75" customHeight="1">
      <c r="A156" s="32"/>
      <c r="B156" s="42"/>
      <c r="C156" s="32"/>
      <c r="D156" s="43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</row>
    <row r="157" spans="1:23" ht="21.75" customHeight="1">
      <c r="A157" s="32"/>
      <c r="B157" s="42"/>
      <c r="C157" s="32"/>
      <c r="D157" s="43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</row>
    <row r="158" spans="1:23" ht="21.75" customHeight="1">
      <c r="A158" s="32"/>
      <c r="B158" s="42"/>
      <c r="C158" s="32"/>
      <c r="D158" s="43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</row>
    <row r="159" spans="1:23" ht="21.75" customHeight="1">
      <c r="A159" s="32"/>
      <c r="B159" s="42"/>
      <c r="C159" s="32"/>
      <c r="D159" s="43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</row>
    <row r="160" spans="1:23" ht="21.75" customHeight="1">
      <c r="A160" s="32"/>
      <c r="B160" s="42"/>
      <c r="C160" s="32"/>
      <c r="D160" s="43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</row>
    <row r="161" spans="1:23" ht="21.75" customHeight="1">
      <c r="A161" s="32"/>
      <c r="B161" s="42"/>
      <c r="C161" s="32"/>
      <c r="D161" s="43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</row>
    <row r="162" spans="1:23" ht="21.75" customHeight="1">
      <c r="A162" s="32"/>
      <c r="B162" s="42"/>
      <c r="C162" s="32"/>
      <c r="D162" s="43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</row>
    <row r="163" spans="1:23" ht="21.75" customHeight="1">
      <c r="A163" s="32"/>
      <c r="B163" s="42"/>
      <c r="C163" s="32"/>
      <c r="D163" s="43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</row>
    <row r="164" spans="1:23" ht="21.75" customHeight="1">
      <c r="A164" s="32"/>
      <c r="B164" s="42"/>
      <c r="C164" s="32"/>
      <c r="D164" s="43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</row>
    <row r="165" spans="1:23" ht="21.75" customHeight="1">
      <c r="A165" s="32"/>
      <c r="B165" s="42"/>
      <c r="C165" s="32"/>
      <c r="D165" s="43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</row>
    <row r="166" spans="1:23" ht="21.75" customHeight="1">
      <c r="A166" s="32"/>
      <c r="B166" s="42"/>
      <c r="C166" s="32"/>
      <c r="D166" s="43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</row>
    <row r="167" spans="1:23" ht="21.75" customHeight="1">
      <c r="A167" s="32"/>
      <c r="B167" s="42"/>
      <c r="C167" s="32"/>
      <c r="D167" s="43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</row>
    <row r="168" spans="1:23" ht="21.75" customHeight="1">
      <c r="A168" s="32"/>
      <c r="B168" s="42"/>
      <c r="C168" s="32"/>
      <c r="D168" s="43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</row>
    <row r="169" spans="1:23" ht="21.75" customHeight="1">
      <c r="A169" s="32"/>
      <c r="B169" s="42"/>
      <c r="C169" s="32"/>
      <c r="D169" s="43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</row>
    <row r="170" spans="1:23" ht="21.75" customHeight="1">
      <c r="A170" s="32"/>
      <c r="B170" s="42"/>
      <c r="C170" s="32"/>
      <c r="D170" s="43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</row>
    <row r="171" spans="1:23" ht="21.75" customHeight="1">
      <c r="A171" s="32"/>
      <c r="B171" s="42"/>
      <c r="C171" s="32"/>
      <c r="D171" s="43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</row>
    <row r="172" spans="1:23" ht="21.75" customHeight="1">
      <c r="A172" s="32"/>
      <c r="B172" s="42"/>
      <c r="C172" s="32"/>
      <c r="D172" s="43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</row>
    <row r="173" spans="1:23" ht="21.75" customHeight="1">
      <c r="A173" s="32"/>
      <c r="B173" s="42"/>
      <c r="C173" s="32"/>
      <c r="D173" s="43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</row>
    <row r="174" spans="1:23" ht="21.75" customHeight="1">
      <c r="A174" s="32"/>
      <c r="B174" s="42"/>
      <c r="C174" s="32"/>
      <c r="D174" s="43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</row>
    <row r="175" spans="1:23" ht="21.75" customHeight="1">
      <c r="A175" s="32"/>
      <c r="B175" s="42"/>
      <c r="C175" s="32"/>
      <c r="D175" s="43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</row>
    <row r="176" spans="1:23" ht="21.75" customHeight="1">
      <c r="A176" s="32"/>
      <c r="B176" s="42"/>
      <c r="C176" s="32"/>
      <c r="D176" s="43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</row>
    <row r="177" spans="1:23" ht="21.75" customHeight="1">
      <c r="A177" s="32"/>
      <c r="B177" s="42"/>
      <c r="C177" s="32"/>
      <c r="D177" s="43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</row>
    <row r="178" spans="1:23" ht="21.75" customHeight="1">
      <c r="A178" s="32"/>
      <c r="B178" s="42"/>
      <c r="C178" s="32"/>
      <c r="D178" s="43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</row>
    <row r="179" spans="1:23" ht="21.75" customHeight="1">
      <c r="A179" s="32"/>
      <c r="B179" s="42"/>
      <c r="C179" s="32"/>
      <c r="D179" s="43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</row>
    <row r="180" spans="1:23" ht="21.75" customHeight="1">
      <c r="A180" s="32"/>
      <c r="B180" s="42"/>
      <c r="C180" s="32"/>
      <c r="D180" s="43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</row>
    <row r="181" spans="1:23" ht="21.75" customHeight="1">
      <c r="A181" s="32"/>
      <c r="B181" s="42"/>
      <c r="C181" s="32"/>
      <c r="D181" s="43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</row>
    <row r="182" spans="1:23" ht="21.75" customHeight="1">
      <c r="A182" s="32"/>
      <c r="B182" s="42"/>
      <c r="C182" s="32"/>
      <c r="D182" s="43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</row>
    <row r="183" spans="1:23" ht="21.75" customHeight="1">
      <c r="A183" s="32"/>
      <c r="B183" s="42"/>
      <c r="C183" s="32"/>
      <c r="D183" s="43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</row>
    <row r="184" spans="1:23" ht="21.75" customHeight="1">
      <c r="A184" s="32"/>
      <c r="B184" s="42"/>
      <c r="C184" s="32"/>
      <c r="D184" s="43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</row>
    <row r="185" spans="1:23" ht="21.75" customHeight="1">
      <c r="A185" s="32"/>
      <c r="B185" s="42"/>
      <c r="C185" s="32"/>
      <c r="D185" s="43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</row>
    <row r="186" spans="1:23" ht="21.75" customHeight="1">
      <c r="A186" s="32"/>
      <c r="B186" s="42"/>
      <c r="C186" s="32"/>
      <c r="D186" s="43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</row>
    <row r="187" spans="1:23" ht="21.75" customHeight="1">
      <c r="A187" s="32"/>
      <c r="B187" s="42"/>
      <c r="C187" s="32"/>
      <c r="D187" s="43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</row>
    <row r="188" spans="1:23" ht="21.75" customHeight="1">
      <c r="A188" s="32"/>
      <c r="B188" s="42"/>
      <c r="C188" s="32"/>
      <c r="D188" s="43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</row>
    <row r="189" spans="1:23" ht="21.75" customHeight="1">
      <c r="A189" s="32"/>
      <c r="B189" s="42"/>
      <c r="C189" s="32"/>
      <c r="D189" s="43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</row>
    <row r="190" spans="1:23" ht="21.75" customHeight="1">
      <c r="A190" s="32"/>
      <c r="B190" s="42"/>
      <c r="C190" s="32"/>
      <c r="D190" s="43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</row>
    <row r="191" spans="1:23" ht="21.75" customHeight="1">
      <c r="A191" s="32"/>
      <c r="B191" s="42"/>
      <c r="C191" s="32"/>
      <c r="D191" s="43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</row>
    <row r="192" spans="1:23" ht="21.75" customHeight="1">
      <c r="A192" s="32"/>
      <c r="B192" s="42"/>
      <c r="C192" s="32"/>
      <c r="D192" s="43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</row>
    <row r="193" spans="1:23" ht="21.75" customHeight="1">
      <c r="A193" s="32"/>
      <c r="B193" s="42"/>
      <c r="C193" s="32"/>
      <c r="D193" s="43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</row>
    <row r="194" spans="1:23" ht="21.75" customHeight="1">
      <c r="A194" s="32"/>
      <c r="B194" s="42"/>
      <c r="C194" s="32"/>
      <c r="D194" s="43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</row>
    <row r="195" spans="1:23" ht="21.75" customHeight="1">
      <c r="A195" s="32"/>
      <c r="B195" s="42"/>
      <c r="C195" s="32"/>
      <c r="D195" s="43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</row>
    <row r="196" spans="1:23" ht="21.75" customHeight="1">
      <c r="A196" s="32"/>
      <c r="B196" s="42"/>
      <c r="C196" s="32"/>
      <c r="D196" s="43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</row>
    <row r="197" spans="1:23" ht="21.75" customHeight="1">
      <c r="A197" s="32"/>
      <c r="B197" s="42"/>
      <c r="C197" s="32"/>
      <c r="D197" s="43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</row>
    <row r="198" spans="1:23" ht="21.75" customHeight="1">
      <c r="A198" s="32"/>
      <c r="B198" s="42"/>
      <c r="C198" s="32"/>
      <c r="D198" s="43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</row>
    <row r="199" spans="1:23" ht="21.75" customHeight="1">
      <c r="A199" s="32"/>
      <c r="B199" s="42"/>
      <c r="C199" s="32"/>
      <c r="D199" s="43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</row>
    <row r="200" spans="1:23" ht="21.75" customHeight="1">
      <c r="A200" s="32"/>
      <c r="B200" s="42"/>
      <c r="C200" s="32"/>
      <c r="D200" s="43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</row>
    <row r="201" spans="1:23" ht="21.75" customHeight="1">
      <c r="A201" s="32"/>
      <c r="B201" s="42"/>
      <c r="C201" s="32"/>
      <c r="D201" s="43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</row>
    <row r="202" spans="1:23" ht="21.75" customHeight="1">
      <c r="A202" s="32"/>
      <c r="B202" s="42"/>
      <c r="C202" s="32"/>
      <c r="D202" s="43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</row>
    <row r="203" spans="1:23" ht="21.75" customHeight="1">
      <c r="A203" s="32"/>
      <c r="B203" s="42"/>
      <c r="C203" s="32"/>
      <c r="D203" s="43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</row>
    <row r="204" spans="1:23" ht="21.75" customHeight="1">
      <c r="A204" s="32"/>
      <c r="B204" s="42"/>
      <c r="C204" s="32"/>
      <c r="D204" s="43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</row>
    <row r="205" spans="1:23" ht="21.75" customHeight="1">
      <c r="A205" s="32"/>
      <c r="B205" s="42"/>
      <c r="C205" s="32"/>
      <c r="D205" s="43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</row>
    <row r="206" spans="1:23" ht="21.75" customHeight="1">
      <c r="A206" s="32"/>
      <c r="B206" s="42"/>
      <c r="C206" s="32"/>
      <c r="D206" s="43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</row>
    <row r="207" spans="1:23" ht="21.75" customHeight="1">
      <c r="A207" s="32"/>
      <c r="B207" s="42"/>
      <c r="C207" s="32"/>
      <c r="D207" s="43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</row>
    <row r="208" spans="1:23" ht="21.75" customHeight="1">
      <c r="A208" s="32"/>
      <c r="B208" s="42"/>
      <c r="C208" s="32"/>
      <c r="D208" s="43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</row>
    <row r="209" spans="1:23" ht="21.75" customHeight="1">
      <c r="A209" s="32"/>
      <c r="B209" s="42"/>
      <c r="C209" s="32"/>
      <c r="D209" s="43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</row>
    <row r="210" spans="1:23" ht="21.75" customHeight="1">
      <c r="A210" s="32"/>
      <c r="B210" s="42"/>
      <c r="C210" s="32"/>
      <c r="D210" s="43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</row>
    <row r="211" spans="1:23" ht="21.75" customHeight="1">
      <c r="A211" s="32"/>
      <c r="B211" s="42"/>
      <c r="C211" s="32"/>
      <c r="D211" s="43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</row>
    <row r="212" spans="1:23" ht="21.75" customHeight="1">
      <c r="A212" s="32"/>
      <c r="B212" s="42"/>
      <c r="C212" s="32"/>
      <c r="D212" s="43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</row>
    <row r="213" spans="1:23" ht="21.75" customHeight="1">
      <c r="A213" s="32"/>
      <c r="B213" s="42"/>
      <c r="C213" s="32"/>
      <c r="D213" s="43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</row>
    <row r="214" spans="1:23" ht="21.75" customHeight="1">
      <c r="A214" s="32"/>
      <c r="B214" s="42"/>
      <c r="C214" s="32"/>
      <c r="D214" s="43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</row>
    <row r="215" spans="1:23" ht="21.75" customHeight="1">
      <c r="A215" s="32"/>
      <c r="B215" s="42"/>
      <c r="C215" s="32"/>
      <c r="D215" s="43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</row>
    <row r="216" spans="1:23" ht="21.75" customHeight="1">
      <c r="A216" s="32"/>
      <c r="B216" s="42"/>
      <c r="C216" s="32"/>
      <c r="D216" s="43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</row>
    <row r="217" spans="1:23" ht="21.75" customHeight="1">
      <c r="A217" s="32"/>
      <c r="B217" s="42"/>
      <c r="C217" s="32"/>
      <c r="D217" s="43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</row>
    <row r="218" spans="1:23" ht="21.75" customHeight="1">
      <c r="A218" s="32"/>
      <c r="B218" s="42"/>
      <c r="C218" s="32"/>
      <c r="D218" s="43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</row>
    <row r="219" spans="1:23" ht="21.75" customHeight="1">
      <c r="A219" s="32"/>
      <c r="B219" s="42"/>
      <c r="C219" s="32"/>
      <c r="D219" s="43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</row>
    <row r="220" spans="1:23" ht="21.75" customHeight="1">
      <c r="A220" s="32"/>
      <c r="B220" s="42"/>
      <c r="C220" s="32"/>
      <c r="D220" s="43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</row>
    <row r="221" spans="1:23" ht="21.75" customHeight="1">
      <c r="A221" s="32"/>
      <c r="B221" s="42"/>
      <c r="C221" s="32"/>
      <c r="D221" s="43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</row>
    <row r="222" spans="1:23" ht="21.75" customHeight="1">
      <c r="A222" s="32"/>
      <c r="B222" s="42"/>
      <c r="C222" s="32"/>
      <c r="D222" s="43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</row>
    <row r="223" spans="1:23" ht="21.75" customHeight="1">
      <c r="A223" s="32"/>
      <c r="B223" s="42"/>
      <c r="C223" s="32"/>
      <c r="D223" s="43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</row>
    <row r="224" spans="1:23" ht="21.75" customHeight="1">
      <c r="A224" s="32"/>
      <c r="B224" s="42"/>
      <c r="C224" s="32"/>
      <c r="D224" s="43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</row>
    <row r="225" spans="1:23" ht="21.75" customHeight="1">
      <c r="A225" s="32"/>
      <c r="B225" s="42"/>
      <c r="C225" s="32"/>
      <c r="D225" s="43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</row>
    <row r="226" spans="1:23" ht="21.75" customHeight="1">
      <c r="A226" s="32"/>
      <c r="B226" s="42"/>
      <c r="C226" s="32"/>
      <c r="D226" s="43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</row>
    <row r="227" spans="1:23" ht="21.75" customHeight="1">
      <c r="A227" s="32"/>
      <c r="B227" s="42"/>
      <c r="C227" s="32"/>
      <c r="D227" s="43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</row>
    <row r="228" spans="1:23" ht="21.75" customHeight="1">
      <c r="A228" s="32"/>
      <c r="B228" s="42"/>
      <c r="C228" s="32"/>
      <c r="D228" s="43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</row>
    <row r="229" spans="1:23" ht="21.75" customHeight="1">
      <c r="A229" s="32"/>
      <c r="B229" s="42"/>
      <c r="C229" s="32"/>
      <c r="D229" s="43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</row>
    <row r="230" spans="1:23" ht="21.75" customHeight="1">
      <c r="A230" s="32"/>
      <c r="B230" s="42"/>
      <c r="C230" s="32"/>
      <c r="D230" s="43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</row>
    <row r="231" spans="1:23" ht="21.75" customHeight="1">
      <c r="A231" s="32"/>
      <c r="B231" s="42"/>
      <c r="C231" s="32"/>
      <c r="D231" s="43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</row>
    <row r="232" spans="1:23" ht="21.75" customHeight="1">
      <c r="A232" s="32"/>
      <c r="B232" s="42"/>
      <c r="C232" s="32"/>
      <c r="D232" s="43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</row>
    <row r="233" spans="1:23" ht="21.75" customHeight="1">
      <c r="A233" s="32"/>
      <c r="B233" s="42"/>
      <c r="C233" s="32"/>
      <c r="D233" s="43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</row>
    <row r="234" spans="1:23" ht="21.75" customHeight="1">
      <c r="A234" s="32"/>
      <c r="B234" s="42"/>
      <c r="C234" s="32"/>
      <c r="D234" s="43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</row>
    <row r="235" spans="1:23" ht="21.75" customHeight="1">
      <c r="A235" s="32"/>
      <c r="B235" s="42"/>
      <c r="C235" s="32"/>
      <c r="D235" s="43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</row>
    <row r="236" spans="1:23" ht="21.75" customHeight="1">
      <c r="A236" s="32"/>
      <c r="B236" s="42"/>
      <c r="C236" s="32"/>
      <c r="D236" s="43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</row>
    <row r="237" spans="1:23" ht="21.75" customHeight="1">
      <c r="A237" s="32"/>
      <c r="B237" s="42"/>
      <c r="C237" s="32"/>
      <c r="D237" s="43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</row>
    <row r="238" spans="1:23" ht="21.75" customHeight="1">
      <c r="A238" s="32"/>
      <c r="B238" s="42"/>
      <c r="C238" s="32"/>
      <c r="D238" s="43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</row>
    <row r="239" spans="1:23" ht="21.75" customHeight="1">
      <c r="A239" s="32"/>
      <c r="B239" s="42"/>
      <c r="C239" s="32"/>
      <c r="D239" s="43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</row>
    <row r="240" spans="1:23" ht="21.75" customHeight="1">
      <c r="A240" s="32"/>
      <c r="B240" s="42"/>
      <c r="C240" s="32"/>
      <c r="D240" s="43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</row>
    <row r="241" spans="1:23" ht="21.75" customHeight="1">
      <c r="A241" s="32"/>
      <c r="B241" s="42"/>
      <c r="C241" s="32"/>
      <c r="D241" s="43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</row>
    <row r="242" spans="1:23" ht="21.75" customHeight="1">
      <c r="A242" s="32"/>
      <c r="B242" s="42"/>
      <c r="C242" s="32"/>
      <c r="D242" s="43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</row>
    <row r="243" spans="1:23" ht="21.75" customHeight="1">
      <c r="A243" s="32"/>
      <c r="B243" s="42"/>
      <c r="C243" s="32"/>
      <c r="D243" s="43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</row>
    <row r="244" spans="1:23" ht="21.75" customHeight="1">
      <c r="A244" s="32"/>
      <c r="B244" s="42"/>
      <c r="C244" s="32"/>
      <c r="D244" s="43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</row>
    <row r="245" spans="1:23" ht="21.75" customHeight="1">
      <c r="A245" s="32"/>
      <c r="B245" s="42"/>
      <c r="C245" s="32"/>
      <c r="D245" s="43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</row>
    <row r="246" spans="1:23" ht="21.75" customHeight="1">
      <c r="A246" s="32"/>
      <c r="B246" s="42"/>
      <c r="C246" s="32"/>
      <c r="D246" s="43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</row>
    <row r="247" spans="1:23" ht="14.3" customHeight="1">
      <c r="D247" s="46"/>
    </row>
    <row r="248" spans="1:23" ht="14.3" customHeight="1">
      <c r="D248" s="46"/>
    </row>
    <row r="249" spans="1:23" ht="14.3" customHeight="1">
      <c r="D249" s="46"/>
    </row>
    <row r="250" spans="1:23" ht="14.3" customHeight="1">
      <c r="D250" s="46"/>
    </row>
    <row r="251" spans="1:23" ht="14.3" customHeight="1">
      <c r="D251" s="46"/>
    </row>
    <row r="252" spans="1:23" ht="14.3" customHeight="1">
      <c r="D252" s="46"/>
    </row>
    <row r="253" spans="1:23" ht="14.3" customHeight="1">
      <c r="D253" s="46"/>
    </row>
    <row r="254" spans="1:23" ht="14.3" customHeight="1">
      <c r="D254" s="46"/>
    </row>
    <row r="255" spans="1:23" ht="14.3" customHeight="1">
      <c r="D255" s="46"/>
    </row>
    <row r="256" spans="1:23" ht="14.3" customHeight="1">
      <c r="D256" s="46"/>
    </row>
    <row r="257" spans="4:4" ht="14.3" customHeight="1">
      <c r="D257" s="46"/>
    </row>
    <row r="258" spans="4:4" ht="14.3" customHeight="1">
      <c r="D258" s="46"/>
    </row>
    <row r="259" spans="4:4" ht="14.3" customHeight="1">
      <c r="D259" s="46"/>
    </row>
    <row r="260" spans="4:4" ht="14.3" customHeight="1">
      <c r="D260" s="46"/>
    </row>
    <row r="261" spans="4:4" ht="14.3" customHeight="1">
      <c r="D261" s="46"/>
    </row>
    <row r="262" spans="4:4" ht="14.3" customHeight="1">
      <c r="D262" s="46"/>
    </row>
    <row r="263" spans="4:4" ht="14.3" customHeight="1">
      <c r="D263" s="46"/>
    </row>
    <row r="264" spans="4:4" ht="14.3" customHeight="1">
      <c r="D264" s="46"/>
    </row>
    <row r="265" spans="4:4" ht="14.3" customHeight="1">
      <c r="D265" s="46"/>
    </row>
    <row r="266" spans="4:4" ht="14.3" customHeight="1">
      <c r="D266" s="46"/>
    </row>
    <row r="267" spans="4:4" ht="14.3" customHeight="1">
      <c r="D267" s="46"/>
    </row>
    <row r="268" spans="4:4" ht="14.3" customHeight="1">
      <c r="D268" s="46"/>
    </row>
    <row r="269" spans="4:4" ht="14.3" customHeight="1">
      <c r="D269" s="46"/>
    </row>
    <row r="270" spans="4:4" ht="14.3" customHeight="1">
      <c r="D270" s="46"/>
    </row>
    <row r="271" spans="4:4" ht="14.3" customHeight="1">
      <c r="D271" s="46"/>
    </row>
    <row r="272" spans="4:4" ht="14.3" customHeight="1">
      <c r="D272" s="46"/>
    </row>
    <row r="273" spans="4:4" ht="14.3" customHeight="1">
      <c r="D273" s="46"/>
    </row>
    <row r="274" spans="4:4" ht="14.3" customHeight="1">
      <c r="D274" s="46"/>
    </row>
    <row r="275" spans="4:4" ht="14.3" customHeight="1">
      <c r="D275" s="46"/>
    </row>
    <row r="276" spans="4:4" ht="14.3" customHeight="1">
      <c r="D276" s="46"/>
    </row>
    <row r="277" spans="4:4" ht="14.3" customHeight="1">
      <c r="D277" s="46"/>
    </row>
    <row r="278" spans="4:4" ht="14.3" customHeight="1">
      <c r="D278" s="46"/>
    </row>
    <row r="279" spans="4:4" ht="14.3" customHeight="1">
      <c r="D279" s="46"/>
    </row>
    <row r="280" spans="4:4" ht="14.3" customHeight="1">
      <c r="D280" s="46"/>
    </row>
    <row r="281" spans="4:4" ht="14.3" customHeight="1">
      <c r="D281" s="46"/>
    </row>
    <row r="282" spans="4:4" ht="14.3" customHeight="1">
      <c r="D282" s="46"/>
    </row>
    <row r="283" spans="4:4" ht="14.3" customHeight="1">
      <c r="D283" s="46"/>
    </row>
    <row r="284" spans="4:4" ht="14.3" customHeight="1">
      <c r="D284" s="46"/>
    </row>
    <row r="285" spans="4:4" ht="14.3" customHeight="1">
      <c r="D285" s="46"/>
    </row>
    <row r="286" spans="4:4" ht="14.3" customHeight="1">
      <c r="D286" s="46"/>
    </row>
    <row r="287" spans="4:4" ht="14.3" customHeight="1">
      <c r="D287" s="46"/>
    </row>
    <row r="288" spans="4:4" ht="14.3" customHeight="1">
      <c r="D288" s="46"/>
    </row>
    <row r="289" spans="4:4" ht="14.3" customHeight="1">
      <c r="D289" s="46"/>
    </row>
    <row r="290" spans="4:4" ht="14.3" customHeight="1">
      <c r="D290" s="46"/>
    </row>
    <row r="291" spans="4:4" ht="14.3" customHeight="1">
      <c r="D291" s="46"/>
    </row>
    <row r="292" spans="4:4" ht="14.3" customHeight="1">
      <c r="D292" s="46"/>
    </row>
    <row r="293" spans="4:4" ht="14.3" customHeight="1">
      <c r="D293" s="46"/>
    </row>
    <row r="294" spans="4:4" ht="14.3" customHeight="1">
      <c r="D294" s="46"/>
    </row>
    <row r="295" spans="4:4" ht="14.3" customHeight="1">
      <c r="D295" s="46"/>
    </row>
    <row r="296" spans="4:4" ht="14.3" customHeight="1">
      <c r="D296" s="46"/>
    </row>
    <row r="297" spans="4:4" ht="14.3" customHeight="1">
      <c r="D297" s="46"/>
    </row>
    <row r="298" spans="4:4" ht="14.3" customHeight="1">
      <c r="D298" s="46"/>
    </row>
    <row r="299" spans="4:4" ht="14.3" customHeight="1">
      <c r="D299" s="46"/>
    </row>
    <row r="300" spans="4:4" ht="14.3" customHeight="1">
      <c r="D300" s="46"/>
    </row>
    <row r="301" spans="4:4" ht="14.3" customHeight="1">
      <c r="D301" s="46"/>
    </row>
    <row r="302" spans="4:4" ht="14.3" customHeight="1">
      <c r="D302" s="46"/>
    </row>
    <row r="303" spans="4:4" ht="14.3" customHeight="1">
      <c r="D303" s="46"/>
    </row>
    <row r="304" spans="4:4" ht="14.3" customHeight="1">
      <c r="D304" s="46"/>
    </row>
    <row r="305" spans="4:4" ht="14.3" customHeight="1">
      <c r="D305" s="46"/>
    </row>
    <row r="306" spans="4:4" ht="14.3" customHeight="1">
      <c r="D306" s="46"/>
    </row>
    <row r="307" spans="4:4" ht="14.3" customHeight="1">
      <c r="D307" s="46"/>
    </row>
    <row r="308" spans="4:4" ht="14.3" customHeight="1">
      <c r="D308" s="46"/>
    </row>
    <row r="309" spans="4:4" ht="14.3" customHeight="1">
      <c r="D309" s="46"/>
    </row>
    <row r="310" spans="4:4" ht="14.3" customHeight="1">
      <c r="D310" s="46"/>
    </row>
    <row r="311" spans="4:4" ht="14.3" customHeight="1">
      <c r="D311" s="46"/>
    </row>
    <row r="312" spans="4:4" ht="14.3" customHeight="1">
      <c r="D312" s="46"/>
    </row>
    <row r="313" spans="4:4" ht="14.3" customHeight="1">
      <c r="D313" s="46"/>
    </row>
    <row r="314" spans="4:4" ht="14.3" customHeight="1">
      <c r="D314" s="46"/>
    </row>
    <row r="315" spans="4:4" ht="14.3" customHeight="1">
      <c r="D315" s="46"/>
    </row>
    <row r="316" spans="4:4" ht="14.3" customHeight="1">
      <c r="D316" s="46"/>
    </row>
    <row r="317" spans="4:4" ht="14.3" customHeight="1">
      <c r="D317" s="46"/>
    </row>
    <row r="318" spans="4:4" ht="14.3" customHeight="1">
      <c r="D318" s="46"/>
    </row>
    <row r="319" spans="4:4" ht="14.3" customHeight="1">
      <c r="D319" s="46"/>
    </row>
    <row r="320" spans="4:4" ht="14.3" customHeight="1">
      <c r="D320" s="46"/>
    </row>
    <row r="321" spans="4:4" ht="14.3" customHeight="1">
      <c r="D321" s="46"/>
    </row>
    <row r="322" spans="4:4" ht="14.3" customHeight="1">
      <c r="D322" s="46"/>
    </row>
    <row r="323" spans="4:4" ht="14.3" customHeight="1">
      <c r="D323" s="46"/>
    </row>
    <row r="324" spans="4:4" ht="14.3" customHeight="1">
      <c r="D324" s="46"/>
    </row>
    <row r="325" spans="4:4" ht="14.3" customHeight="1">
      <c r="D325" s="46"/>
    </row>
    <row r="326" spans="4:4" ht="14.3" customHeight="1">
      <c r="D326" s="46"/>
    </row>
    <row r="327" spans="4:4" ht="14.3" customHeight="1">
      <c r="D327" s="46"/>
    </row>
    <row r="328" spans="4:4" ht="14.3" customHeight="1">
      <c r="D328" s="46"/>
    </row>
    <row r="329" spans="4:4" ht="14.3" customHeight="1">
      <c r="D329" s="46"/>
    </row>
    <row r="330" spans="4:4" ht="14.3" customHeight="1">
      <c r="D330" s="46"/>
    </row>
    <row r="331" spans="4:4" ht="14.3" customHeight="1">
      <c r="D331" s="46"/>
    </row>
    <row r="332" spans="4:4" ht="14.3" customHeight="1">
      <c r="D332" s="46"/>
    </row>
    <row r="333" spans="4:4" ht="14.3" customHeight="1">
      <c r="D333" s="46"/>
    </row>
    <row r="334" spans="4:4" ht="14.3" customHeight="1">
      <c r="D334" s="46"/>
    </row>
    <row r="335" spans="4:4" ht="14.3" customHeight="1">
      <c r="D335" s="46"/>
    </row>
    <row r="336" spans="4:4" ht="14.3" customHeight="1">
      <c r="D336" s="46"/>
    </row>
    <row r="337" spans="4:4" ht="14.3" customHeight="1">
      <c r="D337" s="46"/>
    </row>
    <row r="338" spans="4:4" ht="14.3" customHeight="1">
      <c r="D338" s="46"/>
    </row>
    <row r="339" spans="4:4" ht="14.3" customHeight="1">
      <c r="D339" s="46"/>
    </row>
    <row r="340" spans="4:4" ht="14.3" customHeight="1">
      <c r="D340" s="46"/>
    </row>
    <row r="341" spans="4:4" ht="14.3" customHeight="1">
      <c r="D341" s="46"/>
    </row>
    <row r="342" spans="4:4" ht="14.3" customHeight="1">
      <c r="D342" s="46"/>
    </row>
    <row r="343" spans="4:4" ht="14.3" customHeight="1">
      <c r="D343" s="46"/>
    </row>
    <row r="344" spans="4:4" ht="14.3" customHeight="1">
      <c r="D344" s="46"/>
    </row>
    <row r="345" spans="4:4" ht="14.3" customHeight="1">
      <c r="D345" s="46"/>
    </row>
    <row r="346" spans="4:4" ht="14.3" customHeight="1">
      <c r="D346" s="46"/>
    </row>
    <row r="347" spans="4:4" ht="14.3" customHeight="1">
      <c r="D347" s="46"/>
    </row>
    <row r="348" spans="4:4" ht="14.3" customHeight="1">
      <c r="D348" s="46"/>
    </row>
    <row r="349" spans="4:4" ht="14.3" customHeight="1">
      <c r="D349" s="46"/>
    </row>
    <row r="350" spans="4:4" ht="14.3" customHeight="1">
      <c r="D350" s="46"/>
    </row>
    <row r="351" spans="4:4" ht="14.3" customHeight="1">
      <c r="D351" s="46"/>
    </row>
    <row r="352" spans="4:4" ht="14.3" customHeight="1">
      <c r="D352" s="46"/>
    </row>
    <row r="353" spans="4:4" ht="14.3" customHeight="1">
      <c r="D353" s="46"/>
    </row>
    <row r="354" spans="4:4" ht="14.3" customHeight="1">
      <c r="D354" s="46"/>
    </row>
    <row r="355" spans="4:4" ht="14.3" customHeight="1">
      <c r="D355" s="46"/>
    </row>
    <row r="356" spans="4:4" ht="14.3" customHeight="1">
      <c r="D356" s="46"/>
    </row>
    <row r="357" spans="4:4" ht="14.3" customHeight="1">
      <c r="D357" s="46"/>
    </row>
    <row r="358" spans="4:4" ht="14.3" customHeight="1">
      <c r="D358" s="46"/>
    </row>
    <row r="359" spans="4:4" ht="14.3" customHeight="1">
      <c r="D359" s="46"/>
    </row>
    <row r="360" spans="4:4" ht="14.3" customHeight="1">
      <c r="D360" s="46"/>
    </row>
    <row r="361" spans="4:4" ht="14.3" customHeight="1">
      <c r="D361" s="46"/>
    </row>
    <row r="362" spans="4:4" ht="14.3" customHeight="1">
      <c r="D362" s="46"/>
    </row>
    <row r="363" spans="4:4" ht="14.3" customHeight="1">
      <c r="D363" s="46"/>
    </row>
    <row r="364" spans="4:4" ht="14.3" customHeight="1">
      <c r="D364" s="46"/>
    </row>
    <row r="365" spans="4:4" ht="14.3" customHeight="1">
      <c r="D365" s="46"/>
    </row>
    <row r="366" spans="4:4" ht="14.3" customHeight="1">
      <c r="D366" s="46"/>
    </row>
    <row r="367" spans="4:4" ht="14.3" customHeight="1">
      <c r="D367" s="46"/>
    </row>
    <row r="368" spans="4:4" ht="14.3" customHeight="1">
      <c r="D368" s="46"/>
    </row>
    <row r="369" spans="4:4" ht="14.3" customHeight="1">
      <c r="D369" s="46"/>
    </row>
    <row r="370" spans="4:4" ht="14.3" customHeight="1">
      <c r="D370" s="46"/>
    </row>
    <row r="371" spans="4:4" ht="14.3" customHeight="1">
      <c r="D371" s="46"/>
    </row>
    <row r="372" spans="4:4" ht="14.3" customHeight="1">
      <c r="D372" s="46"/>
    </row>
    <row r="373" spans="4:4" ht="14.3" customHeight="1">
      <c r="D373" s="46"/>
    </row>
    <row r="374" spans="4:4" ht="14.3" customHeight="1">
      <c r="D374" s="46"/>
    </row>
    <row r="375" spans="4:4" ht="14.3" customHeight="1">
      <c r="D375" s="46"/>
    </row>
    <row r="376" spans="4:4" ht="14.3" customHeight="1">
      <c r="D376" s="46"/>
    </row>
    <row r="377" spans="4:4" ht="14.3" customHeight="1">
      <c r="D377" s="46"/>
    </row>
    <row r="378" spans="4:4" ht="14.3" customHeight="1">
      <c r="D378" s="46"/>
    </row>
    <row r="379" spans="4:4" ht="14.3" customHeight="1">
      <c r="D379" s="46"/>
    </row>
    <row r="380" spans="4:4" ht="14.3" customHeight="1">
      <c r="D380" s="46"/>
    </row>
    <row r="381" spans="4:4" ht="14.3" customHeight="1">
      <c r="D381" s="46"/>
    </row>
    <row r="382" spans="4:4" ht="14.3" customHeight="1">
      <c r="D382" s="46"/>
    </row>
    <row r="383" spans="4:4" ht="14.3" customHeight="1">
      <c r="D383" s="46"/>
    </row>
    <row r="384" spans="4:4" ht="14.3" customHeight="1">
      <c r="D384" s="46"/>
    </row>
    <row r="385" spans="4:4" ht="14.3" customHeight="1">
      <c r="D385" s="46"/>
    </row>
    <row r="386" spans="4:4" ht="14.3" customHeight="1">
      <c r="D386" s="46"/>
    </row>
    <row r="387" spans="4:4" ht="14.3" customHeight="1">
      <c r="D387" s="46"/>
    </row>
    <row r="388" spans="4:4" ht="14.3" customHeight="1">
      <c r="D388" s="46"/>
    </row>
    <row r="389" spans="4:4" ht="14.3" customHeight="1">
      <c r="D389" s="46"/>
    </row>
    <row r="390" spans="4:4" ht="14.3" customHeight="1">
      <c r="D390" s="46"/>
    </row>
    <row r="391" spans="4:4" ht="14.3" customHeight="1">
      <c r="D391" s="46"/>
    </row>
    <row r="392" spans="4:4" ht="14.3" customHeight="1">
      <c r="D392" s="46"/>
    </row>
    <row r="393" spans="4:4" ht="14.3" customHeight="1">
      <c r="D393" s="46"/>
    </row>
    <row r="394" spans="4:4" ht="14.3" customHeight="1">
      <c r="D394" s="46"/>
    </row>
    <row r="395" spans="4:4" ht="14.3" customHeight="1">
      <c r="D395" s="46"/>
    </row>
    <row r="396" spans="4:4" ht="14.3" customHeight="1">
      <c r="D396" s="46"/>
    </row>
    <row r="397" spans="4:4" ht="14.3" customHeight="1">
      <c r="D397" s="46"/>
    </row>
    <row r="398" spans="4:4" ht="14.3" customHeight="1">
      <c r="D398" s="46"/>
    </row>
    <row r="399" spans="4:4" ht="14.3" customHeight="1">
      <c r="D399" s="46"/>
    </row>
    <row r="400" spans="4:4" ht="14.3" customHeight="1">
      <c r="D400" s="46"/>
    </row>
    <row r="401" spans="4:4" ht="14.3" customHeight="1">
      <c r="D401" s="46"/>
    </row>
    <row r="402" spans="4:4" ht="14.3" customHeight="1">
      <c r="D402" s="46"/>
    </row>
    <row r="403" spans="4:4" ht="14.3" customHeight="1">
      <c r="D403" s="46"/>
    </row>
    <row r="404" spans="4:4" ht="14.3" customHeight="1">
      <c r="D404" s="46"/>
    </row>
    <row r="405" spans="4:4" ht="14.3" customHeight="1">
      <c r="D405" s="46"/>
    </row>
    <row r="406" spans="4:4" ht="14.3" customHeight="1">
      <c r="D406" s="46"/>
    </row>
    <row r="407" spans="4:4" ht="14.3" customHeight="1">
      <c r="D407" s="46"/>
    </row>
    <row r="408" spans="4:4" ht="14.3" customHeight="1">
      <c r="D408" s="46"/>
    </row>
    <row r="409" spans="4:4" ht="14.3" customHeight="1">
      <c r="D409" s="46"/>
    </row>
    <row r="410" spans="4:4" ht="14.3" customHeight="1">
      <c r="D410" s="46"/>
    </row>
    <row r="411" spans="4:4" ht="14.3" customHeight="1">
      <c r="D411" s="46"/>
    </row>
    <row r="412" spans="4:4" ht="14.3" customHeight="1">
      <c r="D412" s="46"/>
    </row>
    <row r="413" spans="4:4" ht="14.3" customHeight="1">
      <c r="D413" s="46"/>
    </row>
    <row r="414" spans="4:4" ht="14.3" customHeight="1">
      <c r="D414" s="46"/>
    </row>
    <row r="415" spans="4:4" ht="14.3" customHeight="1">
      <c r="D415" s="46"/>
    </row>
    <row r="416" spans="4:4" ht="14.3" customHeight="1">
      <c r="D416" s="46"/>
    </row>
    <row r="417" spans="4:4" ht="14.3" customHeight="1">
      <c r="D417" s="46"/>
    </row>
    <row r="418" spans="4:4" ht="14.3" customHeight="1">
      <c r="D418" s="46"/>
    </row>
    <row r="419" spans="4:4" ht="14.3" customHeight="1">
      <c r="D419" s="46"/>
    </row>
    <row r="420" spans="4:4" ht="14.3" customHeight="1">
      <c r="D420" s="46"/>
    </row>
    <row r="421" spans="4:4" ht="14.3" customHeight="1">
      <c r="D421" s="46"/>
    </row>
    <row r="422" spans="4:4" ht="14.3" customHeight="1">
      <c r="D422" s="46"/>
    </row>
    <row r="423" spans="4:4" ht="14.3" customHeight="1">
      <c r="D423" s="46"/>
    </row>
    <row r="424" spans="4:4" ht="14.3" customHeight="1">
      <c r="D424" s="46"/>
    </row>
    <row r="425" spans="4:4" ht="14.3" customHeight="1">
      <c r="D425" s="46"/>
    </row>
    <row r="426" spans="4:4" ht="14.3" customHeight="1">
      <c r="D426" s="46"/>
    </row>
    <row r="427" spans="4:4" ht="14.3" customHeight="1">
      <c r="D427" s="46"/>
    </row>
    <row r="428" spans="4:4" ht="14.3" customHeight="1">
      <c r="D428" s="46"/>
    </row>
    <row r="429" spans="4:4" ht="14.3" customHeight="1">
      <c r="D429" s="46"/>
    </row>
    <row r="430" spans="4:4" ht="14.3" customHeight="1">
      <c r="D430" s="46"/>
    </row>
    <row r="431" spans="4:4" ht="14.3" customHeight="1">
      <c r="D431" s="46"/>
    </row>
    <row r="432" spans="4:4" ht="14.3" customHeight="1">
      <c r="D432" s="46"/>
    </row>
    <row r="433" spans="4:4" ht="14.3" customHeight="1">
      <c r="D433" s="46"/>
    </row>
    <row r="434" spans="4:4" ht="14.3" customHeight="1">
      <c r="D434" s="46"/>
    </row>
    <row r="435" spans="4:4" ht="14.3" customHeight="1">
      <c r="D435" s="46"/>
    </row>
    <row r="436" spans="4:4" ht="14.3" customHeight="1">
      <c r="D436" s="46"/>
    </row>
    <row r="437" spans="4:4" ht="14.3" customHeight="1">
      <c r="D437" s="46"/>
    </row>
    <row r="438" spans="4:4" ht="14.3" customHeight="1">
      <c r="D438" s="46"/>
    </row>
    <row r="439" spans="4:4" ht="14.3" customHeight="1">
      <c r="D439" s="46"/>
    </row>
    <row r="440" spans="4:4" ht="14.3" customHeight="1">
      <c r="D440" s="46"/>
    </row>
    <row r="441" spans="4:4" ht="14.3" customHeight="1">
      <c r="D441" s="46"/>
    </row>
    <row r="442" spans="4:4" ht="14.3" customHeight="1">
      <c r="D442" s="46"/>
    </row>
    <row r="443" spans="4:4" ht="14.3" customHeight="1">
      <c r="D443" s="46"/>
    </row>
    <row r="444" spans="4:4" ht="14.3" customHeight="1">
      <c r="D444" s="46"/>
    </row>
    <row r="445" spans="4:4" ht="14.3" customHeight="1">
      <c r="D445" s="46"/>
    </row>
    <row r="446" spans="4:4" ht="14.3" customHeight="1">
      <c r="D446" s="46"/>
    </row>
    <row r="447" spans="4:4" ht="14.3" customHeight="1">
      <c r="D447" s="46"/>
    </row>
    <row r="448" spans="4:4" ht="14.3" customHeight="1">
      <c r="D448" s="46"/>
    </row>
    <row r="449" spans="4:4" ht="14.3" customHeight="1">
      <c r="D449" s="46"/>
    </row>
    <row r="450" spans="4:4" ht="14.3" customHeight="1">
      <c r="D450" s="46"/>
    </row>
    <row r="451" spans="4:4" ht="14.3" customHeight="1">
      <c r="D451" s="46"/>
    </row>
    <row r="452" spans="4:4" ht="14.3" customHeight="1">
      <c r="D452" s="46"/>
    </row>
    <row r="453" spans="4:4" ht="14.3" customHeight="1">
      <c r="D453" s="46"/>
    </row>
    <row r="454" spans="4:4" ht="14.3" customHeight="1">
      <c r="D454" s="46"/>
    </row>
    <row r="455" spans="4:4" ht="14.3" customHeight="1">
      <c r="D455" s="46"/>
    </row>
    <row r="456" spans="4:4" ht="14.3" customHeight="1">
      <c r="D456" s="46"/>
    </row>
    <row r="457" spans="4:4" ht="14.3" customHeight="1">
      <c r="D457" s="46"/>
    </row>
    <row r="458" spans="4:4" ht="14.3" customHeight="1">
      <c r="D458" s="46"/>
    </row>
    <row r="459" spans="4:4" ht="14.3" customHeight="1">
      <c r="D459" s="46"/>
    </row>
    <row r="460" spans="4:4" ht="14.3" customHeight="1">
      <c r="D460" s="46"/>
    </row>
    <row r="461" spans="4:4" ht="14.3" customHeight="1">
      <c r="D461" s="46"/>
    </row>
    <row r="462" spans="4:4" ht="14.3" customHeight="1">
      <c r="D462" s="46"/>
    </row>
    <row r="463" spans="4:4" ht="14.3" customHeight="1">
      <c r="D463" s="46"/>
    </row>
    <row r="464" spans="4:4" ht="14.3" customHeight="1">
      <c r="D464" s="46"/>
    </row>
    <row r="465" spans="4:4" ht="14.3" customHeight="1">
      <c r="D465" s="46"/>
    </row>
    <row r="466" spans="4:4" ht="14.3" customHeight="1">
      <c r="D466" s="46"/>
    </row>
    <row r="467" spans="4:4" ht="14.3" customHeight="1">
      <c r="D467" s="46"/>
    </row>
    <row r="468" spans="4:4" ht="14.3" customHeight="1">
      <c r="D468" s="46"/>
    </row>
    <row r="469" spans="4:4" ht="14.3" customHeight="1">
      <c r="D469" s="46"/>
    </row>
    <row r="470" spans="4:4" ht="14.3" customHeight="1">
      <c r="D470" s="46"/>
    </row>
    <row r="471" spans="4:4" ht="14.3" customHeight="1">
      <c r="D471" s="46"/>
    </row>
    <row r="472" spans="4:4" ht="14.3" customHeight="1">
      <c r="D472" s="46"/>
    </row>
    <row r="473" spans="4:4" ht="14.3" customHeight="1">
      <c r="D473" s="46"/>
    </row>
    <row r="474" spans="4:4" ht="14.3" customHeight="1">
      <c r="D474" s="46"/>
    </row>
    <row r="475" spans="4:4" ht="14.3" customHeight="1">
      <c r="D475" s="46"/>
    </row>
    <row r="476" spans="4:4" ht="14.3" customHeight="1">
      <c r="D476" s="46"/>
    </row>
    <row r="477" spans="4:4" ht="14.3" customHeight="1">
      <c r="D477" s="46"/>
    </row>
    <row r="478" spans="4:4" ht="14.3" customHeight="1">
      <c r="D478" s="46"/>
    </row>
    <row r="479" spans="4:4" ht="14.3" customHeight="1">
      <c r="D479" s="46"/>
    </row>
    <row r="480" spans="4:4" ht="14.3" customHeight="1">
      <c r="D480" s="46"/>
    </row>
    <row r="481" spans="4:4" ht="14.3" customHeight="1">
      <c r="D481" s="46"/>
    </row>
    <row r="482" spans="4:4" ht="14.3" customHeight="1">
      <c r="D482" s="46"/>
    </row>
    <row r="483" spans="4:4" ht="14.3" customHeight="1">
      <c r="D483" s="46"/>
    </row>
    <row r="484" spans="4:4" ht="14.3" customHeight="1">
      <c r="D484" s="46"/>
    </row>
    <row r="485" spans="4:4" ht="14.3" customHeight="1">
      <c r="D485" s="46"/>
    </row>
    <row r="486" spans="4:4" ht="14.3" customHeight="1">
      <c r="D486" s="46"/>
    </row>
    <row r="487" spans="4:4" ht="14.3" customHeight="1">
      <c r="D487" s="46"/>
    </row>
    <row r="488" spans="4:4" ht="14.3" customHeight="1">
      <c r="D488" s="46"/>
    </row>
    <row r="489" spans="4:4" ht="14.3" customHeight="1">
      <c r="D489" s="46"/>
    </row>
    <row r="490" spans="4:4" ht="14.3" customHeight="1">
      <c r="D490" s="46"/>
    </row>
    <row r="491" spans="4:4" ht="14.3" customHeight="1">
      <c r="D491" s="46"/>
    </row>
    <row r="492" spans="4:4" ht="14.3" customHeight="1">
      <c r="D492" s="46"/>
    </row>
    <row r="493" spans="4:4" ht="14.3" customHeight="1">
      <c r="D493" s="46"/>
    </row>
    <row r="494" spans="4:4" ht="14.3" customHeight="1">
      <c r="D494" s="46"/>
    </row>
    <row r="495" spans="4:4" ht="14.3" customHeight="1">
      <c r="D495" s="46"/>
    </row>
    <row r="496" spans="4:4" ht="14.3" customHeight="1">
      <c r="D496" s="46"/>
    </row>
    <row r="497" spans="4:4" ht="14.3" customHeight="1">
      <c r="D497" s="46"/>
    </row>
    <row r="498" spans="4:4" ht="14.3" customHeight="1">
      <c r="D498" s="46"/>
    </row>
    <row r="499" spans="4:4" ht="14.3" customHeight="1">
      <c r="D499" s="46"/>
    </row>
    <row r="500" spans="4:4" ht="14.3" customHeight="1">
      <c r="D500" s="46"/>
    </row>
    <row r="501" spans="4:4" ht="14.3" customHeight="1">
      <c r="D501" s="46"/>
    </row>
    <row r="502" spans="4:4" ht="14.3" customHeight="1">
      <c r="D502" s="46"/>
    </row>
    <row r="503" spans="4:4" ht="14.3" customHeight="1">
      <c r="D503" s="46"/>
    </row>
    <row r="504" spans="4:4" ht="14.3" customHeight="1">
      <c r="D504" s="46"/>
    </row>
    <row r="505" spans="4:4" ht="14.3" customHeight="1">
      <c r="D505" s="46"/>
    </row>
    <row r="506" spans="4:4" ht="14.3" customHeight="1">
      <c r="D506" s="46"/>
    </row>
    <row r="507" spans="4:4" ht="14.3" customHeight="1">
      <c r="D507" s="46"/>
    </row>
    <row r="508" spans="4:4" ht="14.3" customHeight="1">
      <c r="D508" s="46"/>
    </row>
    <row r="509" spans="4:4" ht="14.3" customHeight="1">
      <c r="D509" s="46"/>
    </row>
    <row r="510" spans="4:4" ht="14.3" customHeight="1">
      <c r="D510" s="46"/>
    </row>
    <row r="511" spans="4:4" ht="14.3" customHeight="1">
      <c r="D511" s="46"/>
    </row>
    <row r="512" spans="4:4" ht="14.3" customHeight="1">
      <c r="D512" s="46"/>
    </row>
    <row r="513" spans="4:4" ht="14.3" customHeight="1">
      <c r="D513" s="46"/>
    </row>
    <row r="514" spans="4:4" ht="14.3" customHeight="1">
      <c r="D514" s="46"/>
    </row>
    <row r="515" spans="4:4" ht="14.3" customHeight="1">
      <c r="D515" s="46"/>
    </row>
    <row r="516" spans="4:4" ht="14.3" customHeight="1">
      <c r="D516" s="46"/>
    </row>
    <row r="517" spans="4:4" ht="14.3" customHeight="1">
      <c r="D517" s="46"/>
    </row>
    <row r="518" spans="4:4" ht="14.3" customHeight="1">
      <c r="D518" s="46"/>
    </row>
    <row r="519" spans="4:4" ht="14.3" customHeight="1">
      <c r="D519" s="46"/>
    </row>
    <row r="520" spans="4:4" ht="14.3" customHeight="1">
      <c r="D520" s="46"/>
    </row>
    <row r="521" spans="4:4" ht="14.3" customHeight="1">
      <c r="D521" s="46"/>
    </row>
    <row r="522" spans="4:4" ht="14.3" customHeight="1">
      <c r="D522" s="46"/>
    </row>
    <row r="523" spans="4:4" ht="14.3" customHeight="1">
      <c r="D523" s="46"/>
    </row>
    <row r="524" spans="4:4" ht="14.3" customHeight="1">
      <c r="D524" s="46"/>
    </row>
    <row r="525" spans="4:4" ht="14.3" customHeight="1">
      <c r="D525" s="46"/>
    </row>
    <row r="526" spans="4:4" ht="14.3" customHeight="1">
      <c r="D526" s="46"/>
    </row>
    <row r="527" spans="4:4" ht="14.3" customHeight="1">
      <c r="D527" s="46"/>
    </row>
    <row r="528" spans="4:4" ht="14.3" customHeight="1">
      <c r="D528" s="46"/>
    </row>
    <row r="529" spans="4:4" ht="14.3" customHeight="1">
      <c r="D529" s="46"/>
    </row>
    <row r="530" spans="4:4" ht="14.3" customHeight="1">
      <c r="D530" s="46"/>
    </row>
    <row r="531" spans="4:4" ht="14.3" customHeight="1">
      <c r="D531" s="46"/>
    </row>
    <row r="532" spans="4:4" ht="14.3" customHeight="1">
      <c r="D532" s="46"/>
    </row>
    <row r="533" spans="4:4" ht="14.3" customHeight="1">
      <c r="D533" s="46"/>
    </row>
    <row r="534" spans="4:4" ht="14.3" customHeight="1">
      <c r="D534" s="46"/>
    </row>
    <row r="535" spans="4:4" ht="14.3" customHeight="1">
      <c r="D535" s="46"/>
    </row>
    <row r="536" spans="4:4" ht="14.3" customHeight="1">
      <c r="D536" s="46"/>
    </row>
    <row r="537" spans="4:4" ht="14.3" customHeight="1">
      <c r="D537" s="46"/>
    </row>
    <row r="538" spans="4:4" ht="14.3" customHeight="1">
      <c r="D538" s="46"/>
    </row>
    <row r="539" spans="4:4" ht="14.3" customHeight="1">
      <c r="D539" s="46"/>
    </row>
    <row r="540" spans="4:4" ht="14.3" customHeight="1">
      <c r="D540" s="46"/>
    </row>
    <row r="541" spans="4:4" ht="14.3" customHeight="1">
      <c r="D541" s="46"/>
    </row>
    <row r="542" spans="4:4" ht="14.3" customHeight="1">
      <c r="D542" s="46"/>
    </row>
    <row r="543" spans="4:4" ht="14.3" customHeight="1">
      <c r="D543" s="46"/>
    </row>
    <row r="544" spans="4:4" ht="14.3" customHeight="1">
      <c r="D544" s="46"/>
    </row>
    <row r="545" spans="4:4" ht="14.3" customHeight="1">
      <c r="D545" s="46"/>
    </row>
    <row r="546" spans="4:4" ht="14.3" customHeight="1">
      <c r="D546" s="46"/>
    </row>
    <row r="547" spans="4:4" ht="14.3" customHeight="1">
      <c r="D547" s="46"/>
    </row>
    <row r="548" spans="4:4" ht="14.3" customHeight="1">
      <c r="D548" s="46"/>
    </row>
    <row r="549" spans="4:4" ht="14.3" customHeight="1">
      <c r="D549" s="46"/>
    </row>
    <row r="550" spans="4:4" ht="14.3" customHeight="1">
      <c r="D550" s="46"/>
    </row>
    <row r="551" spans="4:4" ht="14.3" customHeight="1">
      <c r="D551" s="46"/>
    </row>
    <row r="552" spans="4:4" ht="14.3" customHeight="1">
      <c r="D552" s="46"/>
    </row>
    <row r="553" spans="4:4" ht="14.3" customHeight="1">
      <c r="D553" s="46"/>
    </row>
    <row r="554" spans="4:4" ht="14.3" customHeight="1">
      <c r="D554" s="46"/>
    </row>
    <row r="555" spans="4:4" ht="14.3" customHeight="1">
      <c r="D555" s="46"/>
    </row>
    <row r="556" spans="4:4" ht="14.3" customHeight="1">
      <c r="D556" s="46"/>
    </row>
    <row r="557" spans="4:4" ht="14.3" customHeight="1">
      <c r="D557" s="46"/>
    </row>
    <row r="558" spans="4:4" ht="14.3" customHeight="1">
      <c r="D558" s="46"/>
    </row>
    <row r="559" spans="4:4" ht="14.3" customHeight="1">
      <c r="D559" s="46"/>
    </row>
    <row r="560" spans="4:4" ht="14.3" customHeight="1">
      <c r="D560" s="46"/>
    </row>
    <row r="561" spans="4:4" ht="14.3" customHeight="1">
      <c r="D561" s="46"/>
    </row>
    <row r="562" spans="4:4" ht="14.3" customHeight="1">
      <c r="D562" s="46"/>
    </row>
    <row r="563" spans="4:4" ht="14.3" customHeight="1">
      <c r="D563" s="46"/>
    </row>
    <row r="564" spans="4:4" ht="14.3" customHeight="1">
      <c r="D564" s="46"/>
    </row>
    <row r="565" spans="4:4" ht="14.3" customHeight="1">
      <c r="D565" s="46"/>
    </row>
    <row r="566" spans="4:4" ht="14.3" customHeight="1">
      <c r="D566" s="46"/>
    </row>
    <row r="567" spans="4:4" ht="14.3" customHeight="1">
      <c r="D567" s="46"/>
    </row>
    <row r="568" spans="4:4" ht="14.3" customHeight="1">
      <c r="D568" s="46"/>
    </row>
    <row r="569" spans="4:4" ht="14.3" customHeight="1">
      <c r="D569" s="46"/>
    </row>
    <row r="570" spans="4:4" ht="14.3" customHeight="1">
      <c r="D570" s="46"/>
    </row>
    <row r="571" spans="4:4" ht="14.3" customHeight="1">
      <c r="D571" s="46"/>
    </row>
    <row r="572" spans="4:4" ht="14.3" customHeight="1">
      <c r="D572" s="46"/>
    </row>
    <row r="573" spans="4:4" ht="14.3" customHeight="1">
      <c r="D573" s="46"/>
    </row>
    <row r="574" spans="4:4" ht="14.3" customHeight="1">
      <c r="D574" s="46"/>
    </row>
    <row r="575" spans="4:4" ht="14.3" customHeight="1">
      <c r="D575" s="46"/>
    </row>
    <row r="576" spans="4:4" ht="14.3" customHeight="1">
      <c r="D576" s="46"/>
    </row>
    <row r="577" spans="4:4" ht="14.3" customHeight="1">
      <c r="D577" s="46"/>
    </row>
    <row r="578" spans="4:4" ht="14.3" customHeight="1">
      <c r="D578" s="46"/>
    </row>
    <row r="579" spans="4:4" ht="14.3" customHeight="1">
      <c r="D579" s="46"/>
    </row>
    <row r="580" spans="4:4" ht="14.3" customHeight="1">
      <c r="D580" s="46"/>
    </row>
    <row r="581" spans="4:4" ht="14.3" customHeight="1">
      <c r="D581" s="46"/>
    </row>
    <row r="582" spans="4:4" ht="14.3" customHeight="1">
      <c r="D582" s="46"/>
    </row>
    <row r="583" spans="4:4" ht="14.3" customHeight="1">
      <c r="D583" s="46"/>
    </row>
    <row r="584" spans="4:4" ht="14.3" customHeight="1">
      <c r="D584" s="46"/>
    </row>
    <row r="585" spans="4:4" ht="14.3" customHeight="1">
      <c r="D585" s="46"/>
    </row>
    <row r="586" spans="4:4" ht="14.3" customHeight="1">
      <c r="D586" s="46"/>
    </row>
    <row r="587" spans="4:4" ht="14.3" customHeight="1">
      <c r="D587" s="46"/>
    </row>
    <row r="588" spans="4:4" ht="14.3" customHeight="1">
      <c r="D588" s="46"/>
    </row>
    <row r="589" spans="4:4" ht="14.3" customHeight="1">
      <c r="D589" s="46"/>
    </row>
    <row r="590" spans="4:4" ht="14.3" customHeight="1">
      <c r="D590" s="46"/>
    </row>
    <row r="591" spans="4:4" ht="14.3" customHeight="1">
      <c r="D591" s="46"/>
    </row>
    <row r="592" spans="4:4" ht="14.3" customHeight="1">
      <c r="D592" s="46"/>
    </row>
    <row r="593" spans="4:4" ht="14.3" customHeight="1">
      <c r="D593" s="46"/>
    </row>
    <row r="594" spans="4:4" ht="14.3" customHeight="1">
      <c r="D594" s="46"/>
    </row>
    <row r="595" spans="4:4" ht="14.3" customHeight="1">
      <c r="D595" s="46"/>
    </row>
    <row r="596" spans="4:4" ht="14.3" customHeight="1">
      <c r="D596" s="46"/>
    </row>
    <row r="597" spans="4:4" ht="14.3" customHeight="1">
      <c r="D597" s="46"/>
    </row>
    <row r="598" spans="4:4" ht="14.3" customHeight="1">
      <c r="D598" s="46"/>
    </row>
    <row r="599" spans="4:4" ht="14.3" customHeight="1">
      <c r="D599" s="46"/>
    </row>
    <row r="600" spans="4:4" ht="14.3" customHeight="1">
      <c r="D600" s="46"/>
    </row>
    <row r="601" spans="4:4" ht="14.3" customHeight="1">
      <c r="D601" s="46"/>
    </row>
    <row r="602" spans="4:4" ht="14.3" customHeight="1">
      <c r="D602" s="46"/>
    </row>
    <row r="603" spans="4:4" ht="14.3" customHeight="1">
      <c r="D603" s="46"/>
    </row>
    <row r="604" spans="4:4" ht="14.3" customHeight="1">
      <c r="D604" s="46"/>
    </row>
    <row r="605" spans="4:4" ht="14.3" customHeight="1">
      <c r="D605" s="46"/>
    </row>
    <row r="606" spans="4:4" ht="14.3" customHeight="1">
      <c r="D606" s="46"/>
    </row>
    <row r="607" spans="4:4" ht="14.3" customHeight="1">
      <c r="D607" s="46"/>
    </row>
    <row r="608" spans="4:4" ht="14.3" customHeight="1">
      <c r="D608" s="46"/>
    </row>
    <row r="609" spans="4:4" ht="14.3" customHeight="1">
      <c r="D609" s="46"/>
    </row>
    <row r="610" spans="4:4" ht="14.3" customHeight="1">
      <c r="D610" s="46"/>
    </row>
    <row r="611" spans="4:4" ht="14.3" customHeight="1">
      <c r="D611" s="46"/>
    </row>
    <row r="612" spans="4:4" ht="14.3" customHeight="1">
      <c r="D612" s="46"/>
    </row>
    <row r="613" spans="4:4" ht="14.3" customHeight="1">
      <c r="D613" s="46"/>
    </row>
    <row r="614" spans="4:4" ht="14.3" customHeight="1">
      <c r="D614" s="46"/>
    </row>
    <row r="615" spans="4:4" ht="14.3" customHeight="1">
      <c r="D615" s="46"/>
    </row>
    <row r="616" spans="4:4" ht="14.3" customHeight="1">
      <c r="D616" s="46"/>
    </row>
    <row r="617" spans="4:4" ht="14.3" customHeight="1">
      <c r="D617" s="46"/>
    </row>
    <row r="618" spans="4:4" ht="14.3" customHeight="1">
      <c r="D618" s="46"/>
    </row>
    <row r="619" spans="4:4" ht="14.3" customHeight="1">
      <c r="D619" s="46"/>
    </row>
    <row r="620" spans="4:4" ht="14.3" customHeight="1">
      <c r="D620" s="46"/>
    </row>
    <row r="621" spans="4:4" ht="14.3" customHeight="1">
      <c r="D621" s="46"/>
    </row>
    <row r="622" spans="4:4" ht="14.3" customHeight="1">
      <c r="D622" s="46"/>
    </row>
    <row r="623" spans="4:4" ht="14.3" customHeight="1">
      <c r="D623" s="46"/>
    </row>
    <row r="624" spans="4:4" ht="14.3" customHeight="1">
      <c r="D624" s="46"/>
    </row>
    <row r="625" spans="4:4" ht="14.3" customHeight="1">
      <c r="D625" s="46"/>
    </row>
    <row r="626" spans="4:4" ht="14.3" customHeight="1">
      <c r="D626" s="46"/>
    </row>
    <row r="627" spans="4:4" ht="14.3" customHeight="1">
      <c r="D627" s="46"/>
    </row>
    <row r="628" spans="4:4" ht="14.3" customHeight="1">
      <c r="D628" s="46"/>
    </row>
    <row r="629" spans="4:4" ht="14.3" customHeight="1">
      <c r="D629" s="46"/>
    </row>
    <row r="630" spans="4:4" ht="14.3" customHeight="1">
      <c r="D630" s="46"/>
    </row>
    <row r="631" spans="4:4" ht="14.3" customHeight="1">
      <c r="D631" s="46"/>
    </row>
    <row r="632" spans="4:4" ht="14.3" customHeight="1">
      <c r="D632" s="46"/>
    </row>
    <row r="633" spans="4:4" ht="14.3" customHeight="1">
      <c r="D633" s="46"/>
    </row>
    <row r="634" spans="4:4" ht="14.3" customHeight="1">
      <c r="D634" s="46"/>
    </row>
    <row r="635" spans="4:4" ht="14.3" customHeight="1">
      <c r="D635" s="46"/>
    </row>
    <row r="636" spans="4:4" ht="14.3" customHeight="1">
      <c r="D636" s="46"/>
    </row>
    <row r="637" spans="4:4" ht="14.3" customHeight="1">
      <c r="D637" s="46"/>
    </row>
    <row r="638" spans="4:4" ht="14.3" customHeight="1">
      <c r="D638" s="46"/>
    </row>
    <row r="639" spans="4:4" ht="14.3" customHeight="1">
      <c r="D639" s="46"/>
    </row>
    <row r="640" spans="4:4" ht="14.3" customHeight="1">
      <c r="D640" s="46"/>
    </row>
    <row r="641" spans="4:4" ht="14.3" customHeight="1">
      <c r="D641" s="46"/>
    </row>
    <row r="642" spans="4:4" ht="14.3" customHeight="1">
      <c r="D642" s="46"/>
    </row>
    <row r="643" spans="4:4" ht="14.3" customHeight="1">
      <c r="D643" s="46"/>
    </row>
    <row r="644" spans="4:4" ht="14.3" customHeight="1">
      <c r="D644" s="46"/>
    </row>
    <row r="645" spans="4:4" ht="14.3" customHeight="1">
      <c r="D645" s="46"/>
    </row>
    <row r="646" spans="4:4" ht="14.3" customHeight="1">
      <c r="D646" s="46"/>
    </row>
    <row r="647" spans="4:4" ht="14.3" customHeight="1">
      <c r="D647" s="46"/>
    </row>
    <row r="648" spans="4:4" ht="14.3" customHeight="1">
      <c r="D648" s="46"/>
    </row>
    <row r="649" spans="4:4" ht="14.3" customHeight="1">
      <c r="D649" s="46"/>
    </row>
    <row r="650" spans="4:4" ht="14.3" customHeight="1">
      <c r="D650" s="46"/>
    </row>
    <row r="651" spans="4:4" ht="14.3" customHeight="1">
      <c r="D651" s="46"/>
    </row>
    <row r="652" spans="4:4" ht="14.3" customHeight="1">
      <c r="D652" s="46"/>
    </row>
    <row r="653" spans="4:4" ht="14.3" customHeight="1">
      <c r="D653" s="46"/>
    </row>
    <row r="654" spans="4:4" ht="14.3" customHeight="1">
      <c r="D654" s="46"/>
    </row>
    <row r="655" spans="4:4" ht="14.3" customHeight="1">
      <c r="D655" s="46"/>
    </row>
    <row r="656" spans="4:4" ht="14.3" customHeight="1">
      <c r="D656" s="46"/>
    </row>
    <row r="657" spans="4:4" ht="14.3" customHeight="1">
      <c r="D657" s="46"/>
    </row>
    <row r="658" spans="4:4" ht="14.3" customHeight="1">
      <c r="D658" s="46"/>
    </row>
    <row r="659" spans="4:4" ht="14.3" customHeight="1">
      <c r="D659" s="46"/>
    </row>
    <row r="660" spans="4:4" ht="14.3" customHeight="1">
      <c r="D660" s="46"/>
    </row>
    <row r="661" spans="4:4" ht="14.3" customHeight="1">
      <c r="D661" s="46"/>
    </row>
    <row r="662" spans="4:4" ht="14.3" customHeight="1">
      <c r="D662" s="46"/>
    </row>
    <row r="663" spans="4:4" ht="14.3" customHeight="1">
      <c r="D663" s="46"/>
    </row>
    <row r="664" spans="4:4" ht="14.3" customHeight="1">
      <c r="D664" s="46"/>
    </row>
    <row r="665" spans="4:4" ht="14.3" customHeight="1">
      <c r="D665" s="46"/>
    </row>
    <row r="666" spans="4:4" ht="14.3" customHeight="1">
      <c r="D666" s="46"/>
    </row>
    <row r="667" spans="4:4" ht="14.3" customHeight="1">
      <c r="D667" s="46"/>
    </row>
    <row r="668" spans="4:4" ht="14.3" customHeight="1">
      <c r="D668" s="46"/>
    </row>
    <row r="669" spans="4:4" ht="14.3" customHeight="1">
      <c r="D669" s="46"/>
    </row>
    <row r="670" spans="4:4" ht="14.3" customHeight="1">
      <c r="D670" s="46"/>
    </row>
    <row r="671" spans="4:4" ht="14.3" customHeight="1">
      <c r="D671" s="46"/>
    </row>
    <row r="672" spans="4:4" ht="14.3" customHeight="1">
      <c r="D672" s="46"/>
    </row>
    <row r="673" spans="4:4" ht="14.3" customHeight="1">
      <c r="D673" s="46"/>
    </row>
    <row r="674" spans="4:4" ht="14.3" customHeight="1">
      <c r="D674" s="46"/>
    </row>
    <row r="675" spans="4:4" ht="14.3" customHeight="1">
      <c r="D675" s="46"/>
    </row>
    <row r="676" spans="4:4" ht="14.3" customHeight="1">
      <c r="D676" s="46"/>
    </row>
    <row r="677" spans="4:4" ht="14.3" customHeight="1">
      <c r="D677" s="46"/>
    </row>
    <row r="678" spans="4:4" ht="14.3" customHeight="1">
      <c r="D678" s="46"/>
    </row>
    <row r="679" spans="4:4" ht="14.3" customHeight="1">
      <c r="D679" s="46"/>
    </row>
    <row r="680" spans="4:4" ht="14.3" customHeight="1">
      <c r="D680" s="46"/>
    </row>
    <row r="681" spans="4:4" ht="14.3" customHeight="1">
      <c r="D681" s="46"/>
    </row>
    <row r="682" spans="4:4" ht="14.3" customHeight="1">
      <c r="D682" s="46"/>
    </row>
    <row r="683" spans="4:4" ht="14.3" customHeight="1">
      <c r="D683" s="46"/>
    </row>
    <row r="684" spans="4:4" ht="14.3" customHeight="1">
      <c r="D684" s="46"/>
    </row>
    <row r="685" spans="4:4" ht="14.3" customHeight="1">
      <c r="D685" s="46"/>
    </row>
    <row r="686" spans="4:4" ht="14.3" customHeight="1">
      <c r="D686" s="46"/>
    </row>
    <row r="687" spans="4:4" ht="14.3" customHeight="1">
      <c r="D687" s="46"/>
    </row>
    <row r="688" spans="4:4" ht="14.3" customHeight="1">
      <c r="D688" s="46"/>
    </row>
    <row r="689" spans="4:4" ht="14.3" customHeight="1">
      <c r="D689" s="46"/>
    </row>
    <row r="690" spans="4:4" ht="14.3" customHeight="1">
      <c r="D690" s="46"/>
    </row>
    <row r="691" spans="4:4" ht="14.3" customHeight="1">
      <c r="D691" s="46"/>
    </row>
    <row r="692" spans="4:4" ht="14.3" customHeight="1">
      <c r="D692" s="46"/>
    </row>
    <row r="693" spans="4:4" ht="14.3" customHeight="1">
      <c r="D693" s="46"/>
    </row>
    <row r="694" spans="4:4" ht="14.3" customHeight="1">
      <c r="D694" s="46"/>
    </row>
    <row r="695" spans="4:4" ht="14.3" customHeight="1">
      <c r="D695" s="46"/>
    </row>
    <row r="696" spans="4:4" ht="14.3" customHeight="1">
      <c r="D696" s="46"/>
    </row>
    <row r="697" spans="4:4" ht="14.3" customHeight="1">
      <c r="D697" s="46"/>
    </row>
    <row r="698" spans="4:4" ht="14.3" customHeight="1">
      <c r="D698" s="46"/>
    </row>
    <row r="699" spans="4:4" ht="14.3" customHeight="1">
      <c r="D699" s="46"/>
    </row>
    <row r="700" spans="4:4" ht="14.3" customHeight="1">
      <c r="D700" s="46"/>
    </row>
    <row r="701" spans="4:4" ht="14.3" customHeight="1">
      <c r="D701" s="46"/>
    </row>
    <row r="702" spans="4:4" ht="14.3" customHeight="1">
      <c r="D702" s="46"/>
    </row>
    <row r="703" spans="4:4" ht="14.3" customHeight="1">
      <c r="D703" s="46"/>
    </row>
    <row r="704" spans="4:4" ht="14.3" customHeight="1">
      <c r="D704" s="46"/>
    </row>
    <row r="705" spans="4:4" ht="14.3" customHeight="1">
      <c r="D705" s="46"/>
    </row>
    <row r="706" spans="4:4" ht="14.3" customHeight="1">
      <c r="D706" s="46"/>
    </row>
    <row r="707" spans="4:4" ht="14.3" customHeight="1">
      <c r="D707" s="46"/>
    </row>
    <row r="708" spans="4:4" ht="14.3" customHeight="1">
      <c r="D708" s="46"/>
    </row>
    <row r="709" spans="4:4" ht="14.3" customHeight="1">
      <c r="D709" s="46"/>
    </row>
    <row r="710" spans="4:4" ht="14.3" customHeight="1">
      <c r="D710" s="46"/>
    </row>
    <row r="711" spans="4:4" ht="14.3" customHeight="1">
      <c r="D711" s="46"/>
    </row>
    <row r="712" spans="4:4" ht="14.3" customHeight="1">
      <c r="D712" s="46"/>
    </row>
    <row r="713" spans="4:4" ht="14.3" customHeight="1">
      <c r="D713" s="46"/>
    </row>
    <row r="714" spans="4:4" ht="14.3" customHeight="1">
      <c r="D714" s="46"/>
    </row>
    <row r="715" spans="4:4" ht="14.3" customHeight="1">
      <c r="D715" s="46"/>
    </row>
    <row r="716" spans="4:4" ht="14.3" customHeight="1">
      <c r="D716" s="46"/>
    </row>
    <row r="717" spans="4:4" ht="14.3" customHeight="1">
      <c r="D717" s="46"/>
    </row>
    <row r="718" spans="4:4" ht="14.3" customHeight="1">
      <c r="D718" s="46"/>
    </row>
    <row r="719" spans="4:4" ht="14.3" customHeight="1">
      <c r="D719" s="46"/>
    </row>
    <row r="720" spans="4:4" ht="14.3" customHeight="1">
      <c r="D720" s="46"/>
    </row>
    <row r="721" spans="4:4" ht="14.3" customHeight="1">
      <c r="D721" s="46"/>
    </row>
    <row r="722" spans="4:4" ht="14.3" customHeight="1">
      <c r="D722" s="46"/>
    </row>
    <row r="723" spans="4:4" ht="14.3" customHeight="1">
      <c r="D723" s="46"/>
    </row>
    <row r="724" spans="4:4" ht="14.3" customHeight="1">
      <c r="D724" s="46"/>
    </row>
    <row r="725" spans="4:4" ht="14.3" customHeight="1">
      <c r="D725" s="46"/>
    </row>
    <row r="726" spans="4:4" ht="14.3" customHeight="1">
      <c r="D726" s="46"/>
    </row>
    <row r="727" spans="4:4" ht="14.3" customHeight="1">
      <c r="D727" s="46"/>
    </row>
    <row r="728" spans="4:4" ht="14.3" customHeight="1">
      <c r="D728" s="46"/>
    </row>
    <row r="729" spans="4:4" ht="14.3" customHeight="1">
      <c r="D729" s="46"/>
    </row>
    <row r="730" spans="4:4" ht="14.3" customHeight="1">
      <c r="D730" s="46"/>
    </row>
    <row r="731" spans="4:4" ht="14.3" customHeight="1">
      <c r="D731" s="46"/>
    </row>
    <row r="732" spans="4:4" ht="14.3" customHeight="1">
      <c r="D732" s="46"/>
    </row>
    <row r="733" spans="4:4" ht="14.3" customHeight="1">
      <c r="D733" s="46"/>
    </row>
    <row r="734" spans="4:4" ht="14.3" customHeight="1">
      <c r="D734" s="46"/>
    </row>
    <row r="735" spans="4:4" ht="14.3" customHeight="1">
      <c r="D735" s="46"/>
    </row>
    <row r="736" spans="4:4" ht="14.3" customHeight="1">
      <c r="D736" s="46"/>
    </row>
    <row r="737" spans="4:4" ht="14.3" customHeight="1">
      <c r="D737" s="46"/>
    </row>
    <row r="738" spans="4:4" ht="14.3" customHeight="1">
      <c r="D738" s="46"/>
    </row>
    <row r="739" spans="4:4" ht="14.3" customHeight="1">
      <c r="D739" s="46"/>
    </row>
    <row r="740" spans="4:4" ht="14.3" customHeight="1">
      <c r="D740" s="46"/>
    </row>
    <row r="741" spans="4:4" ht="14.3" customHeight="1">
      <c r="D741" s="46"/>
    </row>
    <row r="742" spans="4:4" ht="14.3" customHeight="1">
      <c r="D742" s="46"/>
    </row>
    <row r="743" spans="4:4" ht="14.3" customHeight="1">
      <c r="D743" s="46"/>
    </row>
    <row r="744" spans="4:4" ht="14.3" customHeight="1">
      <c r="D744" s="46"/>
    </row>
    <row r="745" spans="4:4" ht="14.3" customHeight="1">
      <c r="D745" s="46"/>
    </row>
    <row r="746" spans="4:4" ht="14.3" customHeight="1">
      <c r="D746" s="46"/>
    </row>
    <row r="747" spans="4:4" ht="14.3" customHeight="1">
      <c r="D747" s="46"/>
    </row>
    <row r="748" spans="4:4" ht="14.3" customHeight="1">
      <c r="D748" s="46"/>
    </row>
    <row r="749" spans="4:4" ht="14.3" customHeight="1">
      <c r="D749" s="46"/>
    </row>
    <row r="750" spans="4:4" ht="14.3" customHeight="1">
      <c r="D750" s="46"/>
    </row>
    <row r="751" spans="4:4" ht="14.3" customHeight="1">
      <c r="D751" s="46"/>
    </row>
    <row r="752" spans="4:4" ht="14.3" customHeight="1">
      <c r="D752" s="46"/>
    </row>
    <row r="753" spans="4:4" ht="14.3" customHeight="1">
      <c r="D753" s="46"/>
    </row>
    <row r="754" spans="4:4" ht="14.3" customHeight="1">
      <c r="D754" s="46"/>
    </row>
    <row r="755" spans="4:4" ht="14.3" customHeight="1">
      <c r="D755" s="46"/>
    </row>
    <row r="756" spans="4:4" ht="14.3" customHeight="1">
      <c r="D756" s="46"/>
    </row>
    <row r="757" spans="4:4" ht="14.3" customHeight="1">
      <c r="D757" s="46"/>
    </row>
    <row r="758" spans="4:4" ht="14.3" customHeight="1">
      <c r="D758" s="46"/>
    </row>
    <row r="759" spans="4:4" ht="14.3" customHeight="1">
      <c r="D759" s="46"/>
    </row>
    <row r="760" spans="4:4" ht="14.3" customHeight="1">
      <c r="D760" s="46"/>
    </row>
    <row r="761" spans="4:4" ht="14.3" customHeight="1">
      <c r="D761" s="46"/>
    </row>
    <row r="762" spans="4:4" ht="14.3" customHeight="1">
      <c r="D762" s="46"/>
    </row>
    <row r="763" spans="4:4" ht="14.3" customHeight="1">
      <c r="D763" s="46"/>
    </row>
    <row r="764" spans="4:4" ht="14.3" customHeight="1">
      <c r="D764" s="46"/>
    </row>
    <row r="765" spans="4:4" ht="14.3" customHeight="1">
      <c r="D765" s="46"/>
    </row>
    <row r="766" spans="4:4" ht="14.3" customHeight="1">
      <c r="D766" s="46"/>
    </row>
    <row r="767" spans="4:4" ht="14.3" customHeight="1">
      <c r="D767" s="46"/>
    </row>
    <row r="768" spans="4:4" ht="14.3" customHeight="1">
      <c r="D768" s="46"/>
    </row>
    <row r="769" spans="4:4" ht="14.3" customHeight="1">
      <c r="D769" s="46"/>
    </row>
    <row r="770" spans="4:4" ht="14.3" customHeight="1">
      <c r="D770" s="46"/>
    </row>
    <row r="771" spans="4:4" ht="14.3" customHeight="1">
      <c r="D771" s="46"/>
    </row>
    <row r="772" spans="4:4" ht="14.3" customHeight="1">
      <c r="D772" s="46"/>
    </row>
    <row r="773" spans="4:4" ht="14.3" customHeight="1">
      <c r="D773" s="46"/>
    </row>
    <row r="774" spans="4:4" ht="14.3" customHeight="1">
      <c r="D774" s="46"/>
    </row>
    <row r="775" spans="4:4" ht="14.3" customHeight="1">
      <c r="D775" s="46"/>
    </row>
    <row r="776" spans="4:4" ht="14.3" customHeight="1">
      <c r="D776" s="46"/>
    </row>
    <row r="777" spans="4:4" ht="14.3" customHeight="1">
      <c r="D777" s="46"/>
    </row>
    <row r="778" spans="4:4" ht="14.3" customHeight="1">
      <c r="D778" s="46"/>
    </row>
    <row r="779" spans="4:4" ht="14.3" customHeight="1">
      <c r="D779" s="46"/>
    </row>
    <row r="780" spans="4:4" ht="14.3" customHeight="1">
      <c r="D780" s="46"/>
    </row>
    <row r="781" spans="4:4" ht="14.3" customHeight="1">
      <c r="D781" s="46"/>
    </row>
    <row r="782" spans="4:4" ht="14.3" customHeight="1">
      <c r="D782" s="46"/>
    </row>
    <row r="783" spans="4:4" ht="14.3" customHeight="1">
      <c r="D783" s="46"/>
    </row>
    <row r="784" spans="4:4" ht="14.3" customHeight="1">
      <c r="D784" s="46"/>
    </row>
    <row r="785" spans="4:4" ht="14.3" customHeight="1">
      <c r="D785" s="46"/>
    </row>
    <row r="786" spans="4:4" ht="14.3" customHeight="1">
      <c r="D786" s="46"/>
    </row>
    <row r="787" spans="4:4" ht="14.3" customHeight="1">
      <c r="D787" s="46"/>
    </row>
    <row r="788" spans="4:4" ht="14.3" customHeight="1">
      <c r="D788" s="46"/>
    </row>
    <row r="789" spans="4:4" ht="14.3" customHeight="1">
      <c r="D789" s="46"/>
    </row>
    <row r="790" spans="4:4" ht="14.3" customHeight="1">
      <c r="D790" s="46"/>
    </row>
    <row r="791" spans="4:4" ht="14.3" customHeight="1">
      <c r="D791" s="46"/>
    </row>
    <row r="792" spans="4:4" ht="14.3" customHeight="1">
      <c r="D792" s="46"/>
    </row>
    <row r="793" spans="4:4" ht="14.3" customHeight="1">
      <c r="D793" s="46"/>
    </row>
    <row r="794" spans="4:4" ht="14.3" customHeight="1">
      <c r="D794" s="46"/>
    </row>
    <row r="795" spans="4:4" ht="14.3" customHeight="1">
      <c r="D795" s="46"/>
    </row>
    <row r="796" spans="4:4" ht="14.3" customHeight="1">
      <c r="D796" s="46"/>
    </row>
    <row r="797" spans="4:4" ht="14.3" customHeight="1">
      <c r="D797" s="46"/>
    </row>
    <row r="798" spans="4:4" ht="14.3" customHeight="1">
      <c r="D798" s="46"/>
    </row>
    <row r="799" spans="4:4" ht="14.3" customHeight="1">
      <c r="D799" s="46"/>
    </row>
    <row r="800" spans="4:4" ht="14.3" customHeight="1">
      <c r="D800" s="46"/>
    </row>
    <row r="801" spans="4:4" ht="14.3" customHeight="1">
      <c r="D801" s="46"/>
    </row>
    <row r="802" spans="4:4" ht="14.3" customHeight="1">
      <c r="D802" s="46"/>
    </row>
    <row r="803" spans="4:4" ht="14.3" customHeight="1">
      <c r="D803" s="46"/>
    </row>
    <row r="804" spans="4:4" ht="14.3" customHeight="1">
      <c r="D804" s="46"/>
    </row>
    <row r="805" spans="4:4" ht="14.3" customHeight="1">
      <c r="D805" s="46"/>
    </row>
    <row r="806" spans="4:4" ht="14.3" customHeight="1">
      <c r="D806" s="46"/>
    </row>
    <row r="807" spans="4:4" ht="14.3" customHeight="1">
      <c r="D807" s="46"/>
    </row>
    <row r="808" spans="4:4" ht="14.3" customHeight="1">
      <c r="D808" s="46"/>
    </row>
    <row r="809" spans="4:4" ht="14.3" customHeight="1">
      <c r="D809" s="46"/>
    </row>
    <row r="810" spans="4:4" ht="14.3" customHeight="1">
      <c r="D810" s="46"/>
    </row>
    <row r="811" spans="4:4" ht="14.3" customHeight="1">
      <c r="D811" s="46"/>
    </row>
    <row r="812" spans="4:4" ht="14.3" customHeight="1">
      <c r="D812" s="46"/>
    </row>
    <row r="813" spans="4:4" ht="14.3" customHeight="1">
      <c r="D813" s="46"/>
    </row>
    <row r="814" spans="4:4" ht="14.3" customHeight="1">
      <c r="D814" s="46"/>
    </row>
    <row r="815" spans="4:4" ht="14.3" customHeight="1">
      <c r="D815" s="46"/>
    </row>
    <row r="816" spans="4:4" ht="14.3" customHeight="1">
      <c r="D816" s="46"/>
    </row>
    <row r="817" spans="4:4" ht="14.3" customHeight="1">
      <c r="D817" s="46"/>
    </row>
    <row r="818" spans="4:4" ht="14.3" customHeight="1">
      <c r="D818" s="46"/>
    </row>
    <row r="819" spans="4:4" ht="14.3" customHeight="1">
      <c r="D819" s="46"/>
    </row>
    <row r="820" spans="4:4" ht="14.3" customHeight="1">
      <c r="D820" s="46"/>
    </row>
    <row r="821" spans="4:4" ht="14.3" customHeight="1">
      <c r="D821" s="46"/>
    </row>
    <row r="822" spans="4:4" ht="14.3" customHeight="1">
      <c r="D822" s="46"/>
    </row>
    <row r="823" spans="4:4" ht="14.3" customHeight="1">
      <c r="D823" s="46"/>
    </row>
    <row r="824" spans="4:4" ht="14.3" customHeight="1">
      <c r="D824" s="46"/>
    </row>
    <row r="825" spans="4:4" ht="14.3" customHeight="1">
      <c r="D825" s="46"/>
    </row>
    <row r="826" spans="4:4" ht="14.3" customHeight="1">
      <c r="D826" s="46"/>
    </row>
    <row r="827" spans="4:4" ht="14.3" customHeight="1">
      <c r="D827" s="46"/>
    </row>
    <row r="828" spans="4:4" ht="14.3" customHeight="1">
      <c r="D828" s="46"/>
    </row>
    <row r="829" spans="4:4" ht="14.3" customHeight="1">
      <c r="D829" s="46"/>
    </row>
    <row r="830" spans="4:4" ht="14.3" customHeight="1">
      <c r="D830" s="46"/>
    </row>
    <row r="831" spans="4:4" ht="14.3" customHeight="1">
      <c r="D831" s="46"/>
    </row>
    <row r="832" spans="4:4" ht="14.3" customHeight="1">
      <c r="D832" s="46"/>
    </row>
    <row r="833" spans="4:4" ht="14.3" customHeight="1">
      <c r="D833" s="46"/>
    </row>
    <row r="834" spans="4:4" ht="14.3" customHeight="1">
      <c r="D834" s="46"/>
    </row>
    <row r="835" spans="4:4" ht="14.3" customHeight="1">
      <c r="D835" s="46"/>
    </row>
    <row r="836" spans="4:4" ht="14.3" customHeight="1">
      <c r="D836" s="46"/>
    </row>
    <row r="837" spans="4:4" ht="14.3" customHeight="1">
      <c r="D837" s="46"/>
    </row>
    <row r="838" spans="4:4" ht="14.3" customHeight="1">
      <c r="D838" s="46"/>
    </row>
    <row r="839" spans="4:4" ht="14.3" customHeight="1">
      <c r="D839" s="46"/>
    </row>
    <row r="840" spans="4:4" ht="14.3" customHeight="1">
      <c r="D840" s="46"/>
    </row>
    <row r="841" spans="4:4" ht="14.3" customHeight="1">
      <c r="D841" s="46"/>
    </row>
    <row r="842" spans="4:4" ht="14.3" customHeight="1">
      <c r="D842" s="46"/>
    </row>
    <row r="843" spans="4:4" ht="14.3" customHeight="1">
      <c r="D843" s="46"/>
    </row>
    <row r="844" spans="4:4" ht="14.3" customHeight="1">
      <c r="D844" s="46"/>
    </row>
    <row r="845" spans="4:4" ht="14.3" customHeight="1">
      <c r="D845" s="46"/>
    </row>
    <row r="846" spans="4:4" ht="14.3" customHeight="1">
      <c r="D846" s="46"/>
    </row>
    <row r="847" spans="4:4" ht="14.3" customHeight="1">
      <c r="D847" s="46"/>
    </row>
    <row r="848" spans="4:4" ht="14.3" customHeight="1">
      <c r="D848" s="46"/>
    </row>
    <row r="849" spans="4:4" ht="14.3" customHeight="1">
      <c r="D849" s="46"/>
    </row>
    <row r="850" spans="4:4" ht="14.3" customHeight="1">
      <c r="D850" s="46"/>
    </row>
    <row r="851" spans="4:4" ht="14.3" customHeight="1">
      <c r="D851" s="46"/>
    </row>
    <row r="852" spans="4:4" ht="14.3" customHeight="1">
      <c r="D852" s="46"/>
    </row>
    <row r="853" spans="4:4" ht="14.3" customHeight="1">
      <c r="D853" s="46"/>
    </row>
    <row r="854" spans="4:4" ht="14.3" customHeight="1">
      <c r="D854" s="46"/>
    </row>
    <row r="855" spans="4:4" ht="14.3" customHeight="1">
      <c r="D855" s="46"/>
    </row>
    <row r="856" spans="4:4" ht="14.3" customHeight="1">
      <c r="D856" s="46"/>
    </row>
    <row r="857" spans="4:4" ht="14.3" customHeight="1">
      <c r="D857" s="46"/>
    </row>
    <row r="858" spans="4:4" ht="14.3" customHeight="1">
      <c r="D858" s="46"/>
    </row>
    <row r="859" spans="4:4" ht="14.3" customHeight="1">
      <c r="D859" s="46"/>
    </row>
    <row r="860" spans="4:4" ht="14.3" customHeight="1">
      <c r="D860" s="46"/>
    </row>
    <row r="861" spans="4:4" ht="14.3" customHeight="1">
      <c r="D861" s="46"/>
    </row>
    <row r="862" spans="4:4" ht="14.3" customHeight="1">
      <c r="D862" s="46"/>
    </row>
    <row r="863" spans="4:4" ht="14.3" customHeight="1">
      <c r="D863" s="46"/>
    </row>
    <row r="864" spans="4:4" ht="14.3" customHeight="1">
      <c r="D864" s="46"/>
    </row>
    <row r="865" spans="4:4" ht="14.3" customHeight="1">
      <c r="D865" s="46"/>
    </row>
    <row r="866" spans="4:4" ht="14.3" customHeight="1">
      <c r="D866" s="46"/>
    </row>
    <row r="867" spans="4:4" ht="14.3" customHeight="1">
      <c r="D867" s="46"/>
    </row>
    <row r="868" spans="4:4" ht="14.3" customHeight="1">
      <c r="D868" s="46"/>
    </row>
    <row r="869" spans="4:4" ht="14.3" customHeight="1">
      <c r="D869" s="46"/>
    </row>
    <row r="870" spans="4:4" ht="14.3" customHeight="1">
      <c r="D870" s="46"/>
    </row>
    <row r="871" spans="4:4" ht="14.3" customHeight="1">
      <c r="D871" s="46"/>
    </row>
    <row r="872" spans="4:4" ht="14.3" customHeight="1">
      <c r="D872" s="46"/>
    </row>
    <row r="873" spans="4:4" ht="14.3" customHeight="1">
      <c r="D873" s="46"/>
    </row>
    <row r="874" spans="4:4" ht="14.3" customHeight="1">
      <c r="D874" s="46"/>
    </row>
    <row r="875" spans="4:4" ht="14.3" customHeight="1">
      <c r="D875" s="46"/>
    </row>
    <row r="876" spans="4:4" ht="14.3" customHeight="1">
      <c r="D876" s="46"/>
    </row>
    <row r="877" spans="4:4" ht="14.3" customHeight="1">
      <c r="D877" s="46"/>
    </row>
    <row r="878" spans="4:4" ht="14.3" customHeight="1">
      <c r="D878" s="46"/>
    </row>
    <row r="879" spans="4:4" ht="14.3" customHeight="1">
      <c r="D879" s="46"/>
    </row>
    <row r="880" spans="4:4" ht="14.3" customHeight="1">
      <c r="D880" s="46"/>
    </row>
    <row r="881" spans="4:4" ht="14.3" customHeight="1">
      <c r="D881" s="46"/>
    </row>
    <row r="882" spans="4:4" ht="14.3" customHeight="1">
      <c r="D882" s="46"/>
    </row>
    <row r="883" spans="4:4" ht="14.3" customHeight="1">
      <c r="D883" s="46"/>
    </row>
    <row r="884" spans="4:4" ht="14.3" customHeight="1">
      <c r="D884" s="46"/>
    </row>
    <row r="885" spans="4:4" ht="14.3" customHeight="1">
      <c r="D885" s="46"/>
    </row>
    <row r="886" spans="4:4" ht="14.3" customHeight="1">
      <c r="D886" s="46"/>
    </row>
    <row r="887" spans="4:4" ht="14.3" customHeight="1">
      <c r="D887" s="46"/>
    </row>
    <row r="888" spans="4:4" ht="14.3" customHeight="1">
      <c r="D888" s="46"/>
    </row>
    <row r="889" spans="4:4" ht="14.3" customHeight="1">
      <c r="D889" s="46"/>
    </row>
    <row r="890" spans="4:4" ht="14.3" customHeight="1">
      <c r="D890" s="46"/>
    </row>
    <row r="891" spans="4:4" ht="14.3" customHeight="1">
      <c r="D891" s="46"/>
    </row>
    <row r="892" spans="4:4" ht="14.3" customHeight="1">
      <c r="D892" s="46"/>
    </row>
    <row r="893" spans="4:4" ht="14.3" customHeight="1">
      <c r="D893" s="46"/>
    </row>
    <row r="894" spans="4:4" ht="14.3" customHeight="1">
      <c r="D894" s="46"/>
    </row>
    <row r="895" spans="4:4" ht="14.3" customHeight="1">
      <c r="D895" s="46"/>
    </row>
    <row r="896" spans="4:4" ht="14.3" customHeight="1">
      <c r="D896" s="46"/>
    </row>
    <row r="897" spans="4:4" ht="14.3" customHeight="1">
      <c r="D897" s="46"/>
    </row>
    <row r="898" spans="4:4" ht="14.3" customHeight="1">
      <c r="D898" s="46"/>
    </row>
    <row r="899" spans="4:4" ht="14.3" customHeight="1">
      <c r="D899" s="46"/>
    </row>
    <row r="900" spans="4:4" ht="14.3" customHeight="1">
      <c r="D900" s="46"/>
    </row>
    <row r="901" spans="4:4" ht="14.3" customHeight="1">
      <c r="D901" s="46"/>
    </row>
    <row r="902" spans="4:4" ht="14.3" customHeight="1">
      <c r="D902" s="46"/>
    </row>
    <row r="903" spans="4:4" ht="14.3" customHeight="1">
      <c r="D903" s="46"/>
    </row>
    <row r="904" spans="4:4" ht="14.3" customHeight="1">
      <c r="D904" s="46"/>
    </row>
    <row r="905" spans="4:4" ht="14.3" customHeight="1">
      <c r="D905" s="46"/>
    </row>
    <row r="906" spans="4:4" ht="14.3" customHeight="1">
      <c r="D906" s="46"/>
    </row>
    <row r="907" spans="4:4" ht="14.3" customHeight="1">
      <c r="D907" s="46"/>
    </row>
    <row r="908" spans="4:4" ht="14.3" customHeight="1">
      <c r="D908" s="46"/>
    </row>
    <row r="909" spans="4:4" ht="14.3" customHeight="1">
      <c r="D909" s="46"/>
    </row>
    <row r="910" spans="4:4" ht="14.3" customHeight="1">
      <c r="D910" s="46"/>
    </row>
    <row r="911" spans="4:4" ht="14.3" customHeight="1">
      <c r="D911" s="46"/>
    </row>
    <row r="912" spans="4:4" ht="14.3" customHeight="1">
      <c r="D912" s="46"/>
    </row>
    <row r="913" spans="4:4" ht="14.3" customHeight="1">
      <c r="D913" s="46"/>
    </row>
    <row r="914" spans="4:4" ht="14.3" customHeight="1">
      <c r="D914" s="46"/>
    </row>
    <row r="915" spans="4:4" ht="14.3" customHeight="1">
      <c r="D915" s="46"/>
    </row>
    <row r="916" spans="4:4" ht="14.3" customHeight="1">
      <c r="D916" s="46"/>
    </row>
    <row r="917" spans="4:4" ht="14.3" customHeight="1">
      <c r="D917" s="46"/>
    </row>
    <row r="918" spans="4:4" ht="14.3" customHeight="1">
      <c r="D918" s="46"/>
    </row>
    <row r="919" spans="4:4" ht="14.3" customHeight="1">
      <c r="D919" s="46"/>
    </row>
    <row r="920" spans="4:4" ht="14.3" customHeight="1">
      <c r="D920" s="46"/>
    </row>
    <row r="921" spans="4:4" ht="14.3" customHeight="1">
      <c r="D921" s="46"/>
    </row>
    <row r="922" spans="4:4" ht="14.3" customHeight="1">
      <c r="D922" s="46"/>
    </row>
    <row r="923" spans="4:4" ht="14.3" customHeight="1">
      <c r="D923" s="46"/>
    </row>
    <row r="924" spans="4:4" ht="14.3" customHeight="1">
      <c r="D924" s="46"/>
    </row>
    <row r="925" spans="4:4" ht="14.3" customHeight="1">
      <c r="D925" s="46"/>
    </row>
    <row r="926" spans="4:4" ht="14.3" customHeight="1">
      <c r="D926" s="46"/>
    </row>
    <row r="927" spans="4:4" ht="14.3" customHeight="1">
      <c r="D927" s="46"/>
    </row>
    <row r="928" spans="4:4" ht="14.3" customHeight="1">
      <c r="D928" s="46"/>
    </row>
    <row r="929" spans="4:4" ht="14.3" customHeight="1">
      <c r="D929" s="46"/>
    </row>
    <row r="930" spans="4:4" ht="14.3" customHeight="1">
      <c r="D930" s="46"/>
    </row>
    <row r="931" spans="4:4" ht="14.3" customHeight="1">
      <c r="D931" s="46"/>
    </row>
    <row r="932" spans="4:4" ht="14.3" customHeight="1">
      <c r="D932" s="46"/>
    </row>
    <row r="933" spans="4:4" ht="14.3" customHeight="1">
      <c r="D933" s="46"/>
    </row>
    <row r="934" spans="4:4" ht="14.3" customHeight="1">
      <c r="D934" s="46"/>
    </row>
    <row r="935" spans="4:4" ht="14.3" customHeight="1">
      <c r="D935" s="46"/>
    </row>
    <row r="936" spans="4:4" ht="14.3" customHeight="1">
      <c r="D936" s="46"/>
    </row>
    <row r="937" spans="4:4" ht="14.3" customHeight="1">
      <c r="D937" s="46"/>
    </row>
    <row r="938" spans="4:4" ht="14.3" customHeight="1">
      <c r="D938" s="46"/>
    </row>
    <row r="939" spans="4:4" ht="14.3" customHeight="1">
      <c r="D939" s="46"/>
    </row>
    <row r="940" spans="4:4" ht="14.3" customHeight="1">
      <c r="D940" s="46"/>
    </row>
    <row r="941" spans="4:4" ht="14.3" customHeight="1">
      <c r="D941" s="46"/>
    </row>
    <row r="942" spans="4:4" ht="14.3" customHeight="1">
      <c r="D942" s="46"/>
    </row>
    <row r="943" spans="4:4" ht="14.3" customHeight="1">
      <c r="D943" s="46"/>
    </row>
    <row r="944" spans="4:4" ht="14.3" customHeight="1">
      <c r="D944" s="46"/>
    </row>
    <row r="945" spans="4:4" ht="14.3" customHeight="1">
      <c r="D945" s="46"/>
    </row>
    <row r="946" spans="4:4" ht="14.3" customHeight="1">
      <c r="D946" s="46"/>
    </row>
    <row r="947" spans="4:4" ht="14.3" customHeight="1">
      <c r="D947" s="46"/>
    </row>
    <row r="948" spans="4:4" ht="14.3" customHeight="1">
      <c r="D948" s="46"/>
    </row>
    <row r="949" spans="4:4" ht="14.3" customHeight="1">
      <c r="D949" s="46"/>
    </row>
    <row r="950" spans="4:4" ht="14.3" customHeight="1">
      <c r="D950" s="46"/>
    </row>
    <row r="951" spans="4:4" ht="14.3" customHeight="1">
      <c r="D951" s="46"/>
    </row>
    <row r="952" spans="4:4" ht="14.3" customHeight="1">
      <c r="D952" s="46"/>
    </row>
    <row r="953" spans="4:4" ht="14.3" customHeight="1">
      <c r="D953" s="46"/>
    </row>
    <row r="954" spans="4:4" ht="14.3" customHeight="1">
      <c r="D954" s="46"/>
    </row>
    <row r="955" spans="4:4" ht="14.3" customHeight="1">
      <c r="D955" s="46"/>
    </row>
    <row r="956" spans="4:4" ht="14.3" customHeight="1">
      <c r="D956" s="46"/>
    </row>
    <row r="957" spans="4:4" ht="14.3" customHeight="1">
      <c r="D957" s="46"/>
    </row>
    <row r="958" spans="4:4" ht="14.3" customHeight="1">
      <c r="D958" s="46"/>
    </row>
    <row r="959" spans="4:4" ht="14.3" customHeight="1">
      <c r="D959" s="46"/>
    </row>
    <row r="960" spans="4:4" ht="14.3" customHeight="1">
      <c r="D960" s="46"/>
    </row>
    <row r="961" spans="4:4" ht="14.3" customHeight="1">
      <c r="D961" s="46"/>
    </row>
    <row r="962" spans="4:4" ht="14.3" customHeight="1">
      <c r="D962" s="46"/>
    </row>
    <row r="963" spans="4:4" ht="14.3" customHeight="1">
      <c r="D963" s="46"/>
    </row>
    <row r="964" spans="4:4" ht="14.3" customHeight="1">
      <c r="D964" s="46"/>
    </row>
    <row r="965" spans="4:4" ht="14.3" customHeight="1">
      <c r="D965" s="46"/>
    </row>
    <row r="966" spans="4:4" ht="14.3" customHeight="1">
      <c r="D966" s="46"/>
    </row>
    <row r="967" spans="4:4" ht="14.3" customHeight="1">
      <c r="D967" s="46"/>
    </row>
    <row r="968" spans="4:4" ht="14.3" customHeight="1">
      <c r="D968" s="46"/>
    </row>
    <row r="969" spans="4:4" ht="14.3" customHeight="1">
      <c r="D969" s="46"/>
    </row>
    <row r="970" spans="4:4" ht="14.3" customHeight="1">
      <c r="D970" s="46"/>
    </row>
    <row r="971" spans="4:4" ht="14.3" customHeight="1">
      <c r="D971" s="46"/>
    </row>
    <row r="972" spans="4:4" ht="14.3" customHeight="1">
      <c r="D972" s="46"/>
    </row>
    <row r="973" spans="4:4" ht="14.3" customHeight="1">
      <c r="D973" s="46"/>
    </row>
    <row r="974" spans="4:4" ht="14.3" customHeight="1">
      <c r="D974" s="46"/>
    </row>
    <row r="975" spans="4:4" ht="14.3" customHeight="1">
      <c r="D975" s="46"/>
    </row>
    <row r="976" spans="4:4" ht="14.3" customHeight="1">
      <c r="D976" s="46"/>
    </row>
    <row r="977" spans="4:4" ht="14.3" customHeight="1">
      <c r="D977" s="46"/>
    </row>
    <row r="978" spans="4:4" ht="14.3" customHeight="1">
      <c r="D978" s="46"/>
    </row>
    <row r="979" spans="4:4" ht="14.3" customHeight="1">
      <c r="D979" s="46"/>
    </row>
    <row r="980" spans="4:4" ht="14.3" customHeight="1">
      <c r="D980" s="46"/>
    </row>
    <row r="981" spans="4:4" ht="14.3" customHeight="1">
      <c r="D981" s="46"/>
    </row>
    <row r="982" spans="4:4" ht="14.3" customHeight="1">
      <c r="D982" s="46"/>
    </row>
    <row r="983" spans="4:4" ht="14.3" customHeight="1">
      <c r="D983" s="46"/>
    </row>
    <row r="984" spans="4:4" ht="14.3" customHeight="1">
      <c r="D984" s="46"/>
    </row>
    <row r="985" spans="4:4" ht="14.3" customHeight="1">
      <c r="D985" s="46"/>
    </row>
    <row r="986" spans="4:4" ht="14.3" customHeight="1">
      <c r="D986" s="46"/>
    </row>
    <row r="987" spans="4:4" ht="14.3" customHeight="1">
      <c r="D987" s="46"/>
    </row>
    <row r="988" spans="4:4" ht="14.3" customHeight="1">
      <c r="D988" s="46"/>
    </row>
    <row r="989" spans="4:4" ht="14.3" customHeight="1">
      <c r="D989" s="46"/>
    </row>
    <row r="990" spans="4:4" ht="14.3" customHeight="1">
      <c r="D990" s="46"/>
    </row>
    <row r="991" spans="4:4" ht="14.3" customHeight="1">
      <c r="D991" s="46"/>
    </row>
    <row r="992" spans="4:4" ht="14.3" customHeight="1">
      <c r="D992" s="46"/>
    </row>
    <row r="993" spans="4:4" ht="14.3" customHeight="1">
      <c r="D993" s="46"/>
    </row>
    <row r="994" spans="4:4" ht="14.3" customHeight="1">
      <c r="D994" s="46"/>
    </row>
    <row r="995" spans="4:4" ht="14.3" customHeight="1">
      <c r="D995" s="46"/>
    </row>
    <row r="996" spans="4:4" ht="14.3" customHeight="1">
      <c r="D996" s="46"/>
    </row>
    <row r="997" spans="4:4" ht="14.3" customHeight="1">
      <c r="D997" s="46"/>
    </row>
    <row r="998" spans="4:4" ht="14.3" customHeight="1">
      <c r="D998" s="46"/>
    </row>
    <row r="999" spans="4:4" ht="14.3" customHeight="1">
      <c r="D999" s="46"/>
    </row>
    <row r="1000" spans="4:4" ht="14.3" customHeight="1">
      <c r="D1000" s="46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000"/>
  <sheetViews>
    <sheetView topLeftCell="B1" workbookViewId="0">
      <selection activeCell="J24" sqref="J24"/>
    </sheetView>
  </sheetViews>
  <sheetFormatPr defaultColWidth="14.375" defaultRowHeight="14.95" customHeight="1"/>
  <cols>
    <col min="1" max="1" width="8.75" customWidth="1"/>
    <col min="2" max="2" width="66.125" customWidth="1"/>
    <col min="3" max="3" width="16.875" customWidth="1"/>
    <col min="4" max="4" width="24" customWidth="1"/>
    <col min="5" max="5" width="18.875" customWidth="1"/>
    <col min="6" max="8" width="20.375" customWidth="1"/>
    <col min="9" max="9" width="9.625" customWidth="1"/>
    <col min="10" max="11" width="17" customWidth="1"/>
    <col min="12" max="26" width="8.75" customWidth="1"/>
  </cols>
  <sheetData>
    <row r="1" spans="2:12" ht="13.6" customHeight="1">
      <c r="J1" s="46"/>
      <c r="K1" s="46"/>
    </row>
    <row r="2" spans="2:12" ht="13.6" customHeight="1">
      <c r="J2" s="46"/>
      <c r="K2" s="46"/>
    </row>
    <row r="3" spans="2:12" ht="13.6" customHeight="1">
      <c r="C3" s="47" t="s">
        <v>48</v>
      </c>
      <c r="D3" s="48">
        <v>44896</v>
      </c>
      <c r="E3" s="47" t="s">
        <v>48</v>
      </c>
      <c r="F3" s="48">
        <v>45108</v>
      </c>
      <c r="G3" s="47" t="s">
        <v>48</v>
      </c>
      <c r="H3" s="48">
        <v>45383</v>
      </c>
      <c r="J3" s="46"/>
      <c r="K3" s="46"/>
    </row>
    <row r="4" spans="2:12" ht="13.6" customHeight="1">
      <c r="C4" s="49" t="s">
        <v>49</v>
      </c>
      <c r="D4" s="50">
        <v>2651.17</v>
      </c>
      <c r="E4" s="49" t="s">
        <v>49</v>
      </c>
      <c r="F4" s="50">
        <v>2747.9</v>
      </c>
      <c r="G4" s="49" t="s">
        <v>49</v>
      </c>
      <c r="H4" s="50">
        <v>2757.56</v>
      </c>
      <c r="J4" s="46"/>
      <c r="K4" s="46"/>
    </row>
    <row r="5" spans="2:12" ht="13.6" customHeight="1">
      <c r="J5" s="46"/>
      <c r="K5" s="46"/>
    </row>
    <row r="6" spans="2:12" ht="18.7" customHeight="1">
      <c r="B6" s="51"/>
      <c r="C6" s="101" t="s">
        <v>50</v>
      </c>
      <c r="D6" s="102"/>
      <c r="E6" s="101" t="s">
        <v>51</v>
      </c>
      <c r="F6" s="103"/>
      <c r="G6" s="101" t="s">
        <v>52</v>
      </c>
      <c r="H6" s="102"/>
      <c r="J6" s="104" t="s">
        <v>53</v>
      </c>
      <c r="K6" s="105"/>
    </row>
    <row r="7" spans="2:12" ht="18.7" customHeight="1">
      <c r="B7" s="51"/>
      <c r="C7" s="52" t="s">
        <v>54</v>
      </c>
      <c r="D7" s="53" t="s">
        <v>55</v>
      </c>
      <c r="E7" s="53" t="s">
        <v>54</v>
      </c>
      <c r="F7" s="53" t="s">
        <v>55</v>
      </c>
      <c r="G7" s="53" t="s">
        <v>54</v>
      </c>
      <c r="H7" s="53" t="s">
        <v>55</v>
      </c>
      <c r="J7" s="54" t="s">
        <v>56</v>
      </c>
      <c r="K7" s="54" t="s">
        <v>57</v>
      </c>
    </row>
    <row r="8" spans="2:12" ht="18.7" customHeight="1">
      <c r="B8" s="55" t="s">
        <v>58</v>
      </c>
      <c r="C8" s="56">
        <v>1198.23</v>
      </c>
      <c r="D8" s="57">
        <f>ORÇAMENTO_EXECUTIVO!$B$20/CÁLCULO_MÉDIAS!D$4*C8</f>
        <v>1262.4539022771078</v>
      </c>
      <c r="E8" s="58">
        <v>419.37</v>
      </c>
      <c r="F8" s="57">
        <f>ORÇAMENTO_EXECUTIVO!$B$20/CÁLCULO_MÉDIAS!F$4*E8</f>
        <v>426.29413002656571</v>
      </c>
      <c r="G8" s="58">
        <v>336.4</v>
      </c>
      <c r="H8" s="59">
        <f>ORÇAMENTO_EXECUTIVO!$B$20/CÁLCULO_MÉDIAS!H$4*G8</f>
        <v>340.75633095925383</v>
      </c>
      <c r="I8" s="51"/>
      <c r="J8" s="60">
        <v>335</v>
      </c>
      <c r="K8" s="60">
        <v>420</v>
      </c>
    </row>
    <row r="9" spans="2:12" ht="18.7" customHeight="1">
      <c r="B9" s="61" t="s">
        <v>7</v>
      </c>
      <c r="C9" s="62">
        <v>5.17</v>
      </c>
      <c r="D9" s="57">
        <f>ORÇAMENTO_EXECUTIVO!$B$20/CÁLCULO_MÉDIAS!D$4*C9</f>
        <v>5.4471067113764864</v>
      </c>
      <c r="E9" s="63">
        <v>7.37</v>
      </c>
      <c r="F9" s="57">
        <f>ORÇAMENTO_EXECUTIVO!$B$20/CÁLCULO_MÉDIAS!F$4*E9</f>
        <v>7.4916845227264446</v>
      </c>
      <c r="G9" s="63">
        <v>0</v>
      </c>
      <c r="H9" s="59">
        <f>ORÇAMENTO_EXECUTIVO!$B$20/CÁLCULO_MÉDIAS!H$4*G9</f>
        <v>0</v>
      </c>
      <c r="I9" s="51"/>
      <c r="J9" s="60">
        <v>10</v>
      </c>
      <c r="K9" s="60">
        <v>15</v>
      </c>
    </row>
    <row r="10" spans="2:12" ht="18.7" customHeight="1">
      <c r="B10" s="64" t="s">
        <v>8</v>
      </c>
      <c r="C10" s="56">
        <v>144.25</v>
      </c>
      <c r="D10" s="57">
        <f>ORÇAMENTO_EXECUTIVO!$B$20/CÁLCULO_MÉDIAS!D$4*C10</f>
        <v>151.98165244024335</v>
      </c>
      <c r="E10" s="65">
        <v>183.12</v>
      </c>
      <c r="F10" s="57">
        <f>ORÇAMENTO_EXECUTIVO!$B$20/CÁLCULO_MÉDIAS!F$4*E10</f>
        <v>186.14345587539574</v>
      </c>
      <c r="G10" s="65">
        <v>162.9</v>
      </c>
      <c r="H10" s="59">
        <f>ORÇAMENTO_EXECUTIVO!$B$20/CÁLCULO_MÉDIAS!H$4*G10</f>
        <v>165.0095312522665</v>
      </c>
      <c r="I10" s="51"/>
      <c r="J10" s="60">
        <v>140</v>
      </c>
      <c r="K10" s="60">
        <v>190</v>
      </c>
    </row>
    <row r="11" spans="2:12" ht="18.7" customHeight="1">
      <c r="B11" s="61" t="s">
        <v>9</v>
      </c>
      <c r="C11" s="62">
        <v>613.07000000000005</v>
      </c>
      <c r="D11" s="57">
        <f>ORÇAMENTO_EXECUTIVO!$B$20/CÁLCULO_MÉDIAS!D$4*C11</f>
        <v>645.92992486336232</v>
      </c>
      <c r="E11" s="63">
        <v>693.61</v>
      </c>
      <c r="F11" s="57">
        <f>ORÇAMENTO_EXECUTIVO!$B$20/CÁLCULO_MÉDIAS!F$4*E11</f>
        <v>705.06204909203382</v>
      </c>
      <c r="G11" s="63">
        <v>655</v>
      </c>
      <c r="H11" s="59">
        <f>ORÇAMENTO_EXECUTIVO!$B$20/CÁLCULO_MÉDIAS!H$4*G11</f>
        <v>663.48215451341048</v>
      </c>
      <c r="I11" s="51"/>
      <c r="J11" s="60">
        <v>650</v>
      </c>
      <c r="K11" s="60">
        <v>695</v>
      </c>
    </row>
    <row r="12" spans="2:12" ht="18.7" customHeight="1">
      <c r="B12" s="64" t="s">
        <v>59</v>
      </c>
      <c r="C12" s="56">
        <v>129.07</v>
      </c>
      <c r="D12" s="57">
        <f>ORÇAMENTO_EXECUTIVO!$B$20/CÁLCULO_MÉDIAS!D$4*C12</f>
        <v>135.98801996854218</v>
      </c>
      <c r="E12" s="58">
        <v>124</v>
      </c>
      <c r="F12" s="57">
        <f>ORÇAMENTO_EXECUTIVO!$B$20/CÁLCULO_MÉDIAS!F$4*E12</f>
        <v>126.04733796717493</v>
      </c>
      <c r="G12" s="58">
        <v>122.73</v>
      </c>
      <c r="H12" s="59">
        <f>ORÇAMENTO_EXECUTIVO!$B$20/CÁLCULO_MÉDIAS!H$4*G12</f>
        <v>124.3193356082914</v>
      </c>
      <c r="I12" s="51"/>
      <c r="J12" s="60">
        <v>120</v>
      </c>
      <c r="K12" s="60">
        <v>135</v>
      </c>
    </row>
    <row r="13" spans="2:12" ht="18.7" customHeight="1">
      <c r="B13" s="61" t="s">
        <v>11</v>
      </c>
      <c r="C13" s="62">
        <v>273.64999999999998</v>
      </c>
      <c r="D13" s="57">
        <f>ORÇAMENTO_EXECUTIVO!$B$20/CÁLCULO_MÉDIAS!D$4*C13</f>
        <v>288.31736007121384</v>
      </c>
      <c r="E13" s="63">
        <v>304.39</v>
      </c>
      <c r="F13" s="57">
        <f>ORÇAMENTO_EXECUTIVO!$B$20/CÁLCULO_MÉDIAS!F$4*E13</f>
        <v>309.41571938571269</v>
      </c>
      <c r="G13" s="63">
        <v>346.19</v>
      </c>
      <c r="H13" s="59">
        <f>ORÇAMENTO_EXECUTIVO!$B$20/CÁLCULO_MÉDIAS!H$4*G13</f>
        <v>350.67311003205737</v>
      </c>
      <c r="I13" s="51"/>
      <c r="J13" s="60">
        <v>270</v>
      </c>
      <c r="K13" s="60">
        <v>365</v>
      </c>
      <c r="L13" s="51"/>
    </row>
    <row r="14" spans="2:12" ht="18.7" customHeight="1">
      <c r="B14" s="64" t="s">
        <v>12</v>
      </c>
      <c r="C14" s="56">
        <v>131.86000000000001</v>
      </c>
      <c r="D14" s="57">
        <f>ORÇAMENTO_EXECUTIVO!$B$20/CÁLCULO_MÉDIAS!D$4*C14</f>
        <v>138.92756111452681</v>
      </c>
      <c r="E14" s="58">
        <v>149.47</v>
      </c>
      <c r="F14" s="57">
        <f>ORÇAMENTO_EXECUTIVO!$B$20/CÁLCULO_MÉDIAS!F$4*E14</f>
        <v>151.93786778994868</v>
      </c>
      <c r="G14" s="58">
        <v>163.30000000000001</v>
      </c>
      <c r="H14" s="59">
        <f>ORÇAMENTO_EXECUTIVO!$B$20/CÁLCULO_MÉDIAS!H$4*G14</f>
        <v>165.4147111939541</v>
      </c>
      <c r="I14" s="51"/>
      <c r="J14" s="60">
        <v>140</v>
      </c>
      <c r="K14" s="60">
        <v>170</v>
      </c>
    </row>
    <row r="15" spans="2:12" ht="18.7" customHeight="1">
      <c r="B15" s="61" t="s">
        <v>13</v>
      </c>
      <c r="C15" s="62">
        <v>41.71</v>
      </c>
      <c r="D15" s="57">
        <f>ORÇAMENTO_EXECUTIVO!$B$20/CÁLCULO_MÉDIAS!D$4*C15</f>
        <v>43.945613332981289</v>
      </c>
      <c r="E15" s="63">
        <v>74.34</v>
      </c>
      <c r="F15" s="57">
        <f>ORÇAMENTO_EXECUTIVO!$B$20/CÁLCULO_MÉDIAS!F$4*E15</f>
        <v>75.567412132901481</v>
      </c>
      <c r="G15" s="63">
        <v>43.36</v>
      </c>
      <c r="H15" s="59">
        <f>ORÇAMENTO_EXECUTIVO!$B$20/CÁLCULO_MÉDIAS!H$4*G15</f>
        <v>43.921505678933549</v>
      </c>
      <c r="I15" s="51"/>
      <c r="J15" s="60">
        <v>45</v>
      </c>
      <c r="K15" s="60">
        <v>80</v>
      </c>
    </row>
    <row r="16" spans="2:12" ht="18.7" customHeight="1">
      <c r="B16" s="64" t="s">
        <v>60</v>
      </c>
      <c r="C16" s="56">
        <v>159.86000000000001</v>
      </c>
      <c r="D16" s="57">
        <f>ORÇAMENTO_EXECUTIVO!$B$20/CÁLCULO_MÉDIAS!D$4*C16</f>
        <v>168.42833247207838</v>
      </c>
      <c r="E16" s="58">
        <v>190.23</v>
      </c>
      <c r="F16" s="57">
        <f>ORÇAMENTO_EXECUTIVO!$B$20/CÁLCULO_MÉDIAS!F$4*E16</f>
        <v>193.37084759270712</v>
      </c>
      <c r="G16" s="58">
        <v>146.21</v>
      </c>
      <c r="H16" s="59">
        <f>ORÇAMENTO_EXECUTIVO!$B$20/CÁLCULO_MÉDIAS!H$4*G16</f>
        <v>148.10339818535229</v>
      </c>
      <c r="I16" s="51"/>
      <c r="J16" s="60">
        <v>145</v>
      </c>
      <c r="K16" s="60">
        <v>190</v>
      </c>
    </row>
    <row r="17" spans="2:11" ht="18.7" customHeight="1">
      <c r="B17" s="61" t="s">
        <v>15</v>
      </c>
      <c r="C17" s="62">
        <v>68.430000000000007</v>
      </c>
      <c r="D17" s="57">
        <f>ORÇAMENTO_EXECUTIVO!$B$20/CÁLCULO_MÉDIAS!D$4*C17</f>
        <v>72.097777999901936</v>
      </c>
      <c r="E17" s="63">
        <v>54.57</v>
      </c>
      <c r="F17" s="57">
        <f>ORÇAMENTO_EXECUTIVO!$B$20/CÁLCULO_MÉDIAS!F$4*E17</f>
        <v>55.470993813457547</v>
      </c>
      <c r="G17" s="63">
        <v>60.1</v>
      </c>
      <c r="H17" s="59">
        <f>ORÇAMENTO_EXECUTIVO!$B$20/CÁLCULO_MÉDIAS!H$4*G17</f>
        <v>60.878286238558729</v>
      </c>
      <c r="I17" s="51"/>
      <c r="J17" s="60">
        <v>55</v>
      </c>
      <c r="K17" s="60">
        <v>70</v>
      </c>
    </row>
    <row r="18" spans="2:11" ht="18.7" customHeight="1">
      <c r="B18" s="64" t="s">
        <v>61</v>
      </c>
      <c r="C18" s="56">
        <v>199.49</v>
      </c>
      <c r="D18" s="57">
        <f>ORÇAMENTO_EXECUTIVO!$B$20/CÁLCULO_MÉDIAS!D$4*C18</f>
        <v>210.18245993278441</v>
      </c>
      <c r="E18" s="58">
        <v>167.8</v>
      </c>
      <c r="F18" s="57">
        <f>ORÇAMENTO_EXECUTIVO!$B$20/CÁLCULO_MÉDIAS!F$4*E18</f>
        <v>170.57051057170929</v>
      </c>
      <c r="G18" s="58">
        <v>153.35</v>
      </c>
      <c r="H18" s="59">
        <f>ORÇAMENTO_EXECUTIVO!$B$20/CÁLCULO_MÉDIAS!H$4*G18</f>
        <v>155.33586014447556</v>
      </c>
      <c r="I18" s="51"/>
      <c r="J18" s="60">
        <v>170</v>
      </c>
      <c r="K18" s="60">
        <v>210</v>
      </c>
    </row>
    <row r="19" spans="2:11" ht="19.55" customHeight="1">
      <c r="B19" s="61" t="s">
        <v>17</v>
      </c>
      <c r="C19" s="62">
        <v>104.47</v>
      </c>
      <c r="D19" s="57">
        <f>ORÇAMENTO_EXECUTIVO!$B$20/CÁLCULO_MÉDIAS!D$4*C19</f>
        <v>110.06948513297903</v>
      </c>
      <c r="E19" s="63">
        <v>136.68</v>
      </c>
      <c r="F19" s="57">
        <f>ORÇAMENTO_EXECUTIVO!$B$20/CÁLCULO_MÉDIAS!F$4*E19</f>
        <v>138.93669478510861</v>
      </c>
      <c r="G19" s="63">
        <v>149.59</v>
      </c>
      <c r="H19" s="59">
        <f>ORÇAMENTO_EXECUTIVO!$B$20/CÁLCULO_MÉDIAS!H$4*G19</f>
        <v>151.52716869261232</v>
      </c>
      <c r="I19" s="51"/>
      <c r="J19" s="60">
        <v>100</v>
      </c>
      <c r="K19" s="60">
        <v>135</v>
      </c>
    </row>
    <row r="20" spans="2:11" ht="14.3" customHeight="1">
      <c r="B20" s="64" t="s">
        <v>18</v>
      </c>
      <c r="C20" s="66">
        <v>295.87</v>
      </c>
      <c r="D20" s="57">
        <f>ORÇAMENTO_EXECUTIVO!$B$20/CÁLCULO_MÉDIAS!D$4*C20</f>
        <v>311.72832934138512</v>
      </c>
      <c r="E20" s="65">
        <v>250.15</v>
      </c>
      <c r="F20" s="57">
        <f>ORÇAMENTO_EXECUTIVO!$B$20/CÁLCULO_MÉDIAS!F$4*E20</f>
        <v>254.28017413297425</v>
      </c>
      <c r="G20" s="65">
        <v>288.61</v>
      </c>
      <c r="H20" s="59">
        <f>ORÇAMENTO_EXECUTIVO!$B$20/CÁLCULO_MÉDIAS!H$4*G20</f>
        <v>292.34745742613035</v>
      </c>
      <c r="I20" s="51"/>
      <c r="J20" s="60">
        <v>250</v>
      </c>
      <c r="K20" s="60">
        <v>290</v>
      </c>
    </row>
    <row r="21" spans="2:11" ht="18.7" customHeight="1">
      <c r="B21" s="61" t="s">
        <v>19</v>
      </c>
      <c r="C21" s="62">
        <v>134.47</v>
      </c>
      <c r="D21" s="57">
        <f>ORÇAMENTO_EXECUTIVO!$B$20/CÁLCULO_MÉDIAS!D$4*C21</f>
        <v>141.67745444464143</v>
      </c>
      <c r="E21" s="63">
        <v>14.89</v>
      </c>
      <c r="F21" s="57">
        <f>ORÇAMENTO_EXECUTIVO!$B$20/CÁLCULO_MÉDIAS!F$4*E21</f>
        <v>15.13584566396157</v>
      </c>
      <c r="G21" s="63">
        <v>2.4700000000000002</v>
      </c>
      <c r="H21" s="59">
        <f>ORÇAMENTO_EXECUTIVO!$B$20/CÁLCULO_MÉDIAS!H$4*G21</f>
        <v>2.5019861399207999</v>
      </c>
      <c r="I21" s="51"/>
      <c r="J21" s="60">
        <v>15</v>
      </c>
      <c r="K21" s="60">
        <v>50</v>
      </c>
    </row>
    <row r="22" spans="2:11" ht="18.7" customHeight="1">
      <c r="B22" s="64" t="s">
        <v>20</v>
      </c>
      <c r="C22" s="66">
        <v>12.86</v>
      </c>
      <c r="D22" s="57">
        <f>ORÇAMENTO_EXECUTIVO!$B$20/CÁLCULO_MÉDIAS!D$4*C22</f>
        <v>13.549282844932614</v>
      </c>
      <c r="E22" s="65">
        <v>134.66999999999999</v>
      </c>
      <c r="F22" s="57">
        <f>ORÇAMENTO_EXECUTIVO!$B$20/CÁLCULO_MÉDIAS!F$4*E22</f>
        <v>136.89350809709231</v>
      </c>
      <c r="G22" s="65">
        <v>114.53</v>
      </c>
      <c r="H22" s="59">
        <f>ORÇAMENTO_EXECUTIVO!$B$20/CÁLCULO_MÉDIAS!H$4*G22</f>
        <v>116.01314680369603</v>
      </c>
      <c r="I22" s="51"/>
      <c r="J22" s="60">
        <v>115</v>
      </c>
      <c r="K22" s="60">
        <v>130</v>
      </c>
    </row>
    <row r="23" spans="2:11" ht="18.7" customHeight="1">
      <c r="B23" s="67" t="s">
        <v>21</v>
      </c>
      <c r="C23" s="68">
        <v>210.46</v>
      </c>
      <c r="D23" s="69">
        <f>ORÇAMENTO_EXECUTIVO!$B$20/CÁLCULO_MÉDIAS!D$4*C23</f>
        <v>221.7404407110823</v>
      </c>
      <c r="E23" s="70">
        <v>125.12</v>
      </c>
      <c r="F23" s="69">
        <f>ORÇAMENTO_EXECUTIVO!$B$20/CÁLCULO_MÉDIAS!F$4*E23</f>
        <v>127.18583005203973</v>
      </c>
      <c r="G23" s="70">
        <v>157.19999999999999</v>
      </c>
      <c r="H23" s="71">
        <f>ORÇAMENTO_EXECUTIVO!$B$20/CÁLCULO_MÉDIAS!H$4*G23</f>
        <v>159.2357170832185</v>
      </c>
      <c r="I23" s="51"/>
      <c r="J23" s="72">
        <v>160</v>
      </c>
      <c r="K23" s="72">
        <v>220</v>
      </c>
    </row>
    <row r="24" spans="2:11" ht="18.7" customHeight="1">
      <c r="B24" s="73" t="s">
        <v>23</v>
      </c>
      <c r="C24" s="74">
        <f t="shared" ref="C24:H24" si="0">SUM(C8:C23)</f>
        <v>3722.9200000000005</v>
      </c>
      <c r="D24" s="75">
        <f t="shared" si="0"/>
        <v>3922.4647036591396</v>
      </c>
      <c r="E24" s="76">
        <f t="shared" si="0"/>
        <v>3029.78</v>
      </c>
      <c r="F24" s="75">
        <f t="shared" si="0"/>
        <v>3079.8040615015093</v>
      </c>
      <c r="G24" s="76">
        <f t="shared" si="0"/>
        <v>2901.94</v>
      </c>
      <c r="H24" s="77">
        <f t="shared" si="0"/>
        <v>2939.5196999521318</v>
      </c>
      <c r="J24" s="78">
        <f t="shared" ref="J24:K24" si="1">SUM(J8:J23)</f>
        <v>2720</v>
      </c>
      <c r="K24" s="78">
        <f t="shared" si="1"/>
        <v>3365</v>
      </c>
    </row>
    <row r="25" spans="2:11" ht="14.3" customHeight="1">
      <c r="J25" s="46"/>
      <c r="K25" s="46"/>
    </row>
    <row r="26" spans="2:11" ht="14.3" customHeight="1">
      <c r="J26" s="46"/>
      <c r="K26" s="46"/>
    </row>
    <row r="27" spans="2:11" ht="14.3" customHeight="1">
      <c r="J27" s="46"/>
      <c r="K27" s="46"/>
    </row>
    <row r="28" spans="2:11" ht="14.3" customHeight="1">
      <c r="J28" s="46"/>
      <c r="K28" s="46"/>
    </row>
    <row r="29" spans="2:11" ht="14.3" customHeight="1">
      <c r="I29" s="46"/>
      <c r="J29" s="46"/>
      <c r="K29" s="46"/>
    </row>
    <row r="30" spans="2:11" ht="14.3" customHeight="1">
      <c r="I30" s="46"/>
      <c r="J30" s="46"/>
      <c r="K30" s="46"/>
    </row>
    <row r="31" spans="2:11" ht="14.3" customHeight="1">
      <c r="I31" s="46"/>
      <c r="J31" s="46"/>
      <c r="K31" s="46"/>
    </row>
    <row r="32" spans="2:11" ht="14.3" customHeight="1">
      <c r="I32" s="46"/>
      <c r="J32" s="46"/>
      <c r="K32" s="46"/>
    </row>
    <row r="33" spans="9:11" ht="14.3" customHeight="1">
      <c r="I33" s="46"/>
      <c r="J33" s="46"/>
      <c r="K33" s="46"/>
    </row>
    <row r="34" spans="9:11" ht="14.3" customHeight="1">
      <c r="J34" s="46"/>
      <c r="K34" s="46"/>
    </row>
    <row r="35" spans="9:11" ht="14.3" customHeight="1">
      <c r="J35" s="46"/>
      <c r="K35" s="46"/>
    </row>
    <row r="36" spans="9:11" ht="14.3" customHeight="1">
      <c r="J36" s="46"/>
      <c r="K36" s="46"/>
    </row>
    <row r="37" spans="9:11" ht="14.3" customHeight="1">
      <c r="J37" s="46"/>
      <c r="K37" s="46"/>
    </row>
    <row r="38" spans="9:11" ht="14.3" customHeight="1">
      <c r="J38" s="46"/>
      <c r="K38" s="46"/>
    </row>
    <row r="39" spans="9:11" ht="14.3" customHeight="1">
      <c r="J39" s="46"/>
      <c r="K39" s="46"/>
    </row>
    <row r="40" spans="9:11" ht="14.3" customHeight="1">
      <c r="J40" s="46"/>
      <c r="K40" s="46"/>
    </row>
    <row r="41" spans="9:11" ht="14.3" customHeight="1">
      <c r="J41" s="46"/>
      <c r="K41" s="46"/>
    </row>
    <row r="42" spans="9:11" ht="14.3" customHeight="1">
      <c r="J42" s="46"/>
      <c r="K42" s="46"/>
    </row>
    <row r="43" spans="9:11" ht="14.3" customHeight="1">
      <c r="J43" s="46"/>
      <c r="K43" s="46"/>
    </row>
    <row r="44" spans="9:11" ht="14.3" customHeight="1">
      <c r="J44" s="46"/>
      <c r="K44" s="46"/>
    </row>
    <row r="45" spans="9:11" ht="14.3" customHeight="1">
      <c r="J45" s="46"/>
      <c r="K45" s="46"/>
    </row>
    <row r="46" spans="9:11" ht="14.3" customHeight="1">
      <c r="J46" s="46"/>
      <c r="K46" s="46"/>
    </row>
    <row r="47" spans="9:11" ht="14.3" customHeight="1">
      <c r="J47" s="46"/>
      <c r="K47" s="46"/>
    </row>
    <row r="48" spans="9:11" ht="14.3" customHeight="1">
      <c r="J48" s="46"/>
      <c r="K48" s="46"/>
    </row>
    <row r="49" spans="10:11" ht="14.3" customHeight="1">
      <c r="J49" s="46"/>
      <c r="K49" s="46"/>
    </row>
    <row r="50" spans="10:11" ht="14.3" customHeight="1">
      <c r="J50" s="46"/>
      <c r="K50" s="46"/>
    </row>
    <row r="51" spans="10:11" ht="14.3" customHeight="1">
      <c r="J51" s="46"/>
      <c r="K51" s="46"/>
    </row>
    <row r="52" spans="10:11" ht="14.3" customHeight="1">
      <c r="J52" s="46"/>
      <c r="K52" s="46"/>
    </row>
    <row r="53" spans="10:11" ht="14.3" customHeight="1">
      <c r="J53" s="46"/>
      <c r="K53" s="46"/>
    </row>
    <row r="54" spans="10:11" ht="14.3" customHeight="1">
      <c r="J54" s="46"/>
      <c r="K54" s="46"/>
    </row>
    <row r="55" spans="10:11" ht="14.3" customHeight="1">
      <c r="J55" s="46"/>
      <c r="K55" s="46"/>
    </row>
    <row r="56" spans="10:11" ht="14.3" customHeight="1">
      <c r="J56" s="46"/>
      <c r="K56" s="46"/>
    </row>
    <row r="57" spans="10:11" ht="14.3" customHeight="1">
      <c r="J57" s="46"/>
      <c r="K57" s="46"/>
    </row>
    <row r="58" spans="10:11" ht="14.3" customHeight="1">
      <c r="J58" s="46"/>
      <c r="K58" s="46"/>
    </row>
    <row r="59" spans="10:11" ht="14.3" customHeight="1">
      <c r="J59" s="46"/>
      <c r="K59" s="46"/>
    </row>
    <row r="60" spans="10:11" ht="14.3" customHeight="1">
      <c r="J60" s="46"/>
      <c r="K60" s="46"/>
    </row>
    <row r="61" spans="10:11" ht="14.3" customHeight="1">
      <c r="J61" s="46"/>
      <c r="K61" s="46"/>
    </row>
    <row r="62" spans="10:11" ht="14.3" customHeight="1">
      <c r="J62" s="46"/>
      <c r="K62" s="46"/>
    </row>
    <row r="63" spans="10:11" ht="14.3" customHeight="1">
      <c r="J63" s="46"/>
      <c r="K63" s="46"/>
    </row>
    <row r="64" spans="10:11" ht="14.3" customHeight="1">
      <c r="J64" s="46"/>
      <c r="K64" s="46"/>
    </row>
    <row r="65" spans="10:11" ht="14.3" customHeight="1">
      <c r="J65" s="46"/>
      <c r="K65" s="46"/>
    </row>
    <row r="66" spans="10:11" ht="14.3" customHeight="1">
      <c r="J66" s="46"/>
      <c r="K66" s="46"/>
    </row>
    <row r="67" spans="10:11" ht="14.3" customHeight="1">
      <c r="J67" s="46"/>
      <c r="K67" s="46"/>
    </row>
    <row r="68" spans="10:11" ht="14.3" customHeight="1">
      <c r="J68" s="46"/>
      <c r="K68" s="46"/>
    </row>
    <row r="69" spans="10:11" ht="14.3" customHeight="1">
      <c r="J69" s="46"/>
      <c r="K69" s="46"/>
    </row>
    <row r="70" spans="10:11" ht="14.3" customHeight="1">
      <c r="J70" s="46"/>
      <c r="K70" s="46"/>
    </row>
    <row r="71" spans="10:11" ht="14.3" customHeight="1">
      <c r="J71" s="46"/>
      <c r="K71" s="46"/>
    </row>
    <row r="72" spans="10:11" ht="14.3" customHeight="1">
      <c r="J72" s="46"/>
      <c r="K72" s="46"/>
    </row>
    <row r="73" spans="10:11" ht="14.3" customHeight="1">
      <c r="J73" s="46"/>
      <c r="K73" s="46"/>
    </row>
    <row r="74" spans="10:11" ht="14.3" customHeight="1">
      <c r="J74" s="46"/>
      <c r="K74" s="46"/>
    </row>
    <row r="75" spans="10:11" ht="14.3" customHeight="1">
      <c r="J75" s="46"/>
      <c r="K75" s="46"/>
    </row>
    <row r="76" spans="10:11" ht="14.3" customHeight="1">
      <c r="J76" s="46"/>
      <c r="K76" s="46"/>
    </row>
    <row r="77" spans="10:11" ht="14.3" customHeight="1">
      <c r="J77" s="46"/>
      <c r="K77" s="46"/>
    </row>
    <row r="78" spans="10:11" ht="14.3" customHeight="1">
      <c r="J78" s="46"/>
      <c r="K78" s="46"/>
    </row>
    <row r="79" spans="10:11" ht="14.3" customHeight="1">
      <c r="J79" s="46"/>
      <c r="K79" s="46"/>
    </row>
    <row r="80" spans="10:11" ht="14.3" customHeight="1">
      <c r="J80" s="46"/>
      <c r="K80" s="46"/>
    </row>
    <row r="81" spans="10:11" ht="14.3" customHeight="1">
      <c r="J81" s="46"/>
      <c r="K81" s="46"/>
    </row>
    <row r="82" spans="10:11" ht="14.3" customHeight="1">
      <c r="J82" s="46"/>
      <c r="K82" s="46"/>
    </row>
    <row r="83" spans="10:11" ht="14.3" customHeight="1">
      <c r="J83" s="46"/>
      <c r="K83" s="46"/>
    </row>
    <row r="84" spans="10:11" ht="14.3" customHeight="1">
      <c r="J84" s="46"/>
      <c r="K84" s="46"/>
    </row>
    <row r="85" spans="10:11" ht="14.3" customHeight="1">
      <c r="J85" s="46"/>
      <c r="K85" s="46"/>
    </row>
    <row r="86" spans="10:11" ht="14.3" customHeight="1">
      <c r="J86" s="46"/>
      <c r="K86" s="46"/>
    </row>
    <row r="87" spans="10:11" ht="14.3" customHeight="1">
      <c r="J87" s="46"/>
      <c r="K87" s="46"/>
    </row>
    <row r="88" spans="10:11" ht="14.3" customHeight="1">
      <c r="J88" s="46"/>
      <c r="K88" s="46"/>
    </row>
    <row r="89" spans="10:11" ht="14.3" customHeight="1">
      <c r="J89" s="46"/>
      <c r="K89" s="46"/>
    </row>
    <row r="90" spans="10:11" ht="14.3" customHeight="1">
      <c r="J90" s="46"/>
      <c r="K90" s="46"/>
    </row>
    <row r="91" spans="10:11" ht="14.3" customHeight="1">
      <c r="J91" s="46"/>
      <c r="K91" s="46"/>
    </row>
    <row r="92" spans="10:11" ht="14.3" customHeight="1">
      <c r="J92" s="46"/>
      <c r="K92" s="46"/>
    </row>
    <row r="93" spans="10:11" ht="14.3" customHeight="1">
      <c r="J93" s="46"/>
      <c r="K93" s="46"/>
    </row>
    <row r="94" spans="10:11" ht="14.3" customHeight="1">
      <c r="J94" s="46"/>
      <c r="K94" s="46"/>
    </row>
    <row r="95" spans="10:11" ht="14.3" customHeight="1">
      <c r="J95" s="46"/>
      <c r="K95" s="46"/>
    </row>
    <row r="96" spans="10:11" ht="14.3" customHeight="1">
      <c r="J96" s="46"/>
      <c r="K96" s="46"/>
    </row>
    <row r="97" spans="10:11" ht="14.3" customHeight="1">
      <c r="J97" s="46"/>
      <c r="K97" s="46"/>
    </row>
    <row r="98" spans="10:11" ht="14.3" customHeight="1">
      <c r="J98" s="46"/>
      <c r="K98" s="46"/>
    </row>
    <row r="99" spans="10:11" ht="14.3" customHeight="1">
      <c r="J99" s="46"/>
      <c r="K99" s="46"/>
    </row>
    <row r="100" spans="10:11" ht="14.3" customHeight="1">
      <c r="J100" s="46"/>
      <c r="K100" s="46"/>
    </row>
    <row r="101" spans="10:11" ht="14.3" customHeight="1">
      <c r="J101" s="46"/>
      <c r="K101" s="46"/>
    </row>
    <row r="102" spans="10:11" ht="14.3" customHeight="1">
      <c r="J102" s="46"/>
      <c r="K102" s="46"/>
    </row>
    <row r="103" spans="10:11" ht="14.3" customHeight="1">
      <c r="J103" s="46"/>
      <c r="K103" s="46"/>
    </row>
    <row r="104" spans="10:11" ht="14.3" customHeight="1">
      <c r="J104" s="46"/>
      <c r="K104" s="46"/>
    </row>
    <row r="105" spans="10:11" ht="14.3" customHeight="1">
      <c r="J105" s="46"/>
      <c r="K105" s="46"/>
    </row>
    <row r="106" spans="10:11" ht="14.3" customHeight="1">
      <c r="J106" s="46"/>
      <c r="K106" s="46"/>
    </row>
    <row r="107" spans="10:11" ht="14.3" customHeight="1">
      <c r="J107" s="46"/>
      <c r="K107" s="46"/>
    </row>
    <row r="108" spans="10:11" ht="14.3" customHeight="1">
      <c r="J108" s="46"/>
      <c r="K108" s="46"/>
    </row>
    <row r="109" spans="10:11" ht="14.3" customHeight="1">
      <c r="J109" s="46"/>
      <c r="K109" s="46"/>
    </row>
    <row r="110" spans="10:11" ht="14.3" customHeight="1">
      <c r="J110" s="46"/>
      <c r="K110" s="46"/>
    </row>
    <row r="111" spans="10:11" ht="14.3" customHeight="1">
      <c r="J111" s="46"/>
      <c r="K111" s="46"/>
    </row>
    <row r="112" spans="10:11" ht="14.3" customHeight="1">
      <c r="J112" s="46"/>
      <c r="K112" s="46"/>
    </row>
    <row r="113" spans="10:11" ht="14.3" customHeight="1">
      <c r="J113" s="46"/>
      <c r="K113" s="46"/>
    </row>
    <row r="114" spans="10:11" ht="14.3" customHeight="1">
      <c r="J114" s="46"/>
      <c r="K114" s="46"/>
    </row>
    <row r="115" spans="10:11" ht="14.3" customHeight="1">
      <c r="J115" s="46"/>
      <c r="K115" s="46"/>
    </row>
    <row r="116" spans="10:11" ht="14.3" customHeight="1">
      <c r="J116" s="46"/>
      <c r="K116" s="46"/>
    </row>
    <row r="117" spans="10:11" ht="14.3" customHeight="1">
      <c r="J117" s="46"/>
      <c r="K117" s="46"/>
    </row>
    <row r="118" spans="10:11" ht="14.3" customHeight="1">
      <c r="J118" s="46"/>
      <c r="K118" s="46"/>
    </row>
    <row r="119" spans="10:11" ht="14.3" customHeight="1">
      <c r="J119" s="46"/>
      <c r="K119" s="46"/>
    </row>
    <row r="120" spans="10:11" ht="14.3" customHeight="1">
      <c r="J120" s="46"/>
      <c r="K120" s="46"/>
    </row>
    <row r="121" spans="10:11" ht="14.3" customHeight="1">
      <c r="J121" s="46"/>
      <c r="K121" s="46"/>
    </row>
    <row r="122" spans="10:11" ht="14.3" customHeight="1">
      <c r="J122" s="46"/>
      <c r="K122" s="46"/>
    </row>
    <row r="123" spans="10:11" ht="14.3" customHeight="1">
      <c r="J123" s="46"/>
      <c r="K123" s="46"/>
    </row>
    <row r="124" spans="10:11" ht="14.3" customHeight="1">
      <c r="J124" s="46"/>
      <c r="K124" s="46"/>
    </row>
    <row r="125" spans="10:11" ht="14.3" customHeight="1">
      <c r="J125" s="46"/>
      <c r="K125" s="46"/>
    </row>
    <row r="126" spans="10:11" ht="14.3" customHeight="1">
      <c r="J126" s="46"/>
      <c r="K126" s="46"/>
    </row>
    <row r="127" spans="10:11" ht="14.3" customHeight="1">
      <c r="J127" s="46"/>
      <c r="K127" s="46"/>
    </row>
    <row r="128" spans="10:11" ht="14.3" customHeight="1">
      <c r="J128" s="46"/>
      <c r="K128" s="46"/>
    </row>
    <row r="129" spans="10:11" ht="14.3" customHeight="1">
      <c r="J129" s="46"/>
      <c r="K129" s="46"/>
    </row>
    <row r="130" spans="10:11" ht="14.3" customHeight="1">
      <c r="J130" s="46"/>
      <c r="K130" s="46"/>
    </row>
    <row r="131" spans="10:11" ht="14.3" customHeight="1">
      <c r="J131" s="46"/>
      <c r="K131" s="46"/>
    </row>
    <row r="132" spans="10:11" ht="14.3" customHeight="1">
      <c r="J132" s="46"/>
      <c r="K132" s="46"/>
    </row>
    <row r="133" spans="10:11" ht="14.3" customHeight="1">
      <c r="J133" s="46"/>
      <c r="K133" s="46"/>
    </row>
    <row r="134" spans="10:11" ht="14.3" customHeight="1">
      <c r="J134" s="46"/>
      <c r="K134" s="46"/>
    </row>
    <row r="135" spans="10:11" ht="14.3" customHeight="1">
      <c r="J135" s="46"/>
      <c r="K135" s="46"/>
    </row>
    <row r="136" spans="10:11" ht="14.3" customHeight="1">
      <c r="J136" s="46"/>
      <c r="K136" s="46"/>
    </row>
    <row r="137" spans="10:11" ht="14.3" customHeight="1">
      <c r="J137" s="46"/>
      <c r="K137" s="46"/>
    </row>
    <row r="138" spans="10:11" ht="14.3" customHeight="1">
      <c r="J138" s="46"/>
      <c r="K138" s="46"/>
    </row>
    <row r="139" spans="10:11" ht="14.3" customHeight="1">
      <c r="J139" s="46"/>
      <c r="K139" s="46"/>
    </row>
    <row r="140" spans="10:11" ht="14.3" customHeight="1">
      <c r="J140" s="46"/>
      <c r="K140" s="46"/>
    </row>
    <row r="141" spans="10:11" ht="14.3" customHeight="1">
      <c r="J141" s="46"/>
      <c r="K141" s="46"/>
    </row>
    <row r="142" spans="10:11" ht="14.3" customHeight="1">
      <c r="J142" s="46"/>
      <c r="K142" s="46"/>
    </row>
    <row r="143" spans="10:11" ht="14.3" customHeight="1">
      <c r="J143" s="46"/>
      <c r="K143" s="46"/>
    </row>
    <row r="144" spans="10:11" ht="14.3" customHeight="1">
      <c r="J144" s="46"/>
      <c r="K144" s="46"/>
    </row>
    <row r="145" spans="10:11" ht="14.3" customHeight="1">
      <c r="J145" s="46"/>
      <c r="K145" s="46"/>
    </row>
    <row r="146" spans="10:11" ht="14.3" customHeight="1">
      <c r="J146" s="46"/>
      <c r="K146" s="46"/>
    </row>
    <row r="147" spans="10:11" ht="14.3" customHeight="1">
      <c r="J147" s="46"/>
      <c r="K147" s="46"/>
    </row>
    <row r="148" spans="10:11" ht="14.3" customHeight="1">
      <c r="J148" s="46"/>
      <c r="K148" s="46"/>
    </row>
    <row r="149" spans="10:11" ht="14.3" customHeight="1">
      <c r="J149" s="46"/>
      <c r="K149" s="46"/>
    </row>
    <row r="150" spans="10:11" ht="14.3" customHeight="1">
      <c r="J150" s="46"/>
      <c r="K150" s="46"/>
    </row>
    <row r="151" spans="10:11" ht="14.3" customHeight="1">
      <c r="J151" s="46"/>
      <c r="K151" s="46"/>
    </row>
    <row r="152" spans="10:11" ht="14.3" customHeight="1">
      <c r="J152" s="46"/>
      <c r="K152" s="46"/>
    </row>
    <row r="153" spans="10:11" ht="14.3" customHeight="1">
      <c r="J153" s="46"/>
      <c r="K153" s="46"/>
    </row>
    <row r="154" spans="10:11" ht="14.3" customHeight="1">
      <c r="J154" s="46"/>
      <c r="K154" s="46"/>
    </row>
    <row r="155" spans="10:11" ht="14.3" customHeight="1">
      <c r="J155" s="46"/>
      <c r="K155" s="46"/>
    </row>
    <row r="156" spans="10:11" ht="14.3" customHeight="1">
      <c r="J156" s="46"/>
      <c r="K156" s="46"/>
    </row>
    <row r="157" spans="10:11" ht="14.3" customHeight="1">
      <c r="J157" s="46"/>
      <c r="K157" s="46"/>
    </row>
    <row r="158" spans="10:11" ht="14.3" customHeight="1">
      <c r="J158" s="46"/>
      <c r="K158" s="46"/>
    </row>
    <row r="159" spans="10:11" ht="14.3" customHeight="1">
      <c r="J159" s="46"/>
      <c r="K159" s="46"/>
    </row>
    <row r="160" spans="10:11" ht="14.3" customHeight="1">
      <c r="J160" s="46"/>
      <c r="K160" s="46"/>
    </row>
    <row r="161" spans="10:11" ht="14.3" customHeight="1">
      <c r="J161" s="46"/>
      <c r="K161" s="46"/>
    </row>
    <row r="162" spans="10:11" ht="14.3" customHeight="1">
      <c r="J162" s="46"/>
      <c r="K162" s="46"/>
    </row>
    <row r="163" spans="10:11" ht="14.3" customHeight="1">
      <c r="J163" s="46"/>
      <c r="K163" s="46"/>
    </row>
    <row r="164" spans="10:11" ht="14.3" customHeight="1">
      <c r="J164" s="46"/>
      <c r="K164" s="46"/>
    </row>
    <row r="165" spans="10:11" ht="14.3" customHeight="1">
      <c r="J165" s="46"/>
      <c r="K165" s="46"/>
    </row>
    <row r="166" spans="10:11" ht="14.3" customHeight="1">
      <c r="J166" s="46"/>
      <c r="K166" s="46"/>
    </row>
    <row r="167" spans="10:11" ht="14.3" customHeight="1">
      <c r="J167" s="46"/>
      <c r="K167" s="46"/>
    </row>
    <row r="168" spans="10:11" ht="14.3" customHeight="1">
      <c r="J168" s="46"/>
      <c r="K168" s="46"/>
    </row>
    <row r="169" spans="10:11" ht="14.3" customHeight="1">
      <c r="J169" s="46"/>
      <c r="K169" s="46"/>
    </row>
    <row r="170" spans="10:11" ht="14.3" customHeight="1">
      <c r="J170" s="46"/>
      <c r="K170" s="46"/>
    </row>
    <row r="171" spans="10:11" ht="14.3" customHeight="1">
      <c r="J171" s="46"/>
      <c r="K171" s="46"/>
    </row>
    <row r="172" spans="10:11" ht="14.3" customHeight="1">
      <c r="J172" s="46"/>
      <c r="K172" s="46"/>
    </row>
    <row r="173" spans="10:11" ht="14.3" customHeight="1">
      <c r="J173" s="46"/>
      <c r="K173" s="46"/>
    </row>
    <row r="174" spans="10:11" ht="14.3" customHeight="1">
      <c r="J174" s="46"/>
      <c r="K174" s="46"/>
    </row>
    <row r="175" spans="10:11" ht="14.3" customHeight="1">
      <c r="J175" s="46"/>
      <c r="K175" s="46"/>
    </row>
    <row r="176" spans="10:11" ht="14.3" customHeight="1">
      <c r="J176" s="46"/>
      <c r="K176" s="46"/>
    </row>
    <row r="177" spans="10:11" ht="14.3" customHeight="1">
      <c r="J177" s="46"/>
      <c r="K177" s="46"/>
    </row>
    <row r="178" spans="10:11" ht="14.3" customHeight="1">
      <c r="J178" s="46"/>
      <c r="K178" s="46"/>
    </row>
    <row r="179" spans="10:11" ht="14.3" customHeight="1">
      <c r="J179" s="46"/>
      <c r="K179" s="46"/>
    </row>
    <row r="180" spans="10:11" ht="14.3" customHeight="1">
      <c r="J180" s="46"/>
      <c r="K180" s="46"/>
    </row>
    <row r="181" spans="10:11" ht="14.3" customHeight="1">
      <c r="J181" s="46"/>
      <c r="K181" s="46"/>
    </row>
    <row r="182" spans="10:11" ht="14.3" customHeight="1">
      <c r="J182" s="46"/>
      <c r="K182" s="46"/>
    </row>
    <row r="183" spans="10:11" ht="14.3" customHeight="1">
      <c r="J183" s="46"/>
      <c r="K183" s="46"/>
    </row>
    <row r="184" spans="10:11" ht="14.3" customHeight="1">
      <c r="J184" s="46"/>
      <c r="K184" s="46"/>
    </row>
    <row r="185" spans="10:11" ht="14.3" customHeight="1">
      <c r="J185" s="46"/>
      <c r="K185" s="46"/>
    </row>
    <row r="186" spans="10:11" ht="14.3" customHeight="1">
      <c r="J186" s="46"/>
      <c r="K186" s="46"/>
    </row>
    <row r="187" spans="10:11" ht="14.3" customHeight="1">
      <c r="J187" s="46"/>
      <c r="K187" s="46"/>
    </row>
    <row r="188" spans="10:11" ht="14.3" customHeight="1">
      <c r="J188" s="46"/>
      <c r="K188" s="46"/>
    </row>
    <row r="189" spans="10:11" ht="14.3" customHeight="1">
      <c r="J189" s="46"/>
      <c r="K189" s="46"/>
    </row>
    <row r="190" spans="10:11" ht="14.3" customHeight="1">
      <c r="J190" s="46"/>
      <c r="K190" s="46"/>
    </row>
    <row r="191" spans="10:11" ht="14.3" customHeight="1">
      <c r="J191" s="46"/>
      <c r="K191" s="46"/>
    </row>
    <row r="192" spans="10:11" ht="14.3" customHeight="1">
      <c r="J192" s="46"/>
      <c r="K192" s="46"/>
    </row>
    <row r="193" spans="10:11" ht="14.3" customHeight="1">
      <c r="J193" s="46"/>
      <c r="K193" s="46"/>
    </row>
    <row r="194" spans="10:11" ht="14.3" customHeight="1">
      <c r="J194" s="46"/>
      <c r="K194" s="46"/>
    </row>
    <row r="195" spans="10:11" ht="14.3" customHeight="1">
      <c r="J195" s="46"/>
      <c r="K195" s="46"/>
    </row>
    <row r="196" spans="10:11" ht="14.3" customHeight="1">
      <c r="J196" s="46"/>
      <c r="K196" s="46"/>
    </row>
    <row r="197" spans="10:11" ht="14.3" customHeight="1">
      <c r="J197" s="46"/>
      <c r="K197" s="46"/>
    </row>
    <row r="198" spans="10:11" ht="14.3" customHeight="1">
      <c r="J198" s="46"/>
      <c r="K198" s="46"/>
    </row>
    <row r="199" spans="10:11" ht="14.3" customHeight="1">
      <c r="J199" s="46"/>
      <c r="K199" s="46"/>
    </row>
    <row r="200" spans="10:11" ht="14.3" customHeight="1">
      <c r="J200" s="46"/>
      <c r="K200" s="46"/>
    </row>
    <row r="201" spans="10:11" ht="14.3" customHeight="1">
      <c r="J201" s="46"/>
      <c r="K201" s="46"/>
    </row>
    <row r="202" spans="10:11" ht="14.3" customHeight="1">
      <c r="J202" s="46"/>
      <c r="K202" s="46"/>
    </row>
    <row r="203" spans="10:11" ht="14.3" customHeight="1">
      <c r="J203" s="46"/>
      <c r="K203" s="46"/>
    </row>
    <row r="204" spans="10:11" ht="14.3" customHeight="1">
      <c r="J204" s="46"/>
      <c r="K204" s="46"/>
    </row>
    <row r="205" spans="10:11" ht="14.3" customHeight="1">
      <c r="J205" s="46"/>
      <c r="K205" s="46"/>
    </row>
    <row r="206" spans="10:11" ht="14.3" customHeight="1">
      <c r="J206" s="46"/>
      <c r="K206" s="46"/>
    </row>
    <row r="207" spans="10:11" ht="14.3" customHeight="1">
      <c r="J207" s="46"/>
      <c r="K207" s="46"/>
    </row>
    <row r="208" spans="10:11" ht="14.3" customHeight="1">
      <c r="J208" s="46"/>
      <c r="K208" s="46"/>
    </row>
    <row r="209" spans="10:11" ht="14.3" customHeight="1">
      <c r="J209" s="46"/>
      <c r="K209" s="46"/>
    </row>
    <row r="210" spans="10:11" ht="14.3" customHeight="1">
      <c r="J210" s="46"/>
      <c r="K210" s="46"/>
    </row>
    <row r="211" spans="10:11" ht="14.3" customHeight="1">
      <c r="J211" s="46"/>
      <c r="K211" s="46"/>
    </row>
    <row r="212" spans="10:11" ht="14.3" customHeight="1">
      <c r="J212" s="46"/>
      <c r="K212" s="46"/>
    </row>
    <row r="213" spans="10:11" ht="14.3" customHeight="1">
      <c r="J213" s="46"/>
      <c r="K213" s="46"/>
    </row>
    <row r="214" spans="10:11" ht="14.3" customHeight="1">
      <c r="J214" s="46"/>
      <c r="K214" s="46"/>
    </row>
    <row r="215" spans="10:11" ht="14.3" customHeight="1">
      <c r="J215" s="46"/>
      <c r="K215" s="46"/>
    </row>
    <row r="216" spans="10:11" ht="14.3" customHeight="1">
      <c r="J216" s="46"/>
      <c r="K216" s="46"/>
    </row>
    <row r="217" spans="10:11" ht="14.3" customHeight="1">
      <c r="J217" s="46"/>
      <c r="K217" s="46"/>
    </row>
    <row r="218" spans="10:11" ht="14.3" customHeight="1">
      <c r="J218" s="46"/>
      <c r="K218" s="46"/>
    </row>
    <row r="219" spans="10:11" ht="14.3" customHeight="1">
      <c r="J219" s="46"/>
      <c r="K219" s="46"/>
    </row>
    <row r="220" spans="10:11" ht="14.3" customHeight="1">
      <c r="J220" s="46"/>
      <c r="K220" s="46"/>
    </row>
    <row r="221" spans="10:11" ht="14.3" customHeight="1">
      <c r="J221" s="46"/>
      <c r="K221" s="46"/>
    </row>
    <row r="222" spans="10:11" ht="14.3" customHeight="1">
      <c r="J222" s="46"/>
      <c r="K222" s="46"/>
    </row>
    <row r="223" spans="10:11" ht="14.3" customHeight="1">
      <c r="J223" s="46"/>
      <c r="K223" s="46"/>
    </row>
    <row r="224" spans="10:11" ht="14.3" customHeight="1">
      <c r="J224" s="46"/>
      <c r="K224" s="46"/>
    </row>
    <row r="225" spans="10:11" ht="14.3" customHeight="1">
      <c r="J225" s="46"/>
      <c r="K225" s="46"/>
    </row>
    <row r="226" spans="10:11" ht="14.3" customHeight="1">
      <c r="J226" s="46"/>
      <c r="K226" s="46"/>
    </row>
    <row r="227" spans="10:11" ht="14.3" customHeight="1">
      <c r="J227" s="46"/>
      <c r="K227" s="46"/>
    </row>
    <row r="228" spans="10:11" ht="14.3" customHeight="1">
      <c r="J228" s="46"/>
      <c r="K228" s="46"/>
    </row>
    <row r="229" spans="10:11" ht="14.3" customHeight="1">
      <c r="J229" s="46"/>
      <c r="K229" s="46"/>
    </row>
    <row r="230" spans="10:11" ht="14.3" customHeight="1">
      <c r="J230" s="46"/>
      <c r="K230" s="46"/>
    </row>
    <row r="231" spans="10:11" ht="14.3" customHeight="1">
      <c r="J231" s="46"/>
      <c r="K231" s="46"/>
    </row>
    <row r="232" spans="10:11" ht="14.3" customHeight="1">
      <c r="J232" s="46"/>
      <c r="K232" s="46"/>
    </row>
    <row r="233" spans="10:11" ht="14.3" customHeight="1">
      <c r="J233" s="46"/>
      <c r="K233" s="46"/>
    </row>
    <row r="234" spans="10:11" ht="14.3" customHeight="1">
      <c r="J234" s="46"/>
      <c r="K234" s="46"/>
    </row>
    <row r="235" spans="10:11" ht="14.3" customHeight="1">
      <c r="J235" s="46"/>
      <c r="K235" s="46"/>
    </row>
    <row r="236" spans="10:11" ht="14.3" customHeight="1">
      <c r="J236" s="46"/>
      <c r="K236" s="46"/>
    </row>
    <row r="237" spans="10:11" ht="14.3" customHeight="1">
      <c r="J237" s="46"/>
      <c r="K237" s="46"/>
    </row>
    <row r="238" spans="10:11" ht="14.3" customHeight="1">
      <c r="J238" s="46"/>
      <c r="K238" s="46"/>
    </row>
    <row r="239" spans="10:11" ht="14.3" customHeight="1">
      <c r="J239" s="46"/>
      <c r="K239" s="46"/>
    </row>
    <row r="240" spans="10:11" ht="14.3" customHeight="1">
      <c r="J240" s="46"/>
      <c r="K240" s="46"/>
    </row>
    <row r="241" spans="10:11" ht="14.3" customHeight="1">
      <c r="J241" s="46"/>
      <c r="K241" s="46"/>
    </row>
    <row r="242" spans="10:11" ht="14.3" customHeight="1">
      <c r="J242" s="46"/>
      <c r="K242" s="46"/>
    </row>
    <row r="243" spans="10:11" ht="14.3" customHeight="1">
      <c r="J243" s="46"/>
      <c r="K243" s="46"/>
    </row>
    <row r="244" spans="10:11" ht="14.3" customHeight="1">
      <c r="J244" s="46"/>
      <c r="K244" s="46"/>
    </row>
    <row r="245" spans="10:11" ht="14.3" customHeight="1">
      <c r="J245" s="46"/>
      <c r="K245" s="46"/>
    </row>
    <row r="246" spans="10:11" ht="14.3" customHeight="1">
      <c r="J246" s="46"/>
      <c r="K246" s="46"/>
    </row>
    <row r="247" spans="10:11" ht="14.3" customHeight="1">
      <c r="J247" s="46"/>
      <c r="K247" s="46"/>
    </row>
    <row r="248" spans="10:11" ht="14.3" customHeight="1">
      <c r="J248" s="46"/>
      <c r="K248" s="46"/>
    </row>
    <row r="249" spans="10:11" ht="14.3" customHeight="1">
      <c r="J249" s="46"/>
      <c r="K249" s="46"/>
    </row>
    <row r="250" spans="10:11" ht="14.3" customHeight="1">
      <c r="J250" s="46"/>
      <c r="K250" s="46"/>
    </row>
    <row r="251" spans="10:11" ht="14.3" customHeight="1">
      <c r="J251" s="46"/>
      <c r="K251" s="46"/>
    </row>
    <row r="252" spans="10:11" ht="14.3" customHeight="1">
      <c r="J252" s="46"/>
      <c r="K252" s="46"/>
    </row>
    <row r="253" spans="10:11" ht="14.3" customHeight="1">
      <c r="J253" s="46"/>
      <c r="K253" s="46"/>
    </row>
    <row r="254" spans="10:11" ht="14.3" customHeight="1">
      <c r="J254" s="46"/>
      <c r="K254" s="46"/>
    </row>
    <row r="255" spans="10:11" ht="14.3" customHeight="1">
      <c r="J255" s="46"/>
      <c r="K255" s="46"/>
    </row>
    <row r="256" spans="10:11" ht="14.3" customHeight="1">
      <c r="J256" s="46"/>
      <c r="K256" s="46"/>
    </row>
    <row r="257" spans="10:11" ht="14.3" customHeight="1">
      <c r="J257" s="46"/>
      <c r="K257" s="46"/>
    </row>
    <row r="258" spans="10:11" ht="14.3" customHeight="1">
      <c r="J258" s="46"/>
      <c r="K258" s="46"/>
    </row>
    <row r="259" spans="10:11" ht="14.3" customHeight="1">
      <c r="J259" s="46"/>
      <c r="K259" s="46"/>
    </row>
    <row r="260" spans="10:11" ht="14.3" customHeight="1">
      <c r="J260" s="46"/>
      <c r="K260" s="46"/>
    </row>
    <row r="261" spans="10:11" ht="14.3" customHeight="1">
      <c r="J261" s="46"/>
      <c r="K261" s="46"/>
    </row>
    <row r="262" spans="10:11" ht="14.3" customHeight="1">
      <c r="J262" s="46"/>
      <c r="K262" s="46"/>
    </row>
    <row r="263" spans="10:11" ht="14.3" customHeight="1">
      <c r="J263" s="46"/>
      <c r="K263" s="46"/>
    </row>
    <row r="264" spans="10:11" ht="14.3" customHeight="1">
      <c r="J264" s="46"/>
      <c r="K264" s="46"/>
    </row>
    <row r="265" spans="10:11" ht="14.3" customHeight="1">
      <c r="J265" s="46"/>
      <c r="K265" s="46"/>
    </row>
    <row r="266" spans="10:11" ht="14.3" customHeight="1">
      <c r="J266" s="46"/>
      <c r="K266" s="46"/>
    </row>
    <row r="267" spans="10:11" ht="14.3" customHeight="1">
      <c r="J267" s="46"/>
      <c r="K267" s="46"/>
    </row>
    <row r="268" spans="10:11" ht="14.3" customHeight="1">
      <c r="J268" s="46"/>
      <c r="K268" s="46"/>
    </row>
    <row r="269" spans="10:11" ht="14.3" customHeight="1">
      <c r="J269" s="46"/>
      <c r="K269" s="46"/>
    </row>
    <row r="270" spans="10:11" ht="14.3" customHeight="1">
      <c r="J270" s="46"/>
      <c r="K270" s="46"/>
    </row>
    <row r="271" spans="10:11" ht="14.3" customHeight="1">
      <c r="J271" s="46"/>
      <c r="K271" s="46"/>
    </row>
    <row r="272" spans="10:11" ht="14.3" customHeight="1">
      <c r="J272" s="46"/>
      <c r="K272" s="46"/>
    </row>
    <row r="273" spans="10:11" ht="14.3" customHeight="1">
      <c r="J273" s="46"/>
      <c r="K273" s="46"/>
    </row>
    <row r="274" spans="10:11" ht="14.3" customHeight="1">
      <c r="J274" s="46"/>
      <c r="K274" s="46"/>
    </row>
    <row r="275" spans="10:11" ht="14.3" customHeight="1">
      <c r="J275" s="46"/>
      <c r="K275" s="46"/>
    </row>
    <row r="276" spans="10:11" ht="14.3" customHeight="1">
      <c r="J276" s="46"/>
      <c r="K276" s="46"/>
    </row>
    <row r="277" spans="10:11" ht="14.3" customHeight="1">
      <c r="J277" s="46"/>
      <c r="K277" s="46"/>
    </row>
    <row r="278" spans="10:11" ht="14.3" customHeight="1">
      <c r="J278" s="46"/>
      <c r="K278" s="46"/>
    </row>
    <row r="279" spans="10:11" ht="14.3" customHeight="1">
      <c r="J279" s="46"/>
      <c r="K279" s="46"/>
    </row>
    <row r="280" spans="10:11" ht="14.3" customHeight="1">
      <c r="J280" s="46"/>
      <c r="K280" s="46"/>
    </row>
    <row r="281" spans="10:11" ht="14.3" customHeight="1">
      <c r="J281" s="46"/>
      <c r="K281" s="46"/>
    </row>
    <row r="282" spans="10:11" ht="14.3" customHeight="1">
      <c r="J282" s="46"/>
      <c r="K282" s="46"/>
    </row>
    <row r="283" spans="10:11" ht="14.3" customHeight="1">
      <c r="J283" s="46"/>
      <c r="K283" s="46"/>
    </row>
    <row r="284" spans="10:11" ht="14.3" customHeight="1">
      <c r="J284" s="46"/>
      <c r="K284" s="46"/>
    </row>
    <row r="285" spans="10:11" ht="14.3" customHeight="1">
      <c r="J285" s="46"/>
      <c r="K285" s="46"/>
    </row>
    <row r="286" spans="10:11" ht="14.3" customHeight="1">
      <c r="J286" s="46"/>
      <c r="K286" s="46"/>
    </row>
    <row r="287" spans="10:11" ht="14.3" customHeight="1">
      <c r="J287" s="46"/>
      <c r="K287" s="46"/>
    </row>
    <row r="288" spans="10:11" ht="14.3" customHeight="1">
      <c r="J288" s="46"/>
      <c r="K288" s="46"/>
    </row>
    <row r="289" spans="10:11" ht="14.3" customHeight="1">
      <c r="J289" s="46"/>
      <c r="K289" s="46"/>
    </row>
    <row r="290" spans="10:11" ht="14.3" customHeight="1">
      <c r="J290" s="46"/>
      <c r="K290" s="46"/>
    </row>
    <row r="291" spans="10:11" ht="14.3" customHeight="1">
      <c r="J291" s="46"/>
      <c r="K291" s="46"/>
    </row>
    <row r="292" spans="10:11" ht="14.3" customHeight="1">
      <c r="J292" s="46"/>
      <c r="K292" s="46"/>
    </row>
    <row r="293" spans="10:11" ht="14.3" customHeight="1">
      <c r="J293" s="46"/>
      <c r="K293" s="46"/>
    </row>
    <row r="294" spans="10:11" ht="14.3" customHeight="1">
      <c r="J294" s="46"/>
      <c r="K294" s="46"/>
    </row>
    <row r="295" spans="10:11" ht="14.3" customHeight="1">
      <c r="J295" s="46"/>
      <c r="K295" s="46"/>
    </row>
    <row r="296" spans="10:11" ht="14.3" customHeight="1">
      <c r="J296" s="46"/>
      <c r="K296" s="46"/>
    </row>
    <row r="297" spans="10:11" ht="14.3" customHeight="1">
      <c r="J297" s="46"/>
      <c r="K297" s="46"/>
    </row>
    <row r="298" spans="10:11" ht="14.3" customHeight="1">
      <c r="J298" s="46"/>
      <c r="K298" s="46"/>
    </row>
    <row r="299" spans="10:11" ht="14.3" customHeight="1">
      <c r="J299" s="46"/>
      <c r="K299" s="46"/>
    </row>
    <row r="300" spans="10:11" ht="14.3" customHeight="1">
      <c r="J300" s="46"/>
      <c r="K300" s="46"/>
    </row>
    <row r="301" spans="10:11" ht="14.3" customHeight="1">
      <c r="J301" s="46"/>
      <c r="K301" s="46"/>
    </row>
    <row r="302" spans="10:11" ht="14.3" customHeight="1">
      <c r="J302" s="46"/>
      <c r="K302" s="46"/>
    </row>
    <row r="303" spans="10:11" ht="14.3" customHeight="1">
      <c r="J303" s="46"/>
      <c r="K303" s="46"/>
    </row>
    <row r="304" spans="10:11" ht="14.3" customHeight="1">
      <c r="J304" s="46"/>
      <c r="K304" s="46"/>
    </row>
    <row r="305" spans="10:11" ht="14.3" customHeight="1">
      <c r="J305" s="46"/>
      <c r="K305" s="46"/>
    </row>
    <row r="306" spans="10:11" ht="14.3" customHeight="1">
      <c r="J306" s="46"/>
      <c r="K306" s="46"/>
    </row>
    <row r="307" spans="10:11" ht="14.3" customHeight="1">
      <c r="J307" s="46"/>
      <c r="K307" s="46"/>
    </row>
    <row r="308" spans="10:11" ht="14.3" customHeight="1">
      <c r="J308" s="46"/>
      <c r="K308" s="46"/>
    </row>
    <row r="309" spans="10:11" ht="14.3" customHeight="1">
      <c r="J309" s="46"/>
      <c r="K309" s="46"/>
    </row>
    <row r="310" spans="10:11" ht="14.3" customHeight="1">
      <c r="J310" s="46"/>
      <c r="K310" s="46"/>
    </row>
    <row r="311" spans="10:11" ht="14.3" customHeight="1">
      <c r="J311" s="46"/>
      <c r="K311" s="46"/>
    </row>
    <row r="312" spans="10:11" ht="14.3" customHeight="1">
      <c r="J312" s="46"/>
      <c r="K312" s="46"/>
    </row>
    <row r="313" spans="10:11" ht="14.3" customHeight="1">
      <c r="J313" s="46"/>
      <c r="K313" s="46"/>
    </row>
    <row r="314" spans="10:11" ht="14.3" customHeight="1">
      <c r="J314" s="46"/>
      <c r="K314" s="46"/>
    </row>
    <row r="315" spans="10:11" ht="14.3" customHeight="1">
      <c r="J315" s="46"/>
      <c r="K315" s="46"/>
    </row>
    <row r="316" spans="10:11" ht="14.3" customHeight="1">
      <c r="J316" s="46"/>
      <c r="K316" s="46"/>
    </row>
    <row r="317" spans="10:11" ht="14.3" customHeight="1">
      <c r="J317" s="46"/>
      <c r="K317" s="46"/>
    </row>
    <row r="318" spans="10:11" ht="14.3" customHeight="1">
      <c r="J318" s="46"/>
      <c r="K318" s="46"/>
    </row>
    <row r="319" spans="10:11" ht="14.3" customHeight="1">
      <c r="J319" s="46"/>
      <c r="K319" s="46"/>
    </row>
    <row r="320" spans="10:11" ht="14.3" customHeight="1">
      <c r="J320" s="46"/>
      <c r="K320" s="46"/>
    </row>
    <row r="321" spans="10:11" ht="14.3" customHeight="1">
      <c r="J321" s="46"/>
      <c r="K321" s="46"/>
    </row>
    <row r="322" spans="10:11" ht="14.3" customHeight="1">
      <c r="J322" s="46"/>
      <c r="K322" s="46"/>
    </row>
    <row r="323" spans="10:11" ht="14.3" customHeight="1">
      <c r="J323" s="46"/>
      <c r="K323" s="46"/>
    </row>
    <row r="324" spans="10:11" ht="14.3" customHeight="1">
      <c r="J324" s="46"/>
      <c r="K324" s="46"/>
    </row>
    <row r="325" spans="10:11" ht="14.3" customHeight="1">
      <c r="J325" s="46"/>
      <c r="K325" s="46"/>
    </row>
    <row r="326" spans="10:11" ht="14.3" customHeight="1">
      <c r="J326" s="46"/>
      <c r="K326" s="46"/>
    </row>
    <row r="327" spans="10:11" ht="14.3" customHeight="1">
      <c r="J327" s="46"/>
      <c r="K327" s="46"/>
    </row>
    <row r="328" spans="10:11" ht="14.3" customHeight="1">
      <c r="J328" s="46"/>
      <c r="K328" s="46"/>
    </row>
    <row r="329" spans="10:11" ht="14.3" customHeight="1">
      <c r="J329" s="46"/>
      <c r="K329" s="46"/>
    </row>
    <row r="330" spans="10:11" ht="14.3" customHeight="1">
      <c r="J330" s="46"/>
      <c r="K330" s="46"/>
    </row>
    <row r="331" spans="10:11" ht="14.3" customHeight="1">
      <c r="J331" s="46"/>
      <c r="K331" s="46"/>
    </row>
    <row r="332" spans="10:11" ht="14.3" customHeight="1">
      <c r="J332" s="46"/>
      <c r="K332" s="46"/>
    </row>
    <row r="333" spans="10:11" ht="14.3" customHeight="1">
      <c r="J333" s="46"/>
      <c r="K333" s="46"/>
    </row>
    <row r="334" spans="10:11" ht="14.3" customHeight="1">
      <c r="J334" s="46"/>
      <c r="K334" s="46"/>
    </row>
    <row r="335" spans="10:11" ht="14.3" customHeight="1">
      <c r="J335" s="46"/>
      <c r="K335" s="46"/>
    </row>
    <row r="336" spans="10:11" ht="14.3" customHeight="1">
      <c r="J336" s="46"/>
      <c r="K336" s="46"/>
    </row>
    <row r="337" spans="10:11" ht="14.3" customHeight="1">
      <c r="J337" s="46"/>
      <c r="K337" s="46"/>
    </row>
    <row r="338" spans="10:11" ht="14.3" customHeight="1">
      <c r="J338" s="46"/>
      <c r="K338" s="46"/>
    </row>
    <row r="339" spans="10:11" ht="14.3" customHeight="1">
      <c r="J339" s="46"/>
      <c r="K339" s="46"/>
    </row>
    <row r="340" spans="10:11" ht="14.3" customHeight="1">
      <c r="J340" s="46"/>
      <c r="K340" s="46"/>
    </row>
    <row r="341" spans="10:11" ht="14.3" customHeight="1">
      <c r="J341" s="46"/>
      <c r="K341" s="46"/>
    </row>
    <row r="342" spans="10:11" ht="14.3" customHeight="1">
      <c r="J342" s="46"/>
      <c r="K342" s="46"/>
    </row>
    <row r="343" spans="10:11" ht="14.3" customHeight="1">
      <c r="J343" s="46"/>
      <c r="K343" s="46"/>
    </row>
    <row r="344" spans="10:11" ht="14.3" customHeight="1">
      <c r="J344" s="46"/>
      <c r="K344" s="46"/>
    </row>
    <row r="345" spans="10:11" ht="14.3" customHeight="1">
      <c r="J345" s="46"/>
      <c r="K345" s="46"/>
    </row>
    <row r="346" spans="10:11" ht="14.3" customHeight="1">
      <c r="J346" s="46"/>
      <c r="K346" s="46"/>
    </row>
    <row r="347" spans="10:11" ht="14.3" customHeight="1">
      <c r="J347" s="46"/>
      <c r="K347" s="46"/>
    </row>
    <row r="348" spans="10:11" ht="14.3" customHeight="1">
      <c r="J348" s="46"/>
      <c r="K348" s="46"/>
    </row>
    <row r="349" spans="10:11" ht="14.3" customHeight="1">
      <c r="J349" s="46"/>
      <c r="K349" s="46"/>
    </row>
    <row r="350" spans="10:11" ht="14.3" customHeight="1">
      <c r="J350" s="46"/>
      <c r="K350" s="46"/>
    </row>
    <row r="351" spans="10:11" ht="14.3" customHeight="1">
      <c r="J351" s="46"/>
      <c r="K351" s="46"/>
    </row>
    <row r="352" spans="10:11" ht="14.3" customHeight="1">
      <c r="J352" s="46"/>
      <c r="K352" s="46"/>
    </row>
    <row r="353" spans="10:11" ht="14.3" customHeight="1">
      <c r="J353" s="46"/>
      <c r="K353" s="46"/>
    </row>
    <row r="354" spans="10:11" ht="14.3" customHeight="1">
      <c r="J354" s="46"/>
      <c r="K354" s="46"/>
    </row>
    <row r="355" spans="10:11" ht="14.3" customHeight="1">
      <c r="J355" s="46"/>
      <c r="K355" s="46"/>
    </row>
    <row r="356" spans="10:11" ht="14.3" customHeight="1">
      <c r="J356" s="46"/>
      <c r="K356" s="46"/>
    </row>
    <row r="357" spans="10:11" ht="14.3" customHeight="1">
      <c r="J357" s="46"/>
      <c r="K357" s="46"/>
    </row>
    <row r="358" spans="10:11" ht="14.3" customHeight="1">
      <c r="J358" s="46"/>
      <c r="K358" s="46"/>
    </row>
    <row r="359" spans="10:11" ht="14.3" customHeight="1">
      <c r="J359" s="46"/>
      <c r="K359" s="46"/>
    </row>
    <row r="360" spans="10:11" ht="14.3" customHeight="1">
      <c r="J360" s="46"/>
      <c r="K360" s="46"/>
    </row>
    <row r="361" spans="10:11" ht="14.3" customHeight="1">
      <c r="J361" s="46"/>
      <c r="K361" s="46"/>
    </row>
    <row r="362" spans="10:11" ht="14.3" customHeight="1">
      <c r="J362" s="46"/>
      <c r="K362" s="46"/>
    </row>
    <row r="363" spans="10:11" ht="14.3" customHeight="1">
      <c r="J363" s="46"/>
      <c r="K363" s="46"/>
    </row>
    <row r="364" spans="10:11" ht="14.3" customHeight="1">
      <c r="J364" s="46"/>
      <c r="K364" s="46"/>
    </row>
    <row r="365" spans="10:11" ht="14.3" customHeight="1">
      <c r="J365" s="46"/>
      <c r="K365" s="46"/>
    </row>
    <row r="366" spans="10:11" ht="14.3" customHeight="1">
      <c r="J366" s="46"/>
      <c r="K366" s="46"/>
    </row>
    <row r="367" spans="10:11" ht="14.3" customHeight="1">
      <c r="J367" s="46"/>
      <c r="K367" s="46"/>
    </row>
    <row r="368" spans="10:11" ht="14.3" customHeight="1">
      <c r="J368" s="46"/>
      <c r="K368" s="46"/>
    </row>
    <row r="369" spans="10:11" ht="14.3" customHeight="1">
      <c r="J369" s="46"/>
      <c r="K369" s="46"/>
    </row>
    <row r="370" spans="10:11" ht="14.3" customHeight="1">
      <c r="J370" s="46"/>
      <c r="K370" s="46"/>
    </row>
    <row r="371" spans="10:11" ht="14.3" customHeight="1">
      <c r="J371" s="46"/>
      <c r="K371" s="46"/>
    </row>
    <row r="372" spans="10:11" ht="14.3" customHeight="1">
      <c r="J372" s="46"/>
      <c r="K372" s="46"/>
    </row>
    <row r="373" spans="10:11" ht="14.3" customHeight="1">
      <c r="J373" s="46"/>
      <c r="K373" s="46"/>
    </row>
    <row r="374" spans="10:11" ht="14.3" customHeight="1">
      <c r="J374" s="46"/>
      <c r="K374" s="46"/>
    </row>
    <row r="375" spans="10:11" ht="14.3" customHeight="1">
      <c r="J375" s="46"/>
      <c r="K375" s="46"/>
    </row>
    <row r="376" spans="10:11" ht="14.3" customHeight="1">
      <c r="J376" s="46"/>
      <c r="K376" s="46"/>
    </row>
    <row r="377" spans="10:11" ht="14.3" customHeight="1">
      <c r="J377" s="46"/>
      <c r="K377" s="46"/>
    </row>
    <row r="378" spans="10:11" ht="14.3" customHeight="1">
      <c r="J378" s="46"/>
      <c r="K378" s="46"/>
    </row>
    <row r="379" spans="10:11" ht="14.3" customHeight="1">
      <c r="J379" s="46"/>
      <c r="K379" s="46"/>
    </row>
    <row r="380" spans="10:11" ht="14.3" customHeight="1">
      <c r="J380" s="46"/>
      <c r="K380" s="46"/>
    </row>
    <row r="381" spans="10:11" ht="14.3" customHeight="1">
      <c r="J381" s="46"/>
      <c r="K381" s="46"/>
    </row>
    <row r="382" spans="10:11" ht="14.3" customHeight="1">
      <c r="J382" s="46"/>
      <c r="K382" s="46"/>
    </row>
    <row r="383" spans="10:11" ht="14.3" customHeight="1">
      <c r="J383" s="46"/>
      <c r="K383" s="46"/>
    </row>
    <row r="384" spans="10:11" ht="14.3" customHeight="1">
      <c r="J384" s="46"/>
      <c r="K384" s="46"/>
    </row>
    <row r="385" spans="10:11" ht="14.3" customHeight="1">
      <c r="J385" s="46"/>
      <c r="K385" s="46"/>
    </row>
    <row r="386" spans="10:11" ht="14.3" customHeight="1">
      <c r="J386" s="46"/>
      <c r="K386" s="46"/>
    </row>
    <row r="387" spans="10:11" ht="14.3" customHeight="1">
      <c r="J387" s="46"/>
      <c r="K387" s="46"/>
    </row>
    <row r="388" spans="10:11" ht="14.3" customHeight="1">
      <c r="J388" s="46"/>
      <c r="K388" s="46"/>
    </row>
    <row r="389" spans="10:11" ht="14.3" customHeight="1">
      <c r="J389" s="46"/>
      <c r="K389" s="46"/>
    </row>
    <row r="390" spans="10:11" ht="14.3" customHeight="1">
      <c r="J390" s="46"/>
      <c r="K390" s="46"/>
    </row>
    <row r="391" spans="10:11" ht="14.3" customHeight="1">
      <c r="J391" s="46"/>
      <c r="K391" s="46"/>
    </row>
    <row r="392" spans="10:11" ht="14.3" customHeight="1">
      <c r="J392" s="46"/>
      <c r="K392" s="46"/>
    </row>
    <row r="393" spans="10:11" ht="14.3" customHeight="1">
      <c r="J393" s="46"/>
      <c r="K393" s="46"/>
    </row>
    <row r="394" spans="10:11" ht="14.3" customHeight="1">
      <c r="J394" s="46"/>
      <c r="K394" s="46"/>
    </row>
    <row r="395" spans="10:11" ht="14.3" customHeight="1">
      <c r="J395" s="46"/>
      <c r="K395" s="46"/>
    </row>
    <row r="396" spans="10:11" ht="14.3" customHeight="1">
      <c r="J396" s="46"/>
      <c r="K396" s="46"/>
    </row>
    <row r="397" spans="10:11" ht="14.3" customHeight="1">
      <c r="J397" s="46"/>
      <c r="K397" s="46"/>
    </row>
    <row r="398" spans="10:11" ht="14.3" customHeight="1">
      <c r="J398" s="46"/>
      <c r="K398" s="46"/>
    </row>
    <row r="399" spans="10:11" ht="14.3" customHeight="1">
      <c r="J399" s="46"/>
      <c r="K399" s="46"/>
    </row>
    <row r="400" spans="10:11" ht="14.3" customHeight="1">
      <c r="J400" s="46"/>
      <c r="K400" s="46"/>
    </row>
    <row r="401" spans="10:11" ht="14.3" customHeight="1">
      <c r="J401" s="46"/>
      <c r="K401" s="46"/>
    </row>
    <row r="402" spans="10:11" ht="14.3" customHeight="1">
      <c r="J402" s="46"/>
      <c r="K402" s="46"/>
    </row>
    <row r="403" spans="10:11" ht="14.3" customHeight="1">
      <c r="J403" s="46"/>
      <c r="K403" s="46"/>
    </row>
    <row r="404" spans="10:11" ht="14.3" customHeight="1">
      <c r="J404" s="46"/>
      <c r="K404" s="46"/>
    </row>
    <row r="405" spans="10:11" ht="14.3" customHeight="1">
      <c r="J405" s="46"/>
      <c r="K405" s="46"/>
    </row>
    <row r="406" spans="10:11" ht="14.3" customHeight="1">
      <c r="J406" s="46"/>
      <c r="K406" s="46"/>
    </row>
    <row r="407" spans="10:11" ht="14.3" customHeight="1">
      <c r="J407" s="46"/>
      <c r="K407" s="46"/>
    </row>
    <row r="408" spans="10:11" ht="14.3" customHeight="1">
      <c r="J408" s="46"/>
      <c r="K408" s="46"/>
    </row>
    <row r="409" spans="10:11" ht="14.3" customHeight="1">
      <c r="J409" s="46"/>
      <c r="K409" s="46"/>
    </row>
    <row r="410" spans="10:11" ht="14.3" customHeight="1">
      <c r="J410" s="46"/>
      <c r="K410" s="46"/>
    </row>
    <row r="411" spans="10:11" ht="14.3" customHeight="1">
      <c r="J411" s="46"/>
      <c r="K411" s="46"/>
    </row>
    <row r="412" spans="10:11" ht="14.3" customHeight="1">
      <c r="J412" s="46"/>
      <c r="K412" s="46"/>
    </row>
    <row r="413" spans="10:11" ht="14.3" customHeight="1">
      <c r="J413" s="46"/>
      <c r="K413" s="46"/>
    </row>
    <row r="414" spans="10:11" ht="14.3" customHeight="1">
      <c r="J414" s="46"/>
      <c r="K414" s="46"/>
    </row>
    <row r="415" spans="10:11" ht="14.3" customHeight="1">
      <c r="J415" s="46"/>
      <c r="K415" s="46"/>
    </row>
    <row r="416" spans="10:11" ht="14.3" customHeight="1">
      <c r="J416" s="46"/>
      <c r="K416" s="46"/>
    </row>
    <row r="417" spans="10:11" ht="14.3" customHeight="1">
      <c r="J417" s="46"/>
      <c r="K417" s="46"/>
    </row>
    <row r="418" spans="10:11" ht="14.3" customHeight="1">
      <c r="J418" s="46"/>
      <c r="K418" s="46"/>
    </row>
    <row r="419" spans="10:11" ht="14.3" customHeight="1">
      <c r="J419" s="46"/>
      <c r="K419" s="46"/>
    </row>
    <row r="420" spans="10:11" ht="14.3" customHeight="1">
      <c r="J420" s="46"/>
      <c r="K420" s="46"/>
    </row>
    <row r="421" spans="10:11" ht="14.3" customHeight="1">
      <c r="J421" s="46"/>
      <c r="K421" s="46"/>
    </row>
    <row r="422" spans="10:11" ht="14.3" customHeight="1">
      <c r="J422" s="46"/>
      <c r="K422" s="46"/>
    </row>
    <row r="423" spans="10:11" ht="14.3" customHeight="1">
      <c r="J423" s="46"/>
      <c r="K423" s="46"/>
    </row>
    <row r="424" spans="10:11" ht="14.3" customHeight="1">
      <c r="J424" s="46"/>
      <c r="K424" s="46"/>
    </row>
    <row r="425" spans="10:11" ht="14.3" customHeight="1">
      <c r="J425" s="46"/>
      <c r="K425" s="46"/>
    </row>
    <row r="426" spans="10:11" ht="14.3" customHeight="1">
      <c r="J426" s="46"/>
      <c r="K426" s="46"/>
    </row>
    <row r="427" spans="10:11" ht="14.3" customHeight="1">
      <c r="J427" s="46"/>
      <c r="K427" s="46"/>
    </row>
    <row r="428" spans="10:11" ht="14.3" customHeight="1">
      <c r="J428" s="46"/>
      <c r="K428" s="46"/>
    </row>
    <row r="429" spans="10:11" ht="14.3" customHeight="1">
      <c r="J429" s="46"/>
      <c r="K429" s="46"/>
    </row>
    <row r="430" spans="10:11" ht="14.3" customHeight="1">
      <c r="J430" s="46"/>
      <c r="K430" s="46"/>
    </row>
    <row r="431" spans="10:11" ht="14.3" customHeight="1">
      <c r="J431" s="46"/>
      <c r="K431" s="46"/>
    </row>
    <row r="432" spans="10:11" ht="14.3" customHeight="1">
      <c r="J432" s="46"/>
      <c r="K432" s="46"/>
    </row>
    <row r="433" spans="10:11" ht="14.3" customHeight="1">
      <c r="J433" s="46"/>
      <c r="K433" s="46"/>
    </row>
    <row r="434" spans="10:11" ht="14.3" customHeight="1">
      <c r="J434" s="46"/>
      <c r="K434" s="46"/>
    </row>
    <row r="435" spans="10:11" ht="14.3" customHeight="1">
      <c r="J435" s="46"/>
      <c r="K435" s="46"/>
    </row>
    <row r="436" spans="10:11" ht="14.3" customHeight="1">
      <c r="J436" s="46"/>
      <c r="K436" s="46"/>
    </row>
    <row r="437" spans="10:11" ht="14.3" customHeight="1">
      <c r="J437" s="46"/>
      <c r="K437" s="46"/>
    </row>
    <row r="438" spans="10:11" ht="14.3" customHeight="1">
      <c r="J438" s="46"/>
      <c r="K438" s="46"/>
    </row>
    <row r="439" spans="10:11" ht="14.3" customHeight="1">
      <c r="J439" s="46"/>
      <c r="K439" s="46"/>
    </row>
    <row r="440" spans="10:11" ht="14.3" customHeight="1">
      <c r="J440" s="46"/>
      <c r="K440" s="46"/>
    </row>
    <row r="441" spans="10:11" ht="14.3" customHeight="1">
      <c r="J441" s="46"/>
      <c r="K441" s="46"/>
    </row>
    <row r="442" spans="10:11" ht="14.3" customHeight="1">
      <c r="J442" s="46"/>
      <c r="K442" s="46"/>
    </row>
    <row r="443" spans="10:11" ht="14.3" customHeight="1">
      <c r="J443" s="46"/>
      <c r="K443" s="46"/>
    </row>
    <row r="444" spans="10:11" ht="14.3" customHeight="1">
      <c r="J444" s="46"/>
      <c r="K444" s="46"/>
    </row>
    <row r="445" spans="10:11" ht="14.3" customHeight="1">
      <c r="J445" s="46"/>
      <c r="K445" s="46"/>
    </row>
    <row r="446" spans="10:11" ht="14.3" customHeight="1">
      <c r="J446" s="46"/>
      <c r="K446" s="46"/>
    </row>
    <row r="447" spans="10:11" ht="14.3" customHeight="1">
      <c r="J447" s="46"/>
      <c r="K447" s="46"/>
    </row>
    <row r="448" spans="10:11" ht="14.3" customHeight="1">
      <c r="J448" s="46"/>
      <c r="K448" s="46"/>
    </row>
    <row r="449" spans="10:11" ht="14.3" customHeight="1">
      <c r="J449" s="46"/>
      <c r="K449" s="46"/>
    </row>
    <row r="450" spans="10:11" ht="14.3" customHeight="1">
      <c r="J450" s="46"/>
      <c r="K450" s="46"/>
    </row>
    <row r="451" spans="10:11" ht="14.3" customHeight="1">
      <c r="J451" s="46"/>
      <c r="K451" s="46"/>
    </row>
    <row r="452" spans="10:11" ht="14.3" customHeight="1">
      <c r="J452" s="46"/>
      <c r="K452" s="46"/>
    </row>
    <row r="453" spans="10:11" ht="14.3" customHeight="1">
      <c r="J453" s="46"/>
      <c r="K453" s="46"/>
    </row>
    <row r="454" spans="10:11" ht="14.3" customHeight="1">
      <c r="J454" s="46"/>
      <c r="K454" s="46"/>
    </row>
    <row r="455" spans="10:11" ht="14.3" customHeight="1">
      <c r="J455" s="46"/>
      <c r="K455" s="46"/>
    </row>
    <row r="456" spans="10:11" ht="14.3" customHeight="1">
      <c r="J456" s="46"/>
      <c r="K456" s="46"/>
    </row>
    <row r="457" spans="10:11" ht="14.3" customHeight="1">
      <c r="J457" s="46"/>
      <c r="K457" s="46"/>
    </row>
    <row r="458" spans="10:11" ht="14.3" customHeight="1">
      <c r="J458" s="46"/>
      <c r="K458" s="46"/>
    </row>
    <row r="459" spans="10:11" ht="14.3" customHeight="1">
      <c r="J459" s="46"/>
      <c r="K459" s="46"/>
    </row>
    <row r="460" spans="10:11" ht="14.3" customHeight="1">
      <c r="J460" s="46"/>
      <c r="K460" s="46"/>
    </row>
    <row r="461" spans="10:11" ht="14.3" customHeight="1">
      <c r="J461" s="46"/>
      <c r="K461" s="46"/>
    </row>
    <row r="462" spans="10:11" ht="14.3" customHeight="1">
      <c r="J462" s="46"/>
      <c r="K462" s="46"/>
    </row>
    <row r="463" spans="10:11" ht="14.3" customHeight="1">
      <c r="J463" s="46"/>
      <c r="K463" s="46"/>
    </row>
    <row r="464" spans="10:11" ht="14.3" customHeight="1">
      <c r="J464" s="46"/>
      <c r="K464" s="46"/>
    </row>
    <row r="465" spans="10:11" ht="14.3" customHeight="1">
      <c r="J465" s="46"/>
      <c r="K465" s="46"/>
    </row>
    <row r="466" spans="10:11" ht="14.3" customHeight="1">
      <c r="J466" s="46"/>
      <c r="K466" s="46"/>
    </row>
    <row r="467" spans="10:11" ht="14.3" customHeight="1">
      <c r="J467" s="46"/>
      <c r="K467" s="46"/>
    </row>
    <row r="468" spans="10:11" ht="14.3" customHeight="1">
      <c r="J468" s="46"/>
      <c r="K468" s="46"/>
    </row>
    <row r="469" spans="10:11" ht="14.3" customHeight="1">
      <c r="J469" s="46"/>
      <c r="K469" s="46"/>
    </row>
    <row r="470" spans="10:11" ht="14.3" customHeight="1">
      <c r="J470" s="46"/>
      <c r="K470" s="46"/>
    </row>
    <row r="471" spans="10:11" ht="14.3" customHeight="1">
      <c r="J471" s="46"/>
      <c r="K471" s="46"/>
    </row>
    <row r="472" spans="10:11" ht="14.3" customHeight="1">
      <c r="J472" s="46"/>
      <c r="K472" s="46"/>
    </row>
    <row r="473" spans="10:11" ht="14.3" customHeight="1">
      <c r="J473" s="46"/>
      <c r="K473" s="46"/>
    </row>
    <row r="474" spans="10:11" ht="14.3" customHeight="1">
      <c r="J474" s="46"/>
      <c r="K474" s="46"/>
    </row>
    <row r="475" spans="10:11" ht="14.3" customHeight="1">
      <c r="J475" s="46"/>
      <c r="K475" s="46"/>
    </row>
    <row r="476" spans="10:11" ht="14.3" customHeight="1">
      <c r="J476" s="46"/>
      <c r="K476" s="46"/>
    </row>
    <row r="477" spans="10:11" ht="14.3" customHeight="1">
      <c r="J477" s="46"/>
      <c r="K477" s="46"/>
    </row>
    <row r="478" spans="10:11" ht="14.3" customHeight="1">
      <c r="J478" s="46"/>
      <c r="K478" s="46"/>
    </row>
    <row r="479" spans="10:11" ht="14.3" customHeight="1">
      <c r="J479" s="46"/>
      <c r="K479" s="46"/>
    </row>
    <row r="480" spans="10:11" ht="14.3" customHeight="1">
      <c r="J480" s="46"/>
      <c r="K480" s="46"/>
    </row>
    <row r="481" spans="10:11" ht="14.3" customHeight="1">
      <c r="J481" s="46"/>
      <c r="K481" s="46"/>
    </row>
    <row r="482" spans="10:11" ht="14.3" customHeight="1">
      <c r="J482" s="46"/>
      <c r="K482" s="46"/>
    </row>
    <row r="483" spans="10:11" ht="14.3" customHeight="1">
      <c r="J483" s="46"/>
      <c r="K483" s="46"/>
    </row>
    <row r="484" spans="10:11" ht="14.3" customHeight="1">
      <c r="J484" s="46"/>
      <c r="K484" s="46"/>
    </row>
    <row r="485" spans="10:11" ht="14.3" customHeight="1">
      <c r="J485" s="46"/>
      <c r="K485" s="46"/>
    </row>
    <row r="486" spans="10:11" ht="14.3" customHeight="1">
      <c r="J486" s="46"/>
      <c r="K486" s="46"/>
    </row>
    <row r="487" spans="10:11" ht="14.3" customHeight="1">
      <c r="J487" s="46"/>
      <c r="K487" s="46"/>
    </row>
    <row r="488" spans="10:11" ht="14.3" customHeight="1">
      <c r="J488" s="46"/>
      <c r="K488" s="46"/>
    </row>
    <row r="489" spans="10:11" ht="14.3" customHeight="1">
      <c r="J489" s="46"/>
      <c r="K489" s="46"/>
    </row>
    <row r="490" spans="10:11" ht="14.3" customHeight="1">
      <c r="J490" s="46"/>
      <c r="K490" s="46"/>
    </row>
    <row r="491" spans="10:11" ht="14.3" customHeight="1">
      <c r="J491" s="46"/>
      <c r="K491" s="46"/>
    </row>
    <row r="492" spans="10:11" ht="14.3" customHeight="1">
      <c r="J492" s="46"/>
      <c r="K492" s="46"/>
    </row>
    <row r="493" spans="10:11" ht="14.3" customHeight="1">
      <c r="J493" s="46"/>
      <c r="K493" s="46"/>
    </row>
    <row r="494" spans="10:11" ht="14.3" customHeight="1">
      <c r="J494" s="46"/>
      <c r="K494" s="46"/>
    </row>
    <row r="495" spans="10:11" ht="14.3" customHeight="1">
      <c r="J495" s="46"/>
      <c r="K495" s="46"/>
    </row>
    <row r="496" spans="10:11" ht="14.3" customHeight="1">
      <c r="J496" s="46"/>
      <c r="K496" s="46"/>
    </row>
    <row r="497" spans="10:11" ht="14.3" customHeight="1">
      <c r="J497" s="46"/>
      <c r="K497" s="46"/>
    </row>
    <row r="498" spans="10:11" ht="14.3" customHeight="1">
      <c r="J498" s="46"/>
      <c r="K498" s="46"/>
    </row>
    <row r="499" spans="10:11" ht="14.3" customHeight="1">
      <c r="J499" s="46"/>
      <c r="K499" s="46"/>
    </row>
    <row r="500" spans="10:11" ht="14.3" customHeight="1">
      <c r="J500" s="46"/>
      <c r="K500" s="46"/>
    </row>
    <row r="501" spans="10:11" ht="14.3" customHeight="1">
      <c r="J501" s="46"/>
      <c r="K501" s="46"/>
    </row>
    <row r="502" spans="10:11" ht="14.3" customHeight="1">
      <c r="J502" s="46"/>
      <c r="K502" s="46"/>
    </row>
    <row r="503" spans="10:11" ht="14.3" customHeight="1">
      <c r="J503" s="46"/>
      <c r="K503" s="46"/>
    </row>
    <row r="504" spans="10:11" ht="14.3" customHeight="1">
      <c r="J504" s="46"/>
      <c r="K504" s="46"/>
    </row>
    <row r="505" spans="10:11" ht="14.3" customHeight="1">
      <c r="J505" s="46"/>
      <c r="K505" s="46"/>
    </row>
    <row r="506" spans="10:11" ht="14.3" customHeight="1">
      <c r="J506" s="46"/>
      <c r="K506" s="46"/>
    </row>
    <row r="507" spans="10:11" ht="14.3" customHeight="1">
      <c r="J507" s="46"/>
      <c r="K507" s="46"/>
    </row>
    <row r="508" spans="10:11" ht="14.3" customHeight="1">
      <c r="J508" s="46"/>
      <c r="K508" s="46"/>
    </row>
    <row r="509" spans="10:11" ht="14.3" customHeight="1">
      <c r="J509" s="46"/>
      <c r="K509" s="46"/>
    </row>
    <row r="510" spans="10:11" ht="14.3" customHeight="1">
      <c r="J510" s="46"/>
      <c r="K510" s="46"/>
    </row>
    <row r="511" spans="10:11" ht="14.3" customHeight="1">
      <c r="J511" s="46"/>
      <c r="K511" s="46"/>
    </row>
    <row r="512" spans="10:11" ht="14.3" customHeight="1">
      <c r="J512" s="46"/>
      <c r="K512" s="46"/>
    </row>
    <row r="513" spans="10:11" ht="14.3" customHeight="1">
      <c r="J513" s="46"/>
      <c r="K513" s="46"/>
    </row>
    <row r="514" spans="10:11" ht="14.3" customHeight="1">
      <c r="J514" s="46"/>
      <c r="K514" s="46"/>
    </row>
    <row r="515" spans="10:11" ht="14.3" customHeight="1">
      <c r="J515" s="46"/>
      <c r="K515" s="46"/>
    </row>
    <row r="516" spans="10:11" ht="14.3" customHeight="1">
      <c r="J516" s="46"/>
      <c r="K516" s="46"/>
    </row>
    <row r="517" spans="10:11" ht="14.3" customHeight="1">
      <c r="J517" s="46"/>
      <c r="K517" s="46"/>
    </row>
    <row r="518" spans="10:11" ht="14.3" customHeight="1">
      <c r="J518" s="46"/>
      <c r="K518" s="46"/>
    </row>
    <row r="519" spans="10:11" ht="14.3" customHeight="1">
      <c r="J519" s="46"/>
      <c r="K519" s="46"/>
    </row>
    <row r="520" spans="10:11" ht="14.3" customHeight="1">
      <c r="J520" s="46"/>
      <c r="K520" s="46"/>
    </row>
    <row r="521" spans="10:11" ht="14.3" customHeight="1">
      <c r="J521" s="46"/>
      <c r="K521" s="46"/>
    </row>
    <row r="522" spans="10:11" ht="14.3" customHeight="1">
      <c r="J522" s="46"/>
      <c r="K522" s="46"/>
    </row>
    <row r="523" spans="10:11" ht="14.3" customHeight="1">
      <c r="J523" s="46"/>
      <c r="K523" s="46"/>
    </row>
    <row r="524" spans="10:11" ht="14.3" customHeight="1">
      <c r="J524" s="46"/>
      <c r="K524" s="46"/>
    </row>
    <row r="525" spans="10:11" ht="14.3" customHeight="1">
      <c r="J525" s="46"/>
      <c r="K525" s="46"/>
    </row>
    <row r="526" spans="10:11" ht="14.3" customHeight="1">
      <c r="J526" s="46"/>
      <c r="K526" s="46"/>
    </row>
    <row r="527" spans="10:11" ht="14.3" customHeight="1">
      <c r="J527" s="46"/>
      <c r="K527" s="46"/>
    </row>
    <row r="528" spans="10:11" ht="14.3" customHeight="1">
      <c r="J528" s="46"/>
      <c r="K528" s="46"/>
    </row>
    <row r="529" spans="10:11" ht="14.3" customHeight="1">
      <c r="J529" s="46"/>
      <c r="K529" s="46"/>
    </row>
    <row r="530" spans="10:11" ht="14.3" customHeight="1">
      <c r="J530" s="46"/>
      <c r="K530" s="46"/>
    </row>
    <row r="531" spans="10:11" ht="14.3" customHeight="1">
      <c r="J531" s="46"/>
      <c r="K531" s="46"/>
    </row>
    <row r="532" spans="10:11" ht="14.3" customHeight="1">
      <c r="J532" s="46"/>
      <c r="K532" s="46"/>
    </row>
    <row r="533" spans="10:11" ht="14.3" customHeight="1">
      <c r="J533" s="46"/>
      <c r="K533" s="46"/>
    </row>
    <row r="534" spans="10:11" ht="14.3" customHeight="1">
      <c r="J534" s="46"/>
      <c r="K534" s="46"/>
    </row>
    <row r="535" spans="10:11" ht="14.3" customHeight="1">
      <c r="J535" s="46"/>
      <c r="K535" s="46"/>
    </row>
    <row r="536" spans="10:11" ht="14.3" customHeight="1">
      <c r="J536" s="46"/>
      <c r="K536" s="46"/>
    </row>
    <row r="537" spans="10:11" ht="14.3" customHeight="1">
      <c r="J537" s="46"/>
      <c r="K537" s="46"/>
    </row>
    <row r="538" spans="10:11" ht="14.3" customHeight="1">
      <c r="J538" s="46"/>
      <c r="K538" s="46"/>
    </row>
    <row r="539" spans="10:11" ht="14.3" customHeight="1">
      <c r="J539" s="46"/>
      <c r="K539" s="46"/>
    </row>
    <row r="540" spans="10:11" ht="14.3" customHeight="1">
      <c r="J540" s="46"/>
      <c r="K540" s="46"/>
    </row>
    <row r="541" spans="10:11" ht="14.3" customHeight="1">
      <c r="J541" s="46"/>
      <c r="K541" s="46"/>
    </row>
    <row r="542" spans="10:11" ht="14.3" customHeight="1">
      <c r="J542" s="46"/>
      <c r="K542" s="46"/>
    </row>
    <row r="543" spans="10:11" ht="14.3" customHeight="1">
      <c r="J543" s="46"/>
      <c r="K543" s="46"/>
    </row>
    <row r="544" spans="10:11" ht="14.3" customHeight="1">
      <c r="J544" s="46"/>
      <c r="K544" s="46"/>
    </row>
    <row r="545" spans="10:11" ht="14.3" customHeight="1">
      <c r="J545" s="46"/>
      <c r="K545" s="46"/>
    </row>
    <row r="546" spans="10:11" ht="14.3" customHeight="1">
      <c r="J546" s="46"/>
      <c r="K546" s="46"/>
    </row>
    <row r="547" spans="10:11" ht="14.3" customHeight="1">
      <c r="J547" s="46"/>
      <c r="K547" s="46"/>
    </row>
    <row r="548" spans="10:11" ht="14.3" customHeight="1">
      <c r="J548" s="46"/>
      <c r="K548" s="46"/>
    </row>
    <row r="549" spans="10:11" ht="14.3" customHeight="1">
      <c r="J549" s="46"/>
      <c r="K549" s="46"/>
    </row>
    <row r="550" spans="10:11" ht="14.3" customHeight="1">
      <c r="J550" s="46"/>
      <c r="K550" s="46"/>
    </row>
    <row r="551" spans="10:11" ht="14.3" customHeight="1">
      <c r="J551" s="46"/>
      <c r="K551" s="46"/>
    </row>
    <row r="552" spans="10:11" ht="14.3" customHeight="1">
      <c r="J552" s="46"/>
      <c r="K552" s="46"/>
    </row>
    <row r="553" spans="10:11" ht="14.3" customHeight="1">
      <c r="J553" s="46"/>
      <c r="K553" s="46"/>
    </row>
    <row r="554" spans="10:11" ht="14.3" customHeight="1">
      <c r="J554" s="46"/>
      <c r="K554" s="46"/>
    </row>
    <row r="555" spans="10:11" ht="14.3" customHeight="1">
      <c r="J555" s="46"/>
      <c r="K555" s="46"/>
    </row>
    <row r="556" spans="10:11" ht="14.3" customHeight="1">
      <c r="J556" s="46"/>
      <c r="K556" s="46"/>
    </row>
    <row r="557" spans="10:11" ht="14.3" customHeight="1">
      <c r="J557" s="46"/>
      <c r="K557" s="46"/>
    </row>
    <row r="558" spans="10:11" ht="14.3" customHeight="1">
      <c r="J558" s="46"/>
      <c r="K558" s="46"/>
    </row>
    <row r="559" spans="10:11" ht="14.3" customHeight="1">
      <c r="J559" s="46"/>
      <c r="K559" s="46"/>
    </row>
    <row r="560" spans="10:11" ht="14.3" customHeight="1">
      <c r="J560" s="46"/>
      <c r="K560" s="46"/>
    </row>
    <row r="561" spans="10:11" ht="14.3" customHeight="1">
      <c r="J561" s="46"/>
      <c r="K561" s="46"/>
    </row>
    <row r="562" spans="10:11" ht="14.3" customHeight="1">
      <c r="J562" s="46"/>
      <c r="K562" s="46"/>
    </row>
    <row r="563" spans="10:11" ht="14.3" customHeight="1">
      <c r="J563" s="46"/>
      <c r="K563" s="46"/>
    </row>
    <row r="564" spans="10:11" ht="14.3" customHeight="1">
      <c r="J564" s="46"/>
      <c r="K564" s="46"/>
    </row>
    <row r="565" spans="10:11" ht="14.3" customHeight="1">
      <c r="J565" s="46"/>
      <c r="K565" s="46"/>
    </row>
    <row r="566" spans="10:11" ht="14.3" customHeight="1">
      <c r="J566" s="46"/>
      <c r="K566" s="46"/>
    </row>
    <row r="567" spans="10:11" ht="14.3" customHeight="1">
      <c r="J567" s="46"/>
      <c r="K567" s="46"/>
    </row>
    <row r="568" spans="10:11" ht="14.3" customHeight="1">
      <c r="J568" s="46"/>
      <c r="K568" s="46"/>
    </row>
    <row r="569" spans="10:11" ht="14.3" customHeight="1">
      <c r="J569" s="46"/>
      <c r="K569" s="46"/>
    </row>
    <row r="570" spans="10:11" ht="14.3" customHeight="1">
      <c r="J570" s="46"/>
      <c r="K570" s="46"/>
    </row>
    <row r="571" spans="10:11" ht="14.3" customHeight="1">
      <c r="J571" s="46"/>
      <c r="K571" s="46"/>
    </row>
    <row r="572" spans="10:11" ht="14.3" customHeight="1">
      <c r="J572" s="46"/>
      <c r="K572" s="46"/>
    </row>
    <row r="573" spans="10:11" ht="14.3" customHeight="1">
      <c r="J573" s="46"/>
      <c r="K573" s="46"/>
    </row>
    <row r="574" spans="10:11" ht="14.3" customHeight="1">
      <c r="J574" s="46"/>
      <c r="K574" s="46"/>
    </row>
    <row r="575" spans="10:11" ht="14.3" customHeight="1">
      <c r="J575" s="46"/>
      <c r="K575" s="46"/>
    </row>
    <row r="576" spans="10:11" ht="14.3" customHeight="1">
      <c r="J576" s="46"/>
      <c r="K576" s="46"/>
    </row>
    <row r="577" spans="10:11" ht="14.3" customHeight="1">
      <c r="J577" s="46"/>
      <c r="K577" s="46"/>
    </row>
    <row r="578" spans="10:11" ht="14.3" customHeight="1">
      <c r="J578" s="46"/>
      <c r="K578" s="46"/>
    </row>
    <row r="579" spans="10:11" ht="14.3" customHeight="1">
      <c r="J579" s="46"/>
      <c r="K579" s="46"/>
    </row>
    <row r="580" spans="10:11" ht="14.3" customHeight="1">
      <c r="J580" s="46"/>
      <c r="K580" s="46"/>
    </row>
    <row r="581" spans="10:11" ht="14.3" customHeight="1">
      <c r="J581" s="46"/>
      <c r="K581" s="46"/>
    </row>
    <row r="582" spans="10:11" ht="14.3" customHeight="1">
      <c r="J582" s="46"/>
      <c r="K582" s="46"/>
    </row>
    <row r="583" spans="10:11" ht="14.3" customHeight="1">
      <c r="J583" s="46"/>
      <c r="K583" s="46"/>
    </row>
    <row r="584" spans="10:11" ht="14.3" customHeight="1">
      <c r="J584" s="46"/>
      <c r="K584" s="46"/>
    </row>
    <row r="585" spans="10:11" ht="14.3" customHeight="1">
      <c r="J585" s="46"/>
      <c r="K585" s="46"/>
    </row>
    <row r="586" spans="10:11" ht="14.3" customHeight="1">
      <c r="J586" s="46"/>
      <c r="K586" s="46"/>
    </row>
    <row r="587" spans="10:11" ht="14.3" customHeight="1">
      <c r="J587" s="46"/>
      <c r="K587" s="46"/>
    </row>
    <row r="588" spans="10:11" ht="14.3" customHeight="1">
      <c r="J588" s="46"/>
      <c r="K588" s="46"/>
    </row>
    <row r="589" spans="10:11" ht="14.3" customHeight="1">
      <c r="J589" s="46"/>
      <c r="K589" s="46"/>
    </row>
    <row r="590" spans="10:11" ht="14.3" customHeight="1">
      <c r="J590" s="46"/>
      <c r="K590" s="46"/>
    </row>
    <row r="591" spans="10:11" ht="14.3" customHeight="1">
      <c r="J591" s="46"/>
      <c r="K591" s="46"/>
    </row>
    <row r="592" spans="10:11" ht="14.3" customHeight="1">
      <c r="J592" s="46"/>
      <c r="K592" s="46"/>
    </row>
    <row r="593" spans="10:11" ht="14.3" customHeight="1">
      <c r="J593" s="46"/>
      <c r="K593" s="46"/>
    </row>
    <row r="594" spans="10:11" ht="14.3" customHeight="1">
      <c r="J594" s="46"/>
      <c r="K594" s="46"/>
    </row>
    <row r="595" spans="10:11" ht="14.3" customHeight="1">
      <c r="J595" s="46"/>
      <c r="K595" s="46"/>
    </row>
    <row r="596" spans="10:11" ht="14.3" customHeight="1">
      <c r="J596" s="46"/>
      <c r="K596" s="46"/>
    </row>
    <row r="597" spans="10:11" ht="14.3" customHeight="1">
      <c r="J597" s="46"/>
      <c r="K597" s="46"/>
    </row>
    <row r="598" spans="10:11" ht="14.3" customHeight="1">
      <c r="J598" s="46"/>
      <c r="K598" s="46"/>
    </row>
    <row r="599" spans="10:11" ht="14.3" customHeight="1">
      <c r="J599" s="46"/>
      <c r="K599" s="46"/>
    </row>
    <row r="600" spans="10:11" ht="14.3" customHeight="1">
      <c r="J600" s="46"/>
      <c r="K600" s="46"/>
    </row>
    <row r="601" spans="10:11" ht="14.3" customHeight="1">
      <c r="J601" s="46"/>
      <c r="K601" s="46"/>
    </row>
    <row r="602" spans="10:11" ht="14.3" customHeight="1">
      <c r="J602" s="46"/>
      <c r="K602" s="46"/>
    </row>
    <row r="603" spans="10:11" ht="14.3" customHeight="1">
      <c r="J603" s="46"/>
      <c r="K603" s="46"/>
    </row>
    <row r="604" spans="10:11" ht="14.3" customHeight="1">
      <c r="J604" s="46"/>
      <c r="K604" s="46"/>
    </row>
    <row r="605" spans="10:11" ht="14.3" customHeight="1">
      <c r="J605" s="46"/>
      <c r="K605" s="46"/>
    </row>
    <row r="606" spans="10:11" ht="14.3" customHeight="1">
      <c r="J606" s="46"/>
      <c r="K606" s="46"/>
    </row>
    <row r="607" spans="10:11" ht="14.3" customHeight="1">
      <c r="J607" s="46"/>
      <c r="K607" s="46"/>
    </row>
    <row r="608" spans="10:11" ht="14.3" customHeight="1">
      <c r="J608" s="46"/>
      <c r="K608" s="46"/>
    </row>
    <row r="609" spans="10:11" ht="14.3" customHeight="1">
      <c r="J609" s="46"/>
      <c r="K609" s="46"/>
    </row>
    <row r="610" spans="10:11" ht="14.3" customHeight="1">
      <c r="J610" s="46"/>
      <c r="K610" s="46"/>
    </row>
    <row r="611" spans="10:11" ht="14.3" customHeight="1">
      <c r="J611" s="46"/>
      <c r="K611" s="46"/>
    </row>
    <row r="612" spans="10:11" ht="14.3" customHeight="1">
      <c r="J612" s="46"/>
      <c r="K612" s="46"/>
    </row>
    <row r="613" spans="10:11" ht="14.3" customHeight="1">
      <c r="J613" s="46"/>
      <c r="K613" s="46"/>
    </row>
    <row r="614" spans="10:11" ht="14.3" customHeight="1">
      <c r="J614" s="46"/>
      <c r="K614" s="46"/>
    </row>
    <row r="615" spans="10:11" ht="14.3" customHeight="1">
      <c r="J615" s="46"/>
      <c r="K615" s="46"/>
    </row>
    <row r="616" spans="10:11" ht="14.3" customHeight="1">
      <c r="J616" s="46"/>
      <c r="K616" s="46"/>
    </row>
    <row r="617" spans="10:11" ht="14.3" customHeight="1">
      <c r="J617" s="46"/>
      <c r="K617" s="46"/>
    </row>
    <row r="618" spans="10:11" ht="14.3" customHeight="1">
      <c r="J618" s="46"/>
      <c r="K618" s="46"/>
    </row>
    <row r="619" spans="10:11" ht="14.3" customHeight="1">
      <c r="J619" s="46"/>
      <c r="K619" s="46"/>
    </row>
    <row r="620" spans="10:11" ht="14.3" customHeight="1">
      <c r="J620" s="46"/>
      <c r="K620" s="46"/>
    </row>
    <row r="621" spans="10:11" ht="14.3" customHeight="1">
      <c r="J621" s="46"/>
      <c r="K621" s="46"/>
    </row>
    <row r="622" spans="10:11" ht="14.3" customHeight="1">
      <c r="J622" s="46"/>
      <c r="K622" s="46"/>
    </row>
    <row r="623" spans="10:11" ht="14.3" customHeight="1">
      <c r="J623" s="46"/>
      <c r="K623" s="46"/>
    </row>
    <row r="624" spans="10:11" ht="14.3" customHeight="1">
      <c r="J624" s="46"/>
      <c r="K624" s="46"/>
    </row>
    <row r="625" spans="10:11" ht="14.3" customHeight="1">
      <c r="J625" s="46"/>
      <c r="K625" s="46"/>
    </row>
    <row r="626" spans="10:11" ht="14.3" customHeight="1">
      <c r="J626" s="46"/>
      <c r="K626" s="46"/>
    </row>
    <row r="627" spans="10:11" ht="14.3" customHeight="1">
      <c r="J627" s="46"/>
      <c r="K627" s="46"/>
    </row>
    <row r="628" spans="10:11" ht="14.3" customHeight="1">
      <c r="J628" s="46"/>
      <c r="K628" s="46"/>
    </row>
    <row r="629" spans="10:11" ht="14.3" customHeight="1">
      <c r="J629" s="46"/>
      <c r="K629" s="46"/>
    </row>
    <row r="630" spans="10:11" ht="14.3" customHeight="1">
      <c r="J630" s="46"/>
      <c r="K630" s="46"/>
    </row>
    <row r="631" spans="10:11" ht="14.3" customHeight="1">
      <c r="J631" s="46"/>
      <c r="K631" s="46"/>
    </row>
    <row r="632" spans="10:11" ht="14.3" customHeight="1">
      <c r="J632" s="46"/>
      <c r="K632" s="46"/>
    </row>
    <row r="633" spans="10:11" ht="14.3" customHeight="1">
      <c r="J633" s="46"/>
      <c r="K633" s="46"/>
    </row>
    <row r="634" spans="10:11" ht="14.3" customHeight="1">
      <c r="J634" s="46"/>
      <c r="K634" s="46"/>
    </row>
    <row r="635" spans="10:11" ht="14.3" customHeight="1">
      <c r="J635" s="46"/>
      <c r="K635" s="46"/>
    </row>
    <row r="636" spans="10:11" ht="14.3" customHeight="1">
      <c r="J636" s="46"/>
      <c r="K636" s="46"/>
    </row>
    <row r="637" spans="10:11" ht="14.3" customHeight="1">
      <c r="J637" s="46"/>
      <c r="K637" s="46"/>
    </row>
    <row r="638" spans="10:11" ht="14.3" customHeight="1">
      <c r="J638" s="46"/>
      <c r="K638" s="46"/>
    </row>
    <row r="639" spans="10:11" ht="14.3" customHeight="1">
      <c r="J639" s="46"/>
      <c r="K639" s="46"/>
    </row>
    <row r="640" spans="10:11" ht="14.3" customHeight="1">
      <c r="J640" s="46"/>
      <c r="K640" s="46"/>
    </row>
    <row r="641" spans="10:11" ht="14.3" customHeight="1">
      <c r="J641" s="46"/>
      <c r="K641" s="46"/>
    </row>
    <row r="642" spans="10:11" ht="14.3" customHeight="1">
      <c r="J642" s="46"/>
      <c r="K642" s="46"/>
    </row>
    <row r="643" spans="10:11" ht="14.3" customHeight="1">
      <c r="J643" s="46"/>
      <c r="K643" s="46"/>
    </row>
    <row r="644" spans="10:11" ht="14.3" customHeight="1">
      <c r="J644" s="46"/>
      <c r="K644" s="46"/>
    </row>
    <row r="645" spans="10:11" ht="14.3" customHeight="1">
      <c r="J645" s="46"/>
      <c r="K645" s="46"/>
    </row>
    <row r="646" spans="10:11" ht="14.3" customHeight="1">
      <c r="J646" s="46"/>
      <c r="K646" s="46"/>
    </row>
    <row r="647" spans="10:11" ht="14.3" customHeight="1">
      <c r="J647" s="46"/>
      <c r="K647" s="46"/>
    </row>
    <row r="648" spans="10:11" ht="14.3" customHeight="1">
      <c r="J648" s="46"/>
      <c r="K648" s="46"/>
    </row>
    <row r="649" spans="10:11" ht="14.3" customHeight="1">
      <c r="J649" s="46"/>
      <c r="K649" s="46"/>
    </row>
    <row r="650" spans="10:11" ht="14.3" customHeight="1">
      <c r="J650" s="46"/>
      <c r="K650" s="46"/>
    </row>
    <row r="651" spans="10:11" ht="14.3" customHeight="1">
      <c r="J651" s="46"/>
      <c r="K651" s="46"/>
    </row>
    <row r="652" spans="10:11" ht="14.3" customHeight="1">
      <c r="J652" s="46"/>
      <c r="K652" s="46"/>
    </row>
    <row r="653" spans="10:11" ht="14.3" customHeight="1">
      <c r="J653" s="46"/>
      <c r="K653" s="46"/>
    </row>
    <row r="654" spans="10:11" ht="14.3" customHeight="1">
      <c r="J654" s="46"/>
      <c r="K654" s="46"/>
    </row>
    <row r="655" spans="10:11" ht="14.3" customHeight="1">
      <c r="J655" s="46"/>
      <c r="K655" s="46"/>
    </row>
    <row r="656" spans="10:11" ht="14.3" customHeight="1">
      <c r="J656" s="46"/>
      <c r="K656" s="46"/>
    </row>
    <row r="657" spans="10:11" ht="14.3" customHeight="1">
      <c r="J657" s="46"/>
      <c r="K657" s="46"/>
    </row>
    <row r="658" spans="10:11" ht="14.3" customHeight="1">
      <c r="J658" s="46"/>
      <c r="K658" s="46"/>
    </row>
    <row r="659" spans="10:11" ht="14.3" customHeight="1">
      <c r="J659" s="46"/>
      <c r="K659" s="46"/>
    </row>
    <row r="660" spans="10:11" ht="14.3" customHeight="1">
      <c r="J660" s="46"/>
      <c r="K660" s="46"/>
    </row>
    <row r="661" spans="10:11" ht="14.3" customHeight="1">
      <c r="J661" s="46"/>
      <c r="K661" s="46"/>
    </row>
    <row r="662" spans="10:11" ht="14.3" customHeight="1">
      <c r="J662" s="46"/>
      <c r="K662" s="46"/>
    </row>
    <row r="663" spans="10:11" ht="14.3" customHeight="1">
      <c r="J663" s="46"/>
      <c r="K663" s="46"/>
    </row>
    <row r="664" spans="10:11" ht="14.3" customHeight="1">
      <c r="J664" s="46"/>
      <c r="K664" s="46"/>
    </row>
    <row r="665" spans="10:11" ht="14.3" customHeight="1">
      <c r="J665" s="46"/>
      <c r="K665" s="46"/>
    </row>
    <row r="666" spans="10:11" ht="14.3" customHeight="1">
      <c r="J666" s="46"/>
      <c r="K666" s="46"/>
    </row>
    <row r="667" spans="10:11" ht="14.3" customHeight="1">
      <c r="J667" s="46"/>
      <c r="K667" s="46"/>
    </row>
    <row r="668" spans="10:11" ht="14.3" customHeight="1">
      <c r="J668" s="46"/>
      <c r="K668" s="46"/>
    </row>
    <row r="669" spans="10:11" ht="14.3" customHeight="1">
      <c r="J669" s="46"/>
      <c r="K669" s="46"/>
    </row>
    <row r="670" spans="10:11" ht="14.3" customHeight="1">
      <c r="J670" s="46"/>
      <c r="K670" s="46"/>
    </row>
    <row r="671" spans="10:11" ht="14.3" customHeight="1">
      <c r="J671" s="46"/>
      <c r="K671" s="46"/>
    </row>
    <row r="672" spans="10:11" ht="14.3" customHeight="1">
      <c r="J672" s="46"/>
      <c r="K672" s="46"/>
    </row>
    <row r="673" spans="10:11" ht="14.3" customHeight="1">
      <c r="J673" s="46"/>
      <c r="K673" s="46"/>
    </row>
    <row r="674" spans="10:11" ht="14.3" customHeight="1">
      <c r="J674" s="46"/>
      <c r="K674" s="46"/>
    </row>
    <row r="675" spans="10:11" ht="14.3" customHeight="1">
      <c r="J675" s="46"/>
      <c r="K675" s="46"/>
    </row>
    <row r="676" spans="10:11" ht="14.3" customHeight="1">
      <c r="J676" s="46"/>
      <c r="K676" s="46"/>
    </row>
    <row r="677" spans="10:11" ht="14.3" customHeight="1">
      <c r="J677" s="46"/>
      <c r="K677" s="46"/>
    </row>
    <row r="678" spans="10:11" ht="14.3" customHeight="1">
      <c r="J678" s="46"/>
      <c r="K678" s="46"/>
    </row>
    <row r="679" spans="10:11" ht="14.3" customHeight="1">
      <c r="J679" s="46"/>
      <c r="K679" s="46"/>
    </row>
    <row r="680" spans="10:11" ht="14.3" customHeight="1">
      <c r="J680" s="46"/>
      <c r="K680" s="46"/>
    </row>
    <row r="681" spans="10:11" ht="14.3" customHeight="1">
      <c r="J681" s="46"/>
      <c r="K681" s="46"/>
    </row>
    <row r="682" spans="10:11" ht="14.3" customHeight="1">
      <c r="J682" s="46"/>
      <c r="K682" s="46"/>
    </row>
    <row r="683" spans="10:11" ht="14.3" customHeight="1">
      <c r="J683" s="46"/>
      <c r="K683" s="46"/>
    </row>
    <row r="684" spans="10:11" ht="14.3" customHeight="1">
      <c r="J684" s="46"/>
      <c r="K684" s="46"/>
    </row>
    <row r="685" spans="10:11" ht="14.3" customHeight="1">
      <c r="J685" s="46"/>
      <c r="K685" s="46"/>
    </row>
    <row r="686" spans="10:11" ht="14.3" customHeight="1">
      <c r="J686" s="46"/>
      <c r="K686" s="46"/>
    </row>
    <row r="687" spans="10:11" ht="14.3" customHeight="1">
      <c r="J687" s="46"/>
      <c r="K687" s="46"/>
    </row>
    <row r="688" spans="10:11" ht="14.3" customHeight="1">
      <c r="J688" s="46"/>
      <c r="K688" s="46"/>
    </row>
    <row r="689" spans="10:11" ht="14.3" customHeight="1">
      <c r="J689" s="46"/>
      <c r="K689" s="46"/>
    </row>
    <row r="690" spans="10:11" ht="14.3" customHeight="1">
      <c r="J690" s="46"/>
      <c r="K690" s="46"/>
    </row>
    <row r="691" spans="10:11" ht="14.3" customHeight="1">
      <c r="J691" s="46"/>
      <c r="K691" s="46"/>
    </row>
    <row r="692" spans="10:11" ht="14.3" customHeight="1">
      <c r="J692" s="46"/>
      <c r="K692" s="46"/>
    </row>
    <row r="693" spans="10:11" ht="14.3" customHeight="1">
      <c r="J693" s="46"/>
      <c r="K693" s="46"/>
    </row>
    <row r="694" spans="10:11" ht="14.3" customHeight="1">
      <c r="J694" s="46"/>
      <c r="K694" s="46"/>
    </row>
    <row r="695" spans="10:11" ht="14.3" customHeight="1">
      <c r="J695" s="46"/>
      <c r="K695" s="46"/>
    </row>
    <row r="696" spans="10:11" ht="14.3" customHeight="1">
      <c r="J696" s="46"/>
      <c r="K696" s="46"/>
    </row>
    <row r="697" spans="10:11" ht="14.3" customHeight="1">
      <c r="J697" s="46"/>
      <c r="K697" s="46"/>
    </row>
    <row r="698" spans="10:11" ht="14.3" customHeight="1">
      <c r="J698" s="46"/>
      <c r="K698" s="46"/>
    </row>
    <row r="699" spans="10:11" ht="14.3" customHeight="1">
      <c r="J699" s="46"/>
      <c r="K699" s="46"/>
    </row>
    <row r="700" spans="10:11" ht="14.3" customHeight="1">
      <c r="J700" s="46"/>
      <c r="K700" s="46"/>
    </row>
    <row r="701" spans="10:11" ht="14.3" customHeight="1">
      <c r="J701" s="46"/>
      <c r="K701" s="46"/>
    </row>
    <row r="702" spans="10:11" ht="14.3" customHeight="1">
      <c r="J702" s="46"/>
      <c r="K702" s="46"/>
    </row>
    <row r="703" spans="10:11" ht="14.3" customHeight="1">
      <c r="J703" s="46"/>
      <c r="K703" s="46"/>
    </row>
    <row r="704" spans="10:11" ht="14.3" customHeight="1">
      <c r="J704" s="46"/>
      <c r="K704" s="46"/>
    </row>
    <row r="705" spans="10:11" ht="14.3" customHeight="1">
      <c r="J705" s="46"/>
      <c r="K705" s="46"/>
    </row>
    <row r="706" spans="10:11" ht="14.3" customHeight="1">
      <c r="J706" s="46"/>
      <c r="K706" s="46"/>
    </row>
    <row r="707" spans="10:11" ht="14.3" customHeight="1">
      <c r="J707" s="46"/>
      <c r="K707" s="46"/>
    </row>
    <row r="708" spans="10:11" ht="14.3" customHeight="1">
      <c r="J708" s="46"/>
      <c r="K708" s="46"/>
    </row>
    <row r="709" spans="10:11" ht="14.3" customHeight="1">
      <c r="J709" s="46"/>
      <c r="K709" s="46"/>
    </row>
    <row r="710" spans="10:11" ht="14.3" customHeight="1">
      <c r="J710" s="46"/>
      <c r="K710" s="46"/>
    </row>
    <row r="711" spans="10:11" ht="14.3" customHeight="1">
      <c r="J711" s="46"/>
      <c r="K711" s="46"/>
    </row>
    <row r="712" spans="10:11" ht="14.3" customHeight="1">
      <c r="J712" s="46"/>
      <c r="K712" s="46"/>
    </row>
    <row r="713" spans="10:11" ht="14.3" customHeight="1">
      <c r="J713" s="46"/>
      <c r="K713" s="46"/>
    </row>
    <row r="714" spans="10:11" ht="14.3" customHeight="1">
      <c r="J714" s="46"/>
      <c r="K714" s="46"/>
    </row>
    <row r="715" spans="10:11" ht="14.3" customHeight="1">
      <c r="J715" s="46"/>
      <c r="K715" s="46"/>
    </row>
    <row r="716" spans="10:11" ht="14.3" customHeight="1">
      <c r="J716" s="46"/>
      <c r="K716" s="46"/>
    </row>
    <row r="717" spans="10:11" ht="14.3" customHeight="1">
      <c r="J717" s="46"/>
      <c r="K717" s="46"/>
    </row>
    <row r="718" spans="10:11" ht="14.3" customHeight="1">
      <c r="J718" s="46"/>
      <c r="K718" s="46"/>
    </row>
    <row r="719" spans="10:11" ht="14.3" customHeight="1">
      <c r="J719" s="46"/>
      <c r="K719" s="46"/>
    </row>
    <row r="720" spans="10:11" ht="14.3" customHeight="1">
      <c r="J720" s="46"/>
      <c r="K720" s="46"/>
    </row>
    <row r="721" spans="10:11" ht="14.3" customHeight="1">
      <c r="J721" s="46"/>
      <c r="K721" s="46"/>
    </row>
    <row r="722" spans="10:11" ht="14.3" customHeight="1">
      <c r="J722" s="46"/>
      <c r="K722" s="46"/>
    </row>
    <row r="723" spans="10:11" ht="14.3" customHeight="1">
      <c r="J723" s="46"/>
      <c r="K723" s="46"/>
    </row>
    <row r="724" spans="10:11" ht="14.3" customHeight="1">
      <c r="J724" s="46"/>
      <c r="K724" s="46"/>
    </row>
    <row r="725" spans="10:11" ht="14.3" customHeight="1">
      <c r="J725" s="46"/>
      <c r="K725" s="46"/>
    </row>
    <row r="726" spans="10:11" ht="14.3" customHeight="1">
      <c r="J726" s="46"/>
      <c r="K726" s="46"/>
    </row>
    <row r="727" spans="10:11" ht="14.3" customHeight="1">
      <c r="J727" s="46"/>
      <c r="K727" s="46"/>
    </row>
    <row r="728" spans="10:11" ht="14.3" customHeight="1">
      <c r="J728" s="46"/>
      <c r="K728" s="46"/>
    </row>
    <row r="729" spans="10:11" ht="14.3" customHeight="1">
      <c r="J729" s="46"/>
      <c r="K729" s="46"/>
    </row>
    <row r="730" spans="10:11" ht="14.3" customHeight="1">
      <c r="J730" s="46"/>
      <c r="K730" s="46"/>
    </row>
    <row r="731" spans="10:11" ht="14.3" customHeight="1">
      <c r="J731" s="46"/>
      <c r="K731" s="46"/>
    </row>
    <row r="732" spans="10:11" ht="14.3" customHeight="1">
      <c r="J732" s="46"/>
      <c r="K732" s="46"/>
    </row>
    <row r="733" spans="10:11" ht="14.3" customHeight="1">
      <c r="J733" s="46"/>
      <c r="K733" s="46"/>
    </row>
    <row r="734" spans="10:11" ht="14.3" customHeight="1">
      <c r="J734" s="46"/>
      <c r="K734" s="46"/>
    </row>
    <row r="735" spans="10:11" ht="14.3" customHeight="1">
      <c r="J735" s="46"/>
      <c r="K735" s="46"/>
    </row>
    <row r="736" spans="10:11" ht="14.3" customHeight="1">
      <c r="J736" s="46"/>
      <c r="K736" s="46"/>
    </row>
    <row r="737" spans="10:11" ht="14.3" customHeight="1">
      <c r="J737" s="46"/>
      <c r="K737" s="46"/>
    </row>
    <row r="738" spans="10:11" ht="14.3" customHeight="1">
      <c r="J738" s="46"/>
      <c r="K738" s="46"/>
    </row>
    <row r="739" spans="10:11" ht="14.3" customHeight="1">
      <c r="J739" s="46"/>
      <c r="K739" s="46"/>
    </row>
    <row r="740" spans="10:11" ht="14.3" customHeight="1">
      <c r="J740" s="46"/>
      <c r="K740" s="46"/>
    </row>
    <row r="741" spans="10:11" ht="14.3" customHeight="1">
      <c r="J741" s="46"/>
      <c r="K741" s="46"/>
    </row>
    <row r="742" spans="10:11" ht="14.3" customHeight="1">
      <c r="J742" s="46"/>
      <c r="K742" s="46"/>
    </row>
    <row r="743" spans="10:11" ht="14.3" customHeight="1">
      <c r="J743" s="46"/>
      <c r="K743" s="46"/>
    </row>
    <row r="744" spans="10:11" ht="14.3" customHeight="1">
      <c r="J744" s="46"/>
      <c r="K744" s="46"/>
    </row>
    <row r="745" spans="10:11" ht="14.3" customHeight="1">
      <c r="J745" s="46"/>
      <c r="K745" s="46"/>
    </row>
    <row r="746" spans="10:11" ht="14.3" customHeight="1">
      <c r="J746" s="46"/>
      <c r="K746" s="46"/>
    </row>
    <row r="747" spans="10:11" ht="14.3" customHeight="1">
      <c r="J747" s="46"/>
      <c r="K747" s="46"/>
    </row>
    <row r="748" spans="10:11" ht="14.3" customHeight="1">
      <c r="J748" s="46"/>
      <c r="K748" s="46"/>
    </row>
    <row r="749" spans="10:11" ht="14.3" customHeight="1">
      <c r="J749" s="46"/>
      <c r="K749" s="46"/>
    </row>
    <row r="750" spans="10:11" ht="14.3" customHeight="1">
      <c r="J750" s="46"/>
      <c r="K750" s="46"/>
    </row>
    <row r="751" spans="10:11" ht="14.3" customHeight="1">
      <c r="J751" s="46"/>
      <c r="K751" s="46"/>
    </row>
    <row r="752" spans="10:11" ht="14.3" customHeight="1">
      <c r="J752" s="46"/>
      <c r="K752" s="46"/>
    </row>
    <row r="753" spans="10:11" ht="14.3" customHeight="1">
      <c r="J753" s="46"/>
      <c r="K753" s="46"/>
    </row>
    <row r="754" spans="10:11" ht="14.3" customHeight="1">
      <c r="J754" s="46"/>
      <c r="K754" s="46"/>
    </row>
    <row r="755" spans="10:11" ht="14.3" customHeight="1">
      <c r="J755" s="46"/>
      <c r="K755" s="46"/>
    </row>
    <row r="756" spans="10:11" ht="14.3" customHeight="1">
      <c r="J756" s="46"/>
      <c r="K756" s="46"/>
    </row>
    <row r="757" spans="10:11" ht="14.3" customHeight="1">
      <c r="J757" s="46"/>
      <c r="K757" s="46"/>
    </row>
    <row r="758" spans="10:11" ht="14.3" customHeight="1">
      <c r="J758" s="46"/>
      <c r="K758" s="46"/>
    </row>
    <row r="759" spans="10:11" ht="14.3" customHeight="1">
      <c r="J759" s="46"/>
      <c r="K759" s="46"/>
    </row>
    <row r="760" spans="10:11" ht="14.3" customHeight="1">
      <c r="J760" s="46"/>
      <c r="K760" s="46"/>
    </row>
    <row r="761" spans="10:11" ht="14.3" customHeight="1">
      <c r="J761" s="46"/>
      <c r="K761" s="46"/>
    </row>
    <row r="762" spans="10:11" ht="14.3" customHeight="1">
      <c r="J762" s="46"/>
      <c r="K762" s="46"/>
    </row>
    <row r="763" spans="10:11" ht="14.3" customHeight="1">
      <c r="J763" s="46"/>
      <c r="K763" s="46"/>
    </row>
    <row r="764" spans="10:11" ht="14.3" customHeight="1">
      <c r="J764" s="46"/>
      <c r="K764" s="46"/>
    </row>
    <row r="765" spans="10:11" ht="14.3" customHeight="1">
      <c r="J765" s="46"/>
      <c r="K765" s="46"/>
    </row>
    <row r="766" spans="10:11" ht="14.3" customHeight="1">
      <c r="J766" s="46"/>
      <c r="K766" s="46"/>
    </row>
    <row r="767" spans="10:11" ht="14.3" customHeight="1">
      <c r="J767" s="46"/>
      <c r="K767" s="46"/>
    </row>
    <row r="768" spans="10:11" ht="14.3" customHeight="1">
      <c r="J768" s="46"/>
      <c r="K768" s="46"/>
    </row>
    <row r="769" spans="10:11" ht="14.3" customHeight="1">
      <c r="J769" s="46"/>
      <c r="K769" s="46"/>
    </row>
    <row r="770" spans="10:11" ht="14.3" customHeight="1">
      <c r="J770" s="46"/>
      <c r="K770" s="46"/>
    </row>
    <row r="771" spans="10:11" ht="14.3" customHeight="1">
      <c r="J771" s="46"/>
      <c r="K771" s="46"/>
    </row>
    <row r="772" spans="10:11" ht="14.3" customHeight="1">
      <c r="J772" s="46"/>
      <c r="K772" s="46"/>
    </row>
    <row r="773" spans="10:11" ht="14.3" customHeight="1">
      <c r="J773" s="46"/>
      <c r="K773" s="46"/>
    </row>
    <row r="774" spans="10:11" ht="14.3" customHeight="1">
      <c r="J774" s="46"/>
      <c r="K774" s="46"/>
    </row>
    <row r="775" spans="10:11" ht="14.3" customHeight="1">
      <c r="J775" s="46"/>
      <c r="K775" s="46"/>
    </row>
    <row r="776" spans="10:11" ht="14.3" customHeight="1">
      <c r="J776" s="46"/>
      <c r="K776" s="46"/>
    </row>
    <row r="777" spans="10:11" ht="14.3" customHeight="1">
      <c r="J777" s="46"/>
      <c r="K777" s="46"/>
    </row>
    <row r="778" spans="10:11" ht="14.3" customHeight="1">
      <c r="J778" s="46"/>
      <c r="K778" s="46"/>
    </row>
    <row r="779" spans="10:11" ht="14.3" customHeight="1">
      <c r="J779" s="46"/>
      <c r="K779" s="46"/>
    </row>
    <row r="780" spans="10:11" ht="14.3" customHeight="1">
      <c r="J780" s="46"/>
      <c r="K780" s="46"/>
    </row>
    <row r="781" spans="10:11" ht="14.3" customHeight="1">
      <c r="J781" s="46"/>
      <c r="K781" s="46"/>
    </row>
    <row r="782" spans="10:11" ht="14.3" customHeight="1">
      <c r="J782" s="46"/>
      <c r="K782" s="46"/>
    </row>
    <row r="783" spans="10:11" ht="14.3" customHeight="1">
      <c r="J783" s="46"/>
      <c r="K783" s="46"/>
    </row>
    <row r="784" spans="10:11" ht="14.3" customHeight="1">
      <c r="J784" s="46"/>
      <c r="K784" s="46"/>
    </row>
    <row r="785" spans="10:11" ht="14.3" customHeight="1">
      <c r="J785" s="46"/>
      <c r="K785" s="46"/>
    </row>
    <row r="786" spans="10:11" ht="14.3" customHeight="1">
      <c r="J786" s="46"/>
      <c r="K786" s="46"/>
    </row>
    <row r="787" spans="10:11" ht="14.3" customHeight="1">
      <c r="J787" s="46"/>
      <c r="K787" s="46"/>
    </row>
    <row r="788" spans="10:11" ht="14.3" customHeight="1">
      <c r="J788" s="46"/>
      <c r="K788" s="46"/>
    </row>
    <row r="789" spans="10:11" ht="14.3" customHeight="1">
      <c r="J789" s="46"/>
      <c r="K789" s="46"/>
    </row>
    <row r="790" spans="10:11" ht="14.3" customHeight="1">
      <c r="J790" s="46"/>
      <c r="K790" s="46"/>
    </row>
    <row r="791" spans="10:11" ht="14.3" customHeight="1">
      <c r="J791" s="46"/>
      <c r="K791" s="46"/>
    </row>
    <row r="792" spans="10:11" ht="14.3" customHeight="1">
      <c r="J792" s="46"/>
      <c r="K792" s="46"/>
    </row>
    <row r="793" spans="10:11" ht="14.3" customHeight="1">
      <c r="J793" s="46"/>
      <c r="K793" s="46"/>
    </row>
    <row r="794" spans="10:11" ht="14.3" customHeight="1">
      <c r="J794" s="46"/>
      <c r="K794" s="46"/>
    </row>
    <row r="795" spans="10:11" ht="14.3" customHeight="1">
      <c r="J795" s="46"/>
      <c r="K795" s="46"/>
    </row>
    <row r="796" spans="10:11" ht="14.3" customHeight="1">
      <c r="J796" s="46"/>
      <c r="K796" s="46"/>
    </row>
    <row r="797" spans="10:11" ht="14.3" customHeight="1">
      <c r="J797" s="46"/>
      <c r="K797" s="46"/>
    </row>
    <row r="798" spans="10:11" ht="14.3" customHeight="1">
      <c r="J798" s="46"/>
      <c r="K798" s="46"/>
    </row>
    <row r="799" spans="10:11" ht="14.3" customHeight="1">
      <c r="J799" s="46"/>
      <c r="K799" s="46"/>
    </row>
    <row r="800" spans="10:11" ht="14.3" customHeight="1">
      <c r="J800" s="46"/>
      <c r="K800" s="46"/>
    </row>
    <row r="801" spans="10:11" ht="14.3" customHeight="1">
      <c r="J801" s="46"/>
      <c r="K801" s="46"/>
    </row>
    <row r="802" spans="10:11" ht="14.3" customHeight="1">
      <c r="J802" s="46"/>
      <c r="K802" s="46"/>
    </row>
    <row r="803" spans="10:11" ht="14.3" customHeight="1">
      <c r="J803" s="46"/>
      <c r="K803" s="46"/>
    </row>
    <row r="804" spans="10:11" ht="14.3" customHeight="1">
      <c r="J804" s="46"/>
      <c r="K804" s="46"/>
    </row>
    <row r="805" spans="10:11" ht="14.3" customHeight="1">
      <c r="J805" s="46"/>
      <c r="K805" s="46"/>
    </row>
    <row r="806" spans="10:11" ht="14.3" customHeight="1">
      <c r="J806" s="46"/>
      <c r="K806" s="46"/>
    </row>
    <row r="807" spans="10:11" ht="14.3" customHeight="1">
      <c r="J807" s="46"/>
      <c r="K807" s="46"/>
    </row>
    <row r="808" spans="10:11" ht="14.3" customHeight="1">
      <c r="J808" s="46"/>
      <c r="K808" s="46"/>
    </row>
    <row r="809" spans="10:11" ht="14.3" customHeight="1">
      <c r="J809" s="46"/>
      <c r="K809" s="46"/>
    </row>
    <row r="810" spans="10:11" ht="14.3" customHeight="1">
      <c r="J810" s="46"/>
      <c r="K810" s="46"/>
    </row>
    <row r="811" spans="10:11" ht="14.3" customHeight="1">
      <c r="J811" s="46"/>
      <c r="K811" s="46"/>
    </row>
    <row r="812" spans="10:11" ht="14.3" customHeight="1">
      <c r="J812" s="46"/>
      <c r="K812" s="46"/>
    </row>
    <row r="813" spans="10:11" ht="14.3" customHeight="1">
      <c r="J813" s="46"/>
      <c r="K813" s="46"/>
    </row>
    <row r="814" spans="10:11" ht="14.3" customHeight="1">
      <c r="J814" s="46"/>
      <c r="K814" s="46"/>
    </row>
    <row r="815" spans="10:11" ht="14.3" customHeight="1">
      <c r="J815" s="46"/>
      <c r="K815" s="46"/>
    </row>
    <row r="816" spans="10:11" ht="14.3" customHeight="1">
      <c r="J816" s="46"/>
      <c r="K816" s="46"/>
    </row>
    <row r="817" spans="10:11" ht="14.3" customHeight="1">
      <c r="J817" s="46"/>
      <c r="K817" s="46"/>
    </row>
    <row r="818" spans="10:11" ht="14.3" customHeight="1">
      <c r="J818" s="46"/>
      <c r="K818" s="46"/>
    </row>
    <row r="819" spans="10:11" ht="14.3" customHeight="1">
      <c r="J819" s="46"/>
      <c r="K819" s="46"/>
    </row>
    <row r="820" spans="10:11" ht="14.3" customHeight="1">
      <c r="J820" s="46"/>
      <c r="K820" s="46"/>
    </row>
    <row r="821" spans="10:11" ht="14.3" customHeight="1">
      <c r="J821" s="46"/>
      <c r="K821" s="46"/>
    </row>
    <row r="822" spans="10:11" ht="14.3" customHeight="1">
      <c r="J822" s="46"/>
      <c r="K822" s="46"/>
    </row>
    <row r="823" spans="10:11" ht="14.3" customHeight="1">
      <c r="J823" s="46"/>
      <c r="K823" s="46"/>
    </row>
    <row r="824" spans="10:11" ht="14.3" customHeight="1">
      <c r="J824" s="46"/>
      <c r="K824" s="46"/>
    </row>
    <row r="825" spans="10:11" ht="14.3" customHeight="1">
      <c r="J825" s="46"/>
      <c r="K825" s="46"/>
    </row>
    <row r="826" spans="10:11" ht="14.3" customHeight="1">
      <c r="J826" s="46"/>
      <c r="K826" s="46"/>
    </row>
    <row r="827" spans="10:11" ht="14.3" customHeight="1">
      <c r="J827" s="46"/>
      <c r="K827" s="46"/>
    </row>
    <row r="828" spans="10:11" ht="14.3" customHeight="1">
      <c r="J828" s="46"/>
      <c r="K828" s="46"/>
    </row>
    <row r="829" spans="10:11" ht="14.3" customHeight="1">
      <c r="J829" s="46"/>
      <c r="K829" s="46"/>
    </row>
    <row r="830" spans="10:11" ht="14.3" customHeight="1">
      <c r="J830" s="46"/>
      <c r="K830" s="46"/>
    </row>
    <row r="831" spans="10:11" ht="14.3" customHeight="1">
      <c r="J831" s="46"/>
      <c r="K831" s="46"/>
    </row>
    <row r="832" spans="10:11" ht="14.3" customHeight="1">
      <c r="J832" s="46"/>
      <c r="K832" s="46"/>
    </row>
    <row r="833" spans="10:11" ht="14.3" customHeight="1">
      <c r="J833" s="46"/>
      <c r="K833" s="46"/>
    </row>
    <row r="834" spans="10:11" ht="14.3" customHeight="1">
      <c r="J834" s="46"/>
      <c r="K834" s="46"/>
    </row>
    <row r="835" spans="10:11" ht="14.3" customHeight="1">
      <c r="J835" s="46"/>
      <c r="K835" s="46"/>
    </row>
    <row r="836" spans="10:11" ht="14.3" customHeight="1">
      <c r="J836" s="46"/>
      <c r="K836" s="46"/>
    </row>
    <row r="837" spans="10:11" ht="14.3" customHeight="1">
      <c r="J837" s="46"/>
      <c r="K837" s="46"/>
    </row>
    <row r="838" spans="10:11" ht="14.3" customHeight="1">
      <c r="J838" s="46"/>
      <c r="K838" s="46"/>
    </row>
    <row r="839" spans="10:11" ht="14.3" customHeight="1">
      <c r="J839" s="46"/>
      <c r="K839" s="46"/>
    </row>
    <row r="840" spans="10:11" ht="14.3" customHeight="1">
      <c r="J840" s="46"/>
      <c r="K840" s="46"/>
    </row>
    <row r="841" spans="10:11" ht="14.3" customHeight="1">
      <c r="J841" s="46"/>
      <c r="K841" s="46"/>
    </row>
    <row r="842" spans="10:11" ht="14.3" customHeight="1">
      <c r="J842" s="46"/>
      <c r="K842" s="46"/>
    </row>
    <row r="843" spans="10:11" ht="14.3" customHeight="1">
      <c r="J843" s="46"/>
      <c r="K843" s="46"/>
    </row>
    <row r="844" spans="10:11" ht="14.3" customHeight="1">
      <c r="J844" s="46"/>
      <c r="K844" s="46"/>
    </row>
    <row r="845" spans="10:11" ht="14.3" customHeight="1">
      <c r="J845" s="46"/>
      <c r="K845" s="46"/>
    </row>
    <row r="846" spans="10:11" ht="14.3" customHeight="1">
      <c r="J846" s="46"/>
      <c r="K846" s="46"/>
    </row>
    <row r="847" spans="10:11" ht="14.3" customHeight="1">
      <c r="J847" s="46"/>
      <c r="K847" s="46"/>
    </row>
    <row r="848" spans="10:11" ht="14.3" customHeight="1">
      <c r="J848" s="46"/>
      <c r="K848" s="46"/>
    </row>
    <row r="849" spans="10:11" ht="14.3" customHeight="1">
      <c r="J849" s="46"/>
      <c r="K849" s="46"/>
    </row>
    <row r="850" spans="10:11" ht="14.3" customHeight="1">
      <c r="J850" s="46"/>
      <c r="K850" s="46"/>
    </row>
    <row r="851" spans="10:11" ht="14.3" customHeight="1">
      <c r="J851" s="46"/>
      <c r="K851" s="46"/>
    </row>
    <row r="852" spans="10:11" ht="14.3" customHeight="1">
      <c r="J852" s="46"/>
      <c r="K852" s="46"/>
    </row>
    <row r="853" spans="10:11" ht="14.3" customHeight="1">
      <c r="J853" s="46"/>
      <c r="K853" s="46"/>
    </row>
    <row r="854" spans="10:11" ht="14.3" customHeight="1">
      <c r="J854" s="46"/>
      <c r="K854" s="46"/>
    </row>
    <row r="855" spans="10:11" ht="14.3" customHeight="1">
      <c r="J855" s="46"/>
      <c r="K855" s="46"/>
    </row>
    <row r="856" spans="10:11" ht="14.3" customHeight="1">
      <c r="J856" s="46"/>
      <c r="K856" s="46"/>
    </row>
    <row r="857" spans="10:11" ht="14.3" customHeight="1">
      <c r="J857" s="46"/>
      <c r="K857" s="46"/>
    </row>
    <row r="858" spans="10:11" ht="14.3" customHeight="1">
      <c r="J858" s="46"/>
      <c r="K858" s="46"/>
    </row>
    <row r="859" spans="10:11" ht="14.3" customHeight="1">
      <c r="J859" s="46"/>
      <c r="K859" s="46"/>
    </row>
    <row r="860" spans="10:11" ht="14.3" customHeight="1">
      <c r="J860" s="46"/>
      <c r="K860" s="46"/>
    </row>
    <row r="861" spans="10:11" ht="14.3" customHeight="1">
      <c r="J861" s="46"/>
      <c r="K861" s="46"/>
    </row>
    <row r="862" spans="10:11" ht="14.3" customHeight="1">
      <c r="J862" s="46"/>
      <c r="K862" s="46"/>
    </row>
    <row r="863" spans="10:11" ht="14.3" customHeight="1">
      <c r="J863" s="46"/>
      <c r="K863" s="46"/>
    </row>
    <row r="864" spans="10:11" ht="14.3" customHeight="1">
      <c r="J864" s="46"/>
      <c r="K864" s="46"/>
    </row>
    <row r="865" spans="10:11" ht="14.3" customHeight="1">
      <c r="J865" s="46"/>
      <c r="K865" s="46"/>
    </row>
    <row r="866" spans="10:11" ht="14.3" customHeight="1">
      <c r="J866" s="46"/>
      <c r="K866" s="46"/>
    </row>
    <row r="867" spans="10:11" ht="14.3" customHeight="1">
      <c r="J867" s="46"/>
      <c r="K867" s="46"/>
    </row>
    <row r="868" spans="10:11" ht="14.3" customHeight="1">
      <c r="J868" s="46"/>
      <c r="K868" s="46"/>
    </row>
    <row r="869" spans="10:11" ht="14.3" customHeight="1">
      <c r="J869" s="46"/>
      <c r="K869" s="46"/>
    </row>
    <row r="870" spans="10:11" ht="14.3" customHeight="1">
      <c r="J870" s="46"/>
      <c r="K870" s="46"/>
    </row>
    <row r="871" spans="10:11" ht="14.3" customHeight="1">
      <c r="J871" s="46"/>
      <c r="K871" s="46"/>
    </row>
    <row r="872" spans="10:11" ht="14.3" customHeight="1">
      <c r="J872" s="46"/>
      <c r="K872" s="46"/>
    </row>
    <row r="873" spans="10:11" ht="14.3" customHeight="1">
      <c r="J873" s="46"/>
      <c r="K873" s="46"/>
    </row>
    <row r="874" spans="10:11" ht="14.3" customHeight="1">
      <c r="J874" s="46"/>
      <c r="K874" s="46"/>
    </row>
    <row r="875" spans="10:11" ht="14.3" customHeight="1">
      <c r="J875" s="46"/>
      <c r="K875" s="46"/>
    </row>
    <row r="876" spans="10:11" ht="14.3" customHeight="1">
      <c r="J876" s="46"/>
      <c r="K876" s="46"/>
    </row>
    <row r="877" spans="10:11" ht="14.3" customHeight="1">
      <c r="J877" s="46"/>
      <c r="K877" s="46"/>
    </row>
    <row r="878" spans="10:11" ht="14.3" customHeight="1">
      <c r="J878" s="46"/>
      <c r="K878" s="46"/>
    </row>
    <row r="879" spans="10:11" ht="14.3" customHeight="1">
      <c r="J879" s="46"/>
      <c r="K879" s="46"/>
    </row>
    <row r="880" spans="10:11" ht="14.3" customHeight="1">
      <c r="J880" s="46"/>
      <c r="K880" s="46"/>
    </row>
    <row r="881" spans="10:11" ht="14.3" customHeight="1">
      <c r="J881" s="46"/>
      <c r="K881" s="46"/>
    </row>
    <row r="882" spans="10:11" ht="14.3" customHeight="1">
      <c r="J882" s="46"/>
      <c r="K882" s="46"/>
    </row>
    <row r="883" spans="10:11" ht="14.3" customHeight="1">
      <c r="J883" s="46"/>
      <c r="K883" s="46"/>
    </row>
    <row r="884" spans="10:11" ht="14.3" customHeight="1">
      <c r="J884" s="46"/>
      <c r="K884" s="46"/>
    </row>
    <row r="885" spans="10:11" ht="14.3" customHeight="1">
      <c r="J885" s="46"/>
      <c r="K885" s="46"/>
    </row>
    <row r="886" spans="10:11" ht="14.3" customHeight="1">
      <c r="J886" s="46"/>
      <c r="K886" s="46"/>
    </row>
    <row r="887" spans="10:11" ht="14.3" customHeight="1">
      <c r="J887" s="46"/>
      <c r="K887" s="46"/>
    </row>
    <row r="888" spans="10:11" ht="14.3" customHeight="1">
      <c r="J888" s="46"/>
      <c r="K888" s="46"/>
    </row>
    <row r="889" spans="10:11" ht="14.3" customHeight="1">
      <c r="J889" s="46"/>
      <c r="K889" s="46"/>
    </row>
    <row r="890" spans="10:11" ht="14.3" customHeight="1">
      <c r="J890" s="46"/>
      <c r="K890" s="46"/>
    </row>
    <row r="891" spans="10:11" ht="14.3" customHeight="1">
      <c r="J891" s="46"/>
      <c r="K891" s="46"/>
    </row>
    <row r="892" spans="10:11" ht="14.3" customHeight="1">
      <c r="J892" s="46"/>
      <c r="K892" s="46"/>
    </row>
    <row r="893" spans="10:11" ht="14.3" customHeight="1">
      <c r="J893" s="46"/>
      <c r="K893" s="46"/>
    </row>
    <row r="894" spans="10:11" ht="14.3" customHeight="1">
      <c r="J894" s="46"/>
      <c r="K894" s="46"/>
    </row>
    <row r="895" spans="10:11" ht="14.3" customHeight="1">
      <c r="J895" s="46"/>
      <c r="K895" s="46"/>
    </row>
    <row r="896" spans="10:11" ht="14.3" customHeight="1">
      <c r="J896" s="46"/>
      <c r="K896" s="46"/>
    </row>
    <row r="897" spans="10:11" ht="14.3" customHeight="1">
      <c r="J897" s="46"/>
      <c r="K897" s="46"/>
    </row>
    <row r="898" spans="10:11" ht="14.3" customHeight="1">
      <c r="J898" s="46"/>
      <c r="K898" s="46"/>
    </row>
    <row r="899" spans="10:11" ht="14.3" customHeight="1">
      <c r="J899" s="46"/>
      <c r="K899" s="46"/>
    </row>
    <row r="900" spans="10:11" ht="14.3" customHeight="1">
      <c r="J900" s="46"/>
      <c r="K900" s="46"/>
    </row>
    <row r="901" spans="10:11" ht="14.3" customHeight="1">
      <c r="J901" s="46"/>
      <c r="K901" s="46"/>
    </row>
    <row r="902" spans="10:11" ht="14.3" customHeight="1">
      <c r="J902" s="46"/>
      <c r="K902" s="46"/>
    </row>
    <row r="903" spans="10:11" ht="14.3" customHeight="1">
      <c r="J903" s="46"/>
      <c r="K903" s="46"/>
    </row>
    <row r="904" spans="10:11" ht="14.3" customHeight="1">
      <c r="J904" s="46"/>
      <c r="K904" s="46"/>
    </row>
    <row r="905" spans="10:11" ht="14.3" customHeight="1">
      <c r="J905" s="46"/>
      <c r="K905" s="46"/>
    </row>
    <row r="906" spans="10:11" ht="14.3" customHeight="1">
      <c r="J906" s="46"/>
      <c r="K906" s="46"/>
    </row>
    <row r="907" spans="10:11" ht="14.3" customHeight="1">
      <c r="J907" s="46"/>
      <c r="K907" s="46"/>
    </row>
    <row r="908" spans="10:11" ht="14.3" customHeight="1">
      <c r="J908" s="46"/>
      <c r="K908" s="46"/>
    </row>
    <row r="909" spans="10:11" ht="14.3" customHeight="1">
      <c r="J909" s="46"/>
      <c r="K909" s="46"/>
    </row>
    <row r="910" spans="10:11" ht="14.3" customHeight="1">
      <c r="J910" s="46"/>
      <c r="K910" s="46"/>
    </row>
    <row r="911" spans="10:11" ht="14.3" customHeight="1">
      <c r="J911" s="46"/>
      <c r="K911" s="46"/>
    </row>
    <row r="912" spans="10:11" ht="14.3" customHeight="1">
      <c r="J912" s="46"/>
      <c r="K912" s="46"/>
    </row>
    <row r="913" spans="10:11" ht="14.3" customHeight="1">
      <c r="J913" s="46"/>
      <c r="K913" s="46"/>
    </row>
    <row r="914" spans="10:11" ht="14.3" customHeight="1">
      <c r="J914" s="46"/>
      <c r="K914" s="46"/>
    </row>
    <row r="915" spans="10:11" ht="14.3" customHeight="1">
      <c r="J915" s="46"/>
      <c r="K915" s="46"/>
    </row>
    <row r="916" spans="10:11" ht="14.3" customHeight="1">
      <c r="J916" s="46"/>
      <c r="K916" s="46"/>
    </row>
    <row r="917" spans="10:11" ht="14.3" customHeight="1">
      <c r="J917" s="46"/>
      <c r="K917" s="46"/>
    </row>
    <row r="918" spans="10:11" ht="14.3" customHeight="1">
      <c r="J918" s="46"/>
      <c r="K918" s="46"/>
    </row>
    <row r="919" spans="10:11" ht="14.3" customHeight="1">
      <c r="J919" s="46"/>
      <c r="K919" s="46"/>
    </row>
    <row r="920" spans="10:11" ht="14.3" customHeight="1">
      <c r="J920" s="46"/>
      <c r="K920" s="46"/>
    </row>
    <row r="921" spans="10:11" ht="14.3" customHeight="1">
      <c r="J921" s="46"/>
      <c r="K921" s="46"/>
    </row>
    <row r="922" spans="10:11" ht="14.3" customHeight="1">
      <c r="J922" s="46"/>
      <c r="K922" s="46"/>
    </row>
    <row r="923" spans="10:11" ht="14.3" customHeight="1">
      <c r="J923" s="46"/>
      <c r="K923" s="46"/>
    </row>
    <row r="924" spans="10:11" ht="14.3" customHeight="1">
      <c r="J924" s="46"/>
      <c r="K924" s="46"/>
    </row>
    <row r="925" spans="10:11" ht="14.3" customHeight="1">
      <c r="J925" s="46"/>
      <c r="K925" s="46"/>
    </row>
    <row r="926" spans="10:11" ht="14.3" customHeight="1">
      <c r="J926" s="46"/>
      <c r="K926" s="46"/>
    </row>
    <row r="927" spans="10:11" ht="14.3" customHeight="1">
      <c r="J927" s="46"/>
      <c r="K927" s="46"/>
    </row>
    <row r="928" spans="10:11" ht="14.3" customHeight="1">
      <c r="J928" s="46"/>
      <c r="K928" s="46"/>
    </row>
    <row r="929" spans="10:11" ht="14.3" customHeight="1">
      <c r="J929" s="46"/>
      <c r="K929" s="46"/>
    </row>
    <row r="930" spans="10:11" ht="14.3" customHeight="1">
      <c r="J930" s="46"/>
      <c r="K930" s="46"/>
    </row>
    <row r="931" spans="10:11" ht="14.3" customHeight="1">
      <c r="J931" s="46"/>
      <c r="K931" s="46"/>
    </row>
    <row r="932" spans="10:11" ht="14.3" customHeight="1">
      <c r="J932" s="46"/>
      <c r="K932" s="46"/>
    </row>
    <row r="933" spans="10:11" ht="14.3" customHeight="1">
      <c r="J933" s="46"/>
      <c r="K933" s="46"/>
    </row>
    <row r="934" spans="10:11" ht="14.3" customHeight="1">
      <c r="J934" s="46"/>
      <c r="K934" s="46"/>
    </row>
    <row r="935" spans="10:11" ht="14.3" customHeight="1">
      <c r="J935" s="46"/>
      <c r="K935" s="46"/>
    </row>
    <row r="936" spans="10:11" ht="14.3" customHeight="1">
      <c r="J936" s="46"/>
      <c r="K936" s="46"/>
    </row>
    <row r="937" spans="10:11" ht="14.3" customHeight="1">
      <c r="J937" s="46"/>
      <c r="K937" s="46"/>
    </row>
    <row r="938" spans="10:11" ht="14.3" customHeight="1">
      <c r="J938" s="46"/>
      <c r="K938" s="46"/>
    </row>
    <row r="939" spans="10:11" ht="14.3" customHeight="1">
      <c r="J939" s="46"/>
      <c r="K939" s="46"/>
    </row>
    <row r="940" spans="10:11" ht="14.3" customHeight="1">
      <c r="J940" s="46"/>
      <c r="K940" s="46"/>
    </row>
    <row r="941" spans="10:11" ht="14.3" customHeight="1">
      <c r="J941" s="46"/>
      <c r="K941" s="46"/>
    </row>
    <row r="942" spans="10:11" ht="14.3" customHeight="1">
      <c r="J942" s="46"/>
      <c r="K942" s="46"/>
    </row>
    <row r="943" spans="10:11" ht="14.3" customHeight="1">
      <c r="J943" s="46"/>
      <c r="K943" s="46"/>
    </row>
    <row r="944" spans="10:11" ht="14.3" customHeight="1">
      <c r="J944" s="46"/>
      <c r="K944" s="46"/>
    </row>
    <row r="945" spans="10:11" ht="14.3" customHeight="1">
      <c r="J945" s="46"/>
      <c r="K945" s="46"/>
    </row>
    <row r="946" spans="10:11" ht="14.3" customHeight="1">
      <c r="J946" s="46"/>
      <c r="K946" s="46"/>
    </row>
    <row r="947" spans="10:11" ht="14.3" customHeight="1">
      <c r="J947" s="46"/>
      <c r="K947" s="46"/>
    </row>
    <row r="948" spans="10:11" ht="14.3" customHeight="1">
      <c r="J948" s="46"/>
      <c r="K948" s="46"/>
    </row>
    <row r="949" spans="10:11" ht="14.3" customHeight="1">
      <c r="J949" s="46"/>
      <c r="K949" s="46"/>
    </row>
    <row r="950" spans="10:11" ht="14.3" customHeight="1">
      <c r="J950" s="46"/>
      <c r="K950" s="46"/>
    </row>
    <row r="951" spans="10:11" ht="14.3" customHeight="1">
      <c r="J951" s="46"/>
      <c r="K951" s="46"/>
    </row>
    <row r="952" spans="10:11" ht="14.3" customHeight="1">
      <c r="J952" s="46"/>
      <c r="K952" s="46"/>
    </row>
    <row r="953" spans="10:11" ht="14.3" customHeight="1">
      <c r="J953" s="46"/>
      <c r="K953" s="46"/>
    </row>
    <row r="954" spans="10:11" ht="14.3" customHeight="1">
      <c r="J954" s="46"/>
      <c r="K954" s="46"/>
    </row>
    <row r="955" spans="10:11" ht="14.3" customHeight="1">
      <c r="J955" s="46"/>
      <c r="K955" s="46"/>
    </row>
    <row r="956" spans="10:11" ht="14.3" customHeight="1">
      <c r="J956" s="46"/>
      <c r="K956" s="46"/>
    </row>
    <row r="957" spans="10:11" ht="14.3" customHeight="1">
      <c r="J957" s="46"/>
      <c r="K957" s="46"/>
    </row>
    <row r="958" spans="10:11" ht="14.3" customHeight="1">
      <c r="J958" s="46"/>
      <c r="K958" s="46"/>
    </row>
    <row r="959" spans="10:11" ht="14.3" customHeight="1">
      <c r="J959" s="46"/>
      <c r="K959" s="46"/>
    </row>
    <row r="960" spans="10:11" ht="14.3" customHeight="1">
      <c r="J960" s="46"/>
      <c r="K960" s="46"/>
    </row>
    <row r="961" spans="10:11" ht="14.3" customHeight="1">
      <c r="J961" s="46"/>
      <c r="K961" s="46"/>
    </row>
    <row r="962" spans="10:11" ht="14.3" customHeight="1">
      <c r="J962" s="46"/>
      <c r="K962" s="46"/>
    </row>
    <row r="963" spans="10:11" ht="14.3" customHeight="1">
      <c r="J963" s="46"/>
      <c r="K963" s="46"/>
    </row>
    <row r="964" spans="10:11" ht="14.3" customHeight="1">
      <c r="J964" s="46"/>
      <c r="K964" s="46"/>
    </row>
    <row r="965" spans="10:11" ht="14.3" customHeight="1">
      <c r="J965" s="46"/>
      <c r="K965" s="46"/>
    </row>
    <row r="966" spans="10:11" ht="14.3" customHeight="1">
      <c r="J966" s="46"/>
      <c r="K966" s="46"/>
    </row>
    <row r="967" spans="10:11" ht="14.3" customHeight="1">
      <c r="J967" s="46"/>
      <c r="K967" s="46"/>
    </row>
    <row r="968" spans="10:11" ht="14.3" customHeight="1">
      <c r="J968" s="46"/>
      <c r="K968" s="46"/>
    </row>
    <row r="969" spans="10:11" ht="14.3" customHeight="1">
      <c r="J969" s="46"/>
      <c r="K969" s="46"/>
    </row>
    <row r="970" spans="10:11" ht="14.3" customHeight="1">
      <c r="J970" s="46"/>
      <c r="K970" s="46"/>
    </row>
    <row r="971" spans="10:11" ht="14.3" customHeight="1">
      <c r="J971" s="46"/>
      <c r="K971" s="46"/>
    </row>
    <row r="972" spans="10:11" ht="14.3" customHeight="1">
      <c r="J972" s="46"/>
      <c r="K972" s="46"/>
    </row>
    <row r="973" spans="10:11" ht="14.3" customHeight="1">
      <c r="J973" s="46"/>
      <c r="K973" s="46"/>
    </row>
    <row r="974" spans="10:11" ht="14.3" customHeight="1">
      <c r="J974" s="46"/>
      <c r="K974" s="46"/>
    </row>
    <row r="975" spans="10:11" ht="14.3" customHeight="1">
      <c r="J975" s="46"/>
      <c r="K975" s="46"/>
    </row>
    <row r="976" spans="10:11" ht="14.3" customHeight="1">
      <c r="J976" s="46"/>
      <c r="K976" s="46"/>
    </row>
    <row r="977" spans="10:11" ht="14.3" customHeight="1">
      <c r="J977" s="46"/>
      <c r="K977" s="46"/>
    </row>
    <row r="978" spans="10:11" ht="14.3" customHeight="1">
      <c r="J978" s="46"/>
      <c r="K978" s="46"/>
    </row>
    <row r="979" spans="10:11" ht="14.3" customHeight="1">
      <c r="J979" s="46"/>
      <c r="K979" s="46"/>
    </row>
    <row r="980" spans="10:11" ht="14.3" customHeight="1">
      <c r="J980" s="46"/>
      <c r="K980" s="46"/>
    </row>
    <row r="981" spans="10:11" ht="14.3" customHeight="1">
      <c r="J981" s="46"/>
      <c r="K981" s="46"/>
    </row>
    <row r="982" spans="10:11" ht="14.3" customHeight="1">
      <c r="J982" s="46"/>
      <c r="K982" s="46"/>
    </row>
    <row r="983" spans="10:11" ht="14.3" customHeight="1">
      <c r="J983" s="46"/>
      <c r="K983" s="46"/>
    </row>
    <row r="984" spans="10:11" ht="14.3" customHeight="1">
      <c r="J984" s="46"/>
      <c r="K984" s="46"/>
    </row>
    <row r="985" spans="10:11" ht="14.3" customHeight="1">
      <c r="J985" s="46"/>
      <c r="K985" s="46"/>
    </row>
    <row r="986" spans="10:11" ht="14.3" customHeight="1">
      <c r="J986" s="46"/>
      <c r="K986" s="46"/>
    </row>
    <row r="987" spans="10:11" ht="14.3" customHeight="1">
      <c r="J987" s="46"/>
      <c r="K987" s="46"/>
    </row>
    <row r="988" spans="10:11" ht="14.3" customHeight="1">
      <c r="J988" s="46"/>
      <c r="K988" s="46"/>
    </row>
    <row r="989" spans="10:11" ht="14.3" customHeight="1">
      <c r="J989" s="46"/>
      <c r="K989" s="46"/>
    </row>
    <row r="990" spans="10:11" ht="14.3" customHeight="1">
      <c r="J990" s="46"/>
      <c r="K990" s="46"/>
    </row>
    <row r="991" spans="10:11" ht="14.3" customHeight="1">
      <c r="J991" s="46"/>
      <c r="K991" s="46"/>
    </row>
    <row r="992" spans="10:11" ht="14.3" customHeight="1">
      <c r="J992" s="46"/>
      <c r="K992" s="46"/>
    </row>
    <row r="993" spans="10:11" ht="14.3" customHeight="1">
      <c r="J993" s="46"/>
      <c r="K993" s="46"/>
    </row>
    <row r="994" spans="10:11" ht="14.3" customHeight="1">
      <c r="J994" s="46"/>
      <c r="K994" s="46"/>
    </row>
    <row r="995" spans="10:11" ht="14.3" customHeight="1">
      <c r="J995" s="46"/>
      <c r="K995" s="46"/>
    </row>
    <row r="996" spans="10:11" ht="14.3" customHeight="1">
      <c r="J996" s="46"/>
      <c r="K996" s="46"/>
    </row>
    <row r="997" spans="10:11" ht="14.3" customHeight="1">
      <c r="J997" s="46"/>
      <c r="K997" s="46"/>
    </row>
    <row r="998" spans="10:11" ht="14.3" customHeight="1">
      <c r="J998" s="46"/>
      <c r="K998" s="46"/>
    </row>
    <row r="999" spans="10:11" ht="14.3" customHeight="1">
      <c r="J999" s="46"/>
      <c r="K999" s="46"/>
    </row>
    <row r="1000" spans="10:11" ht="14.3" customHeight="1">
      <c r="J1000" s="46"/>
      <c r="K1000" s="46"/>
    </row>
  </sheetData>
  <mergeCells count="4">
    <mergeCell ref="C6:D6"/>
    <mergeCell ref="E6:F6"/>
    <mergeCell ref="G6:H6"/>
    <mergeCell ref="J6:K6"/>
  </mergeCell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0"/>
  <sheetViews>
    <sheetView topLeftCell="A10" zoomScale="133" zoomScaleNormal="133" workbookViewId="0">
      <selection activeCell="X15" sqref="X15:AD15"/>
    </sheetView>
  </sheetViews>
  <sheetFormatPr defaultColWidth="14.375" defaultRowHeight="14.95" customHeight="1"/>
  <cols>
    <col min="1" max="1" width="10.25" customWidth="1"/>
    <col min="2" max="2" width="0.875" customWidth="1"/>
    <col min="3" max="3" width="7.375" customWidth="1"/>
    <col min="4" max="4" width="11.25" customWidth="1"/>
    <col min="5" max="5" width="2.75" customWidth="1"/>
    <col min="6" max="6" width="0.875" customWidth="1"/>
    <col min="7" max="7" width="3.75" customWidth="1"/>
    <col min="8" max="8" width="2.75" customWidth="1"/>
    <col min="9" max="9" width="0.875" customWidth="1"/>
    <col min="10" max="10" width="5.25" customWidth="1"/>
    <col min="11" max="11" width="0.375" customWidth="1"/>
    <col min="12" max="12" width="1.875" customWidth="1"/>
    <col min="13" max="13" width="0.875" customWidth="1"/>
    <col min="14" max="15" width="1.875" customWidth="1"/>
    <col min="16" max="16" width="3.75" customWidth="1"/>
    <col min="17" max="17" width="2.75" customWidth="1"/>
    <col min="18" max="18" width="0.875" customWidth="1"/>
    <col min="19" max="19" width="1.875" customWidth="1"/>
    <col min="20" max="20" width="0.875" customWidth="1"/>
    <col min="21" max="21" width="1.875" customWidth="1"/>
    <col min="22" max="22" width="3.75" customWidth="1"/>
    <col min="23" max="24" width="0.875" customWidth="1"/>
    <col min="25" max="25" width="2.75" customWidth="1"/>
    <col min="26" max="26" width="0.875" customWidth="1"/>
    <col min="27" max="27" width="3.75" customWidth="1"/>
    <col min="28" max="28" width="2.75" customWidth="1"/>
    <col min="29" max="29" width="0.875" customWidth="1"/>
    <col min="30" max="30" width="1.875" customWidth="1"/>
    <col min="31" max="31" width="9.375" customWidth="1"/>
    <col min="32" max="32" width="12.75" customWidth="1"/>
    <col min="33" max="33" width="9" customWidth="1"/>
  </cols>
  <sheetData>
    <row r="1" spans="1:33" ht="10.55" customHeight="1">
      <c r="A1" s="128"/>
      <c r="B1" s="129"/>
      <c r="C1" s="129"/>
      <c r="D1" s="129"/>
      <c r="E1" s="129"/>
      <c r="F1" s="129"/>
      <c r="G1" s="129"/>
      <c r="H1" s="129"/>
      <c r="I1" s="129"/>
      <c r="J1" s="130"/>
      <c r="K1" s="13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38"/>
      <c r="AF1" s="51"/>
      <c r="AG1" s="51"/>
    </row>
    <row r="2" spans="1:33" ht="18" customHeight="1">
      <c r="A2" s="131"/>
      <c r="B2" s="132"/>
      <c r="C2" s="132"/>
      <c r="D2" s="132"/>
      <c r="E2" s="132"/>
      <c r="F2" s="132"/>
      <c r="G2" s="132"/>
      <c r="H2" s="132"/>
      <c r="I2" s="132"/>
      <c r="J2" s="133"/>
      <c r="K2" s="139" t="s">
        <v>62</v>
      </c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40"/>
      <c r="AF2" s="51"/>
      <c r="AG2" s="51"/>
    </row>
    <row r="3" spans="1:33" ht="15.8" customHeight="1">
      <c r="A3" s="134"/>
      <c r="B3" s="135"/>
      <c r="C3" s="135"/>
      <c r="D3" s="135"/>
      <c r="E3" s="135"/>
      <c r="F3" s="135"/>
      <c r="G3" s="135"/>
      <c r="H3" s="135"/>
      <c r="I3" s="135"/>
      <c r="J3" s="136"/>
      <c r="K3" s="141" t="s">
        <v>63</v>
      </c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40"/>
      <c r="AF3" s="51"/>
      <c r="AG3" s="51"/>
    </row>
    <row r="4" spans="1:33" ht="14.95" customHeight="1">
      <c r="A4" s="142"/>
      <c r="B4" s="143"/>
      <c r="C4" s="143"/>
      <c r="D4" s="143"/>
      <c r="E4" s="143"/>
      <c r="F4" s="143"/>
      <c r="G4" s="143"/>
      <c r="H4" s="143"/>
      <c r="I4" s="143"/>
      <c r="J4" s="144"/>
      <c r="K4" s="145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4"/>
      <c r="AF4" s="51"/>
      <c r="AG4" s="51"/>
    </row>
    <row r="5" spans="1:33" ht="10.55" customHeight="1">
      <c r="A5" s="147"/>
      <c r="B5" s="119"/>
      <c r="C5" s="119"/>
      <c r="D5" s="119"/>
      <c r="E5" s="119"/>
      <c r="F5" s="119"/>
      <c r="G5" s="119"/>
      <c r="H5" s="119"/>
      <c r="I5" s="119"/>
      <c r="J5" s="120"/>
      <c r="K5" s="146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20"/>
      <c r="AF5" s="51"/>
      <c r="AG5" s="51"/>
    </row>
    <row r="6" spans="1:33" ht="9" customHeight="1">
      <c r="A6" s="148" t="s">
        <v>64</v>
      </c>
      <c r="B6" s="110"/>
      <c r="C6" s="111"/>
      <c r="D6" s="112" t="s">
        <v>65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1"/>
      <c r="AF6" s="51"/>
      <c r="AG6" s="51"/>
    </row>
    <row r="7" spans="1:33" ht="9" customHeight="1">
      <c r="A7" s="148" t="s">
        <v>66</v>
      </c>
      <c r="B7" s="110"/>
      <c r="C7" s="111"/>
      <c r="D7" s="112" t="s">
        <v>67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1"/>
      <c r="AF7" s="51"/>
      <c r="AG7" s="51"/>
    </row>
    <row r="8" spans="1:33" ht="9" customHeight="1">
      <c r="A8" s="148" t="s">
        <v>68</v>
      </c>
      <c r="B8" s="110"/>
      <c r="C8" s="111"/>
      <c r="D8" s="112" t="s">
        <v>69</v>
      </c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1"/>
      <c r="AF8" s="51"/>
      <c r="AG8" s="51"/>
    </row>
    <row r="9" spans="1:33" ht="9" customHeight="1">
      <c r="A9" s="148" t="s">
        <v>70</v>
      </c>
      <c r="B9" s="110"/>
      <c r="C9" s="111"/>
      <c r="D9" s="112" t="s">
        <v>71</v>
      </c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1"/>
      <c r="AF9" s="51"/>
      <c r="AG9" s="51"/>
    </row>
    <row r="10" spans="1:33" ht="9" customHeight="1">
      <c r="A10" s="148" t="s">
        <v>72</v>
      </c>
      <c r="B10" s="110"/>
      <c r="C10" s="111"/>
      <c r="D10" s="112" t="s">
        <v>73</v>
      </c>
      <c r="E10" s="110"/>
      <c r="F10" s="110"/>
      <c r="G10" s="110"/>
      <c r="H10" s="110"/>
      <c r="I10" s="110"/>
      <c r="J10" s="110"/>
      <c r="K10" s="111"/>
      <c r="L10" s="148" t="s">
        <v>74</v>
      </c>
      <c r="M10" s="110"/>
      <c r="N10" s="110"/>
      <c r="O10" s="110"/>
      <c r="P10" s="110"/>
      <c r="Q10" s="110"/>
      <c r="R10" s="110"/>
      <c r="S10" s="110"/>
      <c r="T10" s="110"/>
      <c r="U10" s="111"/>
      <c r="V10" s="112" t="s">
        <v>75</v>
      </c>
      <c r="W10" s="110"/>
      <c r="X10" s="110"/>
      <c r="Y10" s="110"/>
      <c r="Z10" s="110"/>
      <c r="AA10" s="110"/>
      <c r="AB10" s="110"/>
      <c r="AC10" s="110"/>
      <c r="AD10" s="110"/>
      <c r="AE10" s="111"/>
      <c r="AF10" s="51"/>
      <c r="AG10" s="51"/>
    </row>
    <row r="11" spans="1:33" ht="9" customHeight="1">
      <c r="A11" s="148" t="s">
        <v>76</v>
      </c>
      <c r="B11" s="110"/>
      <c r="C11" s="111"/>
      <c r="D11" s="112" t="s">
        <v>77</v>
      </c>
      <c r="E11" s="110"/>
      <c r="F11" s="110"/>
      <c r="G11" s="110"/>
      <c r="H11" s="110"/>
      <c r="I11" s="110"/>
      <c r="J11" s="110"/>
      <c r="K11" s="111"/>
      <c r="L11" s="148" t="s">
        <v>78</v>
      </c>
      <c r="M11" s="110"/>
      <c r="N11" s="110"/>
      <c r="O11" s="110"/>
      <c r="P11" s="110"/>
      <c r="Q11" s="110"/>
      <c r="R11" s="110"/>
      <c r="S11" s="110"/>
      <c r="T11" s="110"/>
      <c r="U11" s="111"/>
      <c r="V11" s="112" t="s">
        <v>77</v>
      </c>
      <c r="W11" s="110"/>
      <c r="X11" s="110"/>
      <c r="Y11" s="110"/>
      <c r="Z11" s="110"/>
      <c r="AA11" s="110"/>
      <c r="AB11" s="110"/>
      <c r="AC11" s="110"/>
      <c r="AD11" s="110"/>
      <c r="AE11" s="111"/>
      <c r="AF11" s="51"/>
      <c r="AG11" s="51"/>
    </row>
    <row r="12" spans="1:33" ht="9" customHeight="1">
      <c r="A12" s="148" t="s">
        <v>79</v>
      </c>
      <c r="B12" s="110"/>
      <c r="C12" s="111"/>
      <c r="D12" s="112" t="s">
        <v>80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1"/>
      <c r="AF12" s="51"/>
      <c r="AG12" s="51"/>
    </row>
    <row r="13" spans="1:33" ht="10.55" customHeight="1">
      <c r="A13" s="149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20"/>
      <c r="AF13" s="51"/>
      <c r="AG13" s="51"/>
    </row>
    <row r="14" spans="1:33" ht="9" customHeight="1">
      <c r="A14" s="117" t="s">
        <v>81</v>
      </c>
      <c r="B14" s="111"/>
      <c r="C14" s="117" t="s">
        <v>82</v>
      </c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1"/>
      <c r="X14" s="109" t="s">
        <v>83</v>
      </c>
      <c r="Y14" s="110"/>
      <c r="Z14" s="110"/>
      <c r="AA14" s="110"/>
      <c r="AB14" s="110"/>
      <c r="AC14" s="110"/>
      <c r="AD14" s="111"/>
      <c r="AE14" s="79" t="s">
        <v>84</v>
      </c>
      <c r="AF14" s="80"/>
      <c r="AG14" s="80"/>
    </row>
    <row r="15" spans="1:33" ht="12.1" customHeight="1">
      <c r="A15" s="112" t="s">
        <v>85</v>
      </c>
      <c r="B15" s="111"/>
      <c r="C15" s="112" t="s">
        <v>7</v>
      </c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1"/>
      <c r="X15" s="127">
        <v>230869.63</v>
      </c>
      <c r="Y15" s="110"/>
      <c r="Z15" s="110"/>
      <c r="AA15" s="110"/>
      <c r="AB15" s="110"/>
      <c r="AC15" s="110"/>
      <c r="AD15" s="111"/>
      <c r="AE15" s="81">
        <v>0.21</v>
      </c>
      <c r="AF15" s="51"/>
      <c r="AG15" s="51"/>
    </row>
    <row r="16" spans="1:33" ht="12.1" customHeight="1">
      <c r="A16" s="112" t="s">
        <v>86</v>
      </c>
      <c r="B16" s="111"/>
      <c r="C16" s="112" t="s">
        <v>8</v>
      </c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1"/>
      <c r="X16" s="125">
        <v>933522.84</v>
      </c>
      <c r="Y16" s="110"/>
      <c r="Z16" s="110"/>
      <c r="AA16" s="110"/>
      <c r="AB16" s="110"/>
      <c r="AC16" s="110"/>
      <c r="AD16" s="111"/>
      <c r="AE16" s="81">
        <v>5.94</v>
      </c>
      <c r="AF16" s="51"/>
      <c r="AG16" s="51"/>
    </row>
    <row r="17" spans="1:33" ht="12.1" customHeight="1">
      <c r="A17" s="112" t="s">
        <v>87</v>
      </c>
      <c r="B17" s="111"/>
      <c r="C17" s="112" t="s">
        <v>9</v>
      </c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1"/>
      <c r="X17" s="125">
        <v>4384787.09</v>
      </c>
      <c r="Y17" s="110"/>
      <c r="Z17" s="110"/>
      <c r="AA17" s="110"/>
      <c r="AB17" s="110"/>
      <c r="AC17" s="110"/>
      <c r="AD17" s="111"/>
      <c r="AE17" s="82">
        <v>20.74</v>
      </c>
      <c r="AF17" s="51"/>
      <c r="AG17" s="51"/>
    </row>
    <row r="18" spans="1:33" ht="12.1" customHeight="1">
      <c r="A18" s="112" t="s">
        <v>88</v>
      </c>
      <c r="B18" s="111"/>
      <c r="C18" s="112" t="s">
        <v>89</v>
      </c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1"/>
      <c r="X18" s="124">
        <v>863630.83</v>
      </c>
      <c r="Y18" s="110"/>
      <c r="Z18" s="110"/>
      <c r="AA18" s="110"/>
      <c r="AB18" s="110"/>
      <c r="AC18" s="110"/>
      <c r="AD18" s="111"/>
      <c r="AE18" s="81">
        <v>3.92</v>
      </c>
      <c r="AF18" s="51"/>
      <c r="AG18" s="51"/>
    </row>
    <row r="19" spans="1:33" ht="12.1" customHeight="1">
      <c r="A19" s="112" t="s">
        <v>90</v>
      </c>
      <c r="B19" s="111"/>
      <c r="C19" s="112" t="s">
        <v>91</v>
      </c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1"/>
      <c r="X19" s="124">
        <v>420004.94</v>
      </c>
      <c r="Y19" s="110"/>
      <c r="Z19" s="110"/>
      <c r="AA19" s="110"/>
      <c r="AB19" s="110"/>
      <c r="AC19" s="110"/>
      <c r="AD19" s="111"/>
      <c r="AE19" s="81">
        <v>2.0499999999999998</v>
      </c>
      <c r="AF19" s="51"/>
      <c r="AG19" s="51"/>
    </row>
    <row r="20" spans="1:33" ht="12.1" customHeight="1">
      <c r="A20" s="112" t="s">
        <v>92</v>
      </c>
      <c r="B20" s="111"/>
      <c r="C20" s="112" t="s">
        <v>93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1"/>
      <c r="X20" s="124">
        <v>581844.71</v>
      </c>
      <c r="Y20" s="110"/>
      <c r="Z20" s="110"/>
      <c r="AA20" s="110"/>
      <c r="AB20" s="110"/>
      <c r="AC20" s="110"/>
      <c r="AD20" s="111"/>
      <c r="AE20" s="81">
        <v>4.75</v>
      </c>
      <c r="AF20" s="51"/>
      <c r="AG20" s="51"/>
    </row>
    <row r="21" spans="1:33" ht="12.1" customHeight="1">
      <c r="A21" s="112" t="s">
        <v>94</v>
      </c>
      <c r="B21" s="111"/>
      <c r="C21" s="112" t="s">
        <v>95</v>
      </c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1"/>
      <c r="X21" s="124">
        <v>828826.45</v>
      </c>
      <c r="Y21" s="110"/>
      <c r="Z21" s="110"/>
      <c r="AA21" s="110"/>
      <c r="AB21" s="110"/>
      <c r="AC21" s="110"/>
      <c r="AD21" s="111"/>
      <c r="AE21" s="81">
        <v>3.93</v>
      </c>
      <c r="AF21" s="51"/>
      <c r="AG21" s="51"/>
    </row>
    <row r="22" spans="1:33" ht="12.1" customHeight="1">
      <c r="A22" s="112" t="s">
        <v>96</v>
      </c>
      <c r="B22" s="111"/>
      <c r="C22" s="112" t="s">
        <v>97</v>
      </c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1"/>
      <c r="X22" s="124">
        <v>99985.54</v>
      </c>
      <c r="Y22" s="110"/>
      <c r="Z22" s="110"/>
      <c r="AA22" s="110"/>
      <c r="AB22" s="110"/>
      <c r="AC22" s="110"/>
      <c r="AD22" s="111"/>
      <c r="AE22" s="81">
        <v>0.76</v>
      </c>
      <c r="AF22" s="51"/>
      <c r="AG22" s="51"/>
    </row>
    <row r="23" spans="1:33" ht="12.1" customHeight="1">
      <c r="A23" s="112" t="s">
        <v>98</v>
      </c>
      <c r="B23" s="111"/>
      <c r="C23" s="112" t="s">
        <v>99</v>
      </c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1"/>
      <c r="X23" s="127">
        <v>89985.54</v>
      </c>
      <c r="Y23" s="110"/>
      <c r="Z23" s="110"/>
      <c r="AA23" s="110"/>
      <c r="AB23" s="110"/>
      <c r="AC23" s="110"/>
      <c r="AD23" s="111"/>
      <c r="AE23" s="81">
        <v>0.26</v>
      </c>
      <c r="AF23" s="51"/>
      <c r="AG23" s="51"/>
    </row>
    <row r="24" spans="1:33" ht="12.1" customHeight="1">
      <c r="A24" s="112" t="s">
        <v>100</v>
      </c>
      <c r="B24" s="111"/>
      <c r="C24" s="112" t="s">
        <v>101</v>
      </c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1"/>
      <c r="X24" s="124">
        <v>164481.09</v>
      </c>
      <c r="Y24" s="110"/>
      <c r="Z24" s="110"/>
      <c r="AA24" s="110"/>
      <c r="AB24" s="110"/>
      <c r="AC24" s="110"/>
      <c r="AD24" s="111"/>
      <c r="AE24" s="81">
        <v>0.83</v>
      </c>
      <c r="AF24" s="51"/>
      <c r="AG24" s="51"/>
    </row>
    <row r="25" spans="1:33" ht="12.1" customHeight="1">
      <c r="A25" s="112" t="s">
        <v>102</v>
      </c>
      <c r="B25" s="111"/>
      <c r="C25" s="112" t="s">
        <v>12</v>
      </c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1"/>
      <c r="X25" s="125">
        <v>1102590.8999999999</v>
      </c>
      <c r="Y25" s="110"/>
      <c r="Z25" s="110"/>
      <c r="AA25" s="110"/>
      <c r="AB25" s="110"/>
      <c r="AC25" s="110"/>
      <c r="AD25" s="111"/>
      <c r="AE25" s="81">
        <v>5.55</v>
      </c>
      <c r="AF25" s="51"/>
      <c r="AG25" s="51"/>
    </row>
    <row r="26" spans="1:33" ht="12.1" customHeight="1">
      <c r="A26" s="112" t="s">
        <v>103</v>
      </c>
      <c r="B26" s="111"/>
      <c r="C26" s="112" t="s">
        <v>104</v>
      </c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1"/>
      <c r="X26" s="127">
        <v>302100</v>
      </c>
      <c r="Y26" s="110"/>
      <c r="Z26" s="110"/>
      <c r="AA26" s="110"/>
      <c r="AB26" s="110"/>
      <c r="AC26" s="110"/>
      <c r="AD26" s="111"/>
      <c r="AE26" s="81">
        <v>0.24</v>
      </c>
      <c r="AF26" s="51"/>
      <c r="AG26" s="51"/>
    </row>
    <row r="27" spans="1:33" ht="12.1" customHeight="1">
      <c r="A27" s="112" t="s">
        <v>105</v>
      </c>
      <c r="B27" s="111"/>
      <c r="C27" s="112" t="s">
        <v>14</v>
      </c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1"/>
      <c r="X27" s="125">
        <v>1030085.41</v>
      </c>
      <c r="Y27" s="110"/>
      <c r="Z27" s="110"/>
      <c r="AA27" s="110"/>
      <c r="AB27" s="110"/>
      <c r="AC27" s="110"/>
      <c r="AD27" s="111"/>
      <c r="AE27" s="81">
        <v>5.16</v>
      </c>
      <c r="AF27" s="51"/>
      <c r="AG27" s="51"/>
    </row>
    <row r="28" spans="1:33" ht="12.1" customHeight="1">
      <c r="A28" s="112" t="s">
        <v>106</v>
      </c>
      <c r="B28" s="111"/>
      <c r="C28" s="112" t="s">
        <v>15</v>
      </c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1"/>
      <c r="X28" s="124">
        <v>344380.88</v>
      </c>
      <c r="Y28" s="110"/>
      <c r="Z28" s="110"/>
      <c r="AA28" s="110"/>
      <c r="AB28" s="110"/>
      <c r="AC28" s="110"/>
      <c r="AD28" s="111"/>
      <c r="AE28" s="81">
        <v>1.82</v>
      </c>
      <c r="AF28" s="51"/>
      <c r="AG28" s="51"/>
    </row>
    <row r="29" spans="1:33" ht="12.1" customHeight="1">
      <c r="A29" s="112" t="s">
        <v>107</v>
      </c>
      <c r="B29" s="111"/>
      <c r="C29" s="112" t="s">
        <v>16</v>
      </c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1"/>
      <c r="X29" s="125">
        <v>1388564.53</v>
      </c>
      <c r="Y29" s="110"/>
      <c r="Z29" s="110"/>
      <c r="AA29" s="110"/>
      <c r="AB29" s="110"/>
      <c r="AC29" s="110"/>
      <c r="AD29" s="111"/>
      <c r="AE29" s="81">
        <v>7.28</v>
      </c>
      <c r="AF29" s="51"/>
      <c r="AG29" s="51"/>
    </row>
    <row r="30" spans="1:33" ht="12.1" customHeight="1">
      <c r="A30" s="112" t="s">
        <v>108</v>
      </c>
      <c r="B30" s="111"/>
      <c r="C30" s="112" t="s">
        <v>109</v>
      </c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1"/>
      <c r="X30" s="124">
        <v>712320.05</v>
      </c>
      <c r="Y30" s="110"/>
      <c r="Z30" s="110"/>
      <c r="AA30" s="110"/>
      <c r="AB30" s="110"/>
      <c r="AC30" s="110"/>
      <c r="AD30" s="111"/>
      <c r="AE30" s="81">
        <v>3.3</v>
      </c>
      <c r="AF30" s="51"/>
      <c r="AG30" s="51"/>
    </row>
    <row r="31" spans="1:33" ht="12.1" customHeight="1">
      <c r="A31" s="112" t="s">
        <v>110</v>
      </c>
      <c r="B31" s="111"/>
      <c r="C31" s="112" t="s">
        <v>18</v>
      </c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1"/>
      <c r="X31" s="125">
        <v>1623887.72</v>
      </c>
      <c r="Y31" s="110"/>
      <c r="Z31" s="110"/>
      <c r="AA31" s="110"/>
      <c r="AB31" s="110"/>
      <c r="AC31" s="110"/>
      <c r="AD31" s="111"/>
      <c r="AE31" s="81">
        <v>8.27</v>
      </c>
      <c r="AF31" s="51"/>
      <c r="AG31" s="51"/>
    </row>
    <row r="32" spans="1:33" ht="12.1" customHeight="1">
      <c r="A32" s="112" t="s">
        <v>111</v>
      </c>
      <c r="B32" s="111"/>
      <c r="C32" s="112" t="s">
        <v>112</v>
      </c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1"/>
      <c r="X32" s="124">
        <v>170220.89</v>
      </c>
      <c r="Y32" s="110"/>
      <c r="Z32" s="110"/>
      <c r="AA32" s="110"/>
      <c r="AB32" s="110"/>
      <c r="AC32" s="110"/>
      <c r="AD32" s="111"/>
      <c r="AE32" s="81">
        <v>0.86</v>
      </c>
      <c r="AF32" s="51"/>
      <c r="AG32" s="51"/>
    </row>
    <row r="33" spans="1:33" ht="12.1" customHeight="1">
      <c r="A33" s="112" t="s">
        <v>113</v>
      </c>
      <c r="B33" s="111"/>
      <c r="C33" s="112" t="s">
        <v>19</v>
      </c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1"/>
      <c r="X33" s="127">
        <v>17889.509999999998</v>
      </c>
      <c r="Y33" s="110"/>
      <c r="Z33" s="110"/>
      <c r="AA33" s="110"/>
      <c r="AB33" s="110"/>
      <c r="AC33" s="110"/>
      <c r="AD33" s="111"/>
      <c r="AE33" s="81">
        <v>0.06</v>
      </c>
      <c r="AF33" s="51"/>
      <c r="AG33" s="51"/>
    </row>
    <row r="34" spans="1:33" ht="12.1" customHeight="1">
      <c r="A34" s="112" t="s">
        <v>114</v>
      </c>
      <c r="B34" s="111"/>
      <c r="C34" s="112" t="s">
        <v>115</v>
      </c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1"/>
      <c r="X34" s="125">
        <v>1579912.11</v>
      </c>
      <c r="Y34" s="110"/>
      <c r="Z34" s="110"/>
      <c r="AA34" s="110"/>
      <c r="AB34" s="110"/>
      <c r="AC34" s="110"/>
      <c r="AD34" s="111"/>
      <c r="AE34" s="81">
        <v>6.16</v>
      </c>
      <c r="AF34" s="51"/>
      <c r="AG34" s="51"/>
    </row>
    <row r="35" spans="1:33" ht="12.1" customHeight="1">
      <c r="A35" s="112" t="s">
        <v>116</v>
      </c>
      <c r="B35" s="111"/>
      <c r="C35" s="112" t="s">
        <v>117</v>
      </c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1"/>
      <c r="X35" s="124">
        <v>1676000</v>
      </c>
      <c r="Y35" s="110"/>
      <c r="Z35" s="110"/>
      <c r="AA35" s="110"/>
      <c r="AB35" s="110"/>
      <c r="AC35" s="110"/>
      <c r="AD35" s="111"/>
      <c r="AE35" s="81">
        <v>4.66</v>
      </c>
      <c r="AF35" s="51"/>
      <c r="AG35" s="51"/>
    </row>
    <row r="36" spans="1:33" ht="12.1" customHeight="1">
      <c r="A36" s="112" t="s">
        <v>118</v>
      </c>
      <c r="B36" s="111"/>
      <c r="C36" s="112" t="s">
        <v>119</v>
      </c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1"/>
      <c r="X36" s="124">
        <v>300000</v>
      </c>
      <c r="Y36" s="110"/>
      <c r="Z36" s="110"/>
      <c r="AA36" s="110"/>
      <c r="AB36" s="110"/>
      <c r="AC36" s="110"/>
      <c r="AD36" s="111"/>
      <c r="AE36" s="81">
        <v>1.28</v>
      </c>
      <c r="AF36" s="51"/>
      <c r="AG36" s="51"/>
    </row>
    <row r="37" spans="1:33" ht="14.3" customHeight="1">
      <c r="A37" s="109" t="s">
        <v>120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1"/>
      <c r="X37" s="121">
        <f>SUM(X15:AD36)</f>
        <v>18845890.660000004</v>
      </c>
      <c r="Y37" s="110"/>
      <c r="Z37" s="110"/>
      <c r="AA37" s="110"/>
      <c r="AB37" s="110"/>
      <c r="AC37" s="110"/>
      <c r="AD37" s="111"/>
      <c r="AE37" s="83">
        <v>88.03</v>
      </c>
      <c r="AF37" s="51"/>
      <c r="AG37" s="51"/>
    </row>
    <row r="38" spans="1:33" ht="10.55" customHeight="1">
      <c r="A38" s="113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4"/>
      <c r="AF38" s="51"/>
      <c r="AG38" s="51"/>
    </row>
    <row r="39" spans="1:33" ht="9" customHeight="1">
      <c r="A39" s="109" t="s">
        <v>64</v>
      </c>
      <c r="B39" s="110"/>
      <c r="C39" s="111"/>
      <c r="D39" s="112" t="s">
        <v>65</v>
      </c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1"/>
      <c r="AF39" s="51"/>
      <c r="AG39" s="51"/>
    </row>
    <row r="40" spans="1:33" ht="9" customHeight="1">
      <c r="A40" s="109" t="s">
        <v>66</v>
      </c>
      <c r="B40" s="110"/>
      <c r="C40" s="111"/>
      <c r="D40" s="112" t="s">
        <v>121</v>
      </c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1"/>
      <c r="AF40" s="51"/>
      <c r="AG40" s="51"/>
    </row>
    <row r="41" spans="1:33" ht="9" customHeight="1">
      <c r="A41" s="109" t="s">
        <v>68</v>
      </c>
      <c r="B41" s="110"/>
      <c r="C41" s="111"/>
      <c r="D41" s="112" t="s">
        <v>69</v>
      </c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1"/>
      <c r="AF41" s="51"/>
      <c r="AG41" s="51"/>
    </row>
    <row r="42" spans="1:33" ht="9" customHeight="1">
      <c r="A42" s="109" t="s">
        <v>70</v>
      </c>
      <c r="B42" s="110"/>
      <c r="C42" s="111"/>
      <c r="D42" s="112" t="s">
        <v>71</v>
      </c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1"/>
      <c r="AF42" s="51"/>
      <c r="AG42" s="51"/>
    </row>
    <row r="43" spans="1:33" ht="9" customHeight="1">
      <c r="A43" s="109" t="s">
        <v>72</v>
      </c>
      <c r="B43" s="110"/>
      <c r="C43" s="111"/>
      <c r="D43" s="112" t="s">
        <v>73</v>
      </c>
      <c r="E43" s="110"/>
      <c r="F43" s="110"/>
      <c r="G43" s="110"/>
      <c r="H43" s="110"/>
      <c r="I43" s="110"/>
      <c r="J43" s="110"/>
      <c r="K43" s="111"/>
      <c r="L43" s="109" t="s">
        <v>74</v>
      </c>
      <c r="M43" s="110"/>
      <c r="N43" s="110"/>
      <c r="O43" s="110"/>
      <c r="P43" s="110"/>
      <c r="Q43" s="110"/>
      <c r="R43" s="110"/>
      <c r="S43" s="110"/>
      <c r="T43" s="110"/>
      <c r="U43" s="111"/>
      <c r="V43" s="112" t="s">
        <v>75</v>
      </c>
      <c r="W43" s="110"/>
      <c r="X43" s="110"/>
      <c r="Y43" s="110"/>
      <c r="Z43" s="110"/>
      <c r="AA43" s="110"/>
      <c r="AB43" s="110"/>
      <c r="AC43" s="110"/>
      <c r="AD43" s="110"/>
      <c r="AE43" s="111"/>
      <c r="AF43" s="51"/>
      <c r="AG43" s="51"/>
    </row>
    <row r="44" spans="1:33" ht="9" customHeight="1">
      <c r="A44" s="109" t="s">
        <v>76</v>
      </c>
      <c r="B44" s="110"/>
      <c r="C44" s="111"/>
      <c r="D44" s="112" t="s">
        <v>77</v>
      </c>
      <c r="E44" s="110"/>
      <c r="F44" s="110"/>
      <c r="G44" s="110"/>
      <c r="H44" s="110"/>
      <c r="I44" s="110"/>
      <c r="J44" s="110"/>
      <c r="K44" s="111"/>
      <c r="L44" s="109" t="s">
        <v>78</v>
      </c>
      <c r="M44" s="110"/>
      <c r="N44" s="110"/>
      <c r="O44" s="110"/>
      <c r="P44" s="110"/>
      <c r="Q44" s="110"/>
      <c r="R44" s="110"/>
      <c r="S44" s="110"/>
      <c r="T44" s="110"/>
      <c r="U44" s="111"/>
      <c r="V44" s="112" t="s">
        <v>77</v>
      </c>
      <c r="W44" s="110"/>
      <c r="X44" s="110"/>
      <c r="Y44" s="110"/>
      <c r="Z44" s="110"/>
      <c r="AA44" s="110"/>
      <c r="AB44" s="110"/>
      <c r="AC44" s="110"/>
      <c r="AD44" s="110"/>
      <c r="AE44" s="111"/>
      <c r="AF44" s="51"/>
      <c r="AG44" s="51"/>
    </row>
    <row r="45" spans="1:33" ht="9" customHeight="1">
      <c r="A45" s="109" t="s">
        <v>79</v>
      </c>
      <c r="B45" s="110"/>
      <c r="C45" s="111"/>
      <c r="D45" s="112" t="s">
        <v>80</v>
      </c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1"/>
      <c r="AF45" s="51"/>
      <c r="AG45" s="51"/>
    </row>
    <row r="46" spans="1:33" ht="10.55" customHeight="1">
      <c r="A46" s="113"/>
      <c r="B46" s="110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4"/>
      <c r="AF46" s="51"/>
      <c r="AG46" s="51"/>
    </row>
    <row r="47" spans="1:33" ht="9" customHeight="1">
      <c r="A47" s="117" t="s">
        <v>81</v>
      </c>
      <c r="B47" s="111"/>
      <c r="C47" s="117" t="s">
        <v>82</v>
      </c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1"/>
      <c r="X47" s="109" t="s">
        <v>83</v>
      </c>
      <c r="Y47" s="110"/>
      <c r="Z47" s="110"/>
      <c r="AA47" s="110"/>
      <c r="AB47" s="110"/>
      <c r="AC47" s="110"/>
      <c r="AD47" s="111"/>
      <c r="AE47" s="79" t="s">
        <v>84</v>
      </c>
      <c r="AF47" s="51"/>
      <c r="AG47" s="51"/>
    </row>
    <row r="48" spans="1:33" ht="9" customHeight="1">
      <c r="A48" s="112" t="s">
        <v>85</v>
      </c>
      <c r="B48" s="111"/>
      <c r="C48" s="112" t="s">
        <v>122</v>
      </c>
      <c r="D48" s="110"/>
      <c r="E48" s="110"/>
      <c r="F48" s="110"/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0"/>
      <c r="V48" s="110"/>
      <c r="W48" s="111"/>
      <c r="X48" s="124">
        <v>704184.6</v>
      </c>
      <c r="Y48" s="110"/>
      <c r="Z48" s="110"/>
      <c r="AA48" s="110"/>
      <c r="AB48" s="110"/>
      <c r="AC48" s="110"/>
      <c r="AD48" s="111"/>
      <c r="AE48" s="81">
        <v>3.4</v>
      </c>
      <c r="AF48" s="51"/>
      <c r="AG48" s="51"/>
    </row>
    <row r="49" spans="1:33" ht="9" customHeight="1">
      <c r="A49" s="112" t="s">
        <v>86</v>
      </c>
      <c r="B49" s="111"/>
      <c r="C49" s="112" t="s">
        <v>123</v>
      </c>
      <c r="D49" s="110"/>
      <c r="E49" s="110"/>
      <c r="F49" s="110"/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0"/>
      <c r="V49" s="110"/>
      <c r="W49" s="111"/>
      <c r="X49" s="124">
        <v>957206.28</v>
      </c>
      <c r="Y49" s="110"/>
      <c r="Z49" s="110"/>
      <c r="AA49" s="110"/>
      <c r="AB49" s="110"/>
      <c r="AC49" s="110"/>
      <c r="AD49" s="111"/>
      <c r="AE49" s="81">
        <v>4.5999999999999996</v>
      </c>
      <c r="AF49" s="51"/>
      <c r="AG49" s="51"/>
    </row>
    <row r="50" spans="1:33" ht="9" customHeight="1">
      <c r="A50" s="112" t="s">
        <v>87</v>
      </c>
      <c r="B50" s="111"/>
      <c r="C50" s="112" t="s">
        <v>124</v>
      </c>
      <c r="D50" s="110"/>
      <c r="E50" s="110"/>
      <c r="F50" s="110"/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1"/>
      <c r="X50" s="124">
        <v>723541</v>
      </c>
      <c r="Y50" s="110"/>
      <c r="Z50" s="110"/>
      <c r="AA50" s="110"/>
      <c r="AB50" s="110"/>
      <c r="AC50" s="110"/>
      <c r="AD50" s="111"/>
      <c r="AE50" s="81">
        <v>3.49</v>
      </c>
      <c r="AF50" s="51"/>
      <c r="AG50" s="51"/>
    </row>
    <row r="51" spans="1:33" ht="9" customHeight="1">
      <c r="A51" s="109" t="s">
        <v>120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1"/>
      <c r="X51" s="126">
        <v>2380921.35</v>
      </c>
      <c r="Y51" s="110"/>
      <c r="Z51" s="110"/>
      <c r="AA51" s="110"/>
      <c r="AB51" s="110"/>
      <c r="AC51" s="110"/>
      <c r="AD51" s="111"/>
      <c r="AE51" s="83">
        <v>11.97</v>
      </c>
      <c r="AF51" s="51"/>
      <c r="AG51" s="51"/>
    </row>
    <row r="52" spans="1:33" ht="9" customHeight="1">
      <c r="A52" s="109" t="s">
        <v>125</v>
      </c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1"/>
      <c r="X52" s="121">
        <v>19882789.57</v>
      </c>
      <c r="Y52" s="110"/>
      <c r="Z52" s="110"/>
      <c r="AA52" s="110"/>
      <c r="AB52" s="110"/>
      <c r="AC52" s="110"/>
      <c r="AD52" s="111"/>
      <c r="AE52" s="84">
        <v>100</v>
      </c>
      <c r="AF52" s="51"/>
      <c r="AG52" s="51"/>
    </row>
    <row r="53" spans="1:33" ht="2.25" customHeight="1">
      <c r="A53" s="118"/>
      <c r="B53" s="119"/>
      <c r="C53" s="119"/>
      <c r="D53" s="120"/>
      <c r="E53" s="122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20"/>
      <c r="U53" s="123"/>
      <c r="V53" s="119"/>
      <c r="W53" s="119"/>
      <c r="X53" s="119"/>
      <c r="Y53" s="119"/>
      <c r="Z53" s="119"/>
      <c r="AA53" s="119"/>
      <c r="AB53" s="119"/>
      <c r="AC53" s="119"/>
      <c r="AD53" s="119"/>
      <c r="AE53" s="120"/>
      <c r="AF53" s="51"/>
      <c r="AG53" s="51"/>
    </row>
    <row r="54" spans="1:33" ht="8.35" customHeight="1">
      <c r="A54" s="106" t="s">
        <v>126</v>
      </c>
      <c r="B54" s="107"/>
      <c r="C54" s="107"/>
      <c r="D54" s="108"/>
      <c r="E54" s="115" t="s">
        <v>127</v>
      </c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8"/>
      <c r="U54" s="116"/>
      <c r="V54" s="107"/>
      <c r="W54" s="107"/>
      <c r="X54" s="107"/>
      <c r="Y54" s="107"/>
      <c r="Z54" s="107"/>
      <c r="AA54" s="107"/>
      <c r="AB54" s="107"/>
      <c r="AC54" s="107"/>
      <c r="AD54" s="107"/>
      <c r="AE54" s="108"/>
      <c r="AF54" s="51"/>
      <c r="AG54" s="51"/>
    </row>
    <row r="55" spans="1:33" ht="14.3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</row>
    <row r="56" spans="1:33" ht="14.3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</row>
    <row r="57" spans="1:33" ht="14.3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</row>
    <row r="58" spans="1:33" ht="14.3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</row>
    <row r="59" spans="1:33" ht="14.3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</row>
    <row r="60" spans="1:33" ht="14.3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</row>
    <row r="61" spans="1:33" ht="14.3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</row>
    <row r="62" spans="1:33" ht="14.3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</row>
    <row r="63" spans="1:33" ht="14.3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</row>
    <row r="64" spans="1:33" ht="14.3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</row>
    <row r="65" spans="1:33" ht="14.3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</row>
    <row r="66" spans="1:33" ht="14.3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</row>
    <row r="67" spans="1:33" ht="14.3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</row>
    <row r="68" spans="1:33" ht="14.3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</row>
    <row r="69" spans="1:33" ht="14.3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</row>
    <row r="70" spans="1:33" ht="14.3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</row>
    <row r="71" spans="1:33" ht="14.3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</row>
    <row r="72" spans="1:33" ht="14.3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</row>
    <row r="73" spans="1:33" ht="14.3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</row>
    <row r="74" spans="1:33" ht="14.3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</row>
    <row r="75" spans="1:33" ht="14.3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</row>
    <row r="76" spans="1:33" ht="14.3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</row>
    <row r="77" spans="1:33" ht="14.3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</row>
    <row r="78" spans="1:33" ht="14.3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</row>
    <row r="79" spans="1:33" ht="14.3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</row>
    <row r="80" spans="1:33" ht="14.3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</row>
    <row r="81" spans="1:33" ht="14.3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</row>
    <row r="82" spans="1:33" ht="14.3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</row>
    <row r="83" spans="1:33" ht="14.3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</row>
    <row r="84" spans="1:33" ht="14.3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</row>
    <row r="85" spans="1:33" ht="14.3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</row>
    <row r="86" spans="1:33" ht="14.3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</row>
    <row r="87" spans="1:33" ht="14.3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</row>
    <row r="88" spans="1:33" ht="14.3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</row>
    <row r="89" spans="1:33" ht="14.3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</row>
    <row r="90" spans="1:33" ht="14.3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</row>
    <row r="91" spans="1:33" ht="14.3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</row>
    <row r="92" spans="1:33" ht="14.3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</row>
    <row r="93" spans="1:33" ht="14.3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</row>
    <row r="94" spans="1:33" ht="14.3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</row>
    <row r="95" spans="1:33" ht="14.3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</row>
    <row r="96" spans="1:33" ht="14.3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</row>
    <row r="97" spans="1:33" ht="14.3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</row>
    <row r="98" spans="1:33" ht="14.3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</row>
    <row r="99" spans="1:33" ht="14.3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</row>
    <row r="100" spans="1:33" ht="14.3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</row>
    <row r="101" spans="1:33" ht="14.3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</row>
    <row r="102" spans="1:33" ht="14.3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</row>
    <row r="103" spans="1:33" ht="14.3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</row>
    <row r="104" spans="1:33" ht="14.3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</row>
    <row r="105" spans="1:33" ht="14.3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</row>
    <row r="106" spans="1:33" ht="14.3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</row>
    <row r="107" spans="1:33" ht="14.3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</row>
    <row r="108" spans="1:33" ht="14.3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</row>
    <row r="109" spans="1:33" ht="14.3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</row>
    <row r="110" spans="1:33" ht="14.3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</row>
    <row r="111" spans="1:33" ht="14.3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</row>
    <row r="112" spans="1:33" ht="14.3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</row>
    <row r="113" spans="1:33" ht="14.3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</row>
    <row r="114" spans="1:33" ht="14.3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</row>
    <row r="115" spans="1:33" ht="14.3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</row>
    <row r="116" spans="1:33" ht="14.3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</row>
    <row r="117" spans="1:33" ht="14.3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</row>
    <row r="118" spans="1:33" ht="14.3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</row>
    <row r="119" spans="1:33" ht="14.3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</row>
    <row r="120" spans="1:33" ht="14.3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</row>
    <row r="121" spans="1:33" ht="14.3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</row>
    <row r="122" spans="1:33" ht="14.3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</row>
    <row r="123" spans="1:33" ht="14.3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</row>
    <row r="124" spans="1:33" ht="14.3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</row>
    <row r="125" spans="1:33" ht="14.3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</row>
    <row r="126" spans="1:33" ht="14.3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</row>
    <row r="127" spans="1:33" ht="14.3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</row>
    <row r="128" spans="1:33" ht="14.3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</row>
    <row r="129" spans="1:33" ht="14.3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</row>
    <row r="130" spans="1:33" ht="14.3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</row>
    <row r="131" spans="1:33" ht="14.3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</row>
    <row r="132" spans="1:33" ht="14.3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</row>
    <row r="133" spans="1:33" ht="14.3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</row>
    <row r="134" spans="1:33" ht="14.3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</row>
    <row r="135" spans="1:33" ht="14.3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</row>
    <row r="136" spans="1:33" ht="14.3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</row>
    <row r="137" spans="1:33" ht="14.3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</row>
    <row r="138" spans="1:33" ht="14.3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</row>
    <row r="139" spans="1:33" ht="14.3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</row>
    <row r="140" spans="1:33" ht="14.3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</row>
    <row r="141" spans="1:33" ht="14.3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</row>
    <row r="142" spans="1:33" ht="14.3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</row>
    <row r="143" spans="1:33" ht="14.3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</row>
    <row r="144" spans="1:33" ht="14.3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</row>
    <row r="145" spans="1:33" ht="14.3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</row>
    <row r="146" spans="1:33" ht="14.3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</row>
    <row r="147" spans="1:33" ht="14.3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</row>
    <row r="148" spans="1:33" ht="14.3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</row>
    <row r="149" spans="1:33" ht="14.3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</row>
    <row r="150" spans="1:33" ht="14.3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</row>
    <row r="151" spans="1:33" ht="14.3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</row>
    <row r="152" spans="1:33" ht="14.3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</row>
    <row r="153" spans="1:33" ht="14.3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</row>
    <row r="154" spans="1:33" ht="14.3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</row>
    <row r="155" spans="1:33" ht="14.3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</row>
    <row r="156" spans="1:33" ht="14.3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</row>
    <row r="157" spans="1:33" ht="14.3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</row>
    <row r="158" spans="1:33" ht="14.3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</row>
    <row r="159" spans="1:33" ht="14.3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</row>
    <row r="160" spans="1:33" ht="14.3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</row>
    <row r="161" spans="1:33" ht="14.3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</row>
    <row r="162" spans="1:33" ht="14.3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</row>
    <row r="163" spans="1:33" ht="14.3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</row>
    <row r="164" spans="1:33" ht="14.3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</row>
    <row r="165" spans="1:33" ht="14.3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</row>
    <row r="166" spans="1:33" ht="14.3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</row>
    <row r="167" spans="1:33" ht="14.3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</row>
    <row r="168" spans="1:33" ht="14.3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</row>
    <row r="169" spans="1:33" ht="14.3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</row>
    <row r="170" spans="1:33" ht="14.3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</row>
    <row r="171" spans="1:33" ht="14.3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</row>
    <row r="172" spans="1:33" ht="14.3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</row>
    <row r="173" spans="1:33" ht="14.3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</row>
    <row r="174" spans="1:33" ht="14.3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</row>
    <row r="175" spans="1:33" ht="14.3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</row>
    <row r="176" spans="1:33" ht="14.3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</row>
    <row r="177" spans="1:33" ht="14.3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</row>
    <row r="178" spans="1:33" ht="14.3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</row>
    <row r="179" spans="1:33" ht="14.3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</row>
    <row r="180" spans="1:33" ht="14.3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</row>
    <row r="181" spans="1:33" ht="14.3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</row>
    <row r="182" spans="1:33" ht="14.3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</row>
    <row r="183" spans="1:33" ht="14.3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</row>
    <row r="184" spans="1:33" ht="14.3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</row>
    <row r="185" spans="1:33" ht="14.3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</row>
    <row r="186" spans="1:33" ht="14.3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</row>
    <row r="187" spans="1:33" ht="14.3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</row>
    <row r="188" spans="1:33" ht="14.3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</row>
    <row r="189" spans="1:33" ht="14.3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</row>
    <row r="190" spans="1:33" ht="14.3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</row>
    <row r="191" spans="1:33" ht="14.3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</row>
    <row r="192" spans="1:33" ht="14.3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</row>
    <row r="193" spans="1:33" ht="14.3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</row>
    <row r="194" spans="1:33" ht="14.3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</row>
    <row r="195" spans="1:33" ht="14.3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</row>
    <row r="196" spans="1:33" ht="14.3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</row>
    <row r="197" spans="1:33" ht="14.3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</row>
    <row r="198" spans="1:33" ht="14.3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</row>
    <row r="199" spans="1:33" ht="14.3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</row>
    <row r="200" spans="1:33" ht="14.3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</row>
    <row r="201" spans="1:33" ht="14.3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</row>
    <row r="202" spans="1:33" ht="14.3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</row>
    <row r="203" spans="1:33" ht="14.3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</row>
    <row r="204" spans="1:33" ht="14.3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</row>
    <row r="205" spans="1:33" ht="14.3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</row>
    <row r="206" spans="1:33" ht="14.3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</row>
    <row r="207" spans="1:33" ht="14.3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</row>
    <row r="208" spans="1:33" ht="14.3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</row>
    <row r="209" spans="1:33" ht="14.3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</row>
    <row r="210" spans="1:33" ht="14.3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</row>
    <row r="211" spans="1:33" ht="14.3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</row>
    <row r="212" spans="1:33" ht="14.3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</row>
    <row r="213" spans="1:33" ht="14.3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</row>
    <row r="214" spans="1:33" ht="14.3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</row>
    <row r="215" spans="1:33" ht="14.3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</row>
    <row r="216" spans="1:33" ht="14.3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</row>
    <row r="217" spans="1:33" ht="14.3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</row>
    <row r="218" spans="1:33" ht="14.3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</row>
    <row r="219" spans="1:33" ht="14.3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</row>
    <row r="220" spans="1:33" ht="14.3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</row>
    <row r="221" spans="1:33" ht="14.3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</row>
    <row r="222" spans="1:33" ht="14.3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</row>
    <row r="223" spans="1:33" ht="14.3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</row>
    <row r="224" spans="1:33" ht="14.3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</row>
    <row r="225" spans="1:33" ht="14.3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</row>
    <row r="226" spans="1:33" ht="14.3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</row>
    <row r="227" spans="1:33" ht="14.3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</row>
    <row r="228" spans="1:33" ht="14.3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</row>
    <row r="229" spans="1:33" ht="14.3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</row>
    <row r="230" spans="1:33" ht="14.3" customHeigh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</row>
    <row r="231" spans="1:33" ht="14.3" customHeight="1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</row>
    <row r="232" spans="1:33" ht="14.3" customHeight="1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</row>
    <row r="233" spans="1:33" ht="14.3" customHeigh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</row>
    <row r="234" spans="1:33" ht="14.3" customHeight="1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</row>
    <row r="235" spans="1:33" ht="14.3" customHeight="1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</row>
    <row r="236" spans="1:33" ht="14.3" customHeigh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</row>
    <row r="237" spans="1:33" ht="14.3" customHeight="1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</row>
    <row r="238" spans="1:33" ht="14.3" customHeight="1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</row>
    <row r="239" spans="1:33" ht="14.3" customHeight="1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</row>
    <row r="240" spans="1:33" ht="14.3" customHeight="1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</row>
    <row r="241" spans="1:33" ht="14.3" customHeight="1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</row>
    <row r="242" spans="1:33" ht="14.3" customHeight="1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</row>
    <row r="243" spans="1:33" ht="14.3" customHeight="1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</row>
    <row r="244" spans="1:33" ht="14.3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</row>
    <row r="245" spans="1:33" ht="14.3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</row>
    <row r="246" spans="1:33" ht="14.3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</row>
    <row r="247" spans="1:33" ht="14.3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</row>
    <row r="248" spans="1:33" ht="14.3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</row>
    <row r="249" spans="1:33" ht="14.3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</row>
    <row r="250" spans="1:33" ht="14.3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</row>
    <row r="251" spans="1:33" ht="14.3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</row>
    <row r="252" spans="1:33" ht="14.3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</row>
    <row r="253" spans="1:33" ht="14.3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</row>
    <row r="254" spans="1:33" ht="14.3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</row>
    <row r="255" spans="1:33" ht="14.3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</row>
    <row r="256" spans="1:33" ht="14.3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</row>
    <row r="257" spans="1:33" ht="14.3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</row>
    <row r="258" spans="1:33" ht="14.3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</row>
    <row r="259" spans="1:33" ht="14.3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</row>
    <row r="260" spans="1:33" ht="14.3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</row>
    <row r="261" spans="1:33" ht="14.3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</row>
    <row r="262" spans="1:33" ht="14.3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</row>
    <row r="263" spans="1:33" ht="14.3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</row>
    <row r="264" spans="1:33" ht="14.3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</row>
    <row r="265" spans="1:33" ht="14.3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</row>
    <row r="266" spans="1:33" ht="14.3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</row>
    <row r="267" spans="1:33" ht="14.3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</row>
    <row r="268" spans="1:33" ht="14.3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</row>
    <row r="269" spans="1:33" ht="14.3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</row>
    <row r="270" spans="1:33" ht="14.3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</row>
    <row r="271" spans="1:33" ht="14.3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</row>
    <row r="272" spans="1:33" ht="14.3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</row>
    <row r="273" spans="1:33" ht="14.3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</row>
    <row r="274" spans="1:33" ht="14.3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  <row r="275" spans="1:33" ht="14.3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</row>
    <row r="276" spans="1:33" ht="14.3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</row>
    <row r="277" spans="1:33" ht="14.3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</row>
    <row r="278" spans="1:33" ht="14.3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</row>
    <row r="279" spans="1:33" ht="14.3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</row>
    <row r="280" spans="1:33" ht="14.3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</row>
    <row r="281" spans="1:33" ht="14.3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</row>
    <row r="282" spans="1:33" ht="14.3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</row>
    <row r="283" spans="1:33" ht="14.3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</row>
    <row r="284" spans="1:33" ht="14.3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</row>
    <row r="285" spans="1:33" ht="14.3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</row>
    <row r="286" spans="1:33" ht="14.3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</row>
    <row r="287" spans="1:33" ht="14.3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</row>
    <row r="288" spans="1:33" ht="14.3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</row>
    <row r="289" spans="1:33" ht="14.3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</row>
    <row r="290" spans="1:33" ht="14.3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</row>
    <row r="291" spans="1:33" ht="14.3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</row>
    <row r="292" spans="1:33" ht="14.3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</row>
    <row r="293" spans="1:33" ht="14.3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</row>
    <row r="294" spans="1:33" ht="14.3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</row>
    <row r="295" spans="1:33" ht="14.3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</row>
    <row r="296" spans="1:33" ht="14.3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</row>
    <row r="297" spans="1:33" ht="14.3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</row>
    <row r="298" spans="1:33" ht="14.3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</row>
    <row r="299" spans="1:33" ht="14.3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</row>
    <row r="300" spans="1:33" ht="14.3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</row>
    <row r="301" spans="1:33" ht="14.3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</row>
    <row r="302" spans="1:33" ht="14.3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</row>
    <row r="303" spans="1:33" ht="14.3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</row>
    <row r="304" spans="1:33" ht="14.3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</row>
    <row r="305" spans="1:33" ht="14.3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</row>
    <row r="306" spans="1:33" ht="14.3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</row>
    <row r="307" spans="1:33" ht="14.3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</row>
    <row r="308" spans="1:33" ht="14.3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</row>
    <row r="309" spans="1:33" ht="14.3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</row>
    <row r="310" spans="1:33" ht="14.3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</row>
    <row r="311" spans="1:33" ht="14.3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</row>
    <row r="312" spans="1:33" ht="14.3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</row>
    <row r="313" spans="1:33" ht="14.3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</row>
    <row r="314" spans="1:33" ht="14.3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</row>
    <row r="315" spans="1:33" ht="14.3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</row>
    <row r="316" spans="1:33" ht="14.3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</row>
    <row r="317" spans="1:33" ht="14.3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</row>
    <row r="318" spans="1:33" ht="14.3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</row>
    <row r="319" spans="1:33" ht="14.3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</row>
    <row r="320" spans="1:33" ht="14.3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</row>
    <row r="321" spans="1:33" ht="14.3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</row>
    <row r="322" spans="1:33" ht="14.3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</row>
    <row r="323" spans="1:33" ht="14.3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</row>
    <row r="324" spans="1:33" ht="14.3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</row>
    <row r="325" spans="1:33" ht="14.3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</row>
    <row r="326" spans="1:33" ht="14.3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</row>
    <row r="327" spans="1:33" ht="14.3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</row>
    <row r="328" spans="1:33" ht="14.3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</row>
    <row r="329" spans="1:33" ht="14.3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</row>
    <row r="330" spans="1:33" ht="14.3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</row>
    <row r="331" spans="1:33" ht="14.3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</row>
    <row r="332" spans="1:33" ht="14.3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</row>
    <row r="333" spans="1:33" ht="14.3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</row>
    <row r="334" spans="1:33" ht="14.3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</row>
    <row r="335" spans="1:33" ht="14.3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</row>
    <row r="336" spans="1:33" ht="14.3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</row>
    <row r="337" spans="1:33" ht="14.3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</row>
    <row r="338" spans="1:33" ht="14.3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</row>
    <row r="339" spans="1:33" ht="14.3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</row>
    <row r="340" spans="1:33" ht="14.3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</row>
    <row r="341" spans="1:33" ht="14.3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</row>
    <row r="342" spans="1:33" ht="14.3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</row>
    <row r="343" spans="1:33" ht="14.3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</row>
    <row r="344" spans="1:33" ht="14.3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</row>
    <row r="345" spans="1:33" ht="14.3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</row>
    <row r="346" spans="1:33" ht="14.3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</row>
    <row r="347" spans="1:33" ht="14.3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</row>
    <row r="348" spans="1:33" ht="14.3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</row>
    <row r="349" spans="1:33" ht="14.3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</row>
    <row r="350" spans="1:33" ht="14.3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</row>
    <row r="351" spans="1:33" ht="14.3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</row>
    <row r="352" spans="1:33" ht="14.3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</row>
    <row r="353" spans="1:33" ht="14.3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</row>
    <row r="354" spans="1:33" ht="14.3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</row>
    <row r="355" spans="1:33" ht="14.3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</row>
    <row r="356" spans="1:33" ht="14.3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</row>
    <row r="357" spans="1:33" ht="14.3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</row>
    <row r="358" spans="1:33" ht="14.3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</row>
    <row r="359" spans="1:33" ht="14.3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</row>
    <row r="360" spans="1:33" ht="14.3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</row>
    <row r="361" spans="1:33" ht="14.3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</row>
    <row r="362" spans="1:33" ht="14.3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</row>
    <row r="363" spans="1:33" ht="14.3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</row>
    <row r="364" spans="1:33" ht="14.3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</row>
    <row r="365" spans="1:33" ht="14.3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</row>
    <row r="366" spans="1:33" ht="14.3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</row>
    <row r="367" spans="1:33" ht="14.3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</row>
    <row r="368" spans="1:33" ht="14.3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</row>
    <row r="369" spans="1:33" ht="14.3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</row>
    <row r="370" spans="1:33" ht="14.3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</row>
    <row r="371" spans="1:33" ht="14.3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</row>
    <row r="372" spans="1:33" ht="14.3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</row>
    <row r="373" spans="1:33" ht="14.3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</row>
    <row r="374" spans="1:33" ht="14.3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</row>
    <row r="375" spans="1:33" ht="14.3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</row>
    <row r="376" spans="1:33" ht="14.3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</row>
    <row r="377" spans="1:33" ht="14.3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</row>
    <row r="378" spans="1:33" ht="14.3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</row>
    <row r="379" spans="1:33" ht="14.3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</row>
    <row r="380" spans="1:33" ht="14.3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</row>
    <row r="381" spans="1:33" ht="14.3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</row>
    <row r="382" spans="1:33" ht="14.3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</row>
    <row r="383" spans="1:33" ht="14.3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</row>
    <row r="384" spans="1:33" ht="14.3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</row>
    <row r="385" spans="1:33" ht="14.3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</row>
    <row r="386" spans="1:33" ht="14.3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</row>
    <row r="387" spans="1:33" ht="14.3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</row>
    <row r="388" spans="1:33" ht="14.3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</row>
    <row r="389" spans="1:33" ht="14.3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</row>
    <row r="390" spans="1:33" ht="14.3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</row>
    <row r="391" spans="1:33" ht="14.3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</row>
    <row r="392" spans="1:33" ht="14.3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</row>
    <row r="393" spans="1:33" ht="14.3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</row>
    <row r="394" spans="1:33" ht="14.3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</row>
    <row r="395" spans="1:33" ht="14.3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</row>
    <row r="396" spans="1:33" ht="14.3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</row>
    <row r="397" spans="1:33" ht="14.3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</row>
    <row r="398" spans="1:33" ht="14.3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</row>
    <row r="399" spans="1:33" ht="14.3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</row>
    <row r="400" spans="1:33" ht="14.3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</row>
    <row r="401" spans="1:33" ht="14.3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</row>
    <row r="402" spans="1:33" ht="14.3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</row>
    <row r="403" spans="1:33" ht="14.3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</row>
    <row r="404" spans="1:33" ht="14.3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</row>
    <row r="405" spans="1:33" ht="14.3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</row>
    <row r="406" spans="1:33" ht="14.3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</row>
    <row r="407" spans="1:33" ht="14.3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</row>
    <row r="408" spans="1:33" ht="14.3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</row>
    <row r="409" spans="1:33" ht="14.3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</row>
    <row r="410" spans="1:33" ht="14.3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</row>
    <row r="411" spans="1:33" ht="14.3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</row>
    <row r="412" spans="1:33" ht="14.3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</row>
    <row r="413" spans="1:33" ht="14.3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</row>
    <row r="414" spans="1:33" ht="14.3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</row>
    <row r="415" spans="1:33" ht="14.3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</row>
    <row r="416" spans="1:33" ht="14.3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</row>
    <row r="417" spans="1:33" ht="14.3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</row>
    <row r="418" spans="1:33" ht="14.3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</row>
    <row r="419" spans="1:33" ht="14.3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</row>
    <row r="420" spans="1:33" ht="14.3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</row>
    <row r="421" spans="1:33" ht="14.3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</row>
    <row r="422" spans="1:33" ht="14.3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</row>
    <row r="423" spans="1:33" ht="14.3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</row>
    <row r="424" spans="1:33" ht="14.3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</row>
    <row r="425" spans="1:33" ht="14.3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</row>
    <row r="426" spans="1:33" ht="14.3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</row>
    <row r="427" spans="1:33" ht="14.3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</row>
    <row r="428" spans="1:33" ht="14.3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</row>
    <row r="429" spans="1:33" ht="14.3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</row>
    <row r="430" spans="1:33" ht="14.3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</row>
    <row r="431" spans="1:33" ht="14.3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</row>
    <row r="432" spans="1:33" ht="14.3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</row>
    <row r="433" spans="1:33" ht="14.3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</row>
    <row r="434" spans="1:33" ht="14.3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</row>
    <row r="435" spans="1:33" ht="14.3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</row>
    <row r="436" spans="1:33" ht="14.3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</row>
    <row r="437" spans="1:33" ht="14.3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</row>
    <row r="438" spans="1:33" ht="14.3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</row>
    <row r="439" spans="1:33" ht="14.3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</row>
    <row r="440" spans="1:33" ht="14.3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</row>
    <row r="441" spans="1:33" ht="14.3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</row>
    <row r="442" spans="1:33" ht="14.3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</row>
    <row r="443" spans="1:33" ht="14.3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</row>
    <row r="444" spans="1:33" ht="14.3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</row>
    <row r="445" spans="1:33" ht="14.3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</row>
    <row r="446" spans="1:33" ht="14.3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</row>
    <row r="447" spans="1:33" ht="14.3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</row>
    <row r="448" spans="1:33" ht="14.3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</row>
    <row r="449" spans="1:33" ht="14.3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</row>
    <row r="450" spans="1:33" ht="14.3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</row>
    <row r="451" spans="1:33" ht="14.3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</row>
    <row r="452" spans="1:33" ht="14.3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</row>
    <row r="453" spans="1:33" ht="14.3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</row>
    <row r="454" spans="1:33" ht="14.3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</row>
    <row r="455" spans="1:33" ht="14.3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</row>
    <row r="456" spans="1:33" ht="14.3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</row>
    <row r="457" spans="1:33" ht="14.3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</row>
    <row r="458" spans="1:33" ht="14.3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</row>
    <row r="459" spans="1:33" ht="14.3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</row>
    <row r="460" spans="1:33" ht="14.3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</row>
    <row r="461" spans="1:33" ht="14.3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</row>
    <row r="462" spans="1:33" ht="14.3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</row>
    <row r="463" spans="1:33" ht="14.3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</row>
    <row r="464" spans="1:33" ht="14.3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</row>
    <row r="465" spans="1:33" ht="14.3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</row>
    <row r="466" spans="1:33" ht="14.3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</row>
    <row r="467" spans="1:33" ht="14.3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</row>
    <row r="468" spans="1:33" ht="14.3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</row>
    <row r="469" spans="1:33" ht="14.3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</row>
    <row r="470" spans="1:33" ht="14.3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</row>
    <row r="471" spans="1:33" ht="14.3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</row>
    <row r="472" spans="1:33" ht="14.3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</row>
    <row r="473" spans="1:33" ht="14.3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</row>
    <row r="474" spans="1:33" ht="14.3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</row>
    <row r="475" spans="1:33" ht="14.3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</row>
    <row r="476" spans="1:33" ht="14.3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</row>
    <row r="477" spans="1:33" ht="14.3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</row>
    <row r="478" spans="1:33" ht="14.3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</row>
    <row r="479" spans="1:33" ht="14.3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</row>
    <row r="480" spans="1:33" ht="14.3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</row>
    <row r="481" spans="1:33" ht="14.3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</row>
    <row r="482" spans="1:33" ht="14.3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</row>
    <row r="483" spans="1:33" ht="14.3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</row>
    <row r="484" spans="1:33" ht="14.3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</row>
    <row r="485" spans="1:33" ht="14.3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</row>
    <row r="486" spans="1:33" ht="14.3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</row>
    <row r="487" spans="1:33" ht="14.3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</row>
    <row r="488" spans="1:33" ht="14.3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</row>
    <row r="489" spans="1:33" ht="14.3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</row>
    <row r="490" spans="1:33" ht="14.3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</row>
    <row r="491" spans="1:33" ht="14.3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</row>
    <row r="492" spans="1:33" ht="14.3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</row>
    <row r="493" spans="1:33" ht="14.3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</row>
    <row r="494" spans="1:33" ht="14.3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</row>
    <row r="495" spans="1:33" ht="14.3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</row>
    <row r="496" spans="1:33" ht="14.3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</row>
    <row r="497" spans="1:33" ht="14.3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</row>
    <row r="498" spans="1:33" ht="14.3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</row>
    <row r="499" spans="1:33" ht="14.3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</row>
    <row r="500" spans="1:33" ht="14.3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</row>
    <row r="501" spans="1:33" ht="14.3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</row>
    <row r="502" spans="1:33" ht="14.3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</row>
    <row r="503" spans="1:33" ht="14.3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</row>
    <row r="504" spans="1:33" ht="14.3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</row>
    <row r="505" spans="1:33" ht="14.3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</row>
    <row r="506" spans="1:33" ht="14.3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</row>
    <row r="507" spans="1:33" ht="14.3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</row>
    <row r="508" spans="1:33" ht="14.3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</row>
    <row r="509" spans="1:33" ht="14.3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</row>
    <row r="510" spans="1:33" ht="14.3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</row>
    <row r="511" spans="1:33" ht="14.3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</row>
    <row r="512" spans="1:33" ht="14.3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</row>
    <row r="513" spans="1:33" ht="14.3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</row>
    <row r="514" spans="1:33" ht="14.3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</row>
    <row r="515" spans="1:33" ht="14.3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</row>
    <row r="516" spans="1:33" ht="14.3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</row>
    <row r="517" spans="1:33" ht="14.3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</row>
    <row r="518" spans="1:33" ht="14.3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</row>
    <row r="519" spans="1:33" ht="14.3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</row>
    <row r="520" spans="1:33" ht="14.3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</row>
    <row r="521" spans="1:33" ht="14.3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</row>
    <row r="522" spans="1:33" ht="14.3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</row>
    <row r="523" spans="1:33" ht="14.3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</row>
    <row r="524" spans="1:33" ht="14.3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</row>
    <row r="525" spans="1:33" ht="14.3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</row>
    <row r="526" spans="1:33" ht="14.3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</row>
    <row r="527" spans="1:33" ht="14.3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</row>
    <row r="528" spans="1:33" ht="14.3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</row>
    <row r="529" spans="1:33" ht="14.3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</row>
    <row r="530" spans="1:33" ht="14.3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</row>
    <row r="531" spans="1:33" ht="14.3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</row>
    <row r="532" spans="1:33" ht="14.3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</row>
    <row r="533" spans="1:33" ht="14.3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</row>
    <row r="534" spans="1:33" ht="14.3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</row>
    <row r="535" spans="1:33" ht="14.3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</row>
    <row r="536" spans="1:33" ht="14.3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</row>
    <row r="537" spans="1:33" ht="14.3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</row>
    <row r="538" spans="1:33" ht="14.3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</row>
    <row r="539" spans="1:33" ht="14.3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</row>
    <row r="540" spans="1:33" ht="14.3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</row>
    <row r="541" spans="1:33" ht="14.3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</row>
    <row r="542" spans="1:33" ht="14.3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</row>
    <row r="543" spans="1:33" ht="14.3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</row>
    <row r="544" spans="1:33" ht="14.3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</row>
    <row r="545" spans="1:33" ht="14.3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</row>
    <row r="546" spans="1:33" ht="14.3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</row>
    <row r="547" spans="1:33" ht="14.3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</row>
    <row r="548" spans="1:33" ht="14.3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</row>
    <row r="549" spans="1:33" ht="14.3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</row>
    <row r="550" spans="1:33" ht="14.3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</row>
    <row r="551" spans="1:33" ht="14.3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</row>
    <row r="552" spans="1:33" ht="14.3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</row>
    <row r="553" spans="1:33" ht="14.3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</row>
    <row r="554" spans="1:33" ht="14.3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</row>
    <row r="555" spans="1:33" ht="14.3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</row>
    <row r="556" spans="1:33" ht="14.3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</row>
    <row r="557" spans="1:33" ht="14.3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</row>
    <row r="558" spans="1:33" ht="14.3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</row>
    <row r="559" spans="1:33" ht="14.3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</row>
    <row r="560" spans="1:33" ht="14.3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</row>
    <row r="561" spans="1:33" ht="14.3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</row>
    <row r="562" spans="1:33" ht="14.3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</row>
    <row r="563" spans="1:33" ht="14.3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</row>
    <row r="564" spans="1:33" ht="14.3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</row>
    <row r="565" spans="1:33" ht="14.3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</row>
    <row r="566" spans="1:33" ht="14.3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</row>
    <row r="567" spans="1:33" ht="14.3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</row>
    <row r="568" spans="1:33" ht="14.3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</row>
    <row r="569" spans="1:33" ht="14.3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</row>
    <row r="570" spans="1:33" ht="14.3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</row>
    <row r="571" spans="1:33" ht="14.3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</row>
    <row r="572" spans="1:33" ht="14.3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</row>
    <row r="573" spans="1:33" ht="14.3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</row>
    <row r="574" spans="1:33" ht="14.3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</row>
    <row r="575" spans="1:33" ht="14.3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</row>
    <row r="576" spans="1:33" ht="14.3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</row>
    <row r="577" spans="1:33" ht="14.3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</row>
    <row r="578" spans="1:33" ht="14.3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</row>
    <row r="579" spans="1:33" ht="14.3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</row>
    <row r="580" spans="1:33" ht="14.3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</row>
    <row r="581" spans="1:33" ht="14.3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</row>
    <row r="582" spans="1:33" ht="14.3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</row>
    <row r="583" spans="1:33" ht="14.3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</row>
    <row r="584" spans="1:33" ht="14.3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</row>
    <row r="585" spans="1:33" ht="14.3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</row>
    <row r="586" spans="1:33" ht="14.3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</row>
    <row r="587" spans="1:33" ht="14.3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</row>
    <row r="588" spans="1:33" ht="14.3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</row>
    <row r="589" spans="1:33" ht="14.3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</row>
    <row r="590" spans="1:33" ht="14.3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</row>
    <row r="591" spans="1:33" ht="14.3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</row>
    <row r="592" spans="1:33" ht="14.3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</row>
    <row r="593" spans="1:33" ht="14.3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</row>
    <row r="594" spans="1:33" ht="14.3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</row>
    <row r="595" spans="1:33" ht="14.3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</row>
    <row r="596" spans="1:33" ht="14.3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</row>
    <row r="597" spans="1:33" ht="14.3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</row>
    <row r="598" spans="1:33" ht="14.3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</row>
    <row r="599" spans="1:33" ht="14.3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</row>
    <row r="600" spans="1:33" ht="14.3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</row>
    <row r="601" spans="1:33" ht="14.3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</row>
    <row r="602" spans="1:33" ht="14.3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</row>
    <row r="603" spans="1:33" ht="14.3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</row>
    <row r="604" spans="1:33" ht="14.3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</row>
    <row r="605" spans="1:33" ht="14.3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</row>
    <row r="606" spans="1:33" ht="14.3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</row>
    <row r="607" spans="1:33" ht="14.3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</row>
    <row r="608" spans="1:33" ht="14.3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</row>
    <row r="609" spans="1:33" ht="14.3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</row>
    <row r="610" spans="1:33" ht="14.3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</row>
    <row r="611" spans="1:33" ht="14.3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</row>
    <row r="612" spans="1:33" ht="14.3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</row>
    <row r="613" spans="1:33" ht="14.3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</row>
    <row r="614" spans="1:33" ht="14.3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</row>
    <row r="615" spans="1:33" ht="14.3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</row>
    <row r="616" spans="1:33" ht="14.3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</row>
    <row r="617" spans="1:33" ht="14.3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</row>
    <row r="618" spans="1:33" ht="14.3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</row>
    <row r="619" spans="1:33" ht="14.3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</row>
    <row r="620" spans="1:33" ht="14.3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</row>
    <row r="621" spans="1:33" ht="14.3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</row>
    <row r="622" spans="1:33" ht="14.3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</row>
    <row r="623" spans="1:33" ht="14.3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</row>
    <row r="624" spans="1:33" ht="14.3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</row>
    <row r="625" spans="1:33" ht="14.3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</row>
    <row r="626" spans="1:33" ht="14.3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</row>
    <row r="627" spans="1:33" ht="14.3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</row>
    <row r="628" spans="1:33" ht="14.3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</row>
    <row r="629" spans="1:33" ht="14.3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</row>
    <row r="630" spans="1:33" ht="14.3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</row>
    <row r="631" spans="1:33" ht="14.3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</row>
    <row r="632" spans="1:33" ht="14.3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</row>
    <row r="633" spans="1:33" ht="14.3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</row>
    <row r="634" spans="1:33" ht="14.3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</row>
    <row r="635" spans="1:33" ht="14.3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</row>
    <row r="636" spans="1:33" ht="14.3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</row>
    <row r="637" spans="1:33" ht="14.3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</row>
    <row r="638" spans="1:33" ht="14.3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</row>
    <row r="639" spans="1:33" ht="14.3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</row>
    <row r="640" spans="1:33" ht="14.3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</row>
    <row r="641" spans="1:33" ht="14.3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</row>
    <row r="642" spans="1:33" ht="14.3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</row>
    <row r="643" spans="1:33" ht="14.3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</row>
    <row r="644" spans="1:33" ht="14.3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</row>
    <row r="645" spans="1:33" ht="14.3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</row>
    <row r="646" spans="1:33" ht="14.3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</row>
    <row r="647" spans="1:33" ht="14.3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</row>
    <row r="648" spans="1:33" ht="14.3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</row>
    <row r="649" spans="1:33" ht="14.3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</row>
    <row r="650" spans="1:33" ht="14.3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</row>
    <row r="651" spans="1:33" ht="14.3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</row>
    <row r="652" spans="1:33" ht="14.3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</row>
    <row r="653" spans="1:33" ht="14.3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</row>
    <row r="654" spans="1:33" ht="14.3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</row>
    <row r="655" spans="1:33" ht="14.3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</row>
    <row r="656" spans="1:33" ht="14.3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</row>
    <row r="657" spans="1:33" ht="14.3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</row>
    <row r="658" spans="1:33" ht="14.3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</row>
    <row r="659" spans="1:33" ht="14.3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</row>
    <row r="660" spans="1:33" ht="14.3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</row>
    <row r="661" spans="1:33" ht="14.3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</row>
    <row r="662" spans="1:33" ht="14.3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</row>
    <row r="663" spans="1:33" ht="14.3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</row>
    <row r="664" spans="1:33" ht="14.3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</row>
    <row r="665" spans="1:33" ht="14.3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</row>
    <row r="666" spans="1:33" ht="14.3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</row>
    <row r="667" spans="1:33" ht="14.3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</row>
    <row r="668" spans="1:33" ht="14.3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</row>
    <row r="669" spans="1:33" ht="14.3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</row>
    <row r="670" spans="1:33" ht="14.3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</row>
    <row r="671" spans="1:33" ht="14.3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</row>
    <row r="672" spans="1:33" ht="14.3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</row>
    <row r="673" spans="1:33" ht="14.3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</row>
    <row r="674" spans="1:33" ht="14.3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</row>
    <row r="675" spans="1:33" ht="14.3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</row>
    <row r="676" spans="1:33" ht="14.3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</row>
    <row r="677" spans="1:33" ht="14.3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</row>
    <row r="678" spans="1:33" ht="14.3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</row>
    <row r="679" spans="1:33" ht="14.3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</row>
    <row r="680" spans="1:33" ht="14.3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</row>
    <row r="681" spans="1:33" ht="14.3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</row>
    <row r="682" spans="1:33" ht="14.3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</row>
    <row r="683" spans="1:33" ht="14.3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</row>
    <row r="684" spans="1:33" ht="14.3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</row>
    <row r="685" spans="1:33" ht="14.3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</row>
    <row r="686" spans="1:33" ht="14.3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</row>
    <row r="687" spans="1:33" ht="14.3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</row>
    <row r="688" spans="1:33" ht="14.3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</row>
    <row r="689" spans="1:33" ht="14.3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</row>
    <row r="690" spans="1:33" ht="14.3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</row>
    <row r="691" spans="1:33" ht="14.3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</row>
    <row r="692" spans="1:33" ht="14.3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</row>
    <row r="693" spans="1:33" ht="14.3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</row>
    <row r="694" spans="1:33" ht="14.3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</row>
    <row r="695" spans="1:33" ht="14.3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</row>
    <row r="696" spans="1:33" ht="14.3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</row>
    <row r="697" spans="1:33" ht="14.3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</row>
    <row r="698" spans="1:33" ht="14.3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</row>
    <row r="699" spans="1:33" ht="14.3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</row>
    <row r="700" spans="1:33" ht="14.3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</row>
    <row r="701" spans="1:33" ht="14.3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</row>
    <row r="702" spans="1:33" ht="14.3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</row>
    <row r="703" spans="1:33" ht="14.3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</row>
    <row r="704" spans="1:33" ht="14.3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</row>
    <row r="705" spans="1:33" ht="14.3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</row>
    <row r="706" spans="1:33" ht="14.3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</row>
    <row r="707" spans="1:33" ht="14.3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</row>
    <row r="708" spans="1:33" ht="14.3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</row>
    <row r="709" spans="1:33" ht="14.3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</row>
    <row r="710" spans="1:33" ht="14.3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</row>
    <row r="711" spans="1:33" ht="14.3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</row>
    <row r="712" spans="1:33" ht="14.3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</row>
    <row r="713" spans="1:33" ht="14.3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</row>
    <row r="714" spans="1:33" ht="14.3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</row>
    <row r="715" spans="1:33" ht="14.3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</row>
    <row r="716" spans="1:33" ht="14.3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</row>
    <row r="717" spans="1:33" ht="14.3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</row>
    <row r="718" spans="1:33" ht="14.3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</row>
    <row r="719" spans="1:33" ht="14.3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</row>
    <row r="720" spans="1:33" ht="14.3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</row>
    <row r="721" spans="1:33" ht="14.3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</row>
    <row r="722" spans="1:33" ht="14.3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</row>
    <row r="723" spans="1:33" ht="14.3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</row>
    <row r="724" spans="1:33" ht="14.3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</row>
    <row r="725" spans="1:33" ht="14.3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</row>
    <row r="726" spans="1:33" ht="14.3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</row>
    <row r="727" spans="1:33" ht="14.3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</row>
    <row r="728" spans="1:33" ht="14.3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</row>
    <row r="729" spans="1:33" ht="14.3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</row>
    <row r="730" spans="1:33" ht="14.3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</row>
    <row r="731" spans="1:33" ht="14.3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</row>
    <row r="732" spans="1:33" ht="14.3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</row>
    <row r="733" spans="1:33" ht="14.3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</row>
    <row r="734" spans="1:33" ht="14.3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</row>
    <row r="735" spans="1:33" ht="14.3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</row>
    <row r="736" spans="1:33" ht="14.3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</row>
    <row r="737" spans="1:33" ht="14.3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</row>
    <row r="738" spans="1:33" ht="14.3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</row>
    <row r="739" spans="1:33" ht="14.3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</row>
    <row r="740" spans="1:33" ht="14.3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</row>
    <row r="741" spans="1:33" ht="14.3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</row>
    <row r="742" spans="1:33" ht="14.3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</row>
    <row r="743" spans="1:33" ht="14.3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</row>
    <row r="744" spans="1:33" ht="14.3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</row>
    <row r="745" spans="1:33" ht="14.3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</row>
    <row r="746" spans="1:33" ht="14.3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</row>
    <row r="747" spans="1:33" ht="14.3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</row>
    <row r="748" spans="1:33" ht="14.3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</row>
    <row r="749" spans="1:33" ht="14.3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</row>
    <row r="750" spans="1:33" ht="14.3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</row>
    <row r="751" spans="1:33" ht="14.3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</row>
    <row r="752" spans="1:33" ht="14.3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</row>
    <row r="753" spans="1:33" ht="14.3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</row>
    <row r="754" spans="1:33" ht="14.3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</row>
    <row r="755" spans="1:33" ht="14.3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</row>
    <row r="756" spans="1:33" ht="14.3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</row>
    <row r="757" spans="1:33" ht="14.3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</row>
    <row r="758" spans="1:33" ht="14.3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</row>
    <row r="759" spans="1:33" ht="14.3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</row>
    <row r="760" spans="1:33" ht="14.3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</row>
    <row r="761" spans="1:33" ht="14.3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</row>
    <row r="762" spans="1:33" ht="14.3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</row>
    <row r="763" spans="1:33" ht="14.3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</row>
    <row r="764" spans="1:33" ht="14.3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</row>
    <row r="765" spans="1:33" ht="14.3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</row>
    <row r="766" spans="1:33" ht="14.3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</row>
    <row r="767" spans="1:33" ht="14.3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</row>
    <row r="768" spans="1:33" ht="14.3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</row>
    <row r="769" spans="1:33" ht="14.3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</row>
    <row r="770" spans="1:33" ht="14.3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</row>
    <row r="771" spans="1:33" ht="14.3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</row>
    <row r="772" spans="1:33" ht="14.3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</row>
    <row r="773" spans="1:33" ht="14.3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</row>
    <row r="774" spans="1:33" ht="14.3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</row>
    <row r="775" spans="1:33" ht="14.3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</row>
    <row r="776" spans="1:33" ht="14.3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</row>
    <row r="777" spans="1:33" ht="14.3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</row>
    <row r="778" spans="1:33" ht="14.3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</row>
    <row r="779" spans="1:33" ht="14.3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</row>
    <row r="780" spans="1:33" ht="14.3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</row>
    <row r="781" spans="1:33" ht="14.3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</row>
    <row r="782" spans="1:33" ht="14.3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</row>
    <row r="783" spans="1:33" ht="14.3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</row>
    <row r="784" spans="1:33" ht="14.3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</row>
    <row r="785" spans="1:33" ht="14.3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</row>
    <row r="786" spans="1:33" ht="14.3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</row>
    <row r="787" spans="1:33" ht="14.3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</row>
    <row r="788" spans="1:33" ht="14.3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</row>
    <row r="789" spans="1:33" ht="14.3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</row>
    <row r="790" spans="1:33" ht="14.3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</row>
    <row r="791" spans="1:33" ht="14.3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</row>
    <row r="792" spans="1:33" ht="14.3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</row>
    <row r="793" spans="1:33" ht="14.3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</row>
    <row r="794" spans="1:33" ht="14.3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</row>
    <row r="795" spans="1:33" ht="14.3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</row>
    <row r="796" spans="1:33" ht="14.3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</row>
    <row r="797" spans="1:33" ht="14.3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</row>
    <row r="798" spans="1:33" ht="14.3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</row>
    <row r="799" spans="1:33" ht="14.3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</row>
    <row r="800" spans="1:33" ht="14.3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</row>
    <row r="801" spans="1:33" ht="14.3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</row>
    <row r="802" spans="1:33" ht="14.3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</row>
    <row r="803" spans="1:33" ht="14.3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</row>
    <row r="804" spans="1:33" ht="14.3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</row>
    <row r="805" spans="1:33" ht="14.3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</row>
    <row r="806" spans="1:33" ht="14.3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</row>
    <row r="807" spans="1:33" ht="14.3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</row>
    <row r="808" spans="1:33" ht="14.3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</row>
    <row r="809" spans="1:33" ht="14.3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</row>
    <row r="810" spans="1:33" ht="14.3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</row>
    <row r="811" spans="1:33" ht="14.3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</row>
    <row r="812" spans="1:33" ht="14.3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</row>
    <row r="813" spans="1:33" ht="14.3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</row>
    <row r="814" spans="1:33" ht="14.3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</row>
    <row r="815" spans="1:33" ht="14.3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</row>
    <row r="816" spans="1:33" ht="14.3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</row>
    <row r="817" spans="1:33" ht="14.3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</row>
    <row r="818" spans="1:33" ht="14.3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</row>
    <row r="819" spans="1:33" ht="14.3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</row>
    <row r="820" spans="1:33" ht="14.3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</row>
    <row r="821" spans="1:33" ht="14.3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</row>
    <row r="822" spans="1:33" ht="14.3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</row>
    <row r="823" spans="1:33" ht="14.3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</row>
    <row r="824" spans="1:33" ht="14.3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</row>
    <row r="825" spans="1:33" ht="14.3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</row>
    <row r="826" spans="1:33" ht="14.3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</row>
    <row r="827" spans="1:33" ht="14.3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</row>
    <row r="828" spans="1:33" ht="14.3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</row>
    <row r="829" spans="1:33" ht="14.3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</row>
    <row r="830" spans="1:33" ht="14.3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</row>
    <row r="831" spans="1:33" ht="14.3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</row>
    <row r="832" spans="1:33" ht="14.3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</row>
    <row r="833" spans="1:33" ht="14.3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</row>
    <row r="834" spans="1:33" ht="14.3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</row>
    <row r="835" spans="1:33" ht="14.3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</row>
    <row r="836" spans="1:33" ht="14.3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</row>
    <row r="837" spans="1:33" ht="14.3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</row>
    <row r="838" spans="1:33" ht="14.3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</row>
    <row r="839" spans="1:33" ht="14.3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</row>
    <row r="840" spans="1:33" ht="14.3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</row>
    <row r="841" spans="1:33" ht="14.3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</row>
    <row r="842" spans="1:33" ht="14.3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</row>
    <row r="843" spans="1:33" ht="14.3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</row>
    <row r="844" spans="1:33" ht="14.3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</row>
    <row r="845" spans="1:33" ht="14.3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</row>
    <row r="846" spans="1:33" ht="14.3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</row>
    <row r="847" spans="1:33" ht="14.3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</row>
    <row r="848" spans="1:33" ht="14.3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</row>
    <row r="849" spans="1:33" ht="14.3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</row>
    <row r="850" spans="1:33" ht="14.3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</row>
    <row r="851" spans="1:33" ht="14.3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</row>
    <row r="852" spans="1:33" ht="14.3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</row>
    <row r="853" spans="1:33" ht="14.3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</row>
    <row r="854" spans="1:33" ht="14.3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</row>
    <row r="855" spans="1:33" ht="14.3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</row>
    <row r="856" spans="1:33" ht="14.3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</row>
    <row r="857" spans="1:33" ht="14.3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</row>
    <row r="858" spans="1:33" ht="14.3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</row>
    <row r="859" spans="1:33" ht="14.3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</row>
    <row r="860" spans="1:33" ht="14.3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</row>
    <row r="861" spans="1:33" ht="14.3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</row>
    <row r="862" spans="1:33" ht="14.3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</row>
    <row r="863" spans="1:33" ht="14.3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</row>
    <row r="864" spans="1:33" ht="14.3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</row>
    <row r="865" spans="1:33" ht="14.3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</row>
    <row r="866" spans="1:33" ht="14.3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</row>
    <row r="867" spans="1:33" ht="14.3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</row>
    <row r="868" spans="1:33" ht="14.3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</row>
    <row r="869" spans="1:33" ht="14.3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</row>
    <row r="870" spans="1:33" ht="14.3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</row>
    <row r="871" spans="1:33" ht="14.3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</row>
    <row r="872" spans="1:33" ht="14.3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</row>
    <row r="873" spans="1:33" ht="14.3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</row>
    <row r="874" spans="1:33" ht="14.3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</row>
    <row r="875" spans="1:33" ht="14.3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</row>
    <row r="876" spans="1:33" ht="14.3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</row>
    <row r="877" spans="1:33" ht="14.3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</row>
    <row r="878" spans="1:33" ht="14.3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</row>
    <row r="879" spans="1:33" ht="14.3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</row>
    <row r="880" spans="1:33" ht="14.3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</row>
    <row r="881" spans="1:33" ht="14.3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</row>
    <row r="882" spans="1:33" ht="14.3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</row>
    <row r="883" spans="1:33" ht="14.3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</row>
    <row r="884" spans="1:33" ht="14.3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</row>
    <row r="885" spans="1:33" ht="14.3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</row>
    <row r="886" spans="1:33" ht="14.3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</row>
    <row r="887" spans="1:33" ht="14.3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</row>
    <row r="888" spans="1:33" ht="14.3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</row>
    <row r="889" spans="1:33" ht="14.3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</row>
    <row r="890" spans="1:33" ht="14.3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</row>
    <row r="891" spans="1:33" ht="14.3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</row>
    <row r="892" spans="1:33" ht="14.3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</row>
    <row r="893" spans="1:33" ht="14.3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</row>
    <row r="894" spans="1:33" ht="14.3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</row>
    <row r="895" spans="1:33" ht="14.3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</row>
    <row r="896" spans="1:33" ht="14.3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</row>
    <row r="897" spans="1:33" ht="14.3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</row>
    <row r="898" spans="1:33" ht="14.3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</row>
    <row r="899" spans="1:33" ht="14.3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</row>
    <row r="900" spans="1:33" ht="14.3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</row>
    <row r="901" spans="1:33" ht="14.3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</row>
    <row r="902" spans="1:33" ht="14.3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</row>
    <row r="903" spans="1:33" ht="14.3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</row>
    <row r="904" spans="1:33" ht="14.3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</row>
    <row r="905" spans="1:33" ht="14.3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</row>
    <row r="906" spans="1:33" ht="14.3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</row>
    <row r="907" spans="1:33" ht="14.3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</row>
    <row r="908" spans="1:33" ht="14.3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</row>
    <row r="909" spans="1:33" ht="14.3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</row>
    <row r="910" spans="1:33" ht="14.3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</row>
    <row r="911" spans="1:33" ht="14.3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</row>
    <row r="912" spans="1:33" ht="14.3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</row>
    <row r="913" spans="1:33" ht="14.3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</row>
    <row r="914" spans="1:33" ht="14.3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</row>
    <row r="915" spans="1:33" ht="14.3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</row>
    <row r="916" spans="1:33" ht="14.3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</row>
    <row r="917" spans="1:33" ht="14.3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</row>
    <row r="918" spans="1:33" ht="14.3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</row>
    <row r="919" spans="1:33" ht="14.3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</row>
    <row r="920" spans="1:33" ht="14.3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</row>
    <row r="921" spans="1:33" ht="14.3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</row>
    <row r="922" spans="1:33" ht="14.3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</row>
    <row r="923" spans="1:33" ht="14.3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</row>
    <row r="924" spans="1:33" ht="14.3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</row>
    <row r="925" spans="1:33" ht="14.3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</row>
    <row r="926" spans="1:33" ht="14.3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</row>
    <row r="927" spans="1:33" ht="14.3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</row>
    <row r="928" spans="1:33" ht="14.3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</row>
    <row r="929" spans="1:33" ht="14.3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</row>
    <row r="930" spans="1:33" ht="14.3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</row>
    <row r="931" spans="1:33" ht="14.3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</row>
    <row r="932" spans="1:33" ht="14.3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</row>
    <row r="933" spans="1:33" ht="14.3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</row>
    <row r="934" spans="1:33" ht="14.3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</row>
    <row r="935" spans="1:33" ht="14.3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</row>
    <row r="936" spans="1:33" ht="14.3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</row>
    <row r="937" spans="1:33" ht="14.3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</row>
    <row r="938" spans="1:33" ht="14.3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</row>
    <row r="939" spans="1:33" ht="14.3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</row>
    <row r="940" spans="1:33" ht="14.3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</row>
    <row r="941" spans="1:33" ht="14.3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</row>
    <row r="942" spans="1:33" ht="14.3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</row>
    <row r="943" spans="1:33" ht="14.3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</row>
    <row r="944" spans="1:33" ht="14.3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</row>
    <row r="945" spans="1:33" ht="14.3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</row>
    <row r="946" spans="1:33" ht="14.3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</row>
    <row r="947" spans="1:33" ht="14.3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</row>
    <row r="948" spans="1:33" ht="14.3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</row>
    <row r="949" spans="1:33" ht="14.3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</row>
    <row r="950" spans="1:33" ht="14.3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</row>
    <row r="951" spans="1:33" ht="14.3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</row>
    <row r="952" spans="1:33" ht="14.3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</row>
    <row r="953" spans="1:33" ht="14.3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</row>
    <row r="954" spans="1:33" ht="14.3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</row>
    <row r="955" spans="1:33" ht="14.3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</row>
    <row r="956" spans="1:33" ht="14.3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</row>
    <row r="957" spans="1:33" ht="14.3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</row>
    <row r="958" spans="1:33" ht="14.3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</row>
    <row r="959" spans="1:33" ht="14.3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</row>
    <row r="960" spans="1:33" ht="14.3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</row>
    <row r="961" spans="1:33" ht="14.3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</row>
    <row r="962" spans="1:33" ht="14.3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</row>
    <row r="963" spans="1:33" ht="14.3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</row>
    <row r="964" spans="1:33" ht="14.3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</row>
    <row r="965" spans="1:33" ht="14.3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</row>
    <row r="966" spans="1:33" ht="14.3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</row>
    <row r="967" spans="1:33" ht="14.3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</row>
    <row r="968" spans="1:33" ht="14.3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</row>
    <row r="969" spans="1:33" ht="14.3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</row>
    <row r="970" spans="1:33" ht="14.3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</row>
    <row r="971" spans="1:33" ht="14.3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</row>
    <row r="972" spans="1:33" ht="14.3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</row>
    <row r="973" spans="1:33" ht="14.3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</row>
    <row r="974" spans="1:33" ht="14.3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</row>
    <row r="975" spans="1:33" ht="14.3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</row>
    <row r="976" spans="1:33" ht="14.3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</row>
    <row r="977" spans="1:33" ht="14.3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</row>
    <row r="978" spans="1:33" ht="14.3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</row>
    <row r="979" spans="1:33" ht="14.3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</row>
    <row r="980" spans="1:33" ht="14.3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</row>
    <row r="981" spans="1:33" ht="14.3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</row>
    <row r="982" spans="1:33" ht="14.3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</row>
    <row r="983" spans="1:33" ht="14.3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</row>
    <row r="984" spans="1:33" ht="14.3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</row>
    <row r="985" spans="1:33" ht="14.3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</row>
    <row r="986" spans="1:33" ht="14.3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</row>
    <row r="987" spans="1:33" ht="14.3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</row>
    <row r="988" spans="1:33" ht="14.3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</row>
    <row r="989" spans="1:33" ht="14.3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</row>
    <row r="990" spans="1:33" ht="14.3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</row>
    <row r="991" spans="1:33" ht="14.3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</row>
    <row r="992" spans="1:33" ht="14.3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</row>
    <row r="993" spans="1:33" ht="14.3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</row>
    <row r="994" spans="1:33" ht="14.3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</row>
    <row r="995" spans="1:33" ht="14.3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</row>
    <row r="996" spans="1:33" ht="14.3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</row>
    <row r="997" spans="1:33" ht="14.3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</row>
    <row r="998" spans="1:33" ht="14.3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</row>
    <row r="999" spans="1:33" ht="14.3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</row>
    <row r="1000" spans="1:33" ht="14.3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</row>
  </sheetData>
  <mergeCells count="140">
    <mergeCell ref="L10:U10"/>
    <mergeCell ref="V10:AE10"/>
    <mergeCell ref="A7:C7"/>
    <mergeCell ref="A8:C8"/>
    <mergeCell ref="A9:C9"/>
    <mergeCell ref="A10:C10"/>
    <mergeCell ref="D10:K10"/>
    <mergeCell ref="A12:C12"/>
    <mergeCell ref="A14:B14"/>
    <mergeCell ref="A15:B15"/>
    <mergeCell ref="A16:B16"/>
    <mergeCell ref="A17:B17"/>
    <mergeCell ref="A18:B18"/>
    <mergeCell ref="A1:J3"/>
    <mergeCell ref="K1:AE1"/>
    <mergeCell ref="K2:AE2"/>
    <mergeCell ref="K3:AE3"/>
    <mergeCell ref="A4:J4"/>
    <mergeCell ref="K4:AE4"/>
    <mergeCell ref="K5:AE5"/>
    <mergeCell ref="A5:J5"/>
    <mergeCell ref="A6:C6"/>
    <mergeCell ref="D6:AE6"/>
    <mergeCell ref="A11:C11"/>
    <mergeCell ref="D11:K11"/>
    <mergeCell ref="L11:U11"/>
    <mergeCell ref="V11:AE11"/>
    <mergeCell ref="D12:AE12"/>
    <mergeCell ref="A13:AE13"/>
    <mergeCell ref="X14:AD14"/>
    <mergeCell ref="D7:AE7"/>
    <mergeCell ref="D8:AE8"/>
    <mergeCell ref="D9:AE9"/>
    <mergeCell ref="A23:B23"/>
    <mergeCell ref="C23:W23"/>
    <mergeCell ref="X23:AD23"/>
    <mergeCell ref="X24:AD24"/>
    <mergeCell ref="C22:W22"/>
    <mergeCell ref="X22:AD22"/>
    <mergeCell ref="X18:AD18"/>
    <mergeCell ref="C19:W19"/>
    <mergeCell ref="X19:AD19"/>
    <mergeCell ref="C20:W20"/>
    <mergeCell ref="X20:AD20"/>
    <mergeCell ref="X21:AD21"/>
    <mergeCell ref="A19:B19"/>
    <mergeCell ref="A20:B20"/>
    <mergeCell ref="A21:B21"/>
    <mergeCell ref="C21:W21"/>
    <mergeCell ref="C18:W18"/>
    <mergeCell ref="C14:W14"/>
    <mergeCell ref="C15:W15"/>
    <mergeCell ref="C27:W27"/>
    <mergeCell ref="X27:AD27"/>
    <mergeCell ref="C24:W24"/>
    <mergeCell ref="C25:W25"/>
    <mergeCell ref="X25:AD25"/>
    <mergeCell ref="A26:B26"/>
    <mergeCell ref="C26:W26"/>
    <mergeCell ref="X26:AD26"/>
    <mergeCell ref="A27:B27"/>
    <mergeCell ref="X15:AD15"/>
    <mergeCell ref="C16:W16"/>
    <mergeCell ref="X16:AD16"/>
    <mergeCell ref="C17:W17"/>
    <mergeCell ref="X17:AD17"/>
    <mergeCell ref="A24:B24"/>
    <mergeCell ref="A25:B25"/>
    <mergeCell ref="A22:B22"/>
    <mergeCell ref="C30:W30"/>
    <mergeCell ref="X30:AD30"/>
    <mergeCell ref="A28:B28"/>
    <mergeCell ref="C28:W28"/>
    <mergeCell ref="X28:AD28"/>
    <mergeCell ref="A29:B29"/>
    <mergeCell ref="C29:W29"/>
    <mergeCell ref="X29:AD29"/>
    <mergeCell ref="A30:B30"/>
    <mergeCell ref="X51:AD51"/>
    <mergeCell ref="C33:W33"/>
    <mergeCell ref="X33:AD33"/>
    <mergeCell ref="A31:B31"/>
    <mergeCell ref="C31:W31"/>
    <mergeCell ref="X31:AD31"/>
    <mergeCell ref="A32:B32"/>
    <mergeCell ref="C32:W32"/>
    <mergeCell ref="X32:AD32"/>
    <mergeCell ref="A33:B33"/>
    <mergeCell ref="A42:C42"/>
    <mergeCell ref="D42:AE42"/>
    <mergeCell ref="C47:W47"/>
    <mergeCell ref="X47:AD47"/>
    <mergeCell ref="C48:W48"/>
    <mergeCell ref="X48:AD48"/>
    <mergeCell ref="C49:W49"/>
    <mergeCell ref="X49:AD49"/>
    <mergeCell ref="X50:AD50"/>
    <mergeCell ref="C50:W50"/>
    <mergeCell ref="A37:W37"/>
    <mergeCell ref="X37:AD37"/>
    <mergeCell ref="A38:AE38"/>
    <mergeCell ref="A39:C39"/>
    <mergeCell ref="D39:AE39"/>
    <mergeCell ref="A40:C40"/>
    <mergeCell ref="D40:AE40"/>
    <mergeCell ref="A41:C41"/>
    <mergeCell ref="D41:AE41"/>
    <mergeCell ref="C36:W36"/>
    <mergeCell ref="X36:AD36"/>
    <mergeCell ref="A34:B34"/>
    <mergeCell ref="C34:W34"/>
    <mergeCell ref="X34:AD34"/>
    <mergeCell ref="A35:B35"/>
    <mergeCell ref="C35:W35"/>
    <mergeCell ref="X35:AD35"/>
    <mergeCell ref="A36:B36"/>
    <mergeCell ref="A54:D54"/>
    <mergeCell ref="A43:C43"/>
    <mergeCell ref="A44:C44"/>
    <mergeCell ref="D44:K44"/>
    <mergeCell ref="L44:U44"/>
    <mergeCell ref="V44:AE44"/>
    <mergeCell ref="D45:AE45"/>
    <mergeCell ref="A46:AE46"/>
    <mergeCell ref="E54:T54"/>
    <mergeCell ref="U54:AE54"/>
    <mergeCell ref="D43:K43"/>
    <mergeCell ref="L43:U43"/>
    <mergeCell ref="V43:AE43"/>
    <mergeCell ref="A45:C45"/>
    <mergeCell ref="A47:B47"/>
    <mergeCell ref="A48:B48"/>
    <mergeCell ref="A49:B49"/>
    <mergeCell ref="A50:B50"/>
    <mergeCell ref="A53:D53"/>
    <mergeCell ref="A52:W52"/>
    <mergeCell ref="X52:AD52"/>
    <mergeCell ref="E53:T53"/>
    <mergeCell ref="U53:AE53"/>
    <mergeCell ref="A51:W51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ORÇAMENTO_EXECUTIVO</vt:lpstr>
      <vt:lpstr>ANÁLISE_CUSTOS</vt:lpstr>
      <vt:lpstr>CÁLCULO_MÉDIAS</vt:lpstr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Bianca Karine Galvin</cp:lastModifiedBy>
  <dcterms:created xsi:type="dcterms:W3CDTF">2021-06-30T18:49:34Z</dcterms:created>
  <dcterms:modified xsi:type="dcterms:W3CDTF">2024-07-30T11:42:48Z</dcterms:modified>
</cp:coreProperties>
</file>