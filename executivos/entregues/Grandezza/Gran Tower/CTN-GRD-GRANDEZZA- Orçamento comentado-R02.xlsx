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andezza - 05.2023\Gran Tower\03. Custo\03.7 Custo - Orçamento Executivo\R02\"/>
    </mc:Choice>
  </mc:AlternateContent>
  <xr:revisionPtr revIDLastSave="0" documentId="13_ncr:1_{1634A0D8-9145-491C-9CD0-3AD884E06E0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APA" sheetId="24" r:id="rId1"/>
    <sheet name="Resumo" sheetId="57" r:id="rId2"/>
    <sheet name="ORÇAMENTO_EXECUTIVO" sheetId="1" r:id="rId3"/>
  </sheets>
  <externalReferences>
    <externalReference r:id="rId4"/>
    <externalReference r:id="rId5"/>
    <externalReference r:id="rId6"/>
  </externalReferences>
  <definedNames>
    <definedName name="\0" localSheetId="0">#REF!</definedName>
    <definedName name="\0">#REF!</definedName>
    <definedName name="\a" localSheetId="0">#REF!</definedName>
    <definedName name="\a">#REF!</definedName>
    <definedName name="\m">#REF!</definedName>
    <definedName name="_xlnm._FilterDatabase" localSheetId="0" hidden="1">CAPA!#REF!</definedName>
    <definedName name="_xlnm._FilterDatabase" localSheetId="2" hidden="1">ORÇAMENTO_EXECUTIVO!$A$12:$G$438</definedName>
    <definedName name="aa" localSheetId="0">#REF!</definedName>
    <definedName name="aa">#REF!</definedName>
    <definedName name="aaaa" localSheetId="0">'[1]M.O.'!#REF!</definedName>
    <definedName name="aaaa">'[1]M.O.'!#REF!</definedName>
    <definedName name="angelo" localSheetId="0">[2]Geral!#REF!</definedName>
    <definedName name="angelo">[2]Geral!#REF!</definedName>
    <definedName name="area">#REF!</definedName>
    <definedName name="_xlnm.Print_Area" localSheetId="0">CAPA!$A$1:$F$56</definedName>
    <definedName name="_xlnm.Print_Area" localSheetId="2">ORÇAMENTO_EXECUTIVO!$A$1:$G$435</definedName>
    <definedName name="_xlnm.Print_Area">#REF!</definedName>
    <definedName name="Areaimpresso">#REF!</definedName>
    <definedName name="aux" localSheetId="0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0">#REF!</definedName>
    <definedName name="FFFFFFF">#REF!</definedName>
    <definedName name="item_1">#REF!</definedName>
    <definedName name="LS">'[1]M.O.'!#REF!</definedName>
    <definedName name="MENU" localSheetId="0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[3]ParamValues!$A$1:$A$11</definedName>
    <definedName name="PAV">#REF!</definedName>
    <definedName name="pr">#REF!</definedName>
    <definedName name="PRE">#REF!</definedName>
    <definedName name="Print_Area">#REF!</definedName>
    <definedName name="Print_Area_MI">#REF!</definedName>
    <definedName name="Print_Titles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0">CAPA!$1:$5</definedName>
    <definedName name="_xlnm.Print_Titles">#REF!</definedName>
    <definedName name="TOT" localSheetId="0">#REF!</definedName>
    <definedName name="TOT">#REF!</definedName>
    <definedName name="Total" localSheetId="0">#REF!</definedName>
    <definedName name="Total">#REF!</definedName>
    <definedName name="TRP">#REF!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0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57" l="1"/>
  <c r="C46" i="57"/>
  <c r="C47" i="57"/>
  <c r="C53" i="57"/>
  <c r="C54" i="57"/>
  <c r="C55" i="57"/>
  <c r="C56" i="57"/>
  <c r="B45" i="57"/>
  <c r="B46" i="57"/>
  <c r="B47" i="57"/>
  <c r="B48" i="57"/>
  <c r="B49" i="57"/>
  <c r="B50" i="57"/>
  <c r="B51" i="57"/>
  <c r="B52" i="57"/>
  <c r="B53" i="57"/>
  <c r="B54" i="57"/>
  <c r="B55" i="57"/>
  <c r="B56" i="57"/>
  <c r="B57" i="57"/>
  <c r="B44" i="57"/>
  <c r="B43" i="57"/>
  <c r="C26" i="57"/>
  <c r="E26" i="57" s="1"/>
  <c r="C25" i="57"/>
  <c r="C24" i="57"/>
  <c r="C15" i="57"/>
  <c r="C23" i="57"/>
  <c r="C22" i="57"/>
  <c r="C21" i="57"/>
  <c r="C20" i="57"/>
  <c r="C19" i="57"/>
  <c r="C18" i="57"/>
  <c r="C17" i="57"/>
  <c r="C16" i="57"/>
  <c r="C14" i="57"/>
  <c r="C13" i="57"/>
  <c r="C12" i="57"/>
  <c r="C11" i="57"/>
  <c r="C10" i="57"/>
  <c r="E10" i="57" s="1"/>
  <c r="C44" i="57" l="1"/>
  <c r="C57" i="57"/>
  <c r="C43" i="57"/>
  <c r="C52" i="57"/>
  <c r="C51" i="57"/>
  <c r="C50" i="57"/>
  <c r="C49" i="57"/>
  <c r="C48" i="57"/>
  <c r="C58" i="57" s="1"/>
  <c r="E25" i="57"/>
  <c r="D57" i="57" s="1"/>
  <c r="E21" i="57"/>
  <c r="D53" i="57" s="1"/>
  <c r="E12" i="57"/>
  <c r="D44" i="57" s="1"/>
  <c r="E24" i="57"/>
  <c r="D56" i="57" s="1"/>
  <c r="E22" i="57"/>
  <c r="D54" i="57" s="1"/>
  <c r="E19" i="57"/>
  <c r="D51" i="57" s="1"/>
  <c r="E18" i="57"/>
  <c r="D50" i="57" s="1"/>
  <c r="E20" i="57"/>
  <c r="D52" i="57" s="1"/>
  <c r="E17" i="57"/>
  <c r="D49" i="57" s="1"/>
  <c r="E11" i="57"/>
  <c r="D43" i="57" s="1"/>
  <c r="E16" i="57"/>
  <c r="D48" i="57" s="1"/>
  <c r="E15" i="57"/>
  <c r="D47" i="57" s="1"/>
  <c r="E14" i="57"/>
  <c r="D46" i="57" s="1"/>
  <c r="E13" i="57"/>
  <c r="D45" i="57" s="1"/>
  <c r="E23" i="57"/>
  <c r="D55" i="57" s="1"/>
  <c r="C27" i="57"/>
  <c r="D58" i="57" l="1"/>
  <c r="D33" i="57"/>
  <c r="D10" i="57"/>
  <c r="C37" i="57"/>
  <c r="C35" i="57"/>
  <c r="C34" i="57"/>
  <c r="D37" i="57" l="1"/>
  <c r="D36" i="57"/>
  <c r="D35" i="57"/>
  <c r="D34" i="57"/>
  <c r="E27" i="57"/>
  <c r="E28" i="57" s="1"/>
  <c r="D11" i="57"/>
  <c r="F92" i="1"/>
  <c r="F91" i="1" s="1"/>
  <c r="F90" i="1"/>
  <c r="F89" i="1" s="1"/>
  <c r="F106" i="1"/>
  <c r="F105" i="1"/>
  <c r="F104" i="1"/>
  <c r="F103" i="1"/>
  <c r="F102" i="1"/>
  <c r="F101" i="1"/>
  <c r="F97" i="1"/>
  <c r="F98" i="1"/>
  <c r="F99" i="1"/>
  <c r="F96" i="1"/>
  <c r="F83" i="1"/>
  <c r="F82" i="1" s="1"/>
  <c r="F74" i="1"/>
  <c r="F69" i="1"/>
  <c r="F60" i="1"/>
  <c r="F59" i="1"/>
  <c r="F58" i="1" s="1"/>
  <c r="F57" i="1" s="1"/>
  <c r="F56" i="1" s="1"/>
  <c r="F55" i="1"/>
  <c r="F54" i="1"/>
  <c r="F53" i="1"/>
  <c r="F52" i="1"/>
  <c r="F51" i="1"/>
  <c r="F50" i="1"/>
  <c r="F49" i="1"/>
  <c r="F48" i="1"/>
  <c r="F47" i="1"/>
  <c r="F46" i="1"/>
  <c r="F45" i="1"/>
  <c r="F44" i="1"/>
  <c r="F23" i="1"/>
  <c r="F22" i="1"/>
  <c r="F17" i="1"/>
  <c r="F18" i="1"/>
  <c r="F19" i="1"/>
  <c r="F20" i="1"/>
  <c r="F21" i="1"/>
  <c r="F88" i="1" l="1"/>
  <c r="D14" i="57"/>
  <c r="D19" i="57"/>
  <c r="D24" i="57"/>
  <c r="D13" i="57"/>
  <c r="D23" i="57"/>
  <c r="D12" i="57"/>
  <c r="D17" i="57"/>
  <c r="D18" i="57"/>
  <c r="D22" i="57"/>
  <c r="D21" i="57"/>
  <c r="D16" i="57"/>
  <c r="D26" i="57"/>
  <c r="D15" i="57"/>
  <c r="D20" i="57"/>
  <c r="D25" i="57"/>
  <c r="F95" i="1"/>
  <c r="F43" i="1"/>
  <c r="F100" i="1"/>
  <c r="F16" i="1"/>
  <c r="F94" i="1" l="1"/>
  <c r="F93" i="1" s="1"/>
  <c r="D27" i="57"/>
  <c r="F41" i="1"/>
  <c r="F42" i="1" l="1"/>
  <c r="F40" i="1"/>
  <c r="F15" i="1" s="1"/>
  <c r="F14" i="1" l="1"/>
</calcChain>
</file>

<file path=xl/sharedStrings.xml><?xml version="1.0" encoding="utf-8"?>
<sst xmlns="http://schemas.openxmlformats.org/spreadsheetml/2006/main" count="1276" uniqueCount="845">
  <si>
    <t>Obra</t>
  </si>
  <si>
    <t>Código</t>
  </si>
  <si>
    <t>Descrição</t>
  </si>
  <si>
    <t>Un.</t>
  </si>
  <si>
    <t>Quantidade orçada</t>
  </si>
  <si>
    <t>Preço unitário</t>
  </si>
  <si>
    <t>Preço total</t>
  </si>
  <si>
    <t>GERENCIAMENTO TÉCNICO</t>
  </si>
  <si>
    <t>Estudo ambiental</t>
  </si>
  <si>
    <t>Sondagem do terreno</t>
  </si>
  <si>
    <t>Projeto de canteiro</t>
  </si>
  <si>
    <t>IPTU</t>
  </si>
  <si>
    <t>Bandeja de proteção primária</t>
  </si>
  <si>
    <t>m</t>
  </si>
  <si>
    <t>Bandeja de proteção secundária</t>
  </si>
  <si>
    <t>m2</t>
  </si>
  <si>
    <t>Limpeza mecanizada de camada vegetal</t>
  </si>
  <si>
    <t>Despesas de consumo - Luz</t>
  </si>
  <si>
    <t>EQUIPAMENTOS</t>
  </si>
  <si>
    <t>un</t>
  </si>
  <si>
    <t>INFRAESTRUTURA</t>
  </si>
  <si>
    <t>FUNDAÇÃO PROFUNDA</t>
  </si>
  <si>
    <t>FUNDAÇÃO RASA</t>
  </si>
  <si>
    <t>SUPRAESTRUTURA</t>
  </si>
  <si>
    <t>Verga/contraverga de concreto, moldada in loco</t>
  </si>
  <si>
    <t>SISTEMAS E INSTALAÇÕES ELÉTRICAS</t>
  </si>
  <si>
    <t>Entrada de Energia</t>
  </si>
  <si>
    <t>REVESTIMENTOS E ACABAMENTOS INTERNOS EM TETO</t>
  </si>
  <si>
    <t>SISTEMAS DE PINTURA INTERNA</t>
  </si>
  <si>
    <t>COBERTURA</t>
  </si>
  <si>
    <t>SERVIÇOS COMPLEMENTARES E FINAIS</t>
  </si>
  <si>
    <t>Paisagismo</t>
  </si>
  <si>
    <t>Total da obra</t>
  </si>
  <si>
    <t>ORÇAMENTO EXECUTIVO</t>
  </si>
  <si>
    <t>Cliente</t>
  </si>
  <si>
    <t>Data</t>
  </si>
  <si>
    <t>Versão</t>
  </si>
  <si>
    <t>GERENCIAMENTO EXECUTIVO</t>
  </si>
  <si>
    <t>Considerações</t>
  </si>
  <si>
    <t>Verba estimada conforme índices históricos de obras similares</t>
  </si>
  <si>
    <t>Empresa</t>
  </si>
  <si>
    <t>Revisão</t>
  </si>
  <si>
    <t xml:space="preserve">ORÇAMENTO EXECUTIVO </t>
  </si>
  <si>
    <t>ESTUDOS | PROJETOS | CONSULTORIAS</t>
  </si>
  <si>
    <t>Estudos</t>
  </si>
  <si>
    <t>VB</t>
  </si>
  <si>
    <t>Memorial descrtivo</t>
  </si>
  <si>
    <t>Estudo geológico</t>
  </si>
  <si>
    <t>Projetos</t>
  </si>
  <si>
    <t>Projeto hidrossanitário</t>
  </si>
  <si>
    <t>Projeto preventivo</t>
  </si>
  <si>
    <t>Consultorias</t>
  </si>
  <si>
    <t>TAXAS | DOCUMENTOS</t>
  </si>
  <si>
    <t>Licenciamento - Taxas - Impostos</t>
  </si>
  <si>
    <t>Equipamentos de Proteção</t>
  </si>
  <si>
    <t>Operação Inicial do Canteiro</t>
  </si>
  <si>
    <t>Sinalizacao geral da obra</t>
  </si>
  <si>
    <t>Demolições</t>
  </si>
  <si>
    <t>Despesas de Consumo e Manutenção</t>
  </si>
  <si>
    <t>Despesas de consumo - Agua</t>
  </si>
  <si>
    <t>Equipamentos de Obra</t>
  </si>
  <si>
    <t>01</t>
  </si>
  <si>
    <t>GERENCIAMENTO TÉCNICO E ADMINISTRATIVO</t>
  </si>
  <si>
    <t>01.01</t>
  </si>
  <si>
    <t>01.01.001</t>
  </si>
  <si>
    <t>01.01.001.0001</t>
  </si>
  <si>
    <t>01.01.001.0002</t>
  </si>
  <si>
    <t>01.01.001.0002.0001</t>
  </si>
  <si>
    <t>01.01.001.0002.0002</t>
  </si>
  <si>
    <t>01.01.001.0002.0003</t>
  </si>
  <si>
    <t>01.01.001.0002.0007</t>
  </si>
  <si>
    <t>01.01.001.0003</t>
  </si>
  <si>
    <t>01.01.001.0003.0001</t>
  </si>
  <si>
    <t>01.01.002</t>
  </si>
  <si>
    <t>01.01.002.0001</t>
  </si>
  <si>
    <t>01.01.002.0001.0001</t>
  </si>
  <si>
    <t>01.01.002.0001.0003</t>
  </si>
  <si>
    <t>01.01.002.0001.0004</t>
  </si>
  <si>
    <t>01.01.002.0001.0005</t>
  </si>
  <si>
    <t>01.01.002.0001.0006</t>
  </si>
  <si>
    <t>01.01.002.0001.0007</t>
  </si>
  <si>
    <t>01.02.001.0002</t>
  </si>
  <si>
    <t>01.02.002.0002</t>
  </si>
  <si>
    <t>01.02.002.0002.0001</t>
  </si>
  <si>
    <t>01.02.002.0002.0002</t>
  </si>
  <si>
    <t>01.02.002.0002.0003</t>
  </si>
  <si>
    <t>02</t>
  </si>
  <si>
    <t>Forma</t>
  </si>
  <si>
    <t>Armadura</t>
  </si>
  <si>
    <t>Concreto</t>
  </si>
  <si>
    <t>Arrasamento mecanizado para estacas</t>
  </si>
  <si>
    <t>IMPERMEABILIZAÇÃO E TRATAMENTOS</t>
  </si>
  <si>
    <t>Tratamento de ralo com manta de poliester</t>
  </si>
  <si>
    <t>Contrapiso</t>
  </si>
  <si>
    <t>Mao de obra para reboco interno, incluindo chapisco</t>
  </si>
  <si>
    <t>Mao de obra para estucamento de estrutura de concreto</t>
  </si>
  <si>
    <t>Estucamento de estrutura de concreto em teto</t>
  </si>
  <si>
    <t>Rodapés</t>
  </si>
  <si>
    <t>Soleiras</t>
  </si>
  <si>
    <t>Peitoris</t>
  </si>
  <si>
    <t>Peitoril em granito, acabamento polido, espessura 2cm</t>
  </si>
  <si>
    <t>Mao de obra para instalação de portas de madeira</t>
  </si>
  <si>
    <t>Mao de obra para reboco externo, inclui chapisco</t>
  </si>
  <si>
    <t>EQUIPAMENTOS E SISTEMAS ESPECIAIS</t>
  </si>
  <si>
    <t>Serviços Finais</t>
  </si>
  <si>
    <t>Perfuração</t>
  </si>
  <si>
    <t/>
  </si>
  <si>
    <t>01.01.001.0002.0012</t>
  </si>
  <si>
    <t>01.01.001.0002.0004</t>
  </si>
  <si>
    <t>01.01.001.0002.0005</t>
  </si>
  <si>
    <t>01.01.001.0002.0006</t>
  </si>
  <si>
    <t>01.01.001.0002.0008</t>
  </si>
  <si>
    <t>01.01.001.0002.0009</t>
  </si>
  <si>
    <t>01.01.001.0002.0010</t>
  </si>
  <si>
    <t>Projeto de climatização</t>
  </si>
  <si>
    <t>Projeto de piscina</t>
  </si>
  <si>
    <t>Projeto de paisagismo</t>
  </si>
  <si>
    <t>01.01.001.0002.0011</t>
  </si>
  <si>
    <t>01.01.001.0002.0013</t>
  </si>
  <si>
    <t>01.01.001.0002.0014</t>
  </si>
  <si>
    <t>01.01.002.0001.0008</t>
  </si>
  <si>
    <t>Varal de segurança com cabo de aço</t>
  </si>
  <si>
    <t>01.01.002.0001.0009</t>
  </si>
  <si>
    <t>GRANDEZZA</t>
  </si>
  <si>
    <t>GRAN TOWER</t>
  </si>
  <si>
    <t>R02</t>
  </si>
  <si>
    <t xml:space="preserve">01.001.001.001 </t>
  </si>
  <si>
    <t>vb</t>
  </si>
  <si>
    <t xml:space="preserve">01.001.001.002 </t>
  </si>
  <si>
    <t>Levantamento topográfico</t>
  </si>
  <si>
    <t xml:space="preserve">01.001.001.003 </t>
  </si>
  <si>
    <t xml:space="preserve">01.001.001.004 </t>
  </si>
  <si>
    <t xml:space="preserve">01.001.001.005 </t>
  </si>
  <si>
    <t xml:space="preserve">01.001.001.006 </t>
  </si>
  <si>
    <t>Valor repassado pelo Grandezza, respondido no formulário de custos indiretos</t>
  </si>
  <si>
    <t>01.01.001.0002.0015</t>
  </si>
  <si>
    <t>01.01.001.0002.0016</t>
  </si>
  <si>
    <t>Legalização de incorporação</t>
  </si>
  <si>
    <t>Projeto arquitetônico legal</t>
  </si>
  <si>
    <t>Projeto arquitetônico executivo</t>
  </si>
  <si>
    <t>Projeto arquitetônico interiores</t>
  </si>
  <si>
    <t>Projeto arquitetônico de fachada</t>
  </si>
  <si>
    <t>Projeto de fundação</t>
  </si>
  <si>
    <t>Projeto estrutural de concreto armado</t>
  </si>
  <si>
    <t>Projeto de estrutura metálica</t>
  </si>
  <si>
    <t>Projeto elétrico</t>
  </si>
  <si>
    <t>Projeto de automação</t>
  </si>
  <si>
    <t>Projeto de impermeabilização</t>
  </si>
  <si>
    <t>Consultoria técnica de legalização</t>
  </si>
  <si>
    <t>01.01.002.0001.0010</t>
  </si>
  <si>
    <t>01.01.002.0001.0011</t>
  </si>
  <si>
    <t>01.01.002.0001.0012</t>
  </si>
  <si>
    <t>Despesas de seguro de obra</t>
  </si>
  <si>
    <t>Aprovação e legalização ambiental</t>
  </si>
  <si>
    <t>Aprovação e legalização prefeitura</t>
  </si>
  <si>
    <t>Aprovação e legalização água e esgoto</t>
  </si>
  <si>
    <t>Aprovação e legalização elétrico</t>
  </si>
  <si>
    <t>Aprovação e legalização bombeiros</t>
  </si>
  <si>
    <t>Taxas de ART</t>
  </si>
  <si>
    <t>Taxas de alvará</t>
  </si>
  <si>
    <t>Despesas de cartório, licenças, certidões e jurídicas</t>
  </si>
  <si>
    <t>Incorporação</t>
  </si>
  <si>
    <t>Taxa Habite-se</t>
  </si>
  <si>
    <t xml:space="preserve">01.002.001.012 </t>
  </si>
  <si>
    <t>SERVIÇOS INICIAIS</t>
  </si>
  <si>
    <t xml:space="preserve">02.001 </t>
  </si>
  <si>
    <t xml:space="preserve">02.001.001 </t>
  </si>
  <si>
    <t>SEGURANÇA, MEIO AMBIENTE, SAÚDE</t>
  </si>
  <si>
    <t>Segurança do trabalho</t>
  </si>
  <si>
    <t xml:space="preserve">02.001.001.001 </t>
  </si>
  <si>
    <t>Projetos de segurança do trabalho</t>
  </si>
  <si>
    <t>Equipamentos de proteção individual - EPI</t>
  </si>
  <si>
    <t>Guarda-corpo de vãos, fixado em forma de madeira, em trama de madeira com tela de polipropileno</t>
  </si>
  <si>
    <t>Guarda-corpo de laje após desforma</t>
  </si>
  <si>
    <t>Fechamento removível de vãos de porta de elevador em madeira</t>
  </si>
  <si>
    <t>Rede de proteção tipo SLQA</t>
  </si>
  <si>
    <t>mes</t>
  </si>
  <si>
    <t xml:space="preserve">02.001.002.001 </t>
  </si>
  <si>
    <t xml:space="preserve">02.001.002.002 </t>
  </si>
  <si>
    <t xml:space="preserve">02.001.002.003 </t>
  </si>
  <si>
    <t xml:space="preserve">02.001.002.004 </t>
  </si>
  <si>
    <t xml:space="preserve">02.001.002.005 </t>
  </si>
  <si>
    <t xml:space="preserve">02.001.002.006 </t>
  </si>
  <si>
    <t xml:space="preserve">02.001.002.007 </t>
  </si>
  <si>
    <t xml:space="preserve">02.001.002.008 </t>
  </si>
  <si>
    <t xml:space="preserve">02.001.003 </t>
  </si>
  <si>
    <t>Meio ambiente</t>
  </si>
  <si>
    <t xml:space="preserve">02.001.003.001 </t>
  </si>
  <si>
    <t>Elaboração do Programa de Prevenção dos Riscos Ambientais (PPRA)</t>
  </si>
  <si>
    <t xml:space="preserve">02.001.003.002 </t>
  </si>
  <si>
    <t>Elaboração do Programa de Condições e Meio Ambiente de Trabalho na indústria da construção (PCMAT)</t>
  </si>
  <si>
    <t xml:space="preserve">02.001.003.003 </t>
  </si>
  <si>
    <t>Elaboração do Programa de Controle Médico de Saúde Ocupacional (PCMSO)</t>
  </si>
  <si>
    <t xml:space="preserve">02.001.003.004 </t>
  </si>
  <si>
    <t>Remoção de entulhos e resíduos</t>
  </si>
  <si>
    <t xml:space="preserve">02.002 </t>
  </si>
  <si>
    <t>ADMINISTRAÇÃO E CANTEIRO DE OBRA</t>
  </si>
  <si>
    <t xml:space="preserve">02.002.003 </t>
  </si>
  <si>
    <t>Despesas de consumo e manutenção</t>
  </si>
  <si>
    <t xml:space="preserve">02.002.003.001 </t>
  </si>
  <si>
    <t>Despesa de consumo - água</t>
  </si>
  <si>
    <t xml:space="preserve">02.002.003.002 </t>
  </si>
  <si>
    <t>Despesas de consumo - luz</t>
  </si>
  <si>
    <t xml:space="preserve">02.002.003.003 </t>
  </si>
  <si>
    <t>Despesas de consumo - internet</t>
  </si>
  <si>
    <t xml:space="preserve">02.002.003.004 </t>
  </si>
  <si>
    <t>Despesas de consumo - alimentação</t>
  </si>
  <si>
    <t xml:space="preserve">02.002.003.005 </t>
  </si>
  <si>
    <t>Despesas de consumo - material de expediente</t>
  </si>
  <si>
    <t xml:space="preserve">02.002.003.006 </t>
  </si>
  <si>
    <t>Despesas de consumo - material de limpeza</t>
  </si>
  <si>
    <t xml:space="preserve">02.002.003.007 </t>
  </si>
  <si>
    <t>Consumo gerenciamento eletrônico</t>
  </si>
  <si>
    <t xml:space="preserve">02.002.004 </t>
  </si>
  <si>
    <t>Instalações provisórias</t>
  </si>
  <si>
    <t xml:space="preserve">02.002.004.001 </t>
  </si>
  <si>
    <t xml:space="preserve">02.002.004.002 </t>
  </si>
  <si>
    <t xml:space="preserve">02.002.004.003 </t>
  </si>
  <si>
    <t xml:space="preserve">02.002.004.004 </t>
  </si>
  <si>
    <t>Locação de banheiro químico</t>
  </si>
  <si>
    <t>Divisórias em madeira compensada simples</t>
  </si>
  <si>
    <t>Mobiliário de apoio a obra</t>
  </si>
  <si>
    <t>Equipamentos de escritório</t>
  </si>
  <si>
    <t xml:space="preserve">02.003 </t>
  </si>
  <si>
    <t xml:space="preserve">02.003.001 </t>
  </si>
  <si>
    <t xml:space="preserve">02.003.001.001 </t>
  </si>
  <si>
    <t>Demolição</t>
  </si>
  <si>
    <t>SERVIÇOS PRELIMINARES</t>
  </si>
  <si>
    <t xml:space="preserve">02.003.002 </t>
  </si>
  <si>
    <t>Limpeza de terreno</t>
  </si>
  <si>
    <t xml:space="preserve">02.003.002.001 </t>
  </si>
  <si>
    <t>Limpeza manual de camada vegetal</t>
  </si>
  <si>
    <t xml:space="preserve">03.001.002 </t>
  </si>
  <si>
    <t xml:space="preserve">03.001.002.001 </t>
  </si>
  <si>
    <t xml:space="preserve">03.001.002.002 </t>
  </si>
  <si>
    <t xml:space="preserve">03.001.002.003 </t>
  </si>
  <si>
    <t xml:space="preserve">03.001.002.004 </t>
  </si>
  <si>
    <t>Elevador cremalheira - aquisição</t>
  </si>
  <si>
    <t>Montagem e desmontagem de elevador cremalheira</t>
  </si>
  <si>
    <t>Manutenção de elevador cremalheira</t>
  </si>
  <si>
    <t>Manutenção inicial elevador cremalheira</t>
  </si>
  <si>
    <t xml:space="preserve">03.001.001.001 </t>
  </si>
  <si>
    <t>03.001.001.002</t>
  </si>
  <si>
    <t>03.001.001.003</t>
  </si>
  <si>
    <t>03.001.001.004</t>
  </si>
  <si>
    <t>01.02.002.0002.0004</t>
  </si>
  <si>
    <t>01.02.002.0002.0005</t>
  </si>
  <si>
    <t>01.02.002.0002.0006</t>
  </si>
  <si>
    <t xml:space="preserve">01 </t>
  </si>
  <si>
    <t xml:space="preserve">01.001 </t>
  </si>
  <si>
    <t xml:space="preserve">01.001.001 </t>
  </si>
  <si>
    <t xml:space="preserve">02 </t>
  </si>
  <si>
    <t xml:space="preserve">02.001.001.002 </t>
  </si>
  <si>
    <t xml:space="preserve">02.001.002 </t>
  </si>
  <si>
    <t xml:space="preserve">02.002.001 </t>
  </si>
  <si>
    <t xml:space="preserve">02.002.001.001 </t>
  </si>
  <si>
    <t xml:space="preserve">02.002.002 </t>
  </si>
  <si>
    <t xml:space="preserve">02.002.002.001 </t>
  </si>
  <si>
    <t xml:space="preserve">03 </t>
  </si>
  <si>
    <t xml:space="preserve">03.001 </t>
  </si>
  <si>
    <t xml:space="preserve">03.001.001 </t>
  </si>
  <si>
    <t xml:space="preserve">03.001.002.005 </t>
  </si>
  <si>
    <t xml:space="preserve">03.001.002.006 </t>
  </si>
  <si>
    <t xml:space="preserve">03.001.002.007 </t>
  </si>
  <si>
    <t xml:space="preserve">03.001.002.008 </t>
  </si>
  <si>
    <t xml:space="preserve">03.001.003 </t>
  </si>
  <si>
    <t xml:space="preserve">03.001.003.001 </t>
  </si>
  <si>
    <t xml:space="preserve">03.001.004 </t>
  </si>
  <si>
    <t xml:space="preserve">03.001.004.001 </t>
  </si>
  <si>
    <t xml:space="preserve">03.001.005 </t>
  </si>
  <si>
    <t xml:space="preserve">03.001.005.001 </t>
  </si>
  <si>
    <t xml:space="preserve">04 </t>
  </si>
  <si>
    <t xml:space="preserve">04.001 </t>
  </si>
  <si>
    <t xml:space="preserve">04.001.001 </t>
  </si>
  <si>
    <t xml:space="preserve">04.001.001.001 </t>
  </si>
  <si>
    <t xml:space="preserve">04.001.001.002 </t>
  </si>
  <si>
    <t xml:space="preserve">04.001.001.003 </t>
  </si>
  <si>
    <t xml:space="preserve">04.001.002 </t>
  </si>
  <si>
    <t xml:space="preserve">04.001.002.001 </t>
  </si>
  <si>
    <t xml:space="preserve">04.001.003 </t>
  </si>
  <si>
    <t xml:space="preserve">04.001.003.001 </t>
  </si>
  <si>
    <t xml:space="preserve">04.001.003.002 </t>
  </si>
  <si>
    <t xml:space="preserve">04.001.003.003 </t>
  </si>
  <si>
    <t xml:space="preserve">04.001.004 </t>
  </si>
  <si>
    <t xml:space="preserve">04.001.004.001 </t>
  </si>
  <si>
    <t xml:space="preserve">04.001.005 </t>
  </si>
  <si>
    <t xml:space="preserve">04.001.005.001 </t>
  </si>
  <si>
    <t xml:space="preserve">04.001.005.002 </t>
  </si>
  <si>
    <t xml:space="preserve">04.001.005.003 </t>
  </si>
  <si>
    <t xml:space="preserve">04.001.005.004 </t>
  </si>
  <si>
    <t xml:space="preserve">05 </t>
  </si>
  <si>
    <t xml:space="preserve">05.001 </t>
  </si>
  <si>
    <t xml:space="preserve">05.001.001 </t>
  </si>
  <si>
    <t xml:space="preserve">05.001.001.001 </t>
  </si>
  <si>
    <t xml:space="preserve">05.001.001.002 </t>
  </si>
  <si>
    <t xml:space="preserve">05.001.002 </t>
  </si>
  <si>
    <t xml:space="preserve">05.001.002.001 </t>
  </si>
  <si>
    <t xml:space="preserve">05.001.003 </t>
  </si>
  <si>
    <t xml:space="preserve">05.001.003.001 </t>
  </si>
  <si>
    <t xml:space="preserve">05.001.004 </t>
  </si>
  <si>
    <t xml:space="preserve">05.001.004.001 </t>
  </si>
  <si>
    <t xml:space="preserve">05.001.005 </t>
  </si>
  <si>
    <t xml:space="preserve">05.001.005.001 </t>
  </si>
  <si>
    <t xml:space="preserve">05.001.006 </t>
  </si>
  <si>
    <t xml:space="preserve">05.001.006.001 </t>
  </si>
  <si>
    <t xml:space="preserve">05.001.007 </t>
  </si>
  <si>
    <t xml:space="preserve">05.001.007.001 </t>
  </si>
  <si>
    <t xml:space="preserve">05.001.008 </t>
  </si>
  <si>
    <t xml:space="preserve">05.001.008.001 </t>
  </si>
  <si>
    <t xml:space="preserve">05.001.009 </t>
  </si>
  <si>
    <t xml:space="preserve">05.001.009.001 </t>
  </si>
  <si>
    <t xml:space="preserve">05.001.010 </t>
  </si>
  <si>
    <t xml:space="preserve">05.001.010.001 </t>
  </si>
  <si>
    <t xml:space="preserve">05.001.010.002 </t>
  </si>
  <si>
    <t xml:space="preserve">05.001.010.003 </t>
  </si>
  <si>
    <t xml:space="preserve">05.001.010.004 </t>
  </si>
  <si>
    <t xml:space="preserve">05.001.010.005 </t>
  </si>
  <si>
    <t xml:space="preserve">05.001.010.006 </t>
  </si>
  <si>
    <t xml:space="preserve">05.001.010.007 </t>
  </si>
  <si>
    <t xml:space="preserve">05.001.010.008 </t>
  </si>
  <si>
    <t xml:space="preserve">06 </t>
  </si>
  <si>
    <t xml:space="preserve">06.001 </t>
  </si>
  <si>
    <t xml:space="preserve">06.001.001 </t>
  </si>
  <si>
    <t xml:space="preserve">06.001.001.001 </t>
  </si>
  <si>
    <t xml:space="preserve">06.001.002 </t>
  </si>
  <si>
    <t xml:space="preserve">06.001.002.001 </t>
  </si>
  <si>
    <t xml:space="preserve">06.001.003 </t>
  </si>
  <si>
    <t xml:space="preserve">06.001.003.001 </t>
  </si>
  <si>
    <t xml:space="preserve">06.001.004 </t>
  </si>
  <si>
    <t xml:space="preserve">06.001.004.001 </t>
  </si>
  <si>
    <t xml:space="preserve">06.001.005 </t>
  </si>
  <si>
    <t xml:space="preserve">06.001.006 </t>
  </si>
  <si>
    <t xml:space="preserve">06.001.006.001 </t>
  </si>
  <si>
    <t xml:space="preserve">06.001.007 </t>
  </si>
  <si>
    <t xml:space="preserve">06.001.007.001 </t>
  </si>
  <si>
    <t xml:space="preserve">07 </t>
  </si>
  <si>
    <t xml:space="preserve">07.001 </t>
  </si>
  <si>
    <t xml:space="preserve">07.001.001 </t>
  </si>
  <si>
    <t xml:space="preserve">07.001.001.001 </t>
  </si>
  <si>
    <t xml:space="preserve">07.001.002 </t>
  </si>
  <si>
    <t xml:space="preserve">07.001.002.001 </t>
  </si>
  <si>
    <t xml:space="preserve">07.001.003 </t>
  </si>
  <si>
    <t xml:space="preserve">07.001.003.001 </t>
  </si>
  <si>
    <t xml:space="preserve">07.001.004 </t>
  </si>
  <si>
    <t xml:space="preserve">07.001.004.001 </t>
  </si>
  <si>
    <t xml:space="preserve">07.001.005 </t>
  </si>
  <si>
    <t xml:space="preserve">07.001.005.001 </t>
  </si>
  <si>
    <t xml:space="preserve">07.001.006 </t>
  </si>
  <si>
    <t xml:space="preserve">07.001.006.001 </t>
  </si>
  <si>
    <t xml:space="preserve">07.001.007 </t>
  </si>
  <si>
    <t xml:space="preserve">07.001.007.001 </t>
  </si>
  <si>
    <t xml:space="preserve">08 </t>
  </si>
  <si>
    <t xml:space="preserve">08.001 </t>
  </si>
  <si>
    <t xml:space="preserve">08.001.001 </t>
  </si>
  <si>
    <t xml:space="preserve">08.001.001.001 </t>
  </si>
  <si>
    <t xml:space="preserve">08.001.002 </t>
  </si>
  <si>
    <t xml:space="preserve">08.001.002.001 </t>
  </si>
  <si>
    <t xml:space="preserve">08.001.003 </t>
  </si>
  <si>
    <t xml:space="preserve">08.001.003.001 </t>
  </si>
  <si>
    <t xml:space="preserve">08.001.004 </t>
  </si>
  <si>
    <t xml:space="preserve">08.001.004.001 </t>
  </si>
  <si>
    <t xml:space="preserve">08.001.005 </t>
  </si>
  <si>
    <t xml:space="preserve">08.001.005.001 </t>
  </si>
  <si>
    <t xml:space="preserve">08.001.006 </t>
  </si>
  <si>
    <t xml:space="preserve">08.001.006.001 </t>
  </si>
  <si>
    <t xml:space="preserve">09 </t>
  </si>
  <si>
    <t xml:space="preserve">09.001 </t>
  </si>
  <si>
    <t xml:space="preserve">09.001.001 </t>
  </si>
  <si>
    <t xml:space="preserve">09.001.001.001 </t>
  </si>
  <si>
    <t xml:space="preserve">09.001.002 </t>
  </si>
  <si>
    <t xml:space="preserve">09.001.003 </t>
  </si>
  <si>
    <t xml:space="preserve">09.001.003.001 </t>
  </si>
  <si>
    <t xml:space="preserve">09.001.004 </t>
  </si>
  <si>
    <t xml:space="preserve">09.001.005 </t>
  </si>
  <si>
    <t xml:space="preserve">09.001.005.001 </t>
  </si>
  <si>
    <t xml:space="preserve">10 </t>
  </si>
  <si>
    <t xml:space="preserve">10.001 </t>
  </si>
  <si>
    <t xml:space="preserve">10.001.001 </t>
  </si>
  <si>
    <t xml:space="preserve">10.001.001.001 </t>
  </si>
  <si>
    <t xml:space="preserve">10.001.002 </t>
  </si>
  <si>
    <t xml:space="preserve">10.001.002.001 </t>
  </si>
  <si>
    <t xml:space="preserve">10.001.003 </t>
  </si>
  <si>
    <t xml:space="preserve">10.001.004 </t>
  </si>
  <si>
    <t xml:space="preserve">10.001.004.001 </t>
  </si>
  <si>
    <t xml:space="preserve">11 </t>
  </si>
  <si>
    <t xml:space="preserve">11.001 </t>
  </si>
  <si>
    <t xml:space="preserve">11.001.001 </t>
  </si>
  <si>
    <t xml:space="preserve">11.001.001.001 </t>
  </si>
  <si>
    <t xml:space="preserve">11.002 </t>
  </si>
  <si>
    <t xml:space="preserve">11.002.001 </t>
  </si>
  <si>
    <t xml:space="preserve">11.002.001.001 </t>
  </si>
  <si>
    <t xml:space="preserve">12 </t>
  </si>
  <si>
    <t xml:space="preserve">12.001 </t>
  </si>
  <si>
    <t xml:space="preserve">12.001.001 </t>
  </si>
  <si>
    <t xml:space="preserve">12.001.001.001 </t>
  </si>
  <si>
    <t xml:space="preserve">12.001.001.002 </t>
  </si>
  <si>
    <t xml:space="preserve">12.001.002 </t>
  </si>
  <si>
    <t xml:space="preserve">12.001.002.001 </t>
  </si>
  <si>
    <t xml:space="preserve">13 </t>
  </si>
  <si>
    <t xml:space="preserve">13.001 </t>
  </si>
  <si>
    <t xml:space="preserve">13.001.001 </t>
  </si>
  <si>
    <t xml:space="preserve">13.001.001.001 </t>
  </si>
  <si>
    <t xml:space="preserve">13.001.001.002 </t>
  </si>
  <si>
    <t xml:space="preserve">13.001.001.003 </t>
  </si>
  <si>
    <t xml:space="preserve">13.001.002 </t>
  </si>
  <si>
    <t xml:space="preserve">13.001.002.001 </t>
  </si>
  <si>
    <t xml:space="preserve">13.001.002.002 </t>
  </si>
  <si>
    <t xml:space="preserve">13.001.003 </t>
  </si>
  <si>
    <t xml:space="preserve">13.001.003.001 </t>
  </si>
  <si>
    <t xml:space="preserve">13.001.004 </t>
  </si>
  <si>
    <t xml:space="preserve">13.001.004.001 </t>
  </si>
  <si>
    <t xml:space="preserve">13.001.005 </t>
  </si>
  <si>
    <t xml:space="preserve">13.001.005.001 </t>
  </si>
  <si>
    <t xml:space="preserve">13.001.005.002 </t>
  </si>
  <si>
    <t xml:space="preserve">14 </t>
  </si>
  <si>
    <t xml:space="preserve">14.001 </t>
  </si>
  <si>
    <t xml:space="preserve">14.001.001 </t>
  </si>
  <si>
    <t xml:space="preserve">14.001.001.001 </t>
  </si>
  <si>
    <t xml:space="preserve">14.001.001.002 </t>
  </si>
  <si>
    <t xml:space="preserve">14.001.001.003 </t>
  </si>
  <si>
    <t xml:space="preserve">14.001.002 </t>
  </si>
  <si>
    <t xml:space="preserve">14.001.002.001 </t>
  </si>
  <si>
    <t xml:space="preserve">14.001.002.002 </t>
  </si>
  <si>
    <t xml:space="preserve">14.001.003 </t>
  </si>
  <si>
    <t xml:space="preserve">14.001.003.001 </t>
  </si>
  <si>
    <t xml:space="preserve">14.001.003.002 </t>
  </si>
  <si>
    <t xml:space="preserve">15 </t>
  </si>
  <si>
    <t xml:space="preserve">15.001 </t>
  </si>
  <si>
    <t xml:space="preserve">15.001.001 </t>
  </si>
  <si>
    <t xml:space="preserve">15.001.001.001 </t>
  </si>
  <si>
    <t xml:space="preserve">15.001.002 </t>
  </si>
  <si>
    <t xml:space="preserve">15.001.003 </t>
  </si>
  <si>
    <t xml:space="preserve">15.001.003.001 </t>
  </si>
  <si>
    <t xml:space="preserve">15.001.004 </t>
  </si>
  <si>
    <t xml:space="preserve">15.001.004.001 </t>
  </si>
  <si>
    <t xml:space="preserve">15.001.004.002 </t>
  </si>
  <si>
    <t xml:space="preserve">15.001.005 </t>
  </si>
  <si>
    <t xml:space="preserve">15.001.005.001 </t>
  </si>
  <si>
    <t xml:space="preserve">15.001.005.002 </t>
  </si>
  <si>
    <t xml:space="preserve">15.001.005.003 </t>
  </si>
  <si>
    <t xml:space="preserve">15.001.005.004 </t>
  </si>
  <si>
    <t xml:space="preserve">15.001.006 </t>
  </si>
  <si>
    <t xml:space="preserve">15.001.006.001 </t>
  </si>
  <si>
    <t xml:space="preserve">15.001.008 </t>
  </si>
  <si>
    <t xml:space="preserve">15.001.008.001 </t>
  </si>
  <si>
    <t xml:space="preserve">15.001.008.002 </t>
  </si>
  <si>
    <t xml:space="preserve">15.001.008.003 </t>
  </si>
  <si>
    <t xml:space="preserve">15.001.009 </t>
  </si>
  <si>
    <t xml:space="preserve">15.001.009.001 </t>
  </si>
  <si>
    <t xml:space="preserve">15.001.009.002 </t>
  </si>
  <si>
    <t xml:space="preserve">15.001.010 </t>
  </si>
  <si>
    <t xml:space="preserve">15.001.010.001 </t>
  </si>
  <si>
    <t xml:space="preserve">15.001.011 </t>
  </si>
  <si>
    <t xml:space="preserve">15.001.011.001 </t>
  </si>
  <si>
    <t xml:space="preserve">15.001.011.002 </t>
  </si>
  <si>
    <t xml:space="preserve">15.001.011.003 </t>
  </si>
  <si>
    <t xml:space="preserve">15.001.011.004 </t>
  </si>
  <si>
    <t xml:space="preserve">15.001.011.005 </t>
  </si>
  <si>
    <t xml:space="preserve">15.001.011.006 </t>
  </si>
  <si>
    <t xml:space="preserve">16 </t>
  </si>
  <si>
    <t xml:space="preserve">16.001 </t>
  </si>
  <si>
    <t xml:space="preserve">16.001.001 </t>
  </si>
  <si>
    <t xml:space="preserve">16.001.001.001 </t>
  </si>
  <si>
    <t xml:space="preserve">16.001.002 </t>
  </si>
  <si>
    <t xml:space="preserve">16.001.002.001 </t>
  </si>
  <si>
    <t xml:space="preserve">16.001.002.002 </t>
  </si>
  <si>
    <t xml:space="preserve">16.001.002.003 </t>
  </si>
  <si>
    <t xml:space="preserve">16.001.002.004 </t>
  </si>
  <si>
    <t xml:space="preserve">16.001.003 </t>
  </si>
  <si>
    <t xml:space="preserve">16.001.003.001 </t>
  </si>
  <si>
    <t xml:space="preserve">16.001.003.002 </t>
  </si>
  <si>
    <t xml:space="preserve">16.001.004 </t>
  </si>
  <si>
    <t xml:space="preserve">16.001.004.001 </t>
  </si>
  <si>
    <t xml:space="preserve">16.001.005 </t>
  </si>
  <si>
    <t xml:space="preserve">16.001.005.001 </t>
  </si>
  <si>
    <t xml:space="preserve">16.001.005.002 </t>
  </si>
  <si>
    <t xml:space="preserve">16.001.005.003 </t>
  </si>
  <si>
    <t xml:space="preserve">16.001.005.004 </t>
  </si>
  <si>
    <t xml:space="preserve">17 </t>
  </si>
  <si>
    <t xml:space="preserve">17.001 </t>
  </si>
  <si>
    <t xml:space="preserve">17.001.001 </t>
  </si>
  <si>
    <t xml:space="preserve">17.001.001.001 </t>
  </si>
  <si>
    <t xml:space="preserve">17.001.002 </t>
  </si>
  <si>
    <t xml:space="preserve">17.001.002.001 </t>
  </si>
  <si>
    <t xml:space="preserve">17.001.002.002 </t>
  </si>
  <si>
    <t xml:space="preserve">17.002 </t>
  </si>
  <si>
    <t xml:space="preserve">17.002.001 </t>
  </si>
  <si>
    <t xml:space="preserve">17.002.001.001 </t>
  </si>
  <si>
    <t xml:space="preserve">17.002.001.002 </t>
  </si>
  <si>
    <t xml:space="preserve">17.002.001.003 </t>
  </si>
  <si>
    <t xml:space="preserve">17.002.003 </t>
  </si>
  <si>
    <t xml:space="preserve">17.002.003.001 </t>
  </si>
  <si>
    <t xml:space="preserve">17.002.003.002 </t>
  </si>
  <si>
    <t xml:space="preserve">17.002.005 </t>
  </si>
  <si>
    <t xml:space="preserve">17.002.005.001 </t>
  </si>
  <si>
    <t xml:space="preserve">17.003 </t>
  </si>
  <si>
    <t xml:space="preserve">17.003.001 </t>
  </si>
  <si>
    <t xml:space="preserve">17.003.001.001 </t>
  </si>
  <si>
    <t xml:space="preserve">17.003.001.002 </t>
  </si>
  <si>
    <t xml:space="preserve">17.003.001.003 </t>
  </si>
  <si>
    <t xml:space="preserve">17.003.002 </t>
  </si>
  <si>
    <t xml:space="preserve">17.003.002.001 </t>
  </si>
  <si>
    <t xml:space="preserve">17.003.002.002 </t>
  </si>
  <si>
    <t xml:space="preserve">18 </t>
  </si>
  <si>
    <t xml:space="preserve">18.001 </t>
  </si>
  <si>
    <t xml:space="preserve">18.001.001 </t>
  </si>
  <si>
    <t xml:space="preserve">18.001.001.001 </t>
  </si>
  <si>
    <t xml:space="preserve">18.001.002 </t>
  </si>
  <si>
    <t xml:space="preserve">18.001.002.001 </t>
  </si>
  <si>
    <t xml:space="preserve">18.001.003 </t>
  </si>
  <si>
    <t xml:space="preserve">18.001.003.001 </t>
  </si>
  <si>
    <t xml:space="preserve">19 </t>
  </si>
  <si>
    <t xml:space="preserve">19.001 </t>
  </si>
  <si>
    <t xml:space="preserve">19.001.001 </t>
  </si>
  <si>
    <t xml:space="preserve">19.001.001.001 </t>
  </si>
  <si>
    <t xml:space="preserve">19.001.002 </t>
  </si>
  <si>
    <t xml:space="preserve">19.001.002.001 </t>
  </si>
  <si>
    <t xml:space="preserve">19.001.003 </t>
  </si>
  <si>
    <t xml:space="preserve">19.001.003.001 </t>
  </si>
  <si>
    <t xml:space="preserve">19.001.004 </t>
  </si>
  <si>
    <t xml:space="preserve">19.001.005 </t>
  </si>
  <si>
    <t xml:space="preserve">19.001.005.001 </t>
  </si>
  <si>
    <t xml:space="preserve">20 </t>
  </si>
  <si>
    <t xml:space="preserve">20.001 </t>
  </si>
  <si>
    <t xml:space="preserve">20.001.001 </t>
  </si>
  <si>
    <t xml:space="preserve">20.001.001.001 </t>
  </si>
  <si>
    <t xml:space="preserve">20.001.001.002 </t>
  </si>
  <si>
    <t xml:space="preserve">20.001.001.003 </t>
  </si>
  <si>
    <t xml:space="preserve">20.001.002 </t>
  </si>
  <si>
    <t xml:space="preserve">20.001.002.001 </t>
  </si>
  <si>
    <t xml:space="preserve">20.001.002.002 </t>
  </si>
  <si>
    <t xml:space="preserve">20.001.002.003 </t>
  </si>
  <si>
    <t xml:space="preserve">20.001.003 </t>
  </si>
  <si>
    <t xml:space="preserve">20.001.003.001 </t>
  </si>
  <si>
    <t xml:space="preserve">20.001.003.002 </t>
  </si>
  <si>
    <t xml:space="preserve">20.001.003.003 </t>
  </si>
  <si>
    <t xml:space="preserve">20.001.004 </t>
  </si>
  <si>
    <t xml:space="preserve">20.001.005 </t>
  </si>
  <si>
    <t xml:space="preserve">20.001.005.001 </t>
  </si>
  <si>
    <t xml:space="preserve">21 </t>
  </si>
  <si>
    <t xml:space="preserve">21.001 </t>
  </si>
  <si>
    <t xml:space="preserve">21.001.001 </t>
  </si>
  <si>
    <t xml:space="preserve">21.001.001.001 </t>
  </si>
  <si>
    <t xml:space="preserve">21.001.002 </t>
  </si>
  <si>
    <t xml:space="preserve">21.001.002.001 </t>
  </si>
  <si>
    <t xml:space="preserve">21.001.003 </t>
  </si>
  <si>
    <t xml:space="preserve">21.001.003.001 </t>
  </si>
  <si>
    <t xml:space="preserve">21.001.004 </t>
  </si>
  <si>
    <t xml:space="preserve">21.001.004.001 </t>
  </si>
  <si>
    <t xml:space="preserve">22 </t>
  </si>
  <si>
    <t xml:space="preserve">22.001 </t>
  </si>
  <si>
    <t xml:space="preserve">22.001.001 </t>
  </si>
  <si>
    <t xml:space="preserve">22.001.001.001 </t>
  </si>
  <si>
    <t>MOVIMENTAÇÃO DE TERRA</t>
  </si>
  <si>
    <t>Movimentação de terra</t>
  </si>
  <si>
    <t>Perfuração e Execução Estaca tipo Hélice Contínua Ø400 mm</t>
  </si>
  <si>
    <t>Perfuração e Execução Estaca tipo Hélice Contínua Ø600 mm</t>
  </si>
  <si>
    <t>Armação de estacas</t>
  </si>
  <si>
    <t>Concreto usinado bombeável, para infraestrutura, Fck 30MPa, com Brita 1, SLUMP = 24+/-2 incluindo serviço de bombeamento</t>
  </si>
  <si>
    <t>Fabricação, montagem e desmontagem de fôrma para blocos e baldrames, em tábua de madeira</t>
  </si>
  <si>
    <t>Armação de blocos e baldrames</t>
  </si>
  <si>
    <t>Concreto usinado bombeável, para estacas e blocos, Fck 30MPa, com Brita 1, SLUMP = 24+/-2 incluindo serviço de bombeamento</t>
  </si>
  <si>
    <t>Mão de obra</t>
  </si>
  <si>
    <t>Mão de obra para execução de blocos e baldrames</t>
  </si>
  <si>
    <t>Fabricação e montagem de forma de estrutura de concreto armado</t>
  </si>
  <si>
    <t>Armação aço CA-60, diâmetro de 5,0 mm para supraestrutura, corte e dobra em obra</t>
  </si>
  <si>
    <t>Armação aço CA-50, diâmetro de 6,3 mm para supraestrutura, corte e dobra em obra</t>
  </si>
  <si>
    <t>Armação aço CA-50, diâmetro de 8,0 mm para supraestrutura, corte e dobra em obra</t>
  </si>
  <si>
    <t>Armação aço CA-50, diâmetro de 10,0 mm para supraestrutura, corte e dobra em obra</t>
  </si>
  <si>
    <t>Armação aço CA-50, diâmetro de 12,5 mm para supraestrutura, corte e dobra em obra</t>
  </si>
  <si>
    <t>Armação aço CA-50, diâmetro de 16,0 mm para supraestrutura, corte e dobra em obra</t>
  </si>
  <si>
    <t>Armação aço CA-50, diâmetro de 20,0 mm para supraestrutura, corte e dobra em obra</t>
  </si>
  <si>
    <t>Armação aço CA-50, diâmetro de 25,0 mm para supraestrutura, corte e dobra em obra</t>
  </si>
  <si>
    <t>Concreto usinado bombeável, para supraestrutura, Fck 40MPa, com Brita 1, SLUMP = 16+/-2 incluindo serviço de bombeamento</t>
  </si>
  <si>
    <t>Complementares</t>
  </si>
  <si>
    <t xml:space="preserve">Aquisição e manutenção de escoramento metálico </t>
  </si>
  <si>
    <t>Mão de obra para execução de concreto armado em supraestrutura</t>
  </si>
  <si>
    <t>PAREDES E PAINÉIS</t>
  </si>
  <si>
    <t>Alvenaria de vedação com blocos cerâmicos</t>
  </si>
  <si>
    <t>Alvenaria de vedação interna de blocos cerâmicos furados na horizontal de 11,5x19x19cm (espessura 11,5cm) com argamassa preparada em obra com cimento, cal e areia -  traço 1:2:8</t>
  </si>
  <si>
    <t>Alvenaria de vedação interna de blocos cerâmicos furados na horizontal de 14x19x29cm (espessura 14cm) com argamassa preparada em obra com cimento, cal e areia -  traço 1:2:8</t>
  </si>
  <si>
    <t>Alvenaria de vedação de blocos celular de 10x30x60cm (espessura 10cm) com argamassa preparada em obra traço 1:8</t>
  </si>
  <si>
    <t>Revestimento em tijolo refratário</t>
  </si>
  <si>
    <t>Assentamento de tijolos refratários de 22,9 x 11,4 x 6,3cm cm com argamassa refratária</t>
  </si>
  <si>
    <t>Serviços complementares para alvenaria de vedação</t>
  </si>
  <si>
    <t>Encunhamento de alvenaria de vedação com argamassa expansiva</t>
  </si>
  <si>
    <t>Tela soldada para ligação alvenaria/estrutura - para blocos de 09 a 14cm</t>
  </si>
  <si>
    <t>Drywall</t>
  </si>
  <si>
    <t>Drywall com montante de 90mm e placa RU, aplicado em shafts</t>
  </si>
  <si>
    <t>Mão de obra para vedações internas e externas - assentamento blocos cerâmico</t>
  </si>
  <si>
    <t>Mão de obra para vedações internas e externas - assentamento blocos sical</t>
  </si>
  <si>
    <t>Mão de obra para vedações internas e externas - assentamento de tijolo refratário</t>
  </si>
  <si>
    <t>Mão de obra para alvenaria em drywall</t>
  </si>
  <si>
    <t>Regularização e proteção mecânica</t>
  </si>
  <si>
    <t>Regularização de superfície para impermeabilização</t>
  </si>
  <si>
    <t>Proteção mecânica de superfície com argamassa de cimento e areia, traço 1:3, espessura 4 cm, com camada separadora de polietileno</t>
  </si>
  <si>
    <t>Impermeabilização de fundação e contenção</t>
  </si>
  <si>
    <t>Impermeabilização de baldrames com tinta asfáltica</t>
  </si>
  <si>
    <t>Impermeabilização de lajes e terraços</t>
  </si>
  <si>
    <t>Impermeabilização de terraços com manta asfáltica espessura 4mm -  uma camada - aplicação com primer asfáltico</t>
  </si>
  <si>
    <t>Impermeabilização de piscinas e espelhos d´água</t>
  </si>
  <si>
    <t>Impermeabilização de piscina com manta asfáltica espessura 4mm -  uma camada - aplicação com primer asfáltico</t>
  </si>
  <si>
    <t>Impermeabilização de banheiro, cozinha e sacada</t>
  </si>
  <si>
    <t>Impermeabilização com argamassa polimérica impermeabilizante</t>
  </si>
  <si>
    <t>Impermeabilização de esquadrias</t>
  </si>
  <si>
    <t>Impermeabilização com manta liquida em peitoris</t>
  </si>
  <si>
    <t>Impermeabilização de ralos</t>
  </si>
  <si>
    <t>Impermeabilização de fosso de elevador</t>
  </si>
  <si>
    <t>Impermeabilização de reservatórios</t>
  </si>
  <si>
    <t>Impermeabilização de reservatórios elevados com argamassa polimérica impermeabilizante</t>
  </si>
  <si>
    <t>Mão de obra para regularização de superfície</t>
  </si>
  <si>
    <t>Mão de obra para proteção mecânica</t>
  </si>
  <si>
    <t>Mão de obra para impermeabilização de baldrames com tinta asfáltica</t>
  </si>
  <si>
    <t>Mão de obra para impermeabilização de reservatorios</t>
  </si>
  <si>
    <t>Mão de obra para impermeabilização com argamassa polimérica</t>
  </si>
  <si>
    <t>Mão de obra para impermeabilização de peitoris</t>
  </si>
  <si>
    <t>Mão de obra para tratamento de ralos</t>
  </si>
  <si>
    <t>Mão de obra para impermeabilização com manta asfáltica</t>
  </si>
  <si>
    <t>SISTEMAS E INSTALAÇÕES HIDROSSANITÁRIAS E DRENAGEM</t>
  </si>
  <si>
    <t>Instalações de água fria</t>
  </si>
  <si>
    <t xml:space="preserve"> Instalações de água fria</t>
  </si>
  <si>
    <t>Instalações de água quente</t>
  </si>
  <si>
    <t xml:space="preserve"> Instalações de água quente</t>
  </si>
  <si>
    <t>Instalações de esgoto e pluviais</t>
  </si>
  <si>
    <t>Hidrômetros</t>
  </si>
  <si>
    <t>Hidrômetro</t>
  </si>
  <si>
    <t>Reservatórios</t>
  </si>
  <si>
    <t>Sistema de bombas</t>
  </si>
  <si>
    <t>Bombas de recalque e pressurização</t>
  </si>
  <si>
    <t>Mao de obra de instalações hidrossanitários</t>
  </si>
  <si>
    <t>Entrada de energia</t>
  </si>
  <si>
    <t>Quadros elétricos e disjuntores</t>
  </si>
  <si>
    <t>Eletrodutos e eletrocalhas</t>
  </si>
  <si>
    <t>Fios e cabos elétricos</t>
  </si>
  <si>
    <t>Pontos de tomadas e interruptores</t>
  </si>
  <si>
    <t>Luminárias, lâmpadas e acessórios</t>
  </si>
  <si>
    <t>Mao de obra de instalações elétricas</t>
  </si>
  <si>
    <t>INSTALAÇÕES PREVENTIVAS</t>
  </si>
  <si>
    <t>Hidrantes</t>
  </si>
  <si>
    <t>Sistemas preventivo de hidrantes</t>
  </si>
  <si>
    <t>Sinalização de emergência e extintores</t>
  </si>
  <si>
    <t>Instalações de proteção e aterramento -SPDA</t>
  </si>
  <si>
    <t>Central de Alarmes</t>
  </si>
  <si>
    <t>Central de alarmes</t>
  </si>
  <si>
    <t>Sistema de bombas para tubulação de incêndio</t>
  </si>
  <si>
    <t>Mao de obra de instalações preventivas</t>
  </si>
  <si>
    <t>INSTALAÇÕES DE GÁS</t>
  </si>
  <si>
    <t>Medidores</t>
  </si>
  <si>
    <t>Medidores de gás</t>
  </si>
  <si>
    <t>Central de Gás</t>
  </si>
  <si>
    <t>Rede Primária</t>
  </si>
  <si>
    <t>Instalações de rede de gás</t>
  </si>
  <si>
    <t>Rede Secundária</t>
  </si>
  <si>
    <t>Mao de obra de instalações de rede de gás</t>
  </si>
  <si>
    <t>INSTALAÇÕES DE COMUNICAÇÕES</t>
  </si>
  <si>
    <t>Sistema de interfone / controle de acesso</t>
  </si>
  <si>
    <t>Instalação de CFTV</t>
  </si>
  <si>
    <t>TV VHF/CABO/SATÉLITE</t>
  </si>
  <si>
    <t>Telefonia/lógica/internet</t>
  </si>
  <si>
    <t>Sistema de Telefonia/lógica/internet</t>
  </si>
  <si>
    <t>PISCINA E SAUNA UMIDA</t>
  </si>
  <si>
    <t>Equipamentos de piscina e sauna</t>
  </si>
  <si>
    <t>Equipamentos de piscina e sauna úmida - equipamento e mão de obra</t>
  </si>
  <si>
    <t>ELEVADORES</t>
  </si>
  <si>
    <t>Elevadores</t>
  </si>
  <si>
    <t>02 elevadores sociais - capacidade de 8 pessoas</t>
  </si>
  <si>
    <t>CLIMATIZAÇÃO, EXAUSTÃO MECÂNICA E PRESSURIZAÇÃO</t>
  </si>
  <si>
    <t>Climatização</t>
  </si>
  <si>
    <t>Infraestrutura de ar-condicionado</t>
  </si>
  <si>
    <t>Equipamentos de ar-condicionado</t>
  </si>
  <si>
    <t>Exaustão de churrasqueiras</t>
  </si>
  <si>
    <t>REVESTIMENTOS INTERNOS DE PAREDE</t>
  </si>
  <si>
    <t>Reboco interno</t>
  </si>
  <si>
    <t>Chapisco interno de argamassa preparada em obra de cimento e areia - traço 1:4 - aplicação em paredes internas</t>
  </si>
  <si>
    <t>Chapisco rolado aplicado em estruturas de concreto - aplicação em paredes internas</t>
  </si>
  <si>
    <t>Massa única preparada em obra de cimento, cal e areia - traço 1:2:8 - para reboco interno -  espessura 20mm</t>
  </si>
  <si>
    <t>Acabamentos cerâmicos</t>
  </si>
  <si>
    <t>Revestimento de parede em cerâmica, placa 60x60cm</t>
  </si>
  <si>
    <t>Revestimento de piso em porcelanato, placa 80x80cm</t>
  </si>
  <si>
    <t>Acabamentos especiais</t>
  </si>
  <si>
    <t>Revestimento de parede em pedra miracema</t>
  </si>
  <si>
    <t>Mao de obra para colocação e rejuntamento de revestimento cerâmico em parede</t>
  </si>
  <si>
    <t>Revestimento interno argamassado em teto</t>
  </si>
  <si>
    <t>Chapisco de argamassa preparada em obra de cimento e areia, traço 1:4, aplicado em teto, com rolo</t>
  </si>
  <si>
    <t>Massa única preparada em obra de cimento, cal e areia - traço 1:2:8 - para reboco interno de teto - espessura 20mm</t>
  </si>
  <si>
    <t>Acabamento de gesso em teto</t>
  </si>
  <si>
    <t>Forro de gesso acartonado, aplicação em áreas secas</t>
  </si>
  <si>
    <t>Forro de gesso acartonado, aplicação em áreas úmidas</t>
  </si>
  <si>
    <t>Mao de obra para reboco de teto, incluindo chapisco</t>
  </si>
  <si>
    <t>PISOS E PAVIMENTAÇÕES</t>
  </si>
  <si>
    <t>Contrapiso comum, aderido, espessura 4cm, preparado em obra de cimento e areia - traço 1:4</t>
  </si>
  <si>
    <t>Isolamento térmico</t>
  </si>
  <si>
    <t>Isolamento acústico</t>
  </si>
  <si>
    <t>Manta acústica aplicada em contrapiso aderido</t>
  </si>
  <si>
    <t>Acabamentos cimentados em piso</t>
  </si>
  <si>
    <t>Piso cimentado frisado com argamassa de cimento e areia traço 1:3</t>
  </si>
  <si>
    <t>Piso de concreto polido, aplicação em garagens</t>
  </si>
  <si>
    <t>Acabamentos cerâmicos em piso</t>
  </si>
  <si>
    <t>Pastilha aplicada em piscina</t>
  </si>
  <si>
    <t>Revestimento de piso em cerâmica, placa 30x60cm - Lava pés</t>
  </si>
  <si>
    <t>Revestimento de piso em porcelanato, placa 90x90cm</t>
  </si>
  <si>
    <t>Acabamentos de madeira</t>
  </si>
  <si>
    <t>Deck de madeira (material e mão de obra)</t>
  </si>
  <si>
    <t>Revestimento de piso com piso emborrachado</t>
  </si>
  <si>
    <t>Revestimento de piso tipo vinílico</t>
  </si>
  <si>
    <t>Concregrama</t>
  </si>
  <si>
    <t>Rodapé em poliestireno h=15cm</t>
  </si>
  <si>
    <t>Rodapé em porcelanato h=10cm, com placa 10x90cm</t>
  </si>
  <si>
    <t>Soleira de granito, acabamento polido, espessura 2cm</t>
  </si>
  <si>
    <t>Mão de Obra para execução de contrapiso não aderido</t>
  </si>
  <si>
    <t>Mão de Obra para execução de piso cimentado</t>
  </si>
  <si>
    <t>Mao de obra para colocação e rejuntamento de piso porcelanato</t>
  </si>
  <si>
    <t>Mao de obra para colocação e rejuntamento de pastilha em piscina</t>
  </si>
  <si>
    <t>Mão de Obra colocação de soleira de Granito</t>
  </si>
  <si>
    <t>Mão de obra para polimento de piso</t>
  </si>
  <si>
    <t>PINTURA INTERNA</t>
  </si>
  <si>
    <t>Sistema de pintura em piso</t>
  </si>
  <si>
    <t>Pintura com resina poliuretano, 2 demãos, aplicação em piso</t>
  </si>
  <si>
    <t>Sistema de pintura em parede</t>
  </si>
  <si>
    <t>Fundo selador latex PVA em paredes internas - 1 demao</t>
  </si>
  <si>
    <t>Aplicação de lixamento de massa latex acrílica em paredes internas - 2 demãos</t>
  </si>
  <si>
    <t>Pintura com tinta latex acrílica - acabamento fosco em paredes - 2 demãos</t>
  </si>
  <si>
    <t>Textura acrílica em parede - 1 demão</t>
  </si>
  <si>
    <t>Sistema de pintura em teto</t>
  </si>
  <si>
    <t>Fundo selador latex PVA em teto - 1 demao</t>
  </si>
  <si>
    <t>Textura acrílica aplicação em tetos - 1 demão</t>
  </si>
  <si>
    <t>Pinturas diversas</t>
  </si>
  <si>
    <t>Pintura para demarcação de faixa de garagem, com resina acrílica a base de solvente, aplicação manual, 3 demãos</t>
  </si>
  <si>
    <t>Mao de obra para pintura acrílica em paredes - 2 demãos</t>
  </si>
  <si>
    <t>Mao de obra para aplicação de textura acrílica em paredes internas - 1 demão</t>
  </si>
  <si>
    <t>Mao de obra para pintura acrílica em teto - 2 demãos</t>
  </si>
  <si>
    <t>Mão de obra para pintura em piso com resina polieretano</t>
  </si>
  <si>
    <t>ESQUADRIAS, VIDROS E FERRAGENS</t>
  </si>
  <si>
    <t>ESQUADRIAS DE ALUMÍNIO</t>
  </si>
  <si>
    <t>Contramarco</t>
  </si>
  <si>
    <t>Fixação de contramarcos com argamassa estabilizada - material e mão de obra</t>
  </si>
  <si>
    <t>Esquadrias de alumínio</t>
  </si>
  <si>
    <t xml:space="preserve"> Fornecimento e instalação de esquadrias de alumínio - incluso portas, janelas e portões</t>
  </si>
  <si>
    <t>Guarda corpo em alumínio e vidro</t>
  </si>
  <si>
    <t>ESQUADRIAS DE MADEIRA</t>
  </si>
  <si>
    <t>Esquadrias de madeira</t>
  </si>
  <si>
    <t>Porta de madeira- folha leve/média - 70x210cm- fixação com espuma expansiva</t>
  </si>
  <si>
    <t>Porta de madeira- folha leve/média - 80x210cm- fixação com espuma expansiva</t>
  </si>
  <si>
    <t>Porta de madeira- folha leve/média - 90x210cm- fixação com espuma expansiva</t>
  </si>
  <si>
    <t>Acessórios e ferragens</t>
  </si>
  <si>
    <t>Ferragem para portas internas</t>
  </si>
  <si>
    <t>Ferragem para portas externas</t>
  </si>
  <si>
    <t>ESQUADRIAS METÁLICAS</t>
  </si>
  <si>
    <t>Esquadrias metálicas</t>
  </si>
  <si>
    <t>Porta corta fogo em aço galvanizado, 90 x 210cm - fornecimento e instalação, incluindo pintura, dobradiças e maçaneta</t>
  </si>
  <si>
    <t>Corrimão metálico para escadas</t>
  </si>
  <si>
    <t>Pergolado metálico com cobertura em vidro</t>
  </si>
  <si>
    <t>Serralheria</t>
  </si>
  <si>
    <t>Escada marinheiro</t>
  </si>
  <si>
    <t>Alçapão de ferro</t>
  </si>
  <si>
    <t>LOUÇAS E METAIS</t>
  </si>
  <si>
    <t>Louças</t>
  </si>
  <si>
    <t>Metais e acessórios</t>
  </si>
  <si>
    <t>Bancadas, pias e divisórias</t>
  </si>
  <si>
    <t>Bancada em mármore, aplicação em áreas sociais</t>
  </si>
  <si>
    <t>Estrutura e trama para cobertura</t>
  </si>
  <si>
    <t>Estrutura de madeira para cobertura em telhas de fibrocimento</t>
  </si>
  <si>
    <t>Telhamento para cobertura</t>
  </si>
  <si>
    <t>Cobertura com telha de fibrocimento ondulada, espessura=6mm</t>
  </si>
  <si>
    <t>Serviços complementares</t>
  </si>
  <si>
    <t>Rufos em aço galvanizado - material e mão de obra</t>
  </si>
  <si>
    <t>Coberturas especiais</t>
  </si>
  <si>
    <t>Mão de obra para telhamento</t>
  </si>
  <si>
    <t>REVESTIMENTOS E ACABAMENTOS EM FACHADA</t>
  </si>
  <si>
    <t>Revestimento argamassado em fachada</t>
  </si>
  <si>
    <t>Chapisco interno de argamassa preparada em obra de cimento e areia - traço 1:4 - aplicação em paredes externas</t>
  </si>
  <si>
    <t>Chapisco rolado aplicado em estruturas de concreto - aplicação em paredes externas</t>
  </si>
  <si>
    <t>Massa única preparada em obra de cimento, cal e areia - traço 1:2:8 - para reboco externo -  espessura 35mm</t>
  </si>
  <si>
    <t>Pintura e textura em fachada</t>
  </si>
  <si>
    <t>Fundo selador latex acrilico em paredes externas - 1 demao</t>
  </si>
  <si>
    <t>Textura acrílica STOSILCO LIT em parede, aplicação em fachadas, 1 demão</t>
  </si>
  <si>
    <t>Acabamentos especiais em fachada</t>
  </si>
  <si>
    <t>Chapa metálica em brise acabamento pintura grafite</t>
  </si>
  <si>
    <t>Revestimento de fachada em chapa de ACM</t>
  </si>
  <si>
    <t>Perfil de fita LED aplicação em áreas externas</t>
  </si>
  <si>
    <t>Tratamentos de fachada</t>
  </si>
  <si>
    <t>Mobiliário e decoração</t>
  </si>
  <si>
    <t>Serviços finais</t>
  </si>
  <si>
    <t>Ligações definitivas</t>
  </si>
  <si>
    <t>IMPREVISTOS E CONTINGÊNCIAS</t>
  </si>
  <si>
    <t>Imprevistos e contingências</t>
  </si>
  <si>
    <t>m3</t>
  </si>
  <si>
    <t>kg</t>
  </si>
  <si>
    <t>cj</t>
  </si>
  <si>
    <t>GRANDEZZA EMPREENDIMENTOS</t>
  </si>
  <si>
    <t>GRANDEZZA - GRAN TOWER</t>
  </si>
  <si>
    <t>Itajaí, Julho de 2024</t>
  </si>
  <si>
    <t xml:space="preserve">Valor considerando custo de material e mão de obra </t>
  </si>
  <si>
    <t>Cotação repassada pelo cliente</t>
  </si>
  <si>
    <t>ETAPA</t>
  </si>
  <si>
    <t>VALOR ORÇADO</t>
  </si>
  <si>
    <t>%</t>
  </si>
  <si>
    <t>VALOR / m²</t>
  </si>
  <si>
    <t>ÁREA CONSTRUÍDA</t>
  </si>
  <si>
    <t>m²</t>
  </si>
  <si>
    <t>PAREDES E PAINEIS</t>
  </si>
  <si>
    <t>INSTALAÇÕES ELÉTRICAS, HIDRÁULICAS, GLP E PREVENTIVAS</t>
  </si>
  <si>
    <t>IMPERMEABILIZAÇÃO</t>
  </si>
  <si>
    <t>REVESTIMENTOS E ACABAMENTOS DE FACHADA</t>
  </si>
  <si>
    <t>SERVIÇOS COMPLEMENTARES</t>
  </si>
  <si>
    <t>IMPREVISTOS E CONTINGENCIAS</t>
  </si>
  <si>
    <t>TOTAL</t>
  </si>
  <si>
    <t>CUB/SC</t>
  </si>
  <si>
    <t>DESCRIÇÃO - 25 APARTAMENTOS (ÁREA TOTAL)</t>
  </si>
  <si>
    <t>ÁREA</t>
  </si>
  <si>
    <t>VALOR TOTAL</t>
  </si>
  <si>
    <t>VALOR POR UNIDADE PRIVATIVA (R$/m²)</t>
  </si>
  <si>
    <t xml:space="preserve">VALOR POR UNIDADE TIPO 01 </t>
  </si>
  <si>
    <t>VALOR POR UNIDADE TIPO 02</t>
  </si>
  <si>
    <t>VALOR POR UNIDADE DIFERENCIADO</t>
  </si>
  <si>
    <t xml:space="preserve">VALOR POR UNIDADE TIPO 03 </t>
  </si>
  <si>
    <t>VALOR</t>
  </si>
  <si>
    <t>10,00 -15,00</t>
  </si>
  <si>
    <t>140,00 -190,00</t>
  </si>
  <si>
    <t>650,00 -695,00</t>
  </si>
  <si>
    <t>120,00 -135,00</t>
  </si>
  <si>
    <t>270,00 -365,00</t>
  </si>
  <si>
    <t>140,00 -170,00</t>
  </si>
  <si>
    <t>45,00 -80,00</t>
  </si>
  <si>
    <t>145,00 -190,00</t>
  </si>
  <si>
    <t>170,00 -210,00</t>
  </si>
  <si>
    <t>100,00 -135,00</t>
  </si>
  <si>
    <t>250,00 -290,00</t>
  </si>
  <si>
    <t>115,00 -130,00</t>
  </si>
  <si>
    <t>160,00 -220,00</t>
  </si>
  <si>
    <t>Area privativa</t>
  </si>
  <si>
    <t>RESUMO</t>
  </si>
  <si>
    <t>OBRAS DE REFERÊNCIA</t>
  </si>
  <si>
    <t>Custo ajustado conforme solicitação de revisão</t>
  </si>
  <si>
    <t>Valor orçado conforme qauntitativos e cotações disponibilizadas</t>
  </si>
  <si>
    <t xml:space="preserve">15.001.007 </t>
  </si>
  <si>
    <t>Acabamentos em pedra</t>
  </si>
  <si>
    <t xml:space="preserve">17.002.002 </t>
  </si>
  <si>
    <t>Corrimão de madeira</t>
  </si>
  <si>
    <t xml:space="preserve">17.002.004 </t>
  </si>
  <si>
    <t>Marcenaria</t>
  </si>
  <si>
    <t>50,00 -70,00</t>
  </si>
  <si>
    <t>2.370,00 -2.910,00</t>
  </si>
  <si>
    <t>5,00 -15,00</t>
  </si>
  <si>
    <t>Comparações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</si>
</sst>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.##0.00_-;\-* #.##0.00_-;_-* &quot;-&quot;??_-;_-@_-"/>
    <numFmt numFmtId="165" formatCode="_(* #,##0.00_);_(* \(#,##0.00\);_(* &quot;-&quot;??_);_(@_)"/>
    <numFmt numFmtId="166" formatCode="General_)"/>
    <numFmt numFmtId="167" formatCode="_-&quot;R$&quot;\ * #.##0.00_-;\-&quot;R$&quot;\ * #.##0.00_-;_-&quot;R$&quot;\ * &quot;-&quot;??_-;_-@_-"/>
    <numFmt numFmtId="168" formatCode="_-* #,##0.00_-;\-* #,##0.00_-;_-* &quot;-&quot;??_-;_-@"/>
  </numFmts>
  <fonts count="4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10000"/>
      <name val="Arial"/>
      <family val="2"/>
    </font>
    <font>
      <sz val="10"/>
      <name val="Arial"/>
      <family val="2"/>
    </font>
    <font>
      <b/>
      <sz val="10"/>
      <color theme="0"/>
      <name val="Poppins"/>
    </font>
    <font>
      <sz val="8"/>
      <name val="Arial"/>
      <family val="2"/>
    </font>
    <font>
      <b/>
      <sz val="8"/>
      <color theme="0"/>
      <name val="Poppins"/>
    </font>
    <font>
      <b/>
      <sz val="8"/>
      <color rgb="FF010000"/>
      <name val="Poppins"/>
    </font>
    <font>
      <sz val="8"/>
      <color rgb="FF010000"/>
      <name val="Poppins"/>
    </font>
    <font>
      <sz val="8"/>
      <name val="Poppins"/>
    </font>
    <font>
      <b/>
      <sz val="10"/>
      <color rgb="FF121212"/>
      <name val="Poppins"/>
    </font>
    <font>
      <sz val="10"/>
      <color rgb="FF121212"/>
      <name val="Poppins"/>
    </font>
    <font>
      <sz val="8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8"/>
      <color theme="1"/>
      <name val="Poppins"/>
    </font>
    <font>
      <u/>
      <sz val="10"/>
      <color theme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22"/>
      <color rgb="FF255AE5"/>
      <name val="Poppins"/>
    </font>
    <font>
      <b/>
      <sz val="30"/>
      <color rgb="FF255AE5"/>
      <name val="Poppins"/>
    </font>
    <font>
      <sz val="18"/>
      <color rgb="FF121212"/>
      <name val="Poppins"/>
    </font>
    <font>
      <sz val="14"/>
      <color rgb="FF121212"/>
      <name val="Poppins"/>
    </font>
    <font>
      <sz val="8"/>
      <color rgb="FFFF0000"/>
      <name val="Poppins"/>
    </font>
    <font>
      <sz val="10"/>
      <name val="Courier New"/>
      <family val="3"/>
    </font>
    <font>
      <sz val="11"/>
      <color rgb="FF000000"/>
      <name val="Calibri"/>
      <family val="2"/>
      <scheme val="minor"/>
    </font>
    <font>
      <b/>
      <sz val="8"/>
      <name val="Poppins"/>
    </font>
    <font>
      <sz val="10"/>
      <color rgb="FF000000"/>
      <name val="Calibri"/>
      <family val="2"/>
      <scheme val="minor"/>
    </font>
    <font>
      <sz val="10"/>
      <name val="Arial"/>
    </font>
    <font>
      <b/>
      <sz val="11"/>
      <color theme="0"/>
      <name val="Poppins"/>
    </font>
    <font>
      <sz val="10"/>
      <color theme="1"/>
      <name val="Poppins"/>
    </font>
    <font>
      <b/>
      <sz val="10"/>
      <color theme="1"/>
      <name val="Poppins"/>
    </font>
    <font>
      <sz val="10"/>
      <color rgb="FFFF0000"/>
      <name val="Poppins"/>
    </font>
    <font>
      <b/>
      <sz val="11"/>
      <color rgb="FFF5F5F5"/>
      <name val="Poppins"/>
    </font>
    <font>
      <sz val="11"/>
      <name val="Calibri"/>
    </font>
    <font>
      <sz val="10"/>
      <name val="Poppins"/>
    </font>
    <font>
      <sz val="11"/>
      <name val="Poppins"/>
    </font>
  </fonts>
  <fills count="21">
    <fill>
      <patternFill patternType="none"/>
    </fill>
    <fill>
      <patternFill patternType="gray125"/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FABE00"/>
      </patternFill>
    </fill>
    <fill>
      <patternFill patternType="solid">
        <fgColor rgb="FFE5AF42"/>
      </patternFill>
    </fill>
    <fill>
      <patternFill patternType="solid">
        <fgColor rgb="FFBFBFBF"/>
      </patternFill>
    </fill>
    <fill>
      <patternFill patternType="solid">
        <fgColor rgb="FFF4F4F4"/>
      </patternFill>
    </fill>
    <fill>
      <patternFill patternType="solid">
        <fgColor rgb="FFFFC1C1"/>
      </patternFill>
    </fill>
    <fill>
      <patternFill patternType="solid">
        <fgColor rgb="FFFFE6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/>
      <top style="hair">
        <color rgb="FF010000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rgb="FF010000"/>
      </left>
      <right style="thin">
        <color indexed="64"/>
      </right>
      <top/>
      <bottom style="hair">
        <color rgb="FF010000"/>
      </bottom>
      <diagonal/>
    </border>
    <border>
      <left style="hair">
        <color rgb="FF010000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/>
      <right/>
      <top style="medium">
        <color indexed="64"/>
      </top>
      <bottom style="hair">
        <color rgb="FF010000"/>
      </bottom>
      <diagonal/>
    </border>
    <border>
      <left style="medium">
        <color indexed="64"/>
      </left>
      <right/>
      <top style="medium">
        <color indexed="64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thin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thin">
        <color indexed="64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thin">
        <color indexed="64"/>
      </right>
      <top style="hair">
        <color rgb="FF010000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rgb="FF010000"/>
      </right>
      <top style="thin">
        <color indexed="64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thin">
        <color indexed="64"/>
      </top>
      <bottom style="hair">
        <color rgb="FF010000"/>
      </bottom>
      <diagonal/>
    </border>
    <border>
      <left style="hair">
        <color rgb="FF010000"/>
      </left>
      <right style="thin">
        <color indexed="64"/>
      </right>
      <top style="thin">
        <color indexed="64"/>
      </top>
      <bottom style="hair">
        <color rgb="FF010000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93">
    <xf numFmtId="0" fontId="0" fillId="0" borderId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5" fillId="11" borderId="0"/>
    <xf numFmtId="43" fontId="25" fillId="0" borderId="0" applyFont="0" applyFill="0" applyBorder="0" applyAlignment="0" applyProtection="0"/>
    <xf numFmtId="0" fontId="26" fillId="12" borderId="0"/>
    <xf numFmtId="0" fontId="25" fillId="13" borderId="0"/>
    <xf numFmtId="0" fontId="25" fillId="14" borderId="0"/>
    <xf numFmtId="0" fontId="25" fillId="15" borderId="0"/>
    <xf numFmtId="0" fontId="9" fillId="0" borderId="0"/>
    <xf numFmtId="164" fontId="9" fillId="0" borderId="0" applyFont="0" applyFill="0" applyBorder="0" applyAlignment="0" applyProtection="0"/>
    <xf numFmtId="0" fontId="25" fillId="16" borderId="0"/>
    <xf numFmtId="44" fontId="25" fillId="0" borderId="0" applyFont="0" applyFill="0" applyBorder="0" applyAlignment="0" applyProtection="0"/>
    <xf numFmtId="0" fontId="27" fillId="0" borderId="0"/>
    <xf numFmtId="44" fontId="9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25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8" fillId="0" borderId="0"/>
    <xf numFmtId="0" fontId="8" fillId="0" borderId="0"/>
    <xf numFmtId="0" fontId="29" fillId="12" borderId="0"/>
    <xf numFmtId="0" fontId="28" fillId="13" borderId="0"/>
    <xf numFmtId="0" fontId="28" fillId="14" borderId="0"/>
    <xf numFmtId="0" fontId="28" fillId="15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6" fontId="35" fillId="0" borderId="0"/>
    <xf numFmtId="164" fontId="35" fillId="0" borderId="0" applyFont="0" applyFill="0" applyBorder="0" applyAlignment="0" applyProtection="0"/>
    <xf numFmtId="0" fontId="6" fillId="0" borderId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6" fillId="0" borderId="0"/>
    <xf numFmtId="164" fontId="3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4" fontId="36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8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 applyNumberFormat="0" applyFont="0" applyFill="0" applyBorder="0" applyAlignment="0" applyProtection="0"/>
    <xf numFmtId="44" fontId="11" fillId="0" borderId="0" applyFont="0" applyFill="0" applyBorder="0" applyAlignment="0" applyProtection="0"/>
  </cellStyleXfs>
  <cellXfs count="213">
    <xf numFmtId="0" fontId="0" fillId="0" borderId="0" xfId="0"/>
    <xf numFmtId="0" fontId="13" fillId="0" borderId="0" xfId="0" applyFont="1"/>
    <xf numFmtId="0" fontId="14" fillId="4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43" fontId="14" fillId="4" borderId="12" xfId="6" applyFont="1" applyFill="1" applyBorder="1" applyAlignment="1">
      <alignment horizontal="center" vertical="center"/>
    </xf>
    <xf numFmtId="43" fontId="14" fillId="4" borderId="13" xfId="6" applyFont="1" applyFill="1" applyBorder="1" applyAlignment="1">
      <alignment horizontal="center" vertical="center"/>
    </xf>
    <xf numFmtId="0" fontId="13" fillId="0" borderId="7" xfId="0" applyFont="1" applyBorder="1"/>
    <xf numFmtId="49" fontId="14" fillId="2" borderId="21" xfId="0" applyNumberFormat="1" applyFont="1" applyFill="1" applyBorder="1" applyAlignment="1">
      <alignment horizontal="left" vertical="center" wrapText="1"/>
    </xf>
    <xf numFmtId="49" fontId="14" fillId="2" borderId="22" xfId="0" applyNumberFormat="1" applyFont="1" applyFill="1" applyBorder="1" applyAlignment="1">
      <alignment horizontal="left" vertical="center" wrapText="1"/>
    </xf>
    <xf numFmtId="43" fontId="14" fillId="4" borderId="15" xfId="6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7" borderId="1" xfId="34" applyFont="1" applyFill="1" applyBorder="1" applyAlignment="1">
      <alignment vertical="center" wrapText="1"/>
    </xf>
    <xf numFmtId="0" fontId="19" fillId="8" borderId="27" xfId="34" applyFont="1" applyFill="1" applyBorder="1" applyAlignment="1">
      <alignment horizontal="left" vertical="center" wrapText="1"/>
    </xf>
    <xf numFmtId="0" fontId="19" fillId="8" borderId="23" xfId="34" applyFont="1" applyFill="1" applyBorder="1" applyAlignment="1">
      <alignment horizontal="center" vertical="center" wrapText="1"/>
    </xf>
    <xf numFmtId="43" fontId="19" fillId="8" borderId="23" xfId="35" applyFont="1" applyFill="1" applyBorder="1" applyAlignment="1">
      <alignment horizontal="left" vertical="center" wrapText="1"/>
    </xf>
    <xf numFmtId="0" fontId="20" fillId="8" borderId="23" xfId="34" applyFont="1" applyFill="1" applyBorder="1" applyAlignment="1">
      <alignment horizontal="center" vertical="center" wrapText="1"/>
    </xf>
    <xf numFmtId="0" fontId="21" fillId="8" borderId="28" xfId="34" applyFont="1" applyFill="1" applyBorder="1"/>
    <xf numFmtId="0" fontId="7" fillId="0" borderId="0" xfId="34"/>
    <xf numFmtId="0" fontId="18" fillId="7" borderId="4" xfId="34" applyFont="1" applyFill="1" applyBorder="1" applyAlignment="1">
      <alignment vertical="center" wrapText="1"/>
    </xf>
    <xf numFmtId="0" fontId="19" fillId="8" borderId="29" xfId="34" applyFont="1" applyFill="1" applyBorder="1" applyAlignment="1">
      <alignment horizontal="left" vertical="center" wrapText="1"/>
    </xf>
    <xf numFmtId="0" fontId="19" fillId="8" borderId="24" xfId="34" applyFont="1" applyFill="1" applyBorder="1" applyAlignment="1">
      <alignment horizontal="center" vertical="center" wrapText="1"/>
    </xf>
    <xf numFmtId="43" fontId="19" fillId="8" borderId="24" xfId="35" applyFont="1" applyFill="1" applyBorder="1" applyAlignment="1">
      <alignment horizontal="left" vertical="center" wrapText="1"/>
    </xf>
    <xf numFmtId="0" fontId="20" fillId="8" borderId="24" xfId="34" applyFont="1" applyFill="1" applyBorder="1" applyAlignment="1">
      <alignment horizontal="center" vertical="center" wrapText="1"/>
    </xf>
    <xf numFmtId="0" fontId="21" fillId="8" borderId="30" xfId="34" applyFont="1" applyFill="1" applyBorder="1"/>
    <xf numFmtId="14" fontId="19" fillId="8" borderId="29" xfId="34" applyNumberFormat="1" applyFont="1" applyFill="1" applyBorder="1" applyAlignment="1">
      <alignment horizontal="left" vertical="center" wrapText="1"/>
    </xf>
    <xf numFmtId="14" fontId="19" fillId="8" borderId="24" xfId="34" applyNumberFormat="1" applyFont="1" applyFill="1" applyBorder="1" applyAlignment="1">
      <alignment horizontal="center" vertical="center" wrapText="1"/>
    </xf>
    <xf numFmtId="14" fontId="20" fillId="8" borderId="24" xfId="34" applyNumberFormat="1" applyFont="1" applyFill="1" applyBorder="1" applyAlignment="1">
      <alignment horizontal="center" vertical="center" wrapText="1"/>
    </xf>
    <xf numFmtId="0" fontId="30" fillId="8" borderId="7" xfId="34" applyFont="1" applyFill="1" applyBorder="1" applyAlignment="1">
      <alignment vertical="center" wrapText="1"/>
    </xf>
    <xf numFmtId="0" fontId="30" fillId="8" borderId="0" xfId="34" applyFont="1" applyFill="1" applyAlignment="1">
      <alignment vertical="center" wrapText="1"/>
    </xf>
    <xf numFmtId="0" fontId="30" fillId="8" borderId="8" xfId="34" applyFont="1" applyFill="1" applyBorder="1" applyAlignment="1">
      <alignment vertical="center" wrapText="1"/>
    </xf>
    <xf numFmtId="0" fontId="30" fillId="8" borderId="18" xfId="34" applyFont="1" applyFill="1" applyBorder="1" applyAlignment="1">
      <alignment vertical="center" wrapText="1"/>
    </xf>
    <xf numFmtId="0" fontId="30" fillId="8" borderId="19" xfId="34" applyFont="1" applyFill="1" applyBorder="1" applyAlignment="1">
      <alignment vertical="center" wrapText="1"/>
    </xf>
    <xf numFmtId="0" fontId="30" fillId="8" borderId="20" xfId="34" applyFont="1" applyFill="1" applyBorder="1" applyAlignment="1">
      <alignment vertical="center" wrapText="1"/>
    </xf>
    <xf numFmtId="0" fontId="21" fillId="0" borderId="0" xfId="34" applyFont="1"/>
    <xf numFmtId="0" fontId="21" fillId="0" borderId="0" xfId="34" applyFont="1" applyAlignment="1">
      <alignment horizontal="center"/>
    </xf>
    <xf numFmtId="43" fontId="21" fillId="0" borderId="0" xfId="35" applyFont="1" applyAlignment="1">
      <alignment horizontal="center"/>
    </xf>
    <xf numFmtId="0" fontId="23" fillId="0" borderId="0" xfId="34" applyFont="1" applyAlignment="1">
      <alignment horizontal="center"/>
    </xf>
    <xf numFmtId="0" fontId="15" fillId="17" borderId="38" xfId="0" applyFont="1" applyFill="1" applyBorder="1" applyAlignment="1">
      <alignment horizontal="left" vertical="top" wrapText="1"/>
    </xf>
    <xf numFmtId="0" fontId="15" fillId="17" borderId="39" xfId="0" applyFont="1" applyFill="1" applyBorder="1" applyAlignment="1">
      <alignment vertical="top" wrapText="1"/>
    </xf>
    <xf numFmtId="0" fontId="15" fillId="5" borderId="40" xfId="0" applyFont="1" applyFill="1" applyBorder="1" applyAlignment="1">
      <alignment horizontal="left" vertical="top" wrapText="1"/>
    </xf>
    <xf numFmtId="0" fontId="15" fillId="5" borderId="41" xfId="0" applyFont="1" applyFill="1" applyBorder="1" applyAlignment="1">
      <alignment vertical="top" wrapText="1"/>
    </xf>
    <xf numFmtId="0" fontId="15" fillId="6" borderId="40" xfId="0" applyFont="1" applyFill="1" applyBorder="1" applyAlignment="1">
      <alignment horizontal="left" vertical="top" wrapText="1"/>
    </xf>
    <xf numFmtId="0" fontId="15" fillId="6" borderId="41" xfId="0" applyFont="1" applyFill="1" applyBorder="1" applyAlignment="1">
      <alignment vertical="top" wrapText="1"/>
    </xf>
    <xf numFmtId="49" fontId="16" fillId="0" borderId="40" xfId="0" applyNumberFormat="1" applyFont="1" applyBorder="1" applyAlignment="1">
      <alignment horizontal="left" vertical="top" wrapText="1"/>
    </xf>
    <xf numFmtId="0" fontId="17" fillId="0" borderId="41" xfId="0" applyFont="1" applyBorder="1" applyAlignment="1">
      <alignment vertical="top" wrapText="1"/>
    </xf>
    <xf numFmtId="0" fontId="14" fillId="10" borderId="16" xfId="0" applyFont="1" applyFill="1" applyBorder="1" applyAlignment="1">
      <alignment horizontal="left" vertical="center" wrapText="1"/>
    </xf>
    <xf numFmtId="0" fontId="14" fillId="10" borderId="31" xfId="0" applyFont="1" applyFill="1" applyBorder="1" applyAlignment="1">
      <alignment horizontal="left" vertical="center" wrapText="1"/>
    </xf>
    <xf numFmtId="0" fontId="14" fillId="10" borderId="31" xfId="0" applyFont="1" applyFill="1" applyBorder="1" applyAlignment="1">
      <alignment horizontal="center" vertical="center" wrapText="1"/>
    </xf>
    <xf numFmtId="0" fontId="37" fillId="17" borderId="42" xfId="9" applyFont="1" applyFill="1" applyBorder="1" applyAlignment="1">
      <alignment horizontal="left" vertical="center" wrapText="1"/>
    </xf>
    <xf numFmtId="0" fontId="34" fillId="5" borderId="36" xfId="9" applyFont="1" applyFill="1" applyBorder="1" applyAlignment="1">
      <alignment horizontal="left" vertical="center" wrapText="1"/>
    </xf>
    <xf numFmtId="0" fontId="34" fillId="6" borderId="36" xfId="9" applyFont="1" applyFill="1" applyBorder="1" applyAlignment="1">
      <alignment horizontal="left" vertical="center" wrapText="1"/>
    </xf>
    <xf numFmtId="0" fontId="17" fillId="0" borderId="36" xfId="9" applyFont="1" applyBorder="1" applyAlignment="1">
      <alignment horizontal="left" vertical="center" wrapText="1"/>
    </xf>
    <xf numFmtId="0" fontId="37" fillId="17" borderId="35" xfId="9" applyFont="1" applyFill="1" applyBorder="1" applyAlignment="1">
      <alignment horizontal="left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4" fillId="10" borderId="31" xfId="0" applyFont="1" applyFill="1" applyBorder="1" applyAlignment="1">
      <alignment vertical="center"/>
    </xf>
    <xf numFmtId="43" fontId="14" fillId="10" borderId="31" xfId="0" applyNumberFormat="1" applyFont="1" applyFill="1" applyBorder="1" applyAlignment="1">
      <alignment vertical="center"/>
    </xf>
    <xf numFmtId="43" fontId="14" fillId="10" borderId="37" xfId="0" applyNumberFormat="1" applyFont="1" applyFill="1" applyBorder="1" applyAlignment="1">
      <alignment vertical="center"/>
    </xf>
    <xf numFmtId="0" fontId="15" fillId="17" borderId="39" xfId="0" applyFont="1" applyFill="1" applyBorder="1" applyAlignment="1">
      <alignment vertical="top"/>
    </xf>
    <xf numFmtId="43" fontId="15" fillId="17" borderId="39" xfId="6" applyFont="1" applyFill="1" applyBorder="1" applyAlignment="1">
      <alignment vertical="top"/>
    </xf>
    <xf numFmtId="43" fontId="15" fillId="17" borderId="43" xfId="6" applyFont="1" applyFill="1" applyBorder="1" applyAlignment="1">
      <alignment vertical="top"/>
    </xf>
    <xf numFmtId="0" fontId="15" fillId="5" borderId="41" xfId="0" applyFont="1" applyFill="1" applyBorder="1" applyAlignment="1">
      <alignment vertical="top"/>
    </xf>
    <xf numFmtId="43" fontId="15" fillId="5" borderId="41" xfId="6" applyFont="1" applyFill="1" applyBorder="1" applyAlignment="1">
      <alignment vertical="top"/>
    </xf>
    <xf numFmtId="43" fontId="15" fillId="5" borderId="44" xfId="6" applyFont="1" applyFill="1" applyBorder="1" applyAlignment="1">
      <alignment vertical="top"/>
    </xf>
    <xf numFmtId="0" fontId="15" fillId="6" borderId="41" xfId="0" applyFont="1" applyFill="1" applyBorder="1" applyAlignment="1">
      <alignment vertical="top"/>
    </xf>
    <xf numFmtId="43" fontId="15" fillId="6" borderId="41" xfId="6" applyFont="1" applyFill="1" applyBorder="1" applyAlignment="1">
      <alignment vertical="top"/>
    </xf>
    <xf numFmtId="43" fontId="15" fillId="6" borderId="44" xfId="6" applyFont="1" applyFill="1" applyBorder="1" applyAlignment="1">
      <alignment vertical="top"/>
    </xf>
    <xf numFmtId="0" fontId="16" fillId="0" borderId="41" xfId="0" applyFont="1" applyBorder="1" applyAlignment="1">
      <alignment vertical="top"/>
    </xf>
    <xf numFmtId="43" fontId="16" fillId="0" borderId="41" xfId="6" applyFont="1" applyFill="1" applyBorder="1" applyAlignment="1">
      <alignment vertical="top"/>
    </xf>
    <xf numFmtId="43" fontId="16" fillId="0" borderId="44" xfId="6" applyFont="1" applyFill="1" applyBorder="1" applyAlignment="1">
      <alignment vertical="top"/>
    </xf>
    <xf numFmtId="43" fontId="12" fillId="3" borderId="34" xfId="6" applyFont="1" applyFill="1" applyBorder="1" applyAlignment="1">
      <alignment vertical="top"/>
    </xf>
    <xf numFmtId="43" fontId="13" fillId="0" borderId="0" xfId="0" applyNumberFormat="1" applyFont="1"/>
    <xf numFmtId="0" fontId="13" fillId="0" borderId="8" xfId="0" applyFont="1" applyBorder="1"/>
    <xf numFmtId="3" fontId="15" fillId="6" borderId="40" xfId="0" applyNumberFormat="1" applyFont="1" applyFill="1" applyBorder="1" applyAlignment="1">
      <alignment horizontal="left" vertical="top" wrapText="1"/>
    </xf>
    <xf numFmtId="43" fontId="16" fillId="6" borderId="41" xfId="6" applyFont="1" applyFill="1" applyBorder="1" applyAlignment="1">
      <alignment vertical="top"/>
    </xf>
    <xf numFmtId="4" fontId="17" fillId="0" borderId="36" xfId="9" applyNumberFormat="1" applyFont="1" applyBorder="1" applyAlignment="1">
      <alignment horizontal="left" vertical="center" wrapText="1"/>
    </xf>
    <xf numFmtId="0" fontId="17" fillId="0" borderId="11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40" fillId="18" borderId="47" xfId="0" applyFont="1" applyFill="1" applyBorder="1" applyAlignment="1">
      <alignment horizontal="left" vertical="center"/>
    </xf>
    <xf numFmtId="0" fontId="40" fillId="18" borderId="47" xfId="0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21" fillId="19" borderId="48" xfId="0" applyFont="1" applyFill="1" applyBorder="1" applyAlignment="1">
      <alignment horizontal="left" vertical="center"/>
    </xf>
    <xf numFmtId="10" fontId="21" fillId="19" borderId="49" xfId="0" applyNumberFormat="1" applyFont="1" applyFill="1" applyBorder="1" applyAlignment="1">
      <alignment horizontal="center" vertical="center"/>
    </xf>
    <xf numFmtId="168" fontId="41" fillId="0" borderId="0" xfId="0" applyNumberFormat="1" applyFont="1" applyAlignment="1">
      <alignment vertical="center"/>
    </xf>
    <xf numFmtId="0" fontId="41" fillId="0" borderId="51" xfId="0" applyFont="1" applyBorder="1" applyAlignment="1">
      <alignment horizontal="center" vertical="center"/>
    </xf>
    <xf numFmtId="0" fontId="21" fillId="20" borderId="52" xfId="0" applyFont="1" applyFill="1" applyBorder="1" applyAlignment="1">
      <alignment horizontal="left" vertical="center"/>
    </xf>
    <xf numFmtId="10" fontId="21" fillId="20" borderId="53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68" fontId="43" fillId="0" borderId="0" xfId="0" applyNumberFormat="1" applyFont="1" applyAlignment="1">
      <alignment horizontal="left" vertical="center"/>
    </xf>
    <xf numFmtId="0" fontId="21" fillId="19" borderId="52" xfId="0" applyFont="1" applyFill="1" applyBorder="1" applyAlignment="1">
      <alignment horizontal="left" vertical="center"/>
    </xf>
    <xf numFmtId="10" fontId="21" fillId="19" borderId="53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68" fontId="40" fillId="18" borderId="47" xfId="0" applyNumberFormat="1" applyFont="1" applyFill="1" applyBorder="1" applyAlignment="1">
      <alignment horizontal="left" vertical="center"/>
    </xf>
    <xf numFmtId="9" fontId="40" fillId="18" borderId="47" xfId="0" applyNumberFormat="1" applyFont="1" applyFill="1" applyBorder="1" applyAlignment="1">
      <alignment horizontal="center" vertical="center"/>
    </xf>
    <xf numFmtId="168" fontId="40" fillId="18" borderId="47" xfId="0" applyNumberFormat="1" applyFont="1" applyFill="1" applyBorder="1" applyAlignment="1">
      <alignment horizontal="center" vertical="center"/>
    </xf>
    <xf numFmtId="17" fontId="40" fillId="18" borderId="47" xfId="0" applyNumberFormat="1" applyFont="1" applyFill="1" applyBorder="1" applyAlignment="1">
      <alignment horizontal="center" vertical="center"/>
    </xf>
    <xf numFmtId="0" fontId="44" fillId="18" borderId="54" xfId="0" applyFont="1" applyFill="1" applyBorder="1" applyAlignment="1">
      <alignment horizontal="left" vertical="center"/>
    </xf>
    <xf numFmtId="0" fontId="44" fillId="18" borderId="55" xfId="0" applyFont="1" applyFill="1" applyBorder="1" applyAlignment="1">
      <alignment horizontal="center" vertical="center"/>
    </xf>
    <xf numFmtId="0" fontId="44" fillId="18" borderId="56" xfId="0" applyFont="1" applyFill="1" applyBorder="1" applyAlignment="1">
      <alignment horizontal="center" vertical="center"/>
    </xf>
    <xf numFmtId="0" fontId="21" fillId="19" borderId="57" xfId="0" applyFont="1" applyFill="1" applyBorder="1" applyAlignment="1">
      <alignment horizontal="left" vertical="center"/>
    </xf>
    <xf numFmtId="168" fontId="21" fillId="19" borderId="53" xfId="0" applyNumberFormat="1" applyFont="1" applyFill="1" applyBorder="1" applyAlignment="1">
      <alignment vertical="center"/>
    </xf>
    <xf numFmtId="44" fontId="21" fillId="19" borderId="58" xfId="92" applyFont="1" applyFill="1" applyBorder="1" applyAlignment="1">
      <alignment horizontal="right" vertical="center"/>
    </xf>
    <xf numFmtId="0" fontId="21" fillId="20" borderId="57" xfId="0" applyFont="1" applyFill="1" applyBorder="1" applyAlignment="1">
      <alignment horizontal="left" vertical="center"/>
    </xf>
    <xf numFmtId="168" fontId="21" fillId="20" borderId="53" xfId="0" applyNumberFormat="1" applyFont="1" applyFill="1" applyBorder="1" applyAlignment="1">
      <alignment vertical="center"/>
    </xf>
    <xf numFmtId="44" fontId="21" fillId="20" borderId="58" xfId="92" applyFont="1" applyFill="1" applyBorder="1" applyAlignment="1">
      <alignment horizontal="right" vertical="center"/>
    </xf>
    <xf numFmtId="0" fontId="21" fillId="19" borderId="59" xfId="0" applyFont="1" applyFill="1" applyBorder="1" applyAlignment="1">
      <alignment horizontal="left" vertical="center"/>
    </xf>
    <xf numFmtId="168" fontId="21" fillId="19" borderId="60" xfId="0" applyNumberFormat="1" applyFont="1" applyFill="1" applyBorder="1" applyAlignment="1">
      <alignment vertical="center"/>
    </xf>
    <xf numFmtId="44" fontId="21" fillId="19" borderId="61" xfId="92" applyFont="1" applyFill="1" applyBorder="1" applyAlignment="1">
      <alignment horizontal="right" vertical="center"/>
    </xf>
    <xf numFmtId="168" fontId="21" fillId="19" borderId="49" xfId="0" applyNumberFormat="1" applyFont="1" applyFill="1" applyBorder="1" applyAlignment="1">
      <alignment horizontal="center" vertical="center"/>
    </xf>
    <xf numFmtId="168" fontId="21" fillId="20" borderId="53" xfId="0" applyNumberFormat="1" applyFont="1" applyFill="1" applyBorder="1" applyAlignment="1">
      <alignment horizontal="center" vertical="center"/>
    </xf>
    <xf numFmtId="44" fontId="21" fillId="19" borderId="49" xfId="92" applyFont="1" applyFill="1" applyBorder="1" applyAlignment="1">
      <alignment horizontal="left" vertical="center"/>
    </xf>
    <xf numFmtId="44" fontId="21" fillId="20" borderId="53" xfId="92" applyFont="1" applyFill="1" applyBorder="1" applyAlignment="1">
      <alignment horizontal="left" vertical="center"/>
    </xf>
    <xf numFmtId="44" fontId="21" fillId="19" borderId="53" xfId="92" applyFont="1" applyFill="1" applyBorder="1" applyAlignment="1">
      <alignment horizontal="left" vertical="center"/>
    </xf>
    <xf numFmtId="44" fontId="40" fillId="18" borderId="47" xfId="92" applyFont="1" applyFill="1" applyBorder="1" applyAlignment="1">
      <alignment horizontal="left" vertical="center"/>
    </xf>
    <xf numFmtId="44" fontId="21" fillId="19" borderId="50" xfId="92" applyFont="1" applyFill="1" applyBorder="1" applyAlignment="1">
      <alignment horizontal="center" vertical="center"/>
    </xf>
    <xf numFmtId="44" fontId="21" fillId="20" borderId="50" xfId="92" applyFont="1" applyFill="1" applyBorder="1" applyAlignment="1">
      <alignment horizontal="center" vertical="center"/>
    </xf>
    <xf numFmtId="44" fontId="40" fillId="18" borderId="47" xfId="92" applyFont="1" applyFill="1" applyBorder="1" applyAlignment="1">
      <alignment horizontal="center" vertical="center"/>
    </xf>
    <xf numFmtId="4" fontId="41" fillId="0" borderId="62" xfId="0" applyNumberFormat="1" applyFont="1" applyBorder="1" applyAlignment="1">
      <alignment vertical="center"/>
    </xf>
    <xf numFmtId="0" fontId="41" fillId="8" borderId="0" xfId="0" applyFont="1" applyFill="1" applyAlignment="1">
      <alignment vertical="center"/>
    </xf>
    <xf numFmtId="0" fontId="41" fillId="8" borderId="63" xfId="0" applyFont="1" applyFill="1" applyBorder="1" applyAlignment="1">
      <alignment vertical="center"/>
    </xf>
    <xf numFmtId="0" fontId="41" fillId="8" borderId="63" xfId="0" applyFont="1" applyFill="1" applyBorder="1" applyAlignment="1">
      <alignment horizontal="center" vertical="center"/>
    </xf>
    <xf numFmtId="0" fontId="46" fillId="0" borderId="0" xfId="0" applyFont="1"/>
    <xf numFmtId="0" fontId="46" fillId="8" borderId="0" xfId="0" applyFont="1" applyFill="1"/>
    <xf numFmtId="0" fontId="21" fillId="8" borderId="63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46" fillId="8" borderId="7" xfId="0" applyFont="1" applyFill="1" applyBorder="1"/>
    <xf numFmtId="0" fontId="46" fillId="8" borderId="8" xfId="0" applyFont="1" applyFill="1" applyBorder="1"/>
    <xf numFmtId="0" fontId="41" fillId="8" borderId="8" xfId="0" applyFont="1" applyFill="1" applyBorder="1" applyAlignment="1">
      <alignment vertical="center"/>
    </xf>
    <xf numFmtId="0" fontId="2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46" fillId="8" borderId="21" xfId="0" applyFont="1" applyFill="1" applyBorder="1"/>
    <xf numFmtId="0" fontId="41" fillId="8" borderId="64" xfId="0" applyFont="1" applyFill="1" applyBorder="1" applyAlignment="1">
      <alignment vertical="center"/>
    </xf>
    <xf numFmtId="0" fontId="46" fillId="8" borderId="18" xfId="0" applyFont="1" applyFill="1" applyBorder="1"/>
    <xf numFmtId="0" fontId="41" fillId="8" borderId="19" xfId="0" applyFont="1" applyFill="1" applyBorder="1" applyAlignment="1">
      <alignment vertical="center"/>
    </xf>
    <xf numFmtId="0" fontId="17" fillId="0" borderId="36" xfId="9" applyFont="1" applyFill="1" applyBorder="1" applyAlignment="1">
      <alignment horizontal="left" vertical="center" wrapText="1"/>
    </xf>
    <xf numFmtId="0" fontId="17" fillId="5" borderId="36" xfId="9" applyFont="1" applyFill="1" applyBorder="1" applyAlignment="1">
      <alignment horizontal="left" vertical="center" wrapText="1"/>
    </xf>
    <xf numFmtId="0" fontId="17" fillId="6" borderId="36" xfId="9" applyFont="1" applyFill="1" applyBorder="1" applyAlignment="1">
      <alignment horizontal="left" vertical="center" wrapText="1"/>
    </xf>
    <xf numFmtId="49" fontId="16" fillId="0" borderId="65" xfId="0" applyNumberFormat="1" applyFont="1" applyBorder="1" applyAlignment="1">
      <alignment horizontal="left" vertical="top" wrapText="1"/>
    </xf>
    <xf numFmtId="0" fontId="17" fillId="0" borderId="66" xfId="0" applyFont="1" applyBorder="1" applyAlignment="1">
      <alignment vertical="top" wrapText="1"/>
    </xf>
    <xf numFmtId="0" fontId="16" fillId="0" borderId="66" xfId="0" applyFont="1" applyBorder="1" applyAlignment="1">
      <alignment vertical="top"/>
    </xf>
    <xf numFmtId="43" fontId="16" fillId="0" borderId="66" xfId="6" applyFont="1" applyFill="1" applyBorder="1" applyAlignment="1">
      <alignment vertical="top"/>
    </xf>
    <xf numFmtId="43" fontId="16" fillId="0" borderId="67" xfId="6" applyFont="1" applyFill="1" applyBorder="1" applyAlignment="1">
      <alignment vertical="top"/>
    </xf>
    <xf numFmtId="0" fontId="17" fillId="0" borderId="68" xfId="9" applyFont="1" applyFill="1" applyBorder="1" applyAlignment="1">
      <alignment horizontal="left" vertical="center" wrapText="1"/>
    </xf>
    <xf numFmtId="0" fontId="15" fillId="17" borderId="69" xfId="0" applyFont="1" applyFill="1" applyBorder="1" applyAlignment="1">
      <alignment horizontal="left" vertical="top" wrapText="1"/>
    </xf>
    <xf numFmtId="0" fontId="15" fillId="17" borderId="70" xfId="0" applyFont="1" applyFill="1" applyBorder="1" applyAlignment="1">
      <alignment vertical="top" wrapText="1"/>
    </xf>
    <xf numFmtId="0" fontId="15" fillId="17" borderId="70" xfId="0" applyFont="1" applyFill="1" applyBorder="1" applyAlignment="1">
      <alignment vertical="top"/>
    </xf>
    <xf numFmtId="43" fontId="15" fillId="17" borderId="70" xfId="6" applyFont="1" applyFill="1" applyBorder="1" applyAlignment="1">
      <alignment vertical="top"/>
    </xf>
    <xf numFmtId="43" fontId="15" fillId="17" borderId="71" xfId="6" applyFont="1" applyFill="1" applyBorder="1" applyAlignment="1">
      <alignment vertical="top"/>
    </xf>
    <xf numFmtId="0" fontId="37" fillId="17" borderId="72" xfId="9" applyFont="1" applyFill="1" applyBorder="1" applyAlignment="1">
      <alignment horizontal="left" vertical="center" wrapText="1"/>
    </xf>
    <xf numFmtId="0" fontId="13" fillId="0" borderId="73" xfId="0" applyFont="1" applyBorder="1"/>
    <xf numFmtId="0" fontId="14" fillId="10" borderId="74" xfId="0" applyFont="1" applyFill="1" applyBorder="1" applyAlignment="1">
      <alignment horizontal="left" vertical="center" wrapText="1"/>
    </xf>
    <xf numFmtId="0" fontId="14" fillId="10" borderId="73" xfId="0" applyFont="1" applyFill="1" applyBorder="1" applyAlignment="1">
      <alignment horizontal="left" vertical="center" wrapText="1"/>
    </xf>
    <xf numFmtId="0" fontId="14" fillId="10" borderId="73" xfId="0" applyFont="1" applyFill="1" applyBorder="1" applyAlignment="1">
      <alignment vertical="center"/>
    </xf>
    <xf numFmtId="43" fontId="14" fillId="10" borderId="73" xfId="0" applyNumberFormat="1" applyFont="1" applyFill="1" applyBorder="1" applyAlignment="1">
      <alignment vertical="center"/>
    </xf>
    <xf numFmtId="43" fontId="14" fillId="10" borderId="75" xfId="0" applyNumberFormat="1" applyFont="1" applyFill="1" applyBorder="1" applyAlignment="1">
      <alignment vertical="center"/>
    </xf>
    <xf numFmtId="0" fontId="14" fillId="10" borderId="73" xfId="0" applyFont="1" applyFill="1" applyBorder="1" applyAlignment="1">
      <alignment horizontal="center" vertical="center" wrapText="1"/>
    </xf>
    <xf numFmtId="0" fontId="22" fillId="9" borderId="4" xfId="34" applyFont="1" applyFill="1" applyBorder="1" applyAlignment="1">
      <alignment horizontal="center" vertical="center" wrapText="1"/>
    </xf>
    <xf numFmtId="0" fontId="22" fillId="9" borderId="5" xfId="34" applyFont="1" applyFill="1" applyBorder="1" applyAlignment="1">
      <alignment horizontal="center" vertical="center" wrapText="1"/>
    </xf>
    <xf numFmtId="0" fontId="22" fillId="9" borderId="6" xfId="34" applyFont="1" applyFill="1" applyBorder="1" applyAlignment="1">
      <alignment horizontal="center" vertical="center" wrapText="1"/>
    </xf>
    <xf numFmtId="0" fontId="31" fillId="8" borderId="7" xfId="34" applyFont="1" applyFill="1" applyBorder="1" applyAlignment="1">
      <alignment horizontal="center" vertical="center" wrapText="1"/>
    </xf>
    <xf numFmtId="0" fontId="31" fillId="8" borderId="0" xfId="34" applyFont="1" applyFill="1" applyAlignment="1">
      <alignment horizontal="center" vertical="center" wrapText="1"/>
    </xf>
    <xf numFmtId="0" fontId="31" fillId="8" borderId="8" xfId="34" applyFont="1" applyFill="1" applyBorder="1" applyAlignment="1">
      <alignment horizontal="center" vertical="center" wrapText="1"/>
    </xf>
    <xf numFmtId="0" fontId="32" fillId="8" borderId="7" xfId="34" applyFont="1" applyFill="1" applyBorder="1" applyAlignment="1">
      <alignment horizontal="center" vertical="center" wrapText="1"/>
    </xf>
    <xf numFmtId="0" fontId="32" fillId="8" borderId="0" xfId="34" applyFont="1" applyFill="1" applyAlignment="1">
      <alignment horizontal="center" vertical="center" wrapText="1"/>
    </xf>
    <xf numFmtId="0" fontId="32" fillId="8" borderId="8" xfId="34" applyFont="1" applyFill="1" applyBorder="1" applyAlignment="1">
      <alignment horizontal="center" vertical="center" wrapText="1"/>
    </xf>
    <xf numFmtId="0" fontId="33" fillId="8" borderId="7" xfId="34" applyFont="1" applyFill="1" applyBorder="1" applyAlignment="1">
      <alignment horizontal="center" vertical="center" wrapText="1"/>
    </xf>
    <xf numFmtId="0" fontId="33" fillId="8" borderId="0" xfId="34" applyFont="1" applyFill="1" applyAlignment="1">
      <alignment horizontal="center" vertical="center" wrapText="1"/>
    </xf>
    <xf numFmtId="0" fontId="33" fillId="8" borderId="8" xfId="34" applyFont="1" applyFill="1" applyBorder="1" applyAlignment="1">
      <alignment horizontal="center" vertical="center" wrapText="1"/>
    </xf>
    <xf numFmtId="0" fontId="42" fillId="0" borderId="16" xfId="0" applyFont="1" applyBorder="1" applyAlignment="1">
      <alignment horizontal="left" vertical="center"/>
    </xf>
    <xf numFmtId="0" fontId="42" fillId="0" borderId="17" xfId="0" applyFont="1" applyBorder="1" applyAlignment="1">
      <alignment horizontal="left" vertical="center"/>
    </xf>
    <xf numFmtId="0" fontId="10" fillId="0" borderId="45" xfId="0" applyFont="1" applyBorder="1" applyAlignment="1">
      <alignment horizontal="right" vertical="top"/>
    </xf>
    <xf numFmtId="0" fontId="10" fillId="0" borderId="45" xfId="0" applyFont="1" applyBorder="1" applyAlignment="1">
      <alignment horizontal="center" vertical="top"/>
    </xf>
    <xf numFmtId="0" fontId="10" fillId="0" borderId="46" xfId="0" applyFont="1" applyBorder="1" applyAlignment="1">
      <alignment horizontal="left" vertical="top" wrapText="1"/>
    </xf>
    <xf numFmtId="0" fontId="10" fillId="0" borderId="45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0" fontId="23" fillId="0" borderId="24" xfId="0" applyFont="1" applyBorder="1" applyAlignment="1">
      <alignment horizontal="left" vertical="center" wrapText="1"/>
    </xf>
    <xf numFmtId="14" fontId="23" fillId="0" borderId="22" xfId="0" applyNumberFormat="1" applyFont="1" applyBorder="1" applyAlignment="1">
      <alignment horizontal="left" vertical="center" wrapText="1"/>
    </xf>
    <xf numFmtId="14" fontId="23" fillId="0" borderId="24" xfId="0" applyNumberFormat="1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left" vertical="top" wrapText="1"/>
    </xf>
    <xf numFmtId="0" fontId="12" fillId="3" borderId="33" xfId="0" applyFont="1" applyFill="1" applyBorder="1" applyAlignment="1">
      <alignment horizontal="left" vertical="top" wrapText="1"/>
    </xf>
    <xf numFmtId="0" fontId="46" fillId="8" borderId="0" xfId="0" applyFont="1" applyFill="1" applyBorder="1"/>
    <xf numFmtId="0" fontId="41" fillId="8" borderId="0" xfId="0" applyFont="1" applyFill="1" applyBorder="1" applyAlignment="1">
      <alignment vertical="center"/>
    </xf>
    <xf numFmtId="0" fontId="40" fillId="18" borderId="76" xfId="0" applyFont="1" applyFill="1" applyBorder="1" applyAlignment="1">
      <alignment horizontal="center" vertical="center"/>
    </xf>
    <xf numFmtId="0" fontId="44" fillId="18" borderId="77" xfId="0" applyFont="1" applyFill="1" applyBorder="1" applyAlignment="1">
      <alignment horizontal="center" vertical="center"/>
    </xf>
    <xf numFmtId="0" fontId="45" fillId="0" borderId="78" xfId="0" applyFont="1" applyBorder="1"/>
    <xf numFmtId="168" fontId="40" fillId="18" borderId="79" xfId="0" applyNumberFormat="1" applyFont="1" applyFill="1" applyBorder="1" applyAlignment="1">
      <alignment horizontal="center" vertical="center"/>
    </xf>
    <xf numFmtId="0" fontId="45" fillId="0" borderId="80" xfId="0" applyFont="1" applyBorder="1"/>
    <xf numFmtId="168" fontId="40" fillId="18" borderId="81" xfId="0" applyNumberFormat="1" applyFont="1" applyFill="1" applyBorder="1" applyAlignment="1">
      <alignment horizontal="center" vertical="center"/>
    </xf>
    <xf numFmtId="0" fontId="21" fillId="19" borderId="82" xfId="0" applyFont="1" applyFill="1" applyBorder="1" applyAlignment="1">
      <alignment horizontal="left" vertical="center"/>
    </xf>
    <xf numFmtId="168" fontId="47" fillId="19" borderId="83" xfId="0" applyNumberFormat="1" applyFont="1" applyFill="1" applyBorder="1" applyAlignment="1">
      <alignment horizontal="center" vertical="center"/>
    </xf>
    <xf numFmtId="0" fontId="21" fillId="20" borderId="84" xfId="0" applyFont="1" applyFill="1" applyBorder="1" applyAlignment="1">
      <alignment horizontal="left" vertical="center"/>
    </xf>
    <xf numFmtId="168" fontId="21" fillId="20" borderId="85" xfId="0" applyNumberFormat="1" applyFont="1" applyFill="1" applyBorder="1" applyAlignment="1">
      <alignment horizontal="center" vertical="center"/>
    </xf>
    <xf numFmtId="168" fontId="21" fillId="19" borderId="83" xfId="0" applyNumberFormat="1" applyFont="1" applyFill="1" applyBorder="1" applyAlignment="1">
      <alignment horizontal="center" vertical="center"/>
    </xf>
    <xf numFmtId="168" fontId="47" fillId="20" borderId="85" xfId="0" applyNumberFormat="1" applyFont="1" applyFill="1" applyBorder="1" applyAlignment="1">
      <alignment horizontal="center" vertical="center"/>
    </xf>
    <xf numFmtId="0" fontId="40" fillId="18" borderId="86" xfId="0" applyFont="1" applyFill="1" applyBorder="1" applyAlignment="1">
      <alignment horizontal="right"/>
    </xf>
    <xf numFmtId="44" fontId="40" fillId="18" borderId="87" xfId="92" applyFont="1" applyFill="1" applyBorder="1" applyAlignment="1">
      <alignment horizontal="right"/>
    </xf>
    <xf numFmtId="168" fontId="40" fillId="18" borderId="87" xfId="0" applyNumberFormat="1" applyFont="1" applyFill="1" applyBorder="1" applyAlignment="1">
      <alignment horizontal="center"/>
    </xf>
    <xf numFmtId="168" fontId="44" fillId="18" borderId="88" xfId="0" applyNumberFormat="1" applyFont="1" applyFill="1" applyBorder="1" applyAlignment="1">
      <alignment horizontal="center"/>
    </xf>
  </cellXfs>
  <cellStyles count="93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DiRootsCustomParamStyle" xfId="15" xr:uid="{00000000-0005-0000-0000-000004000000}"/>
    <cellStyle name="DiRootsCustomParamStyle 2" xfId="32" xr:uid="{00000000-0005-0000-0000-000005000000}"/>
    <cellStyle name="DiRootsFullNameTitleStyle" xfId="11" xr:uid="{00000000-0005-0000-0000-000006000000}"/>
    <cellStyle name="DiRootsHeaderStyle" xfId="13" xr:uid="{00000000-0005-0000-0000-000007000000}"/>
    <cellStyle name="DiRootsHeaderStyle 2" xfId="30" xr:uid="{00000000-0005-0000-0000-000008000000}"/>
    <cellStyle name="DiRootsParameterNotFound" xfId="14" xr:uid="{00000000-0005-0000-0000-000009000000}"/>
    <cellStyle name="DiRootsParameterNotFound 2" xfId="31" xr:uid="{00000000-0005-0000-0000-00000A000000}"/>
    <cellStyle name="DiRootsReadOnly" xfId="16" xr:uid="{00000000-0005-0000-0000-00000B000000}"/>
    <cellStyle name="DiRootsReadOnly 2" xfId="33" xr:uid="{00000000-0005-0000-0000-00000C000000}"/>
    <cellStyle name="DiRootsTypeStyle" xfId="19" xr:uid="{00000000-0005-0000-0000-00000D000000}"/>
    <cellStyle name="Hiperlink" xfId="9" builtinId="8"/>
    <cellStyle name="Moeda" xfId="92" builtinId="4"/>
    <cellStyle name="Moeda 10" xfId="57" xr:uid="{00000000-0005-0000-0000-00000F000000}"/>
    <cellStyle name="Moeda 11" xfId="59" xr:uid="{00000000-0005-0000-0000-000010000000}"/>
    <cellStyle name="Moeda 12" xfId="61" xr:uid="{00000000-0005-0000-0000-000011000000}"/>
    <cellStyle name="Moeda 13" xfId="68" xr:uid="{00000000-0005-0000-0000-000012000000}"/>
    <cellStyle name="Moeda 14" xfId="72" xr:uid="{00000000-0005-0000-0000-000013000000}"/>
    <cellStyle name="Moeda 15" xfId="76" xr:uid="{00000000-0005-0000-0000-000014000000}"/>
    <cellStyle name="Moeda 16" xfId="77" xr:uid="{00000000-0005-0000-0000-000015000000}"/>
    <cellStyle name="Moeda 17" xfId="89" xr:uid="{8D2D8B9F-5D33-482A-8333-BE3762197114}"/>
    <cellStyle name="Moeda 2" xfId="20" xr:uid="{00000000-0005-0000-0000-000016000000}"/>
    <cellStyle name="Moeda 2 2" xfId="84" xr:uid="{FD7AAE59-8348-42BA-B787-58253542B2AD}"/>
    <cellStyle name="Moeda 3" xfId="22" xr:uid="{00000000-0005-0000-0000-000017000000}"/>
    <cellStyle name="Moeda 4" xfId="27" xr:uid="{00000000-0005-0000-0000-000018000000}"/>
    <cellStyle name="Moeda 5" xfId="47" xr:uid="{00000000-0005-0000-0000-000019000000}"/>
    <cellStyle name="Moeda 6" xfId="49" xr:uid="{00000000-0005-0000-0000-00001A000000}"/>
    <cellStyle name="Moeda 7" xfId="51" xr:uid="{00000000-0005-0000-0000-00001B000000}"/>
    <cellStyle name="Moeda 8" xfId="53" xr:uid="{00000000-0005-0000-0000-00001C000000}"/>
    <cellStyle name="Moeda 9" xfId="55" xr:uid="{00000000-0005-0000-0000-00001D000000}"/>
    <cellStyle name="Normal" xfId="0" builtinId="0"/>
    <cellStyle name="Normal 10" xfId="74" xr:uid="{00000000-0005-0000-0000-00001F000000}"/>
    <cellStyle name="Normal 11" xfId="81" xr:uid="{E9D2405D-B30F-4F9A-BDF3-10C956431749}"/>
    <cellStyle name="Normal 12" xfId="87" xr:uid="{F25BFC98-19EA-4AF7-89BF-D26BA3D1C1E9}"/>
    <cellStyle name="Normal 13" xfId="91" xr:uid="{A0336C47-4ED2-4F27-93C0-15A0C407A33D}"/>
    <cellStyle name="Normal 2" xfId="7" xr:uid="{00000000-0005-0000-0000-000020000000}"/>
    <cellStyle name="Normal 2 2" xfId="17" xr:uid="{00000000-0005-0000-0000-000021000000}"/>
    <cellStyle name="Normal 2 3" xfId="21" xr:uid="{00000000-0005-0000-0000-000022000000}"/>
    <cellStyle name="Normal 2 4" xfId="24" xr:uid="{00000000-0005-0000-0000-000023000000}"/>
    <cellStyle name="Normal 2 5" xfId="25" xr:uid="{00000000-0005-0000-0000-000024000000}"/>
    <cellStyle name="Normal 2 6" xfId="40" xr:uid="{00000000-0005-0000-0000-000025000000}"/>
    <cellStyle name="Normal 3" xfId="10" xr:uid="{00000000-0005-0000-0000-000026000000}"/>
    <cellStyle name="Normal 3 2" xfId="34" xr:uid="{00000000-0005-0000-0000-000027000000}"/>
    <cellStyle name="Normal 3 2 2" xfId="82" xr:uid="{AB1580C7-ABA4-4F6C-AD75-BCF22E26C35C}"/>
    <cellStyle name="Normal 4" xfId="28" xr:uid="{00000000-0005-0000-0000-000028000000}"/>
    <cellStyle name="Normal 5" xfId="29" xr:uid="{00000000-0005-0000-0000-000029000000}"/>
    <cellStyle name="Normal 6" xfId="36" xr:uid="{00000000-0005-0000-0000-00002A000000}"/>
    <cellStyle name="Normal 6 2" xfId="85" xr:uid="{05651E90-B93F-47EA-ABFD-B5750913D6FE}"/>
    <cellStyle name="Normal 7" xfId="38" xr:uid="{00000000-0005-0000-0000-00002B000000}"/>
    <cellStyle name="Normal 8" xfId="43" xr:uid="{00000000-0005-0000-0000-00002C000000}"/>
    <cellStyle name="Normal 9" xfId="71" xr:uid="{00000000-0005-0000-0000-00002D000000}"/>
    <cellStyle name="Normal 9 2" xfId="79" xr:uid="{00000000-0005-0000-0000-00002E000000}"/>
    <cellStyle name="Normal 9 3" xfId="88" xr:uid="{3A5C0430-6C9D-4811-9EF1-EE0CE1378F87}"/>
    <cellStyle name="Percent" xfId="1" xr:uid="{00000000-0005-0000-0000-00002F000000}"/>
    <cellStyle name="Separador de milhares 2 2" xfId="23" xr:uid="{00000000-0005-0000-0000-000030000000}"/>
    <cellStyle name="Vírgula" xfId="6" builtinId="3"/>
    <cellStyle name="Vírgula 10" xfId="46" xr:uid="{00000000-0005-0000-0000-000032000000}"/>
    <cellStyle name="Vírgula 11" xfId="48" xr:uid="{00000000-0005-0000-0000-000033000000}"/>
    <cellStyle name="Vírgula 12" xfId="50" xr:uid="{00000000-0005-0000-0000-000034000000}"/>
    <cellStyle name="Vírgula 13" xfId="52" xr:uid="{00000000-0005-0000-0000-000035000000}"/>
    <cellStyle name="Vírgula 14" xfId="54" xr:uid="{00000000-0005-0000-0000-000036000000}"/>
    <cellStyle name="Vírgula 15" xfId="56" xr:uid="{00000000-0005-0000-0000-000037000000}"/>
    <cellStyle name="Vírgula 16" xfId="58" xr:uid="{00000000-0005-0000-0000-000038000000}"/>
    <cellStyle name="Vírgula 17" xfId="60" xr:uid="{00000000-0005-0000-0000-000039000000}"/>
    <cellStyle name="Vírgula 18" xfId="62" xr:uid="{00000000-0005-0000-0000-00003A000000}"/>
    <cellStyle name="Vírgula 19" xfId="63" xr:uid="{00000000-0005-0000-0000-00003B000000}"/>
    <cellStyle name="Vírgula 19 2" xfId="80" xr:uid="{00000000-0005-0000-0000-00003C000000}"/>
    <cellStyle name="Vírgula 2" xfId="8" xr:uid="{00000000-0005-0000-0000-00003D000000}"/>
    <cellStyle name="Vírgula 2 2" xfId="18" xr:uid="{00000000-0005-0000-0000-00003E000000}"/>
    <cellStyle name="Vírgula 2 3" xfId="42" xr:uid="{00000000-0005-0000-0000-00003F000000}"/>
    <cellStyle name="Vírgula 20" xfId="64" xr:uid="{00000000-0005-0000-0000-000040000000}"/>
    <cellStyle name="Vírgula 20 2" xfId="90" xr:uid="{D6641237-4EC0-4C70-89D4-1912C7273466}"/>
    <cellStyle name="Vírgula 21" xfId="65" xr:uid="{00000000-0005-0000-0000-000041000000}"/>
    <cellStyle name="Vírgula 22" xfId="66" xr:uid="{00000000-0005-0000-0000-000042000000}"/>
    <cellStyle name="Vírgula 23" xfId="67" xr:uid="{00000000-0005-0000-0000-000043000000}"/>
    <cellStyle name="Vírgula 24" xfId="69" xr:uid="{00000000-0005-0000-0000-000044000000}"/>
    <cellStyle name="Vírgula 25" xfId="70" xr:uid="{00000000-0005-0000-0000-000045000000}"/>
    <cellStyle name="Vírgula 26" xfId="73" xr:uid="{00000000-0005-0000-0000-000046000000}"/>
    <cellStyle name="Vírgula 27" xfId="75" xr:uid="{00000000-0005-0000-0000-000047000000}"/>
    <cellStyle name="Vírgula 28" xfId="78" xr:uid="{00000000-0005-0000-0000-000048000000}"/>
    <cellStyle name="Vírgula 29" xfId="83" xr:uid="{977D7AE7-6F31-43FD-A441-6A92BAC548F2}"/>
    <cellStyle name="Vírgula 3" xfId="12" xr:uid="{00000000-0005-0000-0000-000049000000}"/>
    <cellStyle name="Vírgula 3 2" xfId="35" xr:uid="{00000000-0005-0000-0000-00004A000000}"/>
    <cellStyle name="Vírgula 4" xfId="26" xr:uid="{00000000-0005-0000-0000-00004B000000}"/>
    <cellStyle name="Vírgula 5" xfId="37" xr:uid="{00000000-0005-0000-0000-00004C000000}"/>
    <cellStyle name="Vírgula 5 2" xfId="86" xr:uid="{63FFF373-40EB-49FB-B325-5A637D5F2249}"/>
    <cellStyle name="Vírgula 6" xfId="39" xr:uid="{00000000-0005-0000-0000-00004D000000}"/>
    <cellStyle name="Vírgula 7" xfId="41" xr:uid="{00000000-0005-0000-0000-00004E000000}"/>
    <cellStyle name="Vírgula 8" xfId="44" xr:uid="{00000000-0005-0000-0000-00004F000000}"/>
    <cellStyle name="Vírgula 9" xfId="45" xr:uid="{00000000-0005-0000-0000-000050000000}"/>
  </cellStyles>
  <dxfs count="0"/>
  <tableStyles count="1" defaultTableStyle="TableStyleMedium2" defaultPivotStyle="PivotStyleLight16">
    <tableStyle name="Estilo de Tabe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97595</xdr:colOff>
      <xdr:row>1</xdr:row>
      <xdr:rowOff>95951</xdr:rowOff>
    </xdr:from>
    <xdr:to>
      <xdr:col>5</xdr:col>
      <xdr:colOff>1525467</xdr:colOff>
      <xdr:row>2</xdr:row>
      <xdr:rowOff>101496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6775" y="324551"/>
          <a:ext cx="1427872" cy="230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331910</xdr:colOff>
      <xdr:row>0</xdr:row>
      <xdr:rowOff>206441</xdr:rowOff>
    </xdr:from>
    <xdr:to>
      <xdr:col>5</xdr:col>
      <xdr:colOff>2320290</xdr:colOff>
      <xdr:row>2</xdr:row>
      <xdr:rowOff>116736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DC7449-5820-4C3B-BFA6-DF474F388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0150" y="206441"/>
          <a:ext cx="1973140" cy="458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1807845</xdr:colOff>
      <xdr:row>1</xdr:row>
      <xdr:rowOff>21298</xdr:rowOff>
    </xdr:from>
    <xdr:to>
      <xdr:col>6</xdr:col>
      <xdr:colOff>4111876</xdr:colOff>
      <xdr:row>3</xdr:row>
      <xdr:rowOff>117712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0465" y="166078"/>
          <a:ext cx="2296411" cy="3859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Drives%20compartilhados\03%20CTN%20Projetos\2.%20Projetos%20em%20Andamento\SAK%20Engenharia%20-%2006.2022\02.%20Escopo\02.4%20Escopo%20-%20Extra&#231;&#227;o%20de%20quantitativos\2023.03.14%20-%20Extra&#231;&#227;o%20-%20EXE.AUSTIN%20-%20SAK.R03.rvt\CTN_Levantamento%20do%20material%20de%20parede.xlsx" TargetMode="External"/><Relationship Id="rId2" Type="http://schemas.microsoft.com/office/2019/04/relationships/externalLinkLongPath" Target="/Drives%20compartilhados/03%20CTN%20Projetos/2.%20Projetos%20em%20Andamento/SAK%20Engenharia%20-%2006.2022/02.%20Escopo/02.4%20Escopo%20-%20Extra&#231;&#227;o%20de%20quantitativos/2023.03.14%20-%20Extra&#231;&#227;o%20-%20EXE.AUSTIN%20-%20SAK.R03.rvt/CTN_Levantamento%20do%20material%20de%20parede.xlsx?C27907C0" TargetMode="External"/><Relationship Id="rId1" Type="http://schemas.openxmlformats.org/officeDocument/2006/relationships/externalLinkPath" Target="file:///\\C27907C0\CTN_Levantamento%20do%20material%20de%20pare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TN_Levantamento do material de"/>
      <sheetName val="CTN_Levantamento do materia (2)"/>
      <sheetName val="Planilha1"/>
      <sheetName val="ParamValues"/>
    </sheetNames>
    <sheetDataSet>
      <sheetData sheetId="0" refreshError="1"/>
      <sheetData sheetId="1"/>
      <sheetData sheetId="2" refreshError="1"/>
      <sheetData sheetId="3">
        <row r="1">
          <cell r="A1" t="str">
            <v>01.EXE-TÉRREO</v>
          </cell>
        </row>
        <row r="2">
          <cell r="A2" t="str">
            <v>02. EXE-OUTORGA 01</v>
          </cell>
        </row>
        <row r="3">
          <cell r="A3" t="str">
            <v>03. EXE-LAZER</v>
          </cell>
        </row>
        <row r="4">
          <cell r="A4" t="str">
            <v>04 . EXE-OUTORGA 02</v>
          </cell>
        </row>
        <row r="5">
          <cell r="A5" t="str">
            <v>05. EXE-TIPO 01</v>
          </cell>
        </row>
        <row r="6">
          <cell r="A6" t="str">
            <v>06. TIPO 02</v>
          </cell>
        </row>
        <row r="7">
          <cell r="A7" t="str">
            <v>07. EXE-COBERTURA</v>
          </cell>
        </row>
        <row r="8">
          <cell r="A8" t="str">
            <v>08. TELHADO</v>
          </cell>
        </row>
        <row r="9">
          <cell r="A9" t="str">
            <v>09. RESERVATÓRIO</v>
          </cell>
        </row>
        <row r="10">
          <cell r="A10" t="str">
            <v>10. TETO RESERVATÓRIO</v>
          </cell>
        </row>
        <row r="11">
          <cell r="A11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tabSelected="1" view="pageBreakPreview" zoomScaleNormal="115" zoomScaleSheetLayoutView="100" workbookViewId="0">
      <selection activeCell="B4" sqref="B4"/>
    </sheetView>
  </sheetViews>
  <sheetFormatPr defaultColWidth="8.85546875" defaultRowHeight="21.75" x14ac:dyDescent="0.6"/>
  <cols>
    <col min="1" max="1" width="10.28515625" style="33" customWidth="1"/>
    <col min="2" max="2" width="83.7109375" style="34" customWidth="1"/>
    <col min="3" max="3" width="11.28515625" style="34" customWidth="1"/>
    <col min="4" max="4" width="11.28515625" style="35" customWidth="1"/>
    <col min="5" max="5" width="11.140625" style="36" customWidth="1"/>
    <col min="6" max="6" width="24" style="33" customWidth="1"/>
    <col min="7" max="8" width="9.28515625" style="17" bestFit="1" customWidth="1"/>
    <col min="9" max="16384" width="8.85546875" style="17"/>
  </cols>
  <sheetData>
    <row r="1" spans="1:6" ht="18" customHeight="1" x14ac:dyDescent="0.6">
      <c r="A1" s="11" t="s">
        <v>0</v>
      </c>
      <c r="B1" s="12" t="s">
        <v>124</v>
      </c>
      <c r="C1" s="13"/>
      <c r="D1" s="14"/>
      <c r="E1" s="15"/>
      <c r="F1" s="16"/>
    </row>
    <row r="2" spans="1:6" ht="18" customHeight="1" x14ac:dyDescent="0.6">
      <c r="A2" s="18" t="s">
        <v>40</v>
      </c>
      <c r="B2" s="19" t="s">
        <v>789</v>
      </c>
      <c r="C2" s="20"/>
      <c r="D2" s="21"/>
      <c r="E2" s="22"/>
      <c r="F2" s="23"/>
    </row>
    <row r="3" spans="1:6" ht="18" customHeight="1" x14ac:dyDescent="0.6">
      <c r="A3" s="18" t="s">
        <v>41</v>
      </c>
      <c r="B3" s="19" t="s">
        <v>125</v>
      </c>
      <c r="C3" s="20"/>
      <c r="D3" s="21"/>
      <c r="E3" s="22"/>
      <c r="F3" s="23"/>
    </row>
    <row r="4" spans="1:6" ht="18" customHeight="1" x14ac:dyDescent="0.6">
      <c r="A4" s="18" t="s">
        <v>35</v>
      </c>
      <c r="B4" s="24">
        <v>45503</v>
      </c>
      <c r="C4" s="25"/>
      <c r="D4" s="21"/>
      <c r="E4" s="26"/>
      <c r="F4" s="23"/>
    </row>
    <row r="5" spans="1:6" ht="20.45" customHeight="1" x14ac:dyDescent="0.25">
      <c r="A5" s="158"/>
      <c r="B5" s="159"/>
      <c r="C5" s="159"/>
      <c r="D5" s="159"/>
      <c r="E5" s="159"/>
      <c r="F5" s="160"/>
    </row>
    <row r="6" spans="1:6" ht="20.45" customHeight="1" x14ac:dyDescent="0.25">
      <c r="A6" s="27"/>
      <c r="B6" s="28"/>
      <c r="C6" s="28"/>
      <c r="D6" s="28"/>
      <c r="E6" s="28"/>
      <c r="F6" s="29"/>
    </row>
    <row r="7" spans="1:6" ht="20.45" customHeight="1" x14ac:dyDescent="0.25">
      <c r="A7" s="27"/>
      <c r="B7" s="28"/>
      <c r="C7" s="28"/>
      <c r="D7" s="28"/>
      <c r="E7" s="28"/>
      <c r="F7" s="29"/>
    </row>
    <row r="8" spans="1:6" ht="20.45" customHeight="1" x14ac:dyDescent="0.25">
      <c r="A8" s="27"/>
      <c r="B8" s="28"/>
      <c r="C8" s="28"/>
      <c r="D8" s="28"/>
      <c r="E8" s="28"/>
      <c r="F8" s="29"/>
    </row>
    <row r="9" spans="1:6" ht="20.45" customHeight="1" x14ac:dyDescent="0.25">
      <c r="A9" s="27"/>
      <c r="B9" s="28"/>
      <c r="C9" s="28"/>
      <c r="D9" s="28"/>
      <c r="E9" s="28"/>
      <c r="F9" s="29"/>
    </row>
    <row r="10" spans="1:6" ht="20.45" customHeight="1" x14ac:dyDescent="0.25">
      <c r="A10" s="27"/>
      <c r="B10" s="28"/>
      <c r="C10" s="28"/>
      <c r="D10" s="28"/>
      <c r="E10" s="28"/>
      <c r="F10" s="29"/>
    </row>
    <row r="11" spans="1:6" ht="20.45" customHeight="1" x14ac:dyDescent="0.25">
      <c r="A11" s="27"/>
      <c r="B11" s="28"/>
      <c r="C11" s="28"/>
      <c r="D11" s="28"/>
      <c r="E11" s="28"/>
      <c r="F11" s="29"/>
    </row>
    <row r="12" spans="1:6" ht="20.45" customHeight="1" x14ac:dyDescent="0.25">
      <c r="A12" s="27"/>
      <c r="B12" s="28"/>
      <c r="C12" s="28"/>
      <c r="D12" s="28"/>
      <c r="E12" s="28"/>
      <c r="F12" s="29"/>
    </row>
    <row r="13" spans="1:6" ht="20.45" customHeight="1" x14ac:dyDescent="0.25">
      <c r="A13" s="27"/>
      <c r="B13" s="28"/>
      <c r="C13" s="28"/>
      <c r="D13" s="28"/>
      <c r="E13" s="28"/>
      <c r="F13" s="29"/>
    </row>
    <row r="14" spans="1:6" ht="20.45" customHeight="1" x14ac:dyDescent="0.25">
      <c r="A14" s="27"/>
      <c r="B14" s="28"/>
      <c r="C14" s="28"/>
      <c r="D14" s="28"/>
      <c r="E14" s="28"/>
      <c r="F14" s="29"/>
    </row>
    <row r="15" spans="1:6" ht="20.45" customHeight="1" x14ac:dyDescent="0.25">
      <c r="A15" s="27"/>
      <c r="B15" s="28"/>
      <c r="C15" s="28"/>
      <c r="D15" s="28"/>
      <c r="E15" s="28"/>
      <c r="F15" s="29"/>
    </row>
    <row r="16" spans="1:6" ht="20.45" customHeight="1" x14ac:dyDescent="0.25">
      <c r="A16" s="27"/>
      <c r="B16" s="28"/>
      <c r="C16" s="28"/>
      <c r="D16" s="28"/>
      <c r="E16" s="28"/>
      <c r="F16" s="29"/>
    </row>
    <row r="17" spans="1:6" ht="20.45" customHeight="1" x14ac:dyDescent="0.25">
      <c r="A17" s="27"/>
      <c r="B17" s="28"/>
      <c r="C17" s="28"/>
      <c r="D17" s="28"/>
      <c r="E17" s="28"/>
      <c r="F17" s="29"/>
    </row>
    <row r="18" spans="1:6" ht="20.45" customHeight="1" x14ac:dyDescent="0.25">
      <c r="A18" s="27"/>
      <c r="B18" s="28"/>
      <c r="C18" s="28"/>
      <c r="D18" s="28"/>
      <c r="E18" s="28"/>
      <c r="F18" s="29"/>
    </row>
    <row r="19" spans="1:6" ht="20.45" customHeight="1" x14ac:dyDescent="0.25">
      <c r="A19" s="27"/>
      <c r="B19" s="28"/>
      <c r="C19" s="28"/>
      <c r="D19" s="28"/>
      <c r="E19" s="28"/>
      <c r="F19" s="29"/>
    </row>
    <row r="20" spans="1:6" ht="20.45" customHeight="1" x14ac:dyDescent="0.25">
      <c r="A20" s="27"/>
      <c r="B20" s="28"/>
      <c r="C20" s="28"/>
      <c r="D20" s="28"/>
      <c r="E20" s="28"/>
      <c r="F20" s="29"/>
    </row>
    <row r="21" spans="1:6" ht="20.45" customHeight="1" x14ac:dyDescent="0.25">
      <c r="A21" s="27"/>
      <c r="B21" s="28"/>
      <c r="C21" s="28"/>
      <c r="D21" s="28"/>
      <c r="E21" s="28"/>
      <c r="F21" s="29"/>
    </row>
    <row r="22" spans="1:6" ht="20.45" customHeight="1" x14ac:dyDescent="0.25">
      <c r="A22" s="27"/>
      <c r="B22" s="28"/>
      <c r="C22" s="28"/>
      <c r="D22" s="28"/>
      <c r="E22" s="28"/>
      <c r="F22" s="29"/>
    </row>
    <row r="23" spans="1:6" ht="20.45" customHeight="1" x14ac:dyDescent="0.25">
      <c r="A23" s="27"/>
      <c r="B23" s="28"/>
      <c r="C23" s="28"/>
      <c r="D23" s="28"/>
      <c r="E23" s="28"/>
      <c r="F23" s="29"/>
    </row>
    <row r="24" spans="1:6" ht="20.45" customHeight="1" x14ac:dyDescent="0.25">
      <c r="A24" s="27"/>
      <c r="B24" s="28"/>
      <c r="C24" s="28"/>
      <c r="D24" s="28"/>
      <c r="E24" s="28"/>
      <c r="F24" s="29"/>
    </row>
    <row r="25" spans="1:6" ht="20.45" customHeight="1" x14ac:dyDescent="0.25">
      <c r="A25" s="27"/>
      <c r="B25" s="28"/>
      <c r="C25" s="28"/>
      <c r="D25" s="28"/>
      <c r="E25" s="28"/>
      <c r="F25" s="29"/>
    </row>
    <row r="26" spans="1:6" ht="20.45" customHeight="1" x14ac:dyDescent="0.25">
      <c r="A26" s="161" t="s">
        <v>42</v>
      </c>
      <c r="B26" s="162"/>
      <c r="C26" s="162"/>
      <c r="D26" s="162"/>
      <c r="E26" s="162"/>
      <c r="F26" s="163"/>
    </row>
    <row r="27" spans="1:6" ht="20.45" customHeight="1" x14ac:dyDescent="0.25">
      <c r="A27" s="161"/>
      <c r="B27" s="162"/>
      <c r="C27" s="162"/>
      <c r="D27" s="162"/>
      <c r="E27" s="162"/>
      <c r="F27" s="163"/>
    </row>
    <row r="28" spans="1:6" ht="36" customHeight="1" x14ac:dyDescent="0.25">
      <c r="A28" s="164" t="s">
        <v>790</v>
      </c>
      <c r="B28" s="165"/>
      <c r="C28" s="165"/>
      <c r="D28" s="165"/>
      <c r="E28" s="165"/>
      <c r="F28" s="166"/>
    </row>
    <row r="29" spans="1:6" ht="20.45" customHeight="1" x14ac:dyDescent="0.25">
      <c r="A29" s="27"/>
      <c r="B29" s="28"/>
      <c r="C29" s="28"/>
      <c r="D29" s="28"/>
      <c r="E29" s="28"/>
      <c r="F29" s="29"/>
    </row>
    <row r="30" spans="1:6" ht="20.45" customHeight="1" x14ac:dyDescent="0.25">
      <c r="A30" s="27"/>
      <c r="B30" s="28"/>
      <c r="C30" s="28"/>
      <c r="D30" s="28"/>
      <c r="E30" s="28"/>
      <c r="F30" s="29"/>
    </row>
    <row r="31" spans="1:6" ht="20.45" customHeight="1" x14ac:dyDescent="0.25">
      <c r="A31" s="27"/>
      <c r="B31" s="28"/>
      <c r="C31" s="28"/>
      <c r="D31" s="28"/>
      <c r="E31" s="28"/>
      <c r="F31" s="29"/>
    </row>
    <row r="32" spans="1:6" ht="20.45" customHeight="1" x14ac:dyDescent="0.25">
      <c r="A32" s="27"/>
      <c r="B32" s="28"/>
      <c r="C32" s="28"/>
      <c r="D32" s="28"/>
      <c r="E32" s="28"/>
      <c r="F32" s="29"/>
    </row>
    <row r="33" spans="1:6" ht="20.45" customHeight="1" x14ac:dyDescent="0.25">
      <c r="A33" s="27"/>
      <c r="B33" s="28"/>
      <c r="C33" s="28"/>
      <c r="D33" s="28"/>
      <c r="E33" s="28"/>
      <c r="F33" s="29"/>
    </row>
    <row r="34" spans="1:6" ht="20.45" customHeight="1" x14ac:dyDescent="0.25">
      <c r="A34" s="27"/>
      <c r="B34" s="28"/>
      <c r="C34" s="28"/>
      <c r="D34" s="28"/>
      <c r="E34" s="28"/>
      <c r="F34" s="29"/>
    </row>
    <row r="35" spans="1:6" ht="20.45" customHeight="1" x14ac:dyDescent="0.25">
      <c r="A35" s="27"/>
      <c r="B35" s="28"/>
      <c r="C35" s="28"/>
      <c r="D35" s="28"/>
      <c r="E35" s="28"/>
      <c r="F35" s="29"/>
    </row>
    <row r="36" spans="1:6" ht="20.45" customHeight="1" x14ac:dyDescent="0.25">
      <c r="A36" s="27"/>
      <c r="B36" s="28"/>
      <c r="C36" s="28"/>
      <c r="D36" s="28"/>
      <c r="E36" s="28"/>
      <c r="F36" s="29"/>
    </row>
    <row r="37" spans="1:6" ht="20.45" customHeight="1" x14ac:dyDescent="0.25">
      <c r="A37" s="27"/>
      <c r="B37" s="28"/>
      <c r="C37" s="28"/>
      <c r="D37" s="28"/>
      <c r="E37" s="28"/>
      <c r="F37" s="29"/>
    </row>
    <row r="38" spans="1:6" ht="20.45" customHeight="1" x14ac:dyDescent="0.25">
      <c r="A38" s="27"/>
      <c r="B38" s="28"/>
      <c r="C38" s="28"/>
      <c r="D38" s="28"/>
      <c r="E38" s="28"/>
      <c r="F38" s="29"/>
    </row>
    <row r="39" spans="1:6" ht="20.45" customHeight="1" x14ac:dyDescent="0.25">
      <c r="A39" s="27"/>
      <c r="B39" s="28"/>
      <c r="C39" s="28"/>
      <c r="D39" s="28"/>
      <c r="E39" s="28"/>
      <c r="F39" s="29"/>
    </row>
    <row r="40" spans="1:6" ht="20.45" customHeight="1" x14ac:dyDescent="0.25">
      <c r="A40" s="27"/>
      <c r="B40" s="28"/>
      <c r="C40" s="28"/>
      <c r="D40" s="28"/>
      <c r="E40" s="28"/>
      <c r="F40" s="29"/>
    </row>
    <row r="41" spans="1:6" ht="20.45" customHeight="1" x14ac:dyDescent="0.25">
      <c r="A41" s="27"/>
      <c r="B41" s="28"/>
      <c r="C41" s="28"/>
      <c r="D41" s="28"/>
      <c r="E41" s="28"/>
      <c r="F41" s="29"/>
    </row>
    <row r="42" spans="1:6" ht="20.45" customHeight="1" x14ac:dyDescent="0.25">
      <c r="A42" s="27"/>
      <c r="B42" s="28"/>
      <c r="C42" s="28"/>
      <c r="D42" s="28"/>
      <c r="E42" s="28"/>
      <c r="F42" s="29"/>
    </row>
    <row r="43" spans="1:6" ht="20.45" customHeight="1" x14ac:dyDescent="0.25">
      <c r="A43" s="27"/>
      <c r="B43" s="28"/>
      <c r="C43" s="28"/>
      <c r="D43" s="28"/>
      <c r="E43" s="28"/>
      <c r="F43" s="29"/>
    </row>
    <row r="44" spans="1:6" ht="20.45" customHeight="1" x14ac:dyDescent="0.25">
      <c r="A44" s="27"/>
      <c r="B44" s="28"/>
      <c r="C44" s="28"/>
      <c r="D44" s="28"/>
      <c r="E44" s="28"/>
      <c r="F44" s="29"/>
    </row>
    <row r="45" spans="1:6" ht="20.45" customHeight="1" x14ac:dyDescent="0.25">
      <c r="A45" s="27"/>
      <c r="B45" s="28"/>
      <c r="C45" s="28"/>
      <c r="D45" s="28"/>
      <c r="E45" s="28"/>
      <c r="F45" s="29"/>
    </row>
    <row r="46" spans="1:6" ht="20.45" customHeight="1" x14ac:dyDescent="0.25">
      <c r="A46" s="27"/>
      <c r="B46" s="28"/>
      <c r="C46" s="28"/>
      <c r="D46" s="28"/>
      <c r="E46" s="28"/>
      <c r="F46" s="29"/>
    </row>
    <row r="47" spans="1:6" ht="20.45" customHeight="1" x14ac:dyDescent="0.25">
      <c r="A47" s="27"/>
      <c r="B47" s="28"/>
      <c r="C47" s="28"/>
      <c r="D47" s="28"/>
      <c r="E47" s="28"/>
      <c r="F47" s="29"/>
    </row>
    <row r="48" spans="1:6" ht="20.45" customHeight="1" x14ac:dyDescent="0.25">
      <c r="A48" s="27"/>
      <c r="B48" s="28"/>
      <c r="C48" s="28"/>
      <c r="D48" s="28"/>
      <c r="E48" s="28"/>
      <c r="F48" s="29"/>
    </row>
    <row r="49" spans="1:6" ht="20.45" customHeight="1" x14ac:dyDescent="0.25">
      <c r="A49" s="27"/>
      <c r="B49" s="28"/>
      <c r="C49" s="28"/>
      <c r="D49" s="28"/>
      <c r="E49" s="28"/>
      <c r="F49" s="29"/>
    </row>
    <row r="50" spans="1:6" ht="20.45" customHeight="1" x14ac:dyDescent="0.25">
      <c r="A50" s="27"/>
      <c r="B50" s="28"/>
      <c r="C50" s="28"/>
      <c r="D50" s="28"/>
      <c r="E50" s="28"/>
      <c r="F50" s="29"/>
    </row>
    <row r="51" spans="1:6" ht="20.45" customHeight="1" x14ac:dyDescent="0.25">
      <c r="A51" s="27"/>
      <c r="B51" s="28"/>
      <c r="C51" s="28"/>
      <c r="D51" s="28"/>
      <c r="E51" s="28"/>
      <c r="F51" s="29"/>
    </row>
    <row r="52" spans="1:6" ht="20.45" customHeight="1" x14ac:dyDescent="0.25">
      <c r="A52" s="27"/>
      <c r="B52" s="28"/>
      <c r="C52" s="28"/>
      <c r="D52" s="28"/>
      <c r="E52" s="28"/>
      <c r="F52" s="29"/>
    </row>
    <row r="53" spans="1:6" ht="20.45" customHeight="1" x14ac:dyDescent="0.25">
      <c r="A53" s="27"/>
      <c r="B53" s="28"/>
      <c r="C53" s="28"/>
      <c r="D53" s="28"/>
      <c r="E53" s="28"/>
      <c r="F53" s="29"/>
    </row>
    <row r="54" spans="1:6" ht="20.45" customHeight="1" x14ac:dyDescent="0.25">
      <c r="A54" s="27"/>
      <c r="B54" s="28"/>
      <c r="C54" s="28"/>
      <c r="D54" s="28"/>
      <c r="E54" s="28"/>
      <c r="F54" s="29"/>
    </row>
    <row r="55" spans="1:6" ht="20.45" customHeight="1" x14ac:dyDescent="0.25">
      <c r="A55" s="167" t="s">
        <v>791</v>
      </c>
      <c r="B55" s="168"/>
      <c r="C55" s="168"/>
      <c r="D55" s="168"/>
      <c r="E55" s="168"/>
      <c r="F55" s="169"/>
    </row>
    <row r="56" spans="1:6" ht="20.45" customHeight="1" thickBot="1" x14ac:dyDescent="0.3">
      <c r="A56" s="30"/>
      <c r="B56" s="31"/>
      <c r="C56" s="31"/>
      <c r="D56" s="31"/>
      <c r="E56" s="31"/>
      <c r="F56" s="32"/>
    </row>
    <row r="57" spans="1:6" ht="20.45" customHeight="1" x14ac:dyDescent="0.25">
      <c r="A57" s="28"/>
      <c r="B57" s="28"/>
      <c r="C57" s="28"/>
      <c r="D57" s="28"/>
      <c r="E57" s="28"/>
      <c r="F57" s="28"/>
    </row>
  </sheetData>
  <mergeCells count="4">
    <mergeCell ref="A5:F5"/>
    <mergeCell ref="A26:F27"/>
    <mergeCell ref="A28:F28"/>
    <mergeCell ref="A55:F55"/>
  </mergeCells>
  <pageMargins left="0.51181102362204722" right="0.51181102362204722" top="0.78740157480314965" bottom="0.78740157480314965" header="0.31496062992125984" footer="0.31496062992125984"/>
  <pageSetup paperSize="9" scale="6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05BC-A727-43D1-B5DD-426605EC904E}">
  <dimension ref="A1:Q1005"/>
  <sheetViews>
    <sheetView workbookViewId="0">
      <selection activeCell="E55" sqref="E55"/>
    </sheetView>
  </sheetViews>
  <sheetFormatPr defaultColWidth="14.42578125" defaultRowHeight="19.5" x14ac:dyDescent="0.55000000000000004"/>
  <cols>
    <col min="1" max="1" width="14.42578125" style="123"/>
    <col min="2" max="2" width="63.85546875" style="123" bestFit="1" customWidth="1"/>
    <col min="3" max="3" width="22.5703125" style="123" bestFit="1" customWidth="1"/>
    <col min="4" max="4" width="20" style="123" bestFit="1" customWidth="1"/>
    <col min="5" max="5" width="27.7109375" style="123" customWidth="1"/>
    <col min="6" max="6" width="37.7109375" style="123" customWidth="1"/>
    <col min="7" max="7" width="17.5703125" style="123" customWidth="1"/>
    <col min="8" max="8" width="30.7109375" style="123" customWidth="1"/>
    <col min="9" max="9" width="14.42578125" style="123"/>
    <col min="10" max="17" width="9.140625" style="123" customWidth="1"/>
    <col min="18" max="16384" width="14.42578125" style="123"/>
  </cols>
  <sheetData>
    <row r="1" spans="1:17" ht="21.75" x14ac:dyDescent="0.6">
      <c r="A1" s="11" t="s">
        <v>0</v>
      </c>
      <c r="B1" s="12" t="s">
        <v>124</v>
      </c>
      <c r="C1" s="13"/>
      <c r="D1" s="14"/>
      <c r="E1" s="15"/>
      <c r="F1" s="16"/>
    </row>
    <row r="2" spans="1:17" ht="21.75" x14ac:dyDescent="0.6">
      <c r="A2" s="18" t="s">
        <v>40</v>
      </c>
      <c r="B2" s="19" t="s">
        <v>789</v>
      </c>
      <c r="C2" s="20"/>
      <c r="D2" s="21"/>
      <c r="E2" s="22"/>
      <c r="F2" s="23"/>
    </row>
    <row r="3" spans="1:17" ht="21.75" x14ac:dyDescent="0.6">
      <c r="A3" s="18" t="s">
        <v>41</v>
      </c>
      <c r="B3" s="19" t="s">
        <v>125</v>
      </c>
      <c r="C3" s="20"/>
      <c r="D3" s="21"/>
      <c r="E3" s="22"/>
      <c r="F3" s="23"/>
    </row>
    <row r="4" spans="1:17" ht="21.75" x14ac:dyDescent="0.6">
      <c r="A4" s="18" t="s">
        <v>35</v>
      </c>
      <c r="B4" s="24">
        <v>45503</v>
      </c>
      <c r="C4" s="25"/>
      <c r="D4" s="21"/>
      <c r="E4" s="26"/>
      <c r="F4" s="23"/>
    </row>
    <row r="5" spans="1:17" ht="28.5" x14ac:dyDescent="0.55000000000000004">
      <c r="A5" s="158" t="s">
        <v>831</v>
      </c>
      <c r="B5" s="159"/>
      <c r="C5" s="159"/>
      <c r="D5" s="159"/>
      <c r="E5" s="159"/>
      <c r="F5" s="160"/>
    </row>
    <row r="6" spans="1:17" ht="20.25" thickBot="1" x14ac:dyDescent="0.6">
      <c r="A6" s="127"/>
      <c r="B6" s="124"/>
      <c r="C6" s="124"/>
      <c r="D6" s="124"/>
      <c r="E6" s="124"/>
      <c r="F6" s="128"/>
    </row>
    <row r="7" spans="1:17" ht="27" customHeight="1" thickBot="1" x14ac:dyDescent="0.6">
      <c r="A7" s="127"/>
      <c r="B7" s="170" t="s">
        <v>798</v>
      </c>
      <c r="C7" s="171"/>
      <c r="D7" s="119">
        <v>6245.48</v>
      </c>
      <c r="E7" s="84" t="s">
        <v>799</v>
      </c>
      <c r="F7" s="128"/>
    </row>
    <row r="8" spans="1:17" x14ac:dyDescent="0.55000000000000004">
      <c r="A8" s="127"/>
      <c r="B8" s="124"/>
      <c r="C8" s="124"/>
      <c r="D8" s="124"/>
      <c r="E8" s="124"/>
      <c r="F8" s="128"/>
    </row>
    <row r="9" spans="1:17" ht="22.7" customHeight="1" x14ac:dyDescent="0.55000000000000004">
      <c r="A9" s="127"/>
      <c r="B9" s="78" t="s">
        <v>794</v>
      </c>
      <c r="C9" s="78" t="s">
        <v>795</v>
      </c>
      <c r="D9" s="79" t="s">
        <v>796</v>
      </c>
      <c r="E9" s="79" t="s">
        <v>797</v>
      </c>
      <c r="F9" s="129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</row>
    <row r="10" spans="1:17" ht="22.7" customHeight="1" x14ac:dyDescent="0.55000000000000004">
      <c r="A10" s="127"/>
      <c r="B10" s="81" t="s">
        <v>62</v>
      </c>
      <c r="C10" s="112">
        <f>ORÇAMENTO_EXECUTIVO!F13</f>
        <v>2384931.88</v>
      </c>
      <c r="D10" s="82">
        <f>C10/C$27</f>
        <v>0.11225506494293257</v>
      </c>
      <c r="E10" s="116">
        <f>C10/$D$7</f>
        <v>381.86526576019776</v>
      </c>
      <c r="F10" s="128"/>
      <c r="G10" s="83"/>
      <c r="K10" s="80"/>
      <c r="L10" s="80"/>
      <c r="M10" s="80"/>
      <c r="N10" s="80"/>
      <c r="O10" s="80"/>
      <c r="P10" s="80"/>
      <c r="Q10" s="80"/>
    </row>
    <row r="11" spans="1:17" ht="19.5" customHeight="1" x14ac:dyDescent="0.55000000000000004">
      <c r="A11" s="127"/>
      <c r="B11" s="85" t="s">
        <v>553</v>
      </c>
      <c r="C11" s="113">
        <f>ORÇAMENTO_EXECUTIVO!F108</f>
        <v>230869.63</v>
      </c>
      <c r="D11" s="86">
        <f t="shared" ref="D11:D26" si="0">C11/C$27</f>
        <v>1.0866677378223824E-2</v>
      </c>
      <c r="E11" s="117">
        <f>C11/$D$7</f>
        <v>36.965874520453198</v>
      </c>
      <c r="F11" s="128"/>
      <c r="G11" s="80"/>
      <c r="H11" s="87"/>
      <c r="I11" s="87"/>
      <c r="J11" s="87"/>
      <c r="K11" s="87"/>
      <c r="L11" s="80"/>
      <c r="M11" s="80"/>
      <c r="N11" s="80"/>
      <c r="O11" s="80"/>
      <c r="P11" s="80"/>
      <c r="Q11" s="80"/>
    </row>
    <row r="12" spans="1:17" ht="19.5" customHeight="1" x14ac:dyDescent="0.55000000000000004">
      <c r="A12" s="127"/>
      <c r="B12" s="81" t="s">
        <v>20</v>
      </c>
      <c r="C12" s="112">
        <f>ORÇAMENTO_EXECUTIVO!F112</f>
        <v>933522.84</v>
      </c>
      <c r="D12" s="82">
        <f t="shared" si="0"/>
        <v>4.393948016238973E-2</v>
      </c>
      <c r="E12" s="116">
        <f t="shared" ref="E12:E26" si="1">C12/$D$7</f>
        <v>149.47175237131495</v>
      </c>
      <c r="F12" s="128"/>
      <c r="G12" s="80"/>
      <c r="H12" s="88"/>
      <c r="I12" s="87"/>
      <c r="J12" s="87"/>
      <c r="K12" s="87"/>
      <c r="L12" s="80"/>
      <c r="M12" s="80"/>
      <c r="N12" s="80"/>
      <c r="O12" s="80"/>
      <c r="P12" s="80"/>
      <c r="Q12" s="80"/>
    </row>
    <row r="13" spans="1:17" ht="19.5" customHeight="1" x14ac:dyDescent="0.55000000000000004">
      <c r="A13" s="127"/>
      <c r="B13" s="85" t="s">
        <v>23</v>
      </c>
      <c r="C13" s="113">
        <f>ORÇAMENTO_EXECUTIVO!F131</f>
        <v>4384787.09</v>
      </c>
      <c r="D13" s="86">
        <f t="shared" si="0"/>
        <v>0.20638516499216839</v>
      </c>
      <c r="E13" s="117">
        <f t="shared" si="1"/>
        <v>702.07367408109542</v>
      </c>
      <c r="F13" s="128"/>
      <c r="G13" s="80"/>
      <c r="H13" s="88"/>
      <c r="I13" s="87"/>
      <c r="J13" s="87"/>
      <c r="K13" s="87"/>
      <c r="L13" s="80"/>
      <c r="M13" s="80"/>
      <c r="N13" s="80"/>
      <c r="O13" s="80"/>
      <c r="P13" s="80"/>
      <c r="Q13" s="80"/>
    </row>
    <row r="14" spans="1:17" ht="19.5" customHeight="1" x14ac:dyDescent="0.55000000000000004">
      <c r="A14" s="127"/>
      <c r="B14" s="89" t="s">
        <v>800</v>
      </c>
      <c r="C14" s="114">
        <f>ORÇAMENTO_EXECUTIVO!F150</f>
        <v>863630.83</v>
      </c>
      <c r="D14" s="90">
        <f t="shared" si="0"/>
        <v>4.064977105692795E-2</v>
      </c>
      <c r="E14" s="116">
        <f t="shared" si="1"/>
        <v>138.28093757405355</v>
      </c>
      <c r="F14" s="128"/>
      <c r="G14" s="80"/>
      <c r="H14" s="91"/>
      <c r="J14" s="80"/>
      <c r="K14" s="80"/>
      <c r="L14" s="80"/>
      <c r="M14" s="80"/>
      <c r="N14" s="80"/>
      <c r="O14" s="80"/>
      <c r="P14" s="80"/>
      <c r="Q14" s="80"/>
    </row>
    <row r="15" spans="1:17" ht="19.5" customHeight="1" x14ac:dyDescent="0.55000000000000004">
      <c r="A15" s="127"/>
      <c r="B15" s="85" t="s">
        <v>801</v>
      </c>
      <c r="C15" s="113">
        <f>ORÇAMENTO_EXECUTIVO!F199+ORÇAMENTO_EXECUTIVO!F214+ORÇAMENTO_EXECUTIVO!F230+ORÇAMENTO_EXECUTIVO!F244+ORÇAMENTO_EXECUTIVO!F254+ORÇAMENTO_EXECUTIVO!F385</f>
        <v>1935344.2200000002</v>
      </c>
      <c r="D15" s="86">
        <f t="shared" si="0"/>
        <v>9.1093667255196076E-2</v>
      </c>
      <c r="E15" s="117">
        <f t="shared" si="1"/>
        <v>309.87917982284796</v>
      </c>
      <c r="F15" s="128"/>
      <c r="G15" s="80"/>
      <c r="I15" s="92"/>
      <c r="J15" s="80"/>
      <c r="K15" s="80"/>
      <c r="L15" s="80"/>
      <c r="M15" s="80"/>
      <c r="N15" s="80"/>
      <c r="O15" s="80"/>
      <c r="P15" s="80"/>
      <c r="Q15" s="80"/>
    </row>
    <row r="16" spans="1:17" ht="19.5" customHeight="1" x14ac:dyDescent="0.55000000000000004">
      <c r="A16" s="127"/>
      <c r="B16" s="89" t="s">
        <v>103</v>
      </c>
      <c r="C16" s="114">
        <f>ORÇAMENTO_EXECUTIVO!F263+ORÇAMENTO_EXECUTIVO!F270</f>
        <v>1404690.9</v>
      </c>
      <c r="D16" s="90">
        <f t="shared" si="0"/>
        <v>6.6116633991343349E-2</v>
      </c>
      <c r="E16" s="116">
        <f t="shared" si="1"/>
        <v>224.91320122712747</v>
      </c>
      <c r="F16" s="128"/>
      <c r="G16" s="80"/>
      <c r="I16" s="92"/>
      <c r="J16" s="80"/>
      <c r="K16" s="80"/>
      <c r="L16" s="80"/>
      <c r="M16" s="80"/>
      <c r="N16" s="80"/>
      <c r="O16" s="80"/>
      <c r="P16" s="80"/>
      <c r="Q16" s="80"/>
    </row>
    <row r="17" spans="1:17" ht="19.5" customHeight="1" x14ac:dyDescent="0.55000000000000004">
      <c r="A17" s="127"/>
      <c r="B17" s="85" t="s">
        <v>802</v>
      </c>
      <c r="C17" s="113">
        <f>ORÇAMENTO_EXECUTIVO!F169</f>
        <v>420004.94</v>
      </c>
      <c r="D17" s="86">
        <f t="shared" si="0"/>
        <v>1.9768984687333083E-2</v>
      </c>
      <c r="E17" s="117">
        <f t="shared" si="1"/>
        <v>67.249425184293287</v>
      </c>
      <c r="F17" s="128"/>
      <c r="G17" s="80"/>
      <c r="I17" s="93"/>
      <c r="J17" s="80"/>
      <c r="K17" s="80"/>
      <c r="L17" s="80"/>
      <c r="M17" s="80"/>
      <c r="N17" s="80"/>
      <c r="O17" s="80"/>
      <c r="P17" s="80"/>
      <c r="Q17" s="80"/>
    </row>
    <row r="18" spans="1:17" ht="19.5" customHeight="1" x14ac:dyDescent="0.55000000000000004">
      <c r="A18" s="127"/>
      <c r="B18" s="89" t="s">
        <v>671</v>
      </c>
      <c r="C18" s="114">
        <f>ORÇAMENTO_EXECUTIVO!F277</f>
        <v>1030085.41</v>
      </c>
      <c r="D18" s="90">
        <f t="shared" si="0"/>
        <v>4.8484531388928949E-2</v>
      </c>
      <c r="E18" s="116">
        <f t="shared" si="1"/>
        <v>164.93294510590061</v>
      </c>
      <c r="F18" s="128"/>
      <c r="G18" s="80"/>
      <c r="L18" s="80"/>
      <c r="M18" s="80"/>
      <c r="N18" s="80"/>
      <c r="O18" s="80"/>
      <c r="P18" s="80"/>
      <c r="Q18" s="80"/>
    </row>
    <row r="19" spans="1:17" ht="19.5" customHeight="1" x14ac:dyDescent="0.55000000000000004">
      <c r="A19" s="127"/>
      <c r="B19" s="85" t="s">
        <v>27</v>
      </c>
      <c r="C19" s="113">
        <f>ORÇAMENTO_EXECUTIVO!F293</f>
        <v>344380.88</v>
      </c>
      <c r="D19" s="86">
        <f t="shared" si="0"/>
        <v>1.620947682979703E-2</v>
      </c>
      <c r="E19" s="117">
        <f t="shared" si="1"/>
        <v>55.140818640040479</v>
      </c>
      <c r="F19" s="128"/>
      <c r="G19" s="80"/>
      <c r="L19" s="80"/>
      <c r="M19" s="80"/>
      <c r="N19" s="80"/>
      <c r="O19" s="80"/>
      <c r="P19" s="80"/>
      <c r="Q19" s="80"/>
    </row>
    <row r="20" spans="1:17" ht="19.5" customHeight="1" x14ac:dyDescent="0.55000000000000004">
      <c r="A20" s="127"/>
      <c r="B20" s="89" t="s">
        <v>689</v>
      </c>
      <c r="C20" s="114">
        <f>ORÇAMENTO_EXECUTIVO!F305</f>
        <v>1388564.53</v>
      </c>
      <c r="D20" s="90">
        <f t="shared" si="0"/>
        <v>6.5357590629633686E-2</v>
      </c>
      <c r="E20" s="116">
        <f t="shared" si="1"/>
        <v>222.33111466212367</v>
      </c>
      <c r="F20" s="128"/>
      <c r="G20" s="80"/>
      <c r="L20" s="80"/>
      <c r="M20" s="80"/>
      <c r="N20" s="80"/>
      <c r="O20" s="80"/>
      <c r="P20" s="80"/>
      <c r="Q20" s="80"/>
    </row>
    <row r="21" spans="1:17" ht="19.5" customHeight="1" x14ac:dyDescent="0.55000000000000004">
      <c r="A21" s="127"/>
      <c r="B21" s="85" t="s">
        <v>715</v>
      </c>
      <c r="C21" s="113">
        <f>ORÇAMENTO_EXECUTIVO!F339</f>
        <v>712320.05</v>
      </c>
      <c r="D21" s="86">
        <f t="shared" si="0"/>
        <v>3.352780603230604E-2</v>
      </c>
      <c r="E21" s="117">
        <f t="shared" si="1"/>
        <v>114.05369162978668</v>
      </c>
      <c r="F21" s="128"/>
      <c r="G21" s="80"/>
      <c r="L21" s="80"/>
      <c r="M21" s="80"/>
      <c r="N21" s="80"/>
      <c r="O21" s="80"/>
      <c r="P21" s="80"/>
      <c r="Q21" s="80"/>
    </row>
    <row r="22" spans="1:17" ht="19.5" customHeight="1" x14ac:dyDescent="0.55000000000000004">
      <c r="A22" s="127"/>
      <c r="B22" s="89" t="s">
        <v>732</v>
      </c>
      <c r="C22" s="114">
        <f>ORÇAMENTO_EXECUTIVO!F358</f>
        <v>1623887.72</v>
      </c>
      <c r="D22" s="90">
        <f t="shared" si="0"/>
        <v>7.6433890207644295E-2</v>
      </c>
      <c r="E22" s="116">
        <f t="shared" si="1"/>
        <v>260.01007448586819</v>
      </c>
      <c r="F22" s="128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</row>
    <row r="23" spans="1:17" ht="19.5" customHeight="1" x14ac:dyDescent="0.55000000000000004">
      <c r="A23" s="127"/>
      <c r="B23" s="85" t="s">
        <v>29</v>
      </c>
      <c r="C23" s="113">
        <f>ORÇAMENTO_EXECUTIVO!F393</f>
        <v>32717.5</v>
      </c>
      <c r="D23" s="86">
        <f t="shared" si="0"/>
        <v>1.5399622597482309E-3</v>
      </c>
      <c r="E23" s="117">
        <f t="shared" si="1"/>
        <v>5.2385885472373621</v>
      </c>
      <c r="F23" s="128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</row>
    <row r="24" spans="1:17" ht="19.5" customHeight="1" x14ac:dyDescent="0.55000000000000004">
      <c r="A24" s="127"/>
      <c r="B24" s="89" t="s">
        <v>803</v>
      </c>
      <c r="C24" s="114">
        <f>ORÇAMENTO_EXECUTIVO!F404</f>
        <v>1579912.11</v>
      </c>
      <c r="D24" s="90">
        <f t="shared" si="0"/>
        <v>7.4364026075317363E-2</v>
      </c>
      <c r="E24" s="116">
        <f t="shared" si="1"/>
        <v>252.96888469741322</v>
      </c>
      <c r="F24" s="128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</row>
    <row r="25" spans="1:17" ht="19.5" customHeight="1" x14ac:dyDescent="0.55000000000000004">
      <c r="A25" s="127"/>
      <c r="B25" s="85" t="s">
        <v>804</v>
      </c>
      <c r="C25" s="113">
        <f>ORÇAMENTO_EXECUTIVO!F421</f>
        <v>1676000</v>
      </c>
      <c r="D25" s="86">
        <f t="shared" si="0"/>
        <v>7.8886734846428816E-2</v>
      </c>
      <c r="E25" s="117">
        <f t="shared" si="1"/>
        <v>268.35407366607535</v>
      </c>
      <c r="F25" s="128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</row>
    <row r="26" spans="1:17" ht="19.5" customHeight="1" x14ac:dyDescent="0.55000000000000004">
      <c r="A26" s="127"/>
      <c r="B26" s="89" t="s">
        <v>805</v>
      </c>
      <c r="C26" s="114">
        <f>ORÇAMENTO_EXECUTIVO!F431</f>
        <v>300000</v>
      </c>
      <c r="D26" s="90">
        <f t="shared" si="0"/>
        <v>1.4120537263680576E-2</v>
      </c>
      <c r="E26" s="116">
        <f t="shared" si="1"/>
        <v>48.034738723044512</v>
      </c>
      <c r="F26" s="128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</row>
    <row r="27" spans="1:17" ht="19.5" customHeight="1" x14ac:dyDescent="0.55000000000000004">
      <c r="A27" s="127"/>
      <c r="B27" s="78" t="s">
        <v>806</v>
      </c>
      <c r="C27" s="115">
        <f>SUM(C10:C26)</f>
        <v>21245650.530000001</v>
      </c>
      <c r="D27" s="95">
        <f t="shared" ref="D27:E27" si="2">SUM(D10:D26)</f>
        <v>0.99999999999999978</v>
      </c>
      <c r="E27" s="118">
        <f t="shared" si="2"/>
        <v>3401.764240698873</v>
      </c>
      <c r="F27" s="128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</row>
    <row r="28" spans="1:17" ht="19.5" customHeight="1" x14ac:dyDescent="0.55000000000000004">
      <c r="A28" s="127"/>
      <c r="B28" s="78" t="s">
        <v>807</v>
      </c>
      <c r="C28" s="94">
        <v>2793.27</v>
      </c>
      <c r="D28" s="97">
        <v>45474</v>
      </c>
      <c r="E28" s="96">
        <f>+E27/C28</f>
        <v>1.2178429728235627</v>
      </c>
      <c r="F28" s="129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</row>
    <row r="29" spans="1:17" ht="22.7" customHeight="1" x14ac:dyDescent="0.55000000000000004">
      <c r="A29" s="127"/>
      <c r="B29" s="120"/>
      <c r="C29" s="120"/>
      <c r="D29" s="130"/>
      <c r="E29" s="131"/>
      <c r="F29" s="129"/>
      <c r="G29" s="80"/>
      <c r="H29" s="83"/>
      <c r="I29" s="80"/>
      <c r="J29" s="80"/>
      <c r="K29" s="80"/>
      <c r="L29" s="80"/>
      <c r="M29" s="80"/>
      <c r="N29" s="80"/>
      <c r="O29" s="80"/>
      <c r="P29" s="80"/>
      <c r="Q29" s="80"/>
    </row>
    <row r="30" spans="1:17" ht="22.7" customHeight="1" x14ac:dyDescent="0.55000000000000004">
      <c r="A30" s="132" t="s">
        <v>830</v>
      </c>
      <c r="B30" s="121"/>
      <c r="C30" s="121"/>
      <c r="D30" s="125"/>
      <c r="E30" s="122"/>
      <c r="F30" s="133"/>
      <c r="G30" s="80"/>
      <c r="H30" s="83"/>
      <c r="I30" s="80"/>
      <c r="J30" s="80"/>
      <c r="K30" s="80"/>
      <c r="L30" s="80"/>
      <c r="M30" s="80"/>
      <c r="N30" s="80"/>
      <c r="O30" s="80"/>
      <c r="P30" s="80"/>
      <c r="Q30" s="80"/>
    </row>
    <row r="31" spans="1:17" ht="19.5" customHeight="1" x14ac:dyDescent="0.55000000000000004">
      <c r="A31" s="127"/>
      <c r="B31" s="120"/>
      <c r="C31" s="120"/>
      <c r="D31" s="120"/>
      <c r="E31" s="120"/>
      <c r="F31" s="129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</row>
    <row r="32" spans="1:17" ht="19.5" customHeight="1" x14ac:dyDescent="0.55000000000000004">
      <c r="A32" s="127"/>
      <c r="B32" s="98" t="s">
        <v>808</v>
      </c>
      <c r="C32" s="99" t="s">
        <v>809</v>
      </c>
      <c r="D32" s="100" t="s">
        <v>810</v>
      </c>
      <c r="E32" s="120"/>
      <c r="F32" s="129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</row>
    <row r="33" spans="1:17" ht="19.5" customHeight="1" x14ac:dyDescent="0.55000000000000004">
      <c r="A33" s="127"/>
      <c r="B33" s="101" t="s">
        <v>811</v>
      </c>
      <c r="C33" s="102">
        <v>3199.82</v>
      </c>
      <c r="D33" s="103">
        <f>C27/C33</f>
        <v>6639.6392703339561</v>
      </c>
      <c r="E33" s="120"/>
      <c r="F33" s="129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</row>
    <row r="34" spans="1:17" ht="19.5" customHeight="1" x14ac:dyDescent="0.55000000000000004">
      <c r="A34" s="127"/>
      <c r="B34" s="104" t="s">
        <v>812</v>
      </c>
      <c r="C34" s="105">
        <f>121</f>
        <v>121</v>
      </c>
      <c r="D34" s="106">
        <f>D33*C34</f>
        <v>803396.35171040869</v>
      </c>
      <c r="E34" s="120"/>
      <c r="F34" s="129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</row>
    <row r="35" spans="1:17" ht="19.5" customHeight="1" x14ac:dyDescent="0.55000000000000004">
      <c r="A35" s="127"/>
      <c r="B35" s="101" t="s">
        <v>813</v>
      </c>
      <c r="C35" s="102">
        <f>121</f>
        <v>121</v>
      </c>
      <c r="D35" s="103">
        <f>D33*C35</f>
        <v>803396.35171040869</v>
      </c>
      <c r="E35" s="120"/>
      <c r="F35" s="129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</row>
    <row r="36" spans="1:17" ht="19.5" customHeight="1" x14ac:dyDescent="0.55000000000000004">
      <c r="A36" s="127"/>
      <c r="B36" s="104" t="s">
        <v>814</v>
      </c>
      <c r="C36" s="105">
        <v>245.7</v>
      </c>
      <c r="D36" s="106">
        <f>C36*D33</f>
        <v>1631359.368721053</v>
      </c>
      <c r="E36" s="120"/>
      <c r="F36" s="129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</row>
    <row r="37" spans="1:17" ht="19.5" customHeight="1" x14ac:dyDescent="0.55000000000000004">
      <c r="A37" s="127"/>
      <c r="B37" s="107" t="s">
        <v>815</v>
      </c>
      <c r="C37" s="108">
        <f>124.58</f>
        <v>124.58</v>
      </c>
      <c r="D37" s="109">
        <f>C37*D33</f>
        <v>827166.26029820426</v>
      </c>
      <c r="E37" s="120"/>
      <c r="F37" s="129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</row>
    <row r="38" spans="1:17" ht="19.5" customHeight="1" x14ac:dyDescent="0.55000000000000004">
      <c r="A38" s="124"/>
      <c r="B38" s="124"/>
      <c r="C38" s="124"/>
      <c r="D38" s="124"/>
      <c r="E38" s="124"/>
      <c r="F38" s="129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</row>
    <row r="39" spans="1:17" ht="22.7" customHeight="1" x14ac:dyDescent="0.55000000000000004">
      <c r="A39" s="132" t="s">
        <v>844</v>
      </c>
      <c r="B39" s="121"/>
      <c r="C39" s="121"/>
      <c r="D39" s="125"/>
      <c r="E39" s="122"/>
      <c r="F39" s="133"/>
      <c r="G39" s="80"/>
      <c r="H39" s="83"/>
      <c r="I39" s="80"/>
      <c r="J39" s="80"/>
      <c r="K39" s="80"/>
      <c r="L39" s="80"/>
      <c r="M39" s="80"/>
      <c r="N39" s="80"/>
      <c r="O39" s="80"/>
      <c r="P39" s="80"/>
      <c r="Q39" s="80"/>
    </row>
    <row r="40" spans="1:17" ht="19.5" customHeight="1" thickBot="1" x14ac:dyDescent="0.6">
      <c r="A40" s="195"/>
      <c r="B40" s="196"/>
      <c r="C40" s="196"/>
      <c r="D40" s="196"/>
      <c r="E40" s="196"/>
      <c r="F40" s="129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</row>
    <row r="41" spans="1:17" ht="19.5" customHeight="1" x14ac:dyDescent="0.55000000000000004">
      <c r="A41" s="195"/>
      <c r="B41" s="197" t="s">
        <v>794</v>
      </c>
      <c r="C41" s="198" t="s">
        <v>124</v>
      </c>
      <c r="D41" s="199"/>
      <c r="E41" s="200" t="s">
        <v>832</v>
      </c>
      <c r="F41" s="129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</row>
    <row r="42" spans="1:17" ht="19.5" customHeight="1" x14ac:dyDescent="0.55000000000000004">
      <c r="A42" s="195"/>
      <c r="B42" s="201"/>
      <c r="C42" s="96" t="s">
        <v>816</v>
      </c>
      <c r="D42" s="79" t="s">
        <v>797</v>
      </c>
      <c r="E42" s="202" t="s">
        <v>797</v>
      </c>
      <c r="F42" s="129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</row>
    <row r="43" spans="1:17" ht="19.5" customHeight="1" x14ac:dyDescent="0.55000000000000004">
      <c r="A43" s="195"/>
      <c r="B43" s="203" t="str">
        <f>B11</f>
        <v>MOVIMENTAÇÃO DE TERRA</v>
      </c>
      <c r="C43" s="112">
        <f>C11</f>
        <v>230869.63</v>
      </c>
      <c r="D43" s="110">
        <f>E11</f>
        <v>36.965874520453198</v>
      </c>
      <c r="E43" s="204" t="s">
        <v>817</v>
      </c>
      <c r="F43" s="129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</row>
    <row r="44" spans="1:17" ht="19.5" customHeight="1" x14ac:dyDescent="0.55000000000000004">
      <c r="A44" s="195"/>
      <c r="B44" s="205" t="str">
        <f>B12</f>
        <v>INFRAESTRUTURA</v>
      </c>
      <c r="C44" s="113">
        <f>C12</f>
        <v>933522.84</v>
      </c>
      <c r="D44" s="111">
        <f>E12</f>
        <v>149.47175237131495</v>
      </c>
      <c r="E44" s="206" t="s">
        <v>818</v>
      </c>
      <c r="F44" s="129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</row>
    <row r="45" spans="1:17" ht="19.5" customHeight="1" x14ac:dyDescent="0.55000000000000004">
      <c r="A45" s="195"/>
      <c r="B45" s="203" t="str">
        <f t="shared" ref="B45:C57" si="3">B13</f>
        <v>SUPRAESTRUTURA</v>
      </c>
      <c r="C45" s="112">
        <f t="shared" si="3"/>
        <v>4384787.09</v>
      </c>
      <c r="D45" s="110">
        <f t="shared" ref="D45:D57" si="4">E13</f>
        <v>702.07367408109542</v>
      </c>
      <c r="E45" s="207" t="s">
        <v>819</v>
      </c>
      <c r="F45" s="12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</row>
    <row r="46" spans="1:17" ht="19.5" customHeight="1" x14ac:dyDescent="0.55000000000000004">
      <c r="A46" s="195"/>
      <c r="B46" s="205" t="str">
        <f t="shared" si="3"/>
        <v>PAREDES E PAINEIS</v>
      </c>
      <c r="C46" s="113">
        <f t="shared" si="3"/>
        <v>863630.83</v>
      </c>
      <c r="D46" s="111">
        <f t="shared" si="4"/>
        <v>138.28093757405355</v>
      </c>
      <c r="E46" s="206" t="s">
        <v>820</v>
      </c>
      <c r="F46" s="129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</row>
    <row r="47" spans="1:17" ht="19.5" customHeight="1" x14ac:dyDescent="0.55000000000000004">
      <c r="A47" s="195"/>
      <c r="B47" s="203" t="str">
        <f t="shared" si="3"/>
        <v>INSTALAÇÕES ELÉTRICAS, HIDRÁULICAS, GLP E PREVENTIVAS</v>
      </c>
      <c r="C47" s="112">
        <f t="shared" si="3"/>
        <v>1935344.2200000002</v>
      </c>
      <c r="D47" s="110">
        <f t="shared" si="4"/>
        <v>309.87917982284796</v>
      </c>
      <c r="E47" s="207" t="s">
        <v>821</v>
      </c>
      <c r="F47" s="129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</row>
    <row r="48" spans="1:17" ht="19.5" customHeight="1" x14ac:dyDescent="0.55000000000000004">
      <c r="A48" s="195"/>
      <c r="B48" s="205" t="str">
        <f t="shared" si="3"/>
        <v>EQUIPAMENTOS E SISTEMAS ESPECIAIS</v>
      </c>
      <c r="C48" s="113">
        <f t="shared" si="3"/>
        <v>1404690.9</v>
      </c>
      <c r="D48" s="111">
        <f t="shared" si="4"/>
        <v>224.91320122712747</v>
      </c>
      <c r="E48" s="206" t="s">
        <v>822</v>
      </c>
      <c r="F48" s="129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</row>
    <row r="49" spans="1:17" ht="19.5" customHeight="1" x14ac:dyDescent="0.55000000000000004">
      <c r="A49" s="195"/>
      <c r="B49" s="203" t="str">
        <f t="shared" si="3"/>
        <v>IMPERMEABILIZAÇÃO</v>
      </c>
      <c r="C49" s="112">
        <f t="shared" si="3"/>
        <v>420004.94</v>
      </c>
      <c r="D49" s="110">
        <f t="shared" si="4"/>
        <v>67.249425184293287</v>
      </c>
      <c r="E49" s="207" t="s">
        <v>823</v>
      </c>
      <c r="F49" s="129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</row>
    <row r="50" spans="1:17" ht="19.5" customHeight="1" x14ac:dyDescent="0.55000000000000004">
      <c r="A50" s="195"/>
      <c r="B50" s="205" t="str">
        <f t="shared" si="3"/>
        <v>REVESTIMENTOS INTERNOS DE PAREDE</v>
      </c>
      <c r="C50" s="113">
        <f t="shared" si="3"/>
        <v>1030085.41</v>
      </c>
      <c r="D50" s="111">
        <f t="shared" si="4"/>
        <v>164.93294510590061</v>
      </c>
      <c r="E50" s="206" t="s">
        <v>824</v>
      </c>
      <c r="F50" s="129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</row>
    <row r="51" spans="1:17" ht="19.5" customHeight="1" x14ac:dyDescent="0.55000000000000004">
      <c r="A51" s="195"/>
      <c r="B51" s="203" t="str">
        <f t="shared" si="3"/>
        <v>REVESTIMENTOS E ACABAMENTOS INTERNOS EM TETO</v>
      </c>
      <c r="C51" s="112">
        <f t="shared" si="3"/>
        <v>344380.88</v>
      </c>
      <c r="D51" s="110">
        <f t="shared" si="4"/>
        <v>55.140818640040479</v>
      </c>
      <c r="E51" s="207" t="s">
        <v>841</v>
      </c>
      <c r="F51" s="129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</row>
    <row r="52" spans="1:17" ht="19.5" customHeight="1" x14ac:dyDescent="0.55000000000000004">
      <c r="A52" s="195"/>
      <c r="B52" s="205" t="str">
        <f t="shared" si="3"/>
        <v>PISOS E PAVIMENTAÇÕES</v>
      </c>
      <c r="C52" s="113">
        <f t="shared" si="3"/>
        <v>1388564.53</v>
      </c>
      <c r="D52" s="111">
        <f t="shared" si="4"/>
        <v>222.33111466212367</v>
      </c>
      <c r="E52" s="208" t="s">
        <v>825</v>
      </c>
      <c r="F52" s="129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</row>
    <row r="53" spans="1:17" ht="19.5" customHeight="1" x14ac:dyDescent="0.55000000000000004">
      <c r="A53" s="195"/>
      <c r="B53" s="203" t="str">
        <f t="shared" si="3"/>
        <v>PINTURA INTERNA</v>
      </c>
      <c r="C53" s="112">
        <f t="shared" si="3"/>
        <v>712320.05</v>
      </c>
      <c r="D53" s="110">
        <f t="shared" si="4"/>
        <v>114.05369162978668</v>
      </c>
      <c r="E53" s="204" t="s">
        <v>826</v>
      </c>
      <c r="F53" s="129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</row>
    <row r="54" spans="1:17" ht="19.5" customHeight="1" x14ac:dyDescent="0.55000000000000004">
      <c r="A54" s="195"/>
      <c r="B54" s="205" t="str">
        <f t="shared" si="3"/>
        <v>ESQUADRIAS, VIDROS E FERRAGENS</v>
      </c>
      <c r="C54" s="113">
        <f t="shared" si="3"/>
        <v>1623887.72</v>
      </c>
      <c r="D54" s="111">
        <f t="shared" si="4"/>
        <v>260.01007448586819</v>
      </c>
      <c r="E54" s="208" t="s">
        <v>827</v>
      </c>
      <c r="F54" s="129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</row>
    <row r="55" spans="1:17" ht="19.5" customHeight="1" x14ac:dyDescent="0.55000000000000004">
      <c r="A55" s="195"/>
      <c r="B55" s="203" t="str">
        <f t="shared" si="3"/>
        <v>COBERTURA</v>
      </c>
      <c r="C55" s="112">
        <f t="shared" si="3"/>
        <v>32717.5</v>
      </c>
      <c r="D55" s="110">
        <f t="shared" si="4"/>
        <v>5.2385885472373621</v>
      </c>
      <c r="E55" s="204" t="s">
        <v>843</v>
      </c>
      <c r="F55" s="129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</row>
    <row r="56" spans="1:17" ht="19.5" customHeight="1" x14ac:dyDescent="0.55000000000000004">
      <c r="A56" s="195"/>
      <c r="B56" s="205" t="str">
        <f t="shared" si="3"/>
        <v>REVESTIMENTOS E ACABAMENTOS DE FACHADA</v>
      </c>
      <c r="C56" s="113">
        <f t="shared" si="3"/>
        <v>1579912.11</v>
      </c>
      <c r="D56" s="111">
        <f t="shared" si="4"/>
        <v>252.96888469741322</v>
      </c>
      <c r="E56" s="208" t="s">
        <v>828</v>
      </c>
      <c r="F56" s="129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</row>
    <row r="57" spans="1:17" ht="19.5" customHeight="1" x14ac:dyDescent="0.55000000000000004">
      <c r="A57" s="195"/>
      <c r="B57" s="203" t="str">
        <f t="shared" si="3"/>
        <v>SERVIÇOS COMPLEMENTARES</v>
      </c>
      <c r="C57" s="112">
        <f t="shared" si="3"/>
        <v>1676000</v>
      </c>
      <c r="D57" s="110">
        <f t="shared" si="4"/>
        <v>268.35407366607535</v>
      </c>
      <c r="E57" s="204" t="s">
        <v>829</v>
      </c>
      <c r="F57" s="129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</row>
    <row r="58" spans="1:17" ht="19.5" customHeight="1" thickBot="1" x14ac:dyDescent="0.65">
      <c r="A58" s="195"/>
      <c r="B58" s="209" t="s">
        <v>806</v>
      </c>
      <c r="C58" s="210">
        <f>SUM(C43:C57)</f>
        <v>18560718.650000002</v>
      </c>
      <c r="D58" s="211">
        <f t="shared" ref="D58" si="5">SUM(D43:D57)</f>
        <v>2971.8642362156311</v>
      </c>
      <c r="E58" s="212" t="s">
        <v>842</v>
      </c>
      <c r="F58" s="129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</row>
    <row r="59" spans="1:17" ht="19.5" customHeight="1" x14ac:dyDescent="0.55000000000000004">
      <c r="A59" s="195"/>
      <c r="B59" s="196"/>
      <c r="C59" s="196"/>
      <c r="D59" s="196"/>
      <c r="E59" s="196"/>
      <c r="F59" s="129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</row>
    <row r="60" spans="1:17" ht="19.5" customHeight="1" x14ac:dyDescent="0.55000000000000004">
      <c r="A60" s="124"/>
      <c r="B60" s="120"/>
      <c r="C60" s="120"/>
      <c r="D60" s="120"/>
      <c r="E60" s="120"/>
      <c r="F60" s="129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</row>
    <row r="61" spans="1:17" ht="19.5" customHeight="1" x14ac:dyDescent="0.55000000000000004">
      <c r="A61" s="124"/>
      <c r="B61" s="120"/>
      <c r="C61" s="120"/>
      <c r="D61" s="120"/>
      <c r="E61" s="120"/>
      <c r="F61" s="129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</row>
    <row r="62" spans="1:17" ht="19.5" customHeight="1" thickBot="1" x14ac:dyDescent="0.6">
      <c r="A62" s="134"/>
      <c r="B62" s="135"/>
      <c r="C62" s="135"/>
      <c r="D62" s="135"/>
      <c r="E62" s="135"/>
      <c r="F62" s="129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</row>
    <row r="63" spans="1:17" ht="19.5" customHeight="1" x14ac:dyDescent="0.55000000000000004">
      <c r="B63" s="80"/>
      <c r="C63" s="80"/>
      <c r="D63" s="80"/>
      <c r="E63" s="80"/>
      <c r="F63" s="12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</row>
    <row r="64" spans="1:17" ht="19.5" customHeight="1" x14ac:dyDescent="0.55000000000000004">
      <c r="B64" s="80"/>
      <c r="C64" s="80"/>
      <c r="D64" s="80"/>
      <c r="E64" s="80"/>
      <c r="F64" s="12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</row>
    <row r="65" spans="2:17" ht="19.5" customHeight="1" x14ac:dyDescent="0.55000000000000004">
      <c r="B65" s="80"/>
      <c r="C65" s="80"/>
      <c r="D65" s="80"/>
      <c r="E65" s="80"/>
      <c r="F65" s="12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</row>
    <row r="66" spans="2:17" ht="19.5" customHeight="1" x14ac:dyDescent="0.55000000000000004">
      <c r="B66" s="80"/>
      <c r="C66" s="80"/>
      <c r="D66" s="80"/>
      <c r="E66" s="80"/>
      <c r="F66" s="12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</row>
    <row r="67" spans="2:17" ht="19.5" customHeight="1" x14ac:dyDescent="0.55000000000000004">
      <c r="B67" s="80"/>
      <c r="C67" s="80"/>
      <c r="D67" s="80"/>
      <c r="E67" s="80"/>
      <c r="F67" s="12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</row>
    <row r="68" spans="2:17" ht="19.5" customHeight="1" x14ac:dyDescent="0.55000000000000004">
      <c r="B68" s="80"/>
      <c r="C68" s="80"/>
      <c r="D68" s="80"/>
      <c r="E68" s="80"/>
      <c r="F68" s="12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</row>
    <row r="69" spans="2:17" ht="19.5" customHeight="1" x14ac:dyDescent="0.55000000000000004">
      <c r="B69" s="80"/>
      <c r="C69" s="80"/>
      <c r="D69" s="80"/>
      <c r="E69" s="80"/>
      <c r="F69" s="12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</row>
    <row r="70" spans="2:17" ht="19.5" customHeight="1" x14ac:dyDescent="0.55000000000000004">
      <c r="B70" s="80"/>
      <c r="C70" s="80"/>
      <c r="D70" s="80"/>
      <c r="E70" s="80"/>
      <c r="F70" s="12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</row>
    <row r="71" spans="2:17" ht="19.5" customHeight="1" x14ac:dyDescent="0.55000000000000004">
      <c r="B71" s="80"/>
      <c r="C71" s="80"/>
      <c r="D71" s="80"/>
      <c r="E71" s="80"/>
      <c r="F71" s="12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</row>
    <row r="72" spans="2:17" ht="19.5" customHeight="1" x14ac:dyDescent="0.55000000000000004">
      <c r="B72" s="80"/>
      <c r="C72" s="80"/>
      <c r="D72" s="80"/>
      <c r="E72" s="80"/>
      <c r="F72" s="12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</row>
    <row r="73" spans="2:17" ht="19.5" customHeight="1" x14ac:dyDescent="0.55000000000000004">
      <c r="B73" s="80"/>
      <c r="C73" s="80"/>
      <c r="D73" s="80"/>
      <c r="E73" s="80"/>
      <c r="F73" s="12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</row>
    <row r="74" spans="2:17" ht="19.5" customHeight="1" x14ac:dyDescent="0.55000000000000004">
      <c r="B74" s="80"/>
      <c r="C74" s="80"/>
      <c r="D74" s="80"/>
      <c r="E74" s="80"/>
      <c r="F74" s="12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</row>
    <row r="75" spans="2:17" ht="19.5" customHeight="1" x14ac:dyDescent="0.55000000000000004">
      <c r="B75" s="80"/>
      <c r="C75" s="80"/>
      <c r="D75" s="80"/>
      <c r="E75" s="80"/>
      <c r="F75" s="12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</row>
    <row r="76" spans="2:17" ht="19.5" customHeight="1" x14ac:dyDescent="0.55000000000000004">
      <c r="B76" s="80"/>
      <c r="C76" s="80"/>
      <c r="D76" s="80"/>
      <c r="E76" s="80"/>
      <c r="F76" s="12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</row>
    <row r="77" spans="2:17" ht="19.5" customHeight="1" x14ac:dyDescent="0.55000000000000004">
      <c r="B77" s="80"/>
      <c r="C77" s="80"/>
      <c r="D77" s="80"/>
      <c r="E77" s="80"/>
      <c r="F77" s="12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</row>
    <row r="78" spans="2:17" ht="19.5" customHeight="1" x14ac:dyDescent="0.55000000000000004">
      <c r="B78" s="80"/>
      <c r="C78" s="80"/>
      <c r="D78" s="80"/>
      <c r="E78" s="80"/>
      <c r="F78" s="12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</row>
    <row r="79" spans="2:17" ht="19.5" customHeight="1" x14ac:dyDescent="0.55000000000000004">
      <c r="B79" s="80"/>
      <c r="C79" s="80"/>
      <c r="D79" s="80"/>
      <c r="E79" s="80"/>
      <c r="F79" s="12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</row>
    <row r="80" spans="2:17" ht="19.5" customHeight="1" x14ac:dyDescent="0.55000000000000004">
      <c r="B80" s="80"/>
      <c r="C80" s="80"/>
      <c r="D80" s="80"/>
      <c r="E80" s="80"/>
      <c r="F80" s="12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</row>
    <row r="81" spans="2:17" ht="19.5" customHeight="1" x14ac:dyDescent="0.55000000000000004">
      <c r="B81" s="80"/>
      <c r="C81" s="80"/>
      <c r="D81" s="80"/>
      <c r="E81" s="80"/>
      <c r="F81" s="12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</row>
    <row r="82" spans="2:17" ht="19.5" customHeight="1" x14ac:dyDescent="0.55000000000000004">
      <c r="B82" s="80"/>
      <c r="C82" s="80"/>
      <c r="D82" s="80"/>
      <c r="E82" s="80"/>
      <c r="F82" s="12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</row>
    <row r="83" spans="2:17" ht="19.5" customHeight="1" x14ac:dyDescent="0.55000000000000004">
      <c r="B83" s="80"/>
      <c r="C83" s="80"/>
      <c r="D83" s="80"/>
      <c r="E83" s="80"/>
      <c r="F83" s="12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</row>
    <row r="84" spans="2:17" ht="19.5" customHeight="1" x14ac:dyDescent="0.55000000000000004">
      <c r="B84" s="80"/>
      <c r="C84" s="80"/>
      <c r="D84" s="80"/>
      <c r="E84" s="80"/>
      <c r="F84" s="12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</row>
    <row r="85" spans="2:17" ht="19.5" customHeight="1" x14ac:dyDescent="0.55000000000000004">
      <c r="B85" s="80"/>
      <c r="C85" s="80"/>
      <c r="D85" s="80"/>
      <c r="E85" s="80"/>
      <c r="F85" s="12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</row>
    <row r="86" spans="2:17" ht="19.5" customHeight="1" x14ac:dyDescent="0.55000000000000004">
      <c r="B86" s="80"/>
      <c r="C86" s="80"/>
      <c r="D86" s="80"/>
      <c r="E86" s="80"/>
      <c r="F86" s="12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</row>
    <row r="87" spans="2:17" ht="19.5" customHeight="1" x14ac:dyDescent="0.55000000000000004">
      <c r="B87" s="80"/>
      <c r="C87" s="80"/>
      <c r="D87" s="80"/>
      <c r="E87" s="80"/>
      <c r="F87" s="12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</row>
    <row r="88" spans="2:17" ht="19.5" customHeight="1" x14ac:dyDescent="0.55000000000000004">
      <c r="B88" s="80"/>
      <c r="C88" s="80"/>
      <c r="D88" s="80"/>
      <c r="E88" s="80"/>
      <c r="F88" s="12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</row>
    <row r="89" spans="2:17" ht="19.5" customHeight="1" x14ac:dyDescent="0.55000000000000004">
      <c r="B89" s="80"/>
      <c r="C89" s="80"/>
      <c r="D89" s="80"/>
      <c r="E89" s="80"/>
      <c r="F89" s="12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</row>
    <row r="90" spans="2:17" ht="19.5" customHeight="1" x14ac:dyDescent="0.55000000000000004">
      <c r="B90" s="80"/>
      <c r="C90" s="80"/>
      <c r="D90" s="80"/>
      <c r="E90" s="80"/>
      <c r="F90" s="12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</row>
    <row r="91" spans="2:17" ht="19.5" customHeight="1" x14ac:dyDescent="0.55000000000000004">
      <c r="B91" s="80"/>
      <c r="C91" s="80"/>
      <c r="D91" s="80"/>
      <c r="E91" s="80"/>
      <c r="F91" s="12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</row>
    <row r="92" spans="2:17" ht="19.5" customHeight="1" x14ac:dyDescent="0.55000000000000004">
      <c r="B92" s="80"/>
      <c r="C92" s="80"/>
      <c r="D92" s="80"/>
      <c r="E92" s="80"/>
      <c r="F92" s="12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</row>
    <row r="93" spans="2:17" ht="19.5" customHeight="1" x14ac:dyDescent="0.55000000000000004">
      <c r="B93" s="80"/>
      <c r="C93" s="80"/>
      <c r="D93" s="80"/>
      <c r="E93" s="80"/>
      <c r="F93" s="12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</row>
    <row r="94" spans="2:17" ht="19.5" customHeight="1" x14ac:dyDescent="0.55000000000000004">
      <c r="B94" s="80"/>
      <c r="C94" s="80"/>
      <c r="D94" s="80"/>
      <c r="E94" s="80"/>
      <c r="F94" s="12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</row>
    <row r="95" spans="2:17" ht="19.5" customHeight="1" x14ac:dyDescent="0.55000000000000004">
      <c r="B95" s="80"/>
      <c r="C95" s="80"/>
      <c r="D95" s="80"/>
      <c r="E95" s="80"/>
      <c r="F95" s="12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</row>
    <row r="96" spans="2:17" ht="19.5" customHeight="1" x14ac:dyDescent="0.55000000000000004">
      <c r="B96" s="80"/>
      <c r="C96" s="80"/>
      <c r="D96" s="80"/>
      <c r="E96" s="80"/>
      <c r="F96" s="12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</row>
    <row r="97" spans="2:17" ht="19.5" customHeight="1" x14ac:dyDescent="0.55000000000000004">
      <c r="B97" s="80"/>
      <c r="C97" s="80"/>
      <c r="D97" s="80"/>
      <c r="E97" s="80"/>
      <c r="F97" s="12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</row>
    <row r="98" spans="2:17" ht="19.5" customHeight="1" x14ac:dyDescent="0.55000000000000004">
      <c r="B98" s="80"/>
      <c r="C98" s="80"/>
      <c r="D98" s="80"/>
      <c r="E98" s="80"/>
      <c r="F98" s="12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</row>
    <row r="99" spans="2:17" ht="19.5" customHeight="1" x14ac:dyDescent="0.55000000000000004">
      <c r="B99" s="80"/>
      <c r="C99" s="80"/>
      <c r="D99" s="80"/>
      <c r="E99" s="80"/>
      <c r="F99" s="12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</row>
    <row r="100" spans="2:17" ht="19.5" customHeight="1" x14ac:dyDescent="0.55000000000000004">
      <c r="B100" s="80"/>
      <c r="C100" s="80"/>
      <c r="D100" s="80"/>
      <c r="E100" s="80"/>
      <c r="F100" s="12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</row>
    <row r="101" spans="2:17" ht="19.5" customHeight="1" x14ac:dyDescent="0.55000000000000004">
      <c r="B101" s="80"/>
      <c r="C101" s="80"/>
      <c r="D101" s="80"/>
      <c r="E101" s="80"/>
      <c r="F101" s="12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</row>
    <row r="102" spans="2:17" ht="19.5" customHeight="1" x14ac:dyDescent="0.55000000000000004">
      <c r="B102" s="80"/>
      <c r="C102" s="80"/>
      <c r="D102" s="80"/>
      <c r="E102" s="80"/>
      <c r="F102" s="12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</row>
    <row r="103" spans="2:17" ht="19.5" customHeight="1" x14ac:dyDescent="0.55000000000000004">
      <c r="B103" s="80"/>
      <c r="C103" s="80"/>
      <c r="D103" s="80"/>
      <c r="E103" s="80"/>
      <c r="F103" s="12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</row>
    <row r="104" spans="2:17" ht="19.5" customHeight="1" x14ac:dyDescent="0.55000000000000004">
      <c r="B104" s="80"/>
      <c r="C104" s="80"/>
      <c r="D104" s="80"/>
      <c r="E104" s="80"/>
      <c r="F104" s="12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</row>
    <row r="105" spans="2:17" ht="19.5" customHeight="1" x14ac:dyDescent="0.55000000000000004">
      <c r="B105" s="80"/>
      <c r="C105" s="80"/>
      <c r="D105" s="80"/>
      <c r="E105" s="80"/>
      <c r="F105" s="12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</row>
    <row r="106" spans="2:17" ht="19.5" customHeight="1" x14ac:dyDescent="0.55000000000000004">
      <c r="B106" s="80"/>
      <c r="C106" s="80"/>
      <c r="D106" s="80"/>
      <c r="E106" s="80"/>
      <c r="F106" s="12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</row>
    <row r="107" spans="2:17" ht="19.5" customHeight="1" x14ac:dyDescent="0.55000000000000004">
      <c r="B107" s="80"/>
      <c r="C107" s="80"/>
      <c r="D107" s="80"/>
      <c r="E107" s="80"/>
      <c r="F107" s="12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</row>
    <row r="108" spans="2:17" ht="19.5" customHeight="1" x14ac:dyDescent="0.55000000000000004">
      <c r="B108" s="80"/>
      <c r="C108" s="80"/>
      <c r="D108" s="80"/>
      <c r="E108" s="80"/>
      <c r="F108" s="12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</row>
    <row r="109" spans="2:17" ht="19.5" customHeight="1" x14ac:dyDescent="0.55000000000000004">
      <c r="B109" s="80"/>
      <c r="C109" s="80"/>
      <c r="D109" s="80"/>
      <c r="E109" s="80"/>
      <c r="F109" s="12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</row>
    <row r="110" spans="2:17" ht="19.5" customHeight="1" x14ac:dyDescent="0.55000000000000004">
      <c r="B110" s="80"/>
      <c r="C110" s="80"/>
      <c r="D110" s="80"/>
      <c r="E110" s="80"/>
      <c r="F110" s="12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</row>
    <row r="111" spans="2:17" ht="19.5" customHeight="1" x14ac:dyDescent="0.55000000000000004">
      <c r="B111" s="80"/>
      <c r="C111" s="80"/>
      <c r="D111" s="80"/>
      <c r="E111" s="80"/>
      <c r="F111" s="12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</row>
    <row r="112" spans="2:17" ht="19.5" customHeight="1" x14ac:dyDescent="0.55000000000000004">
      <c r="B112" s="80"/>
      <c r="C112" s="80"/>
      <c r="D112" s="80"/>
      <c r="E112" s="80"/>
      <c r="F112" s="12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</row>
    <row r="113" spans="2:17" ht="19.5" customHeight="1" x14ac:dyDescent="0.55000000000000004">
      <c r="B113" s="80"/>
      <c r="C113" s="80"/>
      <c r="D113" s="80"/>
      <c r="E113" s="80"/>
      <c r="F113" s="12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</row>
    <row r="114" spans="2:17" ht="19.5" customHeight="1" x14ac:dyDescent="0.55000000000000004">
      <c r="B114" s="80"/>
      <c r="C114" s="80"/>
      <c r="D114" s="80"/>
      <c r="E114" s="80"/>
      <c r="F114" s="12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</row>
    <row r="115" spans="2:17" ht="19.5" customHeight="1" x14ac:dyDescent="0.55000000000000004">
      <c r="B115" s="80"/>
      <c r="C115" s="80"/>
      <c r="D115" s="80"/>
      <c r="E115" s="80"/>
      <c r="F115" s="12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</row>
    <row r="116" spans="2:17" ht="19.5" customHeight="1" x14ac:dyDescent="0.55000000000000004">
      <c r="B116" s="80"/>
      <c r="C116" s="80"/>
      <c r="D116" s="80"/>
      <c r="E116" s="80"/>
      <c r="F116" s="12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</row>
    <row r="117" spans="2:17" ht="19.5" customHeight="1" x14ac:dyDescent="0.55000000000000004">
      <c r="B117" s="80"/>
      <c r="C117" s="80"/>
      <c r="D117" s="80"/>
      <c r="E117" s="80"/>
      <c r="F117" s="12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</row>
    <row r="118" spans="2:17" ht="19.5" customHeight="1" x14ac:dyDescent="0.55000000000000004">
      <c r="B118" s="80"/>
      <c r="C118" s="80"/>
      <c r="D118" s="80"/>
      <c r="E118" s="80"/>
      <c r="F118" s="12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</row>
    <row r="119" spans="2:17" ht="19.5" customHeight="1" x14ac:dyDescent="0.55000000000000004">
      <c r="B119" s="80"/>
      <c r="C119" s="80"/>
      <c r="D119" s="80"/>
      <c r="E119" s="80"/>
      <c r="F119" s="12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</row>
    <row r="120" spans="2:17" ht="19.5" customHeight="1" x14ac:dyDescent="0.55000000000000004">
      <c r="B120" s="80"/>
      <c r="C120" s="80"/>
      <c r="D120" s="80"/>
      <c r="E120" s="80"/>
      <c r="F120" s="12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</row>
    <row r="121" spans="2:17" ht="19.5" customHeight="1" x14ac:dyDescent="0.55000000000000004"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</row>
    <row r="122" spans="2:17" ht="19.5" customHeight="1" x14ac:dyDescent="0.55000000000000004"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</row>
    <row r="123" spans="2:17" ht="19.5" customHeight="1" x14ac:dyDescent="0.55000000000000004"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</row>
    <row r="124" spans="2:17" ht="19.5" customHeight="1" x14ac:dyDescent="0.55000000000000004"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</row>
    <row r="125" spans="2:17" ht="19.5" customHeight="1" x14ac:dyDescent="0.55000000000000004"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</row>
    <row r="126" spans="2:17" ht="19.5" customHeight="1" x14ac:dyDescent="0.55000000000000004"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</row>
    <row r="127" spans="2:17" ht="19.5" customHeight="1" x14ac:dyDescent="0.55000000000000004"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</row>
    <row r="128" spans="2:17" ht="19.5" customHeight="1" x14ac:dyDescent="0.55000000000000004"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</row>
    <row r="129" spans="2:17" ht="19.5" customHeight="1" x14ac:dyDescent="0.55000000000000004"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</row>
    <row r="130" spans="2:17" ht="19.5" customHeight="1" x14ac:dyDescent="0.55000000000000004"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</row>
    <row r="131" spans="2:17" ht="19.5" customHeight="1" x14ac:dyDescent="0.55000000000000004"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</row>
    <row r="132" spans="2:17" ht="19.5" customHeight="1" x14ac:dyDescent="0.55000000000000004"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</row>
    <row r="133" spans="2:17" ht="19.5" customHeight="1" x14ac:dyDescent="0.55000000000000004"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</row>
    <row r="134" spans="2:17" ht="19.5" customHeight="1" x14ac:dyDescent="0.55000000000000004"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</row>
    <row r="135" spans="2:17" ht="19.5" customHeight="1" x14ac:dyDescent="0.55000000000000004"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</row>
    <row r="136" spans="2:17" ht="19.5" customHeight="1" x14ac:dyDescent="0.55000000000000004"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</row>
    <row r="137" spans="2:17" ht="19.5" customHeight="1" x14ac:dyDescent="0.55000000000000004"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</row>
    <row r="138" spans="2:17" ht="19.5" customHeight="1" x14ac:dyDescent="0.55000000000000004"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</row>
    <row r="139" spans="2:17" ht="19.5" customHeight="1" x14ac:dyDescent="0.55000000000000004"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</row>
    <row r="140" spans="2:17" ht="19.5" customHeight="1" x14ac:dyDescent="0.55000000000000004"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</row>
    <row r="141" spans="2:17" ht="19.5" customHeight="1" x14ac:dyDescent="0.55000000000000004"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</row>
    <row r="142" spans="2:17" ht="19.5" customHeight="1" x14ac:dyDescent="0.55000000000000004"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</row>
    <row r="143" spans="2:17" ht="19.5" customHeight="1" x14ac:dyDescent="0.55000000000000004"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</row>
    <row r="144" spans="2:17" ht="19.5" customHeight="1" x14ac:dyDescent="0.55000000000000004"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</row>
    <row r="145" spans="2:17" ht="19.5" customHeight="1" x14ac:dyDescent="0.55000000000000004"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</row>
    <row r="146" spans="2:17" ht="19.5" customHeight="1" x14ac:dyDescent="0.55000000000000004"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</row>
    <row r="147" spans="2:17" ht="19.5" customHeight="1" x14ac:dyDescent="0.55000000000000004"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</row>
    <row r="148" spans="2:17" ht="19.5" customHeight="1" x14ac:dyDescent="0.55000000000000004"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</row>
    <row r="149" spans="2:17" ht="19.5" customHeight="1" x14ac:dyDescent="0.55000000000000004"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</row>
    <row r="150" spans="2:17" ht="19.5" customHeight="1" x14ac:dyDescent="0.55000000000000004"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</row>
    <row r="151" spans="2:17" ht="19.5" customHeight="1" x14ac:dyDescent="0.55000000000000004"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</row>
    <row r="152" spans="2:17" ht="19.5" customHeight="1" x14ac:dyDescent="0.55000000000000004"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</row>
    <row r="153" spans="2:17" ht="19.5" customHeight="1" x14ac:dyDescent="0.55000000000000004"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</row>
    <row r="154" spans="2:17" ht="19.5" customHeight="1" x14ac:dyDescent="0.55000000000000004"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</row>
    <row r="155" spans="2:17" ht="19.5" customHeight="1" x14ac:dyDescent="0.55000000000000004"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</row>
    <row r="156" spans="2:17" ht="19.5" customHeight="1" x14ac:dyDescent="0.55000000000000004"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</row>
    <row r="157" spans="2:17" ht="19.5" customHeight="1" x14ac:dyDescent="0.55000000000000004"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</row>
    <row r="158" spans="2:17" ht="19.5" customHeight="1" x14ac:dyDescent="0.55000000000000004"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</row>
    <row r="159" spans="2:17" ht="19.5" customHeight="1" x14ac:dyDescent="0.55000000000000004"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</row>
    <row r="160" spans="2:17" ht="19.5" customHeight="1" x14ac:dyDescent="0.55000000000000004"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</row>
    <row r="161" spans="2:17" ht="19.5" customHeight="1" x14ac:dyDescent="0.55000000000000004"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</row>
    <row r="162" spans="2:17" ht="19.5" customHeight="1" x14ac:dyDescent="0.55000000000000004"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</row>
    <row r="163" spans="2:17" ht="19.5" customHeight="1" x14ac:dyDescent="0.55000000000000004"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</row>
    <row r="164" spans="2:17" ht="19.5" customHeight="1" x14ac:dyDescent="0.55000000000000004"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</row>
    <row r="165" spans="2:17" ht="19.5" customHeight="1" x14ac:dyDescent="0.55000000000000004"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</row>
    <row r="166" spans="2:17" ht="19.5" customHeight="1" x14ac:dyDescent="0.55000000000000004"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</row>
    <row r="167" spans="2:17" ht="19.5" customHeight="1" x14ac:dyDescent="0.55000000000000004"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</row>
    <row r="168" spans="2:17" ht="19.5" customHeight="1" x14ac:dyDescent="0.55000000000000004"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</row>
    <row r="169" spans="2:17" ht="19.5" customHeight="1" x14ac:dyDescent="0.55000000000000004"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</row>
    <row r="170" spans="2:17" ht="19.5" customHeight="1" x14ac:dyDescent="0.55000000000000004"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</row>
    <row r="171" spans="2:17" ht="19.5" customHeight="1" x14ac:dyDescent="0.55000000000000004"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</row>
    <row r="172" spans="2:17" ht="19.5" customHeight="1" x14ac:dyDescent="0.55000000000000004"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</row>
    <row r="173" spans="2:17" ht="19.5" customHeight="1" x14ac:dyDescent="0.55000000000000004"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</row>
    <row r="174" spans="2:17" ht="19.5" customHeight="1" x14ac:dyDescent="0.55000000000000004"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</row>
    <row r="175" spans="2:17" ht="19.5" customHeight="1" x14ac:dyDescent="0.55000000000000004"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</row>
    <row r="176" spans="2:17" ht="19.5" customHeight="1" x14ac:dyDescent="0.55000000000000004"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</row>
    <row r="177" spans="2:17" ht="19.5" customHeight="1" x14ac:dyDescent="0.55000000000000004"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</row>
    <row r="178" spans="2:17" ht="19.5" customHeight="1" x14ac:dyDescent="0.55000000000000004"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</row>
    <row r="179" spans="2:17" ht="19.5" customHeight="1" x14ac:dyDescent="0.55000000000000004"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</row>
    <row r="180" spans="2:17" ht="19.5" customHeight="1" x14ac:dyDescent="0.55000000000000004"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</row>
    <row r="181" spans="2:17" ht="19.5" customHeight="1" x14ac:dyDescent="0.55000000000000004"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</row>
    <row r="182" spans="2:17" ht="19.5" customHeight="1" x14ac:dyDescent="0.55000000000000004"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</row>
    <row r="183" spans="2:17" ht="19.5" customHeight="1" x14ac:dyDescent="0.55000000000000004"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</row>
    <row r="184" spans="2:17" ht="19.5" customHeight="1" x14ac:dyDescent="0.55000000000000004"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</row>
    <row r="185" spans="2:17" ht="19.5" customHeight="1" x14ac:dyDescent="0.55000000000000004"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</row>
    <row r="186" spans="2:17" ht="19.5" customHeight="1" x14ac:dyDescent="0.55000000000000004"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</row>
    <row r="187" spans="2:17" ht="19.5" customHeight="1" x14ac:dyDescent="0.55000000000000004"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</row>
    <row r="188" spans="2:17" ht="19.5" customHeight="1" x14ac:dyDescent="0.55000000000000004"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</row>
    <row r="189" spans="2:17" ht="19.5" customHeight="1" x14ac:dyDescent="0.55000000000000004"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</row>
    <row r="190" spans="2:17" ht="19.5" customHeight="1" x14ac:dyDescent="0.55000000000000004"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</row>
    <row r="191" spans="2:17" ht="19.5" customHeight="1" x14ac:dyDescent="0.55000000000000004"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</row>
    <row r="192" spans="2:17" ht="19.5" customHeight="1" x14ac:dyDescent="0.55000000000000004"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</row>
    <row r="193" spans="2:17" ht="19.5" customHeight="1" x14ac:dyDescent="0.55000000000000004"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</row>
    <row r="194" spans="2:17" ht="19.5" customHeight="1" x14ac:dyDescent="0.55000000000000004"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</row>
    <row r="195" spans="2:17" ht="19.5" customHeight="1" x14ac:dyDescent="0.55000000000000004"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</row>
    <row r="196" spans="2:17" ht="19.5" customHeight="1" x14ac:dyDescent="0.55000000000000004"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</row>
    <row r="197" spans="2:17" ht="19.5" customHeight="1" x14ac:dyDescent="0.55000000000000004"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</row>
    <row r="198" spans="2:17" ht="19.5" customHeight="1" x14ac:dyDescent="0.55000000000000004"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</row>
    <row r="199" spans="2:17" ht="19.5" customHeight="1" x14ac:dyDescent="0.55000000000000004"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</row>
    <row r="200" spans="2:17" ht="19.5" customHeight="1" x14ac:dyDescent="0.55000000000000004"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</row>
    <row r="201" spans="2:17" ht="19.5" customHeight="1" x14ac:dyDescent="0.55000000000000004"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</row>
    <row r="202" spans="2:17" ht="19.5" customHeight="1" x14ac:dyDescent="0.55000000000000004"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</row>
    <row r="203" spans="2:17" ht="19.5" customHeight="1" x14ac:dyDescent="0.55000000000000004"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</row>
    <row r="204" spans="2:17" ht="19.5" customHeight="1" x14ac:dyDescent="0.55000000000000004"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</row>
    <row r="205" spans="2:17" ht="19.5" customHeight="1" x14ac:dyDescent="0.55000000000000004"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</row>
    <row r="206" spans="2:17" ht="19.5" customHeight="1" x14ac:dyDescent="0.55000000000000004"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</row>
    <row r="207" spans="2:17" ht="19.5" customHeight="1" x14ac:dyDescent="0.55000000000000004"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</row>
    <row r="208" spans="2:17" ht="19.5" customHeight="1" x14ac:dyDescent="0.55000000000000004"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</row>
    <row r="209" spans="2:17" ht="19.5" customHeight="1" x14ac:dyDescent="0.55000000000000004"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</row>
    <row r="210" spans="2:17" ht="19.5" customHeight="1" x14ac:dyDescent="0.55000000000000004"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</row>
    <row r="211" spans="2:17" ht="19.5" customHeight="1" x14ac:dyDescent="0.55000000000000004"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</row>
    <row r="212" spans="2:17" ht="19.5" customHeight="1" x14ac:dyDescent="0.55000000000000004"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</row>
    <row r="213" spans="2:17" ht="19.5" customHeight="1" x14ac:dyDescent="0.55000000000000004"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</row>
    <row r="214" spans="2:17" ht="19.5" customHeight="1" x14ac:dyDescent="0.55000000000000004"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</row>
    <row r="215" spans="2:17" ht="19.5" customHeight="1" x14ac:dyDescent="0.55000000000000004"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</row>
    <row r="216" spans="2:17" ht="19.5" customHeight="1" x14ac:dyDescent="0.55000000000000004"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</row>
    <row r="217" spans="2:17" ht="19.5" customHeight="1" x14ac:dyDescent="0.55000000000000004"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</row>
    <row r="218" spans="2:17" ht="19.5" customHeight="1" x14ac:dyDescent="0.55000000000000004"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</row>
    <row r="219" spans="2:17" ht="19.5" customHeight="1" x14ac:dyDescent="0.55000000000000004"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</row>
    <row r="220" spans="2:17" ht="19.5" customHeight="1" x14ac:dyDescent="0.55000000000000004"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</row>
    <row r="221" spans="2:17" ht="19.5" customHeight="1" x14ac:dyDescent="0.55000000000000004"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</row>
    <row r="222" spans="2:17" ht="19.5" customHeight="1" x14ac:dyDescent="0.55000000000000004"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</row>
    <row r="223" spans="2:17" ht="19.5" customHeight="1" x14ac:dyDescent="0.55000000000000004"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</row>
    <row r="224" spans="2:17" ht="19.5" customHeight="1" x14ac:dyDescent="0.55000000000000004"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</row>
    <row r="225" spans="2:17" ht="19.5" customHeight="1" x14ac:dyDescent="0.55000000000000004"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</row>
    <row r="226" spans="2:17" ht="14.25" customHeight="1" x14ac:dyDescent="0.6">
      <c r="D226" s="126"/>
      <c r="E226" s="126"/>
    </row>
    <row r="227" spans="2:17" ht="14.25" customHeight="1" x14ac:dyDescent="0.6">
      <c r="D227" s="126"/>
      <c r="E227" s="126"/>
    </row>
    <row r="228" spans="2:17" ht="14.25" customHeight="1" x14ac:dyDescent="0.6">
      <c r="D228" s="126"/>
      <c r="E228" s="126"/>
    </row>
    <row r="229" spans="2:17" ht="14.25" customHeight="1" x14ac:dyDescent="0.6">
      <c r="D229" s="126"/>
      <c r="E229" s="126"/>
    </row>
    <row r="230" spans="2:17" ht="14.25" customHeight="1" x14ac:dyDescent="0.6">
      <c r="D230" s="126"/>
      <c r="E230" s="126"/>
    </row>
    <row r="231" spans="2:17" ht="14.25" customHeight="1" x14ac:dyDescent="0.6">
      <c r="D231" s="126"/>
      <c r="E231" s="126"/>
    </row>
    <row r="232" spans="2:17" ht="14.25" customHeight="1" x14ac:dyDescent="0.6">
      <c r="D232" s="126"/>
      <c r="E232" s="126"/>
    </row>
    <row r="233" spans="2:17" ht="14.25" customHeight="1" x14ac:dyDescent="0.6">
      <c r="D233" s="126"/>
      <c r="E233" s="126"/>
    </row>
    <row r="234" spans="2:17" ht="14.25" customHeight="1" x14ac:dyDescent="0.6">
      <c r="D234" s="126"/>
      <c r="E234" s="126"/>
    </row>
    <row r="235" spans="2:17" ht="14.25" customHeight="1" x14ac:dyDescent="0.6">
      <c r="D235" s="126"/>
      <c r="E235" s="126"/>
    </row>
    <row r="236" spans="2:17" ht="14.25" customHeight="1" x14ac:dyDescent="0.6">
      <c r="D236" s="126"/>
      <c r="E236" s="126"/>
    </row>
    <row r="237" spans="2:17" ht="14.25" customHeight="1" x14ac:dyDescent="0.6">
      <c r="D237" s="126"/>
      <c r="E237" s="126"/>
    </row>
    <row r="238" spans="2:17" ht="14.25" customHeight="1" x14ac:dyDescent="0.6">
      <c r="D238" s="126"/>
      <c r="E238" s="126"/>
    </row>
    <row r="239" spans="2:17" ht="14.25" customHeight="1" x14ac:dyDescent="0.6">
      <c r="D239" s="126"/>
      <c r="E239" s="126"/>
    </row>
    <row r="240" spans="2:17" ht="14.25" customHeight="1" x14ac:dyDescent="0.6">
      <c r="D240" s="126"/>
      <c r="E240" s="126"/>
    </row>
    <row r="241" spans="4:5" ht="14.25" customHeight="1" x14ac:dyDescent="0.6">
      <c r="D241" s="126"/>
      <c r="E241" s="126"/>
    </row>
    <row r="242" spans="4:5" ht="14.25" customHeight="1" x14ac:dyDescent="0.6">
      <c r="D242" s="126"/>
      <c r="E242" s="126"/>
    </row>
    <row r="243" spans="4:5" ht="14.25" customHeight="1" x14ac:dyDescent="0.6">
      <c r="D243" s="126"/>
      <c r="E243" s="126"/>
    </row>
    <row r="244" spans="4:5" ht="14.25" customHeight="1" x14ac:dyDescent="0.6">
      <c r="D244" s="126"/>
      <c r="E244" s="126"/>
    </row>
    <row r="245" spans="4:5" ht="14.25" customHeight="1" x14ac:dyDescent="0.6">
      <c r="D245" s="126"/>
      <c r="E245" s="126"/>
    </row>
    <row r="246" spans="4:5" ht="14.25" customHeight="1" x14ac:dyDescent="0.6">
      <c r="D246" s="126"/>
      <c r="E246" s="126"/>
    </row>
    <row r="247" spans="4:5" ht="14.25" customHeight="1" x14ac:dyDescent="0.6">
      <c r="D247" s="126"/>
      <c r="E247" s="126"/>
    </row>
    <row r="248" spans="4:5" ht="14.25" customHeight="1" x14ac:dyDescent="0.6">
      <c r="D248" s="126"/>
      <c r="E248" s="126"/>
    </row>
    <row r="249" spans="4:5" ht="14.25" customHeight="1" x14ac:dyDescent="0.6">
      <c r="D249" s="126"/>
      <c r="E249" s="126"/>
    </row>
    <row r="250" spans="4:5" ht="14.25" customHeight="1" x14ac:dyDescent="0.6">
      <c r="D250" s="126"/>
      <c r="E250" s="126"/>
    </row>
    <row r="251" spans="4:5" ht="14.25" customHeight="1" x14ac:dyDescent="0.6">
      <c r="D251" s="126"/>
      <c r="E251" s="126"/>
    </row>
    <row r="252" spans="4:5" ht="14.25" customHeight="1" x14ac:dyDescent="0.6">
      <c r="D252" s="126"/>
      <c r="E252" s="126"/>
    </row>
    <row r="253" spans="4:5" ht="14.25" customHeight="1" x14ac:dyDescent="0.6">
      <c r="D253" s="126"/>
      <c r="E253" s="126"/>
    </row>
    <row r="254" spans="4:5" ht="14.25" customHeight="1" x14ac:dyDescent="0.6">
      <c r="D254" s="126"/>
      <c r="E254" s="126"/>
    </row>
    <row r="255" spans="4:5" ht="14.25" customHeight="1" x14ac:dyDescent="0.6">
      <c r="D255" s="126"/>
      <c r="E255" s="126"/>
    </row>
    <row r="256" spans="4:5" ht="14.25" customHeight="1" x14ac:dyDescent="0.6">
      <c r="D256" s="126"/>
      <c r="E256" s="126"/>
    </row>
    <row r="257" spans="4:5" ht="14.25" customHeight="1" x14ac:dyDescent="0.6">
      <c r="D257" s="126"/>
      <c r="E257" s="126"/>
    </row>
    <row r="258" spans="4:5" ht="14.25" customHeight="1" x14ac:dyDescent="0.6">
      <c r="D258" s="126"/>
      <c r="E258" s="126"/>
    </row>
    <row r="259" spans="4:5" ht="14.25" customHeight="1" x14ac:dyDescent="0.6">
      <c r="D259" s="126"/>
      <c r="E259" s="126"/>
    </row>
    <row r="260" spans="4:5" ht="14.25" customHeight="1" x14ac:dyDescent="0.6">
      <c r="D260" s="126"/>
      <c r="E260" s="126"/>
    </row>
    <row r="261" spans="4:5" ht="14.25" customHeight="1" x14ac:dyDescent="0.6">
      <c r="D261" s="126"/>
      <c r="E261" s="126"/>
    </row>
    <row r="262" spans="4:5" ht="14.25" customHeight="1" x14ac:dyDescent="0.6">
      <c r="D262" s="126"/>
      <c r="E262" s="126"/>
    </row>
    <row r="263" spans="4:5" ht="14.25" customHeight="1" x14ac:dyDescent="0.6">
      <c r="D263" s="126"/>
      <c r="E263" s="126"/>
    </row>
    <row r="264" spans="4:5" ht="14.25" customHeight="1" x14ac:dyDescent="0.6">
      <c r="D264" s="126"/>
      <c r="E264" s="126"/>
    </row>
    <row r="265" spans="4:5" ht="14.25" customHeight="1" x14ac:dyDescent="0.6">
      <c r="D265" s="126"/>
      <c r="E265" s="126"/>
    </row>
    <row r="266" spans="4:5" ht="14.25" customHeight="1" x14ac:dyDescent="0.6">
      <c r="D266" s="126"/>
      <c r="E266" s="126"/>
    </row>
    <row r="267" spans="4:5" ht="14.25" customHeight="1" x14ac:dyDescent="0.6">
      <c r="D267" s="126"/>
      <c r="E267" s="126"/>
    </row>
    <row r="268" spans="4:5" ht="14.25" customHeight="1" x14ac:dyDescent="0.6">
      <c r="D268" s="126"/>
      <c r="E268" s="126"/>
    </row>
    <row r="269" spans="4:5" ht="14.25" customHeight="1" x14ac:dyDescent="0.6">
      <c r="D269" s="126"/>
      <c r="E269" s="126"/>
    </row>
    <row r="270" spans="4:5" ht="14.25" customHeight="1" x14ac:dyDescent="0.6">
      <c r="D270" s="126"/>
      <c r="E270" s="126"/>
    </row>
    <row r="271" spans="4:5" ht="14.25" customHeight="1" x14ac:dyDescent="0.6">
      <c r="D271" s="126"/>
      <c r="E271" s="126"/>
    </row>
    <row r="272" spans="4:5" ht="14.25" customHeight="1" x14ac:dyDescent="0.6">
      <c r="D272" s="126"/>
      <c r="E272" s="126"/>
    </row>
    <row r="273" spans="4:5" ht="14.25" customHeight="1" x14ac:dyDescent="0.6">
      <c r="D273" s="126"/>
      <c r="E273" s="126"/>
    </row>
    <row r="274" spans="4:5" ht="14.25" customHeight="1" x14ac:dyDescent="0.6">
      <c r="D274" s="126"/>
      <c r="E274" s="126"/>
    </row>
    <row r="275" spans="4:5" ht="14.25" customHeight="1" x14ac:dyDescent="0.6">
      <c r="D275" s="126"/>
      <c r="E275" s="126"/>
    </row>
    <row r="276" spans="4:5" ht="14.25" customHeight="1" x14ac:dyDescent="0.6">
      <c r="D276" s="126"/>
      <c r="E276" s="126"/>
    </row>
    <row r="277" spans="4:5" ht="14.25" customHeight="1" x14ac:dyDescent="0.6">
      <c r="D277" s="126"/>
      <c r="E277" s="126"/>
    </row>
    <row r="278" spans="4:5" ht="14.25" customHeight="1" x14ac:dyDescent="0.6">
      <c r="D278" s="126"/>
      <c r="E278" s="126"/>
    </row>
    <row r="279" spans="4:5" ht="14.25" customHeight="1" x14ac:dyDescent="0.6">
      <c r="D279" s="126"/>
      <c r="E279" s="126"/>
    </row>
    <row r="280" spans="4:5" ht="14.25" customHeight="1" x14ac:dyDescent="0.6">
      <c r="D280" s="126"/>
      <c r="E280" s="126"/>
    </row>
    <row r="281" spans="4:5" ht="14.25" customHeight="1" x14ac:dyDescent="0.6">
      <c r="D281" s="126"/>
      <c r="E281" s="126"/>
    </row>
    <row r="282" spans="4:5" ht="14.25" customHeight="1" x14ac:dyDescent="0.6">
      <c r="D282" s="126"/>
      <c r="E282" s="126"/>
    </row>
    <row r="283" spans="4:5" ht="14.25" customHeight="1" x14ac:dyDescent="0.6">
      <c r="D283" s="126"/>
      <c r="E283" s="126"/>
    </row>
    <row r="284" spans="4:5" ht="14.25" customHeight="1" x14ac:dyDescent="0.6">
      <c r="D284" s="126"/>
      <c r="E284" s="126"/>
    </row>
    <row r="285" spans="4:5" ht="14.25" customHeight="1" x14ac:dyDescent="0.6">
      <c r="D285" s="126"/>
      <c r="E285" s="126"/>
    </row>
    <row r="286" spans="4:5" ht="14.25" customHeight="1" x14ac:dyDescent="0.6">
      <c r="D286" s="126"/>
      <c r="E286" s="126"/>
    </row>
    <row r="287" spans="4:5" ht="14.25" customHeight="1" x14ac:dyDescent="0.6">
      <c r="D287" s="126"/>
      <c r="E287" s="126"/>
    </row>
    <row r="288" spans="4:5" ht="14.25" customHeight="1" x14ac:dyDescent="0.6">
      <c r="D288" s="126"/>
      <c r="E288" s="126"/>
    </row>
    <row r="289" spans="4:5" ht="14.25" customHeight="1" x14ac:dyDescent="0.6">
      <c r="D289" s="126"/>
      <c r="E289" s="126"/>
    </row>
    <row r="290" spans="4:5" ht="14.25" customHeight="1" x14ac:dyDescent="0.6">
      <c r="D290" s="126"/>
      <c r="E290" s="126"/>
    </row>
    <row r="291" spans="4:5" ht="14.25" customHeight="1" x14ac:dyDescent="0.6">
      <c r="D291" s="126"/>
      <c r="E291" s="126"/>
    </row>
    <row r="292" spans="4:5" ht="14.25" customHeight="1" x14ac:dyDescent="0.6">
      <c r="D292" s="126"/>
      <c r="E292" s="126"/>
    </row>
    <row r="293" spans="4:5" ht="14.25" customHeight="1" x14ac:dyDescent="0.6">
      <c r="D293" s="126"/>
      <c r="E293" s="126"/>
    </row>
    <row r="294" spans="4:5" ht="14.25" customHeight="1" x14ac:dyDescent="0.6">
      <c r="D294" s="126"/>
      <c r="E294" s="126"/>
    </row>
    <row r="295" spans="4:5" ht="14.25" customHeight="1" x14ac:dyDescent="0.6">
      <c r="D295" s="126"/>
      <c r="E295" s="126"/>
    </row>
    <row r="296" spans="4:5" ht="14.25" customHeight="1" x14ac:dyDescent="0.6">
      <c r="D296" s="126"/>
      <c r="E296" s="126"/>
    </row>
    <row r="297" spans="4:5" ht="14.25" customHeight="1" x14ac:dyDescent="0.6">
      <c r="D297" s="126"/>
      <c r="E297" s="126"/>
    </row>
    <row r="298" spans="4:5" ht="14.25" customHeight="1" x14ac:dyDescent="0.6">
      <c r="D298" s="126"/>
      <c r="E298" s="126"/>
    </row>
    <row r="299" spans="4:5" ht="14.25" customHeight="1" x14ac:dyDescent="0.6">
      <c r="D299" s="126"/>
      <c r="E299" s="126"/>
    </row>
    <row r="300" spans="4:5" ht="14.25" customHeight="1" x14ac:dyDescent="0.6">
      <c r="D300" s="126"/>
      <c r="E300" s="126"/>
    </row>
    <row r="301" spans="4:5" ht="14.25" customHeight="1" x14ac:dyDescent="0.6">
      <c r="D301" s="126"/>
      <c r="E301" s="126"/>
    </row>
    <row r="302" spans="4:5" ht="14.25" customHeight="1" x14ac:dyDescent="0.6">
      <c r="D302" s="126"/>
      <c r="E302" s="126"/>
    </row>
    <row r="303" spans="4:5" ht="14.25" customHeight="1" x14ac:dyDescent="0.6">
      <c r="D303" s="126"/>
      <c r="E303" s="126"/>
    </row>
    <row r="304" spans="4:5" ht="14.25" customHeight="1" x14ac:dyDescent="0.6">
      <c r="D304" s="126"/>
      <c r="E304" s="126"/>
    </row>
    <row r="305" spans="4:5" ht="14.25" customHeight="1" x14ac:dyDescent="0.6">
      <c r="D305" s="126"/>
      <c r="E305" s="126"/>
    </row>
    <row r="306" spans="4:5" ht="14.25" customHeight="1" x14ac:dyDescent="0.6">
      <c r="D306" s="126"/>
      <c r="E306" s="126"/>
    </row>
    <row r="307" spans="4:5" ht="14.25" customHeight="1" x14ac:dyDescent="0.6">
      <c r="D307" s="126"/>
      <c r="E307" s="126"/>
    </row>
    <row r="308" spans="4:5" ht="14.25" customHeight="1" x14ac:dyDescent="0.6">
      <c r="D308" s="126"/>
      <c r="E308" s="126"/>
    </row>
    <row r="309" spans="4:5" ht="14.25" customHeight="1" x14ac:dyDescent="0.6">
      <c r="D309" s="126"/>
      <c r="E309" s="126"/>
    </row>
    <row r="310" spans="4:5" ht="14.25" customHeight="1" x14ac:dyDescent="0.6">
      <c r="D310" s="126"/>
      <c r="E310" s="126"/>
    </row>
    <row r="311" spans="4:5" ht="14.25" customHeight="1" x14ac:dyDescent="0.6">
      <c r="D311" s="126"/>
      <c r="E311" s="126"/>
    </row>
    <row r="312" spans="4:5" ht="14.25" customHeight="1" x14ac:dyDescent="0.6">
      <c r="D312" s="126"/>
      <c r="E312" s="126"/>
    </row>
    <row r="313" spans="4:5" ht="14.25" customHeight="1" x14ac:dyDescent="0.6">
      <c r="D313" s="126"/>
      <c r="E313" s="126"/>
    </row>
    <row r="314" spans="4:5" ht="14.25" customHeight="1" x14ac:dyDescent="0.6">
      <c r="D314" s="126"/>
      <c r="E314" s="126"/>
    </row>
    <row r="315" spans="4:5" ht="14.25" customHeight="1" x14ac:dyDescent="0.6">
      <c r="D315" s="126"/>
      <c r="E315" s="126"/>
    </row>
    <row r="316" spans="4:5" ht="14.25" customHeight="1" x14ac:dyDescent="0.6">
      <c r="D316" s="126"/>
      <c r="E316" s="126"/>
    </row>
    <row r="317" spans="4:5" ht="14.25" customHeight="1" x14ac:dyDescent="0.6">
      <c r="D317" s="126"/>
      <c r="E317" s="126"/>
    </row>
    <row r="318" spans="4:5" ht="14.25" customHeight="1" x14ac:dyDescent="0.6">
      <c r="D318" s="126"/>
      <c r="E318" s="126"/>
    </row>
    <row r="319" spans="4:5" ht="14.25" customHeight="1" x14ac:dyDescent="0.6">
      <c r="D319" s="126"/>
      <c r="E319" s="126"/>
    </row>
    <row r="320" spans="4:5" ht="14.25" customHeight="1" x14ac:dyDescent="0.6">
      <c r="D320" s="126"/>
      <c r="E320" s="126"/>
    </row>
    <row r="321" spans="4:5" ht="14.25" customHeight="1" x14ac:dyDescent="0.6">
      <c r="D321" s="126"/>
      <c r="E321" s="126"/>
    </row>
    <row r="322" spans="4:5" ht="14.25" customHeight="1" x14ac:dyDescent="0.6">
      <c r="D322" s="126"/>
      <c r="E322" s="126"/>
    </row>
    <row r="323" spans="4:5" ht="14.25" customHeight="1" x14ac:dyDescent="0.6">
      <c r="D323" s="126"/>
      <c r="E323" s="126"/>
    </row>
    <row r="324" spans="4:5" ht="14.25" customHeight="1" x14ac:dyDescent="0.6">
      <c r="D324" s="126"/>
      <c r="E324" s="126"/>
    </row>
    <row r="325" spans="4:5" ht="14.25" customHeight="1" x14ac:dyDescent="0.6">
      <c r="D325" s="126"/>
      <c r="E325" s="126"/>
    </row>
    <row r="326" spans="4:5" ht="14.25" customHeight="1" x14ac:dyDescent="0.6">
      <c r="D326" s="126"/>
      <c r="E326" s="126"/>
    </row>
    <row r="327" spans="4:5" ht="14.25" customHeight="1" x14ac:dyDescent="0.6">
      <c r="D327" s="126"/>
      <c r="E327" s="126"/>
    </row>
    <row r="328" spans="4:5" ht="14.25" customHeight="1" x14ac:dyDescent="0.6">
      <c r="D328" s="126"/>
      <c r="E328" s="126"/>
    </row>
    <row r="329" spans="4:5" ht="14.25" customHeight="1" x14ac:dyDescent="0.6">
      <c r="D329" s="126"/>
      <c r="E329" s="126"/>
    </row>
    <row r="330" spans="4:5" ht="14.25" customHeight="1" x14ac:dyDescent="0.6">
      <c r="D330" s="126"/>
      <c r="E330" s="126"/>
    </row>
    <row r="331" spans="4:5" ht="14.25" customHeight="1" x14ac:dyDescent="0.6">
      <c r="D331" s="126"/>
      <c r="E331" s="126"/>
    </row>
    <row r="332" spans="4:5" ht="14.25" customHeight="1" x14ac:dyDescent="0.6">
      <c r="D332" s="126"/>
      <c r="E332" s="126"/>
    </row>
    <row r="333" spans="4:5" ht="14.25" customHeight="1" x14ac:dyDescent="0.6">
      <c r="D333" s="126"/>
      <c r="E333" s="126"/>
    </row>
    <row r="334" spans="4:5" ht="14.25" customHeight="1" x14ac:dyDescent="0.6">
      <c r="D334" s="126"/>
      <c r="E334" s="126"/>
    </row>
    <row r="335" spans="4:5" ht="14.25" customHeight="1" x14ac:dyDescent="0.6">
      <c r="D335" s="126"/>
      <c r="E335" s="126"/>
    </row>
    <row r="336" spans="4:5" ht="14.25" customHeight="1" x14ac:dyDescent="0.6">
      <c r="D336" s="126"/>
      <c r="E336" s="126"/>
    </row>
    <row r="337" spans="4:5" ht="14.25" customHeight="1" x14ac:dyDescent="0.6">
      <c r="D337" s="126"/>
      <c r="E337" s="126"/>
    </row>
    <row r="338" spans="4:5" ht="14.25" customHeight="1" x14ac:dyDescent="0.6">
      <c r="D338" s="126"/>
      <c r="E338" s="126"/>
    </row>
    <row r="339" spans="4:5" ht="14.25" customHeight="1" x14ac:dyDescent="0.6">
      <c r="D339" s="126"/>
      <c r="E339" s="126"/>
    </row>
    <row r="340" spans="4:5" ht="14.25" customHeight="1" x14ac:dyDescent="0.6">
      <c r="D340" s="126"/>
      <c r="E340" s="126"/>
    </row>
    <row r="341" spans="4:5" ht="14.25" customHeight="1" x14ac:dyDescent="0.6">
      <c r="D341" s="126"/>
      <c r="E341" s="126"/>
    </row>
    <row r="342" spans="4:5" ht="14.25" customHeight="1" x14ac:dyDescent="0.6">
      <c r="D342" s="126"/>
      <c r="E342" s="126"/>
    </row>
    <row r="343" spans="4:5" ht="14.25" customHeight="1" x14ac:dyDescent="0.6">
      <c r="D343" s="126"/>
      <c r="E343" s="126"/>
    </row>
    <row r="344" spans="4:5" ht="14.25" customHeight="1" x14ac:dyDescent="0.6">
      <c r="D344" s="126"/>
      <c r="E344" s="126"/>
    </row>
    <row r="345" spans="4:5" ht="14.25" customHeight="1" x14ac:dyDescent="0.6">
      <c r="D345" s="126"/>
      <c r="E345" s="126"/>
    </row>
    <row r="346" spans="4:5" ht="14.25" customHeight="1" x14ac:dyDescent="0.6">
      <c r="D346" s="126"/>
      <c r="E346" s="126"/>
    </row>
    <row r="347" spans="4:5" ht="14.25" customHeight="1" x14ac:dyDescent="0.6">
      <c r="D347" s="126"/>
      <c r="E347" s="126"/>
    </row>
    <row r="348" spans="4:5" ht="14.25" customHeight="1" x14ac:dyDescent="0.6">
      <c r="D348" s="126"/>
      <c r="E348" s="126"/>
    </row>
    <row r="349" spans="4:5" ht="14.25" customHeight="1" x14ac:dyDescent="0.6">
      <c r="D349" s="126"/>
      <c r="E349" s="126"/>
    </row>
    <row r="350" spans="4:5" ht="14.25" customHeight="1" x14ac:dyDescent="0.6">
      <c r="D350" s="126"/>
      <c r="E350" s="126"/>
    </row>
    <row r="351" spans="4:5" ht="14.25" customHeight="1" x14ac:dyDescent="0.6">
      <c r="D351" s="126"/>
      <c r="E351" s="126"/>
    </row>
    <row r="352" spans="4:5" ht="14.25" customHeight="1" x14ac:dyDescent="0.6">
      <c r="D352" s="126"/>
      <c r="E352" s="126"/>
    </row>
    <row r="353" spans="4:5" ht="14.25" customHeight="1" x14ac:dyDescent="0.6">
      <c r="D353" s="126"/>
      <c r="E353" s="126"/>
    </row>
    <row r="354" spans="4:5" ht="14.25" customHeight="1" x14ac:dyDescent="0.6">
      <c r="D354" s="126"/>
      <c r="E354" s="126"/>
    </row>
    <row r="355" spans="4:5" ht="14.25" customHeight="1" x14ac:dyDescent="0.6">
      <c r="D355" s="126"/>
      <c r="E355" s="126"/>
    </row>
    <row r="356" spans="4:5" ht="14.25" customHeight="1" x14ac:dyDescent="0.6">
      <c r="D356" s="126"/>
      <c r="E356" s="126"/>
    </row>
    <row r="357" spans="4:5" ht="14.25" customHeight="1" x14ac:dyDescent="0.6">
      <c r="D357" s="126"/>
      <c r="E357" s="126"/>
    </row>
    <row r="358" spans="4:5" ht="14.25" customHeight="1" x14ac:dyDescent="0.6">
      <c r="D358" s="126"/>
      <c r="E358" s="126"/>
    </row>
    <row r="359" spans="4:5" ht="14.25" customHeight="1" x14ac:dyDescent="0.6">
      <c r="D359" s="126"/>
      <c r="E359" s="126"/>
    </row>
    <row r="360" spans="4:5" ht="14.25" customHeight="1" x14ac:dyDescent="0.6">
      <c r="D360" s="126"/>
      <c r="E360" s="126"/>
    </row>
    <row r="361" spans="4:5" ht="14.25" customHeight="1" x14ac:dyDescent="0.6">
      <c r="D361" s="126"/>
      <c r="E361" s="126"/>
    </row>
    <row r="362" spans="4:5" ht="14.25" customHeight="1" x14ac:dyDescent="0.6">
      <c r="D362" s="126"/>
      <c r="E362" s="126"/>
    </row>
    <row r="363" spans="4:5" ht="14.25" customHeight="1" x14ac:dyDescent="0.6">
      <c r="D363" s="126"/>
      <c r="E363" s="126"/>
    </row>
    <row r="364" spans="4:5" ht="14.25" customHeight="1" x14ac:dyDescent="0.6">
      <c r="D364" s="126"/>
      <c r="E364" s="126"/>
    </row>
    <row r="365" spans="4:5" ht="14.25" customHeight="1" x14ac:dyDescent="0.6">
      <c r="D365" s="126"/>
      <c r="E365" s="126"/>
    </row>
    <row r="366" spans="4:5" ht="14.25" customHeight="1" x14ac:dyDescent="0.6">
      <c r="D366" s="126"/>
      <c r="E366" s="126"/>
    </row>
    <row r="367" spans="4:5" ht="14.25" customHeight="1" x14ac:dyDescent="0.6">
      <c r="D367" s="126"/>
      <c r="E367" s="126"/>
    </row>
    <row r="368" spans="4:5" ht="14.25" customHeight="1" x14ac:dyDescent="0.6">
      <c r="D368" s="126"/>
      <c r="E368" s="126"/>
    </row>
    <row r="369" spans="4:5" ht="14.25" customHeight="1" x14ac:dyDescent="0.6">
      <c r="D369" s="126"/>
      <c r="E369" s="126"/>
    </row>
    <row r="370" spans="4:5" ht="14.25" customHeight="1" x14ac:dyDescent="0.6">
      <c r="D370" s="126"/>
      <c r="E370" s="126"/>
    </row>
    <row r="371" spans="4:5" ht="14.25" customHeight="1" x14ac:dyDescent="0.6">
      <c r="D371" s="126"/>
      <c r="E371" s="126"/>
    </row>
    <row r="372" spans="4:5" ht="14.25" customHeight="1" x14ac:dyDescent="0.6">
      <c r="D372" s="126"/>
      <c r="E372" s="126"/>
    </row>
    <row r="373" spans="4:5" ht="14.25" customHeight="1" x14ac:dyDescent="0.6">
      <c r="D373" s="126"/>
      <c r="E373" s="126"/>
    </row>
    <row r="374" spans="4:5" ht="14.25" customHeight="1" x14ac:dyDescent="0.6">
      <c r="D374" s="126"/>
      <c r="E374" s="126"/>
    </row>
    <row r="375" spans="4:5" ht="14.25" customHeight="1" x14ac:dyDescent="0.6">
      <c r="D375" s="126"/>
      <c r="E375" s="126"/>
    </row>
    <row r="376" spans="4:5" ht="14.25" customHeight="1" x14ac:dyDescent="0.6">
      <c r="D376" s="126"/>
      <c r="E376" s="126"/>
    </row>
    <row r="377" spans="4:5" ht="14.25" customHeight="1" x14ac:dyDescent="0.6">
      <c r="D377" s="126"/>
      <c r="E377" s="126"/>
    </row>
    <row r="378" spans="4:5" ht="14.25" customHeight="1" x14ac:dyDescent="0.6">
      <c r="D378" s="126"/>
      <c r="E378" s="126"/>
    </row>
    <row r="379" spans="4:5" ht="14.25" customHeight="1" x14ac:dyDescent="0.6">
      <c r="D379" s="126"/>
      <c r="E379" s="126"/>
    </row>
    <row r="380" spans="4:5" ht="14.25" customHeight="1" x14ac:dyDescent="0.6">
      <c r="D380" s="126"/>
      <c r="E380" s="126"/>
    </row>
    <row r="381" spans="4:5" ht="14.25" customHeight="1" x14ac:dyDescent="0.6">
      <c r="D381" s="126"/>
      <c r="E381" s="126"/>
    </row>
    <row r="382" spans="4:5" ht="14.25" customHeight="1" x14ac:dyDescent="0.6">
      <c r="D382" s="126"/>
      <c r="E382" s="126"/>
    </row>
    <row r="383" spans="4:5" ht="14.25" customHeight="1" x14ac:dyDescent="0.6">
      <c r="D383" s="126"/>
      <c r="E383" s="126"/>
    </row>
    <row r="384" spans="4:5" ht="14.25" customHeight="1" x14ac:dyDescent="0.6">
      <c r="D384" s="126"/>
      <c r="E384" s="126"/>
    </row>
    <row r="385" spans="4:5" ht="14.25" customHeight="1" x14ac:dyDescent="0.6">
      <c r="D385" s="126"/>
      <c r="E385" s="126"/>
    </row>
    <row r="386" spans="4:5" ht="14.25" customHeight="1" x14ac:dyDescent="0.6">
      <c r="D386" s="126"/>
      <c r="E386" s="126"/>
    </row>
    <row r="387" spans="4:5" ht="14.25" customHeight="1" x14ac:dyDescent="0.6">
      <c r="D387" s="126"/>
      <c r="E387" s="126"/>
    </row>
    <row r="388" spans="4:5" ht="14.25" customHeight="1" x14ac:dyDescent="0.6">
      <c r="D388" s="126"/>
      <c r="E388" s="126"/>
    </row>
    <row r="389" spans="4:5" ht="14.25" customHeight="1" x14ac:dyDescent="0.6">
      <c r="D389" s="126"/>
      <c r="E389" s="126"/>
    </row>
    <row r="390" spans="4:5" ht="14.25" customHeight="1" x14ac:dyDescent="0.6">
      <c r="D390" s="126"/>
      <c r="E390" s="126"/>
    </row>
    <row r="391" spans="4:5" ht="14.25" customHeight="1" x14ac:dyDescent="0.6">
      <c r="D391" s="126"/>
      <c r="E391" s="126"/>
    </row>
    <row r="392" spans="4:5" ht="14.25" customHeight="1" x14ac:dyDescent="0.6">
      <c r="D392" s="126"/>
      <c r="E392" s="126"/>
    </row>
    <row r="393" spans="4:5" ht="14.25" customHeight="1" x14ac:dyDescent="0.6">
      <c r="D393" s="126"/>
      <c r="E393" s="126"/>
    </row>
    <row r="394" spans="4:5" ht="14.25" customHeight="1" x14ac:dyDescent="0.6">
      <c r="D394" s="126"/>
      <c r="E394" s="126"/>
    </row>
    <row r="395" spans="4:5" ht="14.25" customHeight="1" x14ac:dyDescent="0.6">
      <c r="D395" s="126"/>
      <c r="E395" s="126"/>
    </row>
    <row r="396" spans="4:5" ht="14.25" customHeight="1" x14ac:dyDescent="0.6">
      <c r="D396" s="126"/>
      <c r="E396" s="126"/>
    </row>
    <row r="397" spans="4:5" ht="14.25" customHeight="1" x14ac:dyDescent="0.6">
      <c r="D397" s="126"/>
      <c r="E397" s="126"/>
    </row>
    <row r="398" spans="4:5" ht="14.25" customHeight="1" x14ac:dyDescent="0.6">
      <c r="D398" s="126"/>
      <c r="E398" s="126"/>
    </row>
    <row r="399" spans="4:5" ht="14.25" customHeight="1" x14ac:dyDescent="0.6">
      <c r="D399" s="126"/>
      <c r="E399" s="126"/>
    </row>
    <row r="400" spans="4:5" ht="14.25" customHeight="1" x14ac:dyDescent="0.6">
      <c r="D400" s="126"/>
      <c r="E400" s="126"/>
    </row>
    <row r="401" spans="4:5" ht="14.25" customHeight="1" x14ac:dyDescent="0.6">
      <c r="D401" s="126"/>
      <c r="E401" s="126"/>
    </row>
    <row r="402" spans="4:5" ht="14.25" customHeight="1" x14ac:dyDescent="0.6">
      <c r="D402" s="126"/>
      <c r="E402" s="126"/>
    </row>
    <row r="403" spans="4:5" ht="14.25" customHeight="1" x14ac:dyDescent="0.6">
      <c r="D403" s="126"/>
      <c r="E403" s="126"/>
    </row>
    <row r="404" spans="4:5" ht="14.25" customHeight="1" x14ac:dyDescent="0.6">
      <c r="D404" s="126"/>
      <c r="E404" s="126"/>
    </row>
    <row r="405" spans="4:5" ht="14.25" customHeight="1" x14ac:dyDescent="0.6">
      <c r="D405" s="126"/>
      <c r="E405" s="126"/>
    </row>
    <row r="406" spans="4:5" ht="14.25" customHeight="1" x14ac:dyDescent="0.6">
      <c r="D406" s="126"/>
      <c r="E406" s="126"/>
    </row>
    <row r="407" spans="4:5" ht="14.25" customHeight="1" x14ac:dyDescent="0.6">
      <c r="D407" s="126"/>
      <c r="E407" s="126"/>
    </row>
    <row r="408" spans="4:5" ht="14.25" customHeight="1" x14ac:dyDescent="0.6">
      <c r="D408" s="126"/>
      <c r="E408" s="126"/>
    </row>
    <row r="409" spans="4:5" ht="14.25" customHeight="1" x14ac:dyDescent="0.6">
      <c r="D409" s="126"/>
      <c r="E409" s="126"/>
    </row>
    <row r="410" spans="4:5" ht="14.25" customHeight="1" x14ac:dyDescent="0.6">
      <c r="D410" s="126"/>
      <c r="E410" s="126"/>
    </row>
    <row r="411" spans="4:5" ht="14.25" customHeight="1" x14ac:dyDescent="0.6">
      <c r="D411" s="126"/>
      <c r="E411" s="126"/>
    </row>
    <row r="412" spans="4:5" ht="14.25" customHeight="1" x14ac:dyDescent="0.6">
      <c r="D412" s="126"/>
      <c r="E412" s="126"/>
    </row>
    <row r="413" spans="4:5" ht="14.25" customHeight="1" x14ac:dyDescent="0.6">
      <c r="D413" s="126"/>
      <c r="E413" s="126"/>
    </row>
    <row r="414" spans="4:5" ht="14.25" customHeight="1" x14ac:dyDescent="0.6">
      <c r="D414" s="126"/>
      <c r="E414" s="126"/>
    </row>
    <row r="415" spans="4:5" ht="14.25" customHeight="1" x14ac:dyDescent="0.6">
      <c r="D415" s="126"/>
      <c r="E415" s="126"/>
    </row>
    <row r="416" spans="4:5" ht="14.25" customHeight="1" x14ac:dyDescent="0.6">
      <c r="D416" s="126"/>
      <c r="E416" s="126"/>
    </row>
    <row r="417" spans="4:5" ht="14.25" customHeight="1" x14ac:dyDescent="0.6">
      <c r="D417" s="126"/>
      <c r="E417" s="126"/>
    </row>
    <row r="418" spans="4:5" ht="14.25" customHeight="1" x14ac:dyDescent="0.6">
      <c r="D418" s="126"/>
      <c r="E418" s="126"/>
    </row>
    <row r="419" spans="4:5" ht="14.25" customHeight="1" x14ac:dyDescent="0.6">
      <c r="D419" s="126"/>
      <c r="E419" s="126"/>
    </row>
    <row r="420" spans="4:5" ht="14.25" customHeight="1" x14ac:dyDescent="0.6">
      <c r="D420" s="126"/>
      <c r="E420" s="126"/>
    </row>
    <row r="421" spans="4:5" ht="14.25" customHeight="1" x14ac:dyDescent="0.6">
      <c r="D421" s="126"/>
      <c r="E421" s="126"/>
    </row>
    <row r="422" spans="4:5" ht="14.25" customHeight="1" x14ac:dyDescent="0.6">
      <c r="D422" s="126"/>
      <c r="E422" s="126"/>
    </row>
    <row r="423" spans="4:5" ht="14.25" customHeight="1" x14ac:dyDescent="0.6">
      <c r="D423" s="126"/>
      <c r="E423" s="126"/>
    </row>
    <row r="424" spans="4:5" ht="14.25" customHeight="1" x14ac:dyDescent="0.6">
      <c r="D424" s="126"/>
      <c r="E424" s="126"/>
    </row>
    <row r="425" spans="4:5" ht="14.25" customHeight="1" x14ac:dyDescent="0.6">
      <c r="D425" s="126"/>
      <c r="E425" s="126"/>
    </row>
    <row r="426" spans="4:5" ht="14.25" customHeight="1" x14ac:dyDescent="0.6">
      <c r="D426" s="126"/>
      <c r="E426" s="126"/>
    </row>
    <row r="427" spans="4:5" ht="14.25" customHeight="1" x14ac:dyDescent="0.6">
      <c r="D427" s="126"/>
      <c r="E427" s="126"/>
    </row>
    <row r="428" spans="4:5" ht="14.25" customHeight="1" x14ac:dyDescent="0.6">
      <c r="D428" s="126"/>
      <c r="E428" s="126"/>
    </row>
    <row r="429" spans="4:5" ht="14.25" customHeight="1" x14ac:dyDescent="0.6">
      <c r="D429" s="126"/>
      <c r="E429" s="126"/>
    </row>
    <row r="430" spans="4:5" ht="14.25" customHeight="1" x14ac:dyDescent="0.6">
      <c r="D430" s="126"/>
      <c r="E430" s="126"/>
    </row>
    <row r="431" spans="4:5" ht="14.25" customHeight="1" x14ac:dyDescent="0.6">
      <c r="D431" s="126"/>
      <c r="E431" s="126"/>
    </row>
    <row r="432" spans="4:5" ht="14.25" customHeight="1" x14ac:dyDescent="0.6">
      <c r="D432" s="126"/>
      <c r="E432" s="126"/>
    </row>
    <row r="433" spans="4:5" ht="14.25" customHeight="1" x14ac:dyDescent="0.6">
      <c r="D433" s="126"/>
      <c r="E433" s="126"/>
    </row>
    <row r="434" spans="4:5" ht="14.25" customHeight="1" x14ac:dyDescent="0.6">
      <c r="D434" s="126"/>
      <c r="E434" s="126"/>
    </row>
    <row r="435" spans="4:5" ht="14.25" customHeight="1" x14ac:dyDescent="0.6">
      <c r="D435" s="126"/>
      <c r="E435" s="126"/>
    </row>
    <row r="436" spans="4:5" ht="14.25" customHeight="1" x14ac:dyDescent="0.6">
      <c r="D436" s="126"/>
      <c r="E436" s="126"/>
    </row>
    <row r="437" spans="4:5" ht="14.25" customHeight="1" x14ac:dyDescent="0.6">
      <c r="D437" s="126"/>
      <c r="E437" s="126"/>
    </row>
    <row r="438" spans="4:5" ht="14.25" customHeight="1" x14ac:dyDescent="0.6">
      <c r="D438" s="126"/>
      <c r="E438" s="126"/>
    </row>
    <row r="439" spans="4:5" ht="14.25" customHeight="1" x14ac:dyDescent="0.6">
      <c r="D439" s="126"/>
      <c r="E439" s="126"/>
    </row>
    <row r="440" spans="4:5" ht="14.25" customHeight="1" x14ac:dyDescent="0.6">
      <c r="D440" s="126"/>
      <c r="E440" s="126"/>
    </row>
    <row r="441" spans="4:5" ht="14.25" customHeight="1" x14ac:dyDescent="0.6">
      <c r="D441" s="126"/>
      <c r="E441" s="126"/>
    </row>
    <row r="442" spans="4:5" ht="14.25" customHeight="1" x14ac:dyDescent="0.6">
      <c r="D442" s="126"/>
      <c r="E442" s="126"/>
    </row>
    <row r="443" spans="4:5" ht="14.25" customHeight="1" x14ac:dyDescent="0.6">
      <c r="D443" s="126"/>
      <c r="E443" s="126"/>
    </row>
    <row r="444" spans="4:5" ht="14.25" customHeight="1" x14ac:dyDescent="0.6">
      <c r="D444" s="126"/>
      <c r="E444" s="126"/>
    </row>
    <row r="445" spans="4:5" ht="14.25" customHeight="1" x14ac:dyDescent="0.6">
      <c r="D445" s="126"/>
      <c r="E445" s="126"/>
    </row>
    <row r="446" spans="4:5" ht="14.25" customHeight="1" x14ac:dyDescent="0.6">
      <c r="D446" s="126"/>
      <c r="E446" s="126"/>
    </row>
    <row r="447" spans="4:5" ht="14.25" customHeight="1" x14ac:dyDescent="0.6">
      <c r="D447" s="126"/>
      <c r="E447" s="126"/>
    </row>
    <row r="448" spans="4:5" ht="14.25" customHeight="1" x14ac:dyDescent="0.6">
      <c r="D448" s="126"/>
      <c r="E448" s="126"/>
    </row>
    <row r="449" spans="4:5" ht="14.25" customHeight="1" x14ac:dyDescent="0.6">
      <c r="D449" s="126"/>
      <c r="E449" s="126"/>
    </row>
    <row r="450" spans="4:5" ht="14.25" customHeight="1" x14ac:dyDescent="0.6">
      <c r="D450" s="126"/>
      <c r="E450" s="126"/>
    </row>
    <row r="451" spans="4:5" ht="14.25" customHeight="1" x14ac:dyDescent="0.6">
      <c r="D451" s="126"/>
      <c r="E451" s="126"/>
    </row>
    <row r="452" spans="4:5" ht="14.25" customHeight="1" x14ac:dyDescent="0.6">
      <c r="D452" s="126"/>
      <c r="E452" s="126"/>
    </row>
    <row r="453" spans="4:5" ht="14.25" customHeight="1" x14ac:dyDescent="0.6">
      <c r="D453" s="126"/>
      <c r="E453" s="126"/>
    </row>
    <row r="454" spans="4:5" ht="14.25" customHeight="1" x14ac:dyDescent="0.6">
      <c r="D454" s="126"/>
      <c r="E454" s="126"/>
    </row>
    <row r="455" spans="4:5" ht="14.25" customHeight="1" x14ac:dyDescent="0.6">
      <c r="D455" s="126"/>
      <c r="E455" s="126"/>
    </row>
    <row r="456" spans="4:5" ht="14.25" customHeight="1" x14ac:dyDescent="0.6">
      <c r="D456" s="126"/>
      <c r="E456" s="126"/>
    </row>
    <row r="457" spans="4:5" ht="14.25" customHeight="1" x14ac:dyDescent="0.6">
      <c r="D457" s="126"/>
      <c r="E457" s="126"/>
    </row>
    <row r="458" spans="4:5" ht="14.25" customHeight="1" x14ac:dyDescent="0.6">
      <c r="D458" s="126"/>
      <c r="E458" s="126"/>
    </row>
    <row r="459" spans="4:5" ht="14.25" customHeight="1" x14ac:dyDescent="0.6">
      <c r="D459" s="126"/>
      <c r="E459" s="126"/>
    </row>
    <row r="460" spans="4:5" ht="14.25" customHeight="1" x14ac:dyDescent="0.6">
      <c r="D460" s="126"/>
      <c r="E460" s="126"/>
    </row>
    <row r="461" spans="4:5" ht="14.25" customHeight="1" x14ac:dyDescent="0.6">
      <c r="D461" s="126"/>
      <c r="E461" s="126"/>
    </row>
    <row r="462" spans="4:5" ht="14.25" customHeight="1" x14ac:dyDescent="0.6">
      <c r="D462" s="126"/>
      <c r="E462" s="126"/>
    </row>
    <row r="463" spans="4:5" ht="14.25" customHeight="1" x14ac:dyDescent="0.6">
      <c r="D463" s="126"/>
      <c r="E463" s="126"/>
    </row>
    <row r="464" spans="4:5" ht="14.25" customHeight="1" x14ac:dyDescent="0.6">
      <c r="D464" s="126"/>
      <c r="E464" s="126"/>
    </row>
    <row r="465" spans="4:5" ht="14.25" customHeight="1" x14ac:dyDescent="0.6">
      <c r="D465" s="126"/>
      <c r="E465" s="126"/>
    </row>
    <row r="466" spans="4:5" ht="14.25" customHeight="1" x14ac:dyDescent="0.6">
      <c r="D466" s="126"/>
      <c r="E466" s="126"/>
    </row>
    <row r="467" spans="4:5" ht="14.25" customHeight="1" x14ac:dyDescent="0.6">
      <c r="D467" s="126"/>
      <c r="E467" s="126"/>
    </row>
    <row r="468" spans="4:5" ht="14.25" customHeight="1" x14ac:dyDescent="0.6">
      <c r="D468" s="126"/>
      <c r="E468" s="126"/>
    </row>
    <row r="469" spans="4:5" ht="14.25" customHeight="1" x14ac:dyDescent="0.6">
      <c r="D469" s="126"/>
      <c r="E469" s="126"/>
    </row>
    <row r="470" spans="4:5" ht="14.25" customHeight="1" x14ac:dyDescent="0.6">
      <c r="D470" s="126"/>
      <c r="E470" s="126"/>
    </row>
    <row r="471" spans="4:5" ht="14.25" customHeight="1" x14ac:dyDescent="0.6">
      <c r="D471" s="126"/>
      <c r="E471" s="126"/>
    </row>
    <row r="472" spans="4:5" ht="14.25" customHeight="1" x14ac:dyDescent="0.6">
      <c r="D472" s="126"/>
      <c r="E472" s="126"/>
    </row>
    <row r="473" spans="4:5" ht="14.25" customHeight="1" x14ac:dyDescent="0.6">
      <c r="D473" s="126"/>
      <c r="E473" s="126"/>
    </row>
    <row r="474" spans="4:5" ht="14.25" customHeight="1" x14ac:dyDescent="0.6">
      <c r="D474" s="126"/>
      <c r="E474" s="126"/>
    </row>
    <row r="475" spans="4:5" ht="14.25" customHeight="1" x14ac:dyDescent="0.6">
      <c r="D475" s="126"/>
      <c r="E475" s="126"/>
    </row>
    <row r="476" spans="4:5" ht="14.25" customHeight="1" x14ac:dyDescent="0.6">
      <c r="D476" s="126"/>
      <c r="E476" s="126"/>
    </row>
    <row r="477" spans="4:5" ht="14.25" customHeight="1" x14ac:dyDescent="0.6">
      <c r="D477" s="126"/>
      <c r="E477" s="126"/>
    </row>
    <row r="478" spans="4:5" ht="14.25" customHeight="1" x14ac:dyDescent="0.6">
      <c r="D478" s="126"/>
      <c r="E478" s="126"/>
    </row>
    <row r="479" spans="4:5" ht="14.25" customHeight="1" x14ac:dyDescent="0.6">
      <c r="D479" s="126"/>
      <c r="E479" s="126"/>
    </row>
    <row r="480" spans="4:5" ht="14.25" customHeight="1" x14ac:dyDescent="0.6">
      <c r="D480" s="126"/>
      <c r="E480" s="126"/>
    </row>
    <row r="481" spans="4:5" ht="14.25" customHeight="1" x14ac:dyDescent="0.6">
      <c r="D481" s="126"/>
      <c r="E481" s="126"/>
    </row>
    <row r="482" spans="4:5" ht="14.25" customHeight="1" x14ac:dyDescent="0.6">
      <c r="D482" s="126"/>
      <c r="E482" s="126"/>
    </row>
    <row r="483" spans="4:5" ht="14.25" customHeight="1" x14ac:dyDescent="0.6">
      <c r="D483" s="126"/>
      <c r="E483" s="126"/>
    </row>
    <row r="484" spans="4:5" ht="14.25" customHeight="1" x14ac:dyDescent="0.6">
      <c r="D484" s="126"/>
      <c r="E484" s="126"/>
    </row>
    <row r="485" spans="4:5" ht="14.25" customHeight="1" x14ac:dyDescent="0.6">
      <c r="D485" s="126"/>
      <c r="E485" s="126"/>
    </row>
    <row r="486" spans="4:5" ht="14.25" customHeight="1" x14ac:dyDescent="0.6">
      <c r="D486" s="126"/>
      <c r="E486" s="126"/>
    </row>
    <row r="487" spans="4:5" ht="14.25" customHeight="1" x14ac:dyDescent="0.6">
      <c r="D487" s="126"/>
      <c r="E487" s="126"/>
    </row>
    <row r="488" spans="4:5" ht="14.25" customHeight="1" x14ac:dyDescent="0.6">
      <c r="D488" s="126"/>
      <c r="E488" s="126"/>
    </row>
    <row r="489" spans="4:5" ht="14.25" customHeight="1" x14ac:dyDescent="0.6">
      <c r="D489" s="126"/>
      <c r="E489" s="126"/>
    </row>
    <row r="490" spans="4:5" ht="14.25" customHeight="1" x14ac:dyDescent="0.6">
      <c r="D490" s="126"/>
      <c r="E490" s="126"/>
    </row>
    <row r="491" spans="4:5" ht="14.25" customHeight="1" x14ac:dyDescent="0.6">
      <c r="D491" s="126"/>
      <c r="E491" s="126"/>
    </row>
    <row r="492" spans="4:5" ht="14.25" customHeight="1" x14ac:dyDescent="0.6">
      <c r="D492" s="126"/>
      <c r="E492" s="126"/>
    </row>
    <row r="493" spans="4:5" ht="14.25" customHeight="1" x14ac:dyDescent="0.6">
      <c r="D493" s="126"/>
      <c r="E493" s="126"/>
    </row>
    <row r="494" spans="4:5" ht="14.25" customHeight="1" x14ac:dyDescent="0.6">
      <c r="D494" s="126"/>
      <c r="E494" s="126"/>
    </row>
    <row r="495" spans="4:5" ht="14.25" customHeight="1" x14ac:dyDescent="0.6">
      <c r="D495" s="126"/>
      <c r="E495" s="126"/>
    </row>
    <row r="496" spans="4:5" ht="14.25" customHeight="1" x14ac:dyDescent="0.6">
      <c r="D496" s="126"/>
      <c r="E496" s="126"/>
    </row>
    <row r="497" spans="4:5" ht="14.25" customHeight="1" x14ac:dyDescent="0.6">
      <c r="D497" s="126"/>
      <c r="E497" s="126"/>
    </row>
    <row r="498" spans="4:5" ht="14.25" customHeight="1" x14ac:dyDescent="0.6">
      <c r="D498" s="126"/>
      <c r="E498" s="126"/>
    </row>
    <row r="499" spans="4:5" ht="14.25" customHeight="1" x14ac:dyDescent="0.6">
      <c r="D499" s="126"/>
      <c r="E499" s="126"/>
    </row>
    <row r="500" spans="4:5" ht="14.25" customHeight="1" x14ac:dyDescent="0.6">
      <c r="D500" s="126"/>
      <c r="E500" s="126"/>
    </row>
    <row r="501" spans="4:5" ht="14.25" customHeight="1" x14ac:dyDescent="0.6">
      <c r="D501" s="126"/>
      <c r="E501" s="126"/>
    </row>
    <row r="502" spans="4:5" ht="14.25" customHeight="1" x14ac:dyDescent="0.6">
      <c r="D502" s="126"/>
      <c r="E502" s="126"/>
    </row>
    <row r="503" spans="4:5" ht="14.25" customHeight="1" x14ac:dyDescent="0.6">
      <c r="D503" s="126"/>
      <c r="E503" s="126"/>
    </row>
    <row r="504" spans="4:5" ht="14.25" customHeight="1" x14ac:dyDescent="0.6">
      <c r="D504" s="126"/>
      <c r="E504" s="126"/>
    </row>
    <row r="505" spans="4:5" ht="14.25" customHeight="1" x14ac:dyDescent="0.6">
      <c r="D505" s="126"/>
      <c r="E505" s="126"/>
    </row>
    <row r="506" spans="4:5" ht="14.25" customHeight="1" x14ac:dyDescent="0.6">
      <c r="D506" s="126"/>
      <c r="E506" s="126"/>
    </row>
    <row r="507" spans="4:5" ht="14.25" customHeight="1" x14ac:dyDescent="0.6">
      <c r="D507" s="126"/>
      <c r="E507" s="126"/>
    </row>
    <row r="508" spans="4:5" ht="14.25" customHeight="1" x14ac:dyDescent="0.6">
      <c r="D508" s="126"/>
      <c r="E508" s="126"/>
    </row>
    <row r="509" spans="4:5" ht="14.25" customHeight="1" x14ac:dyDescent="0.6">
      <c r="D509" s="126"/>
      <c r="E509" s="126"/>
    </row>
    <row r="510" spans="4:5" ht="14.25" customHeight="1" x14ac:dyDescent="0.6">
      <c r="D510" s="126"/>
      <c r="E510" s="126"/>
    </row>
    <row r="511" spans="4:5" ht="14.25" customHeight="1" x14ac:dyDescent="0.6">
      <c r="D511" s="126"/>
      <c r="E511" s="126"/>
    </row>
    <row r="512" spans="4:5" ht="14.25" customHeight="1" x14ac:dyDescent="0.6">
      <c r="D512" s="126"/>
      <c r="E512" s="126"/>
    </row>
    <row r="513" spans="4:5" ht="14.25" customHeight="1" x14ac:dyDescent="0.6">
      <c r="D513" s="126"/>
      <c r="E513" s="126"/>
    </row>
    <row r="514" spans="4:5" ht="14.25" customHeight="1" x14ac:dyDescent="0.6">
      <c r="D514" s="126"/>
      <c r="E514" s="126"/>
    </row>
    <row r="515" spans="4:5" ht="14.25" customHeight="1" x14ac:dyDescent="0.6">
      <c r="D515" s="126"/>
      <c r="E515" s="126"/>
    </row>
    <row r="516" spans="4:5" ht="14.25" customHeight="1" x14ac:dyDescent="0.6">
      <c r="D516" s="126"/>
      <c r="E516" s="126"/>
    </row>
    <row r="517" spans="4:5" ht="14.25" customHeight="1" x14ac:dyDescent="0.6">
      <c r="D517" s="126"/>
      <c r="E517" s="126"/>
    </row>
    <row r="518" spans="4:5" ht="14.25" customHeight="1" x14ac:dyDescent="0.6">
      <c r="D518" s="126"/>
      <c r="E518" s="126"/>
    </row>
    <row r="519" spans="4:5" ht="14.25" customHeight="1" x14ac:dyDescent="0.6">
      <c r="D519" s="126"/>
      <c r="E519" s="126"/>
    </row>
    <row r="520" spans="4:5" ht="14.25" customHeight="1" x14ac:dyDescent="0.6">
      <c r="D520" s="126"/>
      <c r="E520" s="126"/>
    </row>
    <row r="521" spans="4:5" ht="14.25" customHeight="1" x14ac:dyDescent="0.6">
      <c r="D521" s="126"/>
      <c r="E521" s="126"/>
    </row>
    <row r="522" spans="4:5" ht="14.25" customHeight="1" x14ac:dyDescent="0.6">
      <c r="D522" s="126"/>
      <c r="E522" s="126"/>
    </row>
    <row r="523" spans="4:5" ht="14.25" customHeight="1" x14ac:dyDescent="0.6">
      <c r="D523" s="126"/>
      <c r="E523" s="126"/>
    </row>
    <row r="524" spans="4:5" ht="14.25" customHeight="1" x14ac:dyDescent="0.6">
      <c r="D524" s="126"/>
      <c r="E524" s="126"/>
    </row>
    <row r="525" spans="4:5" ht="14.25" customHeight="1" x14ac:dyDescent="0.6">
      <c r="D525" s="126"/>
      <c r="E525" s="126"/>
    </row>
    <row r="526" spans="4:5" ht="14.25" customHeight="1" x14ac:dyDescent="0.6">
      <c r="D526" s="126"/>
      <c r="E526" s="126"/>
    </row>
    <row r="527" spans="4:5" ht="14.25" customHeight="1" x14ac:dyDescent="0.6">
      <c r="D527" s="126"/>
      <c r="E527" s="126"/>
    </row>
    <row r="528" spans="4:5" ht="14.25" customHeight="1" x14ac:dyDescent="0.6">
      <c r="D528" s="126"/>
      <c r="E528" s="126"/>
    </row>
    <row r="529" spans="4:5" ht="14.25" customHeight="1" x14ac:dyDescent="0.6">
      <c r="D529" s="126"/>
      <c r="E529" s="126"/>
    </row>
    <row r="530" spans="4:5" ht="14.25" customHeight="1" x14ac:dyDescent="0.6">
      <c r="D530" s="126"/>
      <c r="E530" s="126"/>
    </row>
    <row r="531" spans="4:5" ht="14.25" customHeight="1" x14ac:dyDescent="0.6">
      <c r="D531" s="126"/>
      <c r="E531" s="126"/>
    </row>
    <row r="532" spans="4:5" ht="14.25" customHeight="1" x14ac:dyDescent="0.6">
      <c r="D532" s="126"/>
      <c r="E532" s="126"/>
    </row>
    <row r="533" spans="4:5" ht="14.25" customHeight="1" x14ac:dyDescent="0.6">
      <c r="D533" s="126"/>
      <c r="E533" s="126"/>
    </row>
    <row r="534" spans="4:5" ht="14.25" customHeight="1" x14ac:dyDescent="0.6">
      <c r="D534" s="126"/>
      <c r="E534" s="126"/>
    </row>
    <row r="535" spans="4:5" ht="14.25" customHeight="1" x14ac:dyDescent="0.6">
      <c r="D535" s="126"/>
      <c r="E535" s="126"/>
    </row>
    <row r="536" spans="4:5" ht="14.25" customHeight="1" x14ac:dyDescent="0.6">
      <c r="D536" s="126"/>
      <c r="E536" s="126"/>
    </row>
    <row r="537" spans="4:5" ht="14.25" customHeight="1" x14ac:dyDescent="0.6">
      <c r="D537" s="126"/>
      <c r="E537" s="126"/>
    </row>
    <row r="538" spans="4:5" ht="14.25" customHeight="1" x14ac:dyDescent="0.6">
      <c r="D538" s="126"/>
      <c r="E538" s="126"/>
    </row>
    <row r="539" spans="4:5" ht="14.25" customHeight="1" x14ac:dyDescent="0.6">
      <c r="D539" s="126"/>
      <c r="E539" s="126"/>
    </row>
    <row r="540" spans="4:5" ht="14.25" customHeight="1" x14ac:dyDescent="0.6">
      <c r="D540" s="126"/>
      <c r="E540" s="126"/>
    </row>
    <row r="541" spans="4:5" ht="14.25" customHeight="1" x14ac:dyDescent="0.6">
      <c r="D541" s="126"/>
      <c r="E541" s="126"/>
    </row>
    <row r="542" spans="4:5" ht="14.25" customHeight="1" x14ac:dyDescent="0.6">
      <c r="D542" s="126"/>
      <c r="E542" s="126"/>
    </row>
    <row r="543" spans="4:5" ht="14.25" customHeight="1" x14ac:dyDescent="0.6">
      <c r="D543" s="126"/>
      <c r="E543" s="126"/>
    </row>
    <row r="544" spans="4:5" ht="14.25" customHeight="1" x14ac:dyDescent="0.6">
      <c r="D544" s="126"/>
      <c r="E544" s="126"/>
    </row>
    <row r="545" spans="4:5" ht="14.25" customHeight="1" x14ac:dyDescent="0.6">
      <c r="D545" s="126"/>
      <c r="E545" s="126"/>
    </row>
    <row r="546" spans="4:5" ht="14.25" customHeight="1" x14ac:dyDescent="0.6">
      <c r="D546" s="126"/>
      <c r="E546" s="126"/>
    </row>
    <row r="547" spans="4:5" ht="14.25" customHeight="1" x14ac:dyDescent="0.6">
      <c r="D547" s="126"/>
      <c r="E547" s="126"/>
    </row>
    <row r="548" spans="4:5" ht="14.25" customHeight="1" x14ac:dyDescent="0.6">
      <c r="D548" s="126"/>
      <c r="E548" s="126"/>
    </row>
    <row r="549" spans="4:5" ht="14.25" customHeight="1" x14ac:dyDescent="0.6">
      <c r="D549" s="126"/>
      <c r="E549" s="126"/>
    </row>
    <row r="550" spans="4:5" ht="14.25" customHeight="1" x14ac:dyDescent="0.6">
      <c r="D550" s="126"/>
      <c r="E550" s="126"/>
    </row>
    <row r="551" spans="4:5" ht="14.25" customHeight="1" x14ac:dyDescent="0.6">
      <c r="D551" s="126"/>
      <c r="E551" s="126"/>
    </row>
    <row r="552" spans="4:5" ht="14.25" customHeight="1" x14ac:dyDescent="0.6">
      <c r="D552" s="126"/>
      <c r="E552" s="126"/>
    </row>
    <row r="553" spans="4:5" ht="14.25" customHeight="1" x14ac:dyDescent="0.6">
      <c r="D553" s="126"/>
      <c r="E553" s="126"/>
    </row>
    <row r="554" spans="4:5" ht="14.25" customHeight="1" x14ac:dyDescent="0.6">
      <c r="D554" s="126"/>
      <c r="E554" s="126"/>
    </row>
    <row r="555" spans="4:5" ht="14.25" customHeight="1" x14ac:dyDescent="0.6">
      <c r="D555" s="126"/>
      <c r="E555" s="126"/>
    </row>
    <row r="556" spans="4:5" ht="14.25" customHeight="1" x14ac:dyDescent="0.6">
      <c r="D556" s="126"/>
      <c r="E556" s="126"/>
    </row>
    <row r="557" spans="4:5" ht="14.25" customHeight="1" x14ac:dyDescent="0.6">
      <c r="D557" s="126"/>
      <c r="E557" s="126"/>
    </row>
    <row r="558" spans="4:5" ht="14.25" customHeight="1" x14ac:dyDescent="0.6">
      <c r="D558" s="126"/>
      <c r="E558" s="126"/>
    </row>
    <row r="559" spans="4:5" ht="14.25" customHeight="1" x14ac:dyDescent="0.6">
      <c r="D559" s="126"/>
      <c r="E559" s="126"/>
    </row>
    <row r="560" spans="4:5" ht="14.25" customHeight="1" x14ac:dyDescent="0.6">
      <c r="D560" s="126"/>
      <c r="E560" s="126"/>
    </row>
    <row r="561" spans="4:5" ht="14.25" customHeight="1" x14ac:dyDescent="0.6">
      <c r="D561" s="126"/>
      <c r="E561" s="126"/>
    </row>
    <row r="562" spans="4:5" ht="14.25" customHeight="1" x14ac:dyDescent="0.6">
      <c r="D562" s="126"/>
      <c r="E562" s="126"/>
    </row>
    <row r="563" spans="4:5" ht="14.25" customHeight="1" x14ac:dyDescent="0.6">
      <c r="D563" s="126"/>
      <c r="E563" s="126"/>
    </row>
    <row r="564" spans="4:5" ht="14.25" customHeight="1" x14ac:dyDescent="0.6">
      <c r="D564" s="126"/>
      <c r="E564" s="126"/>
    </row>
    <row r="565" spans="4:5" ht="14.25" customHeight="1" x14ac:dyDescent="0.6">
      <c r="D565" s="126"/>
      <c r="E565" s="126"/>
    </row>
    <row r="566" spans="4:5" ht="14.25" customHeight="1" x14ac:dyDescent="0.6">
      <c r="D566" s="126"/>
      <c r="E566" s="126"/>
    </row>
    <row r="567" spans="4:5" ht="14.25" customHeight="1" x14ac:dyDescent="0.6">
      <c r="D567" s="126"/>
      <c r="E567" s="126"/>
    </row>
    <row r="568" spans="4:5" ht="14.25" customHeight="1" x14ac:dyDescent="0.6">
      <c r="D568" s="126"/>
      <c r="E568" s="126"/>
    </row>
    <row r="569" spans="4:5" ht="14.25" customHeight="1" x14ac:dyDescent="0.6">
      <c r="D569" s="126"/>
      <c r="E569" s="126"/>
    </row>
    <row r="570" spans="4:5" ht="14.25" customHeight="1" x14ac:dyDescent="0.6">
      <c r="D570" s="126"/>
      <c r="E570" s="126"/>
    </row>
    <row r="571" spans="4:5" ht="14.25" customHeight="1" x14ac:dyDescent="0.6">
      <c r="D571" s="126"/>
      <c r="E571" s="126"/>
    </row>
    <row r="572" spans="4:5" ht="14.25" customHeight="1" x14ac:dyDescent="0.6">
      <c r="D572" s="126"/>
      <c r="E572" s="126"/>
    </row>
    <row r="573" spans="4:5" ht="14.25" customHeight="1" x14ac:dyDescent="0.6">
      <c r="D573" s="126"/>
      <c r="E573" s="126"/>
    </row>
    <row r="574" spans="4:5" ht="14.25" customHeight="1" x14ac:dyDescent="0.6">
      <c r="D574" s="126"/>
      <c r="E574" s="126"/>
    </row>
    <row r="575" spans="4:5" ht="14.25" customHeight="1" x14ac:dyDescent="0.6">
      <c r="D575" s="126"/>
      <c r="E575" s="126"/>
    </row>
    <row r="576" spans="4:5" ht="14.25" customHeight="1" x14ac:dyDescent="0.6">
      <c r="D576" s="126"/>
      <c r="E576" s="126"/>
    </row>
    <row r="577" spans="4:5" ht="14.25" customHeight="1" x14ac:dyDescent="0.6">
      <c r="D577" s="126"/>
      <c r="E577" s="126"/>
    </row>
    <row r="578" spans="4:5" ht="14.25" customHeight="1" x14ac:dyDescent="0.6">
      <c r="D578" s="126"/>
      <c r="E578" s="126"/>
    </row>
    <row r="579" spans="4:5" ht="14.25" customHeight="1" x14ac:dyDescent="0.6">
      <c r="D579" s="126"/>
      <c r="E579" s="126"/>
    </row>
    <row r="580" spans="4:5" ht="14.25" customHeight="1" x14ac:dyDescent="0.6">
      <c r="D580" s="126"/>
      <c r="E580" s="126"/>
    </row>
    <row r="581" spans="4:5" ht="14.25" customHeight="1" x14ac:dyDescent="0.6">
      <c r="D581" s="126"/>
      <c r="E581" s="126"/>
    </row>
    <row r="582" spans="4:5" ht="14.25" customHeight="1" x14ac:dyDescent="0.6">
      <c r="D582" s="126"/>
      <c r="E582" s="126"/>
    </row>
    <row r="583" spans="4:5" ht="14.25" customHeight="1" x14ac:dyDescent="0.6">
      <c r="D583" s="126"/>
      <c r="E583" s="126"/>
    </row>
    <row r="584" spans="4:5" ht="14.25" customHeight="1" x14ac:dyDescent="0.6">
      <c r="D584" s="126"/>
      <c r="E584" s="126"/>
    </row>
    <row r="585" spans="4:5" ht="14.25" customHeight="1" x14ac:dyDescent="0.6">
      <c r="D585" s="126"/>
      <c r="E585" s="126"/>
    </row>
    <row r="586" spans="4:5" ht="14.25" customHeight="1" x14ac:dyDescent="0.6">
      <c r="D586" s="126"/>
      <c r="E586" s="126"/>
    </row>
    <row r="587" spans="4:5" ht="14.25" customHeight="1" x14ac:dyDescent="0.6">
      <c r="D587" s="126"/>
      <c r="E587" s="126"/>
    </row>
    <row r="588" spans="4:5" ht="14.25" customHeight="1" x14ac:dyDescent="0.6">
      <c r="D588" s="126"/>
      <c r="E588" s="126"/>
    </row>
    <row r="589" spans="4:5" ht="14.25" customHeight="1" x14ac:dyDescent="0.6">
      <c r="D589" s="126"/>
      <c r="E589" s="126"/>
    </row>
    <row r="590" spans="4:5" ht="14.25" customHeight="1" x14ac:dyDescent="0.6">
      <c r="D590" s="126"/>
      <c r="E590" s="126"/>
    </row>
    <row r="591" spans="4:5" ht="14.25" customHeight="1" x14ac:dyDescent="0.6">
      <c r="D591" s="126"/>
      <c r="E591" s="126"/>
    </row>
    <row r="592" spans="4:5" ht="14.25" customHeight="1" x14ac:dyDescent="0.6">
      <c r="D592" s="126"/>
      <c r="E592" s="126"/>
    </row>
    <row r="593" spans="4:5" ht="14.25" customHeight="1" x14ac:dyDescent="0.6">
      <c r="D593" s="126"/>
      <c r="E593" s="126"/>
    </row>
    <row r="594" spans="4:5" ht="14.25" customHeight="1" x14ac:dyDescent="0.6">
      <c r="D594" s="126"/>
      <c r="E594" s="126"/>
    </row>
    <row r="595" spans="4:5" ht="14.25" customHeight="1" x14ac:dyDescent="0.6">
      <c r="D595" s="126"/>
      <c r="E595" s="126"/>
    </row>
    <row r="596" spans="4:5" ht="14.25" customHeight="1" x14ac:dyDescent="0.6">
      <c r="D596" s="126"/>
      <c r="E596" s="126"/>
    </row>
    <row r="597" spans="4:5" ht="14.25" customHeight="1" x14ac:dyDescent="0.6">
      <c r="D597" s="126"/>
      <c r="E597" s="126"/>
    </row>
    <row r="598" spans="4:5" ht="14.25" customHeight="1" x14ac:dyDescent="0.6">
      <c r="D598" s="126"/>
      <c r="E598" s="126"/>
    </row>
    <row r="599" spans="4:5" ht="14.25" customHeight="1" x14ac:dyDescent="0.6">
      <c r="D599" s="126"/>
      <c r="E599" s="126"/>
    </row>
    <row r="600" spans="4:5" ht="14.25" customHeight="1" x14ac:dyDescent="0.6">
      <c r="D600" s="126"/>
      <c r="E600" s="126"/>
    </row>
    <row r="601" spans="4:5" ht="14.25" customHeight="1" x14ac:dyDescent="0.6">
      <c r="D601" s="126"/>
      <c r="E601" s="126"/>
    </row>
    <row r="602" spans="4:5" ht="14.25" customHeight="1" x14ac:dyDescent="0.6">
      <c r="D602" s="126"/>
      <c r="E602" s="126"/>
    </row>
    <row r="603" spans="4:5" ht="14.25" customHeight="1" x14ac:dyDescent="0.6">
      <c r="D603" s="126"/>
      <c r="E603" s="126"/>
    </row>
    <row r="604" spans="4:5" ht="14.25" customHeight="1" x14ac:dyDescent="0.6">
      <c r="D604" s="126"/>
      <c r="E604" s="126"/>
    </row>
    <row r="605" spans="4:5" ht="14.25" customHeight="1" x14ac:dyDescent="0.6">
      <c r="D605" s="126"/>
      <c r="E605" s="126"/>
    </row>
    <row r="606" spans="4:5" ht="14.25" customHeight="1" x14ac:dyDescent="0.6">
      <c r="D606" s="126"/>
      <c r="E606" s="126"/>
    </row>
    <row r="607" spans="4:5" ht="14.25" customHeight="1" x14ac:dyDescent="0.6">
      <c r="D607" s="126"/>
      <c r="E607" s="126"/>
    </row>
    <row r="608" spans="4:5" ht="14.25" customHeight="1" x14ac:dyDescent="0.6">
      <c r="D608" s="126"/>
      <c r="E608" s="126"/>
    </row>
    <row r="609" spans="4:5" ht="14.25" customHeight="1" x14ac:dyDescent="0.6">
      <c r="D609" s="126"/>
      <c r="E609" s="126"/>
    </row>
    <row r="610" spans="4:5" ht="14.25" customHeight="1" x14ac:dyDescent="0.6">
      <c r="D610" s="126"/>
      <c r="E610" s="126"/>
    </row>
    <row r="611" spans="4:5" ht="14.25" customHeight="1" x14ac:dyDescent="0.6">
      <c r="D611" s="126"/>
      <c r="E611" s="126"/>
    </row>
    <row r="612" spans="4:5" ht="14.25" customHeight="1" x14ac:dyDescent="0.6">
      <c r="D612" s="126"/>
      <c r="E612" s="126"/>
    </row>
    <row r="613" spans="4:5" ht="14.25" customHeight="1" x14ac:dyDescent="0.6">
      <c r="D613" s="126"/>
      <c r="E613" s="126"/>
    </row>
    <row r="614" spans="4:5" ht="14.25" customHeight="1" x14ac:dyDescent="0.6">
      <c r="D614" s="126"/>
      <c r="E614" s="126"/>
    </row>
    <row r="615" spans="4:5" ht="14.25" customHeight="1" x14ac:dyDescent="0.6">
      <c r="D615" s="126"/>
      <c r="E615" s="126"/>
    </row>
    <row r="616" spans="4:5" ht="14.25" customHeight="1" x14ac:dyDescent="0.6">
      <c r="D616" s="126"/>
      <c r="E616" s="126"/>
    </row>
    <row r="617" spans="4:5" ht="14.25" customHeight="1" x14ac:dyDescent="0.6">
      <c r="D617" s="126"/>
      <c r="E617" s="126"/>
    </row>
    <row r="618" spans="4:5" ht="14.25" customHeight="1" x14ac:dyDescent="0.6">
      <c r="D618" s="126"/>
      <c r="E618" s="126"/>
    </row>
    <row r="619" spans="4:5" ht="14.25" customHeight="1" x14ac:dyDescent="0.6">
      <c r="D619" s="126"/>
      <c r="E619" s="126"/>
    </row>
    <row r="620" spans="4:5" ht="14.25" customHeight="1" x14ac:dyDescent="0.6">
      <c r="D620" s="126"/>
      <c r="E620" s="126"/>
    </row>
    <row r="621" spans="4:5" ht="14.25" customHeight="1" x14ac:dyDescent="0.6">
      <c r="D621" s="126"/>
      <c r="E621" s="126"/>
    </row>
    <row r="622" spans="4:5" ht="14.25" customHeight="1" x14ac:dyDescent="0.6">
      <c r="D622" s="126"/>
      <c r="E622" s="126"/>
    </row>
    <row r="623" spans="4:5" ht="14.25" customHeight="1" x14ac:dyDescent="0.6">
      <c r="D623" s="126"/>
      <c r="E623" s="126"/>
    </row>
    <row r="624" spans="4:5" ht="14.25" customHeight="1" x14ac:dyDescent="0.6">
      <c r="D624" s="126"/>
      <c r="E624" s="126"/>
    </row>
    <row r="625" spans="4:5" ht="14.25" customHeight="1" x14ac:dyDescent="0.6">
      <c r="D625" s="126"/>
      <c r="E625" s="126"/>
    </row>
    <row r="626" spans="4:5" ht="14.25" customHeight="1" x14ac:dyDescent="0.6">
      <c r="D626" s="126"/>
      <c r="E626" s="126"/>
    </row>
    <row r="627" spans="4:5" ht="14.25" customHeight="1" x14ac:dyDescent="0.6">
      <c r="D627" s="126"/>
      <c r="E627" s="126"/>
    </row>
    <row r="628" spans="4:5" ht="14.25" customHeight="1" x14ac:dyDescent="0.6">
      <c r="D628" s="126"/>
      <c r="E628" s="126"/>
    </row>
    <row r="629" spans="4:5" ht="14.25" customHeight="1" x14ac:dyDescent="0.6">
      <c r="D629" s="126"/>
      <c r="E629" s="126"/>
    </row>
    <row r="630" spans="4:5" ht="14.25" customHeight="1" x14ac:dyDescent="0.6">
      <c r="D630" s="126"/>
      <c r="E630" s="126"/>
    </row>
    <row r="631" spans="4:5" ht="14.25" customHeight="1" x14ac:dyDescent="0.6">
      <c r="D631" s="126"/>
      <c r="E631" s="126"/>
    </row>
    <row r="632" spans="4:5" ht="14.25" customHeight="1" x14ac:dyDescent="0.6">
      <c r="D632" s="126"/>
      <c r="E632" s="126"/>
    </row>
    <row r="633" spans="4:5" ht="14.25" customHeight="1" x14ac:dyDescent="0.6">
      <c r="D633" s="126"/>
      <c r="E633" s="126"/>
    </row>
    <row r="634" spans="4:5" ht="14.25" customHeight="1" x14ac:dyDescent="0.6">
      <c r="D634" s="126"/>
      <c r="E634" s="126"/>
    </row>
    <row r="635" spans="4:5" ht="14.25" customHeight="1" x14ac:dyDescent="0.6">
      <c r="D635" s="126"/>
      <c r="E635" s="126"/>
    </row>
    <row r="636" spans="4:5" ht="14.25" customHeight="1" x14ac:dyDescent="0.6">
      <c r="D636" s="126"/>
      <c r="E636" s="126"/>
    </row>
    <row r="637" spans="4:5" ht="14.25" customHeight="1" x14ac:dyDescent="0.6">
      <c r="D637" s="126"/>
      <c r="E637" s="126"/>
    </row>
    <row r="638" spans="4:5" ht="14.25" customHeight="1" x14ac:dyDescent="0.6">
      <c r="D638" s="126"/>
      <c r="E638" s="126"/>
    </row>
    <row r="639" spans="4:5" ht="14.25" customHeight="1" x14ac:dyDescent="0.6">
      <c r="D639" s="126"/>
      <c r="E639" s="126"/>
    </row>
    <row r="640" spans="4:5" ht="14.25" customHeight="1" x14ac:dyDescent="0.6">
      <c r="D640" s="126"/>
      <c r="E640" s="126"/>
    </row>
    <row r="641" spans="4:5" ht="14.25" customHeight="1" x14ac:dyDescent="0.6">
      <c r="D641" s="126"/>
      <c r="E641" s="126"/>
    </row>
    <row r="642" spans="4:5" ht="14.25" customHeight="1" x14ac:dyDescent="0.6">
      <c r="D642" s="126"/>
      <c r="E642" s="126"/>
    </row>
    <row r="643" spans="4:5" ht="14.25" customHeight="1" x14ac:dyDescent="0.6">
      <c r="D643" s="126"/>
      <c r="E643" s="126"/>
    </row>
    <row r="644" spans="4:5" ht="14.25" customHeight="1" x14ac:dyDescent="0.6">
      <c r="D644" s="126"/>
      <c r="E644" s="126"/>
    </row>
    <row r="645" spans="4:5" ht="14.25" customHeight="1" x14ac:dyDescent="0.6">
      <c r="D645" s="126"/>
      <c r="E645" s="126"/>
    </row>
    <row r="646" spans="4:5" ht="14.25" customHeight="1" x14ac:dyDescent="0.6">
      <c r="D646" s="126"/>
      <c r="E646" s="126"/>
    </row>
    <row r="647" spans="4:5" ht="14.25" customHeight="1" x14ac:dyDescent="0.6">
      <c r="D647" s="126"/>
      <c r="E647" s="126"/>
    </row>
    <row r="648" spans="4:5" ht="14.25" customHeight="1" x14ac:dyDescent="0.6">
      <c r="D648" s="126"/>
      <c r="E648" s="126"/>
    </row>
    <row r="649" spans="4:5" ht="14.25" customHeight="1" x14ac:dyDescent="0.6">
      <c r="D649" s="126"/>
      <c r="E649" s="126"/>
    </row>
    <row r="650" spans="4:5" ht="14.25" customHeight="1" x14ac:dyDescent="0.6">
      <c r="D650" s="126"/>
      <c r="E650" s="126"/>
    </row>
    <row r="651" spans="4:5" ht="14.25" customHeight="1" x14ac:dyDescent="0.6">
      <c r="D651" s="126"/>
      <c r="E651" s="126"/>
    </row>
    <row r="652" spans="4:5" ht="14.25" customHeight="1" x14ac:dyDescent="0.6">
      <c r="D652" s="126"/>
      <c r="E652" s="126"/>
    </row>
    <row r="653" spans="4:5" ht="14.25" customHeight="1" x14ac:dyDescent="0.6">
      <c r="D653" s="126"/>
      <c r="E653" s="126"/>
    </row>
    <row r="654" spans="4:5" ht="14.25" customHeight="1" x14ac:dyDescent="0.6">
      <c r="D654" s="126"/>
      <c r="E654" s="126"/>
    </row>
    <row r="655" spans="4:5" ht="14.25" customHeight="1" x14ac:dyDescent="0.6">
      <c r="D655" s="126"/>
      <c r="E655" s="126"/>
    </row>
    <row r="656" spans="4:5" ht="14.25" customHeight="1" x14ac:dyDescent="0.6">
      <c r="D656" s="126"/>
      <c r="E656" s="126"/>
    </row>
    <row r="657" spans="4:5" ht="14.25" customHeight="1" x14ac:dyDescent="0.6">
      <c r="D657" s="126"/>
      <c r="E657" s="126"/>
    </row>
    <row r="658" spans="4:5" ht="14.25" customHeight="1" x14ac:dyDescent="0.6">
      <c r="D658" s="126"/>
      <c r="E658" s="126"/>
    </row>
    <row r="659" spans="4:5" ht="14.25" customHeight="1" x14ac:dyDescent="0.6">
      <c r="D659" s="126"/>
      <c r="E659" s="126"/>
    </row>
    <row r="660" spans="4:5" ht="14.25" customHeight="1" x14ac:dyDescent="0.6">
      <c r="D660" s="126"/>
      <c r="E660" s="126"/>
    </row>
    <row r="661" spans="4:5" ht="14.25" customHeight="1" x14ac:dyDescent="0.6">
      <c r="D661" s="126"/>
      <c r="E661" s="126"/>
    </row>
    <row r="662" spans="4:5" ht="14.25" customHeight="1" x14ac:dyDescent="0.6">
      <c r="D662" s="126"/>
      <c r="E662" s="126"/>
    </row>
    <row r="663" spans="4:5" ht="14.25" customHeight="1" x14ac:dyDescent="0.6">
      <c r="D663" s="126"/>
      <c r="E663" s="126"/>
    </row>
    <row r="664" spans="4:5" ht="14.25" customHeight="1" x14ac:dyDescent="0.6">
      <c r="D664" s="126"/>
      <c r="E664" s="126"/>
    </row>
    <row r="665" spans="4:5" ht="14.25" customHeight="1" x14ac:dyDescent="0.6">
      <c r="D665" s="126"/>
      <c r="E665" s="126"/>
    </row>
    <row r="666" spans="4:5" ht="14.25" customHeight="1" x14ac:dyDescent="0.6">
      <c r="D666" s="126"/>
      <c r="E666" s="126"/>
    </row>
    <row r="667" spans="4:5" ht="14.25" customHeight="1" x14ac:dyDescent="0.6">
      <c r="D667" s="126"/>
      <c r="E667" s="126"/>
    </row>
    <row r="668" spans="4:5" ht="14.25" customHeight="1" x14ac:dyDescent="0.6">
      <c r="D668" s="126"/>
      <c r="E668" s="126"/>
    </row>
    <row r="669" spans="4:5" ht="14.25" customHeight="1" x14ac:dyDescent="0.6">
      <c r="D669" s="126"/>
      <c r="E669" s="126"/>
    </row>
    <row r="670" spans="4:5" ht="14.25" customHeight="1" x14ac:dyDescent="0.6">
      <c r="D670" s="126"/>
      <c r="E670" s="126"/>
    </row>
    <row r="671" spans="4:5" ht="14.25" customHeight="1" x14ac:dyDescent="0.6">
      <c r="D671" s="126"/>
      <c r="E671" s="126"/>
    </row>
    <row r="672" spans="4:5" ht="14.25" customHeight="1" x14ac:dyDescent="0.6">
      <c r="D672" s="126"/>
      <c r="E672" s="126"/>
    </row>
    <row r="673" spans="4:5" ht="14.25" customHeight="1" x14ac:dyDescent="0.6">
      <c r="D673" s="126"/>
      <c r="E673" s="126"/>
    </row>
    <row r="674" spans="4:5" ht="14.25" customHeight="1" x14ac:dyDescent="0.6">
      <c r="D674" s="126"/>
      <c r="E674" s="126"/>
    </row>
    <row r="675" spans="4:5" ht="14.25" customHeight="1" x14ac:dyDescent="0.6">
      <c r="D675" s="126"/>
      <c r="E675" s="126"/>
    </row>
    <row r="676" spans="4:5" ht="14.25" customHeight="1" x14ac:dyDescent="0.6">
      <c r="D676" s="126"/>
      <c r="E676" s="126"/>
    </row>
    <row r="677" spans="4:5" ht="14.25" customHeight="1" x14ac:dyDescent="0.6">
      <c r="D677" s="126"/>
      <c r="E677" s="126"/>
    </row>
    <row r="678" spans="4:5" ht="14.25" customHeight="1" x14ac:dyDescent="0.6">
      <c r="D678" s="126"/>
      <c r="E678" s="126"/>
    </row>
    <row r="679" spans="4:5" ht="14.25" customHeight="1" x14ac:dyDescent="0.6">
      <c r="D679" s="126"/>
      <c r="E679" s="126"/>
    </row>
    <row r="680" spans="4:5" ht="14.25" customHeight="1" x14ac:dyDescent="0.6">
      <c r="D680" s="126"/>
      <c r="E680" s="126"/>
    </row>
    <row r="681" spans="4:5" ht="14.25" customHeight="1" x14ac:dyDescent="0.6">
      <c r="D681" s="126"/>
      <c r="E681" s="126"/>
    </row>
    <row r="682" spans="4:5" ht="14.25" customHeight="1" x14ac:dyDescent="0.6">
      <c r="D682" s="126"/>
      <c r="E682" s="126"/>
    </row>
    <row r="683" spans="4:5" ht="14.25" customHeight="1" x14ac:dyDescent="0.6">
      <c r="D683" s="126"/>
      <c r="E683" s="126"/>
    </row>
    <row r="684" spans="4:5" ht="14.25" customHeight="1" x14ac:dyDescent="0.6">
      <c r="D684" s="126"/>
      <c r="E684" s="126"/>
    </row>
    <row r="685" spans="4:5" ht="14.25" customHeight="1" x14ac:dyDescent="0.6">
      <c r="D685" s="126"/>
      <c r="E685" s="126"/>
    </row>
    <row r="686" spans="4:5" ht="14.25" customHeight="1" x14ac:dyDescent="0.6">
      <c r="D686" s="126"/>
      <c r="E686" s="126"/>
    </row>
    <row r="687" spans="4:5" ht="14.25" customHeight="1" x14ac:dyDescent="0.6">
      <c r="D687" s="126"/>
      <c r="E687" s="126"/>
    </row>
    <row r="688" spans="4:5" ht="14.25" customHeight="1" x14ac:dyDescent="0.6">
      <c r="D688" s="126"/>
      <c r="E688" s="126"/>
    </row>
    <row r="689" spans="4:5" ht="14.25" customHeight="1" x14ac:dyDescent="0.6">
      <c r="D689" s="126"/>
      <c r="E689" s="126"/>
    </row>
    <row r="690" spans="4:5" ht="14.25" customHeight="1" x14ac:dyDescent="0.6">
      <c r="D690" s="126"/>
      <c r="E690" s="126"/>
    </row>
    <row r="691" spans="4:5" ht="14.25" customHeight="1" x14ac:dyDescent="0.6">
      <c r="D691" s="126"/>
      <c r="E691" s="126"/>
    </row>
    <row r="692" spans="4:5" ht="14.25" customHeight="1" x14ac:dyDescent="0.6">
      <c r="D692" s="126"/>
      <c r="E692" s="126"/>
    </row>
    <row r="693" spans="4:5" ht="14.25" customHeight="1" x14ac:dyDescent="0.6">
      <c r="D693" s="126"/>
      <c r="E693" s="126"/>
    </row>
    <row r="694" spans="4:5" ht="14.25" customHeight="1" x14ac:dyDescent="0.6">
      <c r="D694" s="126"/>
      <c r="E694" s="126"/>
    </row>
    <row r="695" spans="4:5" ht="14.25" customHeight="1" x14ac:dyDescent="0.6">
      <c r="D695" s="126"/>
      <c r="E695" s="126"/>
    </row>
    <row r="696" spans="4:5" ht="14.25" customHeight="1" x14ac:dyDescent="0.6">
      <c r="D696" s="126"/>
      <c r="E696" s="126"/>
    </row>
    <row r="697" spans="4:5" ht="14.25" customHeight="1" x14ac:dyDescent="0.6">
      <c r="D697" s="126"/>
      <c r="E697" s="126"/>
    </row>
    <row r="698" spans="4:5" ht="14.25" customHeight="1" x14ac:dyDescent="0.6">
      <c r="D698" s="126"/>
      <c r="E698" s="126"/>
    </row>
    <row r="699" spans="4:5" ht="14.25" customHeight="1" x14ac:dyDescent="0.6">
      <c r="D699" s="126"/>
      <c r="E699" s="126"/>
    </row>
    <row r="700" spans="4:5" ht="14.25" customHeight="1" x14ac:dyDescent="0.6">
      <c r="D700" s="126"/>
      <c r="E700" s="126"/>
    </row>
    <row r="701" spans="4:5" ht="14.25" customHeight="1" x14ac:dyDescent="0.6">
      <c r="D701" s="126"/>
      <c r="E701" s="126"/>
    </row>
    <row r="702" spans="4:5" ht="14.25" customHeight="1" x14ac:dyDescent="0.6">
      <c r="D702" s="126"/>
      <c r="E702" s="126"/>
    </row>
    <row r="703" spans="4:5" ht="14.25" customHeight="1" x14ac:dyDescent="0.6">
      <c r="D703" s="126"/>
      <c r="E703" s="126"/>
    </row>
    <row r="704" spans="4:5" ht="14.25" customHeight="1" x14ac:dyDescent="0.6">
      <c r="D704" s="126"/>
      <c r="E704" s="126"/>
    </row>
    <row r="705" spans="4:5" ht="14.25" customHeight="1" x14ac:dyDescent="0.6">
      <c r="D705" s="126"/>
      <c r="E705" s="126"/>
    </row>
    <row r="706" spans="4:5" ht="14.25" customHeight="1" x14ac:dyDescent="0.6">
      <c r="D706" s="126"/>
      <c r="E706" s="126"/>
    </row>
    <row r="707" spans="4:5" ht="14.25" customHeight="1" x14ac:dyDescent="0.6">
      <c r="D707" s="126"/>
      <c r="E707" s="126"/>
    </row>
    <row r="708" spans="4:5" ht="14.25" customHeight="1" x14ac:dyDescent="0.6">
      <c r="D708" s="126"/>
      <c r="E708" s="126"/>
    </row>
    <row r="709" spans="4:5" ht="14.25" customHeight="1" x14ac:dyDescent="0.6">
      <c r="D709" s="126"/>
      <c r="E709" s="126"/>
    </row>
    <row r="710" spans="4:5" ht="14.25" customHeight="1" x14ac:dyDescent="0.6">
      <c r="D710" s="126"/>
      <c r="E710" s="126"/>
    </row>
    <row r="711" spans="4:5" ht="14.25" customHeight="1" x14ac:dyDescent="0.6">
      <c r="D711" s="126"/>
      <c r="E711" s="126"/>
    </row>
    <row r="712" spans="4:5" ht="14.25" customHeight="1" x14ac:dyDescent="0.6">
      <c r="D712" s="126"/>
      <c r="E712" s="126"/>
    </row>
    <row r="713" spans="4:5" ht="14.25" customHeight="1" x14ac:dyDescent="0.6">
      <c r="D713" s="126"/>
      <c r="E713" s="126"/>
    </row>
    <row r="714" spans="4:5" ht="14.25" customHeight="1" x14ac:dyDescent="0.6">
      <c r="D714" s="126"/>
      <c r="E714" s="126"/>
    </row>
    <row r="715" spans="4:5" ht="14.25" customHeight="1" x14ac:dyDescent="0.6">
      <c r="D715" s="126"/>
      <c r="E715" s="126"/>
    </row>
    <row r="716" spans="4:5" ht="14.25" customHeight="1" x14ac:dyDescent="0.6">
      <c r="D716" s="126"/>
      <c r="E716" s="126"/>
    </row>
    <row r="717" spans="4:5" ht="14.25" customHeight="1" x14ac:dyDescent="0.6">
      <c r="D717" s="126"/>
      <c r="E717" s="126"/>
    </row>
    <row r="718" spans="4:5" ht="14.25" customHeight="1" x14ac:dyDescent="0.6">
      <c r="D718" s="126"/>
      <c r="E718" s="126"/>
    </row>
    <row r="719" spans="4:5" ht="14.25" customHeight="1" x14ac:dyDescent="0.6">
      <c r="D719" s="126"/>
      <c r="E719" s="126"/>
    </row>
    <row r="720" spans="4:5" ht="14.25" customHeight="1" x14ac:dyDescent="0.6">
      <c r="D720" s="126"/>
      <c r="E720" s="126"/>
    </row>
    <row r="721" spans="4:5" ht="14.25" customHeight="1" x14ac:dyDescent="0.6">
      <c r="D721" s="126"/>
      <c r="E721" s="126"/>
    </row>
    <row r="722" spans="4:5" ht="14.25" customHeight="1" x14ac:dyDescent="0.6">
      <c r="D722" s="126"/>
      <c r="E722" s="126"/>
    </row>
    <row r="723" spans="4:5" ht="14.25" customHeight="1" x14ac:dyDescent="0.6">
      <c r="D723" s="126"/>
      <c r="E723" s="126"/>
    </row>
    <row r="724" spans="4:5" ht="14.25" customHeight="1" x14ac:dyDescent="0.6">
      <c r="D724" s="126"/>
      <c r="E724" s="126"/>
    </row>
    <row r="725" spans="4:5" ht="14.25" customHeight="1" x14ac:dyDescent="0.6">
      <c r="D725" s="126"/>
      <c r="E725" s="126"/>
    </row>
    <row r="726" spans="4:5" ht="14.25" customHeight="1" x14ac:dyDescent="0.6">
      <c r="D726" s="126"/>
      <c r="E726" s="126"/>
    </row>
    <row r="727" spans="4:5" ht="14.25" customHeight="1" x14ac:dyDescent="0.6">
      <c r="D727" s="126"/>
      <c r="E727" s="126"/>
    </row>
    <row r="728" spans="4:5" ht="14.25" customHeight="1" x14ac:dyDescent="0.6">
      <c r="D728" s="126"/>
      <c r="E728" s="126"/>
    </row>
    <row r="729" spans="4:5" ht="14.25" customHeight="1" x14ac:dyDescent="0.6">
      <c r="D729" s="126"/>
      <c r="E729" s="126"/>
    </row>
    <row r="730" spans="4:5" ht="14.25" customHeight="1" x14ac:dyDescent="0.6">
      <c r="D730" s="126"/>
      <c r="E730" s="126"/>
    </row>
    <row r="731" spans="4:5" ht="14.25" customHeight="1" x14ac:dyDescent="0.6">
      <c r="D731" s="126"/>
      <c r="E731" s="126"/>
    </row>
    <row r="732" spans="4:5" ht="14.25" customHeight="1" x14ac:dyDescent="0.6">
      <c r="D732" s="126"/>
      <c r="E732" s="126"/>
    </row>
    <row r="733" spans="4:5" ht="14.25" customHeight="1" x14ac:dyDescent="0.6">
      <c r="D733" s="126"/>
      <c r="E733" s="126"/>
    </row>
    <row r="734" spans="4:5" ht="14.25" customHeight="1" x14ac:dyDescent="0.6">
      <c r="D734" s="126"/>
      <c r="E734" s="126"/>
    </row>
    <row r="735" spans="4:5" ht="14.25" customHeight="1" x14ac:dyDescent="0.6">
      <c r="D735" s="126"/>
      <c r="E735" s="126"/>
    </row>
    <row r="736" spans="4:5" ht="14.25" customHeight="1" x14ac:dyDescent="0.6">
      <c r="D736" s="126"/>
      <c r="E736" s="126"/>
    </row>
    <row r="737" spans="4:5" ht="14.25" customHeight="1" x14ac:dyDescent="0.6">
      <c r="D737" s="126"/>
      <c r="E737" s="126"/>
    </row>
    <row r="738" spans="4:5" ht="14.25" customHeight="1" x14ac:dyDescent="0.6">
      <c r="D738" s="126"/>
      <c r="E738" s="126"/>
    </row>
    <row r="739" spans="4:5" ht="14.25" customHeight="1" x14ac:dyDescent="0.6">
      <c r="D739" s="126"/>
      <c r="E739" s="126"/>
    </row>
    <row r="740" spans="4:5" ht="14.25" customHeight="1" x14ac:dyDescent="0.6">
      <c r="D740" s="126"/>
      <c r="E740" s="126"/>
    </row>
    <row r="741" spans="4:5" ht="14.25" customHeight="1" x14ac:dyDescent="0.6">
      <c r="D741" s="126"/>
      <c r="E741" s="126"/>
    </row>
    <row r="742" spans="4:5" ht="14.25" customHeight="1" x14ac:dyDescent="0.6">
      <c r="D742" s="126"/>
      <c r="E742" s="126"/>
    </row>
    <row r="743" spans="4:5" ht="14.25" customHeight="1" x14ac:dyDescent="0.6">
      <c r="D743" s="126"/>
      <c r="E743" s="126"/>
    </row>
    <row r="744" spans="4:5" ht="14.25" customHeight="1" x14ac:dyDescent="0.6">
      <c r="D744" s="126"/>
      <c r="E744" s="126"/>
    </row>
    <row r="745" spans="4:5" ht="14.25" customHeight="1" x14ac:dyDescent="0.6">
      <c r="D745" s="126"/>
      <c r="E745" s="126"/>
    </row>
    <row r="746" spans="4:5" ht="14.25" customHeight="1" x14ac:dyDescent="0.6">
      <c r="D746" s="126"/>
      <c r="E746" s="126"/>
    </row>
    <row r="747" spans="4:5" ht="14.25" customHeight="1" x14ac:dyDescent="0.6">
      <c r="D747" s="126"/>
      <c r="E747" s="126"/>
    </row>
    <row r="748" spans="4:5" ht="14.25" customHeight="1" x14ac:dyDescent="0.6">
      <c r="D748" s="126"/>
      <c r="E748" s="126"/>
    </row>
    <row r="749" spans="4:5" ht="14.25" customHeight="1" x14ac:dyDescent="0.6">
      <c r="D749" s="126"/>
      <c r="E749" s="126"/>
    </row>
    <row r="750" spans="4:5" ht="14.25" customHeight="1" x14ac:dyDescent="0.6">
      <c r="D750" s="126"/>
      <c r="E750" s="126"/>
    </row>
    <row r="751" spans="4:5" ht="14.25" customHeight="1" x14ac:dyDescent="0.6">
      <c r="D751" s="126"/>
      <c r="E751" s="126"/>
    </row>
    <row r="752" spans="4:5" ht="14.25" customHeight="1" x14ac:dyDescent="0.6">
      <c r="D752" s="126"/>
      <c r="E752" s="126"/>
    </row>
    <row r="753" spans="4:5" ht="14.25" customHeight="1" x14ac:dyDescent="0.6">
      <c r="D753" s="126"/>
      <c r="E753" s="126"/>
    </row>
    <row r="754" spans="4:5" ht="14.25" customHeight="1" x14ac:dyDescent="0.6">
      <c r="D754" s="126"/>
      <c r="E754" s="126"/>
    </row>
    <row r="755" spans="4:5" ht="14.25" customHeight="1" x14ac:dyDescent="0.6">
      <c r="D755" s="126"/>
      <c r="E755" s="126"/>
    </row>
    <row r="756" spans="4:5" ht="14.25" customHeight="1" x14ac:dyDescent="0.6">
      <c r="D756" s="126"/>
      <c r="E756" s="126"/>
    </row>
    <row r="757" spans="4:5" ht="14.25" customHeight="1" x14ac:dyDescent="0.6">
      <c r="D757" s="126"/>
      <c r="E757" s="126"/>
    </row>
    <row r="758" spans="4:5" ht="14.25" customHeight="1" x14ac:dyDescent="0.6">
      <c r="D758" s="126"/>
      <c r="E758" s="126"/>
    </row>
    <row r="759" spans="4:5" ht="14.25" customHeight="1" x14ac:dyDescent="0.6">
      <c r="D759" s="126"/>
      <c r="E759" s="126"/>
    </row>
    <row r="760" spans="4:5" ht="14.25" customHeight="1" x14ac:dyDescent="0.6">
      <c r="D760" s="126"/>
      <c r="E760" s="126"/>
    </row>
    <row r="761" spans="4:5" ht="14.25" customHeight="1" x14ac:dyDescent="0.6">
      <c r="D761" s="126"/>
      <c r="E761" s="126"/>
    </row>
    <row r="762" spans="4:5" ht="14.25" customHeight="1" x14ac:dyDescent="0.6">
      <c r="D762" s="126"/>
      <c r="E762" s="126"/>
    </row>
    <row r="763" spans="4:5" ht="14.25" customHeight="1" x14ac:dyDescent="0.6">
      <c r="D763" s="126"/>
      <c r="E763" s="126"/>
    </row>
    <row r="764" spans="4:5" ht="14.25" customHeight="1" x14ac:dyDescent="0.6">
      <c r="D764" s="126"/>
      <c r="E764" s="126"/>
    </row>
    <row r="765" spans="4:5" ht="14.25" customHeight="1" x14ac:dyDescent="0.6">
      <c r="D765" s="126"/>
      <c r="E765" s="126"/>
    </row>
    <row r="766" spans="4:5" ht="14.25" customHeight="1" x14ac:dyDescent="0.6">
      <c r="D766" s="126"/>
      <c r="E766" s="126"/>
    </row>
    <row r="767" spans="4:5" ht="14.25" customHeight="1" x14ac:dyDescent="0.6">
      <c r="D767" s="126"/>
      <c r="E767" s="126"/>
    </row>
    <row r="768" spans="4:5" ht="14.25" customHeight="1" x14ac:dyDescent="0.6">
      <c r="D768" s="126"/>
      <c r="E768" s="126"/>
    </row>
    <row r="769" spans="4:5" ht="14.25" customHeight="1" x14ac:dyDescent="0.6">
      <c r="D769" s="126"/>
      <c r="E769" s="126"/>
    </row>
    <row r="770" spans="4:5" ht="14.25" customHeight="1" x14ac:dyDescent="0.6">
      <c r="D770" s="126"/>
      <c r="E770" s="126"/>
    </row>
    <row r="771" spans="4:5" ht="14.25" customHeight="1" x14ac:dyDescent="0.6">
      <c r="D771" s="126"/>
      <c r="E771" s="126"/>
    </row>
    <row r="772" spans="4:5" ht="14.25" customHeight="1" x14ac:dyDescent="0.6">
      <c r="D772" s="126"/>
      <c r="E772" s="126"/>
    </row>
    <row r="773" spans="4:5" ht="14.25" customHeight="1" x14ac:dyDescent="0.6">
      <c r="D773" s="126"/>
      <c r="E773" s="126"/>
    </row>
    <row r="774" spans="4:5" ht="14.25" customHeight="1" x14ac:dyDescent="0.6">
      <c r="D774" s="126"/>
      <c r="E774" s="126"/>
    </row>
    <row r="775" spans="4:5" ht="14.25" customHeight="1" x14ac:dyDescent="0.6">
      <c r="D775" s="126"/>
      <c r="E775" s="126"/>
    </row>
    <row r="776" spans="4:5" ht="14.25" customHeight="1" x14ac:dyDescent="0.6">
      <c r="D776" s="126"/>
      <c r="E776" s="126"/>
    </row>
    <row r="777" spans="4:5" ht="14.25" customHeight="1" x14ac:dyDescent="0.6">
      <c r="D777" s="126"/>
      <c r="E777" s="126"/>
    </row>
    <row r="778" spans="4:5" ht="14.25" customHeight="1" x14ac:dyDescent="0.6">
      <c r="D778" s="126"/>
      <c r="E778" s="126"/>
    </row>
    <row r="779" spans="4:5" ht="14.25" customHeight="1" x14ac:dyDescent="0.6">
      <c r="D779" s="126"/>
      <c r="E779" s="126"/>
    </row>
    <row r="780" spans="4:5" ht="14.25" customHeight="1" x14ac:dyDescent="0.6">
      <c r="D780" s="126"/>
      <c r="E780" s="126"/>
    </row>
    <row r="781" spans="4:5" ht="14.25" customHeight="1" x14ac:dyDescent="0.6">
      <c r="D781" s="126"/>
      <c r="E781" s="126"/>
    </row>
    <row r="782" spans="4:5" ht="14.25" customHeight="1" x14ac:dyDescent="0.6">
      <c r="D782" s="126"/>
      <c r="E782" s="126"/>
    </row>
    <row r="783" spans="4:5" ht="14.25" customHeight="1" x14ac:dyDescent="0.6">
      <c r="D783" s="126"/>
      <c r="E783" s="126"/>
    </row>
    <row r="784" spans="4:5" ht="14.25" customHeight="1" x14ac:dyDescent="0.6">
      <c r="D784" s="126"/>
      <c r="E784" s="126"/>
    </row>
    <row r="785" spans="4:5" ht="14.25" customHeight="1" x14ac:dyDescent="0.6">
      <c r="D785" s="126"/>
      <c r="E785" s="126"/>
    </row>
    <row r="786" spans="4:5" ht="14.25" customHeight="1" x14ac:dyDescent="0.6">
      <c r="D786" s="126"/>
      <c r="E786" s="126"/>
    </row>
    <row r="787" spans="4:5" ht="14.25" customHeight="1" x14ac:dyDescent="0.6">
      <c r="D787" s="126"/>
      <c r="E787" s="126"/>
    </row>
    <row r="788" spans="4:5" ht="14.25" customHeight="1" x14ac:dyDescent="0.6">
      <c r="D788" s="126"/>
      <c r="E788" s="126"/>
    </row>
    <row r="789" spans="4:5" ht="14.25" customHeight="1" x14ac:dyDescent="0.6">
      <c r="D789" s="126"/>
      <c r="E789" s="126"/>
    </row>
    <row r="790" spans="4:5" ht="14.25" customHeight="1" x14ac:dyDescent="0.6">
      <c r="D790" s="126"/>
      <c r="E790" s="126"/>
    </row>
    <row r="791" spans="4:5" ht="14.25" customHeight="1" x14ac:dyDescent="0.6">
      <c r="D791" s="126"/>
      <c r="E791" s="126"/>
    </row>
    <row r="792" spans="4:5" ht="14.25" customHeight="1" x14ac:dyDescent="0.6">
      <c r="D792" s="126"/>
      <c r="E792" s="126"/>
    </row>
    <row r="793" spans="4:5" ht="14.25" customHeight="1" x14ac:dyDescent="0.6">
      <c r="D793" s="126"/>
      <c r="E793" s="126"/>
    </row>
    <row r="794" spans="4:5" ht="14.25" customHeight="1" x14ac:dyDescent="0.6">
      <c r="D794" s="126"/>
      <c r="E794" s="126"/>
    </row>
    <row r="795" spans="4:5" ht="14.25" customHeight="1" x14ac:dyDescent="0.6">
      <c r="D795" s="126"/>
      <c r="E795" s="126"/>
    </row>
    <row r="796" spans="4:5" ht="14.25" customHeight="1" x14ac:dyDescent="0.6">
      <c r="D796" s="126"/>
      <c r="E796" s="126"/>
    </row>
    <row r="797" spans="4:5" ht="14.25" customHeight="1" x14ac:dyDescent="0.6">
      <c r="D797" s="126"/>
      <c r="E797" s="126"/>
    </row>
    <row r="798" spans="4:5" ht="14.25" customHeight="1" x14ac:dyDescent="0.6">
      <c r="D798" s="126"/>
      <c r="E798" s="126"/>
    </row>
    <row r="799" spans="4:5" ht="14.25" customHeight="1" x14ac:dyDescent="0.6">
      <c r="D799" s="126"/>
      <c r="E799" s="126"/>
    </row>
    <row r="800" spans="4:5" ht="14.25" customHeight="1" x14ac:dyDescent="0.6">
      <c r="D800" s="126"/>
      <c r="E800" s="126"/>
    </row>
    <row r="801" spans="4:5" ht="14.25" customHeight="1" x14ac:dyDescent="0.6">
      <c r="D801" s="126"/>
      <c r="E801" s="126"/>
    </row>
    <row r="802" spans="4:5" ht="14.25" customHeight="1" x14ac:dyDescent="0.6">
      <c r="D802" s="126"/>
      <c r="E802" s="126"/>
    </row>
    <row r="803" spans="4:5" ht="14.25" customHeight="1" x14ac:dyDescent="0.6">
      <c r="D803" s="126"/>
      <c r="E803" s="126"/>
    </row>
    <row r="804" spans="4:5" ht="14.25" customHeight="1" x14ac:dyDescent="0.6">
      <c r="D804" s="126"/>
      <c r="E804" s="126"/>
    </row>
    <row r="805" spans="4:5" ht="14.25" customHeight="1" x14ac:dyDescent="0.6">
      <c r="D805" s="126"/>
      <c r="E805" s="126"/>
    </row>
    <row r="806" spans="4:5" ht="14.25" customHeight="1" x14ac:dyDescent="0.6">
      <c r="D806" s="126"/>
      <c r="E806" s="126"/>
    </row>
    <row r="807" spans="4:5" ht="14.25" customHeight="1" x14ac:dyDescent="0.6">
      <c r="D807" s="126"/>
      <c r="E807" s="126"/>
    </row>
    <row r="808" spans="4:5" ht="14.25" customHeight="1" x14ac:dyDescent="0.6">
      <c r="D808" s="126"/>
      <c r="E808" s="126"/>
    </row>
    <row r="809" spans="4:5" ht="14.25" customHeight="1" x14ac:dyDescent="0.6">
      <c r="D809" s="126"/>
      <c r="E809" s="126"/>
    </row>
    <row r="810" spans="4:5" ht="14.25" customHeight="1" x14ac:dyDescent="0.6">
      <c r="D810" s="126"/>
      <c r="E810" s="126"/>
    </row>
    <row r="811" spans="4:5" ht="14.25" customHeight="1" x14ac:dyDescent="0.6">
      <c r="D811" s="126"/>
      <c r="E811" s="126"/>
    </row>
    <row r="812" spans="4:5" ht="14.25" customHeight="1" x14ac:dyDescent="0.6">
      <c r="D812" s="126"/>
      <c r="E812" s="126"/>
    </row>
    <row r="813" spans="4:5" ht="14.25" customHeight="1" x14ac:dyDescent="0.6">
      <c r="D813" s="126"/>
      <c r="E813" s="126"/>
    </row>
    <row r="814" spans="4:5" ht="14.25" customHeight="1" x14ac:dyDescent="0.6">
      <c r="D814" s="126"/>
      <c r="E814" s="126"/>
    </row>
    <row r="815" spans="4:5" ht="14.25" customHeight="1" x14ac:dyDescent="0.6">
      <c r="D815" s="126"/>
      <c r="E815" s="126"/>
    </row>
    <row r="816" spans="4:5" ht="14.25" customHeight="1" x14ac:dyDescent="0.6">
      <c r="D816" s="126"/>
      <c r="E816" s="126"/>
    </row>
    <row r="817" spans="4:5" ht="14.25" customHeight="1" x14ac:dyDescent="0.6">
      <c r="D817" s="126"/>
      <c r="E817" s="126"/>
    </row>
    <row r="818" spans="4:5" ht="14.25" customHeight="1" x14ac:dyDescent="0.6">
      <c r="D818" s="126"/>
      <c r="E818" s="126"/>
    </row>
    <row r="819" spans="4:5" ht="14.25" customHeight="1" x14ac:dyDescent="0.6">
      <c r="D819" s="126"/>
      <c r="E819" s="126"/>
    </row>
    <row r="820" spans="4:5" ht="14.25" customHeight="1" x14ac:dyDescent="0.6">
      <c r="D820" s="126"/>
      <c r="E820" s="126"/>
    </row>
    <row r="821" spans="4:5" ht="14.25" customHeight="1" x14ac:dyDescent="0.6">
      <c r="D821" s="126"/>
      <c r="E821" s="126"/>
    </row>
    <row r="822" spans="4:5" ht="14.25" customHeight="1" x14ac:dyDescent="0.6">
      <c r="D822" s="126"/>
      <c r="E822" s="126"/>
    </row>
    <row r="823" spans="4:5" ht="14.25" customHeight="1" x14ac:dyDescent="0.6">
      <c r="D823" s="126"/>
      <c r="E823" s="126"/>
    </row>
    <row r="824" spans="4:5" ht="14.25" customHeight="1" x14ac:dyDescent="0.6">
      <c r="D824" s="126"/>
      <c r="E824" s="126"/>
    </row>
    <row r="825" spans="4:5" ht="14.25" customHeight="1" x14ac:dyDescent="0.6">
      <c r="D825" s="126"/>
      <c r="E825" s="126"/>
    </row>
    <row r="826" spans="4:5" ht="14.25" customHeight="1" x14ac:dyDescent="0.6">
      <c r="D826" s="126"/>
      <c r="E826" s="126"/>
    </row>
    <row r="827" spans="4:5" ht="14.25" customHeight="1" x14ac:dyDescent="0.6">
      <c r="D827" s="126"/>
      <c r="E827" s="126"/>
    </row>
    <row r="828" spans="4:5" ht="14.25" customHeight="1" x14ac:dyDescent="0.6">
      <c r="D828" s="126"/>
      <c r="E828" s="126"/>
    </row>
    <row r="829" spans="4:5" ht="14.25" customHeight="1" x14ac:dyDescent="0.6">
      <c r="D829" s="126"/>
      <c r="E829" s="126"/>
    </row>
    <row r="830" spans="4:5" ht="14.25" customHeight="1" x14ac:dyDescent="0.6">
      <c r="D830" s="126"/>
      <c r="E830" s="126"/>
    </row>
    <row r="831" spans="4:5" ht="14.25" customHeight="1" x14ac:dyDescent="0.6">
      <c r="D831" s="126"/>
      <c r="E831" s="126"/>
    </row>
    <row r="832" spans="4:5" ht="14.25" customHeight="1" x14ac:dyDescent="0.6">
      <c r="D832" s="126"/>
      <c r="E832" s="126"/>
    </row>
    <row r="833" spans="4:5" ht="14.25" customHeight="1" x14ac:dyDescent="0.6">
      <c r="D833" s="126"/>
      <c r="E833" s="126"/>
    </row>
    <row r="834" spans="4:5" ht="14.25" customHeight="1" x14ac:dyDescent="0.6">
      <c r="D834" s="126"/>
      <c r="E834" s="126"/>
    </row>
    <row r="835" spans="4:5" ht="14.25" customHeight="1" x14ac:dyDescent="0.6">
      <c r="D835" s="126"/>
      <c r="E835" s="126"/>
    </row>
    <row r="836" spans="4:5" ht="14.25" customHeight="1" x14ac:dyDescent="0.6">
      <c r="D836" s="126"/>
      <c r="E836" s="126"/>
    </row>
    <row r="837" spans="4:5" ht="14.25" customHeight="1" x14ac:dyDescent="0.6">
      <c r="D837" s="126"/>
      <c r="E837" s="126"/>
    </row>
    <row r="838" spans="4:5" ht="14.25" customHeight="1" x14ac:dyDescent="0.6">
      <c r="D838" s="126"/>
      <c r="E838" s="126"/>
    </row>
    <row r="839" spans="4:5" ht="14.25" customHeight="1" x14ac:dyDescent="0.6">
      <c r="D839" s="126"/>
      <c r="E839" s="126"/>
    </row>
    <row r="840" spans="4:5" ht="14.25" customHeight="1" x14ac:dyDescent="0.6">
      <c r="D840" s="126"/>
      <c r="E840" s="126"/>
    </row>
    <row r="841" spans="4:5" ht="14.25" customHeight="1" x14ac:dyDescent="0.6">
      <c r="D841" s="126"/>
      <c r="E841" s="126"/>
    </row>
    <row r="842" spans="4:5" ht="14.25" customHeight="1" x14ac:dyDescent="0.6">
      <c r="D842" s="126"/>
      <c r="E842" s="126"/>
    </row>
    <row r="843" spans="4:5" ht="14.25" customHeight="1" x14ac:dyDescent="0.6">
      <c r="D843" s="126"/>
      <c r="E843" s="126"/>
    </row>
    <row r="844" spans="4:5" ht="14.25" customHeight="1" x14ac:dyDescent="0.6">
      <c r="D844" s="126"/>
      <c r="E844" s="126"/>
    </row>
    <row r="845" spans="4:5" ht="14.25" customHeight="1" x14ac:dyDescent="0.6">
      <c r="D845" s="126"/>
      <c r="E845" s="126"/>
    </row>
    <row r="846" spans="4:5" ht="14.25" customHeight="1" x14ac:dyDescent="0.6">
      <c r="D846" s="126"/>
      <c r="E846" s="126"/>
    </row>
    <row r="847" spans="4:5" ht="14.25" customHeight="1" x14ac:dyDescent="0.6">
      <c r="D847" s="126"/>
      <c r="E847" s="126"/>
    </row>
    <row r="848" spans="4:5" ht="14.25" customHeight="1" x14ac:dyDescent="0.6">
      <c r="D848" s="126"/>
      <c r="E848" s="126"/>
    </row>
    <row r="849" spans="4:5" ht="14.25" customHeight="1" x14ac:dyDescent="0.6">
      <c r="D849" s="126"/>
      <c r="E849" s="126"/>
    </row>
    <row r="850" spans="4:5" ht="14.25" customHeight="1" x14ac:dyDescent="0.6">
      <c r="D850" s="126"/>
      <c r="E850" s="126"/>
    </row>
    <row r="851" spans="4:5" ht="14.25" customHeight="1" x14ac:dyDescent="0.6">
      <c r="D851" s="126"/>
      <c r="E851" s="126"/>
    </row>
    <row r="852" spans="4:5" ht="14.25" customHeight="1" x14ac:dyDescent="0.6">
      <c r="D852" s="126"/>
      <c r="E852" s="126"/>
    </row>
    <row r="853" spans="4:5" ht="14.25" customHeight="1" x14ac:dyDescent="0.6">
      <c r="D853" s="126"/>
      <c r="E853" s="126"/>
    </row>
    <row r="854" spans="4:5" ht="14.25" customHeight="1" x14ac:dyDescent="0.6">
      <c r="D854" s="126"/>
      <c r="E854" s="126"/>
    </row>
    <row r="855" spans="4:5" ht="14.25" customHeight="1" x14ac:dyDescent="0.6">
      <c r="D855" s="126"/>
      <c r="E855" s="126"/>
    </row>
    <row r="856" spans="4:5" ht="14.25" customHeight="1" x14ac:dyDescent="0.6">
      <c r="D856" s="126"/>
      <c r="E856" s="126"/>
    </row>
    <row r="857" spans="4:5" ht="14.25" customHeight="1" x14ac:dyDescent="0.6">
      <c r="D857" s="126"/>
      <c r="E857" s="126"/>
    </row>
    <row r="858" spans="4:5" ht="14.25" customHeight="1" x14ac:dyDescent="0.6">
      <c r="D858" s="126"/>
      <c r="E858" s="126"/>
    </row>
    <row r="859" spans="4:5" ht="14.25" customHeight="1" x14ac:dyDescent="0.6">
      <c r="D859" s="126"/>
      <c r="E859" s="126"/>
    </row>
    <row r="860" spans="4:5" ht="14.25" customHeight="1" x14ac:dyDescent="0.6">
      <c r="D860" s="126"/>
      <c r="E860" s="126"/>
    </row>
    <row r="861" spans="4:5" ht="14.25" customHeight="1" x14ac:dyDescent="0.6">
      <c r="D861" s="126"/>
      <c r="E861" s="126"/>
    </row>
    <row r="862" spans="4:5" ht="14.25" customHeight="1" x14ac:dyDescent="0.6">
      <c r="D862" s="126"/>
      <c r="E862" s="126"/>
    </row>
    <row r="863" spans="4:5" ht="14.25" customHeight="1" x14ac:dyDescent="0.6">
      <c r="D863" s="126"/>
      <c r="E863" s="126"/>
    </row>
    <row r="864" spans="4:5" ht="14.25" customHeight="1" x14ac:dyDescent="0.6">
      <c r="D864" s="126"/>
      <c r="E864" s="126"/>
    </row>
    <row r="865" spans="4:5" ht="14.25" customHeight="1" x14ac:dyDescent="0.6">
      <c r="D865" s="126"/>
      <c r="E865" s="126"/>
    </row>
    <row r="866" spans="4:5" ht="14.25" customHeight="1" x14ac:dyDescent="0.6">
      <c r="D866" s="126"/>
      <c r="E866" s="126"/>
    </row>
    <row r="867" spans="4:5" ht="14.25" customHeight="1" x14ac:dyDescent="0.6">
      <c r="D867" s="126"/>
      <c r="E867" s="126"/>
    </row>
    <row r="868" spans="4:5" ht="14.25" customHeight="1" x14ac:dyDescent="0.6">
      <c r="D868" s="126"/>
      <c r="E868" s="126"/>
    </row>
    <row r="869" spans="4:5" ht="14.25" customHeight="1" x14ac:dyDescent="0.6">
      <c r="D869" s="126"/>
      <c r="E869" s="126"/>
    </row>
    <row r="870" spans="4:5" ht="14.25" customHeight="1" x14ac:dyDescent="0.6">
      <c r="D870" s="126"/>
      <c r="E870" s="126"/>
    </row>
    <row r="871" spans="4:5" ht="14.25" customHeight="1" x14ac:dyDescent="0.6">
      <c r="D871" s="126"/>
      <c r="E871" s="126"/>
    </row>
    <row r="872" spans="4:5" ht="14.25" customHeight="1" x14ac:dyDescent="0.6">
      <c r="D872" s="126"/>
      <c r="E872" s="126"/>
    </row>
    <row r="873" spans="4:5" ht="14.25" customHeight="1" x14ac:dyDescent="0.6">
      <c r="D873" s="126"/>
      <c r="E873" s="126"/>
    </row>
    <row r="874" spans="4:5" ht="14.25" customHeight="1" x14ac:dyDescent="0.6">
      <c r="D874" s="126"/>
      <c r="E874" s="126"/>
    </row>
    <row r="875" spans="4:5" ht="14.25" customHeight="1" x14ac:dyDescent="0.6">
      <c r="D875" s="126"/>
      <c r="E875" s="126"/>
    </row>
    <row r="876" spans="4:5" ht="14.25" customHeight="1" x14ac:dyDescent="0.6">
      <c r="D876" s="126"/>
      <c r="E876" s="126"/>
    </row>
    <row r="877" spans="4:5" ht="14.25" customHeight="1" x14ac:dyDescent="0.6">
      <c r="D877" s="126"/>
      <c r="E877" s="126"/>
    </row>
    <row r="878" spans="4:5" ht="14.25" customHeight="1" x14ac:dyDescent="0.6">
      <c r="D878" s="126"/>
      <c r="E878" s="126"/>
    </row>
    <row r="879" spans="4:5" ht="14.25" customHeight="1" x14ac:dyDescent="0.6">
      <c r="D879" s="126"/>
      <c r="E879" s="126"/>
    </row>
    <row r="880" spans="4:5" ht="14.25" customHeight="1" x14ac:dyDescent="0.6">
      <c r="D880" s="126"/>
      <c r="E880" s="126"/>
    </row>
    <row r="881" spans="4:5" ht="14.25" customHeight="1" x14ac:dyDescent="0.6">
      <c r="D881" s="126"/>
      <c r="E881" s="126"/>
    </row>
    <row r="882" spans="4:5" ht="14.25" customHeight="1" x14ac:dyDescent="0.6">
      <c r="D882" s="126"/>
      <c r="E882" s="126"/>
    </row>
    <row r="883" spans="4:5" ht="14.25" customHeight="1" x14ac:dyDescent="0.6">
      <c r="D883" s="126"/>
      <c r="E883" s="126"/>
    </row>
    <row r="884" spans="4:5" ht="14.25" customHeight="1" x14ac:dyDescent="0.6">
      <c r="D884" s="126"/>
      <c r="E884" s="126"/>
    </row>
    <row r="885" spans="4:5" ht="14.25" customHeight="1" x14ac:dyDescent="0.6">
      <c r="D885" s="126"/>
      <c r="E885" s="126"/>
    </row>
    <row r="886" spans="4:5" ht="14.25" customHeight="1" x14ac:dyDescent="0.6">
      <c r="D886" s="126"/>
      <c r="E886" s="126"/>
    </row>
    <row r="887" spans="4:5" ht="14.25" customHeight="1" x14ac:dyDescent="0.6">
      <c r="D887" s="126"/>
      <c r="E887" s="126"/>
    </row>
    <row r="888" spans="4:5" ht="14.25" customHeight="1" x14ac:dyDescent="0.6">
      <c r="D888" s="126"/>
      <c r="E888" s="126"/>
    </row>
    <row r="889" spans="4:5" ht="14.25" customHeight="1" x14ac:dyDescent="0.6">
      <c r="D889" s="126"/>
      <c r="E889" s="126"/>
    </row>
    <row r="890" spans="4:5" ht="14.25" customHeight="1" x14ac:dyDescent="0.6">
      <c r="D890" s="126"/>
      <c r="E890" s="126"/>
    </row>
    <row r="891" spans="4:5" ht="14.25" customHeight="1" x14ac:dyDescent="0.6">
      <c r="D891" s="126"/>
      <c r="E891" s="126"/>
    </row>
    <row r="892" spans="4:5" ht="14.25" customHeight="1" x14ac:dyDescent="0.6">
      <c r="D892" s="126"/>
      <c r="E892" s="126"/>
    </row>
    <row r="893" spans="4:5" ht="14.25" customHeight="1" x14ac:dyDescent="0.6">
      <c r="D893" s="126"/>
      <c r="E893" s="126"/>
    </row>
    <row r="894" spans="4:5" ht="14.25" customHeight="1" x14ac:dyDescent="0.6">
      <c r="D894" s="126"/>
      <c r="E894" s="126"/>
    </row>
    <row r="895" spans="4:5" ht="14.25" customHeight="1" x14ac:dyDescent="0.6">
      <c r="D895" s="126"/>
      <c r="E895" s="126"/>
    </row>
    <row r="896" spans="4:5" ht="14.25" customHeight="1" x14ac:dyDescent="0.6">
      <c r="D896" s="126"/>
      <c r="E896" s="126"/>
    </row>
    <row r="897" spans="4:5" ht="14.25" customHeight="1" x14ac:dyDescent="0.6">
      <c r="D897" s="126"/>
      <c r="E897" s="126"/>
    </row>
    <row r="898" spans="4:5" ht="14.25" customHeight="1" x14ac:dyDescent="0.6">
      <c r="D898" s="126"/>
      <c r="E898" s="126"/>
    </row>
    <row r="899" spans="4:5" ht="14.25" customHeight="1" x14ac:dyDescent="0.6">
      <c r="D899" s="126"/>
      <c r="E899" s="126"/>
    </row>
    <row r="900" spans="4:5" ht="14.25" customHeight="1" x14ac:dyDescent="0.6">
      <c r="D900" s="126"/>
      <c r="E900" s="126"/>
    </row>
    <row r="901" spans="4:5" ht="14.25" customHeight="1" x14ac:dyDescent="0.6">
      <c r="D901" s="126"/>
      <c r="E901" s="126"/>
    </row>
    <row r="902" spans="4:5" ht="14.25" customHeight="1" x14ac:dyDescent="0.6">
      <c r="D902" s="126"/>
      <c r="E902" s="126"/>
    </row>
    <row r="903" spans="4:5" ht="14.25" customHeight="1" x14ac:dyDescent="0.6">
      <c r="D903" s="126"/>
      <c r="E903" s="126"/>
    </row>
    <row r="904" spans="4:5" ht="14.25" customHeight="1" x14ac:dyDescent="0.6">
      <c r="D904" s="126"/>
      <c r="E904" s="126"/>
    </row>
    <row r="905" spans="4:5" ht="14.25" customHeight="1" x14ac:dyDescent="0.6">
      <c r="D905" s="126"/>
      <c r="E905" s="126"/>
    </row>
    <row r="906" spans="4:5" ht="14.25" customHeight="1" x14ac:dyDescent="0.6">
      <c r="D906" s="126"/>
      <c r="E906" s="126"/>
    </row>
    <row r="907" spans="4:5" ht="14.25" customHeight="1" x14ac:dyDescent="0.6">
      <c r="D907" s="126"/>
      <c r="E907" s="126"/>
    </row>
    <row r="908" spans="4:5" ht="14.25" customHeight="1" x14ac:dyDescent="0.6">
      <c r="D908" s="126"/>
      <c r="E908" s="126"/>
    </row>
    <row r="909" spans="4:5" ht="14.25" customHeight="1" x14ac:dyDescent="0.6">
      <c r="D909" s="126"/>
      <c r="E909" s="126"/>
    </row>
    <row r="910" spans="4:5" ht="14.25" customHeight="1" x14ac:dyDescent="0.6">
      <c r="D910" s="126"/>
      <c r="E910" s="126"/>
    </row>
    <row r="911" spans="4:5" ht="14.25" customHeight="1" x14ac:dyDescent="0.6">
      <c r="D911" s="126"/>
      <c r="E911" s="126"/>
    </row>
    <row r="912" spans="4:5" ht="14.25" customHeight="1" x14ac:dyDescent="0.6">
      <c r="D912" s="126"/>
      <c r="E912" s="126"/>
    </row>
    <row r="913" spans="4:5" ht="14.25" customHeight="1" x14ac:dyDescent="0.6">
      <c r="D913" s="126"/>
      <c r="E913" s="126"/>
    </row>
    <row r="914" spans="4:5" ht="14.25" customHeight="1" x14ac:dyDescent="0.6">
      <c r="D914" s="126"/>
      <c r="E914" s="126"/>
    </row>
    <row r="915" spans="4:5" ht="14.25" customHeight="1" x14ac:dyDescent="0.6">
      <c r="D915" s="126"/>
      <c r="E915" s="126"/>
    </row>
    <row r="916" spans="4:5" ht="14.25" customHeight="1" x14ac:dyDescent="0.6">
      <c r="D916" s="126"/>
      <c r="E916" s="126"/>
    </row>
    <row r="917" spans="4:5" ht="14.25" customHeight="1" x14ac:dyDescent="0.6">
      <c r="D917" s="126"/>
      <c r="E917" s="126"/>
    </row>
    <row r="918" spans="4:5" ht="14.25" customHeight="1" x14ac:dyDescent="0.6">
      <c r="D918" s="126"/>
      <c r="E918" s="126"/>
    </row>
    <row r="919" spans="4:5" ht="14.25" customHeight="1" x14ac:dyDescent="0.6">
      <c r="D919" s="126"/>
      <c r="E919" s="126"/>
    </row>
    <row r="920" spans="4:5" ht="14.25" customHeight="1" x14ac:dyDescent="0.6">
      <c r="D920" s="126"/>
      <c r="E920" s="126"/>
    </row>
    <row r="921" spans="4:5" ht="14.25" customHeight="1" x14ac:dyDescent="0.6">
      <c r="D921" s="126"/>
      <c r="E921" s="126"/>
    </row>
    <row r="922" spans="4:5" ht="14.25" customHeight="1" x14ac:dyDescent="0.6">
      <c r="D922" s="126"/>
      <c r="E922" s="126"/>
    </row>
    <row r="923" spans="4:5" ht="14.25" customHeight="1" x14ac:dyDescent="0.6">
      <c r="D923" s="126"/>
      <c r="E923" s="126"/>
    </row>
    <row r="924" spans="4:5" ht="14.25" customHeight="1" x14ac:dyDescent="0.6">
      <c r="D924" s="126"/>
      <c r="E924" s="126"/>
    </row>
    <row r="925" spans="4:5" ht="14.25" customHeight="1" x14ac:dyDescent="0.6">
      <c r="D925" s="126"/>
      <c r="E925" s="126"/>
    </row>
    <row r="926" spans="4:5" ht="14.25" customHeight="1" x14ac:dyDescent="0.6">
      <c r="D926" s="126"/>
      <c r="E926" s="126"/>
    </row>
    <row r="927" spans="4:5" ht="14.25" customHeight="1" x14ac:dyDescent="0.6">
      <c r="D927" s="126"/>
      <c r="E927" s="126"/>
    </row>
    <row r="928" spans="4:5" ht="14.25" customHeight="1" x14ac:dyDescent="0.6">
      <c r="D928" s="126"/>
      <c r="E928" s="126"/>
    </row>
    <row r="929" spans="4:5" ht="14.25" customHeight="1" x14ac:dyDescent="0.6">
      <c r="D929" s="126"/>
      <c r="E929" s="126"/>
    </row>
    <row r="930" spans="4:5" ht="14.25" customHeight="1" x14ac:dyDescent="0.6">
      <c r="D930" s="126"/>
      <c r="E930" s="126"/>
    </row>
    <row r="931" spans="4:5" ht="14.25" customHeight="1" x14ac:dyDescent="0.6">
      <c r="D931" s="126"/>
      <c r="E931" s="126"/>
    </row>
    <row r="932" spans="4:5" ht="14.25" customHeight="1" x14ac:dyDescent="0.6">
      <c r="D932" s="126"/>
      <c r="E932" s="126"/>
    </row>
    <row r="933" spans="4:5" ht="14.25" customHeight="1" x14ac:dyDescent="0.6">
      <c r="D933" s="126"/>
      <c r="E933" s="126"/>
    </row>
    <row r="934" spans="4:5" ht="14.25" customHeight="1" x14ac:dyDescent="0.6">
      <c r="D934" s="126"/>
      <c r="E934" s="126"/>
    </row>
    <row r="935" spans="4:5" ht="14.25" customHeight="1" x14ac:dyDescent="0.6">
      <c r="D935" s="126"/>
      <c r="E935" s="126"/>
    </row>
    <row r="936" spans="4:5" ht="14.25" customHeight="1" x14ac:dyDescent="0.6">
      <c r="D936" s="126"/>
      <c r="E936" s="126"/>
    </row>
    <row r="937" spans="4:5" ht="14.25" customHeight="1" x14ac:dyDescent="0.6">
      <c r="D937" s="126"/>
      <c r="E937" s="126"/>
    </row>
    <row r="938" spans="4:5" ht="14.25" customHeight="1" x14ac:dyDescent="0.6">
      <c r="D938" s="126"/>
      <c r="E938" s="126"/>
    </row>
    <row r="939" spans="4:5" ht="14.25" customHeight="1" x14ac:dyDescent="0.6">
      <c r="D939" s="126"/>
      <c r="E939" s="126"/>
    </row>
    <row r="940" spans="4:5" ht="14.25" customHeight="1" x14ac:dyDescent="0.6">
      <c r="D940" s="126"/>
      <c r="E940" s="126"/>
    </row>
    <row r="941" spans="4:5" ht="14.25" customHeight="1" x14ac:dyDescent="0.6">
      <c r="D941" s="126"/>
      <c r="E941" s="126"/>
    </row>
    <row r="942" spans="4:5" ht="14.25" customHeight="1" x14ac:dyDescent="0.6">
      <c r="D942" s="126"/>
      <c r="E942" s="126"/>
    </row>
    <row r="943" spans="4:5" ht="14.25" customHeight="1" x14ac:dyDescent="0.6">
      <c r="D943" s="126"/>
      <c r="E943" s="126"/>
    </row>
    <row r="944" spans="4:5" ht="14.25" customHeight="1" x14ac:dyDescent="0.6">
      <c r="D944" s="126"/>
      <c r="E944" s="126"/>
    </row>
    <row r="945" spans="4:5" ht="14.25" customHeight="1" x14ac:dyDescent="0.6">
      <c r="D945" s="126"/>
      <c r="E945" s="126"/>
    </row>
    <row r="946" spans="4:5" ht="14.25" customHeight="1" x14ac:dyDescent="0.6">
      <c r="D946" s="126"/>
      <c r="E946" s="126"/>
    </row>
    <row r="947" spans="4:5" ht="14.25" customHeight="1" x14ac:dyDescent="0.6">
      <c r="D947" s="126"/>
      <c r="E947" s="126"/>
    </row>
    <row r="948" spans="4:5" ht="14.25" customHeight="1" x14ac:dyDescent="0.6">
      <c r="D948" s="126"/>
      <c r="E948" s="126"/>
    </row>
    <row r="949" spans="4:5" ht="14.25" customHeight="1" x14ac:dyDescent="0.6">
      <c r="D949" s="126"/>
      <c r="E949" s="126"/>
    </row>
    <row r="950" spans="4:5" ht="14.25" customHeight="1" x14ac:dyDescent="0.6">
      <c r="D950" s="126"/>
      <c r="E950" s="126"/>
    </row>
    <row r="951" spans="4:5" ht="14.25" customHeight="1" x14ac:dyDescent="0.6">
      <c r="D951" s="126"/>
      <c r="E951" s="126"/>
    </row>
    <row r="952" spans="4:5" ht="14.25" customHeight="1" x14ac:dyDescent="0.6">
      <c r="D952" s="126"/>
      <c r="E952" s="126"/>
    </row>
    <row r="953" spans="4:5" ht="14.25" customHeight="1" x14ac:dyDescent="0.6">
      <c r="D953" s="126"/>
      <c r="E953" s="126"/>
    </row>
    <row r="954" spans="4:5" ht="14.25" customHeight="1" x14ac:dyDescent="0.6">
      <c r="D954" s="126"/>
      <c r="E954" s="126"/>
    </row>
    <row r="955" spans="4:5" ht="14.25" customHeight="1" x14ac:dyDescent="0.6">
      <c r="D955" s="126"/>
      <c r="E955" s="126"/>
    </row>
    <row r="956" spans="4:5" ht="14.25" customHeight="1" x14ac:dyDescent="0.6">
      <c r="D956" s="126"/>
      <c r="E956" s="126"/>
    </row>
    <row r="957" spans="4:5" ht="14.25" customHeight="1" x14ac:dyDescent="0.6">
      <c r="D957" s="126"/>
      <c r="E957" s="126"/>
    </row>
    <row r="958" spans="4:5" ht="14.25" customHeight="1" x14ac:dyDescent="0.6">
      <c r="D958" s="126"/>
      <c r="E958" s="126"/>
    </row>
    <row r="959" spans="4:5" ht="14.25" customHeight="1" x14ac:dyDescent="0.6">
      <c r="D959" s="126"/>
      <c r="E959" s="126"/>
    </row>
    <row r="960" spans="4:5" ht="14.25" customHeight="1" x14ac:dyDescent="0.6">
      <c r="D960" s="126"/>
      <c r="E960" s="126"/>
    </row>
    <row r="961" spans="4:5" ht="14.25" customHeight="1" x14ac:dyDescent="0.6">
      <c r="D961" s="126"/>
      <c r="E961" s="126"/>
    </row>
    <row r="962" spans="4:5" ht="14.25" customHeight="1" x14ac:dyDescent="0.6">
      <c r="D962" s="126"/>
      <c r="E962" s="126"/>
    </row>
    <row r="963" spans="4:5" ht="14.25" customHeight="1" x14ac:dyDescent="0.6">
      <c r="D963" s="126"/>
      <c r="E963" s="126"/>
    </row>
    <row r="964" spans="4:5" ht="14.25" customHeight="1" x14ac:dyDescent="0.6">
      <c r="D964" s="126"/>
      <c r="E964" s="126"/>
    </row>
    <row r="965" spans="4:5" ht="14.25" customHeight="1" x14ac:dyDescent="0.6">
      <c r="D965" s="126"/>
      <c r="E965" s="126"/>
    </row>
    <row r="966" spans="4:5" ht="14.25" customHeight="1" x14ac:dyDescent="0.6">
      <c r="D966" s="126"/>
      <c r="E966" s="126"/>
    </row>
    <row r="967" spans="4:5" ht="14.25" customHeight="1" x14ac:dyDescent="0.6">
      <c r="D967" s="126"/>
      <c r="E967" s="126"/>
    </row>
    <row r="968" spans="4:5" ht="14.25" customHeight="1" x14ac:dyDescent="0.6">
      <c r="D968" s="126"/>
      <c r="E968" s="126"/>
    </row>
    <row r="969" spans="4:5" ht="14.25" customHeight="1" x14ac:dyDescent="0.6">
      <c r="D969" s="126"/>
      <c r="E969" s="126"/>
    </row>
    <row r="970" spans="4:5" ht="14.25" customHeight="1" x14ac:dyDescent="0.6">
      <c r="D970" s="126"/>
      <c r="E970" s="126"/>
    </row>
    <row r="971" spans="4:5" ht="14.25" customHeight="1" x14ac:dyDescent="0.6">
      <c r="D971" s="126"/>
      <c r="E971" s="126"/>
    </row>
    <row r="972" spans="4:5" ht="14.25" customHeight="1" x14ac:dyDescent="0.6">
      <c r="D972" s="126"/>
      <c r="E972" s="126"/>
    </row>
    <row r="973" spans="4:5" ht="14.25" customHeight="1" x14ac:dyDescent="0.6">
      <c r="D973" s="126"/>
      <c r="E973" s="126"/>
    </row>
    <row r="974" spans="4:5" ht="14.25" customHeight="1" x14ac:dyDescent="0.6">
      <c r="D974" s="126"/>
      <c r="E974" s="126"/>
    </row>
    <row r="975" spans="4:5" ht="14.25" customHeight="1" x14ac:dyDescent="0.6">
      <c r="D975" s="126"/>
      <c r="E975" s="126"/>
    </row>
    <row r="976" spans="4:5" ht="14.25" customHeight="1" x14ac:dyDescent="0.6">
      <c r="D976" s="126"/>
      <c r="E976" s="126"/>
    </row>
    <row r="977" spans="4:5" ht="14.25" customHeight="1" x14ac:dyDescent="0.6">
      <c r="D977" s="126"/>
      <c r="E977" s="126"/>
    </row>
    <row r="978" spans="4:5" ht="14.25" customHeight="1" x14ac:dyDescent="0.6">
      <c r="D978" s="126"/>
      <c r="E978" s="126"/>
    </row>
    <row r="979" spans="4:5" ht="14.25" customHeight="1" x14ac:dyDescent="0.6">
      <c r="D979" s="126"/>
      <c r="E979" s="126"/>
    </row>
    <row r="980" spans="4:5" ht="14.25" customHeight="1" x14ac:dyDescent="0.6">
      <c r="D980" s="126"/>
      <c r="E980" s="126"/>
    </row>
    <row r="981" spans="4:5" ht="14.25" customHeight="1" x14ac:dyDescent="0.6">
      <c r="D981" s="126"/>
      <c r="E981" s="126"/>
    </row>
    <row r="982" spans="4:5" ht="14.25" customHeight="1" x14ac:dyDescent="0.6">
      <c r="D982" s="126"/>
      <c r="E982" s="126"/>
    </row>
    <row r="983" spans="4:5" ht="14.25" customHeight="1" x14ac:dyDescent="0.6">
      <c r="D983" s="126"/>
      <c r="E983" s="126"/>
    </row>
    <row r="984" spans="4:5" ht="14.25" customHeight="1" x14ac:dyDescent="0.6">
      <c r="D984" s="126"/>
      <c r="E984" s="126"/>
    </row>
    <row r="985" spans="4:5" ht="14.25" customHeight="1" x14ac:dyDescent="0.6">
      <c r="D985" s="126"/>
      <c r="E985" s="126"/>
    </row>
    <row r="986" spans="4:5" ht="14.25" customHeight="1" x14ac:dyDescent="0.6">
      <c r="D986" s="126"/>
      <c r="E986" s="126"/>
    </row>
    <row r="987" spans="4:5" ht="14.25" customHeight="1" x14ac:dyDescent="0.6">
      <c r="D987" s="126"/>
      <c r="E987" s="126"/>
    </row>
    <row r="988" spans="4:5" ht="14.25" customHeight="1" x14ac:dyDescent="0.6">
      <c r="D988" s="126"/>
      <c r="E988" s="126"/>
    </row>
    <row r="989" spans="4:5" ht="14.25" customHeight="1" x14ac:dyDescent="0.6">
      <c r="D989" s="126"/>
      <c r="E989" s="126"/>
    </row>
    <row r="990" spans="4:5" ht="14.25" customHeight="1" x14ac:dyDescent="0.6">
      <c r="D990" s="126"/>
      <c r="E990" s="126"/>
    </row>
    <row r="991" spans="4:5" ht="14.25" customHeight="1" x14ac:dyDescent="0.6">
      <c r="D991" s="126"/>
      <c r="E991" s="126"/>
    </row>
    <row r="992" spans="4:5" ht="14.25" customHeight="1" x14ac:dyDescent="0.6">
      <c r="D992" s="126"/>
      <c r="E992" s="126"/>
    </row>
    <row r="993" spans="4:5" ht="14.25" customHeight="1" x14ac:dyDescent="0.6">
      <c r="D993" s="126"/>
      <c r="E993" s="126"/>
    </row>
    <row r="994" spans="4:5" ht="14.25" customHeight="1" x14ac:dyDescent="0.6">
      <c r="D994" s="126"/>
      <c r="E994" s="126"/>
    </row>
    <row r="995" spans="4:5" ht="14.25" customHeight="1" x14ac:dyDescent="0.6">
      <c r="D995" s="126"/>
      <c r="E995" s="126"/>
    </row>
    <row r="996" spans="4:5" ht="14.25" customHeight="1" x14ac:dyDescent="0.6">
      <c r="D996" s="126"/>
      <c r="E996" s="126"/>
    </row>
    <row r="997" spans="4:5" ht="14.25" customHeight="1" x14ac:dyDescent="0.6">
      <c r="D997" s="126"/>
      <c r="E997" s="126"/>
    </row>
    <row r="998" spans="4:5" ht="14.25" customHeight="1" x14ac:dyDescent="0.6">
      <c r="D998" s="126"/>
      <c r="E998" s="126"/>
    </row>
    <row r="999" spans="4:5" ht="14.25" customHeight="1" x14ac:dyDescent="0.6">
      <c r="D999" s="126"/>
      <c r="E999" s="126"/>
    </row>
    <row r="1000" spans="4:5" ht="14.25" customHeight="1" x14ac:dyDescent="0.6">
      <c r="D1000" s="126"/>
      <c r="E1000" s="126"/>
    </row>
    <row r="1001" spans="4:5" ht="14.25" customHeight="1" x14ac:dyDescent="0.6">
      <c r="D1001" s="126"/>
      <c r="E1001" s="126"/>
    </row>
    <row r="1002" spans="4:5" ht="14.25" customHeight="1" x14ac:dyDescent="0.6">
      <c r="D1002" s="126"/>
      <c r="E1002" s="126"/>
    </row>
    <row r="1003" spans="4:5" ht="14.25" customHeight="1" x14ac:dyDescent="0.6">
      <c r="D1003" s="126"/>
      <c r="E1003" s="126"/>
    </row>
    <row r="1004" spans="4:5" ht="14.25" customHeight="1" x14ac:dyDescent="0.6">
      <c r="D1004" s="126"/>
      <c r="E1004" s="126"/>
    </row>
    <row r="1005" spans="4:5" ht="14.25" customHeight="1" x14ac:dyDescent="0.6">
      <c r="D1005" s="126"/>
      <c r="E1005" s="126"/>
    </row>
  </sheetData>
  <mergeCells count="4">
    <mergeCell ref="B41:B42"/>
    <mergeCell ref="C41:D41"/>
    <mergeCell ref="A5:F5"/>
    <mergeCell ref="B7:C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55"/>
  <sheetViews>
    <sheetView view="pageBreakPreview" zoomScaleNormal="70" zoomScaleSheetLayoutView="100" workbookViewId="0">
      <selection activeCell="B10" sqref="B10:G10"/>
    </sheetView>
  </sheetViews>
  <sheetFormatPr defaultColWidth="9.140625" defaultRowHeight="15.75" x14ac:dyDescent="0.2"/>
  <cols>
    <col min="1" max="1" width="16.5703125" style="6" customWidth="1"/>
    <col min="2" max="2" width="68.85546875" style="54" customWidth="1"/>
    <col min="3" max="3" width="4.140625" style="1" bestFit="1" customWidth="1"/>
    <col min="4" max="4" width="18.42578125" style="1" customWidth="1"/>
    <col min="5" max="5" width="16.85546875" style="71" bestFit="1" customWidth="1"/>
    <col min="6" max="6" width="18" style="72" bestFit="1" customWidth="1"/>
    <col min="7" max="7" width="65.85546875" style="10" customWidth="1"/>
    <col min="8" max="8" width="10.42578125" style="1" bestFit="1" customWidth="1"/>
    <col min="9" max="16384" width="9.140625" style="1"/>
  </cols>
  <sheetData>
    <row r="1" spans="1:7" ht="11.25" x14ac:dyDescent="0.2">
      <c r="A1" s="176" t="s">
        <v>33</v>
      </c>
      <c r="B1" s="177"/>
      <c r="C1" s="177"/>
      <c r="D1" s="177"/>
      <c r="E1" s="177"/>
      <c r="F1" s="177"/>
      <c r="G1" s="177"/>
    </row>
    <row r="2" spans="1:7" ht="11.25" x14ac:dyDescent="0.2">
      <c r="A2" s="178"/>
      <c r="B2" s="179"/>
      <c r="C2" s="179"/>
      <c r="D2" s="179"/>
      <c r="E2" s="179"/>
      <c r="F2" s="179"/>
      <c r="G2" s="179"/>
    </row>
    <row r="3" spans="1:7" ht="11.25" x14ac:dyDescent="0.2">
      <c r="A3" s="178"/>
      <c r="B3" s="179"/>
      <c r="C3" s="179"/>
      <c r="D3" s="179"/>
      <c r="E3" s="179"/>
      <c r="F3" s="179"/>
      <c r="G3" s="179"/>
    </row>
    <row r="4" spans="1:7" ht="11.25" x14ac:dyDescent="0.2">
      <c r="A4" s="178"/>
      <c r="B4" s="179"/>
      <c r="C4" s="179"/>
      <c r="D4" s="179"/>
      <c r="E4" s="179"/>
      <c r="F4" s="179"/>
      <c r="G4" s="179"/>
    </row>
    <row r="5" spans="1:7" ht="11.25" x14ac:dyDescent="0.2">
      <c r="A5" s="178"/>
      <c r="B5" s="179"/>
      <c r="C5" s="179"/>
      <c r="D5" s="179"/>
      <c r="E5" s="179"/>
      <c r="F5" s="179"/>
      <c r="G5" s="179"/>
    </row>
    <row r="6" spans="1:7" ht="12" thickBot="1" x14ac:dyDescent="0.25">
      <c r="A6" s="180"/>
      <c r="B6" s="181"/>
      <c r="C6" s="181"/>
      <c r="D6" s="181"/>
      <c r="E6" s="181"/>
      <c r="F6" s="181"/>
      <c r="G6" s="181"/>
    </row>
    <row r="7" spans="1:7" x14ac:dyDescent="0.2">
      <c r="A7" s="7" t="s">
        <v>34</v>
      </c>
      <c r="B7" s="182" t="s">
        <v>123</v>
      </c>
      <c r="C7" s="183"/>
      <c r="D7" s="183"/>
      <c r="E7" s="183"/>
      <c r="F7" s="183"/>
      <c r="G7" s="183"/>
    </row>
    <row r="8" spans="1:7" x14ac:dyDescent="0.2">
      <c r="A8" s="8" t="s">
        <v>0</v>
      </c>
      <c r="B8" s="184" t="s">
        <v>124</v>
      </c>
      <c r="C8" s="185"/>
      <c r="D8" s="185"/>
      <c r="E8" s="185"/>
      <c r="F8" s="185"/>
      <c r="G8" s="185"/>
    </row>
    <row r="9" spans="1:7" x14ac:dyDescent="0.2">
      <c r="A9" s="8" t="s">
        <v>35</v>
      </c>
      <c r="B9" s="186">
        <v>45503</v>
      </c>
      <c r="C9" s="187"/>
      <c r="D9" s="187"/>
      <c r="E9" s="187"/>
      <c r="F9" s="187"/>
      <c r="G9" s="187"/>
    </row>
    <row r="10" spans="1:7" ht="16.5" thickBot="1" x14ac:dyDescent="0.25">
      <c r="A10" s="8" t="s">
        <v>36</v>
      </c>
      <c r="B10" s="188" t="s">
        <v>125</v>
      </c>
      <c r="C10" s="189"/>
      <c r="D10" s="189"/>
      <c r="E10" s="189"/>
      <c r="F10" s="189"/>
      <c r="G10" s="189"/>
    </row>
    <row r="11" spans="1:7" ht="12" customHeight="1" thickBot="1" x14ac:dyDescent="0.25">
      <c r="A11" s="190"/>
      <c r="B11" s="191"/>
      <c r="C11" s="191"/>
      <c r="D11" s="191"/>
      <c r="E11" s="191"/>
      <c r="F11" s="192"/>
      <c r="G11" s="77"/>
    </row>
    <row r="12" spans="1:7" ht="16.5" thickBot="1" x14ac:dyDescent="0.25">
      <c r="A12" s="2" t="s">
        <v>1</v>
      </c>
      <c r="B12" s="53" t="s">
        <v>2</v>
      </c>
      <c r="C12" s="3" t="s">
        <v>3</v>
      </c>
      <c r="D12" s="4" t="s">
        <v>4</v>
      </c>
      <c r="E12" s="4" t="s">
        <v>5</v>
      </c>
      <c r="F12" s="5" t="s">
        <v>6</v>
      </c>
      <c r="G12" s="9" t="s">
        <v>38</v>
      </c>
    </row>
    <row r="13" spans="1:7" ht="16.5" thickBot="1" x14ac:dyDescent="0.25">
      <c r="A13" s="45" t="s">
        <v>61</v>
      </c>
      <c r="B13" s="46" t="s">
        <v>62</v>
      </c>
      <c r="C13" s="55" t="s">
        <v>106</v>
      </c>
      <c r="D13" s="55"/>
      <c r="E13" s="56"/>
      <c r="F13" s="57">
        <v>2384931.88</v>
      </c>
      <c r="G13" s="47"/>
    </row>
    <row r="14" spans="1:7" x14ac:dyDescent="0.2">
      <c r="A14" s="37" t="s">
        <v>63</v>
      </c>
      <c r="B14" s="38" t="s">
        <v>7</v>
      </c>
      <c r="C14" s="58" t="s">
        <v>106</v>
      </c>
      <c r="D14" s="59"/>
      <c r="E14" s="59"/>
      <c r="F14" s="60">
        <f>F15+F42</f>
        <v>704184.6</v>
      </c>
      <c r="G14" s="48"/>
    </row>
    <row r="15" spans="1:7" x14ac:dyDescent="0.2">
      <c r="A15" s="39" t="s">
        <v>64</v>
      </c>
      <c r="B15" s="40" t="s">
        <v>43</v>
      </c>
      <c r="C15" s="61" t="s">
        <v>106</v>
      </c>
      <c r="D15" s="62"/>
      <c r="E15" s="62"/>
      <c r="F15" s="63">
        <f>SUM(F16+F23+F40)</f>
        <v>511004.81</v>
      </c>
      <c r="G15" s="49"/>
    </row>
    <row r="16" spans="1:7" x14ac:dyDescent="0.2">
      <c r="A16" s="41" t="s">
        <v>65</v>
      </c>
      <c r="B16" s="42" t="s">
        <v>44</v>
      </c>
      <c r="C16" s="64" t="s">
        <v>106</v>
      </c>
      <c r="D16" s="65"/>
      <c r="E16" s="65"/>
      <c r="F16" s="66">
        <f>SUM(F17:F22)</f>
        <v>65491</v>
      </c>
      <c r="G16" s="50"/>
    </row>
    <row r="17" spans="1:7" x14ac:dyDescent="0.2">
      <c r="A17" s="43" t="s">
        <v>126</v>
      </c>
      <c r="B17" s="44" t="s">
        <v>46</v>
      </c>
      <c r="C17" s="67" t="s">
        <v>45</v>
      </c>
      <c r="D17" s="68">
        <v>1</v>
      </c>
      <c r="E17" s="68">
        <v>6789</v>
      </c>
      <c r="F17" s="69">
        <f>E17*D17</f>
        <v>6789</v>
      </c>
      <c r="G17" s="51" t="s">
        <v>134</v>
      </c>
    </row>
    <row r="18" spans="1:7" x14ac:dyDescent="0.2">
      <c r="A18" s="43" t="s">
        <v>128</v>
      </c>
      <c r="B18" s="44" t="s">
        <v>129</v>
      </c>
      <c r="C18" s="67" t="s">
        <v>45</v>
      </c>
      <c r="D18" s="68">
        <v>1</v>
      </c>
      <c r="E18" s="68">
        <v>6789</v>
      </c>
      <c r="F18" s="69">
        <f t="shared" ref="F18:F41" si="0">E18*D18</f>
        <v>6789</v>
      </c>
      <c r="G18" s="51" t="s">
        <v>134</v>
      </c>
    </row>
    <row r="19" spans="1:7" x14ac:dyDescent="0.2">
      <c r="A19" s="43" t="s">
        <v>130</v>
      </c>
      <c r="B19" s="44" t="s">
        <v>47</v>
      </c>
      <c r="C19" s="67" t="s">
        <v>45</v>
      </c>
      <c r="D19" s="68">
        <v>1</v>
      </c>
      <c r="E19" s="68">
        <v>6789</v>
      </c>
      <c r="F19" s="69">
        <f t="shared" si="0"/>
        <v>6789</v>
      </c>
      <c r="G19" s="51" t="s">
        <v>134</v>
      </c>
    </row>
    <row r="20" spans="1:7" x14ac:dyDescent="0.2">
      <c r="A20" s="43" t="s">
        <v>131</v>
      </c>
      <c r="B20" s="44" t="s">
        <v>8</v>
      </c>
      <c r="C20" s="67" t="s">
        <v>45</v>
      </c>
      <c r="D20" s="68">
        <v>1</v>
      </c>
      <c r="E20" s="68">
        <v>16158</v>
      </c>
      <c r="F20" s="69">
        <f t="shared" si="0"/>
        <v>16158</v>
      </c>
      <c r="G20" s="51" t="s">
        <v>134</v>
      </c>
    </row>
    <row r="21" spans="1:7" x14ac:dyDescent="0.2">
      <c r="A21" s="43" t="s">
        <v>132</v>
      </c>
      <c r="B21" s="44" t="s">
        <v>9</v>
      </c>
      <c r="C21" s="67" t="s">
        <v>45</v>
      </c>
      <c r="D21" s="68">
        <v>1</v>
      </c>
      <c r="E21" s="68">
        <v>22177</v>
      </c>
      <c r="F21" s="69">
        <f t="shared" si="0"/>
        <v>22177</v>
      </c>
      <c r="G21" s="51" t="s">
        <v>134</v>
      </c>
    </row>
    <row r="22" spans="1:7" x14ac:dyDescent="0.2">
      <c r="A22" s="43" t="s">
        <v>133</v>
      </c>
      <c r="B22" s="44" t="s">
        <v>10</v>
      </c>
      <c r="C22" s="67" t="s">
        <v>45</v>
      </c>
      <c r="D22" s="68">
        <v>1</v>
      </c>
      <c r="E22" s="68">
        <v>6789</v>
      </c>
      <c r="F22" s="69">
        <f t="shared" si="0"/>
        <v>6789</v>
      </c>
      <c r="G22" s="51" t="s">
        <v>134</v>
      </c>
    </row>
    <row r="23" spans="1:7" x14ac:dyDescent="0.2">
      <c r="A23" s="41" t="s">
        <v>66</v>
      </c>
      <c r="B23" s="42" t="s">
        <v>48</v>
      </c>
      <c r="C23" s="64" t="s">
        <v>106</v>
      </c>
      <c r="D23" s="65"/>
      <c r="E23" s="65"/>
      <c r="F23" s="66">
        <f>SUM(F24:F39)</f>
        <v>408226.81</v>
      </c>
      <c r="G23" s="50"/>
    </row>
    <row r="24" spans="1:7" x14ac:dyDescent="0.2">
      <c r="A24" s="43" t="s">
        <v>67</v>
      </c>
      <c r="B24" s="44" t="s">
        <v>137</v>
      </c>
      <c r="C24" s="67" t="s">
        <v>127</v>
      </c>
      <c r="D24" s="68">
        <v>1</v>
      </c>
      <c r="E24" s="68">
        <v>11611.7</v>
      </c>
      <c r="F24" s="68">
        <v>11611.7</v>
      </c>
      <c r="G24" s="51" t="s">
        <v>134</v>
      </c>
    </row>
    <row r="25" spans="1:7" x14ac:dyDescent="0.2">
      <c r="A25" s="43" t="s">
        <v>68</v>
      </c>
      <c r="B25" s="44" t="s">
        <v>138</v>
      </c>
      <c r="C25" s="67" t="s">
        <v>127</v>
      </c>
      <c r="D25" s="68">
        <v>1</v>
      </c>
      <c r="E25" s="68">
        <v>79546</v>
      </c>
      <c r="F25" s="68">
        <v>79546</v>
      </c>
      <c r="G25" s="51" t="s">
        <v>134</v>
      </c>
    </row>
    <row r="26" spans="1:7" x14ac:dyDescent="0.2">
      <c r="A26" s="43" t="s">
        <v>69</v>
      </c>
      <c r="B26" s="44" t="s">
        <v>139</v>
      </c>
      <c r="C26" s="67" t="s">
        <v>127</v>
      </c>
      <c r="D26" s="68">
        <v>1</v>
      </c>
      <c r="E26" s="68">
        <v>50000</v>
      </c>
      <c r="F26" s="68">
        <v>50000</v>
      </c>
      <c r="G26" s="51" t="s">
        <v>134</v>
      </c>
    </row>
    <row r="27" spans="1:7" x14ac:dyDescent="0.2">
      <c r="A27" s="43" t="s">
        <v>108</v>
      </c>
      <c r="B27" s="44" t="s">
        <v>140</v>
      </c>
      <c r="C27" s="67" t="s">
        <v>127</v>
      </c>
      <c r="D27" s="68">
        <v>1</v>
      </c>
      <c r="E27" s="68">
        <v>67889</v>
      </c>
      <c r="F27" s="68">
        <v>67889</v>
      </c>
      <c r="G27" s="51" t="s">
        <v>134</v>
      </c>
    </row>
    <row r="28" spans="1:7" x14ac:dyDescent="0.2">
      <c r="A28" s="43" t="s">
        <v>109</v>
      </c>
      <c r="B28" s="44" t="s">
        <v>141</v>
      </c>
      <c r="C28" s="67" t="s">
        <v>127</v>
      </c>
      <c r="D28" s="68">
        <v>1</v>
      </c>
      <c r="E28" s="68">
        <v>2187.34</v>
      </c>
      <c r="F28" s="68">
        <v>2187.34</v>
      </c>
      <c r="G28" s="51" t="s">
        <v>134</v>
      </c>
    </row>
    <row r="29" spans="1:7" x14ac:dyDescent="0.2">
      <c r="A29" s="43" t="s">
        <v>110</v>
      </c>
      <c r="B29" s="44" t="s">
        <v>142</v>
      </c>
      <c r="C29" s="67" t="s">
        <v>127</v>
      </c>
      <c r="D29" s="68">
        <v>1</v>
      </c>
      <c r="E29" s="68">
        <v>3729</v>
      </c>
      <c r="F29" s="68">
        <v>3729</v>
      </c>
      <c r="G29" s="51" t="s">
        <v>134</v>
      </c>
    </row>
    <row r="30" spans="1:7" x14ac:dyDescent="0.2">
      <c r="A30" s="43" t="s">
        <v>70</v>
      </c>
      <c r="B30" s="44" t="s">
        <v>143</v>
      </c>
      <c r="C30" s="67" t="s">
        <v>127</v>
      </c>
      <c r="D30" s="68">
        <v>1</v>
      </c>
      <c r="E30" s="68">
        <v>41587</v>
      </c>
      <c r="F30" s="68">
        <v>41587</v>
      </c>
      <c r="G30" s="51" t="s">
        <v>134</v>
      </c>
    </row>
    <row r="31" spans="1:7" x14ac:dyDescent="0.2">
      <c r="A31" s="43" t="s">
        <v>111</v>
      </c>
      <c r="B31" s="44" t="s">
        <v>144</v>
      </c>
      <c r="C31" s="67" t="s">
        <v>127</v>
      </c>
      <c r="D31" s="68">
        <v>1</v>
      </c>
      <c r="E31" s="68">
        <v>30000</v>
      </c>
      <c r="F31" s="68">
        <v>30000</v>
      </c>
      <c r="G31" s="51" t="s">
        <v>134</v>
      </c>
    </row>
    <row r="32" spans="1:7" x14ac:dyDescent="0.2">
      <c r="A32" s="43" t="s">
        <v>112</v>
      </c>
      <c r="B32" s="44" t="s">
        <v>145</v>
      </c>
      <c r="C32" s="67" t="s">
        <v>127</v>
      </c>
      <c r="D32" s="68">
        <v>1</v>
      </c>
      <c r="E32" s="68">
        <v>33310</v>
      </c>
      <c r="F32" s="68">
        <v>33310</v>
      </c>
      <c r="G32" s="51" t="s">
        <v>134</v>
      </c>
    </row>
    <row r="33" spans="1:7" x14ac:dyDescent="0.2">
      <c r="A33" s="43" t="s">
        <v>113</v>
      </c>
      <c r="B33" s="44" t="s">
        <v>146</v>
      </c>
      <c r="C33" s="67" t="s">
        <v>127</v>
      </c>
      <c r="D33" s="68">
        <v>1</v>
      </c>
      <c r="E33" s="68">
        <v>2000</v>
      </c>
      <c r="F33" s="68">
        <v>2000</v>
      </c>
      <c r="G33" s="51" t="s">
        <v>134</v>
      </c>
    </row>
    <row r="34" spans="1:7" x14ac:dyDescent="0.2">
      <c r="A34" s="43" t="s">
        <v>117</v>
      </c>
      <c r="B34" s="44" t="s">
        <v>49</v>
      </c>
      <c r="C34" s="67" t="s">
        <v>127</v>
      </c>
      <c r="D34" s="68">
        <v>1</v>
      </c>
      <c r="E34" s="68">
        <v>41016</v>
      </c>
      <c r="F34" s="68">
        <v>41016</v>
      </c>
      <c r="G34" s="51" t="s">
        <v>134</v>
      </c>
    </row>
    <row r="35" spans="1:7" x14ac:dyDescent="0.2">
      <c r="A35" s="43" t="s">
        <v>107</v>
      </c>
      <c r="B35" s="44" t="s">
        <v>50</v>
      </c>
      <c r="C35" s="67" t="s">
        <v>127</v>
      </c>
      <c r="D35" s="68">
        <v>1</v>
      </c>
      <c r="E35" s="68">
        <v>4972</v>
      </c>
      <c r="F35" s="68">
        <v>4972</v>
      </c>
      <c r="G35" s="51" t="s">
        <v>134</v>
      </c>
    </row>
    <row r="36" spans="1:7" x14ac:dyDescent="0.2">
      <c r="A36" s="43" t="s">
        <v>118</v>
      </c>
      <c r="B36" s="44" t="s">
        <v>114</v>
      </c>
      <c r="C36" s="67" t="s">
        <v>127</v>
      </c>
      <c r="D36" s="68">
        <v>1</v>
      </c>
      <c r="E36" s="68">
        <v>7653.17</v>
      </c>
      <c r="F36" s="68">
        <v>7653.17</v>
      </c>
      <c r="G36" s="51" t="s">
        <v>134</v>
      </c>
    </row>
    <row r="37" spans="1:7" x14ac:dyDescent="0.2">
      <c r="A37" s="43" t="s">
        <v>119</v>
      </c>
      <c r="B37" s="44" t="s">
        <v>147</v>
      </c>
      <c r="C37" s="67" t="s">
        <v>127</v>
      </c>
      <c r="D37" s="68">
        <v>1</v>
      </c>
      <c r="E37" s="68">
        <v>28668.99</v>
      </c>
      <c r="F37" s="68">
        <v>28668.99</v>
      </c>
      <c r="G37" s="51" t="s">
        <v>134</v>
      </c>
    </row>
    <row r="38" spans="1:7" x14ac:dyDescent="0.2">
      <c r="A38" s="43" t="s">
        <v>135</v>
      </c>
      <c r="B38" s="44" t="s">
        <v>115</v>
      </c>
      <c r="C38" s="67" t="s">
        <v>127</v>
      </c>
      <c r="D38" s="68">
        <v>1</v>
      </c>
      <c r="E38" s="68">
        <v>2542.13</v>
      </c>
      <c r="F38" s="68">
        <v>2542.13</v>
      </c>
      <c r="G38" s="51" t="s">
        <v>134</v>
      </c>
    </row>
    <row r="39" spans="1:7" x14ac:dyDescent="0.2">
      <c r="A39" s="43" t="s">
        <v>136</v>
      </c>
      <c r="B39" s="44" t="s">
        <v>116</v>
      </c>
      <c r="C39" s="67" t="s">
        <v>127</v>
      </c>
      <c r="D39" s="68">
        <v>1</v>
      </c>
      <c r="E39" s="68">
        <v>1514.48</v>
      </c>
      <c r="F39" s="68">
        <v>1514.48</v>
      </c>
      <c r="G39" s="51" t="s">
        <v>134</v>
      </c>
    </row>
    <row r="40" spans="1:7" x14ac:dyDescent="0.2">
      <c r="A40" s="41" t="s">
        <v>71</v>
      </c>
      <c r="B40" s="42" t="s">
        <v>51</v>
      </c>
      <c r="C40" s="64" t="s">
        <v>106</v>
      </c>
      <c r="D40" s="65"/>
      <c r="E40" s="65"/>
      <c r="F40" s="66">
        <f>SUM(F41:F41)</f>
        <v>37287</v>
      </c>
      <c r="G40" s="50"/>
    </row>
    <row r="41" spans="1:7" x14ac:dyDescent="0.2">
      <c r="A41" s="43" t="s">
        <v>72</v>
      </c>
      <c r="B41" s="44" t="s">
        <v>148</v>
      </c>
      <c r="C41" s="67" t="s">
        <v>45</v>
      </c>
      <c r="D41" s="68">
        <v>1</v>
      </c>
      <c r="E41" s="68">
        <v>37287</v>
      </c>
      <c r="F41" s="69">
        <f t="shared" si="0"/>
        <v>37287</v>
      </c>
      <c r="G41" s="51" t="s">
        <v>134</v>
      </c>
    </row>
    <row r="42" spans="1:7" x14ac:dyDescent="0.2">
      <c r="A42" s="39" t="s">
        <v>73</v>
      </c>
      <c r="B42" s="40" t="s">
        <v>52</v>
      </c>
      <c r="C42" s="61" t="s">
        <v>106</v>
      </c>
      <c r="D42" s="62"/>
      <c r="E42" s="62"/>
      <c r="F42" s="63">
        <f>F43</f>
        <v>193179.79</v>
      </c>
      <c r="G42" s="49"/>
    </row>
    <row r="43" spans="1:7" x14ac:dyDescent="0.2">
      <c r="A43" s="41" t="s">
        <v>74</v>
      </c>
      <c r="B43" s="42" t="s">
        <v>53</v>
      </c>
      <c r="C43" s="64" t="s">
        <v>106</v>
      </c>
      <c r="D43" s="65"/>
      <c r="E43" s="65"/>
      <c r="F43" s="66">
        <f>SUM(F44:F55)</f>
        <v>193179.79</v>
      </c>
      <c r="G43" s="50"/>
    </row>
    <row r="44" spans="1:7" x14ac:dyDescent="0.2">
      <c r="A44" s="43" t="s">
        <v>75</v>
      </c>
      <c r="B44" s="44" t="s">
        <v>152</v>
      </c>
      <c r="C44" s="67" t="s">
        <v>45</v>
      </c>
      <c r="D44" s="68">
        <v>1</v>
      </c>
      <c r="E44" s="68">
        <v>37287</v>
      </c>
      <c r="F44" s="69">
        <f t="shared" ref="F44:F55" si="1">E44*D44</f>
        <v>37287</v>
      </c>
      <c r="G44" s="51" t="s">
        <v>134</v>
      </c>
    </row>
    <row r="45" spans="1:7" x14ac:dyDescent="0.2">
      <c r="A45" s="43" t="s">
        <v>76</v>
      </c>
      <c r="B45" s="44" t="s">
        <v>153</v>
      </c>
      <c r="C45" s="67" t="s">
        <v>45</v>
      </c>
      <c r="D45" s="68">
        <v>1</v>
      </c>
      <c r="E45" s="68">
        <v>4972</v>
      </c>
      <c r="F45" s="69">
        <f t="shared" si="1"/>
        <v>4972</v>
      </c>
      <c r="G45" s="51" t="s">
        <v>134</v>
      </c>
    </row>
    <row r="46" spans="1:7" x14ac:dyDescent="0.2">
      <c r="A46" s="43" t="s">
        <v>77</v>
      </c>
      <c r="B46" s="44" t="s">
        <v>154</v>
      </c>
      <c r="C46" s="67" t="s">
        <v>45</v>
      </c>
      <c r="D46" s="68">
        <v>1</v>
      </c>
      <c r="E46" s="68">
        <v>8883</v>
      </c>
      <c r="F46" s="69">
        <f t="shared" si="1"/>
        <v>8883</v>
      </c>
      <c r="G46" s="51" t="s">
        <v>134</v>
      </c>
    </row>
    <row r="47" spans="1:7" x14ac:dyDescent="0.2">
      <c r="A47" s="43" t="s">
        <v>78</v>
      </c>
      <c r="B47" s="44" t="s">
        <v>155</v>
      </c>
      <c r="C47" s="67" t="s">
        <v>45</v>
      </c>
      <c r="D47" s="68">
        <v>1</v>
      </c>
      <c r="E47" s="68">
        <v>1134</v>
      </c>
      <c r="F47" s="69">
        <f t="shared" si="1"/>
        <v>1134</v>
      </c>
      <c r="G47" s="51" t="s">
        <v>134</v>
      </c>
    </row>
    <row r="48" spans="1:7" x14ac:dyDescent="0.2">
      <c r="A48" s="43" t="s">
        <v>79</v>
      </c>
      <c r="B48" s="44" t="s">
        <v>156</v>
      </c>
      <c r="C48" s="67" t="s">
        <v>45</v>
      </c>
      <c r="D48" s="68">
        <v>1</v>
      </c>
      <c r="E48" s="68">
        <v>1134</v>
      </c>
      <c r="F48" s="69">
        <f t="shared" si="1"/>
        <v>1134</v>
      </c>
      <c r="G48" s="51" t="s">
        <v>134</v>
      </c>
    </row>
    <row r="49" spans="1:28" x14ac:dyDescent="0.2">
      <c r="A49" s="43" t="s">
        <v>80</v>
      </c>
      <c r="B49" s="44" t="s">
        <v>157</v>
      </c>
      <c r="C49" s="67" t="s">
        <v>45</v>
      </c>
      <c r="D49" s="68">
        <v>1</v>
      </c>
      <c r="E49" s="68">
        <v>4972</v>
      </c>
      <c r="F49" s="69">
        <f t="shared" si="1"/>
        <v>4972</v>
      </c>
      <c r="G49" s="51" t="s">
        <v>134</v>
      </c>
    </row>
    <row r="50" spans="1:28" x14ac:dyDescent="0.2">
      <c r="A50" s="43" t="s">
        <v>120</v>
      </c>
      <c r="B50" s="44" t="s">
        <v>158</v>
      </c>
      <c r="C50" s="67" t="s">
        <v>45</v>
      </c>
      <c r="D50" s="68">
        <v>1</v>
      </c>
      <c r="E50" s="68">
        <v>4535</v>
      </c>
      <c r="F50" s="69">
        <f t="shared" si="1"/>
        <v>4535</v>
      </c>
      <c r="G50" s="51" t="s">
        <v>134</v>
      </c>
    </row>
    <row r="51" spans="1:28" x14ac:dyDescent="0.2">
      <c r="A51" s="43" t="s">
        <v>122</v>
      </c>
      <c r="B51" s="44" t="s">
        <v>159</v>
      </c>
      <c r="C51" s="67" t="s">
        <v>45</v>
      </c>
      <c r="D51" s="68">
        <v>1</v>
      </c>
      <c r="E51" s="68">
        <v>19598</v>
      </c>
      <c r="F51" s="69">
        <f t="shared" si="1"/>
        <v>19598</v>
      </c>
      <c r="G51" s="51" t="s">
        <v>134</v>
      </c>
    </row>
    <row r="52" spans="1:28" x14ac:dyDescent="0.2">
      <c r="A52" s="43" t="s">
        <v>149</v>
      </c>
      <c r="B52" s="44" t="s">
        <v>160</v>
      </c>
      <c r="C52" s="67" t="s">
        <v>45</v>
      </c>
      <c r="D52" s="68">
        <v>1</v>
      </c>
      <c r="E52" s="68">
        <v>39773</v>
      </c>
      <c r="F52" s="69">
        <f t="shared" si="1"/>
        <v>39773</v>
      </c>
      <c r="G52" s="51" t="s">
        <v>134</v>
      </c>
    </row>
    <row r="53" spans="1:28" x14ac:dyDescent="0.2">
      <c r="A53" s="43" t="s">
        <v>150</v>
      </c>
      <c r="B53" s="44" t="s">
        <v>161</v>
      </c>
      <c r="C53" s="67" t="s">
        <v>45</v>
      </c>
      <c r="D53" s="68">
        <v>1</v>
      </c>
      <c r="E53" s="68">
        <v>11315</v>
      </c>
      <c r="F53" s="69">
        <f t="shared" si="1"/>
        <v>11315</v>
      </c>
      <c r="G53" s="51" t="s">
        <v>134</v>
      </c>
    </row>
    <row r="54" spans="1:28" x14ac:dyDescent="0.2">
      <c r="A54" s="43" t="s">
        <v>151</v>
      </c>
      <c r="B54" s="44" t="s">
        <v>11</v>
      </c>
      <c r="C54" s="67" t="s">
        <v>45</v>
      </c>
      <c r="D54" s="68">
        <v>1</v>
      </c>
      <c r="E54" s="68">
        <v>32370.79</v>
      </c>
      <c r="F54" s="69">
        <f t="shared" si="1"/>
        <v>32370.79</v>
      </c>
      <c r="G54" s="51" t="s">
        <v>134</v>
      </c>
    </row>
    <row r="55" spans="1:28" x14ac:dyDescent="0.2">
      <c r="A55" s="43" t="s">
        <v>163</v>
      </c>
      <c r="B55" s="44" t="s">
        <v>162</v>
      </c>
      <c r="C55" s="67" t="s">
        <v>45</v>
      </c>
      <c r="D55" s="68">
        <v>1</v>
      </c>
      <c r="E55" s="68">
        <v>27206</v>
      </c>
      <c r="F55" s="69">
        <f t="shared" si="1"/>
        <v>27206</v>
      </c>
      <c r="G55" s="51" t="s">
        <v>134</v>
      </c>
      <c r="V55" s="1">
        <v>27206</v>
      </c>
      <c r="AB55" s="1">
        <v>27206</v>
      </c>
    </row>
    <row r="56" spans="1:28" x14ac:dyDescent="0.2">
      <c r="A56" s="37">
        <v>2</v>
      </c>
      <c r="B56" s="38" t="s">
        <v>164</v>
      </c>
      <c r="C56" s="58"/>
      <c r="D56" s="59"/>
      <c r="E56" s="59"/>
      <c r="F56" s="60">
        <f>F57</f>
        <v>2500</v>
      </c>
      <c r="G56" s="52"/>
    </row>
    <row r="57" spans="1:28" x14ac:dyDescent="0.2">
      <c r="A57" s="39" t="s">
        <v>165</v>
      </c>
      <c r="B57" s="40" t="s">
        <v>167</v>
      </c>
      <c r="C57" s="61"/>
      <c r="D57" s="62"/>
      <c r="E57" s="62"/>
      <c r="F57" s="63">
        <f>F58</f>
        <v>2500</v>
      </c>
      <c r="G57" s="49"/>
    </row>
    <row r="58" spans="1:28" x14ac:dyDescent="0.2">
      <c r="A58" s="41" t="s">
        <v>166</v>
      </c>
      <c r="B58" s="42" t="s">
        <v>168</v>
      </c>
      <c r="C58" s="64"/>
      <c r="D58" s="65"/>
      <c r="E58" s="65"/>
      <c r="F58" s="66">
        <f>SUM(F59)</f>
        <v>2500</v>
      </c>
      <c r="G58" s="50"/>
    </row>
    <row r="59" spans="1:28" x14ac:dyDescent="0.2">
      <c r="A59" s="43" t="s">
        <v>169</v>
      </c>
      <c r="B59" s="44" t="s">
        <v>170</v>
      </c>
      <c r="C59" s="67" t="s">
        <v>45</v>
      </c>
      <c r="D59" s="68">
        <v>1</v>
      </c>
      <c r="E59" s="68">
        <v>2500</v>
      </c>
      <c r="F59" s="69">
        <f t="shared" ref="F59" si="2">E59*D59</f>
        <v>2500</v>
      </c>
      <c r="G59" s="51" t="s">
        <v>134</v>
      </c>
      <c r="V59" s="1">
        <v>2500</v>
      </c>
      <c r="AB59" s="1">
        <v>2500</v>
      </c>
    </row>
    <row r="60" spans="1:28" x14ac:dyDescent="0.2">
      <c r="A60" s="41" t="s">
        <v>81</v>
      </c>
      <c r="B60" s="42" t="s">
        <v>54</v>
      </c>
      <c r="C60" s="64" t="s">
        <v>106</v>
      </c>
      <c r="D60" s="65"/>
      <c r="E60" s="65"/>
      <c r="F60" s="66">
        <f>SUM(F61:F68)</f>
        <v>202456.6</v>
      </c>
      <c r="G60" s="50"/>
    </row>
    <row r="61" spans="1:28" x14ac:dyDescent="0.2">
      <c r="A61" s="43" t="s">
        <v>177</v>
      </c>
      <c r="B61" s="44" t="s">
        <v>171</v>
      </c>
      <c r="C61" s="67" t="s">
        <v>176</v>
      </c>
      <c r="D61" s="68">
        <v>36</v>
      </c>
      <c r="E61" s="68">
        <v>250</v>
      </c>
      <c r="F61" s="69">
        <v>9000</v>
      </c>
      <c r="G61" s="51" t="s">
        <v>134</v>
      </c>
    </row>
    <row r="62" spans="1:28" ht="31.5" x14ac:dyDescent="0.2">
      <c r="A62" s="43" t="s">
        <v>178</v>
      </c>
      <c r="B62" s="44" t="s">
        <v>172</v>
      </c>
      <c r="C62" s="67" t="s">
        <v>13</v>
      </c>
      <c r="D62" s="68">
        <v>763.69</v>
      </c>
      <c r="E62" s="68">
        <v>1.6600999999999999</v>
      </c>
      <c r="F62" s="69">
        <v>1267.8</v>
      </c>
      <c r="G62" s="51" t="s">
        <v>134</v>
      </c>
    </row>
    <row r="63" spans="1:28" x14ac:dyDescent="0.2">
      <c r="A63" s="43" t="s">
        <v>179</v>
      </c>
      <c r="B63" s="44" t="s">
        <v>12</v>
      </c>
      <c r="C63" s="67" t="s">
        <v>13</v>
      </c>
      <c r="D63" s="68">
        <v>107.43</v>
      </c>
      <c r="E63" s="68">
        <v>92.4</v>
      </c>
      <c r="F63" s="69">
        <v>9926.5300000000007</v>
      </c>
      <c r="G63" s="51" t="s">
        <v>134</v>
      </c>
    </row>
    <row r="64" spans="1:28" x14ac:dyDescent="0.2">
      <c r="A64" s="43" t="s">
        <v>180</v>
      </c>
      <c r="B64" s="44" t="s">
        <v>14</v>
      </c>
      <c r="C64" s="67" t="s">
        <v>13</v>
      </c>
      <c r="D64" s="68">
        <v>71.489999999999995</v>
      </c>
      <c r="E64" s="68">
        <v>92.4</v>
      </c>
      <c r="F64" s="69">
        <v>6605.68</v>
      </c>
      <c r="G64" s="51" t="s">
        <v>134</v>
      </c>
    </row>
    <row r="65" spans="1:28" x14ac:dyDescent="0.2">
      <c r="A65" s="43" t="s">
        <v>181</v>
      </c>
      <c r="B65" s="44" t="s">
        <v>173</v>
      </c>
      <c r="C65" s="67" t="s">
        <v>13</v>
      </c>
      <c r="D65" s="68">
        <v>285.95999999999998</v>
      </c>
      <c r="E65" s="68">
        <v>495.25760000000002</v>
      </c>
      <c r="F65" s="69">
        <v>141623.85999999999</v>
      </c>
      <c r="G65" s="51" t="s">
        <v>134</v>
      </c>
    </row>
    <row r="66" spans="1:28" x14ac:dyDescent="0.2">
      <c r="A66" s="43" t="s">
        <v>182</v>
      </c>
      <c r="B66" s="44" t="s">
        <v>174</v>
      </c>
      <c r="C66" s="67" t="s">
        <v>15</v>
      </c>
      <c r="D66" s="68">
        <v>110.88</v>
      </c>
      <c r="E66" s="68">
        <v>41.488300000000002</v>
      </c>
      <c r="F66" s="69">
        <v>4600.22</v>
      </c>
      <c r="G66" s="51" t="s">
        <v>134</v>
      </c>
    </row>
    <row r="67" spans="1:28" x14ac:dyDescent="0.2">
      <c r="A67" s="43" t="s">
        <v>183</v>
      </c>
      <c r="B67" s="44" t="s">
        <v>121</v>
      </c>
      <c r="C67" s="67" t="s">
        <v>13</v>
      </c>
      <c r="D67" s="68">
        <v>81.599999999999994</v>
      </c>
      <c r="E67" s="68">
        <v>153.9401</v>
      </c>
      <c r="F67" s="69">
        <v>12561.51</v>
      </c>
      <c r="G67" s="51" t="s">
        <v>134</v>
      </c>
    </row>
    <row r="68" spans="1:28" x14ac:dyDescent="0.2">
      <c r="A68" s="43" t="s">
        <v>184</v>
      </c>
      <c r="B68" s="44" t="s">
        <v>175</v>
      </c>
      <c r="C68" s="67" t="s">
        <v>13</v>
      </c>
      <c r="D68" s="68">
        <v>71.489999999999995</v>
      </c>
      <c r="E68" s="68">
        <v>235.99109999999999</v>
      </c>
      <c r="F68" s="69">
        <v>16871</v>
      </c>
      <c r="G68" s="51" t="s">
        <v>134</v>
      </c>
    </row>
    <row r="69" spans="1:28" x14ac:dyDescent="0.2">
      <c r="A69" s="41" t="s">
        <v>185</v>
      </c>
      <c r="B69" s="42" t="s">
        <v>186</v>
      </c>
      <c r="C69" s="64"/>
      <c r="D69" s="65"/>
      <c r="E69" s="65"/>
      <c r="F69" s="66">
        <f>SUM(F70:F73)</f>
        <v>62081.54</v>
      </c>
      <c r="G69" s="50"/>
    </row>
    <row r="70" spans="1:28" x14ac:dyDescent="0.2">
      <c r="A70" s="43" t="s">
        <v>187</v>
      </c>
      <c r="B70" s="44" t="s">
        <v>188</v>
      </c>
      <c r="C70" s="67" t="s">
        <v>127</v>
      </c>
      <c r="D70" s="68">
        <v>1</v>
      </c>
      <c r="E70" s="68">
        <v>2351.16</v>
      </c>
      <c r="F70" s="69">
        <v>2351.16</v>
      </c>
      <c r="G70" s="51" t="s">
        <v>134</v>
      </c>
    </row>
    <row r="71" spans="1:28" ht="31.5" x14ac:dyDescent="0.2">
      <c r="A71" s="43" t="s">
        <v>189</v>
      </c>
      <c r="B71" s="44" t="s">
        <v>190</v>
      </c>
      <c r="C71" s="67" t="s">
        <v>127</v>
      </c>
      <c r="D71" s="68">
        <v>1</v>
      </c>
      <c r="E71" s="68">
        <v>2730.38</v>
      </c>
      <c r="F71" s="69">
        <v>2730.38</v>
      </c>
      <c r="G71" s="51" t="s">
        <v>134</v>
      </c>
    </row>
    <row r="72" spans="1:28" x14ac:dyDescent="0.2">
      <c r="A72" s="43" t="s">
        <v>191</v>
      </c>
      <c r="B72" s="44" t="s">
        <v>192</v>
      </c>
      <c r="C72" s="67" t="s">
        <v>127</v>
      </c>
      <c r="D72" s="68">
        <v>1</v>
      </c>
      <c r="E72" s="68">
        <v>3000</v>
      </c>
      <c r="F72" s="69">
        <v>3000</v>
      </c>
      <c r="G72" s="51" t="s">
        <v>134</v>
      </c>
    </row>
    <row r="73" spans="1:28" x14ac:dyDescent="0.2">
      <c r="A73" s="43" t="s">
        <v>193</v>
      </c>
      <c r="B73" s="44" t="s">
        <v>194</v>
      </c>
      <c r="C73" s="67" t="s">
        <v>176</v>
      </c>
      <c r="D73" s="68">
        <v>36</v>
      </c>
      <c r="E73" s="68">
        <v>1500</v>
      </c>
      <c r="F73" s="69">
        <v>54000</v>
      </c>
      <c r="G73" s="51" t="s">
        <v>134</v>
      </c>
    </row>
    <row r="74" spans="1:28" x14ac:dyDescent="0.2">
      <c r="A74" s="39" t="s">
        <v>195</v>
      </c>
      <c r="B74" s="40" t="s">
        <v>196</v>
      </c>
      <c r="C74" s="61"/>
      <c r="D74" s="62"/>
      <c r="E74" s="62"/>
      <c r="F74" s="66">
        <f>SUM(F75:F81)</f>
        <v>224712</v>
      </c>
      <c r="G74" s="49"/>
      <c r="AB74" s="1">
        <v>285712</v>
      </c>
    </row>
    <row r="75" spans="1:28" x14ac:dyDescent="0.2">
      <c r="A75" s="43" t="s">
        <v>199</v>
      </c>
      <c r="B75" s="44" t="s">
        <v>200</v>
      </c>
      <c r="C75" s="67" t="s">
        <v>176</v>
      </c>
      <c r="D75" s="68">
        <v>36</v>
      </c>
      <c r="E75" s="68">
        <v>657</v>
      </c>
      <c r="F75" s="69">
        <v>23652</v>
      </c>
      <c r="G75" s="51" t="s">
        <v>39</v>
      </c>
    </row>
    <row r="76" spans="1:28" x14ac:dyDescent="0.2">
      <c r="A76" s="43" t="s">
        <v>201</v>
      </c>
      <c r="B76" s="44" t="s">
        <v>202</v>
      </c>
      <c r="C76" s="67" t="s">
        <v>176</v>
      </c>
      <c r="D76" s="68">
        <v>36</v>
      </c>
      <c r="E76" s="68">
        <v>860</v>
      </c>
      <c r="F76" s="69">
        <v>30960</v>
      </c>
      <c r="G76" s="51" t="s">
        <v>39</v>
      </c>
    </row>
    <row r="77" spans="1:28" x14ac:dyDescent="0.2">
      <c r="A77" s="43" t="s">
        <v>203</v>
      </c>
      <c r="B77" s="44" t="s">
        <v>204</v>
      </c>
      <c r="C77" s="67" t="s">
        <v>176</v>
      </c>
      <c r="D77" s="68">
        <v>36</v>
      </c>
      <c r="E77" s="68">
        <v>373</v>
      </c>
      <c r="F77" s="69">
        <v>13428</v>
      </c>
      <c r="G77" s="51" t="s">
        <v>39</v>
      </c>
    </row>
    <row r="78" spans="1:28" x14ac:dyDescent="0.2">
      <c r="A78" s="43" t="s">
        <v>205</v>
      </c>
      <c r="B78" s="44" t="s">
        <v>206</v>
      </c>
      <c r="C78" s="67" t="s">
        <v>176</v>
      </c>
      <c r="D78" s="68">
        <v>36</v>
      </c>
      <c r="E78" s="68">
        <v>2983</v>
      </c>
      <c r="F78" s="69">
        <v>107388</v>
      </c>
      <c r="G78" s="51" t="s">
        <v>39</v>
      </c>
    </row>
    <row r="79" spans="1:28" x14ac:dyDescent="0.2">
      <c r="A79" s="43" t="s">
        <v>207</v>
      </c>
      <c r="B79" s="44" t="s">
        <v>208</v>
      </c>
      <c r="C79" s="67" t="s">
        <v>176</v>
      </c>
      <c r="D79" s="68">
        <v>36</v>
      </c>
      <c r="E79" s="68">
        <v>498</v>
      </c>
      <c r="F79" s="69">
        <v>17928</v>
      </c>
      <c r="G79" s="51" t="s">
        <v>39</v>
      </c>
    </row>
    <row r="80" spans="1:28" x14ac:dyDescent="0.2">
      <c r="A80" s="43" t="s">
        <v>209</v>
      </c>
      <c r="B80" s="44" t="s">
        <v>210</v>
      </c>
      <c r="C80" s="67" t="s">
        <v>176</v>
      </c>
      <c r="D80" s="68">
        <v>36</v>
      </c>
      <c r="E80" s="68">
        <v>498</v>
      </c>
      <c r="F80" s="69">
        <v>17928</v>
      </c>
      <c r="G80" s="51" t="s">
        <v>39</v>
      </c>
    </row>
    <row r="81" spans="1:28" x14ac:dyDescent="0.2">
      <c r="A81" s="43" t="s">
        <v>211</v>
      </c>
      <c r="B81" s="44" t="s">
        <v>212</v>
      </c>
      <c r="C81" s="67" t="s">
        <v>176</v>
      </c>
      <c r="D81" s="68">
        <v>36</v>
      </c>
      <c r="E81" s="68">
        <v>373</v>
      </c>
      <c r="F81" s="69">
        <v>13428</v>
      </c>
      <c r="G81" s="51" t="s">
        <v>39</v>
      </c>
    </row>
    <row r="82" spans="1:28" x14ac:dyDescent="0.2">
      <c r="A82" s="39" t="s">
        <v>223</v>
      </c>
      <c r="B82" s="40" t="s">
        <v>214</v>
      </c>
      <c r="C82" s="61"/>
      <c r="D82" s="62"/>
      <c r="E82" s="62"/>
      <c r="F82" s="63">
        <f>F83</f>
        <v>61000</v>
      </c>
      <c r="G82" s="49"/>
      <c r="AB82" s="1">
        <v>61000</v>
      </c>
    </row>
    <row r="83" spans="1:28" x14ac:dyDescent="0.2">
      <c r="A83" s="41" t="s">
        <v>224</v>
      </c>
      <c r="B83" s="42" t="s">
        <v>198</v>
      </c>
      <c r="C83" s="64"/>
      <c r="D83" s="65"/>
      <c r="E83" s="65"/>
      <c r="F83" s="66">
        <f>SUM(F84:F87)</f>
        <v>61000</v>
      </c>
      <c r="G83" s="50"/>
      <c r="AB83" s="1">
        <v>224712</v>
      </c>
    </row>
    <row r="84" spans="1:28" x14ac:dyDescent="0.2">
      <c r="A84" s="43" t="s">
        <v>215</v>
      </c>
      <c r="B84" s="44" t="s">
        <v>219</v>
      </c>
      <c r="C84" s="67" t="s">
        <v>176</v>
      </c>
      <c r="D84" s="68">
        <v>36</v>
      </c>
      <c r="E84" s="68">
        <v>1500</v>
      </c>
      <c r="F84" s="69">
        <v>54000</v>
      </c>
      <c r="G84" s="51" t="s">
        <v>134</v>
      </c>
      <c r="V84" s="1">
        <v>500</v>
      </c>
      <c r="AB84" s="1">
        <v>400000</v>
      </c>
    </row>
    <row r="85" spans="1:28" x14ac:dyDescent="0.2">
      <c r="A85" s="43" t="s">
        <v>216</v>
      </c>
      <c r="B85" s="44" t="s">
        <v>220</v>
      </c>
      <c r="C85" s="67" t="s">
        <v>127</v>
      </c>
      <c r="D85" s="68">
        <v>1</v>
      </c>
      <c r="E85" s="68">
        <v>2500</v>
      </c>
      <c r="F85" s="69">
        <v>2500</v>
      </c>
      <c r="G85" s="51" t="s">
        <v>39</v>
      </c>
    </row>
    <row r="86" spans="1:28" x14ac:dyDescent="0.2">
      <c r="A86" s="43" t="s">
        <v>217</v>
      </c>
      <c r="B86" s="44" t="s">
        <v>221</v>
      </c>
      <c r="C86" s="67" t="s">
        <v>127</v>
      </c>
      <c r="D86" s="68">
        <v>1</v>
      </c>
      <c r="E86" s="68">
        <v>4000</v>
      </c>
      <c r="F86" s="69">
        <v>4000</v>
      </c>
      <c r="G86" s="51" t="s">
        <v>39</v>
      </c>
    </row>
    <row r="87" spans="1:28" x14ac:dyDescent="0.2">
      <c r="A87" s="43" t="s">
        <v>218</v>
      </c>
      <c r="B87" s="44" t="s">
        <v>222</v>
      </c>
      <c r="C87" s="67" t="s">
        <v>127</v>
      </c>
      <c r="D87" s="68">
        <v>1</v>
      </c>
      <c r="E87" s="68">
        <v>500</v>
      </c>
      <c r="F87" s="69">
        <v>500</v>
      </c>
      <c r="G87" s="51" t="s">
        <v>39</v>
      </c>
    </row>
    <row r="88" spans="1:28" x14ac:dyDescent="0.2">
      <c r="A88" s="39" t="s">
        <v>223</v>
      </c>
      <c r="B88" s="40" t="s">
        <v>227</v>
      </c>
      <c r="C88" s="61"/>
      <c r="D88" s="62"/>
      <c r="E88" s="62"/>
      <c r="F88" s="63">
        <f>F89+F91</f>
        <v>404160</v>
      </c>
      <c r="G88" s="49"/>
      <c r="AB88" s="1">
        <v>285712</v>
      </c>
    </row>
    <row r="89" spans="1:28" x14ac:dyDescent="0.2">
      <c r="A89" s="41" t="s">
        <v>224</v>
      </c>
      <c r="B89" s="42" t="s">
        <v>57</v>
      </c>
      <c r="C89" s="64"/>
      <c r="D89" s="65"/>
      <c r="E89" s="65"/>
      <c r="F89" s="66">
        <f>SUM(F90)</f>
        <v>400000</v>
      </c>
      <c r="G89" s="50"/>
      <c r="AB89" s="1">
        <v>224712</v>
      </c>
    </row>
    <row r="90" spans="1:28" ht="18.2" customHeight="1" x14ac:dyDescent="0.2">
      <c r="A90" s="43" t="s">
        <v>225</v>
      </c>
      <c r="B90" s="44" t="s">
        <v>226</v>
      </c>
      <c r="C90" s="67" t="s">
        <v>15</v>
      </c>
      <c r="D90" s="68">
        <v>800</v>
      </c>
      <c r="E90" s="68">
        <v>500</v>
      </c>
      <c r="F90" s="69">
        <f>E90*D90</f>
        <v>400000</v>
      </c>
      <c r="G90" s="51" t="s">
        <v>39</v>
      </c>
      <c r="V90" s="1">
        <v>500</v>
      </c>
      <c r="AB90" s="1">
        <v>400000</v>
      </c>
    </row>
    <row r="91" spans="1:28" x14ac:dyDescent="0.2">
      <c r="A91" s="41" t="s">
        <v>228</v>
      </c>
      <c r="B91" s="42" t="s">
        <v>229</v>
      </c>
      <c r="C91" s="64"/>
      <c r="D91" s="65"/>
      <c r="E91" s="65"/>
      <c r="F91" s="66">
        <f>SUM(F92)</f>
        <v>4160</v>
      </c>
      <c r="G91" s="50"/>
      <c r="AB91" s="1">
        <v>445.61</v>
      </c>
    </row>
    <row r="92" spans="1:28" ht="18.2" customHeight="1" x14ac:dyDescent="0.2">
      <c r="A92" s="43" t="s">
        <v>230</v>
      </c>
      <c r="B92" s="44" t="s">
        <v>231</v>
      </c>
      <c r="C92" s="67" t="s">
        <v>15</v>
      </c>
      <c r="D92" s="68">
        <v>800</v>
      </c>
      <c r="E92" s="68">
        <v>5.2</v>
      </c>
      <c r="F92" s="69">
        <f>E92*D92</f>
        <v>4160</v>
      </c>
      <c r="G92" s="51" t="s">
        <v>39</v>
      </c>
      <c r="V92" s="1">
        <v>0.52</v>
      </c>
      <c r="AB92" s="1">
        <v>445.61</v>
      </c>
    </row>
    <row r="93" spans="1:28" x14ac:dyDescent="0.2">
      <c r="A93" s="39" t="s">
        <v>223</v>
      </c>
      <c r="B93" s="40" t="s">
        <v>18</v>
      </c>
      <c r="C93" s="61"/>
      <c r="D93" s="62"/>
      <c r="E93" s="62"/>
      <c r="F93" s="63">
        <f>F94</f>
        <v>723541</v>
      </c>
      <c r="G93" s="49"/>
      <c r="AB93" s="1">
        <v>285712</v>
      </c>
    </row>
    <row r="94" spans="1:28" x14ac:dyDescent="0.2">
      <c r="A94" s="41" t="s">
        <v>224</v>
      </c>
      <c r="B94" s="42" t="s">
        <v>18</v>
      </c>
      <c r="C94" s="64"/>
      <c r="D94" s="65"/>
      <c r="E94" s="65"/>
      <c r="F94" s="66">
        <f>F95+F100</f>
        <v>723541</v>
      </c>
      <c r="G94" s="50"/>
      <c r="AB94" s="1">
        <v>224712</v>
      </c>
    </row>
    <row r="95" spans="1:28" x14ac:dyDescent="0.2">
      <c r="A95" s="73">
        <v>3001001</v>
      </c>
      <c r="B95" s="42" t="s">
        <v>60</v>
      </c>
      <c r="C95" s="64"/>
      <c r="D95" s="65"/>
      <c r="E95" s="65"/>
      <c r="F95" s="66">
        <f>SUM(F96:F99)</f>
        <v>414800</v>
      </c>
      <c r="G95" s="50"/>
      <c r="AB95" s="1">
        <v>224712</v>
      </c>
    </row>
    <row r="96" spans="1:28" ht="18.2" customHeight="1" x14ac:dyDescent="0.2">
      <c r="A96" s="43" t="s">
        <v>241</v>
      </c>
      <c r="B96" s="44" t="s">
        <v>237</v>
      </c>
      <c r="C96" s="67" t="s">
        <v>127</v>
      </c>
      <c r="D96" s="68">
        <v>1</v>
      </c>
      <c r="E96" s="68">
        <v>300000</v>
      </c>
      <c r="F96" s="69">
        <f>E96*D96</f>
        <v>300000</v>
      </c>
      <c r="G96" s="51" t="s">
        <v>134</v>
      </c>
    </row>
    <row r="97" spans="1:7" ht="18.2" customHeight="1" x14ac:dyDescent="0.2">
      <c r="A97" s="43" t="s">
        <v>242</v>
      </c>
      <c r="B97" s="44" t="s">
        <v>238</v>
      </c>
      <c r="C97" s="67" t="s">
        <v>127</v>
      </c>
      <c r="D97" s="68">
        <v>1</v>
      </c>
      <c r="E97" s="68">
        <v>17600</v>
      </c>
      <c r="F97" s="69">
        <f t="shared" ref="F97:F106" si="3">E97*D97</f>
        <v>17600</v>
      </c>
      <c r="G97" s="51" t="s">
        <v>39</v>
      </c>
    </row>
    <row r="98" spans="1:7" ht="18.2" customHeight="1" x14ac:dyDescent="0.2">
      <c r="A98" s="43" t="s">
        <v>243</v>
      </c>
      <c r="B98" s="44" t="s">
        <v>239</v>
      </c>
      <c r="C98" s="67" t="s">
        <v>176</v>
      </c>
      <c r="D98" s="68">
        <v>17</v>
      </c>
      <c r="E98" s="68">
        <v>1600</v>
      </c>
      <c r="F98" s="69">
        <f t="shared" si="3"/>
        <v>27200</v>
      </c>
      <c r="G98" s="51" t="s">
        <v>39</v>
      </c>
    </row>
    <row r="99" spans="1:7" ht="18.2" customHeight="1" x14ac:dyDescent="0.2">
      <c r="A99" s="43" t="s">
        <v>244</v>
      </c>
      <c r="B99" s="44" t="s">
        <v>240</v>
      </c>
      <c r="C99" s="67" t="s">
        <v>127</v>
      </c>
      <c r="D99" s="68">
        <v>1</v>
      </c>
      <c r="E99" s="68">
        <v>70000</v>
      </c>
      <c r="F99" s="69">
        <f t="shared" si="3"/>
        <v>70000</v>
      </c>
      <c r="G99" s="51" t="s">
        <v>39</v>
      </c>
    </row>
    <row r="100" spans="1:7" x14ac:dyDescent="0.2">
      <c r="A100" s="41" t="s">
        <v>82</v>
      </c>
      <c r="B100" s="42" t="s">
        <v>55</v>
      </c>
      <c r="C100" s="64" t="s">
        <v>106</v>
      </c>
      <c r="D100" s="65"/>
      <c r="E100" s="65"/>
      <c r="F100" s="66">
        <f>SUM(F101:F106)</f>
        <v>308741</v>
      </c>
      <c r="G100" s="50"/>
    </row>
    <row r="101" spans="1:7" x14ac:dyDescent="0.2">
      <c r="A101" s="43" t="s">
        <v>83</v>
      </c>
      <c r="B101" s="44" t="s">
        <v>16</v>
      </c>
      <c r="C101" s="67" t="s">
        <v>176</v>
      </c>
      <c r="D101" s="68">
        <v>3</v>
      </c>
      <c r="E101" s="68">
        <v>3000</v>
      </c>
      <c r="F101" s="69">
        <f t="shared" si="3"/>
        <v>9000</v>
      </c>
      <c r="G101" s="51" t="s">
        <v>39</v>
      </c>
    </row>
    <row r="102" spans="1:7" x14ac:dyDescent="0.2">
      <c r="A102" s="43" t="s">
        <v>84</v>
      </c>
      <c r="B102" s="44" t="s">
        <v>56</v>
      </c>
      <c r="C102" s="67" t="s">
        <v>127</v>
      </c>
      <c r="D102" s="68">
        <v>4637.62</v>
      </c>
      <c r="E102" s="68">
        <v>50</v>
      </c>
      <c r="F102" s="69">
        <f t="shared" si="3"/>
        <v>231881</v>
      </c>
      <c r="G102" s="51" t="s">
        <v>39</v>
      </c>
    </row>
    <row r="103" spans="1:7" x14ac:dyDescent="0.2">
      <c r="A103" s="43" t="s">
        <v>85</v>
      </c>
      <c r="B103" s="44" t="s">
        <v>57</v>
      </c>
      <c r="C103" s="67" t="s">
        <v>13</v>
      </c>
      <c r="D103" s="68">
        <v>106.4</v>
      </c>
      <c r="E103" s="68">
        <v>25</v>
      </c>
      <c r="F103" s="69">
        <f t="shared" si="3"/>
        <v>2660</v>
      </c>
      <c r="G103" s="51" t="s">
        <v>39</v>
      </c>
    </row>
    <row r="104" spans="1:7" x14ac:dyDescent="0.2">
      <c r="A104" s="43" t="s">
        <v>245</v>
      </c>
      <c r="B104" s="44" t="s">
        <v>58</v>
      </c>
      <c r="C104" s="67" t="s">
        <v>176</v>
      </c>
      <c r="D104" s="68">
        <v>2</v>
      </c>
      <c r="E104" s="68">
        <v>1100</v>
      </c>
      <c r="F104" s="69">
        <f t="shared" si="3"/>
        <v>2200</v>
      </c>
      <c r="G104" s="51" t="s">
        <v>39</v>
      </c>
    </row>
    <row r="105" spans="1:7" x14ac:dyDescent="0.2">
      <c r="A105" s="43" t="s">
        <v>246</v>
      </c>
      <c r="B105" s="44" t="s">
        <v>59</v>
      </c>
      <c r="C105" s="67" t="s">
        <v>176</v>
      </c>
      <c r="D105" s="68">
        <v>10</v>
      </c>
      <c r="E105" s="68">
        <v>1800</v>
      </c>
      <c r="F105" s="69">
        <f t="shared" si="3"/>
        <v>18000</v>
      </c>
      <c r="G105" s="51" t="s">
        <v>39</v>
      </c>
    </row>
    <row r="106" spans="1:7" x14ac:dyDescent="0.2">
      <c r="A106" s="43" t="s">
        <v>247</v>
      </c>
      <c r="B106" s="44" t="s">
        <v>17</v>
      </c>
      <c r="C106" s="67" t="s">
        <v>19</v>
      </c>
      <c r="D106" s="68">
        <v>100</v>
      </c>
      <c r="E106" s="68">
        <v>450</v>
      </c>
      <c r="F106" s="69">
        <f t="shared" si="3"/>
        <v>45000</v>
      </c>
      <c r="G106" s="51" t="s">
        <v>39</v>
      </c>
    </row>
    <row r="107" spans="1:7" x14ac:dyDescent="0.2">
      <c r="A107" s="152" t="s">
        <v>86</v>
      </c>
      <c r="B107" s="153" t="s">
        <v>37</v>
      </c>
      <c r="C107" s="154" t="s">
        <v>106</v>
      </c>
      <c r="D107" s="154"/>
      <c r="E107" s="155"/>
      <c r="F107" s="156">
        <v>18860718.649999999</v>
      </c>
      <c r="G107" s="157"/>
    </row>
    <row r="108" spans="1:7" s="151" customFormat="1" x14ac:dyDescent="0.2">
      <c r="A108" s="145" t="s">
        <v>248</v>
      </c>
      <c r="B108" s="146" t="s">
        <v>553</v>
      </c>
      <c r="C108" s="147"/>
      <c r="D108" s="148"/>
      <c r="E108" s="148"/>
      <c r="F108" s="149">
        <v>230869.63</v>
      </c>
      <c r="G108" s="150" t="s">
        <v>833</v>
      </c>
    </row>
    <row r="109" spans="1:7" x14ac:dyDescent="0.2">
      <c r="A109" s="39" t="s">
        <v>249</v>
      </c>
      <c r="B109" s="40" t="s">
        <v>553</v>
      </c>
      <c r="C109" s="61"/>
      <c r="D109" s="62"/>
      <c r="E109" s="62"/>
      <c r="F109" s="63">
        <v>230869.63</v>
      </c>
      <c r="G109" s="49"/>
    </row>
    <row r="110" spans="1:7" x14ac:dyDescent="0.2">
      <c r="A110" s="41" t="s">
        <v>250</v>
      </c>
      <c r="B110" s="42" t="s">
        <v>554</v>
      </c>
      <c r="C110" s="64"/>
      <c r="D110" s="65"/>
      <c r="E110" s="65"/>
      <c r="F110" s="66">
        <v>230869.63</v>
      </c>
      <c r="G110" s="50"/>
    </row>
    <row r="111" spans="1:7" x14ac:dyDescent="0.2">
      <c r="A111" s="139" t="s">
        <v>126</v>
      </c>
      <c r="B111" s="140" t="s">
        <v>554</v>
      </c>
      <c r="C111" s="141" t="s">
        <v>127</v>
      </c>
      <c r="D111" s="142">
        <v>1</v>
      </c>
      <c r="E111" s="142">
        <v>230869.63</v>
      </c>
      <c r="F111" s="143">
        <v>230869.63</v>
      </c>
      <c r="G111" s="144"/>
    </row>
    <row r="112" spans="1:7" s="151" customFormat="1" x14ac:dyDescent="0.2">
      <c r="A112" s="145" t="s">
        <v>251</v>
      </c>
      <c r="B112" s="146" t="s">
        <v>20</v>
      </c>
      <c r="C112" s="147"/>
      <c r="D112" s="148"/>
      <c r="E112" s="148"/>
      <c r="F112" s="149">
        <v>933522.84</v>
      </c>
      <c r="G112" s="150" t="s">
        <v>833</v>
      </c>
    </row>
    <row r="113" spans="1:7" x14ac:dyDescent="0.2">
      <c r="A113" s="39" t="s">
        <v>165</v>
      </c>
      <c r="B113" s="40" t="s">
        <v>21</v>
      </c>
      <c r="C113" s="61"/>
      <c r="D113" s="62"/>
      <c r="E113" s="62"/>
      <c r="F113" s="63">
        <v>433319.97</v>
      </c>
      <c r="G113" s="49"/>
    </row>
    <row r="114" spans="1:7" x14ac:dyDescent="0.2">
      <c r="A114" s="41" t="s">
        <v>166</v>
      </c>
      <c r="B114" s="42" t="s">
        <v>105</v>
      </c>
      <c r="C114" s="64"/>
      <c r="D114" s="65"/>
      <c r="E114" s="65"/>
      <c r="F114" s="66">
        <v>95250</v>
      </c>
      <c r="G114" s="50"/>
    </row>
    <row r="115" spans="1:7" x14ac:dyDescent="0.2">
      <c r="A115" s="43" t="s">
        <v>169</v>
      </c>
      <c r="B115" s="44" t="s">
        <v>555</v>
      </c>
      <c r="C115" s="67" t="s">
        <v>13</v>
      </c>
      <c r="D115" s="68">
        <v>375</v>
      </c>
      <c r="E115" s="68">
        <v>50</v>
      </c>
      <c r="F115" s="69">
        <v>18750</v>
      </c>
      <c r="G115" s="136"/>
    </row>
    <row r="116" spans="1:7" x14ac:dyDescent="0.2">
      <c r="A116" s="43" t="s">
        <v>252</v>
      </c>
      <c r="B116" s="44" t="s">
        <v>556</v>
      </c>
      <c r="C116" s="67" t="s">
        <v>13</v>
      </c>
      <c r="D116" s="68">
        <v>1275</v>
      </c>
      <c r="E116" s="68">
        <v>60</v>
      </c>
      <c r="F116" s="69">
        <v>76500</v>
      </c>
      <c r="G116" s="136"/>
    </row>
    <row r="117" spans="1:7" x14ac:dyDescent="0.2">
      <c r="A117" s="41" t="s">
        <v>253</v>
      </c>
      <c r="B117" s="42" t="s">
        <v>88</v>
      </c>
      <c r="C117" s="64"/>
      <c r="D117" s="65"/>
      <c r="E117" s="65"/>
      <c r="F117" s="66">
        <v>64600</v>
      </c>
      <c r="G117" s="50"/>
    </row>
    <row r="118" spans="1:7" x14ac:dyDescent="0.2">
      <c r="A118" s="43" t="s">
        <v>177</v>
      </c>
      <c r="B118" s="44" t="s">
        <v>557</v>
      </c>
      <c r="C118" s="67" t="s">
        <v>127</v>
      </c>
      <c r="D118" s="68">
        <v>1</v>
      </c>
      <c r="E118" s="68">
        <v>64600</v>
      </c>
      <c r="F118" s="68">
        <v>64600</v>
      </c>
      <c r="G118" s="136"/>
    </row>
    <row r="119" spans="1:7" x14ac:dyDescent="0.2">
      <c r="A119" s="41" t="s">
        <v>185</v>
      </c>
      <c r="B119" s="42" t="s">
        <v>89</v>
      </c>
      <c r="C119" s="64"/>
      <c r="D119" s="65"/>
      <c r="E119" s="65"/>
      <c r="F119" s="66">
        <v>273469.96999999997</v>
      </c>
      <c r="G119" s="50"/>
    </row>
    <row r="120" spans="1:7" ht="31.5" x14ac:dyDescent="0.2">
      <c r="A120" s="43" t="s">
        <v>187</v>
      </c>
      <c r="B120" s="44" t="s">
        <v>558</v>
      </c>
      <c r="C120" s="67" t="s">
        <v>786</v>
      </c>
      <c r="D120" s="68">
        <v>489</v>
      </c>
      <c r="E120" s="68">
        <v>559.24329999999998</v>
      </c>
      <c r="F120" s="69">
        <v>273469.96999999997</v>
      </c>
      <c r="G120" s="136"/>
    </row>
    <row r="121" spans="1:7" x14ac:dyDescent="0.2">
      <c r="A121" s="39" t="s">
        <v>195</v>
      </c>
      <c r="B121" s="40" t="s">
        <v>22</v>
      </c>
      <c r="C121" s="61"/>
      <c r="D121" s="62"/>
      <c r="E121" s="62"/>
      <c r="F121" s="63">
        <v>500202.87</v>
      </c>
      <c r="G121" s="49"/>
    </row>
    <row r="122" spans="1:7" x14ac:dyDescent="0.2">
      <c r="A122" s="41" t="s">
        <v>254</v>
      </c>
      <c r="B122" s="42" t="s">
        <v>87</v>
      </c>
      <c r="C122" s="64"/>
      <c r="D122" s="65"/>
      <c r="E122" s="65"/>
      <c r="F122" s="66">
        <v>35408.1</v>
      </c>
      <c r="G122" s="50"/>
    </row>
    <row r="123" spans="1:7" ht="31.5" x14ac:dyDescent="0.2">
      <c r="A123" s="43" t="s">
        <v>255</v>
      </c>
      <c r="B123" s="44" t="s">
        <v>559</v>
      </c>
      <c r="C123" s="67" t="s">
        <v>15</v>
      </c>
      <c r="D123" s="68">
        <v>546.72</v>
      </c>
      <c r="E123" s="68">
        <v>64.764600000000002</v>
      </c>
      <c r="F123" s="69">
        <v>35408.1</v>
      </c>
      <c r="G123" s="136"/>
    </row>
    <row r="124" spans="1:7" x14ac:dyDescent="0.2">
      <c r="A124" s="41" t="s">
        <v>256</v>
      </c>
      <c r="B124" s="42" t="s">
        <v>88</v>
      </c>
      <c r="C124" s="64"/>
      <c r="D124" s="65"/>
      <c r="E124" s="65"/>
      <c r="F124" s="66">
        <v>90000</v>
      </c>
      <c r="G124" s="50"/>
    </row>
    <row r="125" spans="1:7" x14ac:dyDescent="0.2">
      <c r="A125" s="43" t="s">
        <v>257</v>
      </c>
      <c r="B125" s="44" t="s">
        <v>560</v>
      </c>
      <c r="C125" s="67" t="s">
        <v>127</v>
      </c>
      <c r="D125" s="68">
        <v>1</v>
      </c>
      <c r="E125" s="68">
        <v>90000</v>
      </c>
      <c r="F125" s="69">
        <v>90000</v>
      </c>
      <c r="G125" s="136"/>
    </row>
    <row r="126" spans="1:7" x14ac:dyDescent="0.2">
      <c r="A126" s="41" t="s">
        <v>197</v>
      </c>
      <c r="B126" s="42" t="s">
        <v>89</v>
      </c>
      <c r="C126" s="64"/>
      <c r="D126" s="65"/>
      <c r="E126" s="65"/>
      <c r="F126" s="66">
        <v>150000.01999999999</v>
      </c>
      <c r="G126" s="50"/>
    </row>
    <row r="127" spans="1:7" ht="31.5" x14ac:dyDescent="0.2">
      <c r="A127" s="43" t="s">
        <v>199</v>
      </c>
      <c r="B127" s="44" t="s">
        <v>561</v>
      </c>
      <c r="C127" s="67" t="s">
        <v>786</v>
      </c>
      <c r="D127" s="68">
        <v>270.08999999999997</v>
      </c>
      <c r="E127" s="68">
        <v>555.37049999999999</v>
      </c>
      <c r="F127" s="69">
        <v>150000.01999999999</v>
      </c>
      <c r="G127" s="136"/>
    </row>
    <row r="128" spans="1:7" x14ac:dyDescent="0.2">
      <c r="A128" s="41" t="s">
        <v>213</v>
      </c>
      <c r="B128" s="42" t="s">
        <v>562</v>
      </c>
      <c r="C128" s="64"/>
      <c r="D128" s="65"/>
      <c r="E128" s="65"/>
      <c r="F128" s="66">
        <v>224794.75</v>
      </c>
      <c r="G128" s="50"/>
    </row>
    <row r="129" spans="1:7" x14ac:dyDescent="0.2">
      <c r="A129" s="43" t="s">
        <v>215</v>
      </c>
      <c r="B129" s="44" t="s">
        <v>563</v>
      </c>
      <c r="C129" s="67" t="s">
        <v>15</v>
      </c>
      <c r="D129" s="68">
        <v>657.83</v>
      </c>
      <c r="E129" s="68">
        <v>325</v>
      </c>
      <c r="F129" s="69">
        <v>213794.75</v>
      </c>
      <c r="G129" s="136"/>
    </row>
    <row r="130" spans="1:7" x14ac:dyDescent="0.2">
      <c r="A130" s="139" t="s">
        <v>216</v>
      </c>
      <c r="B130" s="140" t="s">
        <v>90</v>
      </c>
      <c r="C130" s="141" t="s">
        <v>19</v>
      </c>
      <c r="D130" s="142">
        <v>110</v>
      </c>
      <c r="E130" s="142">
        <v>100</v>
      </c>
      <c r="F130" s="143">
        <v>11000</v>
      </c>
      <c r="G130" s="144"/>
    </row>
    <row r="131" spans="1:7" s="151" customFormat="1" x14ac:dyDescent="0.2">
      <c r="A131" s="145" t="s">
        <v>258</v>
      </c>
      <c r="B131" s="146" t="s">
        <v>23</v>
      </c>
      <c r="C131" s="147"/>
      <c r="D131" s="148"/>
      <c r="E131" s="148"/>
      <c r="F131" s="149">
        <v>4384787.09</v>
      </c>
      <c r="G131" s="150"/>
    </row>
    <row r="132" spans="1:7" x14ac:dyDescent="0.2">
      <c r="A132" s="39" t="s">
        <v>259</v>
      </c>
      <c r="B132" s="40" t="s">
        <v>23</v>
      </c>
      <c r="C132" s="61"/>
      <c r="D132" s="62"/>
      <c r="E132" s="62"/>
      <c r="F132" s="63">
        <v>4384787.09</v>
      </c>
      <c r="G132" s="49"/>
    </row>
    <row r="133" spans="1:7" x14ac:dyDescent="0.2">
      <c r="A133" s="41" t="s">
        <v>260</v>
      </c>
      <c r="B133" s="42" t="s">
        <v>87</v>
      </c>
      <c r="C133" s="64"/>
      <c r="D133" s="65"/>
      <c r="E133" s="65"/>
      <c r="F133" s="66">
        <v>270000</v>
      </c>
      <c r="G133" s="138" t="s">
        <v>833</v>
      </c>
    </row>
    <row r="134" spans="1:7" x14ac:dyDescent="0.2">
      <c r="A134" s="43" t="s">
        <v>241</v>
      </c>
      <c r="B134" s="44" t="s">
        <v>564</v>
      </c>
      <c r="C134" s="67" t="s">
        <v>127</v>
      </c>
      <c r="D134" s="68">
        <v>1</v>
      </c>
      <c r="E134" s="68">
        <v>270000</v>
      </c>
      <c r="F134" s="69">
        <v>270000</v>
      </c>
      <c r="G134" s="51"/>
    </row>
    <row r="135" spans="1:7" x14ac:dyDescent="0.2">
      <c r="A135" s="41" t="s">
        <v>232</v>
      </c>
      <c r="B135" s="42" t="s">
        <v>88</v>
      </c>
      <c r="C135" s="64"/>
      <c r="D135" s="65"/>
      <c r="E135" s="65"/>
      <c r="F135" s="66">
        <v>1263875.28</v>
      </c>
      <c r="G135" s="138" t="s">
        <v>834</v>
      </c>
    </row>
    <row r="136" spans="1:7" ht="31.5" x14ac:dyDescent="0.2">
      <c r="A136" s="43" t="s">
        <v>233</v>
      </c>
      <c r="B136" s="44" t="s">
        <v>565</v>
      </c>
      <c r="C136" s="67" t="s">
        <v>787</v>
      </c>
      <c r="D136" s="68">
        <v>12162</v>
      </c>
      <c r="E136" s="68">
        <v>7.5462999999999996</v>
      </c>
      <c r="F136" s="69">
        <v>91778.1</v>
      </c>
      <c r="G136" s="51"/>
    </row>
    <row r="137" spans="1:7" ht="31.5" x14ac:dyDescent="0.2">
      <c r="A137" s="43" t="s">
        <v>234</v>
      </c>
      <c r="B137" s="44" t="s">
        <v>566</v>
      </c>
      <c r="C137" s="67" t="s">
        <v>787</v>
      </c>
      <c r="D137" s="68">
        <v>14183</v>
      </c>
      <c r="E137" s="68">
        <v>8.7878000000000007</v>
      </c>
      <c r="F137" s="69">
        <v>124637.37</v>
      </c>
      <c r="G137" s="51"/>
    </row>
    <row r="138" spans="1:7" ht="31.5" x14ac:dyDescent="0.2">
      <c r="A138" s="43" t="s">
        <v>235</v>
      </c>
      <c r="B138" s="44" t="s">
        <v>567</v>
      </c>
      <c r="C138" s="67" t="s">
        <v>787</v>
      </c>
      <c r="D138" s="68">
        <v>11329</v>
      </c>
      <c r="E138" s="68">
        <v>10.786799999999999</v>
      </c>
      <c r="F138" s="69">
        <v>122203.66</v>
      </c>
      <c r="G138" s="51"/>
    </row>
    <row r="139" spans="1:7" ht="31.5" x14ac:dyDescent="0.2">
      <c r="A139" s="43" t="s">
        <v>236</v>
      </c>
      <c r="B139" s="44" t="s">
        <v>568</v>
      </c>
      <c r="C139" s="67" t="s">
        <v>787</v>
      </c>
      <c r="D139" s="68">
        <v>13265</v>
      </c>
      <c r="E139" s="68">
        <v>7.6086</v>
      </c>
      <c r="F139" s="69">
        <v>100928.08</v>
      </c>
      <c r="G139" s="51"/>
    </row>
    <row r="140" spans="1:7" ht="31.5" x14ac:dyDescent="0.2">
      <c r="A140" s="43" t="s">
        <v>261</v>
      </c>
      <c r="B140" s="44" t="s">
        <v>569</v>
      </c>
      <c r="C140" s="67" t="s">
        <v>787</v>
      </c>
      <c r="D140" s="68">
        <v>19262</v>
      </c>
      <c r="E140" s="68">
        <v>8.1311</v>
      </c>
      <c r="F140" s="69">
        <v>156621.25</v>
      </c>
      <c r="G140" s="51"/>
    </row>
    <row r="141" spans="1:7" ht="31.5" x14ac:dyDescent="0.2">
      <c r="A141" s="43" t="s">
        <v>262</v>
      </c>
      <c r="B141" s="44" t="s">
        <v>570</v>
      </c>
      <c r="C141" s="67" t="s">
        <v>787</v>
      </c>
      <c r="D141" s="68">
        <v>34784</v>
      </c>
      <c r="E141" s="68">
        <v>7.5206</v>
      </c>
      <c r="F141" s="69">
        <v>261596.55</v>
      </c>
      <c r="G141" s="51"/>
    </row>
    <row r="142" spans="1:7" ht="31.5" x14ac:dyDescent="0.2">
      <c r="A142" s="43" t="s">
        <v>263</v>
      </c>
      <c r="B142" s="44" t="s">
        <v>571</v>
      </c>
      <c r="C142" s="67" t="s">
        <v>787</v>
      </c>
      <c r="D142" s="68">
        <v>28522</v>
      </c>
      <c r="E142" s="68">
        <v>9.1564999999999994</v>
      </c>
      <c r="F142" s="69">
        <v>261161.69</v>
      </c>
      <c r="G142" s="51"/>
    </row>
    <row r="143" spans="1:7" ht="31.5" x14ac:dyDescent="0.2">
      <c r="A143" s="43" t="s">
        <v>264</v>
      </c>
      <c r="B143" s="44" t="s">
        <v>572</v>
      </c>
      <c r="C143" s="67" t="s">
        <v>787</v>
      </c>
      <c r="D143" s="68">
        <v>14338</v>
      </c>
      <c r="E143" s="68">
        <v>10.109400000000001</v>
      </c>
      <c r="F143" s="69">
        <v>144948.57999999999</v>
      </c>
      <c r="G143" s="51"/>
    </row>
    <row r="144" spans="1:7" x14ac:dyDescent="0.2">
      <c r="A144" s="41" t="s">
        <v>265</v>
      </c>
      <c r="B144" s="42" t="s">
        <v>89</v>
      </c>
      <c r="C144" s="64"/>
      <c r="D144" s="65"/>
      <c r="E144" s="65"/>
      <c r="F144" s="66">
        <v>1231052.6100000001</v>
      </c>
      <c r="G144" s="138" t="s">
        <v>834</v>
      </c>
    </row>
    <row r="145" spans="1:7" ht="31.5" x14ac:dyDescent="0.2">
      <c r="A145" s="43" t="s">
        <v>266</v>
      </c>
      <c r="B145" s="44" t="s">
        <v>573</v>
      </c>
      <c r="C145" s="67" t="s">
        <v>786</v>
      </c>
      <c r="D145" s="68">
        <v>1640.24</v>
      </c>
      <c r="E145" s="68">
        <v>750.53200000000004</v>
      </c>
      <c r="F145" s="69">
        <v>1231052.6100000001</v>
      </c>
      <c r="G145" s="51"/>
    </row>
    <row r="146" spans="1:7" x14ac:dyDescent="0.2">
      <c r="A146" s="41" t="s">
        <v>267</v>
      </c>
      <c r="B146" s="42" t="s">
        <v>574</v>
      </c>
      <c r="C146" s="64"/>
      <c r="D146" s="65"/>
      <c r="E146" s="65"/>
      <c r="F146" s="66">
        <v>320000</v>
      </c>
      <c r="G146" s="138" t="s">
        <v>833</v>
      </c>
    </row>
    <row r="147" spans="1:7" x14ac:dyDescent="0.2">
      <c r="A147" s="43" t="s">
        <v>268</v>
      </c>
      <c r="B147" s="44" t="s">
        <v>575</v>
      </c>
      <c r="C147" s="67" t="s">
        <v>127</v>
      </c>
      <c r="D147" s="68">
        <v>1</v>
      </c>
      <c r="E147" s="69">
        <v>320000</v>
      </c>
      <c r="F147" s="69">
        <v>320000</v>
      </c>
      <c r="G147" s="51"/>
    </row>
    <row r="148" spans="1:7" x14ac:dyDescent="0.2">
      <c r="A148" s="41" t="s">
        <v>269</v>
      </c>
      <c r="B148" s="42" t="s">
        <v>562</v>
      </c>
      <c r="C148" s="64"/>
      <c r="D148" s="65"/>
      <c r="E148" s="65"/>
      <c r="F148" s="66">
        <v>1299859.2</v>
      </c>
      <c r="G148" s="138" t="s">
        <v>833</v>
      </c>
    </row>
    <row r="149" spans="1:7" x14ac:dyDescent="0.2">
      <c r="A149" s="43" t="s">
        <v>270</v>
      </c>
      <c r="B149" s="44" t="s">
        <v>576</v>
      </c>
      <c r="C149" s="67" t="s">
        <v>15</v>
      </c>
      <c r="D149" s="68">
        <v>4062.06</v>
      </c>
      <c r="E149" s="69">
        <v>320</v>
      </c>
      <c r="F149" s="69">
        <v>1299859.2</v>
      </c>
      <c r="G149" s="51"/>
    </row>
    <row r="150" spans="1:7" s="151" customFormat="1" x14ac:dyDescent="0.2">
      <c r="A150" s="145" t="s">
        <v>271</v>
      </c>
      <c r="B150" s="146" t="s">
        <v>577</v>
      </c>
      <c r="C150" s="147"/>
      <c r="D150" s="148"/>
      <c r="E150" s="148"/>
      <c r="F150" s="149">
        <v>863630.83</v>
      </c>
      <c r="G150" s="150"/>
    </row>
    <row r="151" spans="1:7" x14ac:dyDescent="0.2">
      <c r="A151" s="39" t="s">
        <v>272</v>
      </c>
      <c r="B151" s="40" t="s">
        <v>577</v>
      </c>
      <c r="C151" s="61"/>
      <c r="D151" s="62"/>
      <c r="E151" s="62"/>
      <c r="F151" s="63">
        <v>863630.83</v>
      </c>
      <c r="G151" s="49"/>
    </row>
    <row r="152" spans="1:7" x14ac:dyDescent="0.2">
      <c r="A152" s="41" t="s">
        <v>273</v>
      </c>
      <c r="B152" s="42" t="s">
        <v>578</v>
      </c>
      <c r="C152" s="64"/>
      <c r="D152" s="65"/>
      <c r="E152" s="65"/>
      <c r="F152" s="66">
        <v>394089.69</v>
      </c>
      <c r="G152" s="138"/>
    </row>
    <row r="153" spans="1:7" ht="47.25" x14ac:dyDescent="0.2">
      <c r="A153" s="43" t="s">
        <v>274</v>
      </c>
      <c r="B153" s="44" t="s">
        <v>579</v>
      </c>
      <c r="C153" s="67" t="s">
        <v>15</v>
      </c>
      <c r="D153" s="68">
        <v>2833.42</v>
      </c>
      <c r="E153" s="68">
        <v>58.533499999999997</v>
      </c>
      <c r="F153" s="69">
        <v>165849.99</v>
      </c>
      <c r="G153" s="51"/>
    </row>
    <row r="154" spans="1:7" ht="47.25" x14ac:dyDescent="0.2">
      <c r="A154" s="43" t="s">
        <v>275</v>
      </c>
      <c r="B154" s="44" t="s">
        <v>580</v>
      </c>
      <c r="C154" s="67" t="s">
        <v>15</v>
      </c>
      <c r="D154" s="68">
        <v>2345.8200000000002</v>
      </c>
      <c r="E154" s="68">
        <v>58.094499999999996</v>
      </c>
      <c r="F154" s="69">
        <v>136279.24</v>
      </c>
      <c r="G154" s="51"/>
    </row>
    <row r="155" spans="1:7" ht="31.5" x14ac:dyDescent="0.2">
      <c r="A155" s="43" t="s">
        <v>276</v>
      </c>
      <c r="B155" s="44" t="s">
        <v>581</v>
      </c>
      <c r="C155" s="67" t="s">
        <v>15</v>
      </c>
      <c r="D155" s="68">
        <v>2097.4899999999998</v>
      </c>
      <c r="E155" s="68">
        <v>43.8431</v>
      </c>
      <c r="F155" s="69">
        <v>91960.46</v>
      </c>
      <c r="G155" s="51"/>
    </row>
    <row r="156" spans="1:7" x14ac:dyDescent="0.2">
      <c r="A156" s="41" t="s">
        <v>277</v>
      </c>
      <c r="B156" s="42" t="s">
        <v>582</v>
      </c>
      <c r="C156" s="64"/>
      <c r="D156" s="65"/>
      <c r="E156" s="65"/>
      <c r="F156" s="66">
        <v>40882.129999999997</v>
      </c>
      <c r="G156" s="50"/>
    </row>
    <row r="157" spans="1:7" ht="31.5" x14ac:dyDescent="0.2">
      <c r="A157" s="43" t="s">
        <v>278</v>
      </c>
      <c r="B157" s="44" t="s">
        <v>583</v>
      </c>
      <c r="C157" s="67" t="s">
        <v>15</v>
      </c>
      <c r="D157" s="68">
        <v>236.94</v>
      </c>
      <c r="E157" s="68">
        <v>172.5421</v>
      </c>
      <c r="F157" s="69">
        <v>40882.129999999997</v>
      </c>
      <c r="G157" s="51"/>
    </row>
    <row r="158" spans="1:7" x14ac:dyDescent="0.2">
      <c r="A158" s="41" t="s">
        <v>279</v>
      </c>
      <c r="B158" s="42" t="s">
        <v>584</v>
      </c>
      <c r="C158" s="64"/>
      <c r="D158" s="65"/>
      <c r="E158" s="65"/>
      <c r="F158" s="66">
        <v>66847.09</v>
      </c>
      <c r="G158" s="50"/>
    </row>
    <row r="159" spans="1:7" ht="17.850000000000001" customHeight="1" x14ac:dyDescent="0.2">
      <c r="A159" s="43" t="s">
        <v>280</v>
      </c>
      <c r="B159" s="44" t="s">
        <v>585</v>
      </c>
      <c r="C159" s="67" t="s">
        <v>13</v>
      </c>
      <c r="D159" s="68">
        <v>2645.79</v>
      </c>
      <c r="E159" s="68">
        <v>4.5199999999999996</v>
      </c>
      <c r="F159" s="69">
        <v>11958.97</v>
      </c>
      <c r="G159" s="51"/>
    </row>
    <row r="160" spans="1:7" ht="17.850000000000001" customHeight="1" x14ac:dyDescent="0.2">
      <c r="A160" s="43" t="s">
        <v>281</v>
      </c>
      <c r="B160" s="44" t="s">
        <v>586</v>
      </c>
      <c r="C160" s="67" t="s">
        <v>19</v>
      </c>
      <c r="D160" s="68">
        <v>2709</v>
      </c>
      <c r="E160" s="68">
        <v>3.1</v>
      </c>
      <c r="F160" s="69">
        <v>8397.9</v>
      </c>
      <c r="G160" s="51"/>
    </row>
    <row r="161" spans="1:7" ht="17.850000000000001" customHeight="1" x14ac:dyDescent="0.2">
      <c r="A161" s="43" t="s">
        <v>282</v>
      </c>
      <c r="B161" s="44" t="s">
        <v>24</v>
      </c>
      <c r="C161" s="67" t="s">
        <v>13</v>
      </c>
      <c r="D161" s="68">
        <v>859.11</v>
      </c>
      <c r="E161" s="68">
        <v>54.114400000000003</v>
      </c>
      <c r="F161" s="69">
        <v>46490.22</v>
      </c>
      <c r="G161" s="51"/>
    </row>
    <row r="162" spans="1:7" x14ac:dyDescent="0.2">
      <c r="A162" s="41" t="s">
        <v>283</v>
      </c>
      <c r="B162" s="42" t="s">
        <v>587</v>
      </c>
      <c r="C162" s="64"/>
      <c r="D162" s="65"/>
      <c r="E162" s="65"/>
      <c r="F162" s="66">
        <v>20050.34</v>
      </c>
      <c r="G162" s="50"/>
    </row>
    <row r="163" spans="1:7" ht="17.850000000000001" customHeight="1" x14ac:dyDescent="0.2">
      <c r="A163" s="43" t="s">
        <v>284</v>
      </c>
      <c r="B163" s="44" t="s">
        <v>588</v>
      </c>
      <c r="C163" s="67" t="s">
        <v>15</v>
      </c>
      <c r="D163" s="68">
        <v>187.8</v>
      </c>
      <c r="E163" s="68">
        <v>106.76430000000001</v>
      </c>
      <c r="F163" s="69">
        <v>20050.34</v>
      </c>
      <c r="G163" s="51" t="s">
        <v>792</v>
      </c>
    </row>
    <row r="164" spans="1:7" x14ac:dyDescent="0.2">
      <c r="A164" s="41" t="s">
        <v>285</v>
      </c>
      <c r="B164" s="42" t="s">
        <v>562</v>
      </c>
      <c r="C164" s="64"/>
      <c r="D164" s="65"/>
      <c r="E164" s="65"/>
      <c r="F164" s="66">
        <v>341761.58</v>
      </c>
      <c r="G164" s="138" t="s">
        <v>833</v>
      </c>
    </row>
    <row r="165" spans="1:7" ht="17.850000000000001" customHeight="1" x14ac:dyDescent="0.2">
      <c r="A165" s="43" t="s">
        <v>286</v>
      </c>
      <c r="B165" s="44" t="s">
        <v>589</v>
      </c>
      <c r="C165" s="67" t="s">
        <v>15</v>
      </c>
      <c r="D165" s="68">
        <v>5179.24</v>
      </c>
      <c r="E165" s="68">
        <v>42</v>
      </c>
      <c r="F165" s="69">
        <v>217528.08</v>
      </c>
      <c r="G165" s="51"/>
    </row>
    <row r="166" spans="1:7" ht="17.850000000000001" customHeight="1" x14ac:dyDescent="0.2">
      <c r="A166" s="43" t="s">
        <v>287</v>
      </c>
      <c r="B166" s="44" t="s">
        <v>590</v>
      </c>
      <c r="C166" s="67" t="s">
        <v>15</v>
      </c>
      <c r="D166" s="68">
        <v>2097.4899999999998</v>
      </c>
      <c r="E166" s="68">
        <v>50</v>
      </c>
      <c r="F166" s="69">
        <v>104874.5</v>
      </c>
      <c r="G166" s="51"/>
    </row>
    <row r="167" spans="1:7" ht="17.850000000000001" customHeight="1" x14ac:dyDescent="0.2">
      <c r="A167" s="43" t="s">
        <v>288</v>
      </c>
      <c r="B167" s="44" t="s">
        <v>591</v>
      </c>
      <c r="C167" s="67" t="s">
        <v>15</v>
      </c>
      <c r="D167" s="68">
        <v>236.94</v>
      </c>
      <c r="E167" s="68">
        <v>50</v>
      </c>
      <c r="F167" s="69">
        <v>11847</v>
      </c>
      <c r="G167" s="51"/>
    </row>
    <row r="168" spans="1:7" ht="17.850000000000001" customHeight="1" x14ac:dyDescent="0.2">
      <c r="A168" s="43" t="s">
        <v>289</v>
      </c>
      <c r="B168" s="44" t="s">
        <v>592</v>
      </c>
      <c r="C168" s="67" t="s">
        <v>15</v>
      </c>
      <c r="D168" s="68">
        <v>187.8</v>
      </c>
      <c r="E168" s="68">
        <v>40</v>
      </c>
      <c r="F168" s="69">
        <v>7512</v>
      </c>
      <c r="G168" s="51"/>
    </row>
    <row r="169" spans="1:7" s="151" customFormat="1" x14ac:dyDescent="0.2">
      <c r="A169" s="145" t="s">
        <v>290</v>
      </c>
      <c r="B169" s="146" t="s">
        <v>91</v>
      </c>
      <c r="C169" s="147"/>
      <c r="D169" s="148"/>
      <c r="E169" s="148"/>
      <c r="F169" s="149">
        <v>420004.94</v>
      </c>
      <c r="G169" s="150"/>
    </row>
    <row r="170" spans="1:7" x14ac:dyDescent="0.2">
      <c r="A170" s="39" t="s">
        <v>291</v>
      </c>
      <c r="B170" s="40" t="s">
        <v>91</v>
      </c>
      <c r="C170" s="61"/>
      <c r="D170" s="62"/>
      <c r="E170" s="62"/>
      <c r="F170" s="63">
        <v>420004.94</v>
      </c>
      <c r="G170" s="49"/>
    </row>
    <row r="171" spans="1:7" x14ac:dyDescent="0.2">
      <c r="A171" s="41" t="s">
        <v>292</v>
      </c>
      <c r="B171" s="42" t="s">
        <v>593</v>
      </c>
      <c r="C171" s="64"/>
      <c r="D171" s="65"/>
      <c r="E171" s="65"/>
      <c r="F171" s="66">
        <v>102762.09</v>
      </c>
      <c r="G171" s="138"/>
    </row>
    <row r="172" spans="1:7" ht="17.850000000000001" customHeight="1" x14ac:dyDescent="0.2">
      <c r="A172" s="43" t="s">
        <v>293</v>
      </c>
      <c r="B172" s="44" t="s">
        <v>594</v>
      </c>
      <c r="C172" s="67" t="s">
        <v>15</v>
      </c>
      <c r="D172" s="68">
        <v>2216.1999999999998</v>
      </c>
      <c r="E172" s="68">
        <v>22.914000000000001</v>
      </c>
      <c r="F172" s="69">
        <v>50782.01</v>
      </c>
      <c r="G172" s="51"/>
    </row>
    <row r="173" spans="1:7" ht="17.850000000000001" customHeight="1" x14ac:dyDescent="0.2">
      <c r="A173" s="43" t="s">
        <v>294</v>
      </c>
      <c r="B173" s="44" t="s">
        <v>595</v>
      </c>
      <c r="C173" s="67" t="s">
        <v>15</v>
      </c>
      <c r="D173" s="68">
        <v>2216.1999999999998</v>
      </c>
      <c r="E173" s="68">
        <v>23.454599999999999</v>
      </c>
      <c r="F173" s="69">
        <v>51980.08</v>
      </c>
      <c r="G173" s="51"/>
    </row>
    <row r="174" spans="1:7" x14ac:dyDescent="0.2">
      <c r="A174" s="41" t="s">
        <v>295</v>
      </c>
      <c r="B174" s="42" t="s">
        <v>596</v>
      </c>
      <c r="C174" s="64"/>
      <c r="D174" s="65"/>
      <c r="E174" s="65"/>
      <c r="F174" s="66">
        <v>5101.09</v>
      </c>
      <c r="G174" s="50"/>
    </row>
    <row r="175" spans="1:7" ht="17.850000000000001" customHeight="1" x14ac:dyDescent="0.2">
      <c r="A175" s="43" t="s">
        <v>296</v>
      </c>
      <c r="B175" s="44" t="s">
        <v>597</v>
      </c>
      <c r="C175" s="67" t="s">
        <v>15</v>
      </c>
      <c r="D175" s="68">
        <v>198.35</v>
      </c>
      <c r="E175" s="68">
        <v>25.717600000000001</v>
      </c>
      <c r="F175" s="69">
        <v>5101.09</v>
      </c>
      <c r="G175" s="51"/>
    </row>
    <row r="176" spans="1:7" x14ac:dyDescent="0.2">
      <c r="A176" s="41" t="s">
        <v>297</v>
      </c>
      <c r="B176" s="42" t="s">
        <v>598</v>
      </c>
      <c r="C176" s="64"/>
      <c r="D176" s="65"/>
      <c r="E176" s="65"/>
      <c r="F176" s="66">
        <v>32932.9</v>
      </c>
      <c r="G176" s="50"/>
    </row>
    <row r="177" spans="1:7" ht="17.850000000000001" customHeight="1" x14ac:dyDescent="0.2">
      <c r="A177" s="43" t="s">
        <v>298</v>
      </c>
      <c r="B177" s="44" t="s">
        <v>599</v>
      </c>
      <c r="C177" s="67" t="s">
        <v>15</v>
      </c>
      <c r="D177" s="68">
        <v>664.44</v>
      </c>
      <c r="E177" s="68">
        <v>49.564900000000002</v>
      </c>
      <c r="F177" s="69">
        <v>32932.9</v>
      </c>
      <c r="G177" s="51"/>
    </row>
    <row r="178" spans="1:7" x14ac:dyDescent="0.2">
      <c r="A178" s="41" t="s">
        <v>299</v>
      </c>
      <c r="B178" s="42" t="s">
        <v>600</v>
      </c>
      <c r="C178" s="64"/>
      <c r="D178" s="65"/>
      <c r="E178" s="65"/>
      <c r="F178" s="66">
        <v>16033.76</v>
      </c>
      <c r="G178" s="50"/>
    </row>
    <row r="179" spans="1:7" ht="17.850000000000001" customHeight="1" x14ac:dyDescent="0.2">
      <c r="A179" s="43" t="s">
        <v>300</v>
      </c>
      <c r="B179" s="44" t="s">
        <v>601</v>
      </c>
      <c r="C179" s="67" t="s">
        <v>15</v>
      </c>
      <c r="D179" s="68">
        <v>328.49</v>
      </c>
      <c r="E179" s="68">
        <v>48.810499999999998</v>
      </c>
      <c r="F179" s="69">
        <v>16033.76</v>
      </c>
      <c r="G179" s="51"/>
    </row>
    <row r="180" spans="1:7" x14ac:dyDescent="0.2">
      <c r="A180" s="41" t="s">
        <v>301</v>
      </c>
      <c r="B180" s="42" t="s">
        <v>602</v>
      </c>
      <c r="C180" s="64"/>
      <c r="D180" s="65"/>
      <c r="E180" s="65"/>
      <c r="F180" s="66">
        <v>38316.43</v>
      </c>
      <c r="G180" s="50"/>
    </row>
    <row r="181" spans="1:7" ht="17.850000000000001" customHeight="1" x14ac:dyDescent="0.2">
      <c r="A181" s="43" t="s">
        <v>302</v>
      </c>
      <c r="B181" s="44" t="s">
        <v>603</v>
      </c>
      <c r="C181" s="67" t="s">
        <v>15</v>
      </c>
      <c r="D181" s="68">
        <v>1056.83</v>
      </c>
      <c r="E181" s="68">
        <v>36.256</v>
      </c>
      <c r="F181" s="69">
        <v>38316.43</v>
      </c>
      <c r="G181" s="51"/>
    </row>
    <row r="182" spans="1:7" x14ac:dyDescent="0.2">
      <c r="A182" s="41" t="s">
        <v>303</v>
      </c>
      <c r="B182" s="42" t="s">
        <v>604</v>
      </c>
      <c r="C182" s="64"/>
      <c r="D182" s="65"/>
      <c r="E182" s="65"/>
      <c r="F182" s="66">
        <v>9880.27</v>
      </c>
      <c r="G182" s="50"/>
    </row>
    <row r="183" spans="1:7" ht="17.850000000000001" customHeight="1" x14ac:dyDescent="0.2">
      <c r="A183" s="43" t="s">
        <v>304</v>
      </c>
      <c r="B183" s="44" t="s">
        <v>605</v>
      </c>
      <c r="C183" s="67" t="s">
        <v>15</v>
      </c>
      <c r="D183" s="68">
        <v>246.44</v>
      </c>
      <c r="E183" s="68">
        <v>40.091999999999999</v>
      </c>
      <c r="F183" s="69">
        <v>9880.27</v>
      </c>
      <c r="G183" s="51"/>
    </row>
    <row r="184" spans="1:7" x14ac:dyDescent="0.2">
      <c r="A184" s="41" t="s">
        <v>305</v>
      </c>
      <c r="B184" s="42" t="s">
        <v>606</v>
      </c>
      <c r="C184" s="64"/>
      <c r="D184" s="65"/>
      <c r="E184" s="65"/>
      <c r="F184" s="66">
        <v>3026.36</v>
      </c>
      <c r="G184" s="50"/>
    </row>
    <row r="185" spans="1:7" ht="17.850000000000001" customHeight="1" x14ac:dyDescent="0.2">
      <c r="A185" s="43" t="s">
        <v>306</v>
      </c>
      <c r="B185" s="44" t="s">
        <v>92</v>
      </c>
      <c r="C185" s="67" t="s">
        <v>19</v>
      </c>
      <c r="D185" s="68">
        <v>107</v>
      </c>
      <c r="E185" s="68">
        <v>28.2837</v>
      </c>
      <c r="F185" s="69">
        <v>3026.36</v>
      </c>
      <c r="G185" s="51"/>
    </row>
    <row r="186" spans="1:7" x14ac:dyDescent="0.2">
      <c r="A186" s="41" t="s">
        <v>307</v>
      </c>
      <c r="B186" s="42" t="s">
        <v>607</v>
      </c>
      <c r="C186" s="64"/>
      <c r="D186" s="65"/>
      <c r="E186" s="65"/>
      <c r="F186" s="66">
        <v>209.56</v>
      </c>
      <c r="G186" s="50"/>
    </row>
    <row r="187" spans="1:7" ht="17.850000000000001" customHeight="1" x14ac:dyDescent="0.2">
      <c r="A187" s="43" t="s">
        <v>308</v>
      </c>
      <c r="B187" s="44" t="s">
        <v>603</v>
      </c>
      <c r="C187" s="67" t="s">
        <v>15</v>
      </c>
      <c r="D187" s="68">
        <v>5.78</v>
      </c>
      <c r="E187" s="68">
        <v>36.256</v>
      </c>
      <c r="F187" s="69">
        <v>209.56</v>
      </c>
      <c r="G187" s="51"/>
    </row>
    <row r="188" spans="1:7" x14ac:dyDescent="0.2">
      <c r="A188" s="41" t="s">
        <v>309</v>
      </c>
      <c r="B188" s="42" t="s">
        <v>608</v>
      </c>
      <c r="C188" s="64"/>
      <c r="D188" s="65"/>
      <c r="E188" s="65"/>
      <c r="F188" s="66">
        <v>5824.89</v>
      </c>
      <c r="G188" s="50"/>
    </row>
    <row r="189" spans="1:7" ht="17.850000000000001" customHeight="1" x14ac:dyDescent="0.2">
      <c r="A189" s="43" t="s">
        <v>310</v>
      </c>
      <c r="B189" s="44" t="s">
        <v>609</v>
      </c>
      <c r="C189" s="67" t="s">
        <v>15</v>
      </c>
      <c r="D189" s="68">
        <v>160.66</v>
      </c>
      <c r="E189" s="68">
        <v>36.256</v>
      </c>
      <c r="F189" s="69">
        <v>5824.89</v>
      </c>
      <c r="G189" s="51"/>
    </row>
    <row r="190" spans="1:7" x14ac:dyDescent="0.2">
      <c r="A190" s="41" t="s">
        <v>311</v>
      </c>
      <c r="B190" s="42" t="s">
        <v>562</v>
      </c>
      <c r="C190" s="64"/>
      <c r="D190" s="65"/>
      <c r="E190" s="65"/>
      <c r="F190" s="66">
        <v>205917.59</v>
      </c>
      <c r="G190" s="50"/>
    </row>
    <row r="191" spans="1:7" ht="17.850000000000001" customHeight="1" x14ac:dyDescent="0.2">
      <c r="A191" s="43" t="s">
        <v>312</v>
      </c>
      <c r="B191" s="44" t="s">
        <v>610</v>
      </c>
      <c r="C191" s="67" t="s">
        <v>15</v>
      </c>
      <c r="D191" s="68">
        <v>2216.1999999999998</v>
      </c>
      <c r="E191" s="68">
        <v>20</v>
      </c>
      <c r="F191" s="69">
        <v>44324</v>
      </c>
      <c r="G191" s="51"/>
    </row>
    <row r="192" spans="1:7" ht="17.850000000000001" customHeight="1" x14ac:dyDescent="0.2">
      <c r="A192" s="43" t="s">
        <v>313</v>
      </c>
      <c r="B192" s="44" t="s">
        <v>611</v>
      </c>
      <c r="C192" s="67" t="s">
        <v>15</v>
      </c>
      <c r="D192" s="68">
        <v>992.93</v>
      </c>
      <c r="E192" s="68">
        <v>45</v>
      </c>
      <c r="F192" s="69">
        <v>44681.85</v>
      </c>
      <c r="G192" s="51"/>
    </row>
    <row r="193" spans="1:7" ht="17.850000000000001" customHeight="1" x14ac:dyDescent="0.2">
      <c r="A193" s="43" t="s">
        <v>314</v>
      </c>
      <c r="B193" s="44" t="s">
        <v>612</v>
      </c>
      <c r="C193" s="67" t="s">
        <v>15</v>
      </c>
      <c r="D193" s="68">
        <v>198.35</v>
      </c>
      <c r="E193" s="68">
        <v>38.299999999999997</v>
      </c>
      <c r="F193" s="69">
        <v>7596.8</v>
      </c>
      <c r="G193" s="51"/>
    </row>
    <row r="194" spans="1:7" ht="17.850000000000001" customHeight="1" x14ac:dyDescent="0.2">
      <c r="A194" s="43" t="s">
        <v>315</v>
      </c>
      <c r="B194" s="44" t="s">
        <v>613</v>
      </c>
      <c r="C194" s="67" t="s">
        <v>15</v>
      </c>
      <c r="D194" s="68">
        <v>160.66</v>
      </c>
      <c r="E194" s="68">
        <v>30</v>
      </c>
      <c r="F194" s="69">
        <v>4819.8</v>
      </c>
      <c r="G194" s="51"/>
    </row>
    <row r="195" spans="1:7" ht="17.850000000000001" customHeight="1" x14ac:dyDescent="0.2">
      <c r="A195" s="43" t="s">
        <v>316</v>
      </c>
      <c r="B195" s="44" t="s">
        <v>614</v>
      </c>
      <c r="C195" s="67" t="s">
        <v>15</v>
      </c>
      <c r="D195" s="68">
        <v>1223.27</v>
      </c>
      <c r="E195" s="68">
        <v>30</v>
      </c>
      <c r="F195" s="69">
        <v>36698.1</v>
      </c>
      <c r="G195" s="51"/>
    </row>
    <row r="196" spans="1:7" ht="17.850000000000001" customHeight="1" x14ac:dyDescent="0.2">
      <c r="A196" s="43" t="s">
        <v>317</v>
      </c>
      <c r="B196" s="44" t="s">
        <v>615</v>
      </c>
      <c r="C196" s="67" t="s">
        <v>15</v>
      </c>
      <c r="D196" s="68">
        <v>246.44</v>
      </c>
      <c r="E196" s="68">
        <v>60</v>
      </c>
      <c r="F196" s="69">
        <v>14786.4</v>
      </c>
      <c r="G196" s="51"/>
    </row>
    <row r="197" spans="1:7" ht="17.850000000000001" customHeight="1" x14ac:dyDescent="0.2">
      <c r="A197" s="43" t="s">
        <v>318</v>
      </c>
      <c r="B197" s="44" t="s">
        <v>616</v>
      </c>
      <c r="C197" s="67" t="s">
        <v>19</v>
      </c>
      <c r="D197" s="68">
        <v>107</v>
      </c>
      <c r="E197" s="68">
        <v>50</v>
      </c>
      <c r="F197" s="69">
        <v>5350</v>
      </c>
      <c r="G197" s="51"/>
    </row>
    <row r="198" spans="1:7" ht="17.850000000000001" customHeight="1" x14ac:dyDescent="0.2">
      <c r="A198" s="43" t="s">
        <v>319</v>
      </c>
      <c r="B198" s="44" t="s">
        <v>617</v>
      </c>
      <c r="C198" s="67" t="s">
        <v>15</v>
      </c>
      <c r="D198" s="68">
        <v>992.93</v>
      </c>
      <c r="E198" s="68">
        <v>48</v>
      </c>
      <c r="F198" s="69">
        <v>47660.639999999999</v>
      </c>
      <c r="G198" s="51"/>
    </row>
    <row r="199" spans="1:7" s="151" customFormat="1" x14ac:dyDescent="0.2">
      <c r="A199" s="145" t="s">
        <v>320</v>
      </c>
      <c r="B199" s="146" t="s">
        <v>618</v>
      </c>
      <c r="C199" s="147"/>
      <c r="D199" s="148"/>
      <c r="E199" s="148"/>
      <c r="F199" s="149">
        <v>581844.71</v>
      </c>
      <c r="G199" s="150"/>
    </row>
    <row r="200" spans="1:7" x14ac:dyDescent="0.2">
      <c r="A200" s="39" t="s">
        <v>321</v>
      </c>
      <c r="B200" s="40" t="s">
        <v>618</v>
      </c>
      <c r="C200" s="61"/>
      <c r="D200" s="62"/>
      <c r="E200" s="62"/>
      <c r="F200" s="63">
        <v>581844.71</v>
      </c>
      <c r="G200" s="49"/>
    </row>
    <row r="201" spans="1:7" x14ac:dyDescent="0.2">
      <c r="A201" s="41" t="s">
        <v>322</v>
      </c>
      <c r="B201" s="42" t="s">
        <v>619</v>
      </c>
      <c r="C201" s="64"/>
      <c r="D201" s="65"/>
      <c r="E201" s="65"/>
      <c r="F201" s="66">
        <v>126219.16</v>
      </c>
      <c r="G201" s="138"/>
    </row>
    <row r="202" spans="1:7" ht="17.850000000000001" customHeight="1" x14ac:dyDescent="0.2">
      <c r="A202" s="43" t="s">
        <v>323</v>
      </c>
      <c r="B202" s="44" t="s">
        <v>620</v>
      </c>
      <c r="C202" s="67" t="s">
        <v>127</v>
      </c>
      <c r="D202" s="68">
        <v>1</v>
      </c>
      <c r="E202" s="68">
        <v>126219.16</v>
      </c>
      <c r="F202" s="69">
        <v>126219.16</v>
      </c>
      <c r="G202" s="51"/>
    </row>
    <row r="203" spans="1:7" x14ac:dyDescent="0.2">
      <c r="A203" s="41" t="s">
        <v>324</v>
      </c>
      <c r="B203" s="42" t="s">
        <v>621</v>
      </c>
      <c r="C203" s="64"/>
      <c r="D203" s="65"/>
      <c r="E203" s="65"/>
      <c r="F203" s="66">
        <v>56586.38</v>
      </c>
      <c r="G203" s="50"/>
    </row>
    <row r="204" spans="1:7" ht="17.850000000000001" customHeight="1" x14ac:dyDescent="0.2">
      <c r="A204" s="43" t="s">
        <v>325</v>
      </c>
      <c r="B204" s="44" t="s">
        <v>622</v>
      </c>
      <c r="C204" s="67" t="s">
        <v>127</v>
      </c>
      <c r="D204" s="68">
        <v>1</v>
      </c>
      <c r="E204" s="68">
        <v>56586.38</v>
      </c>
      <c r="F204" s="69">
        <v>56586.38</v>
      </c>
      <c r="G204" s="51"/>
    </row>
    <row r="205" spans="1:7" x14ac:dyDescent="0.2">
      <c r="A205" s="41" t="s">
        <v>326</v>
      </c>
      <c r="B205" s="42" t="s">
        <v>623</v>
      </c>
      <c r="C205" s="64"/>
      <c r="D205" s="65"/>
      <c r="E205" s="65"/>
      <c r="F205" s="66">
        <v>128846.34</v>
      </c>
      <c r="G205" s="50"/>
    </row>
    <row r="206" spans="1:7" ht="17.850000000000001" customHeight="1" x14ac:dyDescent="0.2">
      <c r="A206" s="43" t="s">
        <v>327</v>
      </c>
      <c r="B206" s="44" t="s">
        <v>623</v>
      </c>
      <c r="C206" s="67" t="s">
        <v>127</v>
      </c>
      <c r="D206" s="68">
        <v>1</v>
      </c>
      <c r="E206" s="68">
        <v>128846.34</v>
      </c>
      <c r="F206" s="69">
        <v>128846.34</v>
      </c>
      <c r="G206" s="51"/>
    </row>
    <row r="207" spans="1:7" x14ac:dyDescent="0.2">
      <c r="A207" s="41" t="s">
        <v>328</v>
      </c>
      <c r="B207" s="42" t="s">
        <v>624</v>
      </c>
      <c r="C207" s="64"/>
      <c r="D207" s="65"/>
      <c r="E207" s="65"/>
      <c r="F207" s="66">
        <v>25794.62</v>
      </c>
      <c r="G207" s="50"/>
    </row>
    <row r="208" spans="1:7" ht="17.850000000000001" customHeight="1" x14ac:dyDescent="0.2">
      <c r="A208" s="43" t="s">
        <v>329</v>
      </c>
      <c r="B208" s="44" t="s">
        <v>625</v>
      </c>
      <c r="C208" s="67" t="s">
        <v>127</v>
      </c>
      <c r="D208" s="68">
        <v>1</v>
      </c>
      <c r="E208" s="68">
        <v>25794.62</v>
      </c>
      <c r="F208" s="69">
        <v>25794.62</v>
      </c>
      <c r="G208" s="51"/>
    </row>
    <row r="209" spans="1:7" x14ac:dyDescent="0.2">
      <c r="A209" s="41" t="s">
        <v>330</v>
      </c>
      <c r="B209" s="42" t="s">
        <v>626</v>
      </c>
      <c r="C209" s="64"/>
      <c r="D209" s="65"/>
      <c r="E209" s="65"/>
      <c r="F209" s="66">
        <v>0</v>
      </c>
      <c r="G209" s="50"/>
    </row>
    <row r="210" spans="1:7" x14ac:dyDescent="0.2">
      <c r="A210" s="41" t="s">
        <v>331</v>
      </c>
      <c r="B210" s="42" t="s">
        <v>627</v>
      </c>
      <c r="C210" s="64"/>
      <c r="D210" s="65"/>
      <c r="E210" s="65"/>
      <c r="F210" s="66">
        <v>13315.45</v>
      </c>
      <c r="G210" s="50"/>
    </row>
    <row r="211" spans="1:7" ht="17.850000000000001" customHeight="1" x14ac:dyDescent="0.2">
      <c r="A211" s="43" t="s">
        <v>332</v>
      </c>
      <c r="B211" s="44" t="s">
        <v>628</v>
      </c>
      <c r="C211" s="67" t="s">
        <v>127</v>
      </c>
      <c r="D211" s="68">
        <v>1</v>
      </c>
      <c r="E211" s="68">
        <v>13315.45</v>
      </c>
      <c r="F211" s="69">
        <v>13315.45</v>
      </c>
      <c r="G211" s="51"/>
    </row>
    <row r="212" spans="1:7" x14ac:dyDescent="0.2">
      <c r="A212" s="41" t="s">
        <v>333</v>
      </c>
      <c r="B212" s="42" t="s">
        <v>562</v>
      </c>
      <c r="C212" s="64"/>
      <c r="D212" s="65"/>
      <c r="E212" s="65"/>
      <c r="F212" s="66">
        <v>231082.76</v>
      </c>
      <c r="G212" s="138" t="s">
        <v>833</v>
      </c>
    </row>
    <row r="213" spans="1:7" ht="17.850000000000001" customHeight="1" x14ac:dyDescent="0.2">
      <c r="A213" s="43" t="s">
        <v>334</v>
      </c>
      <c r="B213" s="44" t="s">
        <v>629</v>
      </c>
      <c r="C213" s="67" t="s">
        <v>15</v>
      </c>
      <c r="D213" s="68">
        <v>6245.48</v>
      </c>
      <c r="E213" s="68">
        <v>37</v>
      </c>
      <c r="F213" s="69">
        <v>231082.76</v>
      </c>
      <c r="G213" s="51"/>
    </row>
    <row r="214" spans="1:7" s="151" customFormat="1" x14ac:dyDescent="0.2">
      <c r="A214" s="145" t="s">
        <v>335</v>
      </c>
      <c r="B214" s="146" t="s">
        <v>25</v>
      </c>
      <c r="C214" s="147"/>
      <c r="D214" s="148"/>
      <c r="E214" s="148"/>
      <c r="F214" s="149">
        <v>828826.45</v>
      </c>
      <c r="G214" s="150"/>
    </row>
    <row r="215" spans="1:7" x14ac:dyDescent="0.2">
      <c r="A215" s="39" t="s">
        <v>336</v>
      </c>
      <c r="B215" s="40" t="s">
        <v>25</v>
      </c>
      <c r="C215" s="61"/>
      <c r="D215" s="62"/>
      <c r="E215" s="62"/>
      <c r="F215" s="63">
        <v>828826.45</v>
      </c>
      <c r="G215" s="49"/>
    </row>
    <row r="216" spans="1:7" x14ac:dyDescent="0.2">
      <c r="A216" s="41" t="s">
        <v>337</v>
      </c>
      <c r="B216" s="42" t="s">
        <v>26</v>
      </c>
      <c r="C216" s="64"/>
      <c r="D216" s="65"/>
      <c r="E216" s="65"/>
      <c r="F216" s="66">
        <v>17114.63</v>
      </c>
      <c r="G216" s="138"/>
    </row>
    <row r="217" spans="1:7" ht="17.850000000000001" customHeight="1" x14ac:dyDescent="0.2">
      <c r="A217" s="43" t="s">
        <v>338</v>
      </c>
      <c r="B217" s="44" t="s">
        <v>630</v>
      </c>
      <c r="C217" s="67" t="s">
        <v>127</v>
      </c>
      <c r="D217" s="68">
        <v>1</v>
      </c>
      <c r="E217" s="68">
        <v>17114.63</v>
      </c>
      <c r="F217" s="69">
        <v>17114.63</v>
      </c>
      <c r="G217" s="51"/>
    </row>
    <row r="218" spans="1:7" x14ac:dyDescent="0.2">
      <c r="A218" s="41" t="s">
        <v>339</v>
      </c>
      <c r="B218" s="42" t="s">
        <v>631</v>
      </c>
      <c r="C218" s="64"/>
      <c r="D218" s="65"/>
      <c r="E218" s="65"/>
      <c r="F218" s="66">
        <v>85430.71</v>
      </c>
      <c r="G218" s="50"/>
    </row>
    <row r="219" spans="1:7" ht="17.850000000000001" customHeight="1" x14ac:dyDescent="0.2">
      <c r="A219" s="43" t="s">
        <v>340</v>
      </c>
      <c r="B219" s="44" t="s">
        <v>631</v>
      </c>
      <c r="C219" s="67" t="s">
        <v>127</v>
      </c>
      <c r="D219" s="68">
        <v>1</v>
      </c>
      <c r="E219" s="68">
        <v>85430.71</v>
      </c>
      <c r="F219" s="69">
        <v>85430.71</v>
      </c>
      <c r="G219" s="51"/>
    </row>
    <row r="220" spans="1:7" x14ac:dyDescent="0.2">
      <c r="A220" s="41" t="s">
        <v>341</v>
      </c>
      <c r="B220" s="42" t="s">
        <v>632</v>
      </c>
      <c r="C220" s="64"/>
      <c r="D220" s="65"/>
      <c r="E220" s="65"/>
      <c r="F220" s="66">
        <v>48006.400000000001</v>
      </c>
      <c r="G220" s="50"/>
    </row>
    <row r="221" spans="1:7" ht="17.850000000000001" customHeight="1" x14ac:dyDescent="0.2">
      <c r="A221" s="43" t="s">
        <v>342</v>
      </c>
      <c r="B221" s="44" t="s">
        <v>632</v>
      </c>
      <c r="C221" s="67" t="s">
        <v>127</v>
      </c>
      <c r="D221" s="68">
        <v>1</v>
      </c>
      <c r="E221" s="68">
        <v>48006.400000000001</v>
      </c>
      <c r="F221" s="69">
        <v>48006.400000000001</v>
      </c>
      <c r="G221" s="51"/>
    </row>
    <row r="222" spans="1:7" x14ac:dyDescent="0.2">
      <c r="A222" s="41" t="s">
        <v>343</v>
      </c>
      <c r="B222" s="42" t="s">
        <v>633</v>
      </c>
      <c r="C222" s="64"/>
      <c r="D222" s="65"/>
      <c r="E222" s="65"/>
      <c r="F222" s="66">
        <v>119875.07</v>
      </c>
      <c r="G222" s="50"/>
    </row>
    <row r="223" spans="1:7" ht="17.850000000000001" customHeight="1" x14ac:dyDescent="0.2">
      <c r="A223" s="43" t="s">
        <v>344</v>
      </c>
      <c r="B223" s="44" t="s">
        <v>633</v>
      </c>
      <c r="C223" s="67" t="s">
        <v>127</v>
      </c>
      <c r="D223" s="68">
        <v>1</v>
      </c>
      <c r="E223" s="68">
        <v>119875.07</v>
      </c>
      <c r="F223" s="69">
        <v>119875.07</v>
      </c>
      <c r="G223" s="51"/>
    </row>
    <row r="224" spans="1:7" x14ac:dyDescent="0.2">
      <c r="A224" s="41" t="s">
        <v>345</v>
      </c>
      <c r="B224" s="42" t="s">
        <v>634</v>
      </c>
      <c r="C224" s="64"/>
      <c r="D224" s="65"/>
      <c r="E224" s="65"/>
      <c r="F224" s="66">
        <v>56888.47</v>
      </c>
      <c r="G224" s="50"/>
    </row>
    <row r="225" spans="1:7" ht="17.850000000000001" customHeight="1" x14ac:dyDescent="0.2">
      <c r="A225" s="43" t="s">
        <v>346</v>
      </c>
      <c r="B225" s="44" t="s">
        <v>634</v>
      </c>
      <c r="C225" s="67" t="s">
        <v>127</v>
      </c>
      <c r="D225" s="68">
        <v>1</v>
      </c>
      <c r="E225" s="68">
        <v>56888.47</v>
      </c>
      <c r="F225" s="69">
        <v>56888.47</v>
      </c>
      <c r="G225" s="51"/>
    </row>
    <row r="226" spans="1:7" x14ac:dyDescent="0.2">
      <c r="A226" s="41" t="s">
        <v>347</v>
      </c>
      <c r="B226" s="42" t="s">
        <v>635</v>
      </c>
      <c r="C226" s="64"/>
      <c r="D226" s="65"/>
      <c r="E226" s="65"/>
      <c r="F226" s="66">
        <v>79941.27</v>
      </c>
      <c r="G226" s="50"/>
    </row>
    <row r="227" spans="1:7" ht="17.850000000000001" customHeight="1" x14ac:dyDescent="0.2">
      <c r="A227" s="43" t="s">
        <v>348</v>
      </c>
      <c r="B227" s="44" t="s">
        <v>635</v>
      </c>
      <c r="C227" s="67" t="s">
        <v>127</v>
      </c>
      <c r="D227" s="68">
        <v>1</v>
      </c>
      <c r="E227" s="68">
        <v>79941.27</v>
      </c>
      <c r="F227" s="69">
        <v>79941.27</v>
      </c>
      <c r="G227" s="51"/>
    </row>
    <row r="228" spans="1:7" x14ac:dyDescent="0.2">
      <c r="A228" s="41" t="s">
        <v>349</v>
      </c>
      <c r="B228" s="42" t="s">
        <v>562</v>
      </c>
      <c r="C228" s="64"/>
      <c r="D228" s="65"/>
      <c r="E228" s="65"/>
      <c r="F228" s="66">
        <v>421569.9</v>
      </c>
      <c r="G228" s="138" t="s">
        <v>833</v>
      </c>
    </row>
    <row r="229" spans="1:7" ht="17.850000000000001" customHeight="1" x14ac:dyDescent="0.2">
      <c r="A229" s="43" t="s">
        <v>350</v>
      </c>
      <c r="B229" s="44" t="s">
        <v>636</v>
      </c>
      <c r="C229" s="67" t="s">
        <v>15</v>
      </c>
      <c r="D229" s="68">
        <v>6245.48</v>
      </c>
      <c r="E229" s="68">
        <v>67.5</v>
      </c>
      <c r="F229" s="69">
        <v>421569.9</v>
      </c>
      <c r="G229" s="51"/>
    </row>
    <row r="230" spans="1:7" s="151" customFormat="1" x14ac:dyDescent="0.2">
      <c r="A230" s="145" t="s">
        <v>351</v>
      </c>
      <c r="B230" s="146" t="s">
        <v>637</v>
      </c>
      <c r="C230" s="147"/>
      <c r="D230" s="148"/>
      <c r="E230" s="148"/>
      <c r="F230" s="149">
        <v>99985.54</v>
      </c>
      <c r="G230" s="150" t="s">
        <v>833</v>
      </c>
    </row>
    <row r="231" spans="1:7" x14ac:dyDescent="0.2">
      <c r="A231" s="39" t="s">
        <v>352</v>
      </c>
      <c r="B231" s="40" t="s">
        <v>637</v>
      </c>
      <c r="C231" s="61"/>
      <c r="D231" s="62"/>
      <c r="E231" s="62"/>
      <c r="F231" s="63">
        <v>99985.54</v>
      </c>
      <c r="G231" s="49"/>
    </row>
    <row r="232" spans="1:7" x14ac:dyDescent="0.2">
      <c r="A232" s="41" t="s">
        <v>353</v>
      </c>
      <c r="B232" s="42" t="s">
        <v>638</v>
      </c>
      <c r="C232" s="64"/>
      <c r="D232" s="65"/>
      <c r="E232" s="65"/>
      <c r="F232" s="66">
        <v>20000</v>
      </c>
      <c r="G232" s="138"/>
    </row>
    <row r="233" spans="1:7" ht="17.850000000000001" customHeight="1" x14ac:dyDescent="0.2">
      <c r="A233" s="43" t="s">
        <v>354</v>
      </c>
      <c r="B233" s="44" t="s">
        <v>639</v>
      </c>
      <c r="C233" s="67" t="s">
        <v>127</v>
      </c>
      <c r="D233" s="68">
        <v>1</v>
      </c>
      <c r="E233" s="68">
        <v>20000</v>
      </c>
      <c r="F233" s="69">
        <v>20000</v>
      </c>
      <c r="G233" s="51"/>
    </row>
    <row r="234" spans="1:7" x14ac:dyDescent="0.2">
      <c r="A234" s="41" t="s">
        <v>355</v>
      </c>
      <c r="B234" s="42" t="s">
        <v>640</v>
      </c>
      <c r="C234" s="64"/>
      <c r="D234" s="65"/>
      <c r="E234" s="65"/>
      <c r="F234" s="66">
        <v>10000</v>
      </c>
      <c r="G234" s="50"/>
    </row>
    <row r="235" spans="1:7" ht="17.850000000000001" customHeight="1" x14ac:dyDescent="0.2">
      <c r="A235" s="43" t="s">
        <v>356</v>
      </c>
      <c r="B235" s="44" t="s">
        <v>640</v>
      </c>
      <c r="C235" s="67" t="s">
        <v>127</v>
      </c>
      <c r="D235" s="68">
        <v>1</v>
      </c>
      <c r="E235" s="68">
        <v>10000</v>
      </c>
      <c r="F235" s="69">
        <v>10000</v>
      </c>
      <c r="G235" s="51"/>
    </row>
    <row r="236" spans="1:7" x14ac:dyDescent="0.2">
      <c r="A236" s="41" t="s">
        <v>357</v>
      </c>
      <c r="B236" s="42" t="s">
        <v>641</v>
      </c>
      <c r="C236" s="64"/>
      <c r="D236" s="65"/>
      <c r="E236" s="65"/>
      <c r="F236" s="66">
        <v>33000</v>
      </c>
      <c r="G236" s="50"/>
    </row>
    <row r="237" spans="1:7" ht="17.850000000000001" customHeight="1" x14ac:dyDescent="0.2">
      <c r="A237" s="43" t="s">
        <v>358</v>
      </c>
      <c r="B237" s="44" t="s">
        <v>641</v>
      </c>
      <c r="C237" s="67" t="s">
        <v>127</v>
      </c>
      <c r="D237" s="68">
        <v>1</v>
      </c>
      <c r="E237" s="68">
        <v>33000</v>
      </c>
      <c r="F237" s="69">
        <v>33000</v>
      </c>
      <c r="G237" s="51"/>
    </row>
    <row r="238" spans="1:7" x14ac:dyDescent="0.2">
      <c r="A238" s="41" t="s">
        <v>359</v>
      </c>
      <c r="B238" s="42" t="s">
        <v>642</v>
      </c>
      <c r="C238" s="64"/>
      <c r="D238" s="65"/>
      <c r="E238" s="65"/>
      <c r="F238" s="66">
        <v>10000</v>
      </c>
      <c r="G238" s="50"/>
    </row>
    <row r="239" spans="1:7" ht="17.850000000000001" customHeight="1" x14ac:dyDescent="0.2">
      <c r="A239" s="43" t="s">
        <v>360</v>
      </c>
      <c r="B239" s="44" t="s">
        <v>643</v>
      </c>
      <c r="C239" s="67" t="s">
        <v>127</v>
      </c>
      <c r="D239" s="68">
        <v>1</v>
      </c>
      <c r="E239" s="68">
        <v>10000</v>
      </c>
      <c r="F239" s="69">
        <v>10000</v>
      </c>
      <c r="G239" s="51"/>
    </row>
    <row r="240" spans="1:7" ht="16.350000000000001" customHeight="1" x14ac:dyDescent="0.2">
      <c r="A240" s="41" t="s">
        <v>361</v>
      </c>
      <c r="B240" s="42" t="s">
        <v>627</v>
      </c>
      <c r="C240" s="64"/>
      <c r="D240" s="65"/>
      <c r="E240" s="65"/>
      <c r="F240" s="66">
        <v>7000</v>
      </c>
      <c r="G240" s="50"/>
    </row>
    <row r="241" spans="1:7" ht="17.850000000000001" customHeight="1" x14ac:dyDescent="0.2">
      <c r="A241" s="43" t="s">
        <v>362</v>
      </c>
      <c r="B241" s="44" t="s">
        <v>644</v>
      </c>
      <c r="C241" s="67" t="s">
        <v>127</v>
      </c>
      <c r="D241" s="68">
        <v>1</v>
      </c>
      <c r="E241" s="68">
        <v>7000</v>
      </c>
      <c r="F241" s="69">
        <v>7000</v>
      </c>
      <c r="G241" s="51"/>
    </row>
    <row r="242" spans="1:7" x14ac:dyDescent="0.2">
      <c r="A242" s="41" t="s">
        <v>363</v>
      </c>
      <c r="B242" s="42" t="s">
        <v>562</v>
      </c>
      <c r="C242" s="64"/>
      <c r="D242" s="65"/>
      <c r="E242" s="65"/>
      <c r="F242" s="66">
        <v>19985.54</v>
      </c>
      <c r="G242" s="50"/>
    </row>
    <row r="243" spans="1:7" ht="17.850000000000001" customHeight="1" x14ac:dyDescent="0.2">
      <c r="A243" s="43" t="s">
        <v>364</v>
      </c>
      <c r="B243" s="44" t="s">
        <v>645</v>
      </c>
      <c r="C243" s="67" t="s">
        <v>15</v>
      </c>
      <c r="D243" s="68">
        <v>6245.48</v>
      </c>
      <c r="E243" s="68">
        <v>3.2</v>
      </c>
      <c r="F243" s="69">
        <v>19985.54</v>
      </c>
      <c r="G243" s="51"/>
    </row>
    <row r="244" spans="1:7" s="151" customFormat="1" x14ac:dyDescent="0.2">
      <c r="A244" s="145" t="s">
        <v>365</v>
      </c>
      <c r="B244" s="146" t="s">
        <v>646</v>
      </c>
      <c r="C244" s="147"/>
      <c r="D244" s="148"/>
      <c r="E244" s="148"/>
      <c r="F244" s="149">
        <v>89985.54</v>
      </c>
      <c r="G244" s="150" t="s">
        <v>833</v>
      </c>
    </row>
    <row r="245" spans="1:7" x14ac:dyDescent="0.2">
      <c r="A245" s="39" t="s">
        <v>366</v>
      </c>
      <c r="B245" s="40" t="s">
        <v>646</v>
      </c>
      <c r="C245" s="61"/>
      <c r="D245" s="62"/>
      <c r="E245" s="62"/>
      <c r="F245" s="63">
        <v>89985.54</v>
      </c>
      <c r="G245" s="49"/>
    </row>
    <row r="246" spans="1:7" x14ac:dyDescent="0.2">
      <c r="A246" s="41" t="s">
        <v>367</v>
      </c>
      <c r="B246" s="42" t="s">
        <v>647</v>
      </c>
      <c r="C246" s="64"/>
      <c r="D246" s="65"/>
      <c r="E246" s="65"/>
      <c r="F246" s="66">
        <v>30000</v>
      </c>
      <c r="G246" s="138"/>
    </row>
    <row r="247" spans="1:7" ht="17.850000000000001" customHeight="1" x14ac:dyDescent="0.2">
      <c r="A247" s="43" t="s">
        <v>368</v>
      </c>
      <c r="B247" s="44" t="s">
        <v>648</v>
      </c>
      <c r="C247" s="67" t="s">
        <v>127</v>
      </c>
      <c r="D247" s="68">
        <v>1</v>
      </c>
      <c r="E247" s="68">
        <v>30000</v>
      </c>
      <c r="F247" s="69">
        <v>30000</v>
      </c>
      <c r="G247" s="51"/>
    </row>
    <row r="248" spans="1:7" x14ac:dyDescent="0.2">
      <c r="A248" s="41" t="s">
        <v>369</v>
      </c>
      <c r="B248" s="42" t="s">
        <v>649</v>
      </c>
      <c r="C248" s="64"/>
      <c r="D248" s="65"/>
      <c r="E248" s="65"/>
      <c r="F248" s="66">
        <v>0</v>
      </c>
      <c r="G248" s="50"/>
    </row>
    <row r="249" spans="1:7" x14ac:dyDescent="0.2">
      <c r="A249" s="41" t="s">
        <v>370</v>
      </c>
      <c r="B249" s="42" t="s">
        <v>650</v>
      </c>
      <c r="C249" s="64"/>
      <c r="D249" s="65"/>
      <c r="E249" s="65"/>
      <c r="F249" s="66">
        <v>40000</v>
      </c>
      <c r="G249" s="50"/>
    </row>
    <row r="250" spans="1:7" ht="17.850000000000001" customHeight="1" x14ac:dyDescent="0.2">
      <c r="A250" s="43" t="s">
        <v>371</v>
      </c>
      <c r="B250" s="44" t="s">
        <v>651</v>
      </c>
      <c r="C250" s="67" t="s">
        <v>127</v>
      </c>
      <c r="D250" s="68">
        <v>1</v>
      </c>
      <c r="E250" s="68">
        <v>40000</v>
      </c>
      <c r="F250" s="69">
        <v>40000</v>
      </c>
      <c r="G250" s="51"/>
    </row>
    <row r="251" spans="1:7" x14ac:dyDescent="0.2">
      <c r="A251" s="41" t="s">
        <v>372</v>
      </c>
      <c r="B251" s="42" t="s">
        <v>652</v>
      </c>
      <c r="C251" s="64"/>
      <c r="D251" s="65"/>
      <c r="E251" s="65"/>
      <c r="F251" s="66">
        <v>0</v>
      </c>
      <c r="G251" s="50"/>
    </row>
    <row r="252" spans="1:7" x14ac:dyDescent="0.2">
      <c r="A252" s="41" t="s">
        <v>373</v>
      </c>
      <c r="B252" s="42" t="s">
        <v>562</v>
      </c>
      <c r="C252" s="64"/>
      <c r="D252" s="65"/>
      <c r="E252" s="65"/>
      <c r="F252" s="66">
        <v>19985.54</v>
      </c>
      <c r="G252" s="50"/>
    </row>
    <row r="253" spans="1:7" ht="17.850000000000001" customHeight="1" x14ac:dyDescent="0.2">
      <c r="A253" s="43" t="s">
        <v>374</v>
      </c>
      <c r="B253" s="44" t="s">
        <v>653</v>
      </c>
      <c r="C253" s="67" t="s">
        <v>15</v>
      </c>
      <c r="D253" s="68">
        <v>6245.48</v>
      </c>
      <c r="E253" s="68">
        <v>3.2</v>
      </c>
      <c r="F253" s="69">
        <v>19985.54</v>
      </c>
      <c r="G253" s="51"/>
    </row>
    <row r="254" spans="1:7" s="151" customFormat="1" x14ac:dyDescent="0.2">
      <c r="A254" s="145" t="s">
        <v>375</v>
      </c>
      <c r="B254" s="146" t="s">
        <v>654</v>
      </c>
      <c r="C254" s="147"/>
      <c r="D254" s="148"/>
      <c r="E254" s="148"/>
      <c r="F254" s="149">
        <v>164481.09</v>
      </c>
      <c r="G254" s="150"/>
    </row>
    <row r="255" spans="1:7" x14ac:dyDescent="0.2">
      <c r="A255" s="39" t="s">
        <v>376</v>
      </c>
      <c r="B255" s="40" t="s">
        <v>654</v>
      </c>
      <c r="C255" s="61"/>
      <c r="D255" s="62"/>
      <c r="E255" s="62"/>
      <c r="F255" s="63">
        <v>164481.09</v>
      </c>
      <c r="G255" s="49"/>
    </row>
    <row r="256" spans="1:7" x14ac:dyDescent="0.2">
      <c r="A256" s="41" t="s">
        <v>377</v>
      </c>
      <c r="B256" s="42" t="s">
        <v>655</v>
      </c>
      <c r="C256" s="64"/>
      <c r="D256" s="65"/>
      <c r="E256" s="65"/>
      <c r="F256" s="66">
        <v>8420.3700000000008</v>
      </c>
      <c r="G256" s="138"/>
    </row>
    <row r="257" spans="1:7" ht="17.850000000000001" customHeight="1" x14ac:dyDescent="0.2">
      <c r="A257" s="43" t="s">
        <v>378</v>
      </c>
      <c r="B257" s="44" t="s">
        <v>655</v>
      </c>
      <c r="C257" s="67" t="s">
        <v>127</v>
      </c>
      <c r="D257" s="68">
        <v>1</v>
      </c>
      <c r="E257" s="68">
        <v>8420.3700000000008</v>
      </c>
      <c r="F257" s="69">
        <v>8420.3700000000008</v>
      </c>
      <c r="G257" s="51"/>
    </row>
    <row r="258" spans="1:7" x14ac:dyDescent="0.2">
      <c r="A258" s="41" t="s">
        <v>379</v>
      </c>
      <c r="B258" s="42" t="s">
        <v>656</v>
      </c>
      <c r="C258" s="64"/>
      <c r="D258" s="65"/>
      <c r="E258" s="65"/>
      <c r="F258" s="66">
        <v>2265.44</v>
      </c>
      <c r="G258" s="50"/>
    </row>
    <row r="259" spans="1:7" ht="17.850000000000001" customHeight="1" x14ac:dyDescent="0.2">
      <c r="A259" s="43" t="s">
        <v>380</v>
      </c>
      <c r="B259" s="44" t="s">
        <v>656</v>
      </c>
      <c r="C259" s="67" t="s">
        <v>127</v>
      </c>
      <c r="D259" s="68">
        <v>1</v>
      </c>
      <c r="E259" s="68">
        <v>2265.44</v>
      </c>
      <c r="F259" s="69">
        <v>2265.44</v>
      </c>
      <c r="G259" s="51"/>
    </row>
    <row r="260" spans="1:7" x14ac:dyDescent="0.2">
      <c r="A260" s="41" t="s">
        <v>381</v>
      </c>
      <c r="B260" s="42" t="s">
        <v>657</v>
      </c>
      <c r="C260" s="64"/>
      <c r="D260" s="65"/>
      <c r="E260" s="65"/>
      <c r="F260" s="66">
        <v>0</v>
      </c>
      <c r="G260" s="50"/>
    </row>
    <row r="261" spans="1:7" x14ac:dyDescent="0.2">
      <c r="A261" s="41" t="s">
        <v>382</v>
      </c>
      <c r="B261" s="42" t="s">
        <v>658</v>
      </c>
      <c r="C261" s="64"/>
      <c r="D261" s="65"/>
      <c r="E261" s="65"/>
      <c r="F261" s="66">
        <v>153795.28</v>
      </c>
      <c r="G261" s="50"/>
    </row>
    <row r="262" spans="1:7" ht="17.850000000000001" customHeight="1" x14ac:dyDescent="0.2">
      <c r="A262" s="43" t="s">
        <v>383</v>
      </c>
      <c r="B262" s="44" t="s">
        <v>659</v>
      </c>
      <c r="C262" s="67" t="s">
        <v>127</v>
      </c>
      <c r="D262" s="68">
        <v>1</v>
      </c>
      <c r="E262" s="68">
        <v>153795.28</v>
      </c>
      <c r="F262" s="69">
        <v>153795.28</v>
      </c>
      <c r="G262" s="51"/>
    </row>
    <row r="263" spans="1:7" s="151" customFormat="1" x14ac:dyDescent="0.2">
      <c r="A263" s="145" t="s">
        <v>384</v>
      </c>
      <c r="B263" s="146" t="s">
        <v>103</v>
      </c>
      <c r="C263" s="147"/>
      <c r="D263" s="148"/>
      <c r="E263" s="148"/>
      <c r="F263" s="149">
        <v>1102590.8999999999</v>
      </c>
      <c r="G263" s="150"/>
    </row>
    <row r="264" spans="1:7" x14ac:dyDescent="0.2">
      <c r="A264" s="39" t="s">
        <v>385</v>
      </c>
      <c r="B264" s="40" t="s">
        <v>660</v>
      </c>
      <c r="C264" s="61"/>
      <c r="D264" s="62"/>
      <c r="E264" s="62"/>
      <c r="F264" s="63">
        <v>168407</v>
      </c>
      <c r="G264" s="49"/>
    </row>
    <row r="265" spans="1:7" x14ac:dyDescent="0.2">
      <c r="A265" s="41" t="s">
        <v>386</v>
      </c>
      <c r="B265" s="42" t="s">
        <v>661</v>
      </c>
      <c r="C265" s="64"/>
      <c r="D265" s="65"/>
      <c r="E265" s="65"/>
      <c r="F265" s="66">
        <v>168407</v>
      </c>
      <c r="G265" s="138"/>
    </row>
    <row r="266" spans="1:7" ht="17.850000000000001" customHeight="1" x14ac:dyDescent="0.2">
      <c r="A266" s="43" t="s">
        <v>387</v>
      </c>
      <c r="B266" s="44" t="s">
        <v>662</v>
      </c>
      <c r="C266" s="67" t="s">
        <v>127</v>
      </c>
      <c r="D266" s="68">
        <v>1</v>
      </c>
      <c r="E266" s="68">
        <v>168407</v>
      </c>
      <c r="F266" s="69">
        <v>168407</v>
      </c>
      <c r="G266" s="51" t="s">
        <v>793</v>
      </c>
    </row>
    <row r="267" spans="1:7" x14ac:dyDescent="0.2">
      <c r="A267" s="39" t="s">
        <v>388</v>
      </c>
      <c r="B267" s="40" t="s">
        <v>663</v>
      </c>
      <c r="C267" s="61"/>
      <c r="D267" s="62"/>
      <c r="E267" s="62"/>
      <c r="F267" s="63">
        <v>934183.9</v>
      </c>
      <c r="G267" s="49"/>
    </row>
    <row r="268" spans="1:7" x14ac:dyDescent="0.2">
      <c r="A268" s="41" t="s">
        <v>389</v>
      </c>
      <c r="B268" s="42" t="s">
        <v>664</v>
      </c>
      <c r="C268" s="64"/>
      <c r="D268" s="65"/>
      <c r="E268" s="65"/>
      <c r="F268" s="66">
        <v>934183.9</v>
      </c>
      <c r="G268" s="138"/>
    </row>
    <row r="269" spans="1:7" ht="17.850000000000001" customHeight="1" x14ac:dyDescent="0.2">
      <c r="A269" s="43" t="s">
        <v>390</v>
      </c>
      <c r="B269" s="44" t="s">
        <v>665</v>
      </c>
      <c r="C269" s="67" t="s">
        <v>127</v>
      </c>
      <c r="D269" s="68">
        <v>1</v>
      </c>
      <c r="E269" s="68">
        <v>934183.9</v>
      </c>
      <c r="F269" s="69">
        <v>934183.9</v>
      </c>
      <c r="G269" s="51" t="s">
        <v>793</v>
      </c>
    </row>
    <row r="270" spans="1:7" s="151" customFormat="1" x14ac:dyDescent="0.2">
      <c r="A270" s="145" t="s">
        <v>391</v>
      </c>
      <c r="B270" s="146" t="s">
        <v>666</v>
      </c>
      <c r="C270" s="147"/>
      <c r="D270" s="148"/>
      <c r="E270" s="148"/>
      <c r="F270" s="149">
        <v>302100</v>
      </c>
      <c r="G270" s="150" t="s">
        <v>833</v>
      </c>
    </row>
    <row r="271" spans="1:7" x14ac:dyDescent="0.2">
      <c r="A271" s="39" t="s">
        <v>392</v>
      </c>
      <c r="B271" s="40" t="s">
        <v>666</v>
      </c>
      <c r="C271" s="61"/>
      <c r="D271" s="62"/>
      <c r="E271" s="62"/>
      <c r="F271" s="63">
        <v>302100</v>
      </c>
      <c r="G271" s="49"/>
    </row>
    <row r="272" spans="1:7" x14ac:dyDescent="0.2">
      <c r="A272" s="41" t="s">
        <v>393</v>
      </c>
      <c r="B272" s="42" t="s">
        <v>667</v>
      </c>
      <c r="C272" s="64"/>
      <c r="D272" s="65"/>
      <c r="E272" s="65"/>
      <c r="F272" s="66">
        <v>234500</v>
      </c>
      <c r="G272" s="138"/>
    </row>
    <row r="273" spans="1:7" ht="17.850000000000001" customHeight="1" x14ac:dyDescent="0.2">
      <c r="A273" s="43" t="s">
        <v>394</v>
      </c>
      <c r="B273" s="44" t="s">
        <v>668</v>
      </c>
      <c r="C273" s="67" t="s">
        <v>127</v>
      </c>
      <c r="D273" s="68">
        <v>1</v>
      </c>
      <c r="E273" s="68">
        <v>212000</v>
      </c>
      <c r="F273" s="69">
        <v>212000</v>
      </c>
      <c r="G273" s="51"/>
    </row>
    <row r="274" spans="1:7" ht="17.850000000000001" customHeight="1" x14ac:dyDescent="0.2">
      <c r="A274" s="43" t="s">
        <v>395</v>
      </c>
      <c r="B274" s="44" t="s">
        <v>669</v>
      </c>
      <c r="C274" s="67" t="s">
        <v>127</v>
      </c>
      <c r="D274" s="68">
        <v>1</v>
      </c>
      <c r="E274" s="68">
        <v>22500</v>
      </c>
      <c r="F274" s="69">
        <v>22500</v>
      </c>
      <c r="G274" s="51"/>
    </row>
    <row r="275" spans="1:7" x14ac:dyDescent="0.2">
      <c r="A275" s="41" t="s">
        <v>396</v>
      </c>
      <c r="B275" s="42" t="s">
        <v>670</v>
      </c>
      <c r="C275" s="64"/>
      <c r="D275" s="74"/>
      <c r="E275" s="65"/>
      <c r="F275" s="66">
        <v>67600</v>
      </c>
      <c r="G275" s="50"/>
    </row>
    <row r="276" spans="1:7" ht="17.850000000000001" customHeight="1" x14ac:dyDescent="0.2">
      <c r="A276" s="43" t="s">
        <v>397</v>
      </c>
      <c r="B276" s="44" t="s">
        <v>670</v>
      </c>
      <c r="C276" s="67" t="s">
        <v>127</v>
      </c>
      <c r="D276" s="68">
        <v>1</v>
      </c>
      <c r="E276" s="68">
        <v>67600</v>
      </c>
      <c r="F276" s="69">
        <v>67600</v>
      </c>
      <c r="G276" s="51"/>
    </row>
    <row r="277" spans="1:7" s="151" customFormat="1" x14ac:dyDescent="0.2">
      <c r="A277" s="145" t="s">
        <v>398</v>
      </c>
      <c r="B277" s="146" t="s">
        <v>671</v>
      </c>
      <c r="C277" s="147"/>
      <c r="D277" s="148"/>
      <c r="E277" s="148"/>
      <c r="F277" s="149">
        <v>1030085.41</v>
      </c>
      <c r="G277" s="150"/>
    </row>
    <row r="278" spans="1:7" x14ac:dyDescent="0.2">
      <c r="A278" s="39" t="s">
        <v>399</v>
      </c>
      <c r="B278" s="40" t="s">
        <v>671</v>
      </c>
      <c r="C278" s="61"/>
      <c r="D278" s="62"/>
      <c r="E278" s="62"/>
      <c r="F278" s="63">
        <v>1030085.41</v>
      </c>
      <c r="G278" s="49"/>
    </row>
    <row r="279" spans="1:7" x14ac:dyDescent="0.2">
      <c r="A279" s="41" t="s">
        <v>400</v>
      </c>
      <c r="B279" s="42" t="s">
        <v>672</v>
      </c>
      <c r="C279" s="64"/>
      <c r="D279" s="65"/>
      <c r="E279" s="65"/>
      <c r="F279" s="66">
        <v>335517.51</v>
      </c>
      <c r="G279" s="138"/>
    </row>
    <row r="280" spans="1:7" ht="17.850000000000001" customHeight="1" x14ac:dyDescent="0.2">
      <c r="A280" s="43" t="s">
        <v>401</v>
      </c>
      <c r="B280" s="44" t="s">
        <v>673</v>
      </c>
      <c r="C280" s="67" t="s">
        <v>15</v>
      </c>
      <c r="D280" s="68">
        <v>10540.51</v>
      </c>
      <c r="E280" s="68">
        <v>3.1320000000000001</v>
      </c>
      <c r="F280" s="69">
        <v>33012.879999999997</v>
      </c>
      <c r="G280" s="51"/>
    </row>
    <row r="281" spans="1:7" ht="17.850000000000001" customHeight="1" x14ac:dyDescent="0.2">
      <c r="A281" s="43" t="s">
        <v>402</v>
      </c>
      <c r="B281" s="44" t="s">
        <v>674</v>
      </c>
      <c r="C281" s="67" t="s">
        <v>15</v>
      </c>
      <c r="D281" s="68">
        <v>2799.21</v>
      </c>
      <c r="E281" s="68">
        <v>16.547999999999998</v>
      </c>
      <c r="F281" s="69">
        <v>46321.33</v>
      </c>
      <c r="G281" s="51"/>
    </row>
    <row r="282" spans="1:7" ht="17.850000000000001" customHeight="1" x14ac:dyDescent="0.2">
      <c r="A282" s="43" t="s">
        <v>403</v>
      </c>
      <c r="B282" s="44" t="s">
        <v>675</v>
      </c>
      <c r="C282" s="67" t="s">
        <v>15</v>
      </c>
      <c r="D282" s="68">
        <v>13190.91</v>
      </c>
      <c r="E282" s="68">
        <v>19.421199999999999</v>
      </c>
      <c r="F282" s="69">
        <v>256183.3</v>
      </c>
      <c r="G282" s="51"/>
    </row>
    <row r="283" spans="1:7" ht="27.95" customHeight="1" x14ac:dyDescent="0.2">
      <c r="A283" s="41" t="s">
        <v>404</v>
      </c>
      <c r="B283" s="42" t="s">
        <v>676</v>
      </c>
      <c r="C283" s="64"/>
      <c r="D283" s="74"/>
      <c r="E283" s="65"/>
      <c r="F283" s="66">
        <v>165657.22</v>
      </c>
      <c r="G283" s="50"/>
    </row>
    <row r="284" spans="1:7" ht="17.850000000000001" customHeight="1" x14ac:dyDescent="0.2">
      <c r="A284" s="43" t="s">
        <v>405</v>
      </c>
      <c r="B284" s="44" t="s">
        <v>677</v>
      </c>
      <c r="C284" s="67" t="s">
        <v>15</v>
      </c>
      <c r="D284" s="68">
        <v>794.17</v>
      </c>
      <c r="E284" s="68">
        <v>158.185</v>
      </c>
      <c r="F284" s="69">
        <v>125625.78</v>
      </c>
      <c r="G284" s="51"/>
    </row>
    <row r="285" spans="1:7" ht="17.850000000000001" customHeight="1" x14ac:dyDescent="0.2">
      <c r="A285" s="43" t="s">
        <v>406</v>
      </c>
      <c r="B285" s="44" t="s">
        <v>678</v>
      </c>
      <c r="C285" s="67" t="s">
        <v>15</v>
      </c>
      <c r="D285" s="68">
        <v>222.7</v>
      </c>
      <c r="E285" s="68">
        <v>179.755</v>
      </c>
      <c r="F285" s="69">
        <v>40031.440000000002</v>
      </c>
      <c r="G285" s="51"/>
    </row>
    <row r="286" spans="1:7" x14ac:dyDescent="0.2">
      <c r="A286" s="41" t="s">
        <v>407</v>
      </c>
      <c r="B286" s="42" t="s">
        <v>679</v>
      </c>
      <c r="C286" s="64"/>
      <c r="D286" s="74"/>
      <c r="E286" s="65"/>
      <c r="F286" s="66">
        <v>950.05</v>
      </c>
      <c r="G286" s="50"/>
    </row>
    <row r="287" spans="1:7" ht="17.850000000000001" customHeight="1" x14ac:dyDescent="0.2">
      <c r="A287" s="43" t="s">
        <v>408</v>
      </c>
      <c r="B287" s="44" t="s">
        <v>680</v>
      </c>
      <c r="C287" s="67" t="s">
        <v>15</v>
      </c>
      <c r="D287" s="68">
        <v>8.17</v>
      </c>
      <c r="E287" s="68">
        <v>116.285</v>
      </c>
      <c r="F287" s="69">
        <v>950.05</v>
      </c>
      <c r="G287" s="51"/>
    </row>
    <row r="288" spans="1:7" x14ac:dyDescent="0.2">
      <c r="A288" s="41" t="s">
        <v>409</v>
      </c>
      <c r="B288" s="42" t="s">
        <v>99</v>
      </c>
      <c r="C288" s="64"/>
      <c r="D288" s="65"/>
      <c r="E288" s="65"/>
      <c r="F288" s="66">
        <v>6620.36</v>
      </c>
      <c r="G288" s="50"/>
    </row>
    <row r="289" spans="1:7" ht="17.850000000000001" customHeight="1" x14ac:dyDescent="0.2">
      <c r="A289" s="43" t="s">
        <v>410</v>
      </c>
      <c r="B289" s="44" t="s">
        <v>100</v>
      </c>
      <c r="C289" s="67" t="s">
        <v>13</v>
      </c>
      <c r="D289" s="68">
        <v>89.92</v>
      </c>
      <c r="E289" s="68">
        <v>73.625</v>
      </c>
      <c r="F289" s="69">
        <v>6620.36</v>
      </c>
      <c r="G289" s="51"/>
    </row>
    <row r="290" spans="1:7" x14ac:dyDescent="0.2">
      <c r="A290" s="41" t="s">
        <v>411</v>
      </c>
      <c r="B290" s="42" t="s">
        <v>562</v>
      </c>
      <c r="C290" s="64"/>
      <c r="D290" s="65"/>
      <c r="E290" s="65"/>
      <c r="F290" s="66">
        <v>521340.27</v>
      </c>
      <c r="G290" s="50"/>
    </row>
    <row r="291" spans="1:7" ht="17.850000000000001" customHeight="1" x14ac:dyDescent="0.2">
      <c r="A291" s="43" t="s">
        <v>412</v>
      </c>
      <c r="B291" s="44" t="s">
        <v>94</v>
      </c>
      <c r="C291" s="67" t="s">
        <v>15</v>
      </c>
      <c r="D291" s="68">
        <v>13344.57</v>
      </c>
      <c r="E291" s="68">
        <v>35</v>
      </c>
      <c r="F291" s="69">
        <v>467059.95</v>
      </c>
      <c r="G291" s="51"/>
    </row>
    <row r="292" spans="1:7" ht="17.850000000000001" customHeight="1" x14ac:dyDescent="0.2">
      <c r="A292" s="43" t="s">
        <v>413</v>
      </c>
      <c r="B292" s="44" t="s">
        <v>681</v>
      </c>
      <c r="C292" s="67" t="s">
        <v>15</v>
      </c>
      <c r="D292" s="68">
        <v>1130.8399999999999</v>
      </c>
      <c r="E292" s="68">
        <v>48</v>
      </c>
      <c r="F292" s="69">
        <v>54280.32</v>
      </c>
      <c r="G292" s="51"/>
    </row>
    <row r="293" spans="1:7" s="151" customFormat="1" x14ac:dyDescent="0.2">
      <c r="A293" s="145" t="s">
        <v>414</v>
      </c>
      <c r="B293" s="146" t="s">
        <v>27</v>
      </c>
      <c r="C293" s="147"/>
      <c r="D293" s="148"/>
      <c r="E293" s="148"/>
      <c r="F293" s="149">
        <v>344380.88</v>
      </c>
      <c r="G293" s="150"/>
    </row>
    <row r="294" spans="1:7" x14ac:dyDescent="0.2">
      <c r="A294" s="39" t="s">
        <v>415</v>
      </c>
      <c r="B294" s="40" t="s">
        <v>27</v>
      </c>
      <c r="C294" s="61"/>
      <c r="D294" s="62"/>
      <c r="E294" s="62"/>
      <c r="F294" s="63">
        <v>344380.88</v>
      </c>
      <c r="G294" s="49"/>
    </row>
    <row r="295" spans="1:7" x14ac:dyDescent="0.2">
      <c r="A295" s="41" t="s">
        <v>416</v>
      </c>
      <c r="B295" s="42" t="s">
        <v>682</v>
      </c>
      <c r="C295" s="64"/>
      <c r="D295" s="65"/>
      <c r="E295" s="65"/>
      <c r="F295" s="66">
        <v>20318.79</v>
      </c>
      <c r="G295" s="138"/>
    </row>
    <row r="296" spans="1:7" ht="17.850000000000001" customHeight="1" x14ac:dyDescent="0.2">
      <c r="A296" s="43" t="s">
        <v>417</v>
      </c>
      <c r="B296" s="44" t="s">
        <v>683</v>
      </c>
      <c r="C296" s="67" t="s">
        <v>15</v>
      </c>
      <c r="D296" s="68">
        <v>44.94</v>
      </c>
      <c r="E296" s="68">
        <v>18.076799999999999</v>
      </c>
      <c r="F296" s="69">
        <v>812.37</v>
      </c>
      <c r="G296" s="51"/>
    </row>
    <row r="297" spans="1:7" ht="17.850000000000001" customHeight="1" x14ac:dyDescent="0.2">
      <c r="A297" s="43" t="s">
        <v>418</v>
      </c>
      <c r="B297" s="44" t="s">
        <v>684</v>
      </c>
      <c r="C297" s="67" t="s">
        <v>15</v>
      </c>
      <c r="D297" s="68">
        <v>44.94</v>
      </c>
      <c r="E297" s="68">
        <v>19.153600000000001</v>
      </c>
      <c r="F297" s="69">
        <v>860.76</v>
      </c>
      <c r="G297" s="51"/>
    </row>
    <row r="298" spans="1:7" ht="17.850000000000001" customHeight="1" x14ac:dyDescent="0.2">
      <c r="A298" s="43" t="s">
        <v>419</v>
      </c>
      <c r="B298" s="44" t="s">
        <v>96</v>
      </c>
      <c r="C298" s="67" t="s">
        <v>15</v>
      </c>
      <c r="D298" s="68">
        <v>1438.32</v>
      </c>
      <c r="E298" s="68">
        <v>12.9635</v>
      </c>
      <c r="F298" s="69">
        <v>18645.66</v>
      </c>
      <c r="G298" s="51"/>
    </row>
    <row r="299" spans="1:7" x14ac:dyDescent="0.2">
      <c r="A299" s="41" t="s">
        <v>420</v>
      </c>
      <c r="B299" s="42" t="s">
        <v>685</v>
      </c>
      <c r="C299" s="64"/>
      <c r="D299" s="65"/>
      <c r="E299" s="65"/>
      <c r="F299" s="66">
        <v>290801.21000000002</v>
      </c>
      <c r="G299" s="50"/>
    </row>
    <row r="300" spans="1:7" ht="17.850000000000001" customHeight="1" x14ac:dyDescent="0.2">
      <c r="A300" s="43" t="s">
        <v>421</v>
      </c>
      <c r="B300" s="44" t="s">
        <v>686</v>
      </c>
      <c r="C300" s="67" t="s">
        <v>15</v>
      </c>
      <c r="D300" s="68">
        <v>2474.9699999999998</v>
      </c>
      <c r="E300" s="68">
        <v>90.2</v>
      </c>
      <c r="F300" s="69">
        <v>223242.29</v>
      </c>
      <c r="G300" s="51"/>
    </row>
    <row r="301" spans="1:7" ht="17.850000000000001" customHeight="1" x14ac:dyDescent="0.2">
      <c r="A301" s="43" t="s">
        <v>422</v>
      </c>
      <c r="B301" s="44" t="s">
        <v>687</v>
      </c>
      <c r="C301" s="67" t="s">
        <v>15</v>
      </c>
      <c r="D301" s="68">
        <v>511.81</v>
      </c>
      <c r="E301" s="68">
        <v>132</v>
      </c>
      <c r="F301" s="69">
        <v>67558.92</v>
      </c>
      <c r="G301" s="51"/>
    </row>
    <row r="302" spans="1:7" x14ac:dyDescent="0.2">
      <c r="A302" s="41" t="s">
        <v>423</v>
      </c>
      <c r="B302" s="42" t="s">
        <v>562</v>
      </c>
      <c r="C302" s="64"/>
      <c r="D302" s="65"/>
      <c r="E302" s="65"/>
      <c r="F302" s="66">
        <v>33260.879999999997</v>
      </c>
      <c r="G302" s="50"/>
    </row>
    <row r="303" spans="1:7" ht="17.850000000000001" customHeight="1" x14ac:dyDescent="0.2">
      <c r="A303" s="43" t="s">
        <v>424</v>
      </c>
      <c r="B303" s="44" t="s">
        <v>688</v>
      </c>
      <c r="C303" s="67" t="s">
        <v>15</v>
      </c>
      <c r="D303" s="68">
        <v>44.94</v>
      </c>
      <c r="E303" s="68">
        <v>36</v>
      </c>
      <c r="F303" s="69">
        <v>1617.84</v>
      </c>
      <c r="G303" s="51"/>
    </row>
    <row r="304" spans="1:7" ht="17.850000000000001" customHeight="1" x14ac:dyDescent="0.2">
      <c r="A304" s="43" t="s">
        <v>425</v>
      </c>
      <c r="B304" s="44" t="s">
        <v>95</v>
      </c>
      <c r="C304" s="67" t="s">
        <v>15</v>
      </c>
      <c r="D304" s="68">
        <v>1438.32</v>
      </c>
      <c r="E304" s="68">
        <v>22</v>
      </c>
      <c r="F304" s="69">
        <v>31643.040000000001</v>
      </c>
      <c r="G304" s="51"/>
    </row>
    <row r="305" spans="1:7" s="151" customFormat="1" x14ac:dyDescent="0.2">
      <c r="A305" s="145" t="s">
        <v>426</v>
      </c>
      <c r="B305" s="146" t="s">
        <v>689</v>
      </c>
      <c r="C305" s="147"/>
      <c r="D305" s="148"/>
      <c r="E305" s="148"/>
      <c r="F305" s="149">
        <v>1388564.53</v>
      </c>
      <c r="G305" s="150"/>
    </row>
    <row r="306" spans="1:7" x14ac:dyDescent="0.2">
      <c r="A306" s="39" t="s">
        <v>427</v>
      </c>
      <c r="B306" s="40" t="s">
        <v>689</v>
      </c>
      <c r="C306" s="61"/>
      <c r="D306" s="62"/>
      <c r="E306" s="62"/>
      <c r="F306" s="63">
        <v>1388564.53</v>
      </c>
      <c r="G306" s="49"/>
    </row>
    <row r="307" spans="1:7" x14ac:dyDescent="0.2">
      <c r="A307" s="41" t="s">
        <v>428</v>
      </c>
      <c r="B307" s="42" t="s">
        <v>93</v>
      </c>
      <c r="C307" s="64"/>
      <c r="D307" s="65"/>
      <c r="E307" s="65"/>
      <c r="F307" s="66">
        <v>88601.18</v>
      </c>
      <c r="G307" s="138"/>
    </row>
    <row r="308" spans="1:7" ht="17.850000000000001" customHeight="1" x14ac:dyDescent="0.2">
      <c r="A308" s="43" t="s">
        <v>429</v>
      </c>
      <c r="B308" s="44" t="s">
        <v>690</v>
      </c>
      <c r="C308" s="67" t="s">
        <v>15</v>
      </c>
      <c r="D308" s="68">
        <v>4019.47</v>
      </c>
      <c r="E308" s="68">
        <v>22.042999999999999</v>
      </c>
      <c r="F308" s="69">
        <v>88601.18</v>
      </c>
      <c r="G308" s="51"/>
    </row>
    <row r="309" spans="1:7" x14ac:dyDescent="0.2">
      <c r="A309" s="41" t="s">
        <v>430</v>
      </c>
      <c r="B309" s="42" t="s">
        <v>691</v>
      </c>
      <c r="C309" s="64"/>
      <c r="D309" s="65"/>
      <c r="E309" s="65"/>
      <c r="F309" s="66">
        <v>0</v>
      </c>
      <c r="G309" s="50"/>
    </row>
    <row r="310" spans="1:7" x14ac:dyDescent="0.2">
      <c r="A310" s="41" t="s">
        <v>431</v>
      </c>
      <c r="B310" s="42" t="s">
        <v>692</v>
      </c>
      <c r="C310" s="64"/>
      <c r="D310" s="65"/>
      <c r="E310" s="65"/>
      <c r="F310" s="66">
        <v>81007.399999999994</v>
      </c>
      <c r="G310" s="50"/>
    </row>
    <row r="311" spans="1:7" ht="17.850000000000001" customHeight="1" x14ac:dyDescent="0.2">
      <c r="A311" s="43" t="s">
        <v>432</v>
      </c>
      <c r="B311" s="44" t="s">
        <v>693</v>
      </c>
      <c r="C311" s="67" t="s">
        <v>15</v>
      </c>
      <c r="D311" s="68">
        <v>2475.02</v>
      </c>
      <c r="E311" s="68">
        <v>32.729999999999997</v>
      </c>
      <c r="F311" s="69">
        <v>81007.399999999994</v>
      </c>
      <c r="G311" s="51"/>
    </row>
    <row r="312" spans="1:7" x14ac:dyDescent="0.2">
      <c r="A312" s="41" t="s">
        <v>433</v>
      </c>
      <c r="B312" s="42" t="s">
        <v>694</v>
      </c>
      <c r="C312" s="64"/>
      <c r="D312" s="65"/>
      <c r="E312" s="65"/>
      <c r="F312" s="66">
        <v>40429.019999999997</v>
      </c>
      <c r="G312" s="50"/>
    </row>
    <row r="313" spans="1:7" ht="17.850000000000001" customHeight="1" x14ac:dyDescent="0.2">
      <c r="A313" s="43" t="s">
        <v>434</v>
      </c>
      <c r="B313" s="44" t="s">
        <v>695</v>
      </c>
      <c r="C313" s="67" t="s">
        <v>15</v>
      </c>
      <c r="D313" s="68">
        <v>376.31</v>
      </c>
      <c r="E313" s="68">
        <v>16.235900000000001</v>
      </c>
      <c r="F313" s="69">
        <v>6109.73</v>
      </c>
      <c r="G313" s="51"/>
    </row>
    <row r="314" spans="1:7" ht="17.850000000000001" customHeight="1" x14ac:dyDescent="0.2">
      <c r="A314" s="43" t="s">
        <v>435</v>
      </c>
      <c r="B314" s="44" t="s">
        <v>696</v>
      </c>
      <c r="C314" s="67" t="s">
        <v>15</v>
      </c>
      <c r="D314" s="68">
        <v>1073.82</v>
      </c>
      <c r="E314" s="68">
        <v>31.96</v>
      </c>
      <c r="F314" s="69">
        <v>34319.29</v>
      </c>
      <c r="G314" s="51"/>
    </row>
    <row r="315" spans="1:7" x14ac:dyDescent="0.2">
      <c r="A315" s="41" t="s">
        <v>436</v>
      </c>
      <c r="B315" s="42" t="s">
        <v>697</v>
      </c>
      <c r="C315" s="64"/>
      <c r="D315" s="65"/>
      <c r="E315" s="65"/>
      <c r="F315" s="66">
        <v>471366.3</v>
      </c>
      <c r="G315" s="50"/>
    </row>
    <row r="316" spans="1:7" ht="17.850000000000001" customHeight="1" x14ac:dyDescent="0.2">
      <c r="A316" s="43" t="s">
        <v>437</v>
      </c>
      <c r="B316" s="44" t="s">
        <v>698</v>
      </c>
      <c r="C316" s="67" t="s">
        <v>15</v>
      </c>
      <c r="D316" s="68">
        <v>282.02</v>
      </c>
      <c r="E316" s="68">
        <v>159.9975</v>
      </c>
      <c r="F316" s="69">
        <v>45122.49</v>
      </c>
      <c r="G316" s="51"/>
    </row>
    <row r="317" spans="1:7" ht="17.850000000000001" customHeight="1" x14ac:dyDescent="0.2">
      <c r="A317" s="43" t="s">
        <v>438</v>
      </c>
      <c r="B317" s="44" t="s">
        <v>699</v>
      </c>
      <c r="C317" s="67" t="s">
        <v>15</v>
      </c>
      <c r="D317" s="68">
        <v>3.95</v>
      </c>
      <c r="E317" s="68">
        <v>157.30500000000001</v>
      </c>
      <c r="F317" s="69">
        <v>621.35</v>
      </c>
      <c r="G317" s="51"/>
    </row>
    <row r="318" spans="1:7" ht="17.850000000000001" customHeight="1" x14ac:dyDescent="0.2">
      <c r="A318" s="43" t="s">
        <v>439</v>
      </c>
      <c r="B318" s="44" t="s">
        <v>678</v>
      </c>
      <c r="C318" s="67" t="s">
        <v>15</v>
      </c>
      <c r="D318" s="68">
        <v>2036.45</v>
      </c>
      <c r="E318" s="68">
        <v>179.755</v>
      </c>
      <c r="F318" s="69">
        <v>366062.07</v>
      </c>
      <c r="G318" s="51"/>
    </row>
    <row r="319" spans="1:7" ht="17.850000000000001" customHeight="1" x14ac:dyDescent="0.2">
      <c r="A319" s="43" t="s">
        <v>440</v>
      </c>
      <c r="B319" s="44" t="s">
        <v>700</v>
      </c>
      <c r="C319" s="67" t="s">
        <v>15</v>
      </c>
      <c r="D319" s="68">
        <v>378.63</v>
      </c>
      <c r="E319" s="68">
        <v>157.30500000000001</v>
      </c>
      <c r="F319" s="69">
        <v>59560.39</v>
      </c>
      <c r="G319" s="51"/>
    </row>
    <row r="320" spans="1:7" x14ac:dyDescent="0.2">
      <c r="A320" s="41" t="s">
        <v>441</v>
      </c>
      <c r="B320" s="42" t="s">
        <v>701</v>
      </c>
      <c r="C320" s="64"/>
      <c r="D320" s="65"/>
      <c r="E320" s="65"/>
      <c r="F320" s="66">
        <v>4564.5</v>
      </c>
      <c r="G320" s="50"/>
    </row>
    <row r="321" spans="1:7" ht="17.850000000000001" customHeight="1" x14ac:dyDescent="0.2">
      <c r="A321" s="43" t="s">
        <v>442</v>
      </c>
      <c r="B321" s="44" t="s">
        <v>702</v>
      </c>
      <c r="C321" s="67" t="s">
        <v>15</v>
      </c>
      <c r="D321" s="68">
        <v>5.37</v>
      </c>
      <c r="E321" s="68">
        <v>850</v>
      </c>
      <c r="F321" s="69">
        <v>4564.5</v>
      </c>
      <c r="G321" s="51"/>
    </row>
    <row r="322" spans="1:7" x14ac:dyDescent="0.2">
      <c r="A322" s="41" t="s">
        <v>835</v>
      </c>
      <c r="B322" s="42" t="s">
        <v>836</v>
      </c>
      <c r="C322" s="64"/>
      <c r="D322" s="65"/>
      <c r="E322" s="65"/>
      <c r="F322" s="66">
        <v>0</v>
      </c>
      <c r="G322" s="50"/>
    </row>
    <row r="323" spans="1:7" ht="17.850000000000001" customHeight="1" x14ac:dyDescent="0.2">
      <c r="A323" s="43" t="s">
        <v>443</v>
      </c>
      <c r="B323" s="44" t="s">
        <v>679</v>
      </c>
      <c r="C323" s="67"/>
      <c r="D323" s="68"/>
      <c r="E323" s="68"/>
      <c r="F323" s="69">
        <v>152416.47</v>
      </c>
      <c r="G323" s="51"/>
    </row>
    <row r="324" spans="1:7" ht="17.850000000000001" customHeight="1" x14ac:dyDescent="0.2">
      <c r="A324" s="43" t="s">
        <v>444</v>
      </c>
      <c r="B324" s="44" t="s">
        <v>703</v>
      </c>
      <c r="C324" s="67" t="s">
        <v>15</v>
      </c>
      <c r="D324" s="68">
        <v>15.86</v>
      </c>
      <c r="E324" s="68">
        <v>195.81800000000001</v>
      </c>
      <c r="F324" s="69">
        <v>3105.67</v>
      </c>
      <c r="G324" s="51"/>
    </row>
    <row r="325" spans="1:7" ht="17.850000000000001" customHeight="1" x14ac:dyDescent="0.2">
      <c r="A325" s="43" t="s">
        <v>445</v>
      </c>
      <c r="B325" s="44" t="s">
        <v>704</v>
      </c>
      <c r="C325" s="67" t="s">
        <v>15</v>
      </c>
      <c r="D325" s="68">
        <v>1020.8</v>
      </c>
      <c r="E325" s="68">
        <v>125.6575</v>
      </c>
      <c r="F325" s="69">
        <v>128271.18</v>
      </c>
      <c r="G325" s="51"/>
    </row>
    <row r="326" spans="1:7" ht="17.850000000000001" customHeight="1" x14ac:dyDescent="0.2">
      <c r="A326" s="43" t="s">
        <v>446</v>
      </c>
      <c r="B326" s="44" t="s">
        <v>705</v>
      </c>
      <c r="C326" s="67" t="s">
        <v>15</v>
      </c>
      <c r="D326" s="68">
        <v>214.69</v>
      </c>
      <c r="E326" s="68">
        <v>98</v>
      </c>
      <c r="F326" s="69">
        <v>21039.62</v>
      </c>
      <c r="G326" s="51"/>
    </row>
    <row r="327" spans="1:7" x14ac:dyDescent="0.2">
      <c r="A327" s="41" t="s">
        <v>447</v>
      </c>
      <c r="B327" s="42" t="s">
        <v>97</v>
      </c>
      <c r="C327" s="64"/>
      <c r="D327" s="65"/>
      <c r="E327" s="65"/>
      <c r="F327" s="66">
        <v>212311.26</v>
      </c>
      <c r="G327" s="50"/>
    </row>
    <row r="328" spans="1:7" ht="17.850000000000001" customHeight="1" x14ac:dyDescent="0.2">
      <c r="A328" s="43" t="s">
        <v>448</v>
      </c>
      <c r="B328" s="44" t="s">
        <v>706</v>
      </c>
      <c r="C328" s="67" t="s">
        <v>13</v>
      </c>
      <c r="D328" s="68">
        <v>2961.06</v>
      </c>
      <c r="E328" s="68">
        <v>70.799400000000006</v>
      </c>
      <c r="F328" s="69">
        <v>209641.27</v>
      </c>
      <c r="G328" s="51"/>
    </row>
    <row r="329" spans="1:7" ht="17.850000000000001" customHeight="1" x14ac:dyDescent="0.2">
      <c r="A329" s="43" t="s">
        <v>449</v>
      </c>
      <c r="B329" s="44" t="s">
        <v>707</v>
      </c>
      <c r="C329" s="67" t="s">
        <v>13</v>
      </c>
      <c r="D329" s="68">
        <v>161.28</v>
      </c>
      <c r="E329" s="68">
        <v>16.555</v>
      </c>
      <c r="F329" s="69">
        <v>2669.99</v>
      </c>
      <c r="G329" s="51"/>
    </row>
    <row r="330" spans="1:7" x14ac:dyDescent="0.2">
      <c r="A330" s="41" t="s">
        <v>450</v>
      </c>
      <c r="B330" s="42" t="s">
        <v>98</v>
      </c>
      <c r="C330" s="64"/>
      <c r="D330" s="65"/>
      <c r="E330" s="65"/>
      <c r="F330" s="66">
        <v>13822.84</v>
      </c>
      <c r="G330" s="50"/>
    </row>
    <row r="331" spans="1:7" ht="17.850000000000001" customHeight="1" x14ac:dyDescent="0.2">
      <c r="A331" s="43" t="s">
        <v>451</v>
      </c>
      <c r="B331" s="44" t="s">
        <v>708</v>
      </c>
      <c r="C331" s="67" t="s">
        <v>15</v>
      </c>
      <c r="D331" s="68">
        <v>30.2</v>
      </c>
      <c r="E331" s="68">
        <v>457.71</v>
      </c>
      <c r="F331" s="69">
        <v>13822.84</v>
      </c>
      <c r="G331" s="51"/>
    </row>
    <row r="332" spans="1:7" x14ac:dyDescent="0.2">
      <c r="A332" s="41" t="s">
        <v>452</v>
      </c>
      <c r="B332" s="42" t="s">
        <v>562</v>
      </c>
      <c r="C332" s="64"/>
      <c r="D332" s="65"/>
      <c r="E332" s="65"/>
      <c r="F332" s="66">
        <v>324045.56</v>
      </c>
      <c r="G332" s="50"/>
    </row>
    <row r="333" spans="1:7" ht="17.850000000000001" customHeight="1" x14ac:dyDescent="0.2">
      <c r="A333" s="43" t="s">
        <v>453</v>
      </c>
      <c r="B333" s="44" t="s">
        <v>709</v>
      </c>
      <c r="C333" s="67" t="s">
        <v>15</v>
      </c>
      <c r="D333" s="68">
        <v>4019.47</v>
      </c>
      <c r="E333" s="68">
        <v>28</v>
      </c>
      <c r="F333" s="69">
        <v>112545.16</v>
      </c>
      <c r="G333" s="51"/>
    </row>
    <row r="334" spans="1:7" ht="17.850000000000001" customHeight="1" x14ac:dyDescent="0.2">
      <c r="A334" s="43" t="s">
        <v>454</v>
      </c>
      <c r="B334" s="44" t="s">
        <v>710</v>
      </c>
      <c r="C334" s="67" t="s">
        <v>15</v>
      </c>
      <c r="D334" s="68">
        <v>376.31</v>
      </c>
      <c r="E334" s="68">
        <v>28</v>
      </c>
      <c r="F334" s="69">
        <v>10536.68</v>
      </c>
      <c r="G334" s="51"/>
    </row>
    <row r="335" spans="1:7" ht="17.850000000000001" customHeight="1" x14ac:dyDescent="0.2">
      <c r="A335" s="43" t="s">
        <v>455</v>
      </c>
      <c r="B335" s="44" t="s">
        <v>711</v>
      </c>
      <c r="C335" s="67" t="s">
        <v>15</v>
      </c>
      <c r="D335" s="68">
        <v>3488.9</v>
      </c>
      <c r="E335" s="68">
        <v>48</v>
      </c>
      <c r="F335" s="69">
        <v>167467.20000000001</v>
      </c>
      <c r="G335" s="51"/>
    </row>
    <row r="336" spans="1:7" ht="17.850000000000001" customHeight="1" x14ac:dyDescent="0.2">
      <c r="A336" s="43" t="s">
        <v>456</v>
      </c>
      <c r="B336" s="44" t="s">
        <v>712</v>
      </c>
      <c r="C336" s="67" t="s">
        <v>15</v>
      </c>
      <c r="D336" s="68">
        <v>282.02</v>
      </c>
      <c r="E336" s="68">
        <v>48</v>
      </c>
      <c r="F336" s="69">
        <v>13536.96</v>
      </c>
      <c r="G336" s="51"/>
    </row>
    <row r="337" spans="1:7" ht="17.850000000000001" customHeight="1" x14ac:dyDescent="0.2">
      <c r="A337" s="43" t="s">
        <v>457</v>
      </c>
      <c r="B337" s="44" t="s">
        <v>713</v>
      </c>
      <c r="C337" s="67" t="s">
        <v>15</v>
      </c>
      <c r="D337" s="68">
        <v>30.2</v>
      </c>
      <c r="E337" s="68">
        <v>60</v>
      </c>
      <c r="F337" s="69">
        <v>1812</v>
      </c>
      <c r="G337" s="51"/>
    </row>
    <row r="338" spans="1:7" ht="17.850000000000001" customHeight="1" x14ac:dyDescent="0.2">
      <c r="A338" s="43" t="s">
        <v>458</v>
      </c>
      <c r="B338" s="44" t="s">
        <v>714</v>
      </c>
      <c r="C338" s="67" t="s">
        <v>15</v>
      </c>
      <c r="D338" s="68">
        <v>1073.82</v>
      </c>
      <c r="E338" s="68">
        <v>16.899999999999999</v>
      </c>
      <c r="F338" s="69">
        <v>18147.560000000001</v>
      </c>
      <c r="G338" s="51"/>
    </row>
    <row r="339" spans="1:7" s="151" customFormat="1" x14ac:dyDescent="0.2">
      <c r="A339" s="145" t="s">
        <v>459</v>
      </c>
      <c r="B339" s="146" t="s">
        <v>28</v>
      </c>
      <c r="C339" s="147"/>
      <c r="D339" s="148"/>
      <c r="E339" s="148"/>
      <c r="F339" s="149">
        <v>712320.05</v>
      </c>
      <c r="G339" s="150"/>
    </row>
    <row r="340" spans="1:7" x14ac:dyDescent="0.2">
      <c r="A340" s="39" t="s">
        <v>460</v>
      </c>
      <c r="B340" s="40" t="s">
        <v>715</v>
      </c>
      <c r="C340" s="61"/>
      <c r="D340" s="62"/>
      <c r="E340" s="62"/>
      <c r="F340" s="63">
        <v>712320.05</v>
      </c>
      <c r="G340" s="49"/>
    </row>
    <row r="341" spans="1:7" x14ac:dyDescent="0.2">
      <c r="A341" s="41" t="s">
        <v>461</v>
      </c>
      <c r="B341" s="42" t="s">
        <v>716</v>
      </c>
      <c r="C341" s="64"/>
      <c r="D341" s="65"/>
      <c r="E341" s="65"/>
      <c r="F341" s="66">
        <v>6969.74</v>
      </c>
      <c r="G341" s="138"/>
    </row>
    <row r="342" spans="1:7" ht="17.850000000000001" customHeight="1" x14ac:dyDescent="0.2">
      <c r="A342" s="43" t="s">
        <v>462</v>
      </c>
      <c r="B342" s="44" t="s">
        <v>717</v>
      </c>
      <c r="C342" s="67" t="s">
        <v>15</v>
      </c>
      <c r="D342" s="68">
        <v>1073.82</v>
      </c>
      <c r="E342" s="68">
        <v>6.4905999999999997</v>
      </c>
      <c r="F342" s="69">
        <v>6969.74</v>
      </c>
      <c r="G342" s="51"/>
    </row>
    <row r="343" spans="1:7" x14ac:dyDescent="0.2">
      <c r="A343" s="41" t="s">
        <v>463</v>
      </c>
      <c r="B343" s="42" t="s">
        <v>718</v>
      </c>
      <c r="C343" s="64"/>
      <c r="D343" s="65"/>
      <c r="E343" s="65"/>
      <c r="F343" s="66">
        <v>189764.18</v>
      </c>
      <c r="G343" s="50"/>
    </row>
    <row r="344" spans="1:7" ht="17.850000000000001" customHeight="1" x14ac:dyDescent="0.2">
      <c r="A344" s="43" t="s">
        <v>464</v>
      </c>
      <c r="B344" s="44" t="s">
        <v>719</v>
      </c>
      <c r="C344" s="67" t="s">
        <v>15</v>
      </c>
      <c r="D344" s="68">
        <v>13487.95</v>
      </c>
      <c r="E344" s="68">
        <v>2.5895999999999999</v>
      </c>
      <c r="F344" s="69">
        <v>34928.400000000001</v>
      </c>
      <c r="G344" s="75"/>
    </row>
    <row r="345" spans="1:7" ht="17.850000000000001" customHeight="1" x14ac:dyDescent="0.2">
      <c r="A345" s="43" t="s">
        <v>465</v>
      </c>
      <c r="B345" s="44" t="s">
        <v>720</v>
      </c>
      <c r="C345" s="67" t="s">
        <v>15</v>
      </c>
      <c r="D345" s="68">
        <v>13487.95</v>
      </c>
      <c r="E345" s="68">
        <v>2.88</v>
      </c>
      <c r="F345" s="69">
        <v>38845.300000000003</v>
      </c>
      <c r="G345" s="51"/>
    </row>
    <row r="346" spans="1:7" ht="17.850000000000001" customHeight="1" x14ac:dyDescent="0.2">
      <c r="A346" s="43" t="s">
        <v>466</v>
      </c>
      <c r="B346" s="44" t="s">
        <v>721</v>
      </c>
      <c r="C346" s="67" t="s">
        <v>15</v>
      </c>
      <c r="D346" s="68">
        <v>9463.7099999999991</v>
      </c>
      <c r="E346" s="68">
        <v>10.6227</v>
      </c>
      <c r="F346" s="69">
        <v>100530.15</v>
      </c>
      <c r="G346" s="51"/>
    </row>
    <row r="347" spans="1:7" ht="17.850000000000001" customHeight="1" x14ac:dyDescent="0.2">
      <c r="A347" s="43" t="s">
        <v>467</v>
      </c>
      <c r="B347" s="44" t="s">
        <v>722</v>
      </c>
      <c r="C347" s="67" t="s">
        <v>15</v>
      </c>
      <c r="D347" s="68">
        <v>4024.24</v>
      </c>
      <c r="E347" s="68">
        <v>3.8418000000000001</v>
      </c>
      <c r="F347" s="69">
        <v>15460.33</v>
      </c>
      <c r="G347" s="51"/>
    </row>
    <row r="348" spans="1:7" x14ac:dyDescent="0.2">
      <c r="A348" s="41" t="s">
        <v>468</v>
      </c>
      <c r="B348" s="42" t="s">
        <v>723</v>
      </c>
      <c r="C348" s="64"/>
      <c r="D348" s="65"/>
      <c r="E348" s="65"/>
      <c r="F348" s="66">
        <v>8152.11</v>
      </c>
      <c r="G348" s="50"/>
    </row>
    <row r="349" spans="1:7" ht="17.850000000000001" customHeight="1" x14ac:dyDescent="0.2">
      <c r="A349" s="43" t="s">
        <v>469</v>
      </c>
      <c r="B349" s="44" t="s">
        <v>724</v>
      </c>
      <c r="C349" s="67" t="s">
        <v>15</v>
      </c>
      <c r="D349" s="68">
        <v>1438.32</v>
      </c>
      <c r="E349" s="68">
        <v>1.8260000000000001</v>
      </c>
      <c r="F349" s="69">
        <v>2626.37</v>
      </c>
      <c r="G349" s="51"/>
    </row>
    <row r="350" spans="1:7" ht="17.850000000000001" customHeight="1" x14ac:dyDescent="0.2">
      <c r="A350" s="43" t="s">
        <v>470</v>
      </c>
      <c r="B350" s="44" t="s">
        <v>725</v>
      </c>
      <c r="C350" s="67" t="s">
        <v>15</v>
      </c>
      <c r="D350" s="68">
        <v>1438.32</v>
      </c>
      <c r="E350" s="68">
        <v>3.8418000000000001</v>
      </c>
      <c r="F350" s="69">
        <v>5525.74</v>
      </c>
      <c r="G350" s="51"/>
    </row>
    <row r="351" spans="1:7" x14ac:dyDescent="0.2">
      <c r="A351" s="41" t="s">
        <v>471</v>
      </c>
      <c r="B351" s="42" t="s">
        <v>726</v>
      </c>
      <c r="C351" s="64"/>
      <c r="D351" s="65"/>
      <c r="E351" s="65"/>
      <c r="F351" s="66">
        <v>6683.82</v>
      </c>
      <c r="G351" s="50"/>
    </row>
    <row r="352" spans="1:7" ht="17.850000000000001" customHeight="1" x14ac:dyDescent="0.2">
      <c r="A352" s="43" t="s">
        <v>472</v>
      </c>
      <c r="B352" s="44" t="s">
        <v>727</v>
      </c>
      <c r="C352" s="67" t="s">
        <v>13</v>
      </c>
      <c r="D352" s="68">
        <v>293.14999999999998</v>
      </c>
      <c r="E352" s="68">
        <v>22.8</v>
      </c>
      <c r="F352" s="69">
        <v>6683.82</v>
      </c>
      <c r="G352" s="51"/>
    </row>
    <row r="353" spans="1:7" x14ac:dyDescent="0.2">
      <c r="A353" s="41" t="s">
        <v>473</v>
      </c>
      <c r="B353" s="42" t="s">
        <v>562</v>
      </c>
      <c r="C353" s="64"/>
      <c r="D353" s="65"/>
      <c r="E353" s="65"/>
      <c r="F353" s="66">
        <v>500750.2</v>
      </c>
      <c r="G353" s="50"/>
    </row>
    <row r="354" spans="1:7" ht="17.850000000000001" customHeight="1" x14ac:dyDescent="0.2">
      <c r="A354" s="43" t="s">
        <v>474</v>
      </c>
      <c r="B354" s="44" t="s">
        <v>728</v>
      </c>
      <c r="C354" s="67" t="s">
        <v>15</v>
      </c>
      <c r="D354" s="68">
        <v>9463.7099999999991</v>
      </c>
      <c r="E354" s="68">
        <v>34</v>
      </c>
      <c r="F354" s="69">
        <v>321766.14</v>
      </c>
      <c r="G354" s="51"/>
    </row>
    <row r="355" spans="1:7" ht="17.850000000000001" customHeight="1" x14ac:dyDescent="0.2">
      <c r="A355" s="43" t="s">
        <v>475</v>
      </c>
      <c r="B355" s="44" t="s">
        <v>729</v>
      </c>
      <c r="C355" s="67" t="s">
        <v>15</v>
      </c>
      <c r="D355" s="68">
        <v>4024.24</v>
      </c>
      <c r="E355" s="68">
        <v>31</v>
      </c>
      <c r="F355" s="69">
        <v>124751.44</v>
      </c>
      <c r="G355" s="51"/>
    </row>
    <row r="356" spans="1:7" ht="17.850000000000001" customHeight="1" x14ac:dyDescent="0.2">
      <c r="A356" s="43" t="s">
        <v>476</v>
      </c>
      <c r="B356" s="44" t="s">
        <v>730</v>
      </c>
      <c r="C356" s="67" t="s">
        <v>15</v>
      </c>
      <c r="D356" s="68">
        <v>1438.32</v>
      </c>
      <c r="E356" s="68">
        <v>28</v>
      </c>
      <c r="F356" s="69">
        <v>40272.959999999999</v>
      </c>
      <c r="G356" s="51"/>
    </row>
    <row r="357" spans="1:7" ht="17.850000000000001" customHeight="1" x14ac:dyDescent="0.2">
      <c r="A357" s="43" t="s">
        <v>477</v>
      </c>
      <c r="B357" s="44" t="s">
        <v>731</v>
      </c>
      <c r="C357" s="67" t="s">
        <v>15</v>
      </c>
      <c r="D357" s="68">
        <v>1073.82</v>
      </c>
      <c r="E357" s="68">
        <v>13</v>
      </c>
      <c r="F357" s="69">
        <v>13959.66</v>
      </c>
      <c r="G357" s="51"/>
    </row>
    <row r="358" spans="1:7" s="151" customFormat="1" x14ac:dyDescent="0.2">
      <c r="A358" s="145" t="s">
        <v>478</v>
      </c>
      <c r="B358" s="146" t="s">
        <v>732</v>
      </c>
      <c r="C358" s="147"/>
      <c r="D358" s="148"/>
      <c r="E358" s="148"/>
      <c r="F358" s="149">
        <v>1623887.72</v>
      </c>
      <c r="G358" s="150"/>
    </row>
    <row r="359" spans="1:7" x14ac:dyDescent="0.2">
      <c r="A359" s="39" t="s">
        <v>479</v>
      </c>
      <c r="B359" s="40" t="s">
        <v>733</v>
      </c>
      <c r="C359" s="61"/>
      <c r="D359" s="62"/>
      <c r="E359" s="62"/>
      <c r="F359" s="63">
        <v>1072607.47</v>
      </c>
      <c r="G359" s="49"/>
    </row>
    <row r="360" spans="1:7" x14ac:dyDescent="0.2">
      <c r="A360" s="41" t="s">
        <v>480</v>
      </c>
      <c r="B360" s="42" t="s">
        <v>734</v>
      </c>
      <c r="C360" s="64"/>
      <c r="D360" s="65"/>
      <c r="E360" s="65"/>
      <c r="F360" s="66">
        <v>57780.98</v>
      </c>
      <c r="G360" s="138"/>
    </row>
    <row r="361" spans="1:7" ht="17.850000000000001" customHeight="1" x14ac:dyDescent="0.2">
      <c r="A361" s="43" t="s">
        <v>481</v>
      </c>
      <c r="B361" s="44" t="s">
        <v>735</v>
      </c>
      <c r="C361" s="67" t="s">
        <v>13</v>
      </c>
      <c r="D361" s="68">
        <v>2771.27</v>
      </c>
      <c r="E361" s="68">
        <v>20.85</v>
      </c>
      <c r="F361" s="69">
        <v>57780.98</v>
      </c>
      <c r="G361" s="51"/>
    </row>
    <row r="362" spans="1:7" x14ac:dyDescent="0.2">
      <c r="A362" s="41" t="s">
        <v>482</v>
      </c>
      <c r="B362" s="42" t="s">
        <v>736</v>
      </c>
      <c r="C362" s="64"/>
      <c r="D362" s="65"/>
      <c r="E362" s="65"/>
      <c r="F362" s="66">
        <v>1014826.49</v>
      </c>
      <c r="G362" s="50"/>
    </row>
    <row r="363" spans="1:7" ht="17.850000000000001" customHeight="1" x14ac:dyDescent="0.2">
      <c r="A363" s="43" t="s">
        <v>483</v>
      </c>
      <c r="B363" s="44" t="s">
        <v>737</v>
      </c>
      <c r="C363" s="67" t="s">
        <v>15</v>
      </c>
      <c r="D363" s="68">
        <v>964.47</v>
      </c>
      <c r="E363" s="68">
        <v>1017.38</v>
      </c>
      <c r="F363" s="69">
        <v>981232.49</v>
      </c>
      <c r="G363" s="51"/>
    </row>
    <row r="364" spans="1:7" ht="17.850000000000001" customHeight="1" x14ac:dyDescent="0.2">
      <c r="A364" s="43" t="s">
        <v>484</v>
      </c>
      <c r="B364" s="44" t="s">
        <v>738</v>
      </c>
      <c r="C364" s="67" t="s">
        <v>15</v>
      </c>
      <c r="D364" s="68">
        <v>40.72</v>
      </c>
      <c r="E364" s="68">
        <v>825</v>
      </c>
      <c r="F364" s="69">
        <v>33594</v>
      </c>
      <c r="G364" s="51"/>
    </row>
    <row r="365" spans="1:7" x14ac:dyDescent="0.2">
      <c r="A365" s="39" t="s">
        <v>485</v>
      </c>
      <c r="B365" s="40" t="s">
        <v>739</v>
      </c>
      <c r="C365" s="61"/>
      <c r="D365" s="62"/>
      <c r="E365" s="62"/>
      <c r="F365" s="63">
        <v>394429.69</v>
      </c>
      <c r="G365" s="137" t="s">
        <v>833</v>
      </c>
    </row>
    <row r="366" spans="1:7" x14ac:dyDescent="0.2">
      <c r="A366" s="41" t="s">
        <v>486</v>
      </c>
      <c r="B366" s="42" t="s">
        <v>740</v>
      </c>
      <c r="C366" s="64"/>
      <c r="D366" s="65"/>
      <c r="E366" s="65"/>
      <c r="F366" s="66">
        <v>283606.19</v>
      </c>
      <c r="G366" s="50"/>
    </row>
    <row r="367" spans="1:7" ht="17.850000000000001" customHeight="1" x14ac:dyDescent="0.2">
      <c r="A367" s="43" t="s">
        <v>487</v>
      </c>
      <c r="B367" s="44" t="s">
        <v>741</v>
      </c>
      <c r="C367" s="67" t="s">
        <v>19</v>
      </c>
      <c r="D367" s="68">
        <v>76</v>
      </c>
      <c r="E367" s="68">
        <v>1299.9994999999999</v>
      </c>
      <c r="F367" s="69">
        <v>98799.96</v>
      </c>
      <c r="G367" s="51"/>
    </row>
    <row r="368" spans="1:7" ht="17.850000000000001" customHeight="1" x14ac:dyDescent="0.2">
      <c r="A368" s="43" t="s">
        <v>488</v>
      </c>
      <c r="B368" s="44" t="s">
        <v>742</v>
      </c>
      <c r="C368" s="67" t="s">
        <v>19</v>
      </c>
      <c r="D368" s="68">
        <v>131</v>
      </c>
      <c r="E368" s="68">
        <v>1399.9994999999999</v>
      </c>
      <c r="F368" s="69">
        <v>183399.93</v>
      </c>
      <c r="G368" s="51"/>
    </row>
    <row r="369" spans="1:7" ht="17.850000000000001" customHeight="1" x14ac:dyDescent="0.2">
      <c r="A369" s="43" t="s">
        <v>489</v>
      </c>
      <c r="B369" s="44" t="s">
        <v>743</v>
      </c>
      <c r="C369" s="67" t="s">
        <v>19</v>
      </c>
      <c r="D369" s="68">
        <v>1</v>
      </c>
      <c r="E369" s="68">
        <v>1406.2995000000001</v>
      </c>
      <c r="F369" s="69">
        <v>1406.3</v>
      </c>
      <c r="G369" s="51"/>
    </row>
    <row r="370" spans="1:7" x14ac:dyDescent="0.2">
      <c r="A370" s="41" t="s">
        <v>837</v>
      </c>
      <c r="B370" s="42" t="s">
        <v>838</v>
      </c>
      <c r="C370" s="64"/>
      <c r="D370" s="65"/>
      <c r="E370" s="65"/>
      <c r="F370" s="66">
        <v>0</v>
      </c>
      <c r="G370" s="50"/>
    </row>
    <row r="371" spans="1:7" x14ac:dyDescent="0.2">
      <c r="A371" s="41" t="s">
        <v>490</v>
      </c>
      <c r="B371" s="42" t="s">
        <v>744</v>
      </c>
      <c r="C371" s="64"/>
      <c r="D371" s="65"/>
      <c r="E371" s="65"/>
      <c r="F371" s="66">
        <v>84273.5</v>
      </c>
      <c r="G371" s="50"/>
    </row>
    <row r="372" spans="1:7" ht="17.850000000000001" customHeight="1" x14ac:dyDescent="0.2">
      <c r="A372" s="43" t="s">
        <v>491</v>
      </c>
      <c r="B372" s="44" t="s">
        <v>745</v>
      </c>
      <c r="C372" s="67" t="s">
        <v>788</v>
      </c>
      <c r="D372" s="68">
        <v>288</v>
      </c>
      <c r="E372" s="68">
        <v>281.5</v>
      </c>
      <c r="F372" s="69">
        <v>81072</v>
      </c>
      <c r="G372" s="51"/>
    </row>
    <row r="373" spans="1:7" ht="17.850000000000001" customHeight="1" x14ac:dyDescent="0.2">
      <c r="A373" s="43" t="s">
        <v>492</v>
      </c>
      <c r="B373" s="44" t="s">
        <v>746</v>
      </c>
      <c r="C373" s="67" t="s">
        <v>788</v>
      </c>
      <c r="D373" s="68">
        <v>10</v>
      </c>
      <c r="E373" s="68">
        <v>320.14999999999998</v>
      </c>
      <c r="F373" s="69">
        <v>3201.5</v>
      </c>
      <c r="G373" s="51"/>
    </row>
    <row r="374" spans="1:7" x14ac:dyDescent="0.2">
      <c r="A374" s="41" t="s">
        <v>839</v>
      </c>
      <c r="B374" s="42" t="s">
        <v>840</v>
      </c>
      <c r="C374" s="64"/>
      <c r="D374" s="65"/>
      <c r="E374" s="65"/>
      <c r="F374" s="66">
        <v>0</v>
      </c>
      <c r="G374" s="50"/>
    </row>
    <row r="375" spans="1:7" x14ac:dyDescent="0.2">
      <c r="A375" s="41" t="s">
        <v>493</v>
      </c>
      <c r="B375" s="42" t="s">
        <v>562</v>
      </c>
      <c r="C375" s="64"/>
      <c r="D375" s="65"/>
      <c r="E375" s="65"/>
      <c r="F375" s="66">
        <v>26550</v>
      </c>
      <c r="G375" s="50"/>
    </row>
    <row r="376" spans="1:7" ht="17.850000000000001" customHeight="1" x14ac:dyDescent="0.2">
      <c r="A376" s="43" t="s">
        <v>494</v>
      </c>
      <c r="B376" s="44" t="s">
        <v>101</v>
      </c>
      <c r="C376" s="67" t="s">
        <v>19</v>
      </c>
      <c r="D376" s="68">
        <v>177</v>
      </c>
      <c r="E376" s="68">
        <v>150</v>
      </c>
      <c r="F376" s="69">
        <v>26550</v>
      </c>
      <c r="G376" s="51"/>
    </row>
    <row r="377" spans="1:7" x14ac:dyDescent="0.2">
      <c r="A377" s="39" t="s">
        <v>495</v>
      </c>
      <c r="B377" s="40" t="s">
        <v>747</v>
      </c>
      <c r="C377" s="61"/>
      <c r="D377" s="62"/>
      <c r="E377" s="62"/>
      <c r="F377" s="63">
        <v>156850.56</v>
      </c>
      <c r="G377" s="49"/>
    </row>
    <row r="378" spans="1:7" x14ac:dyDescent="0.2">
      <c r="A378" s="41" t="s">
        <v>496</v>
      </c>
      <c r="B378" s="42" t="s">
        <v>748</v>
      </c>
      <c r="C378" s="64"/>
      <c r="D378" s="65"/>
      <c r="E378" s="65"/>
      <c r="F378" s="66">
        <v>154900.56</v>
      </c>
      <c r="G378" s="50"/>
    </row>
    <row r="379" spans="1:7" ht="17.850000000000001" customHeight="1" x14ac:dyDescent="0.2">
      <c r="A379" s="43" t="s">
        <v>497</v>
      </c>
      <c r="B379" s="44" t="s">
        <v>749</v>
      </c>
      <c r="C379" s="67" t="s">
        <v>19</v>
      </c>
      <c r="D379" s="68">
        <v>19</v>
      </c>
      <c r="E379" s="68">
        <v>1569.69</v>
      </c>
      <c r="F379" s="69">
        <v>29824.11</v>
      </c>
      <c r="G379" s="51"/>
    </row>
    <row r="380" spans="1:7" ht="17.850000000000001" customHeight="1" x14ac:dyDescent="0.2">
      <c r="A380" s="43" t="s">
        <v>498</v>
      </c>
      <c r="B380" s="44" t="s">
        <v>750</v>
      </c>
      <c r="C380" s="67" t="s">
        <v>13</v>
      </c>
      <c r="D380" s="68">
        <v>347.25</v>
      </c>
      <c r="E380" s="68">
        <v>287.97000000000003</v>
      </c>
      <c r="F380" s="69">
        <v>99997.58</v>
      </c>
      <c r="G380" s="51" t="s">
        <v>833</v>
      </c>
    </row>
    <row r="381" spans="1:7" ht="17.850000000000001" customHeight="1" x14ac:dyDescent="0.2">
      <c r="A381" s="43" t="s">
        <v>499</v>
      </c>
      <c r="B381" s="44" t="s">
        <v>751</v>
      </c>
      <c r="C381" s="67" t="s">
        <v>15</v>
      </c>
      <c r="D381" s="68">
        <v>15.89</v>
      </c>
      <c r="E381" s="68">
        <v>1578.28</v>
      </c>
      <c r="F381" s="69">
        <v>25078.87</v>
      </c>
      <c r="G381" s="51"/>
    </row>
    <row r="382" spans="1:7" x14ac:dyDescent="0.2">
      <c r="A382" s="41" t="s">
        <v>500</v>
      </c>
      <c r="B382" s="42" t="s">
        <v>752</v>
      </c>
      <c r="C382" s="64"/>
      <c r="D382" s="65"/>
      <c r="E382" s="65"/>
      <c r="F382" s="66">
        <v>1950</v>
      </c>
      <c r="G382" s="50"/>
    </row>
    <row r="383" spans="1:7" ht="17.850000000000001" customHeight="1" x14ac:dyDescent="0.2">
      <c r="A383" s="43" t="s">
        <v>501</v>
      </c>
      <c r="B383" s="44" t="s">
        <v>753</v>
      </c>
      <c r="C383" s="67" t="s">
        <v>19</v>
      </c>
      <c r="D383" s="68">
        <v>1</v>
      </c>
      <c r="E383" s="68">
        <v>1300</v>
      </c>
      <c r="F383" s="69">
        <v>1300</v>
      </c>
      <c r="G383" s="51"/>
    </row>
    <row r="384" spans="1:7" ht="17.850000000000001" customHeight="1" x14ac:dyDescent="0.2">
      <c r="A384" s="43" t="s">
        <v>502</v>
      </c>
      <c r="B384" s="44" t="s">
        <v>754</v>
      </c>
      <c r="C384" s="67" t="s">
        <v>19</v>
      </c>
      <c r="D384" s="68">
        <v>1</v>
      </c>
      <c r="E384" s="68">
        <v>650</v>
      </c>
      <c r="F384" s="69">
        <v>650</v>
      </c>
      <c r="G384" s="51"/>
    </row>
    <row r="385" spans="1:7" s="151" customFormat="1" x14ac:dyDescent="0.2">
      <c r="A385" s="145" t="s">
        <v>503</v>
      </c>
      <c r="B385" s="146" t="s">
        <v>755</v>
      </c>
      <c r="C385" s="147"/>
      <c r="D385" s="148"/>
      <c r="E385" s="148"/>
      <c r="F385" s="149">
        <v>170220.89</v>
      </c>
      <c r="G385" s="150"/>
    </row>
    <row r="386" spans="1:7" x14ac:dyDescent="0.2">
      <c r="A386" s="39" t="s">
        <v>504</v>
      </c>
      <c r="B386" s="40" t="s">
        <v>755</v>
      </c>
      <c r="C386" s="61"/>
      <c r="D386" s="62"/>
      <c r="E386" s="62"/>
      <c r="F386" s="63">
        <v>170220.89</v>
      </c>
      <c r="G386" s="49"/>
    </row>
    <row r="387" spans="1:7" x14ac:dyDescent="0.2">
      <c r="A387" s="41" t="s">
        <v>505</v>
      </c>
      <c r="B387" s="42" t="s">
        <v>756</v>
      </c>
      <c r="C387" s="64"/>
      <c r="D387" s="65"/>
      <c r="E387" s="65"/>
      <c r="F387" s="66">
        <v>95906.06</v>
      </c>
      <c r="G387" s="138"/>
    </row>
    <row r="388" spans="1:7" ht="17.850000000000001" customHeight="1" x14ac:dyDescent="0.2">
      <c r="A388" s="43" t="s">
        <v>506</v>
      </c>
      <c r="B388" s="44" t="s">
        <v>756</v>
      </c>
      <c r="C388" s="67" t="s">
        <v>127</v>
      </c>
      <c r="D388" s="68">
        <v>1</v>
      </c>
      <c r="E388" s="68">
        <v>95906.06</v>
      </c>
      <c r="F388" s="69">
        <v>95906.06</v>
      </c>
      <c r="G388" s="51"/>
    </row>
    <row r="389" spans="1:7" x14ac:dyDescent="0.2">
      <c r="A389" s="41" t="s">
        <v>507</v>
      </c>
      <c r="B389" s="42" t="s">
        <v>757</v>
      </c>
      <c r="C389" s="64"/>
      <c r="D389" s="74"/>
      <c r="E389" s="65"/>
      <c r="F389" s="66">
        <v>59524.83</v>
      </c>
      <c r="G389" s="50"/>
    </row>
    <row r="390" spans="1:7" ht="17.850000000000001" customHeight="1" x14ac:dyDescent="0.2">
      <c r="A390" s="43" t="s">
        <v>508</v>
      </c>
      <c r="B390" s="44" t="s">
        <v>757</v>
      </c>
      <c r="C390" s="67" t="s">
        <v>127</v>
      </c>
      <c r="D390" s="68">
        <v>1</v>
      </c>
      <c r="E390" s="68">
        <v>59524.83</v>
      </c>
      <c r="F390" s="69">
        <v>59524.83</v>
      </c>
      <c r="G390" s="51"/>
    </row>
    <row r="391" spans="1:7" x14ac:dyDescent="0.2">
      <c r="A391" s="41" t="s">
        <v>509</v>
      </c>
      <c r="B391" s="42" t="s">
        <v>758</v>
      </c>
      <c r="C391" s="64"/>
      <c r="D391" s="74"/>
      <c r="E391" s="65"/>
      <c r="F391" s="66">
        <v>14790</v>
      </c>
      <c r="G391" s="50"/>
    </row>
    <row r="392" spans="1:7" ht="17.850000000000001" customHeight="1" x14ac:dyDescent="0.2">
      <c r="A392" s="43" t="s">
        <v>510</v>
      </c>
      <c r="B392" s="44" t="s">
        <v>759</v>
      </c>
      <c r="C392" s="67" t="s">
        <v>15</v>
      </c>
      <c r="D392" s="68">
        <v>17.399999999999999</v>
      </c>
      <c r="E392" s="68">
        <v>850</v>
      </c>
      <c r="F392" s="69">
        <v>14790</v>
      </c>
      <c r="G392" s="51"/>
    </row>
    <row r="393" spans="1:7" s="151" customFormat="1" x14ac:dyDescent="0.2">
      <c r="A393" s="145" t="s">
        <v>511</v>
      </c>
      <c r="B393" s="146" t="s">
        <v>29</v>
      </c>
      <c r="C393" s="147"/>
      <c r="D393" s="148"/>
      <c r="E393" s="148"/>
      <c r="F393" s="149">
        <v>32717.5</v>
      </c>
      <c r="G393" s="150"/>
    </row>
    <row r="394" spans="1:7" x14ac:dyDescent="0.2">
      <c r="A394" s="39" t="s">
        <v>512</v>
      </c>
      <c r="B394" s="40" t="s">
        <v>29</v>
      </c>
      <c r="C394" s="61"/>
      <c r="D394" s="62"/>
      <c r="E394" s="62"/>
      <c r="F394" s="63">
        <v>32717.5</v>
      </c>
      <c r="G394" s="49"/>
    </row>
    <row r="395" spans="1:7" x14ac:dyDescent="0.2">
      <c r="A395" s="41" t="s">
        <v>513</v>
      </c>
      <c r="B395" s="42" t="s">
        <v>760</v>
      </c>
      <c r="C395" s="64"/>
      <c r="D395" s="65"/>
      <c r="E395" s="65"/>
      <c r="F395" s="66">
        <v>1956.67</v>
      </c>
      <c r="G395" s="138"/>
    </row>
    <row r="396" spans="1:7" ht="17.850000000000001" customHeight="1" x14ac:dyDescent="0.2">
      <c r="A396" s="43" t="s">
        <v>514</v>
      </c>
      <c r="B396" s="44" t="s">
        <v>761</v>
      </c>
      <c r="C396" s="67" t="s">
        <v>15</v>
      </c>
      <c r="D396" s="68">
        <v>111.43</v>
      </c>
      <c r="E396" s="68">
        <v>17.5596</v>
      </c>
      <c r="F396" s="69">
        <v>1956.67</v>
      </c>
      <c r="G396" s="51"/>
    </row>
    <row r="397" spans="1:7" x14ac:dyDescent="0.2">
      <c r="A397" s="41" t="s">
        <v>515</v>
      </c>
      <c r="B397" s="42" t="s">
        <v>762</v>
      </c>
      <c r="C397" s="64"/>
      <c r="D397" s="74"/>
      <c r="E397" s="65"/>
      <c r="F397" s="66">
        <v>6303.64</v>
      </c>
      <c r="G397" s="50"/>
    </row>
    <row r="398" spans="1:7" ht="17.850000000000001" customHeight="1" x14ac:dyDescent="0.2">
      <c r="A398" s="43" t="s">
        <v>516</v>
      </c>
      <c r="B398" s="44" t="s">
        <v>763</v>
      </c>
      <c r="C398" s="67" t="s">
        <v>15</v>
      </c>
      <c r="D398" s="68">
        <v>111.43</v>
      </c>
      <c r="E398" s="68">
        <v>56.570399999999999</v>
      </c>
      <c r="F398" s="69">
        <v>6303.64</v>
      </c>
      <c r="G398" s="51"/>
    </row>
    <row r="399" spans="1:7" x14ac:dyDescent="0.2">
      <c r="A399" s="41" t="s">
        <v>517</v>
      </c>
      <c r="B399" s="42" t="s">
        <v>764</v>
      </c>
      <c r="C399" s="64"/>
      <c r="D399" s="74"/>
      <c r="E399" s="65"/>
      <c r="F399" s="66">
        <v>19999.990000000002</v>
      </c>
      <c r="G399" s="50"/>
    </row>
    <row r="400" spans="1:7" ht="17.850000000000001" customHeight="1" x14ac:dyDescent="0.2">
      <c r="A400" s="43" t="s">
        <v>518</v>
      </c>
      <c r="B400" s="44" t="s">
        <v>765</v>
      </c>
      <c r="C400" s="67" t="s">
        <v>13</v>
      </c>
      <c r="D400" s="68">
        <v>64.650000000000006</v>
      </c>
      <c r="E400" s="68">
        <v>309.358</v>
      </c>
      <c r="F400" s="69">
        <v>19999.990000000002</v>
      </c>
      <c r="G400" s="51" t="s">
        <v>833</v>
      </c>
    </row>
    <row r="401" spans="1:7" x14ac:dyDescent="0.2">
      <c r="A401" s="41" t="s">
        <v>519</v>
      </c>
      <c r="B401" s="42" t="s">
        <v>766</v>
      </c>
      <c r="C401" s="64"/>
      <c r="D401" s="74"/>
      <c r="E401" s="65"/>
      <c r="F401" s="66">
        <v>0</v>
      </c>
      <c r="G401" s="50"/>
    </row>
    <row r="402" spans="1:7" x14ac:dyDescent="0.2">
      <c r="A402" s="41" t="s">
        <v>520</v>
      </c>
      <c r="B402" s="42" t="s">
        <v>562</v>
      </c>
      <c r="C402" s="64"/>
      <c r="D402" s="74"/>
      <c r="E402" s="65"/>
      <c r="F402" s="66">
        <v>4457.2</v>
      </c>
      <c r="G402" s="50"/>
    </row>
    <row r="403" spans="1:7" ht="17.850000000000001" customHeight="1" x14ac:dyDescent="0.2">
      <c r="A403" s="43" t="s">
        <v>521</v>
      </c>
      <c r="B403" s="44" t="s">
        <v>767</v>
      </c>
      <c r="C403" s="67" t="s">
        <v>15</v>
      </c>
      <c r="D403" s="68">
        <v>111.43</v>
      </c>
      <c r="E403" s="68">
        <v>40</v>
      </c>
      <c r="F403" s="69">
        <v>4457.2</v>
      </c>
      <c r="G403" s="51"/>
    </row>
    <row r="404" spans="1:7" s="151" customFormat="1" x14ac:dyDescent="0.2">
      <c r="A404" s="145" t="s">
        <v>522</v>
      </c>
      <c r="B404" s="146" t="s">
        <v>768</v>
      </c>
      <c r="C404" s="147"/>
      <c r="D404" s="148"/>
      <c r="E404" s="148"/>
      <c r="F404" s="149">
        <v>1579912.11</v>
      </c>
      <c r="G404" s="150"/>
    </row>
    <row r="405" spans="1:7" x14ac:dyDescent="0.2">
      <c r="A405" s="39" t="s">
        <v>523</v>
      </c>
      <c r="B405" s="40" t="s">
        <v>768</v>
      </c>
      <c r="C405" s="61"/>
      <c r="D405" s="62"/>
      <c r="E405" s="62"/>
      <c r="F405" s="63">
        <v>1579912.11</v>
      </c>
      <c r="G405" s="49"/>
    </row>
    <row r="406" spans="1:7" x14ac:dyDescent="0.2">
      <c r="A406" s="41" t="s">
        <v>524</v>
      </c>
      <c r="B406" s="42" t="s">
        <v>769</v>
      </c>
      <c r="C406" s="64"/>
      <c r="D406" s="65"/>
      <c r="E406" s="65"/>
      <c r="F406" s="66">
        <v>124912.66</v>
      </c>
      <c r="G406" s="138"/>
    </row>
    <row r="407" spans="1:7" ht="17.850000000000001" customHeight="1" x14ac:dyDescent="0.2">
      <c r="A407" s="43" t="s">
        <v>525</v>
      </c>
      <c r="B407" s="44" t="s">
        <v>770</v>
      </c>
      <c r="C407" s="67" t="s">
        <v>15</v>
      </c>
      <c r="D407" s="68">
        <v>2966.24</v>
      </c>
      <c r="E407" s="68">
        <v>3.1320000000000001</v>
      </c>
      <c r="F407" s="69">
        <v>9290.26</v>
      </c>
      <c r="G407" s="51"/>
    </row>
    <row r="408" spans="1:7" ht="17.850000000000001" customHeight="1" x14ac:dyDescent="0.2">
      <c r="A408" s="43" t="s">
        <v>526</v>
      </c>
      <c r="B408" s="44" t="s">
        <v>771</v>
      </c>
      <c r="C408" s="67" t="s">
        <v>15</v>
      </c>
      <c r="D408" s="68">
        <v>1777.1</v>
      </c>
      <c r="E408" s="68">
        <v>16.547999999999998</v>
      </c>
      <c r="F408" s="69">
        <v>29407.45</v>
      </c>
      <c r="G408" s="51"/>
    </row>
    <row r="409" spans="1:7" ht="17.850000000000001" customHeight="1" x14ac:dyDescent="0.2">
      <c r="A409" s="43" t="s">
        <v>527</v>
      </c>
      <c r="B409" s="44" t="s">
        <v>772</v>
      </c>
      <c r="C409" s="67" t="s">
        <v>15</v>
      </c>
      <c r="D409" s="68">
        <v>4743.34</v>
      </c>
      <c r="E409" s="68">
        <v>18.175999999999998</v>
      </c>
      <c r="F409" s="69">
        <v>86214.95</v>
      </c>
      <c r="G409" s="51"/>
    </row>
    <row r="410" spans="1:7" x14ac:dyDescent="0.2">
      <c r="A410" s="41" t="s">
        <v>528</v>
      </c>
      <c r="B410" s="42" t="s">
        <v>773</v>
      </c>
      <c r="C410" s="64"/>
      <c r="D410" s="74"/>
      <c r="E410" s="65"/>
      <c r="F410" s="66">
        <v>687000.22</v>
      </c>
      <c r="G410" s="50"/>
    </row>
    <row r="411" spans="1:7" ht="17.850000000000001" customHeight="1" x14ac:dyDescent="0.2">
      <c r="A411" s="43" t="s">
        <v>529</v>
      </c>
      <c r="B411" s="44" t="s">
        <v>774</v>
      </c>
      <c r="C411" s="67" t="s">
        <v>15</v>
      </c>
      <c r="D411" s="68">
        <v>4607.59</v>
      </c>
      <c r="E411" s="68">
        <v>1.577</v>
      </c>
      <c r="F411" s="69">
        <v>7266.17</v>
      </c>
      <c r="G411" s="51"/>
    </row>
    <row r="412" spans="1:7" ht="17.850000000000001" customHeight="1" x14ac:dyDescent="0.2">
      <c r="A412" s="43" t="s">
        <v>530</v>
      </c>
      <c r="B412" s="44" t="s">
        <v>721</v>
      </c>
      <c r="C412" s="67" t="s">
        <v>15</v>
      </c>
      <c r="D412" s="68">
        <v>135.75</v>
      </c>
      <c r="E412" s="68">
        <v>10.6227</v>
      </c>
      <c r="F412" s="69">
        <v>1442.03</v>
      </c>
      <c r="G412" s="51"/>
    </row>
    <row r="413" spans="1:7" ht="17.850000000000001" customHeight="1" x14ac:dyDescent="0.2">
      <c r="A413" s="43" t="s">
        <v>531</v>
      </c>
      <c r="B413" s="44" t="s">
        <v>775</v>
      </c>
      <c r="C413" s="67" t="s">
        <v>15</v>
      </c>
      <c r="D413" s="68">
        <v>3966.62</v>
      </c>
      <c r="E413" s="68">
        <v>171</v>
      </c>
      <c r="F413" s="69">
        <v>678292.02</v>
      </c>
      <c r="G413" s="51"/>
    </row>
    <row r="414" spans="1:7" x14ac:dyDescent="0.2">
      <c r="A414" s="41" t="s">
        <v>532</v>
      </c>
      <c r="B414" s="42" t="s">
        <v>776</v>
      </c>
      <c r="C414" s="64"/>
      <c r="D414" s="74"/>
      <c r="E414" s="65"/>
      <c r="F414" s="66">
        <v>507116.63</v>
      </c>
      <c r="G414" s="50"/>
    </row>
    <row r="415" spans="1:7" ht="17.850000000000001" customHeight="1" x14ac:dyDescent="0.2">
      <c r="A415" s="43" t="s">
        <v>533</v>
      </c>
      <c r="B415" s="44" t="s">
        <v>777</v>
      </c>
      <c r="C415" s="67" t="s">
        <v>15</v>
      </c>
      <c r="D415" s="68">
        <v>274.35000000000002</v>
      </c>
      <c r="E415" s="68">
        <v>400</v>
      </c>
      <c r="F415" s="69">
        <v>109740</v>
      </c>
      <c r="G415" s="51"/>
    </row>
    <row r="416" spans="1:7" ht="17.850000000000001" customHeight="1" x14ac:dyDescent="0.2">
      <c r="A416" s="43" t="s">
        <v>534</v>
      </c>
      <c r="B416" s="44" t="s">
        <v>778</v>
      </c>
      <c r="C416" s="67" t="s">
        <v>15</v>
      </c>
      <c r="D416" s="68">
        <v>297.64</v>
      </c>
      <c r="E416" s="68">
        <v>1000</v>
      </c>
      <c r="F416" s="69">
        <v>297640</v>
      </c>
      <c r="G416" s="51" t="s">
        <v>833</v>
      </c>
    </row>
    <row r="417" spans="1:7" ht="17.850000000000001" customHeight="1" x14ac:dyDescent="0.2">
      <c r="A417" s="43" t="s">
        <v>535</v>
      </c>
      <c r="B417" s="44" t="s">
        <v>779</v>
      </c>
      <c r="C417" s="67" t="s">
        <v>13</v>
      </c>
      <c r="D417" s="68">
        <v>1563.27</v>
      </c>
      <c r="E417" s="68">
        <v>63.8</v>
      </c>
      <c r="F417" s="69">
        <v>99736.63</v>
      </c>
      <c r="G417" s="51"/>
    </row>
    <row r="418" spans="1:7" ht="17.850000000000001" customHeight="1" x14ac:dyDescent="0.2">
      <c r="A418" s="41" t="s">
        <v>536</v>
      </c>
      <c r="B418" s="42" t="s">
        <v>780</v>
      </c>
      <c r="C418" s="64"/>
      <c r="D418" s="74"/>
      <c r="E418" s="65"/>
      <c r="F418" s="66">
        <v>0</v>
      </c>
      <c r="G418" s="50"/>
    </row>
    <row r="419" spans="1:7" ht="17.850000000000001" customHeight="1" x14ac:dyDescent="0.2">
      <c r="A419" s="41" t="s">
        <v>537</v>
      </c>
      <c r="B419" s="42" t="s">
        <v>562</v>
      </c>
      <c r="C419" s="64"/>
      <c r="D419" s="74"/>
      <c r="E419" s="65"/>
      <c r="F419" s="66">
        <v>260882.6</v>
      </c>
      <c r="G419" s="50"/>
    </row>
    <row r="420" spans="1:7" ht="17.850000000000001" customHeight="1" x14ac:dyDescent="0.2">
      <c r="A420" s="43" t="s">
        <v>538</v>
      </c>
      <c r="B420" s="44" t="s">
        <v>102</v>
      </c>
      <c r="C420" s="67" t="s">
        <v>15</v>
      </c>
      <c r="D420" s="68">
        <v>4743.32</v>
      </c>
      <c r="E420" s="68">
        <v>55</v>
      </c>
      <c r="F420" s="69">
        <v>260882.6</v>
      </c>
      <c r="G420" s="51"/>
    </row>
    <row r="421" spans="1:7" s="151" customFormat="1" x14ac:dyDescent="0.2">
      <c r="A421" s="145" t="s">
        <v>539</v>
      </c>
      <c r="B421" s="146" t="s">
        <v>30</v>
      </c>
      <c r="C421" s="147"/>
      <c r="D421" s="148"/>
      <c r="E421" s="148"/>
      <c r="F421" s="149">
        <v>1676000</v>
      </c>
      <c r="G421" s="150"/>
    </row>
    <row r="422" spans="1:7" x14ac:dyDescent="0.2">
      <c r="A422" s="39" t="s">
        <v>540</v>
      </c>
      <c r="B422" s="40" t="s">
        <v>30</v>
      </c>
      <c r="C422" s="61"/>
      <c r="D422" s="62"/>
      <c r="E422" s="62"/>
      <c r="F422" s="63">
        <v>1676000</v>
      </c>
      <c r="G422" s="49"/>
    </row>
    <row r="423" spans="1:7" x14ac:dyDescent="0.2">
      <c r="A423" s="41" t="s">
        <v>541</v>
      </c>
      <c r="B423" s="42" t="s">
        <v>781</v>
      </c>
      <c r="C423" s="64"/>
      <c r="D423" s="65"/>
      <c r="E423" s="65"/>
      <c r="F423" s="66">
        <v>1500000</v>
      </c>
      <c r="G423" s="138" t="s">
        <v>833</v>
      </c>
    </row>
    <row r="424" spans="1:7" ht="17.850000000000001" customHeight="1" x14ac:dyDescent="0.2">
      <c r="A424" s="43" t="s">
        <v>542</v>
      </c>
      <c r="B424" s="44" t="s">
        <v>781</v>
      </c>
      <c r="C424" s="67" t="s">
        <v>127</v>
      </c>
      <c r="D424" s="68">
        <v>1</v>
      </c>
      <c r="E424" s="68">
        <v>1500000</v>
      </c>
      <c r="F424" s="69">
        <v>1500000</v>
      </c>
      <c r="G424" s="51"/>
    </row>
    <row r="425" spans="1:7" ht="17.850000000000001" customHeight="1" x14ac:dyDescent="0.2">
      <c r="A425" s="41" t="s">
        <v>543</v>
      </c>
      <c r="B425" s="42" t="s">
        <v>31</v>
      </c>
      <c r="C425" s="64"/>
      <c r="D425" s="74"/>
      <c r="E425" s="65"/>
      <c r="F425" s="66">
        <v>90000</v>
      </c>
      <c r="G425" s="50"/>
    </row>
    <row r="426" spans="1:7" ht="17.850000000000001" customHeight="1" x14ac:dyDescent="0.2">
      <c r="A426" s="43" t="s">
        <v>544</v>
      </c>
      <c r="B426" s="44" t="s">
        <v>31</v>
      </c>
      <c r="C426" s="67" t="s">
        <v>127</v>
      </c>
      <c r="D426" s="68">
        <v>1</v>
      </c>
      <c r="E426" s="68">
        <v>90000</v>
      </c>
      <c r="F426" s="69">
        <v>90000</v>
      </c>
      <c r="G426" s="51"/>
    </row>
    <row r="427" spans="1:7" ht="17.850000000000001" customHeight="1" x14ac:dyDescent="0.2">
      <c r="A427" s="41" t="s">
        <v>545</v>
      </c>
      <c r="B427" s="42" t="s">
        <v>104</v>
      </c>
      <c r="C427" s="64"/>
      <c r="D427" s="74"/>
      <c r="E427" s="65"/>
      <c r="F427" s="66">
        <v>80000</v>
      </c>
      <c r="G427" s="50"/>
    </row>
    <row r="428" spans="1:7" ht="17.850000000000001" customHeight="1" x14ac:dyDescent="0.2">
      <c r="A428" s="43" t="s">
        <v>546</v>
      </c>
      <c r="B428" s="44" t="s">
        <v>782</v>
      </c>
      <c r="C428" s="67" t="s">
        <v>127</v>
      </c>
      <c r="D428" s="68">
        <v>1</v>
      </c>
      <c r="E428" s="68">
        <v>80000</v>
      </c>
      <c r="F428" s="69">
        <v>80000</v>
      </c>
      <c r="G428" s="51"/>
    </row>
    <row r="429" spans="1:7" ht="17.850000000000001" customHeight="1" x14ac:dyDescent="0.2">
      <c r="A429" s="41" t="s">
        <v>547</v>
      </c>
      <c r="B429" s="42" t="s">
        <v>783</v>
      </c>
      <c r="C429" s="64"/>
      <c r="D429" s="74"/>
      <c r="E429" s="65"/>
      <c r="F429" s="66">
        <v>6000</v>
      </c>
      <c r="G429" s="50"/>
    </row>
    <row r="430" spans="1:7" ht="17.850000000000001" customHeight="1" x14ac:dyDescent="0.2">
      <c r="A430" s="43" t="s">
        <v>548</v>
      </c>
      <c r="B430" s="44" t="s">
        <v>783</v>
      </c>
      <c r="C430" s="67" t="s">
        <v>127</v>
      </c>
      <c r="D430" s="68">
        <v>1</v>
      </c>
      <c r="E430" s="68">
        <v>6000</v>
      </c>
      <c r="F430" s="69">
        <v>6000</v>
      </c>
      <c r="G430" s="51"/>
    </row>
    <row r="431" spans="1:7" s="151" customFormat="1" x14ac:dyDescent="0.2">
      <c r="A431" s="145" t="s">
        <v>549</v>
      </c>
      <c r="B431" s="146" t="s">
        <v>784</v>
      </c>
      <c r="C431" s="147"/>
      <c r="D431" s="148"/>
      <c r="E431" s="148"/>
      <c r="F431" s="149">
        <v>300000</v>
      </c>
      <c r="G431" s="150"/>
    </row>
    <row r="432" spans="1:7" x14ac:dyDescent="0.2">
      <c r="A432" s="39" t="s">
        <v>550</v>
      </c>
      <c r="B432" s="40" t="s">
        <v>784</v>
      </c>
      <c r="C432" s="61"/>
      <c r="D432" s="62"/>
      <c r="E432" s="62"/>
      <c r="F432" s="63">
        <v>300000</v>
      </c>
      <c r="G432" s="49"/>
    </row>
    <row r="433" spans="1:7" x14ac:dyDescent="0.2">
      <c r="A433" s="41" t="s">
        <v>551</v>
      </c>
      <c r="B433" s="42" t="s">
        <v>785</v>
      </c>
      <c r="C433" s="64"/>
      <c r="D433" s="65"/>
      <c r="E433" s="65"/>
      <c r="F433" s="66">
        <v>300000</v>
      </c>
      <c r="G433" s="138" t="s">
        <v>833</v>
      </c>
    </row>
    <row r="434" spans="1:7" ht="17.850000000000001" customHeight="1" x14ac:dyDescent="0.2">
      <c r="A434" s="43" t="s">
        <v>552</v>
      </c>
      <c r="B434" s="44" t="s">
        <v>785</v>
      </c>
      <c r="C434" s="67" t="s">
        <v>127</v>
      </c>
      <c r="D434" s="68">
        <v>1</v>
      </c>
      <c r="E434" s="68">
        <v>300000</v>
      </c>
      <c r="F434" s="69">
        <v>300000</v>
      </c>
      <c r="G434" s="51"/>
    </row>
    <row r="435" spans="1:7" ht="21.2" customHeight="1" thickBot="1" x14ac:dyDescent="0.25">
      <c r="A435" s="193" t="s">
        <v>32</v>
      </c>
      <c r="B435" s="194"/>
      <c r="C435" s="194"/>
      <c r="D435" s="194"/>
      <c r="E435" s="194"/>
      <c r="F435" s="70">
        <v>21245650.530000001</v>
      </c>
      <c r="G435" s="76"/>
    </row>
    <row r="436" spans="1:7" x14ac:dyDescent="0.2">
      <c r="A436" s="174"/>
      <c r="B436" s="175"/>
      <c r="C436" s="173"/>
      <c r="D436" s="173"/>
      <c r="E436" s="172"/>
      <c r="F436" s="172"/>
    </row>
    <row r="437" spans="1:7" x14ac:dyDescent="0.2">
      <c r="F437" s="1"/>
    </row>
    <row r="438" spans="1:7" x14ac:dyDescent="0.2">
      <c r="F438" s="1"/>
    </row>
    <row r="439" spans="1:7" x14ac:dyDescent="0.2">
      <c r="F439" s="1"/>
    </row>
    <row r="440" spans="1:7" x14ac:dyDescent="0.2">
      <c r="F440" s="1"/>
    </row>
    <row r="441" spans="1:7" x14ac:dyDescent="0.2">
      <c r="F441" s="1"/>
    </row>
    <row r="442" spans="1:7" x14ac:dyDescent="0.2">
      <c r="F442" s="1"/>
    </row>
    <row r="443" spans="1:7" x14ac:dyDescent="0.2">
      <c r="F443" s="1"/>
    </row>
    <row r="444" spans="1:7" x14ac:dyDescent="0.2">
      <c r="F444" s="1"/>
    </row>
    <row r="445" spans="1:7" x14ac:dyDescent="0.2">
      <c r="F445" s="1"/>
    </row>
    <row r="446" spans="1:7" x14ac:dyDescent="0.2">
      <c r="F446" s="1"/>
    </row>
    <row r="447" spans="1:7" x14ac:dyDescent="0.2">
      <c r="F447" s="1"/>
    </row>
    <row r="448" spans="1:7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6" x14ac:dyDescent="0.2">
      <c r="F465" s="1"/>
    </row>
    <row r="466" spans="6:6" x14ac:dyDescent="0.2">
      <c r="F466" s="1"/>
    </row>
    <row r="467" spans="6:6" x14ac:dyDescent="0.2">
      <c r="F467" s="1"/>
    </row>
    <row r="468" spans="6:6" x14ac:dyDescent="0.2">
      <c r="F468" s="1"/>
    </row>
    <row r="469" spans="6:6" x14ac:dyDescent="0.2">
      <c r="F469" s="1"/>
    </row>
    <row r="470" spans="6:6" x14ac:dyDescent="0.2">
      <c r="F470" s="1"/>
    </row>
    <row r="471" spans="6:6" x14ac:dyDescent="0.2">
      <c r="F471" s="1"/>
    </row>
    <row r="472" spans="6:6" x14ac:dyDescent="0.2">
      <c r="F472" s="1"/>
    </row>
    <row r="473" spans="6:6" x14ac:dyDescent="0.2">
      <c r="F473" s="1"/>
    </row>
    <row r="474" spans="6:6" x14ac:dyDescent="0.2">
      <c r="F474" s="1"/>
    </row>
    <row r="475" spans="6:6" x14ac:dyDescent="0.2">
      <c r="F475" s="1"/>
    </row>
    <row r="476" spans="6:6" x14ac:dyDescent="0.2">
      <c r="F476" s="1"/>
    </row>
    <row r="477" spans="6:6" x14ac:dyDescent="0.2">
      <c r="F477" s="1"/>
    </row>
    <row r="478" spans="6:6" x14ac:dyDescent="0.2">
      <c r="F478" s="1"/>
    </row>
    <row r="479" spans="6:6" x14ac:dyDescent="0.2">
      <c r="F479" s="1"/>
    </row>
    <row r="480" spans="6:6" x14ac:dyDescent="0.2">
      <c r="F480" s="1"/>
    </row>
    <row r="481" spans="6:6" x14ac:dyDescent="0.2">
      <c r="F481" s="1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  <row r="494" spans="6:6" x14ac:dyDescent="0.2">
      <c r="F494" s="1"/>
    </row>
    <row r="495" spans="6:6" x14ac:dyDescent="0.2">
      <c r="F495" s="1"/>
    </row>
    <row r="496" spans="6:6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  <row r="502" spans="6:6" x14ac:dyDescent="0.2">
      <c r="F502" s="1"/>
    </row>
    <row r="503" spans="6:6" x14ac:dyDescent="0.2">
      <c r="F503" s="1"/>
    </row>
    <row r="504" spans="6:6" x14ac:dyDescent="0.2">
      <c r="F504" s="1"/>
    </row>
    <row r="505" spans="6:6" x14ac:dyDescent="0.2">
      <c r="F505" s="1"/>
    </row>
    <row r="506" spans="6:6" x14ac:dyDescent="0.2">
      <c r="F506" s="1"/>
    </row>
    <row r="507" spans="6:6" x14ac:dyDescent="0.2">
      <c r="F507" s="1"/>
    </row>
    <row r="508" spans="6:6" x14ac:dyDescent="0.2">
      <c r="F508" s="1"/>
    </row>
    <row r="509" spans="6:6" x14ac:dyDescent="0.2">
      <c r="F509" s="1"/>
    </row>
    <row r="510" spans="6:6" x14ac:dyDescent="0.2">
      <c r="F510" s="1"/>
    </row>
    <row r="511" spans="6:6" x14ac:dyDescent="0.2">
      <c r="F511" s="1"/>
    </row>
    <row r="512" spans="6:6" x14ac:dyDescent="0.2">
      <c r="F512" s="1"/>
    </row>
    <row r="513" spans="6:6" x14ac:dyDescent="0.2">
      <c r="F513" s="1"/>
    </row>
    <row r="514" spans="6:6" x14ac:dyDescent="0.2">
      <c r="F514" s="1"/>
    </row>
    <row r="515" spans="6:6" x14ac:dyDescent="0.2">
      <c r="F515" s="1"/>
    </row>
    <row r="516" spans="6:6" x14ac:dyDescent="0.2">
      <c r="F516" s="1"/>
    </row>
    <row r="517" spans="6:6" x14ac:dyDescent="0.2">
      <c r="F517" s="1"/>
    </row>
    <row r="518" spans="6:6" x14ac:dyDescent="0.2">
      <c r="F518" s="1"/>
    </row>
    <row r="519" spans="6:6" x14ac:dyDescent="0.2">
      <c r="F519" s="1"/>
    </row>
    <row r="520" spans="6:6" x14ac:dyDescent="0.2">
      <c r="F520" s="1"/>
    </row>
    <row r="521" spans="6:6" x14ac:dyDescent="0.2">
      <c r="F521" s="1"/>
    </row>
    <row r="522" spans="6:6" x14ac:dyDescent="0.2">
      <c r="F522" s="1"/>
    </row>
    <row r="523" spans="6:6" x14ac:dyDescent="0.2">
      <c r="F523" s="1"/>
    </row>
    <row r="524" spans="6:6" x14ac:dyDescent="0.2">
      <c r="F524" s="1"/>
    </row>
    <row r="525" spans="6:6" x14ac:dyDescent="0.2">
      <c r="F525" s="1"/>
    </row>
    <row r="526" spans="6:6" x14ac:dyDescent="0.2">
      <c r="F526" s="1"/>
    </row>
    <row r="527" spans="6:6" x14ac:dyDescent="0.2">
      <c r="F527" s="1"/>
    </row>
    <row r="528" spans="6:6" x14ac:dyDescent="0.2">
      <c r="F528" s="1"/>
    </row>
    <row r="529" spans="6:6" x14ac:dyDescent="0.2">
      <c r="F529" s="1"/>
    </row>
    <row r="530" spans="6:6" x14ac:dyDescent="0.2">
      <c r="F530" s="1"/>
    </row>
    <row r="531" spans="6:6" x14ac:dyDescent="0.2">
      <c r="F531" s="1"/>
    </row>
    <row r="532" spans="6:6" x14ac:dyDescent="0.2">
      <c r="F532" s="1"/>
    </row>
    <row r="533" spans="6:6" x14ac:dyDescent="0.2">
      <c r="F533" s="1"/>
    </row>
    <row r="534" spans="6:6" x14ac:dyDescent="0.2">
      <c r="F534" s="1"/>
    </row>
    <row r="535" spans="6:6" x14ac:dyDescent="0.2">
      <c r="F535" s="1"/>
    </row>
    <row r="536" spans="6:6" x14ac:dyDescent="0.2">
      <c r="F536" s="1"/>
    </row>
    <row r="537" spans="6:6" x14ac:dyDescent="0.2">
      <c r="F537" s="1"/>
    </row>
    <row r="538" spans="6:6" x14ac:dyDescent="0.2">
      <c r="F538" s="1"/>
    </row>
    <row r="539" spans="6:6" x14ac:dyDescent="0.2">
      <c r="F539" s="1"/>
    </row>
    <row r="540" spans="6:6" x14ac:dyDescent="0.2">
      <c r="F540" s="1"/>
    </row>
    <row r="541" spans="6:6" x14ac:dyDescent="0.2">
      <c r="F541" s="1"/>
    </row>
    <row r="542" spans="6:6" x14ac:dyDescent="0.2">
      <c r="F542" s="1"/>
    </row>
    <row r="543" spans="6:6" x14ac:dyDescent="0.2">
      <c r="F543" s="1"/>
    </row>
    <row r="544" spans="6:6" x14ac:dyDescent="0.2">
      <c r="F544" s="1"/>
    </row>
    <row r="545" spans="6:6" x14ac:dyDescent="0.2">
      <c r="F545" s="1"/>
    </row>
    <row r="546" spans="6:6" x14ac:dyDescent="0.2">
      <c r="F546" s="1"/>
    </row>
    <row r="547" spans="6:6" x14ac:dyDescent="0.2">
      <c r="F547" s="1"/>
    </row>
    <row r="548" spans="6:6" x14ac:dyDescent="0.2">
      <c r="F548" s="1"/>
    </row>
    <row r="549" spans="6:6" x14ac:dyDescent="0.2">
      <c r="F549" s="1"/>
    </row>
    <row r="550" spans="6:6" x14ac:dyDescent="0.2">
      <c r="F550" s="1"/>
    </row>
    <row r="551" spans="6:6" x14ac:dyDescent="0.2">
      <c r="F551" s="1"/>
    </row>
    <row r="552" spans="6:6" x14ac:dyDescent="0.2">
      <c r="F552" s="1"/>
    </row>
    <row r="553" spans="6:6" x14ac:dyDescent="0.2">
      <c r="F553" s="1"/>
    </row>
    <row r="554" spans="6:6" x14ac:dyDescent="0.2">
      <c r="F554" s="1"/>
    </row>
    <row r="555" spans="6:6" x14ac:dyDescent="0.2">
      <c r="F555" s="1"/>
    </row>
    <row r="556" spans="6:6" x14ac:dyDescent="0.2">
      <c r="F556" s="1"/>
    </row>
    <row r="557" spans="6:6" x14ac:dyDescent="0.2">
      <c r="F557" s="1"/>
    </row>
    <row r="558" spans="6:6" x14ac:dyDescent="0.2">
      <c r="F558" s="1"/>
    </row>
    <row r="559" spans="6:6" x14ac:dyDescent="0.2">
      <c r="F559" s="1"/>
    </row>
    <row r="560" spans="6:6" x14ac:dyDescent="0.2">
      <c r="F560" s="1"/>
    </row>
    <row r="561" spans="6:6" x14ac:dyDescent="0.2">
      <c r="F561" s="1"/>
    </row>
    <row r="562" spans="6:6" x14ac:dyDescent="0.2">
      <c r="F562" s="1"/>
    </row>
    <row r="563" spans="6:6" x14ac:dyDescent="0.2">
      <c r="F563" s="1"/>
    </row>
    <row r="564" spans="6:6" x14ac:dyDescent="0.2">
      <c r="F564" s="1"/>
    </row>
    <row r="565" spans="6:6" x14ac:dyDescent="0.2">
      <c r="F565" s="1"/>
    </row>
    <row r="566" spans="6:6" x14ac:dyDescent="0.2">
      <c r="F566" s="1"/>
    </row>
    <row r="567" spans="6:6" x14ac:dyDescent="0.2">
      <c r="F567" s="1"/>
    </row>
    <row r="568" spans="6:6" x14ac:dyDescent="0.2">
      <c r="F568" s="1"/>
    </row>
    <row r="569" spans="6:6" x14ac:dyDescent="0.2">
      <c r="F569" s="1"/>
    </row>
    <row r="570" spans="6:6" x14ac:dyDescent="0.2">
      <c r="F570" s="1"/>
    </row>
    <row r="571" spans="6:6" x14ac:dyDescent="0.2">
      <c r="F571" s="1"/>
    </row>
    <row r="572" spans="6:6" x14ac:dyDescent="0.2">
      <c r="F572" s="1"/>
    </row>
    <row r="573" spans="6:6" x14ac:dyDescent="0.2">
      <c r="F573" s="1"/>
    </row>
    <row r="574" spans="6:6" x14ac:dyDescent="0.2">
      <c r="F574" s="1"/>
    </row>
    <row r="575" spans="6:6" x14ac:dyDescent="0.2">
      <c r="F575" s="1"/>
    </row>
    <row r="576" spans="6:6" x14ac:dyDescent="0.2">
      <c r="F576" s="1"/>
    </row>
    <row r="577" spans="6:6" x14ac:dyDescent="0.2">
      <c r="F577" s="1"/>
    </row>
    <row r="578" spans="6:6" x14ac:dyDescent="0.2">
      <c r="F578" s="1"/>
    </row>
    <row r="579" spans="6:6" x14ac:dyDescent="0.2">
      <c r="F579" s="1"/>
    </row>
    <row r="580" spans="6:6" x14ac:dyDescent="0.2">
      <c r="F580" s="1"/>
    </row>
    <row r="581" spans="6:6" x14ac:dyDescent="0.2">
      <c r="F581" s="1"/>
    </row>
    <row r="582" spans="6:6" x14ac:dyDescent="0.2">
      <c r="F582" s="1"/>
    </row>
    <row r="583" spans="6:6" x14ac:dyDescent="0.2">
      <c r="F583" s="1"/>
    </row>
    <row r="584" spans="6:6" x14ac:dyDescent="0.2">
      <c r="F584" s="1"/>
    </row>
    <row r="585" spans="6:6" x14ac:dyDescent="0.2">
      <c r="F585" s="1"/>
    </row>
    <row r="586" spans="6:6" x14ac:dyDescent="0.2">
      <c r="F586" s="1"/>
    </row>
    <row r="587" spans="6:6" x14ac:dyDescent="0.2">
      <c r="F587" s="1"/>
    </row>
    <row r="588" spans="6:6" x14ac:dyDescent="0.2">
      <c r="F588" s="1"/>
    </row>
    <row r="589" spans="6:6" x14ac:dyDescent="0.2">
      <c r="F589" s="1"/>
    </row>
    <row r="590" spans="6:6" x14ac:dyDescent="0.2">
      <c r="F590" s="1"/>
    </row>
    <row r="591" spans="6:6" x14ac:dyDescent="0.2">
      <c r="F591" s="1"/>
    </row>
    <row r="592" spans="6:6" x14ac:dyDescent="0.2">
      <c r="F592" s="1"/>
    </row>
    <row r="593" spans="6:6" x14ac:dyDescent="0.2">
      <c r="F593" s="1"/>
    </row>
    <row r="594" spans="6:6" x14ac:dyDescent="0.2">
      <c r="F594" s="1"/>
    </row>
    <row r="595" spans="6:6" x14ac:dyDescent="0.2">
      <c r="F595" s="1"/>
    </row>
    <row r="596" spans="6:6" x14ac:dyDescent="0.2">
      <c r="F596" s="1"/>
    </row>
    <row r="597" spans="6:6" x14ac:dyDescent="0.2">
      <c r="F597" s="1"/>
    </row>
    <row r="598" spans="6:6" x14ac:dyDescent="0.2">
      <c r="F598" s="1"/>
    </row>
    <row r="599" spans="6:6" x14ac:dyDescent="0.2">
      <c r="F599" s="1"/>
    </row>
    <row r="600" spans="6:6" x14ac:dyDescent="0.2">
      <c r="F600" s="1"/>
    </row>
    <row r="601" spans="6:6" x14ac:dyDescent="0.2">
      <c r="F601" s="1"/>
    </row>
    <row r="602" spans="6:6" x14ac:dyDescent="0.2">
      <c r="F602" s="1"/>
    </row>
    <row r="603" spans="6:6" x14ac:dyDescent="0.2">
      <c r="F603" s="1"/>
    </row>
    <row r="604" spans="6:6" x14ac:dyDescent="0.2">
      <c r="F604" s="1"/>
    </row>
    <row r="605" spans="6:6" x14ac:dyDescent="0.2">
      <c r="F605" s="1"/>
    </row>
    <row r="606" spans="6:6" x14ac:dyDescent="0.2">
      <c r="F606" s="1"/>
    </row>
    <row r="607" spans="6:6" x14ac:dyDescent="0.2">
      <c r="F607" s="1"/>
    </row>
    <row r="608" spans="6:6" x14ac:dyDescent="0.2">
      <c r="F608" s="1"/>
    </row>
    <row r="609" spans="6:6" x14ac:dyDescent="0.2">
      <c r="F609" s="1"/>
    </row>
    <row r="610" spans="6:6" x14ac:dyDescent="0.2">
      <c r="F610" s="1"/>
    </row>
    <row r="611" spans="6:6" x14ac:dyDescent="0.2">
      <c r="F611" s="1"/>
    </row>
    <row r="612" spans="6:6" x14ac:dyDescent="0.2">
      <c r="F612" s="1"/>
    </row>
    <row r="613" spans="6:6" x14ac:dyDescent="0.2">
      <c r="F613" s="1"/>
    </row>
    <row r="614" spans="6:6" x14ac:dyDescent="0.2">
      <c r="F614" s="1"/>
    </row>
    <row r="615" spans="6:6" x14ac:dyDescent="0.2">
      <c r="F615" s="1"/>
    </row>
    <row r="616" spans="6:6" x14ac:dyDescent="0.2">
      <c r="F616" s="1"/>
    </row>
    <row r="617" spans="6:6" x14ac:dyDescent="0.2">
      <c r="F617" s="1"/>
    </row>
    <row r="618" spans="6:6" x14ac:dyDescent="0.2">
      <c r="F618" s="1"/>
    </row>
    <row r="619" spans="6:6" x14ac:dyDescent="0.2">
      <c r="F619" s="1"/>
    </row>
    <row r="620" spans="6:6" x14ac:dyDescent="0.2">
      <c r="F620" s="1"/>
    </row>
    <row r="621" spans="6:6" x14ac:dyDescent="0.2">
      <c r="F621" s="1"/>
    </row>
    <row r="622" spans="6:6" x14ac:dyDescent="0.2">
      <c r="F622" s="1"/>
    </row>
    <row r="623" spans="6:6" x14ac:dyDescent="0.2">
      <c r="F623" s="1"/>
    </row>
    <row r="624" spans="6:6" x14ac:dyDescent="0.2">
      <c r="F624" s="1"/>
    </row>
    <row r="625" spans="6:6" x14ac:dyDescent="0.2">
      <c r="F625" s="1"/>
    </row>
    <row r="626" spans="6:6" x14ac:dyDescent="0.2">
      <c r="F626" s="1"/>
    </row>
    <row r="627" spans="6:6" x14ac:dyDescent="0.2">
      <c r="F627" s="1"/>
    </row>
    <row r="628" spans="6:6" x14ac:dyDescent="0.2">
      <c r="F628" s="1"/>
    </row>
    <row r="629" spans="6:6" x14ac:dyDescent="0.2">
      <c r="F629" s="1"/>
    </row>
    <row r="630" spans="6:6" x14ac:dyDescent="0.2">
      <c r="F630" s="1"/>
    </row>
    <row r="631" spans="6:6" x14ac:dyDescent="0.2">
      <c r="F631" s="1"/>
    </row>
    <row r="632" spans="6:6" x14ac:dyDescent="0.2">
      <c r="F632" s="1"/>
    </row>
    <row r="633" spans="6:6" x14ac:dyDescent="0.2">
      <c r="F633" s="1"/>
    </row>
    <row r="634" spans="6:6" x14ac:dyDescent="0.2">
      <c r="F634" s="1"/>
    </row>
    <row r="635" spans="6:6" x14ac:dyDescent="0.2">
      <c r="F635" s="1"/>
    </row>
    <row r="636" spans="6:6" x14ac:dyDescent="0.2">
      <c r="F636" s="1"/>
    </row>
    <row r="637" spans="6:6" x14ac:dyDescent="0.2">
      <c r="F637" s="1"/>
    </row>
    <row r="638" spans="6:6" x14ac:dyDescent="0.2">
      <c r="F638" s="1"/>
    </row>
    <row r="639" spans="6:6" x14ac:dyDescent="0.2">
      <c r="F639" s="1"/>
    </row>
    <row r="640" spans="6:6" x14ac:dyDescent="0.2">
      <c r="F640" s="1"/>
    </row>
    <row r="641" spans="6:6" x14ac:dyDescent="0.2">
      <c r="F641" s="1"/>
    </row>
    <row r="642" spans="6:6" x14ac:dyDescent="0.2">
      <c r="F642" s="1"/>
    </row>
    <row r="643" spans="6:6" x14ac:dyDescent="0.2">
      <c r="F643" s="1"/>
    </row>
    <row r="644" spans="6:6" x14ac:dyDescent="0.2">
      <c r="F644" s="1"/>
    </row>
    <row r="645" spans="6:6" x14ac:dyDescent="0.2">
      <c r="F645" s="1"/>
    </row>
    <row r="646" spans="6:6" x14ac:dyDescent="0.2">
      <c r="F646" s="1"/>
    </row>
    <row r="647" spans="6:6" x14ac:dyDescent="0.2">
      <c r="F647" s="1"/>
    </row>
    <row r="648" spans="6:6" x14ac:dyDescent="0.2">
      <c r="F648" s="1"/>
    </row>
    <row r="649" spans="6:6" x14ac:dyDescent="0.2">
      <c r="F649" s="1"/>
    </row>
    <row r="650" spans="6:6" x14ac:dyDescent="0.2">
      <c r="F650" s="1"/>
    </row>
    <row r="651" spans="6:6" x14ac:dyDescent="0.2">
      <c r="F651" s="1"/>
    </row>
    <row r="652" spans="6:6" x14ac:dyDescent="0.2">
      <c r="F652" s="1"/>
    </row>
    <row r="653" spans="6:6" x14ac:dyDescent="0.2">
      <c r="F653" s="1"/>
    </row>
    <row r="654" spans="6:6" x14ac:dyDescent="0.2">
      <c r="F654" s="1"/>
    </row>
    <row r="655" spans="6:6" x14ac:dyDescent="0.2">
      <c r="F655" s="1"/>
    </row>
    <row r="656" spans="6:6" x14ac:dyDescent="0.2">
      <c r="F656" s="1"/>
    </row>
    <row r="657" spans="6:6" x14ac:dyDescent="0.2">
      <c r="F657" s="1"/>
    </row>
    <row r="658" spans="6:6" x14ac:dyDescent="0.2">
      <c r="F658" s="1"/>
    </row>
    <row r="659" spans="6:6" x14ac:dyDescent="0.2">
      <c r="F659" s="1"/>
    </row>
    <row r="660" spans="6:6" x14ac:dyDescent="0.2">
      <c r="F660" s="1"/>
    </row>
    <row r="661" spans="6:6" x14ac:dyDescent="0.2">
      <c r="F661" s="1"/>
    </row>
    <row r="662" spans="6:6" x14ac:dyDescent="0.2">
      <c r="F662" s="1"/>
    </row>
    <row r="663" spans="6:6" x14ac:dyDescent="0.2">
      <c r="F663" s="1"/>
    </row>
    <row r="664" spans="6:6" x14ac:dyDescent="0.2">
      <c r="F664" s="1"/>
    </row>
    <row r="665" spans="6:6" x14ac:dyDescent="0.2">
      <c r="F665" s="1"/>
    </row>
    <row r="666" spans="6:6" x14ac:dyDescent="0.2">
      <c r="F666" s="1"/>
    </row>
    <row r="667" spans="6:6" x14ac:dyDescent="0.2">
      <c r="F667" s="1"/>
    </row>
    <row r="668" spans="6:6" x14ac:dyDescent="0.2">
      <c r="F668" s="1"/>
    </row>
    <row r="669" spans="6:6" x14ac:dyDescent="0.2">
      <c r="F669" s="1"/>
    </row>
    <row r="670" spans="6:6" x14ac:dyDescent="0.2">
      <c r="F670" s="1"/>
    </row>
    <row r="671" spans="6:6" x14ac:dyDescent="0.2">
      <c r="F671" s="1"/>
    </row>
    <row r="672" spans="6:6" x14ac:dyDescent="0.2">
      <c r="F672" s="1"/>
    </row>
    <row r="673" spans="6:6" x14ac:dyDescent="0.2">
      <c r="F673" s="1"/>
    </row>
    <row r="674" spans="6:6" x14ac:dyDescent="0.2">
      <c r="F674" s="1"/>
    </row>
    <row r="675" spans="6:6" x14ac:dyDescent="0.2">
      <c r="F675" s="1"/>
    </row>
    <row r="676" spans="6:6" x14ac:dyDescent="0.2">
      <c r="F676" s="1"/>
    </row>
    <row r="677" spans="6:6" x14ac:dyDescent="0.2">
      <c r="F677" s="1"/>
    </row>
    <row r="678" spans="6:6" x14ac:dyDescent="0.2">
      <c r="F678" s="1"/>
    </row>
    <row r="679" spans="6:6" x14ac:dyDescent="0.2">
      <c r="F679" s="1"/>
    </row>
    <row r="680" spans="6:6" x14ac:dyDescent="0.2">
      <c r="F680" s="1"/>
    </row>
    <row r="681" spans="6:6" x14ac:dyDescent="0.2">
      <c r="F681" s="1"/>
    </row>
    <row r="682" spans="6:6" x14ac:dyDescent="0.2">
      <c r="F682" s="1"/>
    </row>
    <row r="683" spans="6:6" x14ac:dyDescent="0.2">
      <c r="F683" s="1"/>
    </row>
    <row r="684" spans="6:6" x14ac:dyDescent="0.2">
      <c r="F684" s="1"/>
    </row>
    <row r="685" spans="6:6" x14ac:dyDescent="0.2">
      <c r="F685" s="1"/>
    </row>
    <row r="686" spans="6:6" x14ac:dyDescent="0.2">
      <c r="F686" s="1"/>
    </row>
    <row r="687" spans="6:6" x14ac:dyDescent="0.2">
      <c r="F687" s="1"/>
    </row>
    <row r="688" spans="6:6" x14ac:dyDescent="0.2">
      <c r="F688" s="1"/>
    </row>
    <row r="689" spans="6:6" x14ac:dyDescent="0.2">
      <c r="F689" s="1"/>
    </row>
    <row r="690" spans="6:6" x14ac:dyDescent="0.2">
      <c r="F690" s="1"/>
    </row>
    <row r="691" spans="6:6" x14ac:dyDescent="0.2">
      <c r="F691" s="1"/>
    </row>
    <row r="692" spans="6:6" x14ac:dyDescent="0.2">
      <c r="F692" s="1"/>
    </row>
    <row r="693" spans="6:6" x14ac:dyDescent="0.2">
      <c r="F693" s="1"/>
    </row>
    <row r="694" spans="6:6" x14ac:dyDescent="0.2">
      <c r="F694" s="1"/>
    </row>
    <row r="695" spans="6:6" x14ac:dyDescent="0.2">
      <c r="F695" s="1"/>
    </row>
    <row r="696" spans="6:6" x14ac:dyDescent="0.2">
      <c r="F696" s="1"/>
    </row>
    <row r="697" spans="6:6" x14ac:dyDescent="0.2">
      <c r="F697" s="1"/>
    </row>
    <row r="698" spans="6:6" x14ac:dyDescent="0.2">
      <c r="F698" s="1"/>
    </row>
    <row r="699" spans="6:6" x14ac:dyDescent="0.2">
      <c r="F699" s="1"/>
    </row>
    <row r="700" spans="6:6" x14ac:dyDescent="0.2">
      <c r="F700" s="1"/>
    </row>
    <row r="701" spans="6:6" x14ac:dyDescent="0.2">
      <c r="F701" s="1"/>
    </row>
    <row r="702" spans="6:6" x14ac:dyDescent="0.2">
      <c r="F702" s="1"/>
    </row>
    <row r="703" spans="6:6" x14ac:dyDescent="0.2">
      <c r="F703" s="1"/>
    </row>
    <row r="704" spans="6:6" x14ac:dyDescent="0.2">
      <c r="F704" s="1"/>
    </row>
    <row r="705" spans="6:6" x14ac:dyDescent="0.2">
      <c r="F705" s="1"/>
    </row>
    <row r="706" spans="6:6" x14ac:dyDescent="0.2">
      <c r="F706" s="1"/>
    </row>
    <row r="707" spans="6:6" x14ac:dyDescent="0.2">
      <c r="F707" s="1"/>
    </row>
    <row r="708" spans="6:6" x14ac:dyDescent="0.2">
      <c r="F708" s="1"/>
    </row>
    <row r="709" spans="6:6" x14ac:dyDescent="0.2">
      <c r="F709" s="1"/>
    </row>
    <row r="710" spans="6:6" x14ac:dyDescent="0.2">
      <c r="F710" s="1"/>
    </row>
    <row r="711" spans="6:6" x14ac:dyDescent="0.2">
      <c r="F711" s="1"/>
    </row>
    <row r="712" spans="6:6" x14ac:dyDescent="0.2">
      <c r="F712" s="1"/>
    </row>
    <row r="713" spans="6:6" x14ac:dyDescent="0.2">
      <c r="F713" s="1"/>
    </row>
    <row r="714" spans="6:6" x14ac:dyDescent="0.2">
      <c r="F714" s="1"/>
    </row>
    <row r="715" spans="6:6" x14ac:dyDescent="0.2">
      <c r="F715" s="1"/>
    </row>
    <row r="716" spans="6:6" x14ac:dyDescent="0.2">
      <c r="F716" s="1"/>
    </row>
    <row r="717" spans="6:6" x14ac:dyDescent="0.2">
      <c r="F717" s="1"/>
    </row>
    <row r="718" spans="6:6" x14ac:dyDescent="0.2">
      <c r="F718" s="1"/>
    </row>
    <row r="719" spans="6:6" x14ac:dyDescent="0.2">
      <c r="F719" s="1"/>
    </row>
    <row r="720" spans="6:6" x14ac:dyDescent="0.2">
      <c r="F720" s="1"/>
    </row>
    <row r="721" spans="6:6" x14ac:dyDescent="0.2">
      <c r="F721" s="1"/>
    </row>
    <row r="722" spans="6:6" x14ac:dyDescent="0.2">
      <c r="F722" s="1"/>
    </row>
    <row r="723" spans="6:6" x14ac:dyDescent="0.2">
      <c r="F723" s="1"/>
    </row>
    <row r="724" spans="6:6" x14ac:dyDescent="0.2">
      <c r="F724" s="1"/>
    </row>
    <row r="725" spans="6:6" x14ac:dyDescent="0.2">
      <c r="F725" s="1"/>
    </row>
    <row r="726" spans="6:6" x14ac:dyDescent="0.2">
      <c r="F726" s="1"/>
    </row>
    <row r="727" spans="6:6" x14ac:dyDescent="0.2">
      <c r="F727" s="1"/>
    </row>
    <row r="728" spans="6:6" x14ac:dyDescent="0.2">
      <c r="F728" s="1"/>
    </row>
    <row r="729" spans="6:6" x14ac:dyDescent="0.2">
      <c r="F729" s="1"/>
    </row>
    <row r="730" spans="6:6" x14ac:dyDescent="0.2">
      <c r="F730" s="1"/>
    </row>
    <row r="731" spans="6:6" x14ac:dyDescent="0.2">
      <c r="F731" s="1"/>
    </row>
    <row r="732" spans="6:6" x14ac:dyDescent="0.2">
      <c r="F732" s="1"/>
    </row>
    <row r="733" spans="6:6" x14ac:dyDescent="0.2">
      <c r="F733" s="1"/>
    </row>
    <row r="734" spans="6:6" x14ac:dyDescent="0.2">
      <c r="F734" s="1"/>
    </row>
    <row r="735" spans="6:6" x14ac:dyDescent="0.2">
      <c r="F735" s="1"/>
    </row>
    <row r="736" spans="6:6" x14ac:dyDescent="0.2">
      <c r="F736" s="1"/>
    </row>
    <row r="737" spans="6:6" x14ac:dyDescent="0.2">
      <c r="F737" s="1"/>
    </row>
    <row r="738" spans="6:6" x14ac:dyDescent="0.2">
      <c r="F738" s="1"/>
    </row>
    <row r="739" spans="6:6" x14ac:dyDescent="0.2">
      <c r="F739" s="1"/>
    </row>
    <row r="740" spans="6:6" x14ac:dyDescent="0.2">
      <c r="F740" s="1"/>
    </row>
    <row r="741" spans="6:6" x14ac:dyDescent="0.2">
      <c r="F741" s="1"/>
    </row>
    <row r="742" spans="6:6" x14ac:dyDescent="0.2">
      <c r="F742" s="1"/>
    </row>
    <row r="743" spans="6:6" x14ac:dyDescent="0.2">
      <c r="F743" s="1"/>
    </row>
    <row r="744" spans="6:6" x14ac:dyDescent="0.2">
      <c r="F744" s="1"/>
    </row>
    <row r="745" spans="6:6" x14ac:dyDescent="0.2">
      <c r="F745" s="1"/>
    </row>
    <row r="746" spans="6:6" x14ac:dyDescent="0.2">
      <c r="F746" s="1"/>
    </row>
    <row r="747" spans="6:6" x14ac:dyDescent="0.2">
      <c r="F747" s="1"/>
    </row>
    <row r="748" spans="6:6" x14ac:dyDescent="0.2">
      <c r="F748" s="1"/>
    </row>
    <row r="749" spans="6:6" x14ac:dyDescent="0.2">
      <c r="F749" s="1"/>
    </row>
    <row r="750" spans="6:6" x14ac:dyDescent="0.2">
      <c r="F750" s="1"/>
    </row>
    <row r="751" spans="6:6" x14ac:dyDescent="0.2">
      <c r="F751" s="1"/>
    </row>
    <row r="752" spans="6:6" x14ac:dyDescent="0.2">
      <c r="F752" s="1"/>
    </row>
    <row r="753" spans="6:6" x14ac:dyDescent="0.2">
      <c r="F753" s="1"/>
    </row>
    <row r="754" spans="6:6" x14ac:dyDescent="0.2">
      <c r="F754" s="1"/>
    </row>
    <row r="755" spans="6:6" x14ac:dyDescent="0.2">
      <c r="F755" s="1"/>
    </row>
    <row r="756" spans="6:6" x14ac:dyDescent="0.2">
      <c r="F756" s="1"/>
    </row>
    <row r="757" spans="6:6" x14ac:dyDescent="0.2">
      <c r="F757" s="1"/>
    </row>
    <row r="758" spans="6:6" x14ac:dyDescent="0.2">
      <c r="F758" s="1"/>
    </row>
    <row r="759" spans="6:6" x14ac:dyDescent="0.2">
      <c r="F759" s="1"/>
    </row>
    <row r="760" spans="6:6" x14ac:dyDescent="0.2">
      <c r="F760" s="1"/>
    </row>
    <row r="761" spans="6:6" x14ac:dyDescent="0.2">
      <c r="F761" s="1"/>
    </row>
    <row r="762" spans="6:6" x14ac:dyDescent="0.2">
      <c r="F762" s="1"/>
    </row>
    <row r="763" spans="6:6" x14ac:dyDescent="0.2">
      <c r="F763" s="1"/>
    </row>
    <row r="764" spans="6:6" x14ac:dyDescent="0.2">
      <c r="F764" s="1"/>
    </row>
    <row r="765" spans="6:6" x14ac:dyDescent="0.2">
      <c r="F765" s="1"/>
    </row>
    <row r="766" spans="6:6" x14ac:dyDescent="0.2">
      <c r="F766" s="1"/>
    </row>
    <row r="767" spans="6:6" x14ac:dyDescent="0.2">
      <c r="F767" s="1"/>
    </row>
    <row r="768" spans="6:6" x14ac:dyDescent="0.2">
      <c r="F768" s="1"/>
    </row>
    <row r="769" spans="6:6" x14ac:dyDescent="0.2">
      <c r="F769" s="1"/>
    </row>
    <row r="770" spans="6:6" x14ac:dyDescent="0.2">
      <c r="F770" s="1"/>
    </row>
    <row r="771" spans="6:6" x14ac:dyDescent="0.2">
      <c r="F771" s="1"/>
    </row>
    <row r="772" spans="6:6" x14ac:dyDescent="0.2">
      <c r="F772" s="1"/>
    </row>
    <row r="773" spans="6:6" x14ac:dyDescent="0.2">
      <c r="F773" s="1"/>
    </row>
    <row r="774" spans="6:6" x14ac:dyDescent="0.2">
      <c r="F774" s="1"/>
    </row>
    <row r="775" spans="6:6" x14ac:dyDescent="0.2">
      <c r="F775" s="1"/>
    </row>
    <row r="776" spans="6:6" x14ac:dyDescent="0.2">
      <c r="F776" s="1"/>
    </row>
    <row r="777" spans="6:6" x14ac:dyDescent="0.2">
      <c r="F777" s="1"/>
    </row>
    <row r="778" spans="6:6" x14ac:dyDescent="0.2">
      <c r="F778" s="1"/>
    </row>
    <row r="779" spans="6:6" x14ac:dyDescent="0.2">
      <c r="F779" s="1"/>
    </row>
    <row r="780" spans="6:6" x14ac:dyDescent="0.2">
      <c r="F780" s="1"/>
    </row>
    <row r="781" spans="6:6" x14ac:dyDescent="0.2">
      <c r="F781" s="1"/>
    </row>
    <row r="782" spans="6:6" x14ac:dyDescent="0.2">
      <c r="F782" s="1"/>
    </row>
    <row r="783" spans="6:6" x14ac:dyDescent="0.2">
      <c r="F783" s="1"/>
    </row>
    <row r="784" spans="6:6" x14ac:dyDescent="0.2">
      <c r="F784" s="1"/>
    </row>
    <row r="785" spans="6:6" x14ac:dyDescent="0.2">
      <c r="F785" s="1"/>
    </row>
    <row r="786" spans="6:6" x14ac:dyDescent="0.2">
      <c r="F786" s="1"/>
    </row>
    <row r="787" spans="6:6" x14ac:dyDescent="0.2">
      <c r="F787" s="1"/>
    </row>
    <row r="788" spans="6:6" x14ac:dyDescent="0.2">
      <c r="F788" s="1"/>
    </row>
    <row r="789" spans="6:6" x14ac:dyDescent="0.2">
      <c r="F789" s="1"/>
    </row>
    <row r="790" spans="6:6" x14ac:dyDescent="0.2">
      <c r="F790" s="1"/>
    </row>
    <row r="791" spans="6:6" x14ac:dyDescent="0.2">
      <c r="F791" s="1"/>
    </row>
    <row r="792" spans="6:6" x14ac:dyDescent="0.2">
      <c r="F792" s="1"/>
    </row>
    <row r="793" spans="6:6" x14ac:dyDescent="0.2">
      <c r="F793" s="1"/>
    </row>
    <row r="794" spans="6:6" x14ac:dyDescent="0.2">
      <c r="F794" s="1"/>
    </row>
    <row r="795" spans="6:6" x14ac:dyDescent="0.2">
      <c r="F795" s="1"/>
    </row>
    <row r="796" spans="6:6" x14ac:dyDescent="0.2">
      <c r="F796" s="1"/>
    </row>
    <row r="797" spans="6:6" x14ac:dyDescent="0.2">
      <c r="F797" s="1"/>
    </row>
    <row r="798" spans="6:6" x14ac:dyDescent="0.2">
      <c r="F798" s="1"/>
    </row>
    <row r="799" spans="6:6" x14ac:dyDescent="0.2">
      <c r="F799" s="1"/>
    </row>
    <row r="800" spans="6:6" x14ac:dyDescent="0.2">
      <c r="F800" s="1"/>
    </row>
    <row r="801" spans="6:6" x14ac:dyDescent="0.2">
      <c r="F801" s="1"/>
    </row>
    <row r="802" spans="6:6" x14ac:dyDescent="0.2">
      <c r="F802" s="1"/>
    </row>
    <row r="803" spans="6:6" x14ac:dyDescent="0.2">
      <c r="F803" s="1"/>
    </row>
    <row r="804" spans="6:6" x14ac:dyDescent="0.2">
      <c r="F804" s="1"/>
    </row>
    <row r="805" spans="6:6" x14ac:dyDescent="0.2">
      <c r="F805" s="1"/>
    </row>
    <row r="806" spans="6:6" x14ac:dyDescent="0.2">
      <c r="F806" s="1"/>
    </row>
    <row r="807" spans="6:6" x14ac:dyDescent="0.2">
      <c r="F807" s="1"/>
    </row>
    <row r="808" spans="6:6" x14ac:dyDescent="0.2">
      <c r="F808" s="1"/>
    </row>
    <row r="809" spans="6:6" x14ac:dyDescent="0.2">
      <c r="F809" s="1"/>
    </row>
    <row r="810" spans="6:6" x14ac:dyDescent="0.2">
      <c r="F810" s="1"/>
    </row>
    <row r="811" spans="6:6" x14ac:dyDescent="0.2">
      <c r="F811" s="1"/>
    </row>
    <row r="812" spans="6:6" x14ac:dyDescent="0.2">
      <c r="F812" s="1"/>
    </row>
    <row r="813" spans="6:6" x14ac:dyDescent="0.2">
      <c r="F813" s="1"/>
    </row>
    <row r="814" spans="6:6" x14ac:dyDescent="0.2">
      <c r="F814" s="1"/>
    </row>
    <row r="815" spans="6:6" x14ac:dyDescent="0.2">
      <c r="F815" s="1"/>
    </row>
    <row r="816" spans="6:6" x14ac:dyDescent="0.2">
      <c r="F816" s="1"/>
    </row>
    <row r="817" spans="6:6" x14ac:dyDescent="0.2">
      <c r="F817" s="1"/>
    </row>
    <row r="818" spans="6:6" x14ac:dyDescent="0.2">
      <c r="F818" s="1"/>
    </row>
    <row r="819" spans="6:6" x14ac:dyDescent="0.2">
      <c r="F819" s="1"/>
    </row>
    <row r="820" spans="6:6" x14ac:dyDescent="0.2">
      <c r="F820" s="1"/>
    </row>
    <row r="821" spans="6:6" x14ac:dyDescent="0.2">
      <c r="F821" s="1"/>
    </row>
    <row r="822" spans="6:6" x14ac:dyDescent="0.2">
      <c r="F822" s="1"/>
    </row>
    <row r="823" spans="6:6" x14ac:dyDescent="0.2">
      <c r="F823" s="1"/>
    </row>
    <row r="824" spans="6:6" x14ac:dyDescent="0.2">
      <c r="F824" s="1"/>
    </row>
    <row r="825" spans="6:6" x14ac:dyDescent="0.2">
      <c r="F825" s="1"/>
    </row>
    <row r="826" spans="6:6" x14ac:dyDescent="0.2">
      <c r="F826" s="1"/>
    </row>
    <row r="827" spans="6:6" x14ac:dyDescent="0.2">
      <c r="F827" s="1"/>
    </row>
    <row r="828" spans="6:6" x14ac:dyDescent="0.2">
      <c r="F828" s="1"/>
    </row>
    <row r="829" spans="6:6" x14ac:dyDescent="0.2">
      <c r="F829" s="1"/>
    </row>
    <row r="830" spans="6:6" x14ac:dyDescent="0.2">
      <c r="F830" s="1"/>
    </row>
    <row r="831" spans="6:6" x14ac:dyDescent="0.2">
      <c r="F831" s="1"/>
    </row>
    <row r="832" spans="6:6" x14ac:dyDescent="0.2">
      <c r="F832" s="1"/>
    </row>
    <row r="833" spans="6:6" x14ac:dyDescent="0.2">
      <c r="F833" s="1"/>
    </row>
    <row r="834" spans="6:6" x14ac:dyDescent="0.2">
      <c r="F834" s="1"/>
    </row>
    <row r="835" spans="6:6" x14ac:dyDescent="0.2">
      <c r="F835" s="1"/>
    </row>
    <row r="836" spans="6:6" x14ac:dyDescent="0.2">
      <c r="F836" s="1"/>
    </row>
    <row r="837" spans="6:6" x14ac:dyDescent="0.2">
      <c r="F837" s="1"/>
    </row>
    <row r="838" spans="6:6" x14ac:dyDescent="0.2">
      <c r="F838" s="1"/>
    </row>
    <row r="839" spans="6:6" x14ac:dyDescent="0.2">
      <c r="F839" s="1"/>
    </row>
    <row r="840" spans="6:6" x14ac:dyDescent="0.2">
      <c r="F840" s="1"/>
    </row>
    <row r="841" spans="6:6" x14ac:dyDescent="0.2">
      <c r="F841" s="1"/>
    </row>
    <row r="842" spans="6:6" x14ac:dyDescent="0.2">
      <c r="F842" s="1"/>
    </row>
    <row r="843" spans="6:6" x14ac:dyDescent="0.2">
      <c r="F843" s="1"/>
    </row>
    <row r="844" spans="6:6" x14ac:dyDescent="0.2">
      <c r="F844" s="1"/>
    </row>
    <row r="845" spans="6:6" x14ac:dyDescent="0.2">
      <c r="F845" s="1"/>
    </row>
    <row r="846" spans="6:6" x14ac:dyDescent="0.2">
      <c r="F846" s="1"/>
    </row>
    <row r="847" spans="6:6" x14ac:dyDescent="0.2">
      <c r="F847" s="1"/>
    </row>
    <row r="848" spans="6:6" x14ac:dyDescent="0.2">
      <c r="F848" s="1"/>
    </row>
    <row r="849" spans="6:6" x14ac:dyDescent="0.2">
      <c r="F849" s="1"/>
    </row>
    <row r="850" spans="6:6" x14ac:dyDescent="0.2">
      <c r="F850" s="1"/>
    </row>
    <row r="851" spans="6:6" x14ac:dyDescent="0.2">
      <c r="F851" s="1"/>
    </row>
    <row r="852" spans="6:6" x14ac:dyDescent="0.2">
      <c r="F852" s="1"/>
    </row>
    <row r="853" spans="6:6" x14ac:dyDescent="0.2">
      <c r="F853" s="1"/>
    </row>
    <row r="854" spans="6:6" x14ac:dyDescent="0.2">
      <c r="F854" s="1"/>
    </row>
    <row r="855" spans="6:6" x14ac:dyDescent="0.2">
      <c r="F855" s="1"/>
    </row>
  </sheetData>
  <autoFilter ref="A12:G438" xr:uid="{00000000-0009-0000-0000-000003000000}"/>
  <mergeCells count="10">
    <mergeCell ref="E436:F436"/>
    <mergeCell ref="C436:D436"/>
    <mergeCell ref="A436:B436"/>
    <mergeCell ref="A1:G6"/>
    <mergeCell ref="B7:G7"/>
    <mergeCell ref="B8:G8"/>
    <mergeCell ref="B9:G9"/>
    <mergeCell ref="B10:G10"/>
    <mergeCell ref="A11:F11"/>
    <mergeCell ref="A435:E435"/>
  </mergeCells>
  <phoneticPr fontId="13" type="noConversion"/>
  <pageMargins left="0.52999994886203072" right="0.52999994886203072" top="0.52999994886203072" bottom="0.68999998212799307" header="0" footer="0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CAPA</vt:lpstr>
      <vt:lpstr>Resumo</vt:lpstr>
      <vt:lpstr>ORÇAMENTO_EXECUTIVO</vt:lpstr>
      <vt:lpstr>CAPA!Area_de_impressao</vt:lpstr>
      <vt:lpstr>ORÇAMENTO_EXECUTIVO!Area_de_impressao</vt:lpstr>
      <vt:lpstr>CAPA!Titulos_de_impressao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Pilotti</dc:creator>
  <cp:keywords/>
  <dc:description/>
  <cp:lastModifiedBy>Patricia Bragatto</cp:lastModifiedBy>
  <cp:lastPrinted>2023-04-19T18:08:17Z</cp:lastPrinted>
  <dcterms:created xsi:type="dcterms:W3CDTF">2023-04-18T11:51:40Z</dcterms:created>
  <dcterms:modified xsi:type="dcterms:W3CDTF">2024-07-30T17:15:43Z</dcterms:modified>
  <cp:category/>
  <cp:contentStatus/>
</cp:coreProperties>
</file>