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andezza\Gran Royal\04. Custo\04.3 Custo - Executivo\02 - Elaboração\"/>
    </mc:Choice>
  </mc:AlternateContent>
  <xr:revisionPtr revIDLastSave="0" documentId="13_ncr:1_{8BD34BE1-6767-470A-8A93-67294E20B985}" xr6:coauthVersionLast="47" xr6:coauthVersionMax="47" xr10:uidLastSave="{00000000-0000-0000-0000-000000000000}"/>
  <bookViews>
    <workbookView xWindow="-23148" yWindow="-48" windowWidth="23256" windowHeight="12456" activeTab="2" xr2:uid="{00000000-000D-0000-FFFF-FFFF00000000}"/>
  </bookViews>
  <sheets>
    <sheet name="ORÇAMENTO_EXECUTIVO" sheetId="1" r:id="rId1"/>
    <sheet name="ANÁLISE_CUSTOS" sheetId="2" r:id="rId2"/>
    <sheet name="CONTRUTORA" sheetId="5" r:id="rId3"/>
    <sheet name="CÁLCULO_MÉDIAS" sheetId="3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G6" i="5" s="1"/>
  <c r="E5" i="5"/>
  <c r="G5" i="5" s="1"/>
  <c r="E4" i="5"/>
  <c r="G4" i="5" s="1"/>
  <c r="E3" i="5"/>
  <c r="G3" i="5" s="1"/>
  <c r="D6" i="5"/>
  <c r="F6" i="5" s="1"/>
  <c r="D5" i="5"/>
  <c r="F5" i="5" s="1"/>
  <c r="D4" i="5"/>
  <c r="F4" i="5" s="1"/>
  <c r="D3" i="5"/>
  <c r="F3" i="5" s="1"/>
  <c r="D13" i="5"/>
  <c r="F13" i="5"/>
  <c r="B13" i="5"/>
  <c r="A6" i="5"/>
  <c r="A5" i="5"/>
  <c r="A4" i="5"/>
  <c r="A3" i="5"/>
  <c r="Q24" i="3" l="1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O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R24" i="3" l="1"/>
  <c r="P24" i="3"/>
  <c r="U10" i="3" l="1"/>
  <c r="U24" i="3" s="1"/>
  <c r="T10" i="3"/>
  <c r="D5" i="2" s="1"/>
  <c r="I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K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M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D3" i="2"/>
  <c r="A3" i="2"/>
  <c r="H2" i="1"/>
  <c r="G24" i="3"/>
  <c r="E24" i="3"/>
  <c r="C24" i="3"/>
  <c r="H23" i="3"/>
  <c r="F23" i="3"/>
  <c r="D23" i="3"/>
  <c r="H22" i="3"/>
  <c r="F22" i="3"/>
  <c r="D22" i="3"/>
  <c r="H21" i="3"/>
  <c r="F21" i="3"/>
  <c r="D21" i="3"/>
  <c r="H20" i="3"/>
  <c r="F20" i="3"/>
  <c r="D20" i="3"/>
  <c r="H19" i="3"/>
  <c r="F19" i="3"/>
  <c r="D19" i="3"/>
  <c r="H18" i="3"/>
  <c r="F18" i="3"/>
  <c r="D18" i="3"/>
  <c r="H17" i="3"/>
  <c r="F17" i="3"/>
  <c r="D17" i="3"/>
  <c r="H16" i="3"/>
  <c r="F16" i="3"/>
  <c r="D16" i="3"/>
  <c r="H15" i="3"/>
  <c r="F15" i="3"/>
  <c r="D15" i="3"/>
  <c r="H14" i="3"/>
  <c r="F14" i="3"/>
  <c r="D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B13" i="2"/>
  <c r="D6" i="2"/>
  <c r="A6" i="2"/>
  <c r="A5" i="2"/>
  <c r="D4" i="2"/>
  <c r="A4" i="2"/>
  <c r="T24" i="3" l="1"/>
  <c r="J24" i="3"/>
  <c r="L24" i="3"/>
  <c r="N24" i="3"/>
  <c r="D7" i="2"/>
  <c r="D24" i="3"/>
  <c r="H24" i="3"/>
  <c r="F24" i="3"/>
  <c r="B6" i="1" l="1"/>
  <c r="B3" i="1"/>
  <c r="B5" i="1"/>
  <c r="B4" i="1"/>
  <c r="B4" i="5" l="1"/>
  <c r="B6" i="5"/>
  <c r="B5" i="5"/>
  <c r="D6" i="1"/>
  <c r="B6" i="2"/>
  <c r="C6" i="2" s="1"/>
  <c r="D4" i="1"/>
  <c r="B5" i="2"/>
  <c r="C5" i="2" s="1"/>
  <c r="D5" i="1"/>
  <c r="D3" i="1"/>
  <c r="B4" i="2"/>
  <c r="C4" i="2" s="1"/>
  <c r="C6" i="5" l="1"/>
  <c r="I6" i="5" s="1"/>
  <c r="H6" i="5"/>
  <c r="C5" i="5"/>
  <c r="I5" i="5" s="1"/>
  <c r="H5" i="5"/>
  <c r="C4" i="5"/>
  <c r="I4" i="5" s="1"/>
  <c r="H4" i="5"/>
  <c r="B2" i="1" l="1"/>
  <c r="B3" i="5" l="1"/>
  <c r="H3" i="5" s="1"/>
  <c r="H7" i="5" s="1"/>
  <c r="B3" i="2"/>
  <c r="D2" i="1"/>
  <c r="B7" i="1"/>
  <c r="C2" i="1" s="1"/>
  <c r="C3" i="5" l="1"/>
  <c r="B7" i="5"/>
  <c r="D7" i="5"/>
  <c r="E7" i="5"/>
  <c r="D7" i="1"/>
  <c r="D8" i="1" s="1"/>
  <c r="C6" i="1"/>
  <c r="C4" i="1"/>
  <c r="C5" i="1"/>
  <c r="C3" i="1"/>
  <c r="B7" i="2"/>
  <c r="C3" i="2"/>
  <c r="C7" i="2" s="1"/>
  <c r="C7" i="5" l="1"/>
  <c r="I3" i="5"/>
  <c r="I7" i="5" s="1"/>
  <c r="F7" i="5"/>
  <c r="G7" i="5"/>
  <c r="C7" i="1"/>
</calcChain>
</file>

<file path=xl/sharedStrings.xml><?xml version="1.0" encoding="utf-8"?>
<sst xmlns="http://schemas.openxmlformats.org/spreadsheetml/2006/main" count="135" uniqueCount="66">
  <si>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</si>
  <si>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</si>
  <si>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</si>
  <si>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</si>
  <si>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</si>
  <si>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</si>
  <si>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</si>
  <si>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</si>
  <si>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</si>
  <si>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</si>
  <si>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INSTALAÇÕES ELÉTRICAS, HIDRÁULICAS, GLP E PREVENTIVAS</t>
  </si>
  <si>
    <t>EQUIPAMENTOS E SISTEMAS ESPECIAIS</t>
  </si>
  <si>
    <t>IMPERMEABILIZAÇÃO</t>
  </si>
  <si>
    <t>REVESTIMENTOS E ACABAMENTOS INTERNOS EM TETO</t>
  </si>
  <si>
    <t>PINTURA INTERNA</t>
  </si>
  <si>
    <t>ESQUADRIAS, VIDROS E FERRAGENS</t>
  </si>
  <si>
    <t>COBERTURA</t>
  </si>
  <si>
    <t>REVESTIMENTOS E ACABAMENTOS DE FACHADA</t>
  </si>
  <si>
    <t>SERVIÇOS COMPLEMENTARES</t>
  </si>
  <si>
    <t>TOTAL</t>
  </si>
  <si>
    <t>CUB/SC</t>
  </si>
  <si>
    <t>VALOR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</si>
  <si>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</si>
  <si>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</si>
  <si>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</si>
  <si>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</si>
  <si>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</si>
  <si>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</si>
  <si>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</si>
  <si>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</si>
  <si>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</si>
  <si>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</si>
  <si>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</si>
  <si>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</si>
  <si>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</si>
  <si>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</si>
  <si>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</si>
  <si>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</si>
  <si>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</si>
  <si>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DATA BASE</t>
  </si>
  <si>
    <t>CUB</t>
  </si>
  <si>
    <t>ÁGUAS DE MARÇO - INBRASUL</t>
  </si>
  <si>
    <t>MAIORI - AMALFI</t>
  </si>
  <si>
    <t>GRAN TORINO - MABREM</t>
  </si>
  <si>
    <t>MÉDIAS</t>
  </si>
  <si>
    <t>VALOR / M2</t>
  </si>
  <si>
    <t>INDEXADO</t>
  </si>
  <si>
    <t>MÍNIMA</t>
  </si>
  <si>
    <t>MÁXIMA</t>
  </si>
  <si>
    <t>GERENCIAMENTO TECNICO E ADMINISTRATIVO</t>
  </si>
  <si>
    <t>ALVENARIA</t>
  </si>
  <si>
    <t>REVESTIMENTOS INTERNOS EM PISO E PAREDE</t>
  </si>
  <si>
    <t>ACABAMENTOS EM PISO E PAREDE</t>
  </si>
  <si>
    <t>PLANN - ATRIUM</t>
  </si>
  <si>
    <t>MARINE - AMALFI</t>
  </si>
  <si>
    <t>GRAN TOWER</t>
  </si>
  <si>
    <t>CONTENÇÃO</t>
  </si>
  <si>
    <t>HOLZE - NOUVE</t>
  </si>
  <si>
    <t>Mini-grua que o gran towe não tinha, sem equipe de apoio (grande equipe de apoio)</t>
  </si>
  <si>
    <t>OBRAS DE REFERÊNICA</t>
  </si>
  <si>
    <t>GRAN ROYAL</t>
  </si>
  <si>
    <t>PASSE - PASSIONE</t>
  </si>
  <si>
    <t>GRAN TOWER INDEXADO</t>
  </si>
  <si>
    <t>DIFERENÇA</t>
  </si>
  <si>
    <t>Contneção</t>
  </si>
  <si>
    <t>protensão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</si>
</sst>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12" x14ac:knownFonts="1">
    <font>
      <sz val="11"/>
      <color theme="1"/>
      <name val="Calibri"/>
      <scheme val="minor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b/>
      <sz val="10"/>
      <color theme="1"/>
      <name val="Poppins"/>
    </font>
    <font>
      <sz val="10"/>
      <color rgb="FFFF0000"/>
      <name val="Poppins"/>
    </font>
    <font>
      <sz val="11"/>
      <color theme="1"/>
      <name val="Calibri"/>
      <family val="2"/>
    </font>
    <font>
      <b/>
      <sz val="11"/>
      <color rgb="FFF5F5F5"/>
      <name val="Poppins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B7B7B7"/>
      </top>
      <bottom style="dotted">
        <color rgb="FF000000"/>
      </bottom>
      <diagonal/>
    </border>
    <border>
      <left style="medium">
        <color rgb="FF000000"/>
      </left>
      <right/>
      <top style="thin">
        <color rgb="FF646464"/>
      </top>
      <bottom style="hair">
        <color rgb="FF000000"/>
      </bottom>
      <diagonal/>
    </border>
    <border>
      <left style="medium">
        <color rgb="FF000000"/>
      </left>
      <right/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rgb="FF646464"/>
      </left>
      <right/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0" fontId="11" fillId="0" borderId="42" applyNumberFormat="0" applyFont="0" applyFill="0" applyBorder="0" applyAlignment="0" applyProtection="0"/>
  </cellStyleXfs>
  <cellXfs count="9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left" vertical="center"/>
    </xf>
    <xf numFmtId="10" fontId="3" fillId="3" borderId="3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164" fontId="3" fillId="4" borderId="9" xfId="0" applyNumberFormat="1" applyFont="1" applyFill="1" applyBorder="1" applyAlignment="1">
      <alignment horizontal="left" vertical="center"/>
    </xf>
    <xf numFmtId="10" fontId="3" fillId="4" borderId="9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1" fillId="2" borderId="13" xfId="0" applyNumberFormat="1" applyFont="1" applyFill="1" applyBorder="1" applyAlignment="1">
      <alignment horizontal="center" vertical="center"/>
    </xf>
    <xf numFmtId="0" fontId="3" fillId="0" borderId="0" xfId="0" applyFont="1"/>
    <xf numFmtId="164" fontId="1" fillId="2" borderId="15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9" xfId="0" applyFont="1" applyFill="1" applyBorder="1" applyAlignment="1">
      <alignment horizontal="right"/>
    </xf>
    <xf numFmtId="164" fontId="1" fillId="2" borderId="20" xfId="0" applyNumberFormat="1" applyFont="1" applyFill="1" applyBorder="1" applyAlignment="1">
      <alignment horizontal="right"/>
    </xf>
    <xf numFmtId="164" fontId="1" fillId="2" borderId="20" xfId="0" applyNumberFormat="1" applyFont="1" applyFill="1" applyBorder="1" applyAlignment="1">
      <alignment horizontal="center"/>
    </xf>
    <xf numFmtId="164" fontId="7" fillId="2" borderId="21" xfId="0" applyNumberFormat="1" applyFont="1" applyFill="1" applyBorder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3" fillId="3" borderId="22" xfId="0" applyNumberFormat="1" applyFont="1" applyFill="1" applyBorder="1" applyAlignment="1">
      <alignment horizontal="center"/>
    </xf>
    <xf numFmtId="164" fontId="3" fillId="4" borderId="22" xfId="0" applyNumberFormat="1" applyFont="1" applyFill="1" applyBorder="1" applyAlignment="1">
      <alignment horizontal="center"/>
    </xf>
    <xf numFmtId="164" fontId="6" fillId="0" borderId="0" xfId="0" applyNumberFormat="1" applyFont="1"/>
    <xf numFmtId="0" fontId="9" fillId="5" borderId="23" xfId="0" applyFont="1" applyFill="1" applyBorder="1"/>
    <xf numFmtId="17" fontId="6" fillId="0" borderId="13" xfId="0" applyNumberFormat="1" applyFont="1" applyBorder="1"/>
    <xf numFmtId="0" fontId="9" fillId="5" borderId="19" xfId="0" applyFont="1" applyFill="1" applyBorder="1"/>
    <xf numFmtId="0" fontId="6" fillId="4" borderId="21" xfId="0" applyFont="1" applyFill="1" applyBorder="1"/>
    <xf numFmtId="0" fontId="6" fillId="0" borderId="0" xfId="0" applyFont="1"/>
    <xf numFmtId="165" fontId="9" fillId="5" borderId="27" xfId="0" applyNumberFormat="1" applyFont="1" applyFill="1" applyBorder="1" applyAlignment="1">
      <alignment horizontal="center"/>
    </xf>
    <xf numFmtId="165" fontId="9" fillId="5" borderId="28" xfId="0" applyNumberFormat="1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3" fillId="3" borderId="29" xfId="0" applyFont="1" applyFill="1" applyBorder="1" applyAlignment="1">
      <alignment horizontal="left" vertical="center"/>
    </xf>
    <xf numFmtId="164" fontId="6" fillId="0" borderId="1" xfId="0" applyNumberFormat="1" applyFont="1" applyBorder="1"/>
    <xf numFmtId="0" fontId="3" fillId="4" borderId="31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left" vertical="center"/>
    </xf>
    <xf numFmtId="0" fontId="3" fillId="4" borderId="35" xfId="0" applyFont="1" applyFill="1" applyBorder="1" applyAlignment="1">
      <alignment horizontal="left" vertical="center"/>
    </xf>
    <xf numFmtId="164" fontId="6" fillId="0" borderId="39" xfId="0" applyNumberFormat="1" applyFont="1" applyBorder="1"/>
    <xf numFmtId="0" fontId="1" fillId="5" borderId="27" xfId="0" applyFont="1" applyFill="1" applyBorder="1" applyAlignment="1">
      <alignment horizontal="left" vertical="center"/>
    </xf>
    <xf numFmtId="165" fontId="9" fillId="5" borderId="27" xfId="0" applyNumberFormat="1" applyFont="1" applyFill="1" applyBorder="1"/>
    <xf numFmtId="165" fontId="9" fillId="6" borderId="40" xfId="0" applyNumberFormat="1" applyFont="1" applyFill="1" applyBorder="1"/>
    <xf numFmtId="165" fontId="9" fillId="5" borderId="40" xfId="0" applyNumberFormat="1" applyFont="1" applyFill="1" applyBorder="1"/>
    <xf numFmtId="165" fontId="9" fillId="6" borderId="41" xfId="0" applyNumberFormat="1" applyFont="1" applyFill="1" applyBorder="1"/>
    <xf numFmtId="164" fontId="9" fillId="5" borderId="40" xfId="0" applyNumberFormat="1" applyFont="1" applyFill="1" applyBorder="1"/>
    <xf numFmtId="44" fontId="2" fillId="3" borderId="30" xfId="1" applyFont="1" applyFill="1" applyBorder="1"/>
    <xf numFmtId="44" fontId="6" fillId="6" borderId="1" xfId="1" applyFont="1" applyFill="1" applyBorder="1"/>
    <xf numFmtId="44" fontId="2" fillId="3" borderId="1" xfId="1" applyFont="1" applyFill="1" applyBorder="1"/>
    <xf numFmtId="44" fontId="6" fillId="6" borderId="15" xfId="1" applyFont="1" applyFill="1" applyBorder="1"/>
    <xf numFmtId="44" fontId="2" fillId="4" borderId="32" xfId="1" applyFont="1" applyFill="1" applyBorder="1" applyAlignment="1">
      <alignment vertical="center" wrapText="1"/>
    </xf>
    <xf numFmtId="44" fontId="2" fillId="4" borderId="1" xfId="1" applyFont="1" applyFill="1" applyBorder="1" applyAlignment="1">
      <alignment vertical="center" wrapText="1"/>
    </xf>
    <xf numFmtId="44" fontId="2" fillId="3" borderId="1" xfId="1" applyFont="1" applyFill="1" applyBorder="1" applyAlignment="1">
      <alignment vertical="center" wrapText="1"/>
    </xf>
    <xf numFmtId="44" fontId="2" fillId="3" borderId="34" xfId="1" applyFont="1" applyFill="1" applyBorder="1" applyAlignment="1">
      <alignment vertical="center" wrapText="1"/>
    </xf>
    <xf numFmtId="44" fontId="2" fillId="4" borderId="36" xfId="1" applyFont="1" applyFill="1" applyBorder="1" applyAlignment="1">
      <alignment vertical="center" wrapText="1"/>
    </xf>
    <xf numFmtId="44" fontId="6" fillId="6" borderId="37" xfId="1" applyFont="1" applyFill="1" applyBorder="1"/>
    <xf numFmtId="44" fontId="2" fillId="4" borderId="37" xfId="1" applyFont="1" applyFill="1" applyBorder="1" applyAlignment="1">
      <alignment vertical="center" wrapText="1"/>
    </xf>
    <xf numFmtId="44" fontId="6" fillId="6" borderId="38" xfId="1" applyFont="1" applyFill="1" applyBorder="1"/>
    <xf numFmtId="0" fontId="3" fillId="7" borderId="0" xfId="0" applyFont="1" applyFill="1"/>
    <xf numFmtId="0" fontId="3" fillId="8" borderId="0" xfId="0" applyFont="1" applyFill="1"/>
    <xf numFmtId="0" fontId="1" fillId="2" borderId="10" xfId="0" applyFont="1" applyFill="1" applyBorder="1" applyAlignment="1">
      <alignment horizontal="center" vertical="center"/>
    </xf>
    <xf numFmtId="0" fontId="8" fillId="0" borderId="14" xfId="0" applyFont="1" applyBorder="1"/>
    <xf numFmtId="0" fontId="7" fillId="2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1" fillId="2" borderId="24" xfId="0" applyFont="1" applyFill="1" applyBorder="1" applyAlignment="1">
      <alignment horizontal="center" vertical="center"/>
    </xf>
    <xf numFmtId="0" fontId="8" fillId="0" borderId="25" xfId="0" applyFont="1" applyBorder="1"/>
    <xf numFmtId="0" fontId="8" fillId="0" borderId="26" xfId="0" applyFont="1" applyBorder="1"/>
    <xf numFmtId="164" fontId="1" fillId="2" borderId="17" xfId="0" applyNumberFormat="1" applyFont="1" applyFill="1" applyBorder="1" applyAlignment="1">
      <alignment horizontal="center" vertical="center"/>
    </xf>
    <xf numFmtId="0" fontId="8" fillId="0" borderId="18" xfId="0" applyFont="1" applyBorder="1"/>
    <xf numFmtId="44" fontId="3" fillId="4" borderId="9" xfId="1" applyFont="1" applyFill="1" applyBorder="1" applyAlignment="1">
      <alignment horizontal="left" vertical="center"/>
    </xf>
    <xf numFmtId="44" fontId="3" fillId="4" borderId="9" xfId="1" applyFont="1" applyFill="1" applyBorder="1" applyAlignment="1">
      <alignment horizontal="center" vertical="center"/>
    </xf>
    <xf numFmtId="44" fontId="3" fillId="3" borderId="3" xfId="1" applyFont="1" applyFill="1" applyBorder="1" applyAlignment="1">
      <alignment horizontal="left" vertical="center"/>
    </xf>
    <xf numFmtId="44" fontId="3" fillId="3" borderId="3" xfId="1" applyFont="1" applyFill="1" applyBorder="1" applyAlignment="1">
      <alignment horizontal="center" vertical="center"/>
    </xf>
    <xf numFmtId="44" fontId="3" fillId="4" borderId="43" xfId="1" applyFont="1" applyFill="1" applyBorder="1" applyAlignment="1">
      <alignment horizontal="center" vertical="center"/>
    </xf>
    <xf numFmtId="44" fontId="3" fillId="3" borderId="44" xfId="1" applyFont="1" applyFill="1" applyBorder="1" applyAlignment="1">
      <alignment horizontal="center" vertical="center"/>
    </xf>
    <xf numFmtId="17" fontId="1" fillId="2" borderId="42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45" xfId="0" applyNumberFormat="1" applyFont="1" applyFill="1" applyBorder="1" applyAlignment="1">
      <alignment horizontal="center" vertical="center"/>
    </xf>
    <xf numFmtId="44" fontId="3" fillId="4" borderId="4" xfId="1" applyFont="1" applyFill="1" applyBorder="1" applyAlignment="1">
      <alignment horizontal="center" vertical="center"/>
    </xf>
    <xf numFmtId="44" fontId="3" fillId="3" borderId="16" xfId="1" applyFont="1" applyFill="1" applyBorder="1" applyAlignment="1">
      <alignment horizontal="center" vertical="center"/>
    </xf>
    <xf numFmtId="44" fontId="1" fillId="2" borderId="20" xfId="1" applyFont="1" applyFill="1" applyBorder="1" applyAlignment="1">
      <alignment horizontal="center"/>
    </xf>
    <xf numFmtId="44" fontId="7" fillId="2" borderId="21" xfId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Normal 2" xfId="2" xr:uid="{B2E36469-E409-4CF1-8E81-7DBF80C2B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Grandezza\Gran%20Royal\04.%20Custo\04.3%20Custo%20-%20Executivo\02%20-%20Elabora&#231;&#227;o\Valida&#231;&#227;o%20interna\CTN-GDZ_GRL%20-%20Or&#231;amento%20Executivo_R00.xlsx" TargetMode="External"/><Relationship Id="rId1" Type="http://schemas.openxmlformats.org/officeDocument/2006/relationships/externalLinkPath" Target="Valida&#231;&#227;o%20interna/CTN-GDZ_GRL%20-%20Or&#231;amento%20Executivo_R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Grandezza\Gran%20Tower\03.%20Custo\03.7%20Custo%20-%20Or&#231;amento%20Executivo\R02\CTN-GRANDEZZA-%20Apresenta&#231;&#227;o%20Or&#231;amento%20-%20R01.xlsx" TargetMode="External"/><Relationship Id="rId1" Type="http://schemas.openxmlformats.org/officeDocument/2006/relationships/externalLinkPath" Target="/.shortcut-targets-by-id/16oaQUYgx8kiowDwLhg-oO1zGZ777DJUb/2.%20Projetos%20em%20Andamento/Grandezza/Gran%20Tower/03.%20Custo/03.7%20Custo%20-%20Or&#231;amento%20Executivo/R02/CTN-GRANDEZZA-%20Apresenta&#231;&#227;o%20Or&#231;amento%20-%20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PROJETOS"/>
      <sheetName val="Ger_Tec e Adm"/>
      <sheetName val="Ger_Executivo"/>
      <sheetName val="EAP Análise"/>
      <sheetName val="EAP_STL"/>
      <sheetName val="CPU"/>
      <sheetName val="Insumos"/>
      <sheetName val="BASES"/>
      <sheetName val="EPCs"/>
      <sheetName val="CANTEIRO"/>
      <sheetName val="Cont.Tecnol."/>
      <sheetName val="Estacas"/>
      <sheetName val="Fund. Rasa | Contenção"/>
      <sheetName val="Resumo Estrutura"/>
      <sheetName val="Escoramento"/>
    </sheetNames>
    <sheetDataSet>
      <sheetData sheetId="0">
        <row r="10">
          <cell r="C10">
            <v>5225.33</v>
          </cell>
        </row>
        <row r="52">
          <cell r="J52">
            <v>3441809.4857795984</v>
          </cell>
        </row>
        <row r="53">
          <cell r="J53">
            <v>199250.14117370688</v>
          </cell>
        </row>
        <row r="54">
          <cell r="J54">
            <v>978441.43498874281</v>
          </cell>
        </row>
        <row r="55">
          <cell r="J55">
            <v>1231037.9674279224</v>
          </cell>
        </row>
        <row r="56">
          <cell r="J56">
            <v>4169502.5243946658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_EXECUTIVO"/>
      <sheetName val="ANÁLISE_CUSTOS"/>
      <sheetName val="CÁLCULO_MÉDIAS"/>
      <sheetName val="RELATÓRIO"/>
    </sheetNames>
    <sheetDataSet>
      <sheetData sheetId="0">
        <row r="2">
          <cell r="B2">
            <v>2384931.88</v>
          </cell>
          <cell r="D2">
            <v>381.86526576019776</v>
          </cell>
        </row>
        <row r="3">
          <cell r="B3">
            <v>230869.63</v>
          </cell>
          <cell r="D3">
            <v>36.965874520453198</v>
          </cell>
        </row>
        <row r="4">
          <cell r="B4">
            <v>933522.84</v>
          </cell>
          <cell r="D4">
            <v>149.47175237131495</v>
          </cell>
        </row>
        <row r="5">
          <cell r="B5">
            <v>4384787.09</v>
          </cell>
          <cell r="D5">
            <v>702.07367408109542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7"/>
  <sheetViews>
    <sheetView workbookViewId="0">
      <selection activeCell="D15" sqref="D15"/>
    </sheetView>
  </sheetViews>
  <sheetFormatPr defaultColWidth="14.42578125" defaultRowHeight="15" customHeight="1" x14ac:dyDescent="0.25"/>
  <cols>
    <col min="1" max="1" width="60.28515625" customWidth="1"/>
    <col min="2" max="2" width="21.7109375" customWidth="1"/>
    <col min="3" max="3" width="20" bestFit="1" customWidth="1"/>
    <col min="4" max="4" width="15.140625" customWidth="1"/>
    <col min="5" max="6" width="17.5703125" customWidth="1"/>
    <col min="7" max="7" width="30.7109375" customWidth="1"/>
    <col min="8" max="8" width="14.42578125" customWidth="1"/>
    <col min="9" max="16" width="9.140625" customWidth="1"/>
  </cols>
  <sheetData>
    <row r="1" spans="1:16" ht="22.7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2.7" customHeight="1" thickBot="1" x14ac:dyDescent="0.3">
      <c r="A2" s="4" t="s">
        <v>4</v>
      </c>
      <c r="B2" s="5">
        <f>[1]CAPA!$J52</f>
        <v>3441809.4857795984</v>
      </c>
      <c r="C2" s="6">
        <f>B2/B$7</f>
        <v>0.34349253616482994</v>
      </c>
      <c r="D2" s="7">
        <f>B2/ORÇAMENTO_EXECUTIVO!H$2</f>
        <v>658.67791809887569</v>
      </c>
      <c r="F2" s="8"/>
      <c r="G2" s="9" t="s">
        <v>5</v>
      </c>
      <c r="H2" s="10">
        <f>[1]CAPA!$C$10</f>
        <v>5225.33</v>
      </c>
      <c r="I2" s="11" t="s">
        <v>6</v>
      </c>
      <c r="J2" s="3"/>
      <c r="K2" s="3"/>
      <c r="L2" s="3"/>
      <c r="M2" s="3"/>
      <c r="N2" s="3"/>
      <c r="O2" s="3"/>
      <c r="P2" s="3"/>
    </row>
    <row r="3" spans="1:16" ht="19.5" customHeight="1" x14ac:dyDescent="0.25">
      <c r="A3" s="12" t="s">
        <v>7</v>
      </c>
      <c r="B3" s="13">
        <f>[1]CAPA!$J53</f>
        <v>199250.14117370688</v>
      </c>
      <c r="C3" s="14">
        <f>B3/B$7</f>
        <v>1.9885161164710584E-2</v>
      </c>
      <c r="D3" s="15">
        <f>B3/ORÇAMENTO_EXECUTIVO!H$2</f>
        <v>38.13158999980994</v>
      </c>
      <c r="F3" s="3"/>
      <c r="G3" s="16"/>
      <c r="H3" s="16"/>
      <c r="I3" s="16"/>
      <c r="J3" s="16"/>
      <c r="K3" s="3"/>
      <c r="L3" s="3"/>
      <c r="M3" s="3"/>
      <c r="N3" s="3"/>
      <c r="O3" s="3"/>
      <c r="P3" s="3"/>
    </row>
    <row r="4" spans="1:16" ht="19.5" customHeight="1" x14ac:dyDescent="0.25">
      <c r="A4" s="4" t="s">
        <v>56</v>
      </c>
      <c r="B4" s="5">
        <f>[1]CAPA!$J54</f>
        <v>978441.43498874281</v>
      </c>
      <c r="C4" s="6">
        <f>B4/B$7</f>
        <v>9.7648440851139162E-2</v>
      </c>
      <c r="D4" s="7">
        <f>B4/ORÇAMENTO_EXECUTIVO!H$2</f>
        <v>187.2496923617729</v>
      </c>
      <c r="F4" s="3"/>
      <c r="G4" s="17"/>
      <c r="H4" s="16"/>
      <c r="I4" s="16"/>
      <c r="J4" s="16"/>
      <c r="K4" s="3"/>
      <c r="L4" s="3"/>
      <c r="M4" s="3"/>
      <c r="N4" s="3"/>
      <c r="O4" s="3"/>
      <c r="P4" s="3"/>
    </row>
    <row r="5" spans="1:16" ht="19.5" customHeight="1" x14ac:dyDescent="0.25">
      <c r="A5" s="12" t="s">
        <v>8</v>
      </c>
      <c r="B5" s="13">
        <f>[1]CAPA!$J55</f>
        <v>1231037.9674279224</v>
      </c>
      <c r="C5" s="14">
        <f>B5/B$7</f>
        <v>0.12285757108117064</v>
      </c>
      <c r="D5" s="15">
        <f>B5/ORÇAMENTO_EXECUTIVO!H$2</f>
        <v>235.5904732194756</v>
      </c>
      <c r="F5" s="3"/>
      <c r="G5" s="17"/>
      <c r="H5" s="16"/>
      <c r="I5" s="16"/>
      <c r="J5" s="16"/>
      <c r="K5" s="3"/>
      <c r="L5" s="3"/>
      <c r="M5" s="3"/>
      <c r="N5" s="3"/>
      <c r="O5" s="3"/>
      <c r="P5" s="3"/>
    </row>
    <row r="6" spans="1:16" ht="19.5" customHeight="1" x14ac:dyDescent="0.25">
      <c r="A6" s="4" t="s">
        <v>9</v>
      </c>
      <c r="B6" s="5">
        <f>[1]CAPA!$J56</f>
        <v>4169502.5243946658</v>
      </c>
      <c r="C6" s="6">
        <f>B6/B$7</f>
        <v>0.41611629073814954</v>
      </c>
      <c r="D6" s="7">
        <f>B6/ORÇAMENTO_EXECUTIVO!H$2</f>
        <v>797.94051751653308</v>
      </c>
      <c r="F6" s="3"/>
      <c r="G6" s="17"/>
      <c r="H6" s="16"/>
      <c r="I6" s="16"/>
      <c r="J6" s="16"/>
      <c r="K6" s="3"/>
      <c r="L6" s="3"/>
      <c r="M6" s="3"/>
      <c r="N6" s="3"/>
      <c r="O6" s="3"/>
      <c r="P6" s="3"/>
    </row>
    <row r="7" spans="1:16" ht="19.5" customHeight="1" x14ac:dyDescent="0.25">
      <c r="A7" s="1" t="s">
        <v>19</v>
      </c>
      <c r="B7" s="18">
        <f>SUM(B2:B6)</f>
        <v>10020041.553764638</v>
      </c>
      <c r="C7" s="19">
        <f>SUM(C2:C6)</f>
        <v>0.99999999999999978</v>
      </c>
      <c r="D7" s="20">
        <f>SUM(D2:D6)</f>
        <v>1917.590191196467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9.5" customHeight="1" x14ac:dyDescent="0.25">
      <c r="A8" s="1" t="s">
        <v>20</v>
      </c>
      <c r="B8" s="18">
        <v>3008.84</v>
      </c>
      <c r="C8" s="21">
        <v>45992</v>
      </c>
      <c r="D8" s="20">
        <f>+D7/B8</f>
        <v>0.63731876443960689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22.7" customHeight="1" x14ac:dyDescent="0.25">
      <c r="A9" s="3"/>
      <c r="B9" s="3"/>
      <c r="C9" s="22"/>
      <c r="D9" s="23"/>
      <c r="E9" s="3"/>
      <c r="F9" s="3"/>
      <c r="G9" s="8"/>
      <c r="H9" s="3"/>
      <c r="I9" s="3"/>
      <c r="J9" s="3"/>
      <c r="K9" s="3"/>
      <c r="L9" s="3"/>
      <c r="M9" s="3"/>
      <c r="N9" s="3"/>
      <c r="O9" s="3"/>
      <c r="P9" s="3"/>
    </row>
    <row r="10" spans="1:16" ht="22.7" customHeight="1" x14ac:dyDescent="0.25">
      <c r="A10" s="3"/>
      <c r="B10" s="8"/>
      <c r="C10" s="23"/>
      <c r="D10" s="2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4.25" customHeight="1" x14ac:dyDescent="0.25">
      <c r="A11" s="3"/>
      <c r="B11" s="3"/>
      <c r="C11" s="23"/>
      <c r="D11" s="23"/>
      <c r="E11" s="3"/>
      <c r="F11" s="3"/>
      <c r="G11" s="8"/>
      <c r="H11" s="3"/>
      <c r="I11" s="3"/>
      <c r="J11" s="3"/>
      <c r="K11" s="3"/>
      <c r="L11" s="3"/>
      <c r="M11" s="3"/>
      <c r="N11" s="3"/>
      <c r="O11" s="3"/>
      <c r="P11" s="3"/>
    </row>
    <row r="12" spans="1:16" ht="19.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9.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9.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9.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9.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9.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9.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9.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9.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9.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9.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9.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9.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9.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9.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9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9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9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9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9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9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9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9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9.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9.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9.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9.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9.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9.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9.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9.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9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9.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9.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9.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9.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9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9.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9.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9.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9.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9.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9.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9.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9.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9.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9.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9.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9.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9.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9.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9.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9.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9.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9.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9.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9.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9.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9.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9.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9.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9.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9.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9.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9.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9.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9.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9.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9.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9.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9.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9.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9.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9.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9.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9.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9.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9.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9.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9.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9.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9.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9.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9.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9.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9.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9.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9.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9.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9.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9.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9.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9.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4.25" customHeight="1" x14ac:dyDescent="0.25">
      <c r="C118" s="24"/>
      <c r="D118" s="24"/>
    </row>
    <row r="119" spans="1:16" ht="14.25" customHeight="1" x14ac:dyDescent="0.25">
      <c r="C119" s="24"/>
      <c r="D119" s="24"/>
    </row>
    <row r="120" spans="1:16" ht="14.25" customHeight="1" x14ac:dyDescent="0.25">
      <c r="C120" s="24"/>
      <c r="D120" s="24"/>
    </row>
    <row r="121" spans="1:16" ht="14.25" customHeight="1" x14ac:dyDescent="0.25">
      <c r="C121" s="24"/>
      <c r="D121" s="24"/>
    </row>
    <row r="122" spans="1:16" ht="14.25" customHeight="1" x14ac:dyDescent="0.25">
      <c r="C122" s="24"/>
      <c r="D122" s="24"/>
    </row>
    <row r="123" spans="1:16" ht="14.25" customHeight="1" x14ac:dyDescent="0.25">
      <c r="C123" s="24"/>
      <c r="D123" s="24"/>
    </row>
    <row r="124" spans="1:16" ht="14.25" customHeight="1" x14ac:dyDescent="0.25">
      <c r="C124" s="24"/>
      <c r="D124" s="24"/>
    </row>
    <row r="125" spans="1:16" ht="14.25" customHeight="1" x14ac:dyDescent="0.25">
      <c r="C125" s="24"/>
      <c r="D125" s="24"/>
    </row>
    <row r="126" spans="1:16" ht="14.25" customHeight="1" x14ac:dyDescent="0.25">
      <c r="C126" s="24"/>
      <c r="D126" s="24"/>
    </row>
    <row r="127" spans="1:16" ht="14.25" customHeight="1" x14ac:dyDescent="0.25">
      <c r="C127" s="24"/>
      <c r="D127" s="24"/>
    </row>
    <row r="128" spans="1:16" ht="14.25" customHeight="1" x14ac:dyDescent="0.25">
      <c r="C128" s="24"/>
      <c r="D128" s="24"/>
    </row>
    <row r="129" spans="3:4" ht="14.25" customHeight="1" x14ac:dyDescent="0.25">
      <c r="C129" s="24"/>
      <c r="D129" s="24"/>
    </row>
    <row r="130" spans="3:4" ht="14.25" customHeight="1" x14ac:dyDescent="0.25">
      <c r="C130" s="24"/>
      <c r="D130" s="24"/>
    </row>
    <row r="131" spans="3:4" ht="14.25" customHeight="1" x14ac:dyDescent="0.25">
      <c r="C131" s="24"/>
      <c r="D131" s="24"/>
    </row>
    <row r="132" spans="3:4" ht="14.25" customHeight="1" x14ac:dyDescent="0.25">
      <c r="C132" s="24"/>
      <c r="D132" s="24"/>
    </row>
    <row r="133" spans="3:4" ht="14.25" customHeight="1" x14ac:dyDescent="0.25">
      <c r="C133" s="24"/>
      <c r="D133" s="24"/>
    </row>
    <row r="134" spans="3:4" ht="14.25" customHeight="1" x14ac:dyDescent="0.25">
      <c r="C134" s="24"/>
      <c r="D134" s="24"/>
    </row>
    <row r="135" spans="3:4" ht="14.25" customHeight="1" x14ac:dyDescent="0.25">
      <c r="C135" s="24"/>
      <c r="D135" s="24"/>
    </row>
    <row r="136" spans="3:4" ht="14.25" customHeight="1" x14ac:dyDescent="0.25">
      <c r="C136" s="24"/>
      <c r="D136" s="24"/>
    </row>
    <row r="137" spans="3:4" ht="14.25" customHeight="1" x14ac:dyDescent="0.25">
      <c r="C137" s="24"/>
      <c r="D137" s="24"/>
    </row>
    <row r="138" spans="3:4" ht="14.25" customHeight="1" x14ac:dyDescent="0.25">
      <c r="C138" s="24"/>
      <c r="D138" s="24"/>
    </row>
    <row r="139" spans="3:4" ht="14.25" customHeight="1" x14ac:dyDescent="0.25">
      <c r="C139" s="24"/>
      <c r="D139" s="24"/>
    </row>
    <row r="140" spans="3:4" ht="14.25" customHeight="1" x14ac:dyDescent="0.25">
      <c r="C140" s="24"/>
      <c r="D140" s="24"/>
    </row>
    <row r="141" spans="3:4" ht="14.25" customHeight="1" x14ac:dyDescent="0.25">
      <c r="C141" s="24"/>
      <c r="D141" s="24"/>
    </row>
    <row r="142" spans="3:4" ht="14.25" customHeight="1" x14ac:dyDescent="0.25">
      <c r="C142" s="24"/>
      <c r="D142" s="24"/>
    </row>
    <row r="143" spans="3:4" ht="14.25" customHeight="1" x14ac:dyDescent="0.25">
      <c r="C143" s="24"/>
      <c r="D143" s="24"/>
    </row>
    <row r="144" spans="3:4" ht="14.25" customHeight="1" x14ac:dyDescent="0.25">
      <c r="C144" s="24"/>
      <c r="D144" s="24"/>
    </row>
    <row r="145" spans="3:4" ht="14.25" customHeight="1" x14ac:dyDescent="0.25">
      <c r="C145" s="24"/>
      <c r="D145" s="24"/>
    </row>
    <row r="146" spans="3:4" ht="14.25" customHeight="1" x14ac:dyDescent="0.25">
      <c r="C146" s="24"/>
      <c r="D146" s="24"/>
    </row>
    <row r="147" spans="3:4" ht="14.25" customHeight="1" x14ac:dyDescent="0.25">
      <c r="C147" s="24"/>
      <c r="D147" s="24"/>
    </row>
    <row r="148" spans="3:4" ht="14.25" customHeight="1" x14ac:dyDescent="0.25">
      <c r="C148" s="24"/>
      <c r="D148" s="24"/>
    </row>
    <row r="149" spans="3:4" ht="14.25" customHeight="1" x14ac:dyDescent="0.25">
      <c r="C149" s="24"/>
      <c r="D149" s="24"/>
    </row>
    <row r="150" spans="3:4" ht="14.25" customHeight="1" x14ac:dyDescent="0.25">
      <c r="C150" s="24"/>
      <c r="D150" s="24"/>
    </row>
    <row r="151" spans="3:4" ht="14.25" customHeight="1" x14ac:dyDescent="0.25">
      <c r="C151" s="24"/>
      <c r="D151" s="24"/>
    </row>
    <row r="152" spans="3:4" ht="14.25" customHeight="1" x14ac:dyDescent="0.25">
      <c r="C152" s="24"/>
      <c r="D152" s="24"/>
    </row>
    <row r="153" spans="3:4" ht="14.25" customHeight="1" x14ac:dyDescent="0.25">
      <c r="C153" s="24"/>
      <c r="D153" s="24"/>
    </row>
    <row r="154" spans="3:4" ht="14.25" customHeight="1" x14ac:dyDescent="0.25">
      <c r="C154" s="24"/>
      <c r="D154" s="24"/>
    </row>
    <row r="155" spans="3:4" ht="14.25" customHeight="1" x14ac:dyDescent="0.25">
      <c r="C155" s="24"/>
      <c r="D155" s="24"/>
    </row>
    <row r="156" spans="3:4" ht="14.25" customHeight="1" x14ac:dyDescent="0.25">
      <c r="C156" s="24"/>
      <c r="D156" s="24"/>
    </row>
    <row r="157" spans="3:4" ht="14.25" customHeight="1" x14ac:dyDescent="0.25">
      <c r="C157" s="24"/>
      <c r="D157" s="24"/>
    </row>
    <row r="158" spans="3:4" ht="14.25" customHeight="1" x14ac:dyDescent="0.25">
      <c r="C158" s="24"/>
      <c r="D158" s="24"/>
    </row>
    <row r="159" spans="3:4" ht="14.25" customHeight="1" x14ac:dyDescent="0.25">
      <c r="C159" s="24"/>
      <c r="D159" s="24"/>
    </row>
    <row r="160" spans="3:4" ht="14.25" customHeight="1" x14ac:dyDescent="0.25">
      <c r="C160" s="24"/>
      <c r="D160" s="24"/>
    </row>
    <row r="161" spans="3:4" ht="14.25" customHeight="1" x14ac:dyDescent="0.25">
      <c r="C161" s="24"/>
      <c r="D161" s="24"/>
    </row>
    <row r="162" spans="3:4" ht="14.25" customHeight="1" x14ac:dyDescent="0.25">
      <c r="C162" s="24"/>
      <c r="D162" s="24"/>
    </row>
    <row r="163" spans="3:4" ht="14.25" customHeight="1" x14ac:dyDescent="0.25">
      <c r="C163" s="24"/>
      <c r="D163" s="24"/>
    </row>
    <row r="164" spans="3:4" ht="14.25" customHeight="1" x14ac:dyDescent="0.25">
      <c r="C164" s="24"/>
      <c r="D164" s="24"/>
    </row>
    <row r="165" spans="3:4" ht="14.25" customHeight="1" x14ac:dyDescent="0.25">
      <c r="C165" s="24"/>
      <c r="D165" s="24"/>
    </row>
    <row r="166" spans="3:4" ht="14.25" customHeight="1" x14ac:dyDescent="0.25">
      <c r="C166" s="24"/>
      <c r="D166" s="24"/>
    </row>
    <row r="167" spans="3:4" ht="14.25" customHeight="1" x14ac:dyDescent="0.25">
      <c r="C167" s="24"/>
      <c r="D167" s="24"/>
    </row>
    <row r="168" spans="3:4" ht="14.25" customHeight="1" x14ac:dyDescent="0.25">
      <c r="C168" s="24"/>
      <c r="D168" s="24"/>
    </row>
    <row r="169" spans="3:4" ht="14.25" customHeight="1" x14ac:dyDescent="0.25">
      <c r="C169" s="24"/>
      <c r="D169" s="24"/>
    </row>
    <row r="170" spans="3:4" ht="14.25" customHeight="1" x14ac:dyDescent="0.25">
      <c r="C170" s="24"/>
      <c r="D170" s="24"/>
    </row>
    <row r="171" spans="3:4" ht="14.25" customHeight="1" x14ac:dyDescent="0.25">
      <c r="C171" s="24"/>
      <c r="D171" s="24"/>
    </row>
    <row r="172" spans="3:4" ht="14.25" customHeight="1" x14ac:dyDescent="0.25">
      <c r="C172" s="24"/>
      <c r="D172" s="24"/>
    </row>
    <row r="173" spans="3:4" ht="14.25" customHeight="1" x14ac:dyDescent="0.25">
      <c r="C173" s="24"/>
      <c r="D173" s="24"/>
    </row>
    <row r="174" spans="3:4" ht="14.25" customHeight="1" x14ac:dyDescent="0.25">
      <c r="C174" s="24"/>
      <c r="D174" s="24"/>
    </row>
    <row r="175" spans="3:4" ht="14.25" customHeight="1" x14ac:dyDescent="0.25">
      <c r="C175" s="24"/>
      <c r="D175" s="24"/>
    </row>
    <row r="176" spans="3:4" ht="14.25" customHeight="1" x14ac:dyDescent="0.25">
      <c r="C176" s="24"/>
      <c r="D176" s="24"/>
    </row>
    <row r="177" spans="3:4" ht="14.25" customHeight="1" x14ac:dyDescent="0.25">
      <c r="C177" s="24"/>
      <c r="D177" s="24"/>
    </row>
    <row r="178" spans="3:4" ht="14.25" customHeight="1" x14ac:dyDescent="0.25">
      <c r="C178" s="24"/>
      <c r="D178" s="24"/>
    </row>
    <row r="179" spans="3:4" ht="14.25" customHeight="1" x14ac:dyDescent="0.25">
      <c r="C179" s="24"/>
      <c r="D179" s="24"/>
    </row>
    <row r="180" spans="3:4" ht="14.25" customHeight="1" x14ac:dyDescent="0.25">
      <c r="C180" s="24"/>
      <c r="D180" s="24"/>
    </row>
    <row r="181" spans="3:4" ht="14.25" customHeight="1" x14ac:dyDescent="0.25">
      <c r="C181" s="24"/>
      <c r="D181" s="24"/>
    </row>
    <row r="182" spans="3:4" ht="14.25" customHeight="1" x14ac:dyDescent="0.25">
      <c r="C182" s="24"/>
      <c r="D182" s="24"/>
    </row>
    <row r="183" spans="3:4" ht="14.25" customHeight="1" x14ac:dyDescent="0.25">
      <c r="C183" s="24"/>
      <c r="D183" s="24"/>
    </row>
    <row r="184" spans="3:4" ht="14.25" customHeight="1" x14ac:dyDescent="0.25">
      <c r="C184" s="24"/>
      <c r="D184" s="24"/>
    </row>
    <row r="185" spans="3:4" ht="14.25" customHeight="1" x14ac:dyDescent="0.25">
      <c r="C185" s="24"/>
      <c r="D185" s="24"/>
    </row>
    <row r="186" spans="3:4" ht="14.25" customHeight="1" x14ac:dyDescent="0.25">
      <c r="C186" s="24"/>
      <c r="D186" s="24"/>
    </row>
    <row r="187" spans="3:4" ht="14.25" customHeight="1" x14ac:dyDescent="0.25">
      <c r="C187" s="24"/>
      <c r="D187" s="24"/>
    </row>
    <row r="188" spans="3:4" ht="14.25" customHeight="1" x14ac:dyDescent="0.25">
      <c r="C188" s="24"/>
      <c r="D188" s="24"/>
    </row>
    <row r="189" spans="3:4" ht="14.25" customHeight="1" x14ac:dyDescent="0.25">
      <c r="C189" s="24"/>
      <c r="D189" s="24"/>
    </row>
    <row r="190" spans="3:4" ht="14.25" customHeight="1" x14ac:dyDescent="0.25">
      <c r="C190" s="24"/>
      <c r="D190" s="24"/>
    </row>
    <row r="191" spans="3:4" ht="14.25" customHeight="1" x14ac:dyDescent="0.25">
      <c r="C191" s="24"/>
      <c r="D191" s="24"/>
    </row>
    <row r="192" spans="3:4" ht="14.25" customHeight="1" x14ac:dyDescent="0.25">
      <c r="C192" s="24"/>
      <c r="D192" s="24"/>
    </row>
    <row r="193" spans="3:4" ht="14.25" customHeight="1" x14ac:dyDescent="0.25">
      <c r="C193" s="24"/>
      <c r="D193" s="24"/>
    </row>
    <row r="194" spans="3:4" ht="14.25" customHeight="1" x14ac:dyDescent="0.25">
      <c r="C194" s="24"/>
      <c r="D194" s="24"/>
    </row>
    <row r="195" spans="3:4" ht="14.25" customHeight="1" x14ac:dyDescent="0.25">
      <c r="C195" s="24"/>
      <c r="D195" s="24"/>
    </row>
    <row r="196" spans="3:4" ht="14.25" customHeight="1" x14ac:dyDescent="0.25">
      <c r="C196" s="24"/>
      <c r="D196" s="24"/>
    </row>
    <row r="197" spans="3:4" ht="14.25" customHeight="1" x14ac:dyDescent="0.25">
      <c r="C197" s="24"/>
      <c r="D197" s="24"/>
    </row>
    <row r="198" spans="3:4" ht="14.25" customHeight="1" x14ac:dyDescent="0.25">
      <c r="C198" s="24"/>
      <c r="D198" s="24"/>
    </row>
    <row r="199" spans="3:4" ht="14.25" customHeight="1" x14ac:dyDescent="0.25">
      <c r="C199" s="24"/>
      <c r="D199" s="24"/>
    </row>
    <row r="200" spans="3:4" ht="14.25" customHeight="1" x14ac:dyDescent="0.25">
      <c r="C200" s="24"/>
      <c r="D200" s="24"/>
    </row>
    <row r="201" spans="3:4" ht="14.25" customHeight="1" x14ac:dyDescent="0.25">
      <c r="C201" s="24"/>
      <c r="D201" s="24"/>
    </row>
    <row r="202" spans="3:4" ht="14.25" customHeight="1" x14ac:dyDescent="0.25">
      <c r="C202" s="24"/>
      <c r="D202" s="24"/>
    </row>
    <row r="203" spans="3:4" ht="14.25" customHeight="1" x14ac:dyDescent="0.25">
      <c r="C203" s="24"/>
      <c r="D203" s="24"/>
    </row>
    <row r="204" spans="3:4" ht="14.25" customHeight="1" x14ac:dyDescent="0.25">
      <c r="C204" s="24"/>
      <c r="D204" s="24"/>
    </row>
    <row r="205" spans="3:4" ht="14.25" customHeight="1" x14ac:dyDescent="0.25">
      <c r="C205" s="24"/>
      <c r="D205" s="24"/>
    </row>
    <row r="206" spans="3:4" ht="14.25" customHeight="1" x14ac:dyDescent="0.25">
      <c r="C206" s="24"/>
      <c r="D206" s="24"/>
    </row>
    <row r="207" spans="3:4" ht="14.25" customHeight="1" x14ac:dyDescent="0.25">
      <c r="C207" s="24"/>
      <c r="D207" s="24"/>
    </row>
    <row r="208" spans="3:4" ht="14.25" customHeight="1" x14ac:dyDescent="0.25">
      <c r="C208" s="24"/>
      <c r="D208" s="24"/>
    </row>
    <row r="209" spans="3:4" ht="14.25" customHeight="1" x14ac:dyDescent="0.25">
      <c r="C209" s="24"/>
      <c r="D209" s="24"/>
    </row>
    <row r="210" spans="3:4" ht="14.25" customHeight="1" x14ac:dyDescent="0.25">
      <c r="C210" s="24"/>
      <c r="D210" s="24"/>
    </row>
    <row r="211" spans="3:4" ht="14.25" customHeight="1" x14ac:dyDescent="0.25">
      <c r="C211" s="24"/>
      <c r="D211" s="24"/>
    </row>
    <row r="212" spans="3:4" ht="14.25" customHeight="1" x14ac:dyDescent="0.25">
      <c r="C212" s="24"/>
      <c r="D212" s="24"/>
    </row>
    <row r="213" spans="3:4" ht="14.25" customHeight="1" x14ac:dyDescent="0.25">
      <c r="C213" s="24"/>
      <c r="D213" s="24"/>
    </row>
    <row r="214" spans="3:4" ht="14.25" customHeight="1" x14ac:dyDescent="0.25">
      <c r="C214" s="24"/>
      <c r="D214" s="24"/>
    </row>
    <row r="215" spans="3:4" ht="14.25" customHeight="1" x14ac:dyDescent="0.25">
      <c r="C215" s="24"/>
      <c r="D215" s="24"/>
    </row>
    <row r="216" spans="3:4" ht="14.25" customHeight="1" x14ac:dyDescent="0.25">
      <c r="C216" s="24"/>
      <c r="D216" s="24"/>
    </row>
    <row r="217" spans="3:4" ht="14.25" customHeight="1" x14ac:dyDescent="0.25">
      <c r="C217" s="24"/>
      <c r="D217" s="24"/>
    </row>
    <row r="218" spans="3:4" ht="14.25" customHeight="1" x14ac:dyDescent="0.25">
      <c r="C218" s="24"/>
      <c r="D218" s="24"/>
    </row>
    <row r="219" spans="3:4" ht="14.25" customHeight="1" x14ac:dyDescent="0.25">
      <c r="C219" s="24"/>
      <c r="D219" s="24"/>
    </row>
    <row r="220" spans="3:4" ht="14.25" customHeight="1" x14ac:dyDescent="0.25">
      <c r="C220" s="24"/>
      <c r="D220" s="24"/>
    </row>
    <row r="221" spans="3:4" ht="14.25" customHeight="1" x14ac:dyDescent="0.25">
      <c r="C221" s="24"/>
      <c r="D221" s="24"/>
    </row>
    <row r="222" spans="3:4" ht="14.25" customHeight="1" x14ac:dyDescent="0.25">
      <c r="C222" s="24"/>
      <c r="D222" s="24"/>
    </row>
    <row r="223" spans="3:4" ht="14.25" customHeight="1" x14ac:dyDescent="0.25">
      <c r="C223" s="24"/>
      <c r="D223" s="24"/>
    </row>
    <row r="224" spans="3:4" ht="14.25" customHeight="1" x14ac:dyDescent="0.25">
      <c r="C224" s="24"/>
      <c r="D224" s="24"/>
    </row>
    <row r="225" spans="3:4" ht="14.25" customHeight="1" x14ac:dyDescent="0.25">
      <c r="C225" s="24"/>
      <c r="D225" s="24"/>
    </row>
    <row r="226" spans="3:4" ht="14.25" customHeight="1" x14ac:dyDescent="0.25">
      <c r="C226" s="24"/>
      <c r="D226" s="24"/>
    </row>
    <row r="227" spans="3:4" ht="14.25" customHeight="1" x14ac:dyDescent="0.25">
      <c r="C227" s="24"/>
      <c r="D227" s="24"/>
    </row>
    <row r="228" spans="3:4" ht="14.25" customHeight="1" x14ac:dyDescent="0.25">
      <c r="C228" s="24"/>
      <c r="D228" s="24"/>
    </row>
    <row r="229" spans="3:4" ht="14.25" customHeight="1" x14ac:dyDescent="0.25">
      <c r="C229" s="24"/>
      <c r="D229" s="24"/>
    </row>
    <row r="230" spans="3:4" ht="14.25" customHeight="1" x14ac:dyDescent="0.25">
      <c r="C230" s="24"/>
      <c r="D230" s="24"/>
    </row>
    <row r="231" spans="3:4" ht="14.25" customHeight="1" x14ac:dyDescent="0.25">
      <c r="C231" s="24"/>
      <c r="D231" s="24"/>
    </row>
    <row r="232" spans="3:4" ht="14.25" customHeight="1" x14ac:dyDescent="0.25">
      <c r="C232" s="24"/>
      <c r="D232" s="24"/>
    </row>
    <row r="233" spans="3:4" ht="14.25" customHeight="1" x14ac:dyDescent="0.25">
      <c r="C233" s="24"/>
      <c r="D233" s="24"/>
    </row>
    <row r="234" spans="3:4" ht="14.25" customHeight="1" x14ac:dyDescent="0.25">
      <c r="C234" s="24"/>
      <c r="D234" s="24"/>
    </row>
    <row r="235" spans="3:4" ht="14.25" customHeight="1" x14ac:dyDescent="0.25">
      <c r="C235" s="24"/>
      <c r="D235" s="24"/>
    </row>
    <row r="236" spans="3:4" ht="14.25" customHeight="1" x14ac:dyDescent="0.25">
      <c r="C236" s="24"/>
      <c r="D236" s="24"/>
    </row>
    <row r="237" spans="3:4" ht="14.25" customHeight="1" x14ac:dyDescent="0.25">
      <c r="C237" s="24"/>
      <c r="D237" s="24"/>
    </row>
    <row r="238" spans="3:4" ht="14.25" customHeight="1" x14ac:dyDescent="0.25">
      <c r="C238" s="24"/>
      <c r="D238" s="24"/>
    </row>
    <row r="239" spans="3:4" ht="14.25" customHeight="1" x14ac:dyDescent="0.25">
      <c r="C239" s="24"/>
      <c r="D239" s="24"/>
    </row>
    <row r="240" spans="3:4" ht="14.25" customHeight="1" x14ac:dyDescent="0.25">
      <c r="C240" s="24"/>
      <c r="D240" s="24"/>
    </row>
    <row r="241" spans="3:4" ht="14.25" customHeight="1" x14ac:dyDescent="0.25">
      <c r="C241" s="24"/>
      <c r="D241" s="24"/>
    </row>
    <row r="242" spans="3:4" ht="14.25" customHeight="1" x14ac:dyDescent="0.25">
      <c r="C242" s="24"/>
      <c r="D242" s="24"/>
    </row>
    <row r="243" spans="3:4" ht="14.25" customHeight="1" x14ac:dyDescent="0.25">
      <c r="C243" s="24"/>
      <c r="D243" s="24"/>
    </row>
    <row r="244" spans="3:4" ht="14.25" customHeight="1" x14ac:dyDescent="0.25">
      <c r="C244" s="24"/>
      <c r="D244" s="24"/>
    </row>
    <row r="245" spans="3:4" ht="14.25" customHeight="1" x14ac:dyDescent="0.25">
      <c r="C245" s="24"/>
      <c r="D245" s="24"/>
    </row>
    <row r="246" spans="3:4" ht="14.25" customHeight="1" x14ac:dyDescent="0.25">
      <c r="C246" s="24"/>
      <c r="D246" s="24"/>
    </row>
    <row r="247" spans="3:4" ht="14.25" customHeight="1" x14ac:dyDescent="0.25">
      <c r="C247" s="24"/>
      <c r="D247" s="24"/>
    </row>
    <row r="248" spans="3:4" ht="14.25" customHeight="1" x14ac:dyDescent="0.25">
      <c r="C248" s="24"/>
      <c r="D248" s="24"/>
    </row>
    <row r="249" spans="3:4" ht="14.25" customHeight="1" x14ac:dyDescent="0.25">
      <c r="C249" s="24"/>
      <c r="D249" s="24"/>
    </row>
    <row r="250" spans="3:4" ht="14.25" customHeight="1" x14ac:dyDescent="0.25">
      <c r="C250" s="24"/>
      <c r="D250" s="24"/>
    </row>
    <row r="251" spans="3:4" ht="14.25" customHeight="1" x14ac:dyDescent="0.25">
      <c r="C251" s="24"/>
      <c r="D251" s="24"/>
    </row>
    <row r="252" spans="3:4" ht="14.25" customHeight="1" x14ac:dyDescent="0.25">
      <c r="C252" s="24"/>
      <c r="D252" s="24"/>
    </row>
    <row r="253" spans="3:4" ht="14.25" customHeight="1" x14ac:dyDescent="0.25">
      <c r="C253" s="24"/>
      <c r="D253" s="24"/>
    </row>
    <row r="254" spans="3:4" ht="14.25" customHeight="1" x14ac:dyDescent="0.25">
      <c r="C254" s="24"/>
      <c r="D254" s="24"/>
    </row>
    <row r="255" spans="3:4" ht="14.25" customHeight="1" x14ac:dyDescent="0.25">
      <c r="C255" s="24"/>
      <c r="D255" s="24"/>
    </row>
    <row r="256" spans="3:4" ht="14.25" customHeight="1" x14ac:dyDescent="0.25">
      <c r="C256" s="24"/>
      <c r="D256" s="24"/>
    </row>
    <row r="257" spans="3:4" ht="14.25" customHeight="1" x14ac:dyDescent="0.25">
      <c r="C257" s="24"/>
      <c r="D257" s="24"/>
    </row>
    <row r="258" spans="3:4" ht="14.25" customHeight="1" x14ac:dyDescent="0.25">
      <c r="C258" s="24"/>
      <c r="D258" s="24"/>
    </row>
    <row r="259" spans="3:4" ht="14.25" customHeight="1" x14ac:dyDescent="0.25">
      <c r="C259" s="24"/>
      <c r="D259" s="24"/>
    </row>
    <row r="260" spans="3:4" ht="14.25" customHeight="1" x14ac:dyDescent="0.25">
      <c r="C260" s="24"/>
      <c r="D260" s="24"/>
    </row>
    <row r="261" spans="3:4" ht="14.25" customHeight="1" x14ac:dyDescent="0.25">
      <c r="C261" s="24"/>
      <c r="D261" s="24"/>
    </row>
    <row r="262" spans="3:4" ht="14.25" customHeight="1" x14ac:dyDescent="0.25">
      <c r="C262" s="24"/>
      <c r="D262" s="24"/>
    </row>
    <row r="263" spans="3:4" ht="14.25" customHeight="1" x14ac:dyDescent="0.25">
      <c r="C263" s="24"/>
      <c r="D263" s="24"/>
    </row>
    <row r="264" spans="3:4" ht="14.25" customHeight="1" x14ac:dyDescent="0.25">
      <c r="C264" s="24"/>
      <c r="D264" s="24"/>
    </row>
    <row r="265" spans="3:4" ht="14.25" customHeight="1" x14ac:dyDescent="0.25">
      <c r="C265" s="24"/>
      <c r="D265" s="24"/>
    </row>
    <row r="266" spans="3:4" ht="14.25" customHeight="1" x14ac:dyDescent="0.25">
      <c r="C266" s="24"/>
      <c r="D266" s="24"/>
    </row>
    <row r="267" spans="3:4" ht="14.25" customHeight="1" x14ac:dyDescent="0.25">
      <c r="C267" s="24"/>
      <c r="D267" s="24"/>
    </row>
    <row r="268" spans="3:4" ht="14.25" customHeight="1" x14ac:dyDescent="0.25">
      <c r="C268" s="24"/>
      <c r="D268" s="24"/>
    </row>
    <row r="269" spans="3:4" ht="14.25" customHeight="1" x14ac:dyDescent="0.25">
      <c r="C269" s="24"/>
      <c r="D269" s="24"/>
    </row>
    <row r="270" spans="3:4" ht="14.25" customHeight="1" x14ac:dyDescent="0.25">
      <c r="C270" s="24"/>
      <c r="D270" s="24"/>
    </row>
    <row r="271" spans="3:4" ht="14.25" customHeight="1" x14ac:dyDescent="0.25">
      <c r="C271" s="24"/>
      <c r="D271" s="24"/>
    </row>
    <row r="272" spans="3:4" ht="14.25" customHeight="1" x14ac:dyDescent="0.25">
      <c r="C272" s="24"/>
      <c r="D272" s="24"/>
    </row>
    <row r="273" spans="3:4" ht="14.25" customHeight="1" x14ac:dyDescent="0.25">
      <c r="C273" s="24"/>
      <c r="D273" s="24"/>
    </row>
    <row r="274" spans="3:4" ht="14.25" customHeight="1" x14ac:dyDescent="0.25">
      <c r="C274" s="24"/>
      <c r="D274" s="24"/>
    </row>
    <row r="275" spans="3:4" ht="14.25" customHeight="1" x14ac:dyDescent="0.25">
      <c r="C275" s="24"/>
      <c r="D275" s="24"/>
    </row>
    <row r="276" spans="3:4" ht="14.25" customHeight="1" x14ac:dyDescent="0.25">
      <c r="C276" s="24"/>
      <c r="D276" s="24"/>
    </row>
    <row r="277" spans="3:4" ht="14.25" customHeight="1" x14ac:dyDescent="0.25">
      <c r="C277" s="24"/>
      <c r="D277" s="24"/>
    </row>
    <row r="278" spans="3:4" ht="14.25" customHeight="1" x14ac:dyDescent="0.25">
      <c r="C278" s="24"/>
      <c r="D278" s="24"/>
    </row>
    <row r="279" spans="3:4" ht="14.25" customHeight="1" x14ac:dyDescent="0.25">
      <c r="C279" s="24"/>
      <c r="D279" s="24"/>
    </row>
    <row r="280" spans="3:4" ht="14.25" customHeight="1" x14ac:dyDescent="0.25">
      <c r="C280" s="24"/>
      <c r="D280" s="24"/>
    </row>
    <row r="281" spans="3:4" ht="14.25" customHeight="1" x14ac:dyDescent="0.25">
      <c r="C281" s="24"/>
      <c r="D281" s="24"/>
    </row>
    <row r="282" spans="3:4" ht="14.25" customHeight="1" x14ac:dyDescent="0.25">
      <c r="C282" s="24"/>
      <c r="D282" s="24"/>
    </row>
    <row r="283" spans="3:4" ht="14.25" customHeight="1" x14ac:dyDescent="0.25">
      <c r="C283" s="24"/>
      <c r="D283" s="24"/>
    </row>
    <row r="284" spans="3:4" ht="14.25" customHeight="1" x14ac:dyDescent="0.25">
      <c r="C284" s="24"/>
      <c r="D284" s="24"/>
    </row>
    <row r="285" spans="3:4" ht="14.25" customHeight="1" x14ac:dyDescent="0.25">
      <c r="C285" s="24"/>
      <c r="D285" s="24"/>
    </row>
    <row r="286" spans="3:4" ht="14.25" customHeight="1" x14ac:dyDescent="0.25">
      <c r="C286" s="24"/>
      <c r="D286" s="24"/>
    </row>
    <row r="287" spans="3:4" ht="14.25" customHeight="1" x14ac:dyDescent="0.25">
      <c r="C287" s="24"/>
      <c r="D287" s="24"/>
    </row>
    <row r="288" spans="3:4" ht="14.25" customHeight="1" x14ac:dyDescent="0.25">
      <c r="C288" s="24"/>
      <c r="D288" s="24"/>
    </row>
    <row r="289" spans="3:4" ht="14.25" customHeight="1" x14ac:dyDescent="0.25">
      <c r="C289" s="24"/>
      <c r="D289" s="24"/>
    </row>
    <row r="290" spans="3:4" ht="14.25" customHeight="1" x14ac:dyDescent="0.25">
      <c r="C290" s="24"/>
      <c r="D290" s="24"/>
    </row>
    <row r="291" spans="3:4" ht="14.25" customHeight="1" x14ac:dyDescent="0.25">
      <c r="C291" s="24"/>
      <c r="D291" s="24"/>
    </row>
    <row r="292" spans="3:4" ht="14.25" customHeight="1" x14ac:dyDescent="0.25">
      <c r="C292" s="24"/>
      <c r="D292" s="24"/>
    </row>
    <row r="293" spans="3:4" ht="14.25" customHeight="1" x14ac:dyDescent="0.25">
      <c r="C293" s="24"/>
      <c r="D293" s="24"/>
    </row>
    <row r="294" spans="3:4" ht="14.25" customHeight="1" x14ac:dyDescent="0.25">
      <c r="C294" s="24"/>
      <c r="D294" s="24"/>
    </row>
    <row r="295" spans="3:4" ht="14.25" customHeight="1" x14ac:dyDescent="0.25">
      <c r="C295" s="24"/>
      <c r="D295" s="24"/>
    </row>
    <row r="296" spans="3:4" ht="14.25" customHeight="1" x14ac:dyDescent="0.25">
      <c r="C296" s="24"/>
      <c r="D296" s="24"/>
    </row>
    <row r="297" spans="3:4" ht="14.25" customHeight="1" x14ac:dyDescent="0.25">
      <c r="C297" s="24"/>
      <c r="D297" s="24"/>
    </row>
    <row r="298" spans="3:4" ht="14.25" customHeight="1" x14ac:dyDescent="0.25">
      <c r="C298" s="24"/>
      <c r="D298" s="24"/>
    </row>
    <row r="299" spans="3:4" ht="14.25" customHeight="1" x14ac:dyDescent="0.25">
      <c r="C299" s="24"/>
      <c r="D299" s="24"/>
    </row>
    <row r="300" spans="3:4" ht="14.25" customHeight="1" x14ac:dyDescent="0.25">
      <c r="C300" s="24"/>
      <c r="D300" s="24"/>
    </row>
    <row r="301" spans="3:4" ht="14.25" customHeight="1" x14ac:dyDescent="0.25">
      <c r="C301" s="24"/>
      <c r="D301" s="24"/>
    </row>
    <row r="302" spans="3:4" ht="14.25" customHeight="1" x14ac:dyDescent="0.25">
      <c r="C302" s="24"/>
      <c r="D302" s="24"/>
    </row>
    <row r="303" spans="3:4" ht="14.25" customHeight="1" x14ac:dyDescent="0.25">
      <c r="C303" s="24"/>
      <c r="D303" s="24"/>
    </row>
    <row r="304" spans="3:4" ht="14.25" customHeight="1" x14ac:dyDescent="0.25">
      <c r="C304" s="24"/>
      <c r="D304" s="24"/>
    </row>
    <row r="305" spans="3:4" ht="14.25" customHeight="1" x14ac:dyDescent="0.25">
      <c r="C305" s="24"/>
      <c r="D305" s="24"/>
    </row>
    <row r="306" spans="3:4" ht="14.25" customHeight="1" x14ac:dyDescent="0.25">
      <c r="C306" s="24"/>
      <c r="D306" s="24"/>
    </row>
    <row r="307" spans="3:4" ht="14.25" customHeight="1" x14ac:dyDescent="0.25">
      <c r="C307" s="24"/>
      <c r="D307" s="24"/>
    </row>
    <row r="308" spans="3:4" ht="14.25" customHeight="1" x14ac:dyDescent="0.25">
      <c r="C308" s="24"/>
      <c r="D308" s="24"/>
    </row>
    <row r="309" spans="3:4" ht="14.25" customHeight="1" x14ac:dyDescent="0.25">
      <c r="C309" s="24"/>
      <c r="D309" s="24"/>
    </row>
    <row r="310" spans="3:4" ht="14.25" customHeight="1" x14ac:dyDescent="0.25">
      <c r="C310" s="24"/>
      <c r="D310" s="24"/>
    </row>
    <row r="311" spans="3:4" ht="14.25" customHeight="1" x14ac:dyDescent="0.25">
      <c r="C311" s="24"/>
      <c r="D311" s="24"/>
    </row>
    <row r="312" spans="3:4" ht="14.25" customHeight="1" x14ac:dyDescent="0.25">
      <c r="C312" s="24"/>
      <c r="D312" s="24"/>
    </row>
    <row r="313" spans="3:4" ht="14.25" customHeight="1" x14ac:dyDescent="0.25">
      <c r="C313" s="24"/>
      <c r="D313" s="24"/>
    </row>
    <row r="314" spans="3:4" ht="14.25" customHeight="1" x14ac:dyDescent="0.25">
      <c r="C314" s="24"/>
      <c r="D314" s="24"/>
    </row>
    <row r="315" spans="3:4" ht="14.25" customHeight="1" x14ac:dyDescent="0.25">
      <c r="C315" s="24"/>
      <c r="D315" s="24"/>
    </row>
    <row r="316" spans="3:4" ht="14.25" customHeight="1" x14ac:dyDescent="0.25">
      <c r="C316" s="24"/>
      <c r="D316" s="24"/>
    </row>
    <row r="317" spans="3:4" ht="14.25" customHeight="1" x14ac:dyDescent="0.25">
      <c r="C317" s="24"/>
      <c r="D317" s="24"/>
    </row>
    <row r="318" spans="3:4" ht="14.25" customHeight="1" x14ac:dyDescent="0.25">
      <c r="C318" s="24"/>
      <c r="D318" s="24"/>
    </row>
    <row r="319" spans="3:4" ht="14.25" customHeight="1" x14ac:dyDescent="0.25">
      <c r="C319" s="24"/>
      <c r="D319" s="24"/>
    </row>
    <row r="320" spans="3:4" ht="14.25" customHeight="1" x14ac:dyDescent="0.25">
      <c r="C320" s="24"/>
      <c r="D320" s="24"/>
    </row>
    <row r="321" spans="3:4" ht="14.25" customHeight="1" x14ac:dyDescent="0.25">
      <c r="C321" s="24"/>
      <c r="D321" s="24"/>
    </row>
    <row r="322" spans="3:4" ht="14.25" customHeight="1" x14ac:dyDescent="0.25">
      <c r="C322" s="24"/>
      <c r="D322" s="24"/>
    </row>
    <row r="323" spans="3:4" ht="14.25" customHeight="1" x14ac:dyDescent="0.25">
      <c r="C323" s="24"/>
      <c r="D323" s="24"/>
    </row>
    <row r="324" spans="3:4" ht="14.25" customHeight="1" x14ac:dyDescent="0.25">
      <c r="C324" s="24"/>
      <c r="D324" s="24"/>
    </row>
    <row r="325" spans="3:4" ht="14.25" customHeight="1" x14ac:dyDescent="0.25">
      <c r="C325" s="24"/>
      <c r="D325" s="24"/>
    </row>
    <row r="326" spans="3:4" ht="14.25" customHeight="1" x14ac:dyDescent="0.25">
      <c r="C326" s="24"/>
      <c r="D326" s="24"/>
    </row>
    <row r="327" spans="3:4" ht="14.25" customHeight="1" x14ac:dyDescent="0.25">
      <c r="C327" s="24"/>
      <c r="D327" s="24"/>
    </row>
    <row r="328" spans="3:4" ht="14.25" customHeight="1" x14ac:dyDescent="0.25">
      <c r="C328" s="24"/>
      <c r="D328" s="24"/>
    </row>
    <row r="329" spans="3:4" ht="14.25" customHeight="1" x14ac:dyDescent="0.25">
      <c r="C329" s="24"/>
      <c r="D329" s="24"/>
    </row>
    <row r="330" spans="3:4" ht="14.25" customHeight="1" x14ac:dyDescent="0.25">
      <c r="C330" s="24"/>
      <c r="D330" s="24"/>
    </row>
    <row r="331" spans="3:4" ht="14.25" customHeight="1" x14ac:dyDescent="0.25">
      <c r="C331" s="24"/>
      <c r="D331" s="24"/>
    </row>
    <row r="332" spans="3:4" ht="14.25" customHeight="1" x14ac:dyDescent="0.25">
      <c r="C332" s="24"/>
      <c r="D332" s="24"/>
    </row>
    <row r="333" spans="3:4" ht="14.25" customHeight="1" x14ac:dyDescent="0.25">
      <c r="C333" s="24"/>
      <c r="D333" s="24"/>
    </row>
    <row r="334" spans="3:4" ht="14.25" customHeight="1" x14ac:dyDescent="0.25">
      <c r="C334" s="24"/>
      <c r="D334" s="24"/>
    </row>
    <row r="335" spans="3:4" ht="14.25" customHeight="1" x14ac:dyDescent="0.25">
      <c r="C335" s="24"/>
      <c r="D335" s="24"/>
    </row>
    <row r="336" spans="3:4" ht="14.25" customHeight="1" x14ac:dyDescent="0.25">
      <c r="C336" s="24"/>
      <c r="D336" s="24"/>
    </row>
    <row r="337" spans="3:4" ht="14.25" customHeight="1" x14ac:dyDescent="0.25">
      <c r="C337" s="24"/>
      <c r="D337" s="24"/>
    </row>
    <row r="338" spans="3:4" ht="14.25" customHeight="1" x14ac:dyDescent="0.25">
      <c r="C338" s="24"/>
      <c r="D338" s="24"/>
    </row>
    <row r="339" spans="3:4" ht="14.25" customHeight="1" x14ac:dyDescent="0.25">
      <c r="C339" s="24"/>
      <c r="D339" s="24"/>
    </row>
    <row r="340" spans="3:4" ht="14.25" customHeight="1" x14ac:dyDescent="0.25">
      <c r="C340" s="24"/>
      <c r="D340" s="24"/>
    </row>
    <row r="341" spans="3:4" ht="14.25" customHeight="1" x14ac:dyDescent="0.25">
      <c r="C341" s="24"/>
      <c r="D341" s="24"/>
    </row>
    <row r="342" spans="3:4" ht="14.25" customHeight="1" x14ac:dyDescent="0.25">
      <c r="C342" s="24"/>
      <c r="D342" s="24"/>
    </row>
    <row r="343" spans="3:4" ht="14.25" customHeight="1" x14ac:dyDescent="0.25">
      <c r="C343" s="24"/>
      <c r="D343" s="24"/>
    </row>
    <row r="344" spans="3:4" ht="14.25" customHeight="1" x14ac:dyDescent="0.25">
      <c r="C344" s="24"/>
      <c r="D344" s="24"/>
    </row>
    <row r="345" spans="3:4" ht="14.25" customHeight="1" x14ac:dyDescent="0.25">
      <c r="C345" s="24"/>
      <c r="D345" s="24"/>
    </row>
    <row r="346" spans="3:4" ht="14.25" customHeight="1" x14ac:dyDescent="0.25">
      <c r="C346" s="24"/>
      <c r="D346" s="24"/>
    </row>
    <row r="347" spans="3:4" ht="14.25" customHeight="1" x14ac:dyDescent="0.25">
      <c r="C347" s="24"/>
      <c r="D347" s="24"/>
    </row>
    <row r="348" spans="3:4" ht="14.25" customHeight="1" x14ac:dyDescent="0.25">
      <c r="C348" s="24"/>
      <c r="D348" s="24"/>
    </row>
    <row r="349" spans="3:4" ht="14.25" customHeight="1" x14ac:dyDescent="0.25">
      <c r="C349" s="24"/>
      <c r="D349" s="24"/>
    </row>
    <row r="350" spans="3:4" ht="14.25" customHeight="1" x14ac:dyDescent="0.25">
      <c r="C350" s="24"/>
      <c r="D350" s="24"/>
    </row>
    <row r="351" spans="3:4" ht="14.25" customHeight="1" x14ac:dyDescent="0.25">
      <c r="C351" s="24"/>
      <c r="D351" s="24"/>
    </row>
    <row r="352" spans="3:4" ht="14.25" customHeight="1" x14ac:dyDescent="0.25">
      <c r="C352" s="24"/>
      <c r="D352" s="24"/>
    </row>
    <row r="353" spans="3:4" ht="14.25" customHeight="1" x14ac:dyDescent="0.25">
      <c r="C353" s="24"/>
      <c r="D353" s="24"/>
    </row>
    <row r="354" spans="3:4" ht="14.25" customHeight="1" x14ac:dyDescent="0.25">
      <c r="C354" s="24"/>
      <c r="D354" s="24"/>
    </row>
    <row r="355" spans="3:4" ht="14.25" customHeight="1" x14ac:dyDescent="0.25">
      <c r="C355" s="24"/>
      <c r="D355" s="24"/>
    </row>
    <row r="356" spans="3:4" ht="14.25" customHeight="1" x14ac:dyDescent="0.25">
      <c r="C356" s="24"/>
      <c r="D356" s="24"/>
    </row>
    <row r="357" spans="3:4" ht="14.25" customHeight="1" x14ac:dyDescent="0.25">
      <c r="C357" s="24"/>
      <c r="D357" s="24"/>
    </row>
    <row r="358" spans="3:4" ht="14.25" customHeight="1" x14ac:dyDescent="0.25">
      <c r="C358" s="24"/>
      <c r="D358" s="24"/>
    </row>
    <row r="359" spans="3:4" ht="14.25" customHeight="1" x14ac:dyDescent="0.25">
      <c r="C359" s="24"/>
      <c r="D359" s="24"/>
    </row>
    <row r="360" spans="3:4" ht="14.25" customHeight="1" x14ac:dyDescent="0.25">
      <c r="C360" s="24"/>
      <c r="D360" s="24"/>
    </row>
    <row r="361" spans="3:4" ht="14.25" customHeight="1" x14ac:dyDescent="0.25">
      <c r="C361" s="24"/>
      <c r="D361" s="24"/>
    </row>
    <row r="362" spans="3:4" ht="14.25" customHeight="1" x14ac:dyDescent="0.25">
      <c r="C362" s="24"/>
      <c r="D362" s="24"/>
    </row>
    <row r="363" spans="3:4" ht="14.25" customHeight="1" x14ac:dyDescent="0.25">
      <c r="C363" s="24"/>
      <c r="D363" s="24"/>
    </row>
    <row r="364" spans="3:4" ht="14.25" customHeight="1" x14ac:dyDescent="0.25">
      <c r="C364" s="24"/>
      <c r="D364" s="24"/>
    </row>
    <row r="365" spans="3:4" ht="14.25" customHeight="1" x14ac:dyDescent="0.25">
      <c r="C365" s="24"/>
      <c r="D365" s="24"/>
    </row>
    <row r="366" spans="3:4" ht="14.25" customHeight="1" x14ac:dyDescent="0.25">
      <c r="C366" s="24"/>
      <c r="D366" s="24"/>
    </row>
    <row r="367" spans="3:4" ht="14.25" customHeight="1" x14ac:dyDescent="0.25">
      <c r="C367" s="24"/>
      <c r="D367" s="24"/>
    </row>
    <row r="368" spans="3:4" ht="14.25" customHeight="1" x14ac:dyDescent="0.25">
      <c r="C368" s="24"/>
      <c r="D368" s="24"/>
    </row>
    <row r="369" spans="3:4" ht="14.25" customHeight="1" x14ac:dyDescent="0.25">
      <c r="C369" s="24"/>
      <c r="D369" s="24"/>
    </row>
    <row r="370" spans="3:4" ht="14.25" customHeight="1" x14ac:dyDescent="0.25">
      <c r="C370" s="24"/>
      <c r="D370" s="24"/>
    </row>
    <row r="371" spans="3:4" ht="14.25" customHeight="1" x14ac:dyDescent="0.25">
      <c r="C371" s="24"/>
      <c r="D371" s="24"/>
    </row>
    <row r="372" spans="3:4" ht="14.25" customHeight="1" x14ac:dyDescent="0.25">
      <c r="C372" s="24"/>
      <c r="D372" s="24"/>
    </row>
    <row r="373" spans="3:4" ht="14.25" customHeight="1" x14ac:dyDescent="0.25">
      <c r="C373" s="24"/>
      <c r="D373" s="24"/>
    </row>
    <row r="374" spans="3:4" ht="14.25" customHeight="1" x14ac:dyDescent="0.25">
      <c r="C374" s="24"/>
      <c r="D374" s="24"/>
    </row>
    <row r="375" spans="3:4" ht="14.25" customHeight="1" x14ac:dyDescent="0.25">
      <c r="C375" s="24"/>
      <c r="D375" s="24"/>
    </row>
    <row r="376" spans="3:4" ht="14.25" customHeight="1" x14ac:dyDescent="0.25">
      <c r="C376" s="24"/>
      <c r="D376" s="24"/>
    </row>
    <row r="377" spans="3:4" ht="14.25" customHeight="1" x14ac:dyDescent="0.25">
      <c r="C377" s="24"/>
      <c r="D377" s="24"/>
    </row>
    <row r="378" spans="3:4" ht="14.25" customHeight="1" x14ac:dyDescent="0.25">
      <c r="C378" s="24"/>
      <c r="D378" s="24"/>
    </row>
    <row r="379" spans="3:4" ht="14.25" customHeight="1" x14ac:dyDescent="0.25">
      <c r="C379" s="24"/>
      <c r="D379" s="24"/>
    </row>
    <row r="380" spans="3:4" ht="14.25" customHeight="1" x14ac:dyDescent="0.25">
      <c r="C380" s="24"/>
      <c r="D380" s="24"/>
    </row>
    <row r="381" spans="3:4" ht="14.25" customHeight="1" x14ac:dyDescent="0.25">
      <c r="C381" s="24"/>
      <c r="D381" s="24"/>
    </row>
    <row r="382" spans="3:4" ht="14.25" customHeight="1" x14ac:dyDescent="0.25">
      <c r="C382" s="24"/>
      <c r="D382" s="24"/>
    </row>
    <row r="383" spans="3:4" ht="14.25" customHeight="1" x14ac:dyDescent="0.25">
      <c r="C383" s="24"/>
      <c r="D383" s="24"/>
    </row>
    <row r="384" spans="3:4" ht="14.25" customHeight="1" x14ac:dyDescent="0.25">
      <c r="C384" s="24"/>
      <c r="D384" s="24"/>
    </row>
    <row r="385" spans="3:4" ht="14.25" customHeight="1" x14ac:dyDescent="0.25">
      <c r="C385" s="24"/>
      <c r="D385" s="24"/>
    </row>
    <row r="386" spans="3:4" ht="14.25" customHeight="1" x14ac:dyDescent="0.25">
      <c r="C386" s="24"/>
      <c r="D386" s="24"/>
    </row>
    <row r="387" spans="3:4" ht="14.25" customHeight="1" x14ac:dyDescent="0.25">
      <c r="C387" s="24"/>
      <c r="D387" s="24"/>
    </row>
    <row r="388" spans="3:4" ht="14.25" customHeight="1" x14ac:dyDescent="0.25">
      <c r="C388" s="24"/>
      <c r="D388" s="24"/>
    </row>
    <row r="389" spans="3:4" ht="14.25" customHeight="1" x14ac:dyDescent="0.25">
      <c r="C389" s="24"/>
      <c r="D389" s="24"/>
    </row>
    <row r="390" spans="3:4" ht="14.25" customHeight="1" x14ac:dyDescent="0.25">
      <c r="C390" s="24"/>
      <c r="D390" s="24"/>
    </row>
    <row r="391" spans="3:4" ht="14.25" customHeight="1" x14ac:dyDescent="0.25">
      <c r="C391" s="24"/>
      <c r="D391" s="24"/>
    </row>
    <row r="392" spans="3:4" ht="14.25" customHeight="1" x14ac:dyDescent="0.25">
      <c r="C392" s="24"/>
      <c r="D392" s="24"/>
    </row>
    <row r="393" spans="3:4" ht="14.25" customHeight="1" x14ac:dyDescent="0.25">
      <c r="C393" s="24"/>
      <c r="D393" s="24"/>
    </row>
    <row r="394" spans="3:4" ht="14.25" customHeight="1" x14ac:dyDescent="0.25">
      <c r="C394" s="24"/>
      <c r="D394" s="24"/>
    </row>
    <row r="395" spans="3:4" ht="14.25" customHeight="1" x14ac:dyDescent="0.25">
      <c r="C395" s="24"/>
      <c r="D395" s="24"/>
    </row>
    <row r="396" spans="3:4" ht="14.25" customHeight="1" x14ac:dyDescent="0.25">
      <c r="C396" s="24"/>
      <c r="D396" s="24"/>
    </row>
    <row r="397" spans="3:4" ht="14.25" customHeight="1" x14ac:dyDescent="0.25">
      <c r="C397" s="24"/>
      <c r="D397" s="24"/>
    </row>
    <row r="398" spans="3:4" ht="14.25" customHeight="1" x14ac:dyDescent="0.25">
      <c r="C398" s="24"/>
      <c r="D398" s="24"/>
    </row>
    <row r="399" spans="3:4" ht="14.25" customHeight="1" x14ac:dyDescent="0.25">
      <c r="C399" s="24"/>
      <c r="D399" s="24"/>
    </row>
    <row r="400" spans="3:4" ht="14.25" customHeight="1" x14ac:dyDescent="0.25">
      <c r="C400" s="24"/>
      <c r="D400" s="24"/>
    </row>
    <row r="401" spans="3:4" ht="14.25" customHeight="1" x14ac:dyDescent="0.25">
      <c r="C401" s="24"/>
      <c r="D401" s="24"/>
    </row>
    <row r="402" spans="3:4" ht="14.25" customHeight="1" x14ac:dyDescent="0.25">
      <c r="C402" s="24"/>
      <c r="D402" s="24"/>
    </row>
    <row r="403" spans="3:4" ht="14.25" customHeight="1" x14ac:dyDescent="0.25">
      <c r="C403" s="24"/>
      <c r="D403" s="24"/>
    </row>
    <row r="404" spans="3:4" ht="14.25" customHeight="1" x14ac:dyDescent="0.25">
      <c r="C404" s="24"/>
      <c r="D404" s="24"/>
    </row>
    <row r="405" spans="3:4" ht="14.25" customHeight="1" x14ac:dyDescent="0.25">
      <c r="C405" s="24"/>
      <c r="D405" s="24"/>
    </row>
    <row r="406" spans="3:4" ht="14.25" customHeight="1" x14ac:dyDescent="0.25">
      <c r="C406" s="24"/>
      <c r="D406" s="24"/>
    </row>
    <row r="407" spans="3:4" ht="14.25" customHeight="1" x14ac:dyDescent="0.25">
      <c r="C407" s="24"/>
      <c r="D407" s="24"/>
    </row>
    <row r="408" spans="3:4" ht="14.25" customHeight="1" x14ac:dyDescent="0.25">
      <c r="C408" s="24"/>
      <c r="D408" s="24"/>
    </row>
    <row r="409" spans="3:4" ht="14.25" customHeight="1" x14ac:dyDescent="0.25">
      <c r="C409" s="24"/>
      <c r="D409" s="24"/>
    </row>
    <row r="410" spans="3:4" ht="14.25" customHeight="1" x14ac:dyDescent="0.25">
      <c r="C410" s="24"/>
      <c r="D410" s="24"/>
    </row>
    <row r="411" spans="3:4" ht="14.25" customHeight="1" x14ac:dyDescent="0.25">
      <c r="C411" s="24"/>
      <c r="D411" s="24"/>
    </row>
    <row r="412" spans="3:4" ht="14.25" customHeight="1" x14ac:dyDescent="0.25">
      <c r="C412" s="24"/>
      <c r="D412" s="24"/>
    </row>
    <row r="413" spans="3:4" ht="14.25" customHeight="1" x14ac:dyDescent="0.25">
      <c r="C413" s="24"/>
      <c r="D413" s="24"/>
    </row>
    <row r="414" spans="3:4" ht="14.25" customHeight="1" x14ac:dyDescent="0.25">
      <c r="C414" s="24"/>
      <c r="D414" s="24"/>
    </row>
    <row r="415" spans="3:4" ht="14.25" customHeight="1" x14ac:dyDescent="0.25">
      <c r="C415" s="24"/>
      <c r="D415" s="24"/>
    </row>
    <row r="416" spans="3:4" ht="14.25" customHeight="1" x14ac:dyDescent="0.25">
      <c r="C416" s="24"/>
      <c r="D416" s="24"/>
    </row>
    <row r="417" spans="3:4" ht="14.25" customHeight="1" x14ac:dyDescent="0.25">
      <c r="C417" s="24"/>
      <c r="D417" s="24"/>
    </row>
    <row r="418" spans="3:4" ht="14.25" customHeight="1" x14ac:dyDescent="0.25">
      <c r="C418" s="24"/>
      <c r="D418" s="24"/>
    </row>
    <row r="419" spans="3:4" ht="14.25" customHeight="1" x14ac:dyDescent="0.25">
      <c r="C419" s="24"/>
      <c r="D419" s="24"/>
    </row>
    <row r="420" spans="3:4" ht="14.25" customHeight="1" x14ac:dyDescent="0.25">
      <c r="C420" s="24"/>
      <c r="D420" s="24"/>
    </row>
    <row r="421" spans="3:4" ht="14.25" customHeight="1" x14ac:dyDescent="0.25">
      <c r="C421" s="24"/>
      <c r="D421" s="24"/>
    </row>
    <row r="422" spans="3:4" ht="14.25" customHeight="1" x14ac:dyDescent="0.25">
      <c r="C422" s="24"/>
      <c r="D422" s="24"/>
    </row>
    <row r="423" spans="3:4" ht="14.25" customHeight="1" x14ac:dyDescent="0.25">
      <c r="C423" s="24"/>
      <c r="D423" s="24"/>
    </row>
    <row r="424" spans="3:4" ht="14.25" customHeight="1" x14ac:dyDescent="0.25">
      <c r="C424" s="24"/>
      <c r="D424" s="24"/>
    </row>
    <row r="425" spans="3:4" ht="14.25" customHeight="1" x14ac:dyDescent="0.25">
      <c r="C425" s="24"/>
      <c r="D425" s="24"/>
    </row>
    <row r="426" spans="3:4" ht="14.25" customHeight="1" x14ac:dyDescent="0.25">
      <c r="C426" s="24"/>
      <c r="D426" s="24"/>
    </row>
    <row r="427" spans="3:4" ht="14.25" customHeight="1" x14ac:dyDescent="0.25">
      <c r="C427" s="24"/>
      <c r="D427" s="24"/>
    </row>
    <row r="428" spans="3:4" ht="14.25" customHeight="1" x14ac:dyDescent="0.25">
      <c r="C428" s="24"/>
      <c r="D428" s="24"/>
    </row>
    <row r="429" spans="3:4" ht="14.25" customHeight="1" x14ac:dyDescent="0.25">
      <c r="C429" s="24"/>
      <c r="D429" s="24"/>
    </row>
    <row r="430" spans="3:4" ht="14.25" customHeight="1" x14ac:dyDescent="0.25">
      <c r="C430" s="24"/>
      <c r="D430" s="24"/>
    </row>
    <row r="431" spans="3:4" ht="14.25" customHeight="1" x14ac:dyDescent="0.25">
      <c r="C431" s="24"/>
      <c r="D431" s="24"/>
    </row>
    <row r="432" spans="3:4" ht="14.25" customHeight="1" x14ac:dyDescent="0.25">
      <c r="C432" s="24"/>
      <c r="D432" s="24"/>
    </row>
    <row r="433" spans="3:4" ht="14.25" customHeight="1" x14ac:dyDescent="0.25">
      <c r="C433" s="24"/>
      <c r="D433" s="24"/>
    </row>
    <row r="434" spans="3:4" ht="14.25" customHeight="1" x14ac:dyDescent="0.25">
      <c r="C434" s="24"/>
      <c r="D434" s="24"/>
    </row>
    <row r="435" spans="3:4" ht="14.25" customHeight="1" x14ac:dyDescent="0.25">
      <c r="C435" s="24"/>
      <c r="D435" s="24"/>
    </row>
    <row r="436" spans="3:4" ht="14.25" customHeight="1" x14ac:dyDescent="0.25">
      <c r="C436" s="24"/>
      <c r="D436" s="24"/>
    </row>
    <row r="437" spans="3:4" ht="14.25" customHeight="1" x14ac:dyDescent="0.25">
      <c r="C437" s="24"/>
      <c r="D437" s="24"/>
    </row>
    <row r="438" spans="3:4" ht="14.25" customHeight="1" x14ac:dyDescent="0.25">
      <c r="C438" s="24"/>
      <c r="D438" s="24"/>
    </row>
    <row r="439" spans="3:4" ht="14.25" customHeight="1" x14ac:dyDescent="0.25">
      <c r="C439" s="24"/>
      <c r="D439" s="24"/>
    </row>
    <row r="440" spans="3:4" ht="14.25" customHeight="1" x14ac:dyDescent="0.25">
      <c r="C440" s="24"/>
      <c r="D440" s="24"/>
    </row>
    <row r="441" spans="3:4" ht="14.25" customHeight="1" x14ac:dyDescent="0.25">
      <c r="C441" s="24"/>
      <c r="D441" s="24"/>
    </row>
    <row r="442" spans="3:4" ht="14.25" customHeight="1" x14ac:dyDescent="0.25">
      <c r="C442" s="24"/>
      <c r="D442" s="24"/>
    </row>
    <row r="443" spans="3:4" ht="14.25" customHeight="1" x14ac:dyDescent="0.25">
      <c r="C443" s="24"/>
      <c r="D443" s="24"/>
    </row>
    <row r="444" spans="3:4" ht="14.25" customHeight="1" x14ac:dyDescent="0.25">
      <c r="C444" s="24"/>
      <c r="D444" s="24"/>
    </row>
    <row r="445" spans="3:4" ht="14.25" customHeight="1" x14ac:dyDescent="0.25">
      <c r="C445" s="24"/>
      <c r="D445" s="24"/>
    </row>
    <row r="446" spans="3:4" ht="14.25" customHeight="1" x14ac:dyDescent="0.25">
      <c r="C446" s="24"/>
      <c r="D446" s="24"/>
    </row>
    <row r="447" spans="3:4" ht="14.25" customHeight="1" x14ac:dyDescent="0.25">
      <c r="C447" s="24"/>
      <c r="D447" s="24"/>
    </row>
    <row r="448" spans="3:4" ht="14.25" customHeight="1" x14ac:dyDescent="0.25">
      <c r="C448" s="24"/>
      <c r="D448" s="24"/>
    </row>
    <row r="449" spans="3:4" ht="14.25" customHeight="1" x14ac:dyDescent="0.25">
      <c r="C449" s="24"/>
      <c r="D449" s="24"/>
    </row>
    <row r="450" spans="3:4" ht="14.25" customHeight="1" x14ac:dyDescent="0.25">
      <c r="C450" s="24"/>
      <c r="D450" s="24"/>
    </row>
    <row r="451" spans="3:4" ht="14.25" customHeight="1" x14ac:dyDescent="0.25">
      <c r="C451" s="24"/>
      <c r="D451" s="24"/>
    </row>
    <row r="452" spans="3:4" ht="14.25" customHeight="1" x14ac:dyDescent="0.25">
      <c r="C452" s="24"/>
      <c r="D452" s="24"/>
    </row>
    <row r="453" spans="3:4" ht="14.25" customHeight="1" x14ac:dyDescent="0.25">
      <c r="C453" s="24"/>
      <c r="D453" s="24"/>
    </row>
    <row r="454" spans="3:4" ht="14.25" customHeight="1" x14ac:dyDescent="0.25">
      <c r="C454" s="24"/>
      <c r="D454" s="24"/>
    </row>
    <row r="455" spans="3:4" ht="14.25" customHeight="1" x14ac:dyDescent="0.25">
      <c r="C455" s="24"/>
      <c r="D455" s="24"/>
    </row>
    <row r="456" spans="3:4" ht="14.25" customHeight="1" x14ac:dyDescent="0.25">
      <c r="C456" s="24"/>
      <c r="D456" s="24"/>
    </row>
    <row r="457" spans="3:4" ht="14.25" customHeight="1" x14ac:dyDescent="0.25">
      <c r="C457" s="24"/>
      <c r="D457" s="24"/>
    </row>
    <row r="458" spans="3:4" ht="14.25" customHeight="1" x14ac:dyDescent="0.25">
      <c r="C458" s="24"/>
      <c r="D458" s="24"/>
    </row>
    <row r="459" spans="3:4" ht="14.25" customHeight="1" x14ac:dyDescent="0.25">
      <c r="C459" s="24"/>
      <c r="D459" s="24"/>
    </row>
    <row r="460" spans="3:4" ht="14.25" customHeight="1" x14ac:dyDescent="0.25">
      <c r="C460" s="24"/>
      <c r="D460" s="24"/>
    </row>
    <row r="461" spans="3:4" ht="14.25" customHeight="1" x14ac:dyDescent="0.25">
      <c r="C461" s="24"/>
      <c r="D461" s="24"/>
    </row>
    <row r="462" spans="3:4" ht="14.25" customHeight="1" x14ac:dyDescent="0.25">
      <c r="C462" s="24"/>
      <c r="D462" s="24"/>
    </row>
    <row r="463" spans="3:4" ht="14.25" customHeight="1" x14ac:dyDescent="0.25">
      <c r="C463" s="24"/>
      <c r="D463" s="24"/>
    </row>
    <row r="464" spans="3:4" ht="14.25" customHeight="1" x14ac:dyDescent="0.25">
      <c r="C464" s="24"/>
      <c r="D464" s="24"/>
    </row>
    <row r="465" spans="3:4" ht="14.25" customHeight="1" x14ac:dyDescent="0.25">
      <c r="C465" s="24"/>
      <c r="D465" s="24"/>
    </row>
    <row r="466" spans="3:4" ht="14.25" customHeight="1" x14ac:dyDescent="0.25">
      <c r="C466" s="24"/>
      <c r="D466" s="24"/>
    </row>
    <row r="467" spans="3:4" ht="14.25" customHeight="1" x14ac:dyDescent="0.25">
      <c r="C467" s="24"/>
      <c r="D467" s="24"/>
    </row>
    <row r="468" spans="3:4" ht="14.25" customHeight="1" x14ac:dyDescent="0.25">
      <c r="C468" s="24"/>
      <c r="D468" s="24"/>
    </row>
    <row r="469" spans="3:4" ht="14.25" customHeight="1" x14ac:dyDescent="0.25">
      <c r="C469" s="24"/>
      <c r="D469" s="24"/>
    </row>
    <row r="470" spans="3:4" ht="14.25" customHeight="1" x14ac:dyDescent="0.25">
      <c r="C470" s="24"/>
      <c r="D470" s="24"/>
    </row>
    <row r="471" spans="3:4" ht="14.25" customHeight="1" x14ac:dyDescent="0.25">
      <c r="C471" s="24"/>
      <c r="D471" s="24"/>
    </row>
    <row r="472" spans="3:4" ht="14.25" customHeight="1" x14ac:dyDescent="0.25">
      <c r="C472" s="24"/>
      <c r="D472" s="24"/>
    </row>
    <row r="473" spans="3:4" ht="14.25" customHeight="1" x14ac:dyDescent="0.25">
      <c r="C473" s="24"/>
      <c r="D473" s="24"/>
    </row>
    <row r="474" spans="3:4" ht="14.25" customHeight="1" x14ac:dyDescent="0.25">
      <c r="C474" s="24"/>
      <c r="D474" s="24"/>
    </row>
    <row r="475" spans="3:4" ht="14.25" customHeight="1" x14ac:dyDescent="0.25">
      <c r="C475" s="24"/>
      <c r="D475" s="24"/>
    </row>
    <row r="476" spans="3:4" ht="14.25" customHeight="1" x14ac:dyDescent="0.25">
      <c r="C476" s="24"/>
      <c r="D476" s="24"/>
    </row>
    <row r="477" spans="3:4" ht="14.25" customHeight="1" x14ac:dyDescent="0.25">
      <c r="C477" s="24"/>
      <c r="D477" s="24"/>
    </row>
    <row r="478" spans="3:4" ht="14.25" customHeight="1" x14ac:dyDescent="0.25">
      <c r="C478" s="24"/>
      <c r="D478" s="24"/>
    </row>
    <row r="479" spans="3:4" ht="14.25" customHeight="1" x14ac:dyDescent="0.25">
      <c r="C479" s="24"/>
      <c r="D479" s="24"/>
    </row>
    <row r="480" spans="3:4" ht="14.25" customHeight="1" x14ac:dyDescent="0.25">
      <c r="C480" s="24"/>
      <c r="D480" s="24"/>
    </row>
    <row r="481" spans="3:4" ht="14.25" customHeight="1" x14ac:dyDescent="0.25">
      <c r="C481" s="24"/>
      <c r="D481" s="24"/>
    </row>
    <row r="482" spans="3:4" ht="14.25" customHeight="1" x14ac:dyDescent="0.25">
      <c r="C482" s="24"/>
      <c r="D482" s="24"/>
    </row>
    <row r="483" spans="3:4" ht="14.25" customHeight="1" x14ac:dyDescent="0.25">
      <c r="C483" s="24"/>
      <c r="D483" s="24"/>
    </row>
    <row r="484" spans="3:4" ht="14.25" customHeight="1" x14ac:dyDescent="0.25">
      <c r="C484" s="24"/>
      <c r="D484" s="24"/>
    </row>
    <row r="485" spans="3:4" ht="14.25" customHeight="1" x14ac:dyDescent="0.25">
      <c r="C485" s="24"/>
      <c r="D485" s="24"/>
    </row>
    <row r="486" spans="3:4" ht="14.25" customHeight="1" x14ac:dyDescent="0.25">
      <c r="C486" s="24"/>
      <c r="D486" s="24"/>
    </row>
    <row r="487" spans="3:4" ht="14.25" customHeight="1" x14ac:dyDescent="0.25">
      <c r="C487" s="24"/>
      <c r="D487" s="24"/>
    </row>
    <row r="488" spans="3:4" ht="14.25" customHeight="1" x14ac:dyDescent="0.25">
      <c r="C488" s="24"/>
      <c r="D488" s="24"/>
    </row>
    <row r="489" spans="3:4" ht="14.25" customHeight="1" x14ac:dyDescent="0.25">
      <c r="C489" s="24"/>
      <c r="D489" s="24"/>
    </row>
    <row r="490" spans="3:4" ht="14.25" customHeight="1" x14ac:dyDescent="0.25">
      <c r="C490" s="24"/>
      <c r="D490" s="24"/>
    </row>
    <row r="491" spans="3:4" ht="14.25" customHeight="1" x14ac:dyDescent="0.25">
      <c r="C491" s="24"/>
      <c r="D491" s="24"/>
    </row>
    <row r="492" spans="3:4" ht="14.25" customHeight="1" x14ac:dyDescent="0.25">
      <c r="C492" s="24"/>
      <c r="D492" s="24"/>
    </row>
    <row r="493" spans="3:4" ht="14.25" customHeight="1" x14ac:dyDescent="0.25">
      <c r="C493" s="24"/>
      <c r="D493" s="24"/>
    </row>
    <row r="494" spans="3:4" ht="14.25" customHeight="1" x14ac:dyDescent="0.25">
      <c r="C494" s="24"/>
      <c r="D494" s="24"/>
    </row>
    <row r="495" spans="3:4" ht="14.25" customHeight="1" x14ac:dyDescent="0.25">
      <c r="C495" s="24"/>
      <c r="D495" s="24"/>
    </row>
    <row r="496" spans="3:4" ht="14.25" customHeight="1" x14ac:dyDescent="0.25">
      <c r="C496" s="24"/>
      <c r="D496" s="24"/>
    </row>
    <row r="497" spans="3:4" ht="14.25" customHeight="1" x14ac:dyDescent="0.25">
      <c r="C497" s="24"/>
      <c r="D497" s="24"/>
    </row>
    <row r="498" spans="3:4" ht="14.25" customHeight="1" x14ac:dyDescent="0.25">
      <c r="C498" s="24"/>
      <c r="D498" s="24"/>
    </row>
    <row r="499" spans="3:4" ht="14.25" customHeight="1" x14ac:dyDescent="0.25">
      <c r="C499" s="24"/>
      <c r="D499" s="24"/>
    </row>
    <row r="500" spans="3:4" ht="14.25" customHeight="1" x14ac:dyDescent="0.25">
      <c r="C500" s="24"/>
      <c r="D500" s="24"/>
    </row>
    <row r="501" spans="3:4" ht="14.25" customHeight="1" x14ac:dyDescent="0.25">
      <c r="C501" s="24"/>
      <c r="D501" s="24"/>
    </row>
    <row r="502" spans="3:4" ht="14.25" customHeight="1" x14ac:dyDescent="0.25">
      <c r="C502" s="24"/>
      <c r="D502" s="24"/>
    </row>
    <row r="503" spans="3:4" ht="14.25" customHeight="1" x14ac:dyDescent="0.25">
      <c r="C503" s="24"/>
      <c r="D503" s="24"/>
    </row>
    <row r="504" spans="3:4" ht="14.25" customHeight="1" x14ac:dyDescent="0.25">
      <c r="C504" s="24"/>
      <c r="D504" s="24"/>
    </row>
    <row r="505" spans="3:4" ht="14.25" customHeight="1" x14ac:dyDescent="0.25">
      <c r="C505" s="24"/>
      <c r="D505" s="24"/>
    </row>
    <row r="506" spans="3:4" ht="14.25" customHeight="1" x14ac:dyDescent="0.25">
      <c r="C506" s="24"/>
      <c r="D506" s="24"/>
    </row>
    <row r="507" spans="3:4" ht="14.25" customHeight="1" x14ac:dyDescent="0.25">
      <c r="C507" s="24"/>
      <c r="D507" s="24"/>
    </row>
    <row r="508" spans="3:4" ht="14.25" customHeight="1" x14ac:dyDescent="0.25">
      <c r="C508" s="24"/>
      <c r="D508" s="24"/>
    </row>
    <row r="509" spans="3:4" ht="14.25" customHeight="1" x14ac:dyDescent="0.25">
      <c r="C509" s="24"/>
      <c r="D509" s="24"/>
    </row>
    <row r="510" spans="3:4" ht="14.25" customHeight="1" x14ac:dyDescent="0.25">
      <c r="C510" s="24"/>
      <c r="D510" s="24"/>
    </row>
    <row r="511" spans="3:4" ht="14.25" customHeight="1" x14ac:dyDescent="0.25">
      <c r="C511" s="24"/>
      <c r="D511" s="24"/>
    </row>
    <row r="512" spans="3:4" ht="14.25" customHeight="1" x14ac:dyDescent="0.25">
      <c r="C512" s="24"/>
      <c r="D512" s="24"/>
    </row>
    <row r="513" spans="3:4" ht="14.25" customHeight="1" x14ac:dyDescent="0.25">
      <c r="C513" s="24"/>
      <c r="D513" s="24"/>
    </row>
    <row r="514" spans="3:4" ht="14.25" customHeight="1" x14ac:dyDescent="0.25">
      <c r="C514" s="24"/>
      <c r="D514" s="24"/>
    </row>
    <row r="515" spans="3:4" ht="14.25" customHeight="1" x14ac:dyDescent="0.25">
      <c r="C515" s="24"/>
      <c r="D515" s="24"/>
    </row>
    <row r="516" spans="3:4" ht="14.25" customHeight="1" x14ac:dyDescent="0.25">
      <c r="C516" s="24"/>
      <c r="D516" s="24"/>
    </row>
    <row r="517" spans="3:4" ht="14.25" customHeight="1" x14ac:dyDescent="0.25">
      <c r="C517" s="24"/>
      <c r="D517" s="24"/>
    </row>
    <row r="518" spans="3:4" ht="14.25" customHeight="1" x14ac:dyDescent="0.25">
      <c r="C518" s="24"/>
      <c r="D518" s="24"/>
    </row>
    <row r="519" spans="3:4" ht="14.25" customHeight="1" x14ac:dyDescent="0.25">
      <c r="C519" s="24"/>
      <c r="D519" s="24"/>
    </row>
    <row r="520" spans="3:4" ht="14.25" customHeight="1" x14ac:dyDescent="0.25">
      <c r="C520" s="24"/>
      <c r="D520" s="24"/>
    </row>
    <row r="521" spans="3:4" ht="14.25" customHeight="1" x14ac:dyDescent="0.25">
      <c r="C521" s="24"/>
      <c r="D521" s="24"/>
    </row>
    <row r="522" spans="3:4" ht="14.25" customHeight="1" x14ac:dyDescent="0.25">
      <c r="C522" s="24"/>
      <c r="D522" s="24"/>
    </row>
    <row r="523" spans="3:4" ht="14.25" customHeight="1" x14ac:dyDescent="0.25">
      <c r="C523" s="24"/>
      <c r="D523" s="24"/>
    </row>
    <row r="524" spans="3:4" ht="14.25" customHeight="1" x14ac:dyDescent="0.25">
      <c r="C524" s="24"/>
      <c r="D524" s="24"/>
    </row>
    <row r="525" spans="3:4" ht="14.25" customHeight="1" x14ac:dyDescent="0.25">
      <c r="C525" s="24"/>
      <c r="D525" s="24"/>
    </row>
    <row r="526" spans="3:4" ht="14.25" customHeight="1" x14ac:dyDescent="0.25">
      <c r="C526" s="24"/>
      <c r="D526" s="24"/>
    </row>
    <row r="527" spans="3:4" ht="14.25" customHeight="1" x14ac:dyDescent="0.25">
      <c r="C527" s="24"/>
      <c r="D527" s="24"/>
    </row>
    <row r="528" spans="3:4" ht="14.25" customHeight="1" x14ac:dyDescent="0.25">
      <c r="C528" s="24"/>
      <c r="D528" s="24"/>
    </row>
    <row r="529" spans="3:4" ht="14.25" customHeight="1" x14ac:dyDescent="0.25">
      <c r="C529" s="24"/>
      <c r="D529" s="24"/>
    </row>
    <row r="530" spans="3:4" ht="14.25" customHeight="1" x14ac:dyDescent="0.25">
      <c r="C530" s="24"/>
      <c r="D530" s="24"/>
    </row>
    <row r="531" spans="3:4" ht="14.25" customHeight="1" x14ac:dyDescent="0.25">
      <c r="C531" s="24"/>
      <c r="D531" s="24"/>
    </row>
    <row r="532" spans="3:4" ht="14.25" customHeight="1" x14ac:dyDescent="0.25">
      <c r="C532" s="24"/>
      <c r="D532" s="24"/>
    </row>
    <row r="533" spans="3:4" ht="14.25" customHeight="1" x14ac:dyDescent="0.25">
      <c r="C533" s="24"/>
      <c r="D533" s="24"/>
    </row>
    <row r="534" spans="3:4" ht="14.25" customHeight="1" x14ac:dyDescent="0.25">
      <c r="C534" s="24"/>
      <c r="D534" s="24"/>
    </row>
    <row r="535" spans="3:4" ht="14.25" customHeight="1" x14ac:dyDescent="0.25">
      <c r="C535" s="24"/>
      <c r="D535" s="24"/>
    </row>
    <row r="536" spans="3:4" ht="14.25" customHeight="1" x14ac:dyDescent="0.25">
      <c r="C536" s="24"/>
      <c r="D536" s="24"/>
    </row>
    <row r="537" spans="3:4" ht="14.25" customHeight="1" x14ac:dyDescent="0.25">
      <c r="C537" s="24"/>
      <c r="D537" s="24"/>
    </row>
    <row r="538" spans="3:4" ht="14.25" customHeight="1" x14ac:dyDescent="0.25">
      <c r="C538" s="24"/>
      <c r="D538" s="24"/>
    </row>
    <row r="539" spans="3:4" ht="14.25" customHeight="1" x14ac:dyDescent="0.25">
      <c r="C539" s="24"/>
      <c r="D539" s="24"/>
    </row>
    <row r="540" spans="3:4" ht="14.25" customHeight="1" x14ac:dyDescent="0.25">
      <c r="C540" s="24"/>
      <c r="D540" s="24"/>
    </row>
    <row r="541" spans="3:4" ht="14.25" customHeight="1" x14ac:dyDescent="0.25">
      <c r="C541" s="24"/>
      <c r="D541" s="24"/>
    </row>
    <row r="542" spans="3:4" ht="14.25" customHeight="1" x14ac:dyDescent="0.25">
      <c r="C542" s="24"/>
      <c r="D542" s="24"/>
    </row>
    <row r="543" spans="3:4" ht="14.25" customHeight="1" x14ac:dyDescent="0.25">
      <c r="C543" s="24"/>
      <c r="D543" s="24"/>
    </row>
    <row r="544" spans="3:4" ht="14.25" customHeight="1" x14ac:dyDescent="0.25">
      <c r="C544" s="24"/>
      <c r="D544" s="24"/>
    </row>
    <row r="545" spans="3:4" ht="14.25" customHeight="1" x14ac:dyDescent="0.25">
      <c r="C545" s="24"/>
      <c r="D545" s="24"/>
    </row>
    <row r="546" spans="3:4" ht="14.25" customHeight="1" x14ac:dyDescent="0.25">
      <c r="C546" s="24"/>
      <c r="D546" s="24"/>
    </row>
    <row r="547" spans="3:4" ht="14.25" customHeight="1" x14ac:dyDescent="0.25">
      <c r="C547" s="24"/>
      <c r="D547" s="24"/>
    </row>
    <row r="548" spans="3:4" ht="14.25" customHeight="1" x14ac:dyDescent="0.25">
      <c r="C548" s="24"/>
      <c r="D548" s="24"/>
    </row>
    <row r="549" spans="3:4" ht="14.25" customHeight="1" x14ac:dyDescent="0.25">
      <c r="C549" s="24"/>
      <c r="D549" s="24"/>
    </row>
    <row r="550" spans="3:4" ht="14.25" customHeight="1" x14ac:dyDescent="0.25">
      <c r="C550" s="24"/>
      <c r="D550" s="24"/>
    </row>
    <row r="551" spans="3:4" ht="14.25" customHeight="1" x14ac:dyDescent="0.25">
      <c r="C551" s="24"/>
      <c r="D551" s="24"/>
    </row>
    <row r="552" spans="3:4" ht="14.25" customHeight="1" x14ac:dyDescent="0.25">
      <c r="C552" s="24"/>
      <c r="D552" s="24"/>
    </row>
    <row r="553" spans="3:4" ht="14.25" customHeight="1" x14ac:dyDescent="0.25">
      <c r="C553" s="24"/>
      <c r="D553" s="24"/>
    </row>
    <row r="554" spans="3:4" ht="14.25" customHeight="1" x14ac:dyDescent="0.25">
      <c r="C554" s="24"/>
      <c r="D554" s="24"/>
    </row>
    <row r="555" spans="3:4" ht="14.25" customHeight="1" x14ac:dyDescent="0.25">
      <c r="C555" s="24"/>
      <c r="D555" s="24"/>
    </row>
    <row r="556" spans="3:4" ht="14.25" customHeight="1" x14ac:dyDescent="0.25">
      <c r="C556" s="24"/>
      <c r="D556" s="24"/>
    </row>
    <row r="557" spans="3:4" ht="14.25" customHeight="1" x14ac:dyDescent="0.25">
      <c r="C557" s="24"/>
      <c r="D557" s="24"/>
    </row>
    <row r="558" spans="3:4" ht="14.25" customHeight="1" x14ac:dyDescent="0.25">
      <c r="C558" s="24"/>
      <c r="D558" s="24"/>
    </row>
    <row r="559" spans="3:4" ht="14.25" customHeight="1" x14ac:dyDescent="0.25">
      <c r="C559" s="24"/>
      <c r="D559" s="24"/>
    </row>
    <row r="560" spans="3:4" ht="14.25" customHeight="1" x14ac:dyDescent="0.25">
      <c r="C560" s="24"/>
      <c r="D560" s="24"/>
    </row>
    <row r="561" spans="3:4" ht="14.25" customHeight="1" x14ac:dyDescent="0.25">
      <c r="C561" s="24"/>
      <c r="D561" s="24"/>
    </row>
    <row r="562" spans="3:4" ht="14.25" customHeight="1" x14ac:dyDescent="0.25">
      <c r="C562" s="24"/>
      <c r="D562" s="24"/>
    </row>
    <row r="563" spans="3:4" ht="14.25" customHeight="1" x14ac:dyDescent="0.25">
      <c r="C563" s="24"/>
      <c r="D563" s="24"/>
    </row>
    <row r="564" spans="3:4" ht="14.25" customHeight="1" x14ac:dyDescent="0.25">
      <c r="C564" s="24"/>
      <c r="D564" s="24"/>
    </row>
    <row r="565" spans="3:4" ht="14.25" customHeight="1" x14ac:dyDescent="0.25">
      <c r="C565" s="24"/>
      <c r="D565" s="24"/>
    </row>
    <row r="566" spans="3:4" ht="14.25" customHeight="1" x14ac:dyDescent="0.25">
      <c r="C566" s="24"/>
      <c r="D566" s="24"/>
    </row>
    <row r="567" spans="3:4" ht="14.25" customHeight="1" x14ac:dyDescent="0.25">
      <c r="C567" s="24"/>
      <c r="D567" s="24"/>
    </row>
    <row r="568" spans="3:4" ht="14.25" customHeight="1" x14ac:dyDescent="0.25">
      <c r="C568" s="24"/>
      <c r="D568" s="24"/>
    </row>
    <row r="569" spans="3:4" ht="14.25" customHeight="1" x14ac:dyDescent="0.25">
      <c r="C569" s="24"/>
      <c r="D569" s="24"/>
    </row>
    <row r="570" spans="3:4" ht="14.25" customHeight="1" x14ac:dyDescent="0.25">
      <c r="C570" s="24"/>
      <c r="D570" s="24"/>
    </row>
    <row r="571" spans="3:4" ht="14.25" customHeight="1" x14ac:dyDescent="0.25">
      <c r="C571" s="24"/>
      <c r="D571" s="24"/>
    </row>
    <row r="572" spans="3:4" ht="14.25" customHeight="1" x14ac:dyDescent="0.25">
      <c r="C572" s="24"/>
      <c r="D572" s="24"/>
    </row>
    <row r="573" spans="3:4" ht="14.25" customHeight="1" x14ac:dyDescent="0.25">
      <c r="C573" s="24"/>
      <c r="D573" s="24"/>
    </row>
    <row r="574" spans="3:4" ht="14.25" customHeight="1" x14ac:dyDescent="0.25">
      <c r="C574" s="24"/>
      <c r="D574" s="24"/>
    </row>
    <row r="575" spans="3:4" ht="14.25" customHeight="1" x14ac:dyDescent="0.25">
      <c r="C575" s="24"/>
      <c r="D575" s="24"/>
    </row>
    <row r="576" spans="3:4" ht="14.25" customHeight="1" x14ac:dyDescent="0.25">
      <c r="C576" s="24"/>
      <c r="D576" s="24"/>
    </row>
    <row r="577" spans="3:4" ht="14.25" customHeight="1" x14ac:dyDescent="0.25">
      <c r="C577" s="24"/>
      <c r="D577" s="24"/>
    </row>
    <row r="578" spans="3:4" ht="14.25" customHeight="1" x14ac:dyDescent="0.25">
      <c r="C578" s="24"/>
      <c r="D578" s="24"/>
    </row>
    <row r="579" spans="3:4" ht="14.25" customHeight="1" x14ac:dyDescent="0.25">
      <c r="C579" s="24"/>
      <c r="D579" s="24"/>
    </row>
    <row r="580" spans="3:4" ht="14.25" customHeight="1" x14ac:dyDescent="0.25">
      <c r="C580" s="24"/>
      <c r="D580" s="24"/>
    </row>
    <row r="581" spans="3:4" ht="14.25" customHeight="1" x14ac:dyDescent="0.25">
      <c r="C581" s="24"/>
      <c r="D581" s="24"/>
    </row>
    <row r="582" spans="3:4" ht="14.25" customHeight="1" x14ac:dyDescent="0.25">
      <c r="C582" s="24"/>
      <c r="D582" s="24"/>
    </row>
    <row r="583" spans="3:4" ht="14.25" customHeight="1" x14ac:dyDescent="0.25">
      <c r="C583" s="24"/>
      <c r="D583" s="24"/>
    </row>
    <row r="584" spans="3:4" ht="14.25" customHeight="1" x14ac:dyDescent="0.25">
      <c r="C584" s="24"/>
      <c r="D584" s="24"/>
    </row>
    <row r="585" spans="3:4" ht="14.25" customHeight="1" x14ac:dyDescent="0.25">
      <c r="C585" s="24"/>
      <c r="D585" s="24"/>
    </row>
    <row r="586" spans="3:4" ht="14.25" customHeight="1" x14ac:dyDescent="0.25">
      <c r="C586" s="24"/>
      <c r="D586" s="24"/>
    </row>
    <row r="587" spans="3:4" ht="14.25" customHeight="1" x14ac:dyDescent="0.25">
      <c r="C587" s="24"/>
      <c r="D587" s="24"/>
    </row>
    <row r="588" spans="3:4" ht="14.25" customHeight="1" x14ac:dyDescent="0.25">
      <c r="C588" s="24"/>
      <c r="D588" s="24"/>
    </row>
    <row r="589" spans="3:4" ht="14.25" customHeight="1" x14ac:dyDescent="0.25">
      <c r="C589" s="24"/>
      <c r="D589" s="24"/>
    </row>
    <row r="590" spans="3:4" ht="14.25" customHeight="1" x14ac:dyDescent="0.25">
      <c r="C590" s="24"/>
      <c r="D590" s="24"/>
    </row>
    <row r="591" spans="3:4" ht="14.25" customHeight="1" x14ac:dyDescent="0.25">
      <c r="C591" s="24"/>
      <c r="D591" s="24"/>
    </row>
    <row r="592" spans="3:4" ht="14.25" customHeight="1" x14ac:dyDescent="0.25">
      <c r="C592" s="24"/>
      <c r="D592" s="24"/>
    </row>
    <row r="593" spans="3:4" ht="14.25" customHeight="1" x14ac:dyDescent="0.25">
      <c r="C593" s="24"/>
      <c r="D593" s="24"/>
    </row>
    <row r="594" spans="3:4" ht="14.25" customHeight="1" x14ac:dyDescent="0.25">
      <c r="C594" s="24"/>
      <c r="D594" s="24"/>
    </row>
    <row r="595" spans="3:4" ht="14.25" customHeight="1" x14ac:dyDescent="0.25">
      <c r="C595" s="24"/>
      <c r="D595" s="24"/>
    </row>
    <row r="596" spans="3:4" ht="14.25" customHeight="1" x14ac:dyDescent="0.25">
      <c r="C596" s="24"/>
      <c r="D596" s="24"/>
    </row>
    <row r="597" spans="3:4" ht="14.25" customHeight="1" x14ac:dyDescent="0.25">
      <c r="C597" s="24"/>
      <c r="D597" s="24"/>
    </row>
    <row r="598" spans="3:4" ht="14.25" customHeight="1" x14ac:dyDescent="0.25">
      <c r="C598" s="24"/>
      <c r="D598" s="24"/>
    </row>
    <row r="599" spans="3:4" ht="14.25" customHeight="1" x14ac:dyDescent="0.25">
      <c r="C599" s="24"/>
      <c r="D599" s="24"/>
    </row>
    <row r="600" spans="3:4" ht="14.25" customHeight="1" x14ac:dyDescent="0.25">
      <c r="C600" s="24"/>
      <c r="D600" s="24"/>
    </row>
    <row r="601" spans="3:4" ht="14.25" customHeight="1" x14ac:dyDescent="0.25">
      <c r="C601" s="24"/>
      <c r="D601" s="24"/>
    </row>
    <row r="602" spans="3:4" ht="14.25" customHeight="1" x14ac:dyDescent="0.25">
      <c r="C602" s="24"/>
      <c r="D602" s="24"/>
    </row>
    <row r="603" spans="3:4" ht="14.25" customHeight="1" x14ac:dyDescent="0.25">
      <c r="C603" s="24"/>
      <c r="D603" s="24"/>
    </row>
    <row r="604" spans="3:4" ht="14.25" customHeight="1" x14ac:dyDescent="0.25">
      <c r="C604" s="24"/>
      <c r="D604" s="24"/>
    </row>
    <row r="605" spans="3:4" ht="14.25" customHeight="1" x14ac:dyDescent="0.25">
      <c r="C605" s="24"/>
      <c r="D605" s="24"/>
    </row>
    <row r="606" spans="3:4" ht="14.25" customHeight="1" x14ac:dyDescent="0.25">
      <c r="C606" s="24"/>
      <c r="D606" s="24"/>
    </row>
    <row r="607" spans="3:4" ht="14.25" customHeight="1" x14ac:dyDescent="0.25">
      <c r="C607" s="24"/>
      <c r="D607" s="24"/>
    </row>
    <row r="608" spans="3:4" ht="14.25" customHeight="1" x14ac:dyDescent="0.25">
      <c r="C608" s="24"/>
      <c r="D608" s="24"/>
    </row>
    <row r="609" spans="3:4" ht="14.25" customHeight="1" x14ac:dyDescent="0.25">
      <c r="C609" s="24"/>
      <c r="D609" s="24"/>
    </row>
    <row r="610" spans="3:4" ht="14.25" customHeight="1" x14ac:dyDescent="0.25">
      <c r="C610" s="24"/>
      <c r="D610" s="24"/>
    </row>
    <row r="611" spans="3:4" ht="14.25" customHeight="1" x14ac:dyDescent="0.25">
      <c r="C611" s="24"/>
      <c r="D611" s="24"/>
    </row>
    <row r="612" spans="3:4" ht="14.25" customHeight="1" x14ac:dyDescent="0.25">
      <c r="C612" s="24"/>
      <c r="D612" s="24"/>
    </row>
    <row r="613" spans="3:4" ht="14.25" customHeight="1" x14ac:dyDescent="0.25">
      <c r="C613" s="24"/>
      <c r="D613" s="24"/>
    </row>
    <row r="614" spans="3:4" ht="14.25" customHeight="1" x14ac:dyDescent="0.25">
      <c r="C614" s="24"/>
      <c r="D614" s="24"/>
    </row>
    <row r="615" spans="3:4" ht="14.25" customHeight="1" x14ac:dyDescent="0.25">
      <c r="C615" s="24"/>
      <c r="D615" s="24"/>
    </row>
    <row r="616" spans="3:4" ht="14.25" customHeight="1" x14ac:dyDescent="0.25">
      <c r="C616" s="24"/>
      <c r="D616" s="24"/>
    </row>
    <row r="617" spans="3:4" ht="14.25" customHeight="1" x14ac:dyDescent="0.25">
      <c r="C617" s="24"/>
      <c r="D617" s="24"/>
    </row>
    <row r="618" spans="3:4" ht="14.25" customHeight="1" x14ac:dyDescent="0.25">
      <c r="C618" s="24"/>
      <c r="D618" s="24"/>
    </row>
    <row r="619" spans="3:4" ht="14.25" customHeight="1" x14ac:dyDescent="0.25">
      <c r="C619" s="24"/>
      <c r="D619" s="24"/>
    </row>
    <row r="620" spans="3:4" ht="14.25" customHeight="1" x14ac:dyDescent="0.25">
      <c r="C620" s="24"/>
      <c r="D620" s="24"/>
    </row>
    <row r="621" spans="3:4" ht="14.25" customHeight="1" x14ac:dyDescent="0.25">
      <c r="C621" s="24"/>
      <c r="D621" s="24"/>
    </row>
    <row r="622" spans="3:4" ht="14.25" customHeight="1" x14ac:dyDescent="0.25">
      <c r="C622" s="24"/>
      <c r="D622" s="24"/>
    </row>
    <row r="623" spans="3:4" ht="14.25" customHeight="1" x14ac:dyDescent="0.25">
      <c r="C623" s="24"/>
      <c r="D623" s="24"/>
    </row>
    <row r="624" spans="3:4" ht="14.25" customHeight="1" x14ac:dyDescent="0.25">
      <c r="C624" s="24"/>
      <c r="D624" s="24"/>
    </row>
    <row r="625" spans="3:4" ht="14.25" customHeight="1" x14ac:dyDescent="0.25">
      <c r="C625" s="24"/>
      <c r="D625" s="24"/>
    </row>
    <row r="626" spans="3:4" ht="14.25" customHeight="1" x14ac:dyDescent="0.25">
      <c r="C626" s="24"/>
      <c r="D626" s="24"/>
    </row>
    <row r="627" spans="3:4" ht="14.25" customHeight="1" x14ac:dyDescent="0.25">
      <c r="C627" s="24"/>
      <c r="D627" s="24"/>
    </row>
    <row r="628" spans="3:4" ht="14.25" customHeight="1" x14ac:dyDescent="0.25">
      <c r="C628" s="24"/>
      <c r="D628" s="24"/>
    </row>
    <row r="629" spans="3:4" ht="14.25" customHeight="1" x14ac:dyDescent="0.25">
      <c r="C629" s="24"/>
      <c r="D629" s="24"/>
    </row>
    <row r="630" spans="3:4" ht="14.25" customHeight="1" x14ac:dyDescent="0.25">
      <c r="C630" s="24"/>
      <c r="D630" s="24"/>
    </row>
    <row r="631" spans="3:4" ht="14.25" customHeight="1" x14ac:dyDescent="0.25">
      <c r="C631" s="24"/>
      <c r="D631" s="24"/>
    </row>
    <row r="632" spans="3:4" ht="14.25" customHeight="1" x14ac:dyDescent="0.25">
      <c r="C632" s="24"/>
      <c r="D632" s="24"/>
    </row>
    <row r="633" spans="3:4" ht="14.25" customHeight="1" x14ac:dyDescent="0.25">
      <c r="C633" s="24"/>
      <c r="D633" s="24"/>
    </row>
    <row r="634" spans="3:4" ht="14.25" customHeight="1" x14ac:dyDescent="0.25">
      <c r="C634" s="24"/>
      <c r="D634" s="24"/>
    </row>
    <row r="635" spans="3:4" ht="14.25" customHeight="1" x14ac:dyDescent="0.25">
      <c r="C635" s="24"/>
      <c r="D635" s="24"/>
    </row>
    <row r="636" spans="3:4" ht="14.25" customHeight="1" x14ac:dyDescent="0.25">
      <c r="C636" s="24"/>
      <c r="D636" s="24"/>
    </row>
    <row r="637" spans="3:4" ht="14.25" customHeight="1" x14ac:dyDescent="0.25">
      <c r="C637" s="24"/>
      <c r="D637" s="24"/>
    </row>
    <row r="638" spans="3:4" ht="14.25" customHeight="1" x14ac:dyDescent="0.25">
      <c r="C638" s="24"/>
      <c r="D638" s="24"/>
    </row>
    <row r="639" spans="3:4" ht="14.25" customHeight="1" x14ac:dyDescent="0.25">
      <c r="C639" s="24"/>
      <c r="D639" s="24"/>
    </row>
    <row r="640" spans="3:4" ht="14.25" customHeight="1" x14ac:dyDescent="0.25">
      <c r="C640" s="24"/>
      <c r="D640" s="24"/>
    </row>
    <row r="641" spans="3:4" ht="14.25" customHeight="1" x14ac:dyDescent="0.25">
      <c r="C641" s="24"/>
      <c r="D641" s="24"/>
    </row>
    <row r="642" spans="3:4" ht="14.25" customHeight="1" x14ac:dyDescent="0.25">
      <c r="C642" s="24"/>
      <c r="D642" s="24"/>
    </row>
    <row r="643" spans="3:4" ht="14.25" customHeight="1" x14ac:dyDescent="0.25">
      <c r="C643" s="24"/>
      <c r="D643" s="24"/>
    </row>
    <row r="644" spans="3:4" ht="14.25" customHeight="1" x14ac:dyDescent="0.25">
      <c r="C644" s="24"/>
      <c r="D644" s="24"/>
    </row>
    <row r="645" spans="3:4" ht="14.25" customHeight="1" x14ac:dyDescent="0.25">
      <c r="C645" s="24"/>
      <c r="D645" s="24"/>
    </row>
    <row r="646" spans="3:4" ht="14.25" customHeight="1" x14ac:dyDescent="0.25">
      <c r="C646" s="24"/>
      <c r="D646" s="24"/>
    </row>
    <row r="647" spans="3:4" ht="14.25" customHeight="1" x14ac:dyDescent="0.25">
      <c r="C647" s="24"/>
      <c r="D647" s="24"/>
    </row>
    <row r="648" spans="3:4" ht="14.25" customHeight="1" x14ac:dyDescent="0.25">
      <c r="C648" s="24"/>
      <c r="D648" s="24"/>
    </row>
    <row r="649" spans="3:4" ht="14.25" customHeight="1" x14ac:dyDescent="0.25">
      <c r="C649" s="24"/>
      <c r="D649" s="24"/>
    </row>
    <row r="650" spans="3:4" ht="14.25" customHeight="1" x14ac:dyDescent="0.25">
      <c r="C650" s="24"/>
      <c r="D650" s="24"/>
    </row>
    <row r="651" spans="3:4" ht="14.25" customHeight="1" x14ac:dyDescent="0.25">
      <c r="C651" s="24"/>
      <c r="D651" s="24"/>
    </row>
    <row r="652" spans="3:4" ht="14.25" customHeight="1" x14ac:dyDescent="0.25">
      <c r="C652" s="24"/>
      <c r="D652" s="24"/>
    </row>
    <row r="653" spans="3:4" ht="14.25" customHeight="1" x14ac:dyDescent="0.25">
      <c r="C653" s="24"/>
      <c r="D653" s="24"/>
    </row>
    <row r="654" spans="3:4" ht="14.25" customHeight="1" x14ac:dyDescent="0.25">
      <c r="C654" s="24"/>
      <c r="D654" s="24"/>
    </row>
    <row r="655" spans="3:4" ht="14.25" customHeight="1" x14ac:dyDescent="0.25">
      <c r="C655" s="24"/>
      <c r="D655" s="24"/>
    </row>
    <row r="656" spans="3:4" ht="14.25" customHeight="1" x14ac:dyDescent="0.25">
      <c r="C656" s="24"/>
      <c r="D656" s="24"/>
    </row>
    <row r="657" spans="3:4" ht="14.25" customHeight="1" x14ac:dyDescent="0.25">
      <c r="C657" s="24"/>
      <c r="D657" s="24"/>
    </row>
    <row r="658" spans="3:4" ht="14.25" customHeight="1" x14ac:dyDescent="0.25">
      <c r="C658" s="24"/>
      <c r="D658" s="24"/>
    </row>
    <row r="659" spans="3:4" ht="14.25" customHeight="1" x14ac:dyDescent="0.25">
      <c r="C659" s="24"/>
      <c r="D659" s="24"/>
    </row>
    <row r="660" spans="3:4" ht="14.25" customHeight="1" x14ac:dyDescent="0.25">
      <c r="C660" s="24"/>
      <c r="D660" s="24"/>
    </row>
    <row r="661" spans="3:4" ht="14.25" customHeight="1" x14ac:dyDescent="0.25">
      <c r="C661" s="24"/>
      <c r="D661" s="24"/>
    </row>
    <row r="662" spans="3:4" ht="14.25" customHeight="1" x14ac:dyDescent="0.25">
      <c r="C662" s="24"/>
      <c r="D662" s="24"/>
    </row>
    <row r="663" spans="3:4" ht="14.25" customHeight="1" x14ac:dyDescent="0.25">
      <c r="C663" s="24"/>
      <c r="D663" s="24"/>
    </row>
    <row r="664" spans="3:4" ht="14.25" customHeight="1" x14ac:dyDescent="0.25">
      <c r="C664" s="24"/>
      <c r="D664" s="24"/>
    </row>
    <row r="665" spans="3:4" ht="14.25" customHeight="1" x14ac:dyDescent="0.25">
      <c r="C665" s="24"/>
      <c r="D665" s="24"/>
    </row>
    <row r="666" spans="3:4" ht="14.25" customHeight="1" x14ac:dyDescent="0.25">
      <c r="C666" s="24"/>
      <c r="D666" s="24"/>
    </row>
    <row r="667" spans="3:4" ht="14.25" customHeight="1" x14ac:dyDescent="0.25">
      <c r="C667" s="24"/>
      <c r="D667" s="24"/>
    </row>
    <row r="668" spans="3:4" ht="14.25" customHeight="1" x14ac:dyDescent="0.25">
      <c r="C668" s="24"/>
      <c r="D668" s="24"/>
    </row>
    <row r="669" spans="3:4" ht="14.25" customHeight="1" x14ac:dyDescent="0.25">
      <c r="C669" s="24"/>
      <c r="D669" s="24"/>
    </row>
    <row r="670" spans="3:4" ht="14.25" customHeight="1" x14ac:dyDescent="0.25">
      <c r="C670" s="24"/>
      <c r="D670" s="24"/>
    </row>
    <row r="671" spans="3:4" ht="14.25" customHeight="1" x14ac:dyDescent="0.25">
      <c r="C671" s="24"/>
      <c r="D671" s="24"/>
    </row>
    <row r="672" spans="3:4" ht="14.25" customHeight="1" x14ac:dyDescent="0.25">
      <c r="C672" s="24"/>
      <c r="D672" s="24"/>
    </row>
    <row r="673" spans="3:4" ht="14.25" customHeight="1" x14ac:dyDescent="0.25">
      <c r="C673" s="24"/>
      <c r="D673" s="24"/>
    </row>
    <row r="674" spans="3:4" ht="14.25" customHeight="1" x14ac:dyDescent="0.25">
      <c r="C674" s="24"/>
      <c r="D674" s="24"/>
    </row>
    <row r="675" spans="3:4" ht="14.25" customHeight="1" x14ac:dyDescent="0.25">
      <c r="C675" s="24"/>
      <c r="D675" s="24"/>
    </row>
    <row r="676" spans="3:4" ht="14.25" customHeight="1" x14ac:dyDescent="0.25">
      <c r="C676" s="24"/>
      <c r="D676" s="24"/>
    </row>
    <row r="677" spans="3:4" ht="14.25" customHeight="1" x14ac:dyDescent="0.25">
      <c r="C677" s="24"/>
      <c r="D677" s="24"/>
    </row>
    <row r="678" spans="3:4" ht="14.25" customHeight="1" x14ac:dyDescent="0.25">
      <c r="C678" s="24"/>
      <c r="D678" s="24"/>
    </row>
    <row r="679" spans="3:4" ht="14.25" customHeight="1" x14ac:dyDescent="0.25">
      <c r="C679" s="24"/>
      <c r="D679" s="24"/>
    </row>
    <row r="680" spans="3:4" ht="14.25" customHeight="1" x14ac:dyDescent="0.25">
      <c r="C680" s="24"/>
      <c r="D680" s="24"/>
    </row>
    <row r="681" spans="3:4" ht="14.25" customHeight="1" x14ac:dyDescent="0.25">
      <c r="C681" s="24"/>
      <c r="D681" s="24"/>
    </row>
    <row r="682" spans="3:4" ht="14.25" customHeight="1" x14ac:dyDescent="0.25">
      <c r="C682" s="24"/>
      <c r="D682" s="24"/>
    </row>
    <row r="683" spans="3:4" ht="14.25" customHeight="1" x14ac:dyDescent="0.25">
      <c r="C683" s="24"/>
      <c r="D683" s="24"/>
    </row>
    <row r="684" spans="3:4" ht="14.25" customHeight="1" x14ac:dyDescent="0.25">
      <c r="C684" s="24"/>
      <c r="D684" s="24"/>
    </row>
    <row r="685" spans="3:4" ht="14.25" customHeight="1" x14ac:dyDescent="0.25">
      <c r="C685" s="24"/>
      <c r="D685" s="24"/>
    </row>
    <row r="686" spans="3:4" ht="14.25" customHeight="1" x14ac:dyDescent="0.25">
      <c r="C686" s="24"/>
      <c r="D686" s="24"/>
    </row>
    <row r="687" spans="3:4" ht="14.25" customHeight="1" x14ac:dyDescent="0.25">
      <c r="C687" s="24"/>
      <c r="D687" s="24"/>
    </row>
    <row r="688" spans="3:4" ht="14.25" customHeight="1" x14ac:dyDescent="0.25">
      <c r="C688" s="24"/>
      <c r="D688" s="24"/>
    </row>
    <row r="689" spans="3:4" ht="14.25" customHeight="1" x14ac:dyDescent="0.25">
      <c r="C689" s="24"/>
      <c r="D689" s="24"/>
    </row>
    <row r="690" spans="3:4" ht="14.25" customHeight="1" x14ac:dyDescent="0.25">
      <c r="C690" s="24"/>
      <c r="D690" s="24"/>
    </row>
    <row r="691" spans="3:4" ht="14.25" customHeight="1" x14ac:dyDescent="0.25">
      <c r="C691" s="24"/>
      <c r="D691" s="24"/>
    </row>
    <row r="692" spans="3:4" ht="14.25" customHeight="1" x14ac:dyDescent="0.25">
      <c r="C692" s="24"/>
      <c r="D692" s="24"/>
    </row>
    <row r="693" spans="3:4" ht="14.25" customHeight="1" x14ac:dyDescent="0.25">
      <c r="C693" s="24"/>
      <c r="D693" s="24"/>
    </row>
    <row r="694" spans="3:4" ht="14.25" customHeight="1" x14ac:dyDescent="0.25">
      <c r="C694" s="24"/>
      <c r="D694" s="24"/>
    </row>
    <row r="695" spans="3:4" ht="14.25" customHeight="1" x14ac:dyDescent="0.25">
      <c r="C695" s="24"/>
      <c r="D695" s="24"/>
    </row>
    <row r="696" spans="3:4" ht="14.25" customHeight="1" x14ac:dyDescent="0.25">
      <c r="C696" s="24"/>
      <c r="D696" s="24"/>
    </row>
    <row r="697" spans="3:4" ht="14.25" customHeight="1" x14ac:dyDescent="0.25">
      <c r="C697" s="24"/>
      <c r="D697" s="24"/>
    </row>
    <row r="698" spans="3:4" ht="14.25" customHeight="1" x14ac:dyDescent="0.25">
      <c r="C698" s="24"/>
      <c r="D698" s="24"/>
    </row>
    <row r="699" spans="3:4" ht="14.25" customHeight="1" x14ac:dyDescent="0.25">
      <c r="C699" s="24"/>
      <c r="D699" s="24"/>
    </row>
    <row r="700" spans="3:4" ht="14.25" customHeight="1" x14ac:dyDescent="0.25">
      <c r="C700" s="24"/>
      <c r="D700" s="24"/>
    </row>
    <row r="701" spans="3:4" ht="14.25" customHeight="1" x14ac:dyDescent="0.25">
      <c r="C701" s="24"/>
      <c r="D701" s="24"/>
    </row>
    <row r="702" spans="3:4" ht="14.25" customHeight="1" x14ac:dyDescent="0.25">
      <c r="C702" s="24"/>
      <c r="D702" s="24"/>
    </row>
    <row r="703" spans="3:4" ht="14.25" customHeight="1" x14ac:dyDescent="0.25">
      <c r="C703" s="24"/>
      <c r="D703" s="24"/>
    </row>
    <row r="704" spans="3:4" ht="14.25" customHeight="1" x14ac:dyDescent="0.25">
      <c r="C704" s="24"/>
      <c r="D704" s="24"/>
    </row>
    <row r="705" spans="3:4" ht="14.25" customHeight="1" x14ac:dyDescent="0.25">
      <c r="C705" s="24"/>
      <c r="D705" s="24"/>
    </row>
    <row r="706" spans="3:4" ht="14.25" customHeight="1" x14ac:dyDescent="0.25">
      <c r="C706" s="24"/>
      <c r="D706" s="24"/>
    </row>
    <row r="707" spans="3:4" ht="14.25" customHeight="1" x14ac:dyDescent="0.25">
      <c r="C707" s="24"/>
      <c r="D707" s="24"/>
    </row>
    <row r="708" spans="3:4" ht="14.25" customHeight="1" x14ac:dyDescent="0.25">
      <c r="C708" s="24"/>
      <c r="D708" s="24"/>
    </row>
    <row r="709" spans="3:4" ht="14.25" customHeight="1" x14ac:dyDescent="0.25">
      <c r="C709" s="24"/>
      <c r="D709" s="24"/>
    </row>
    <row r="710" spans="3:4" ht="14.25" customHeight="1" x14ac:dyDescent="0.25">
      <c r="C710" s="24"/>
      <c r="D710" s="24"/>
    </row>
    <row r="711" spans="3:4" ht="14.25" customHeight="1" x14ac:dyDescent="0.25">
      <c r="C711" s="24"/>
      <c r="D711" s="24"/>
    </row>
    <row r="712" spans="3:4" ht="14.25" customHeight="1" x14ac:dyDescent="0.25">
      <c r="C712" s="24"/>
      <c r="D712" s="24"/>
    </row>
    <row r="713" spans="3:4" ht="14.25" customHeight="1" x14ac:dyDescent="0.25">
      <c r="C713" s="24"/>
      <c r="D713" s="24"/>
    </row>
    <row r="714" spans="3:4" ht="14.25" customHeight="1" x14ac:dyDescent="0.25">
      <c r="C714" s="24"/>
      <c r="D714" s="24"/>
    </row>
    <row r="715" spans="3:4" ht="14.25" customHeight="1" x14ac:dyDescent="0.25">
      <c r="C715" s="24"/>
      <c r="D715" s="24"/>
    </row>
    <row r="716" spans="3:4" ht="14.25" customHeight="1" x14ac:dyDescent="0.25">
      <c r="C716" s="24"/>
      <c r="D716" s="24"/>
    </row>
    <row r="717" spans="3:4" ht="14.25" customHeight="1" x14ac:dyDescent="0.25">
      <c r="C717" s="24"/>
      <c r="D717" s="24"/>
    </row>
    <row r="718" spans="3:4" ht="14.25" customHeight="1" x14ac:dyDescent="0.25">
      <c r="C718" s="24"/>
      <c r="D718" s="24"/>
    </row>
    <row r="719" spans="3:4" ht="14.25" customHeight="1" x14ac:dyDescent="0.25">
      <c r="C719" s="24"/>
      <c r="D719" s="24"/>
    </row>
    <row r="720" spans="3:4" ht="14.25" customHeight="1" x14ac:dyDescent="0.25">
      <c r="C720" s="24"/>
      <c r="D720" s="24"/>
    </row>
    <row r="721" spans="3:4" ht="14.25" customHeight="1" x14ac:dyDescent="0.25">
      <c r="C721" s="24"/>
      <c r="D721" s="24"/>
    </row>
    <row r="722" spans="3:4" ht="14.25" customHeight="1" x14ac:dyDescent="0.25">
      <c r="C722" s="24"/>
      <c r="D722" s="24"/>
    </row>
    <row r="723" spans="3:4" ht="14.25" customHeight="1" x14ac:dyDescent="0.25">
      <c r="C723" s="24"/>
      <c r="D723" s="24"/>
    </row>
    <row r="724" spans="3:4" ht="14.25" customHeight="1" x14ac:dyDescent="0.25">
      <c r="C724" s="24"/>
      <c r="D724" s="24"/>
    </row>
    <row r="725" spans="3:4" ht="14.25" customHeight="1" x14ac:dyDescent="0.25">
      <c r="C725" s="24"/>
      <c r="D725" s="24"/>
    </row>
    <row r="726" spans="3:4" ht="14.25" customHeight="1" x14ac:dyDescent="0.25">
      <c r="C726" s="24"/>
      <c r="D726" s="24"/>
    </row>
    <row r="727" spans="3:4" ht="14.25" customHeight="1" x14ac:dyDescent="0.25">
      <c r="C727" s="24"/>
      <c r="D727" s="24"/>
    </row>
    <row r="728" spans="3:4" ht="14.25" customHeight="1" x14ac:dyDescent="0.25">
      <c r="C728" s="24"/>
      <c r="D728" s="24"/>
    </row>
    <row r="729" spans="3:4" ht="14.25" customHeight="1" x14ac:dyDescent="0.25">
      <c r="C729" s="24"/>
      <c r="D729" s="24"/>
    </row>
    <row r="730" spans="3:4" ht="14.25" customHeight="1" x14ac:dyDescent="0.25">
      <c r="C730" s="24"/>
      <c r="D730" s="24"/>
    </row>
    <row r="731" spans="3:4" ht="14.25" customHeight="1" x14ac:dyDescent="0.25">
      <c r="C731" s="24"/>
      <c r="D731" s="24"/>
    </row>
    <row r="732" spans="3:4" ht="14.25" customHeight="1" x14ac:dyDescent="0.25">
      <c r="C732" s="24"/>
      <c r="D732" s="24"/>
    </row>
    <row r="733" spans="3:4" ht="14.25" customHeight="1" x14ac:dyDescent="0.25">
      <c r="C733" s="24"/>
      <c r="D733" s="24"/>
    </row>
    <row r="734" spans="3:4" ht="14.25" customHeight="1" x14ac:dyDescent="0.25">
      <c r="C734" s="24"/>
      <c r="D734" s="24"/>
    </row>
    <row r="735" spans="3:4" ht="14.25" customHeight="1" x14ac:dyDescent="0.25">
      <c r="C735" s="24"/>
      <c r="D735" s="24"/>
    </row>
    <row r="736" spans="3:4" ht="14.25" customHeight="1" x14ac:dyDescent="0.25">
      <c r="C736" s="24"/>
      <c r="D736" s="24"/>
    </row>
    <row r="737" spans="3:4" ht="14.25" customHeight="1" x14ac:dyDescent="0.25">
      <c r="C737" s="24"/>
      <c r="D737" s="24"/>
    </row>
    <row r="738" spans="3:4" ht="14.25" customHeight="1" x14ac:dyDescent="0.25">
      <c r="C738" s="24"/>
      <c r="D738" s="24"/>
    </row>
    <row r="739" spans="3:4" ht="14.25" customHeight="1" x14ac:dyDescent="0.25">
      <c r="C739" s="24"/>
      <c r="D739" s="24"/>
    </row>
    <row r="740" spans="3:4" ht="14.25" customHeight="1" x14ac:dyDescent="0.25">
      <c r="C740" s="24"/>
      <c r="D740" s="24"/>
    </row>
    <row r="741" spans="3:4" ht="14.25" customHeight="1" x14ac:dyDescent="0.25">
      <c r="C741" s="24"/>
      <c r="D741" s="24"/>
    </row>
    <row r="742" spans="3:4" ht="14.25" customHeight="1" x14ac:dyDescent="0.25">
      <c r="C742" s="24"/>
      <c r="D742" s="24"/>
    </row>
    <row r="743" spans="3:4" ht="14.25" customHeight="1" x14ac:dyDescent="0.25">
      <c r="C743" s="24"/>
      <c r="D743" s="24"/>
    </row>
    <row r="744" spans="3:4" ht="14.25" customHeight="1" x14ac:dyDescent="0.25">
      <c r="C744" s="24"/>
      <c r="D744" s="24"/>
    </row>
    <row r="745" spans="3:4" ht="14.25" customHeight="1" x14ac:dyDescent="0.25">
      <c r="C745" s="24"/>
      <c r="D745" s="24"/>
    </row>
    <row r="746" spans="3:4" ht="14.25" customHeight="1" x14ac:dyDescent="0.25">
      <c r="C746" s="24"/>
      <c r="D746" s="24"/>
    </row>
    <row r="747" spans="3:4" ht="14.25" customHeight="1" x14ac:dyDescent="0.25">
      <c r="C747" s="24"/>
      <c r="D747" s="24"/>
    </row>
    <row r="748" spans="3:4" ht="14.25" customHeight="1" x14ac:dyDescent="0.25">
      <c r="C748" s="24"/>
      <c r="D748" s="24"/>
    </row>
    <row r="749" spans="3:4" ht="14.25" customHeight="1" x14ac:dyDescent="0.25">
      <c r="C749" s="24"/>
      <c r="D749" s="24"/>
    </row>
    <row r="750" spans="3:4" ht="14.25" customHeight="1" x14ac:dyDescent="0.25">
      <c r="C750" s="24"/>
      <c r="D750" s="24"/>
    </row>
    <row r="751" spans="3:4" ht="14.25" customHeight="1" x14ac:dyDescent="0.25">
      <c r="C751" s="24"/>
      <c r="D751" s="24"/>
    </row>
    <row r="752" spans="3:4" ht="14.25" customHeight="1" x14ac:dyDescent="0.25">
      <c r="C752" s="24"/>
      <c r="D752" s="24"/>
    </row>
    <row r="753" spans="3:4" ht="14.25" customHeight="1" x14ac:dyDescent="0.25">
      <c r="C753" s="24"/>
      <c r="D753" s="24"/>
    </row>
    <row r="754" spans="3:4" ht="14.25" customHeight="1" x14ac:dyDescent="0.25">
      <c r="C754" s="24"/>
      <c r="D754" s="24"/>
    </row>
    <row r="755" spans="3:4" ht="14.25" customHeight="1" x14ac:dyDescent="0.25">
      <c r="C755" s="24"/>
      <c r="D755" s="24"/>
    </row>
    <row r="756" spans="3:4" ht="14.25" customHeight="1" x14ac:dyDescent="0.25">
      <c r="C756" s="24"/>
      <c r="D756" s="24"/>
    </row>
    <row r="757" spans="3:4" ht="14.25" customHeight="1" x14ac:dyDescent="0.25">
      <c r="C757" s="24"/>
      <c r="D757" s="24"/>
    </row>
    <row r="758" spans="3:4" ht="14.25" customHeight="1" x14ac:dyDescent="0.25">
      <c r="C758" s="24"/>
      <c r="D758" s="24"/>
    </row>
    <row r="759" spans="3:4" ht="14.25" customHeight="1" x14ac:dyDescent="0.25">
      <c r="C759" s="24"/>
      <c r="D759" s="24"/>
    </row>
    <row r="760" spans="3:4" ht="14.25" customHeight="1" x14ac:dyDescent="0.25">
      <c r="C760" s="24"/>
      <c r="D760" s="24"/>
    </row>
    <row r="761" spans="3:4" ht="14.25" customHeight="1" x14ac:dyDescent="0.25">
      <c r="C761" s="24"/>
      <c r="D761" s="24"/>
    </row>
    <row r="762" spans="3:4" ht="14.25" customHeight="1" x14ac:dyDescent="0.25">
      <c r="C762" s="24"/>
      <c r="D762" s="24"/>
    </row>
    <row r="763" spans="3:4" ht="14.25" customHeight="1" x14ac:dyDescent="0.25">
      <c r="C763" s="24"/>
      <c r="D763" s="24"/>
    </row>
    <row r="764" spans="3:4" ht="14.25" customHeight="1" x14ac:dyDescent="0.25">
      <c r="C764" s="24"/>
      <c r="D764" s="24"/>
    </row>
    <row r="765" spans="3:4" ht="14.25" customHeight="1" x14ac:dyDescent="0.25">
      <c r="C765" s="24"/>
      <c r="D765" s="24"/>
    </row>
    <row r="766" spans="3:4" ht="14.25" customHeight="1" x14ac:dyDescent="0.25">
      <c r="C766" s="24"/>
      <c r="D766" s="24"/>
    </row>
    <row r="767" spans="3:4" ht="14.25" customHeight="1" x14ac:dyDescent="0.25">
      <c r="C767" s="24"/>
      <c r="D767" s="24"/>
    </row>
    <row r="768" spans="3:4" ht="14.25" customHeight="1" x14ac:dyDescent="0.25">
      <c r="C768" s="24"/>
      <c r="D768" s="24"/>
    </row>
    <row r="769" spans="3:4" ht="14.25" customHeight="1" x14ac:dyDescent="0.25">
      <c r="C769" s="24"/>
      <c r="D769" s="24"/>
    </row>
    <row r="770" spans="3:4" ht="14.25" customHeight="1" x14ac:dyDescent="0.25">
      <c r="C770" s="24"/>
      <c r="D770" s="24"/>
    </row>
    <row r="771" spans="3:4" ht="14.25" customHeight="1" x14ac:dyDescent="0.25">
      <c r="C771" s="24"/>
      <c r="D771" s="24"/>
    </row>
    <row r="772" spans="3:4" ht="14.25" customHeight="1" x14ac:dyDescent="0.25">
      <c r="C772" s="24"/>
      <c r="D772" s="24"/>
    </row>
    <row r="773" spans="3:4" ht="14.25" customHeight="1" x14ac:dyDescent="0.25">
      <c r="C773" s="24"/>
      <c r="D773" s="24"/>
    </row>
    <row r="774" spans="3:4" ht="14.25" customHeight="1" x14ac:dyDescent="0.25">
      <c r="C774" s="24"/>
      <c r="D774" s="24"/>
    </row>
    <row r="775" spans="3:4" ht="14.25" customHeight="1" x14ac:dyDescent="0.25">
      <c r="C775" s="24"/>
      <c r="D775" s="24"/>
    </row>
    <row r="776" spans="3:4" ht="14.25" customHeight="1" x14ac:dyDescent="0.25">
      <c r="C776" s="24"/>
      <c r="D776" s="24"/>
    </row>
    <row r="777" spans="3:4" ht="14.25" customHeight="1" x14ac:dyDescent="0.25">
      <c r="C777" s="24"/>
      <c r="D777" s="24"/>
    </row>
    <row r="778" spans="3:4" ht="14.25" customHeight="1" x14ac:dyDescent="0.25">
      <c r="C778" s="24"/>
      <c r="D778" s="24"/>
    </row>
    <row r="779" spans="3:4" ht="14.25" customHeight="1" x14ac:dyDescent="0.25">
      <c r="C779" s="24"/>
      <c r="D779" s="24"/>
    </row>
    <row r="780" spans="3:4" ht="14.25" customHeight="1" x14ac:dyDescent="0.25">
      <c r="C780" s="24"/>
      <c r="D780" s="24"/>
    </row>
    <row r="781" spans="3:4" ht="14.25" customHeight="1" x14ac:dyDescent="0.25">
      <c r="C781" s="24"/>
      <c r="D781" s="24"/>
    </row>
    <row r="782" spans="3:4" ht="14.25" customHeight="1" x14ac:dyDescent="0.25">
      <c r="C782" s="24"/>
      <c r="D782" s="24"/>
    </row>
    <row r="783" spans="3:4" ht="14.25" customHeight="1" x14ac:dyDescent="0.25">
      <c r="C783" s="24"/>
      <c r="D783" s="24"/>
    </row>
    <row r="784" spans="3:4" ht="14.25" customHeight="1" x14ac:dyDescent="0.25">
      <c r="C784" s="24"/>
      <c r="D784" s="24"/>
    </row>
    <row r="785" spans="3:4" ht="14.25" customHeight="1" x14ac:dyDescent="0.25">
      <c r="C785" s="24"/>
      <c r="D785" s="24"/>
    </row>
    <row r="786" spans="3:4" ht="14.25" customHeight="1" x14ac:dyDescent="0.25">
      <c r="C786" s="24"/>
      <c r="D786" s="24"/>
    </row>
    <row r="787" spans="3:4" ht="14.25" customHeight="1" x14ac:dyDescent="0.25">
      <c r="C787" s="24"/>
      <c r="D787" s="24"/>
    </row>
    <row r="788" spans="3:4" ht="14.25" customHeight="1" x14ac:dyDescent="0.25">
      <c r="C788" s="24"/>
      <c r="D788" s="24"/>
    </row>
    <row r="789" spans="3:4" ht="14.25" customHeight="1" x14ac:dyDescent="0.25">
      <c r="C789" s="24"/>
      <c r="D789" s="24"/>
    </row>
    <row r="790" spans="3:4" ht="14.25" customHeight="1" x14ac:dyDescent="0.25">
      <c r="C790" s="24"/>
      <c r="D790" s="24"/>
    </row>
    <row r="791" spans="3:4" ht="14.25" customHeight="1" x14ac:dyDescent="0.25">
      <c r="C791" s="24"/>
      <c r="D791" s="24"/>
    </row>
    <row r="792" spans="3:4" ht="14.25" customHeight="1" x14ac:dyDescent="0.25">
      <c r="C792" s="24"/>
      <c r="D792" s="24"/>
    </row>
    <row r="793" spans="3:4" ht="14.25" customHeight="1" x14ac:dyDescent="0.25">
      <c r="C793" s="24"/>
      <c r="D793" s="24"/>
    </row>
    <row r="794" spans="3:4" ht="14.25" customHeight="1" x14ac:dyDescent="0.25">
      <c r="C794" s="24"/>
      <c r="D794" s="24"/>
    </row>
    <row r="795" spans="3:4" ht="14.25" customHeight="1" x14ac:dyDescent="0.25">
      <c r="C795" s="24"/>
      <c r="D795" s="24"/>
    </row>
    <row r="796" spans="3:4" ht="14.25" customHeight="1" x14ac:dyDescent="0.25">
      <c r="C796" s="24"/>
      <c r="D796" s="24"/>
    </row>
    <row r="797" spans="3:4" ht="14.25" customHeight="1" x14ac:dyDescent="0.25">
      <c r="C797" s="24"/>
      <c r="D797" s="24"/>
    </row>
    <row r="798" spans="3:4" ht="14.25" customHeight="1" x14ac:dyDescent="0.25">
      <c r="C798" s="24"/>
      <c r="D798" s="24"/>
    </row>
    <row r="799" spans="3:4" ht="14.25" customHeight="1" x14ac:dyDescent="0.25">
      <c r="C799" s="24"/>
      <c r="D799" s="24"/>
    </row>
    <row r="800" spans="3:4" ht="14.25" customHeight="1" x14ac:dyDescent="0.25">
      <c r="C800" s="24"/>
      <c r="D800" s="24"/>
    </row>
    <row r="801" spans="3:4" ht="14.25" customHeight="1" x14ac:dyDescent="0.25">
      <c r="C801" s="24"/>
      <c r="D801" s="24"/>
    </row>
    <row r="802" spans="3:4" ht="14.25" customHeight="1" x14ac:dyDescent="0.25">
      <c r="C802" s="24"/>
      <c r="D802" s="24"/>
    </row>
    <row r="803" spans="3:4" ht="14.25" customHeight="1" x14ac:dyDescent="0.25">
      <c r="C803" s="24"/>
      <c r="D803" s="24"/>
    </row>
    <row r="804" spans="3:4" ht="14.25" customHeight="1" x14ac:dyDescent="0.25">
      <c r="C804" s="24"/>
      <c r="D804" s="24"/>
    </row>
    <row r="805" spans="3:4" ht="14.25" customHeight="1" x14ac:dyDescent="0.25">
      <c r="C805" s="24"/>
      <c r="D805" s="24"/>
    </row>
    <row r="806" spans="3:4" ht="14.25" customHeight="1" x14ac:dyDescent="0.25">
      <c r="C806" s="24"/>
      <c r="D806" s="24"/>
    </row>
    <row r="807" spans="3:4" ht="14.25" customHeight="1" x14ac:dyDescent="0.25">
      <c r="C807" s="24"/>
      <c r="D807" s="24"/>
    </row>
    <row r="808" spans="3:4" ht="14.25" customHeight="1" x14ac:dyDescent="0.25">
      <c r="C808" s="24"/>
      <c r="D808" s="24"/>
    </row>
    <row r="809" spans="3:4" ht="14.25" customHeight="1" x14ac:dyDescent="0.25">
      <c r="C809" s="24"/>
      <c r="D809" s="24"/>
    </row>
    <row r="810" spans="3:4" ht="14.25" customHeight="1" x14ac:dyDescent="0.25">
      <c r="C810" s="24"/>
      <c r="D810" s="24"/>
    </row>
    <row r="811" spans="3:4" ht="14.25" customHeight="1" x14ac:dyDescent="0.25">
      <c r="C811" s="24"/>
      <c r="D811" s="24"/>
    </row>
    <row r="812" spans="3:4" ht="14.25" customHeight="1" x14ac:dyDescent="0.25">
      <c r="C812" s="24"/>
      <c r="D812" s="24"/>
    </row>
    <row r="813" spans="3:4" ht="14.25" customHeight="1" x14ac:dyDescent="0.25">
      <c r="C813" s="24"/>
      <c r="D813" s="24"/>
    </row>
    <row r="814" spans="3:4" ht="14.25" customHeight="1" x14ac:dyDescent="0.25">
      <c r="C814" s="24"/>
      <c r="D814" s="24"/>
    </row>
    <row r="815" spans="3:4" ht="14.25" customHeight="1" x14ac:dyDescent="0.25">
      <c r="C815" s="24"/>
      <c r="D815" s="24"/>
    </row>
    <row r="816" spans="3:4" ht="14.25" customHeight="1" x14ac:dyDescent="0.25">
      <c r="C816" s="24"/>
      <c r="D816" s="24"/>
    </row>
    <row r="817" spans="3:4" ht="14.25" customHeight="1" x14ac:dyDescent="0.25">
      <c r="C817" s="24"/>
      <c r="D817" s="24"/>
    </row>
    <row r="818" spans="3:4" ht="14.25" customHeight="1" x14ac:dyDescent="0.25">
      <c r="C818" s="24"/>
      <c r="D818" s="24"/>
    </row>
    <row r="819" spans="3:4" ht="14.25" customHeight="1" x14ac:dyDescent="0.25">
      <c r="C819" s="24"/>
      <c r="D819" s="24"/>
    </row>
    <row r="820" spans="3:4" ht="14.25" customHeight="1" x14ac:dyDescent="0.25">
      <c r="C820" s="24"/>
      <c r="D820" s="24"/>
    </row>
    <row r="821" spans="3:4" ht="14.25" customHeight="1" x14ac:dyDescent="0.25">
      <c r="C821" s="24"/>
      <c r="D821" s="24"/>
    </row>
    <row r="822" spans="3:4" ht="14.25" customHeight="1" x14ac:dyDescent="0.25">
      <c r="C822" s="24"/>
      <c r="D822" s="24"/>
    </row>
    <row r="823" spans="3:4" ht="14.25" customHeight="1" x14ac:dyDescent="0.25">
      <c r="C823" s="24"/>
      <c r="D823" s="24"/>
    </row>
    <row r="824" spans="3:4" ht="14.25" customHeight="1" x14ac:dyDescent="0.25">
      <c r="C824" s="24"/>
      <c r="D824" s="24"/>
    </row>
    <row r="825" spans="3:4" ht="14.25" customHeight="1" x14ac:dyDescent="0.25">
      <c r="C825" s="24"/>
      <c r="D825" s="24"/>
    </row>
    <row r="826" spans="3:4" ht="14.25" customHeight="1" x14ac:dyDescent="0.25">
      <c r="C826" s="24"/>
      <c r="D826" s="24"/>
    </row>
    <row r="827" spans="3:4" ht="14.25" customHeight="1" x14ac:dyDescent="0.25">
      <c r="C827" s="24"/>
      <c r="D827" s="24"/>
    </row>
    <row r="828" spans="3:4" ht="14.25" customHeight="1" x14ac:dyDescent="0.25">
      <c r="C828" s="24"/>
      <c r="D828" s="24"/>
    </row>
    <row r="829" spans="3:4" ht="14.25" customHeight="1" x14ac:dyDescent="0.25">
      <c r="C829" s="24"/>
      <c r="D829" s="24"/>
    </row>
    <row r="830" spans="3:4" ht="14.25" customHeight="1" x14ac:dyDescent="0.25">
      <c r="C830" s="24"/>
      <c r="D830" s="24"/>
    </row>
    <row r="831" spans="3:4" ht="14.25" customHeight="1" x14ac:dyDescent="0.25">
      <c r="C831" s="24"/>
      <c r="D831" s="24"/>
    </row>
    <row r="832" spans="3:4" ht="14.25" customHeight="1" x14ac:dyDescent="0.25">
      <c r="C832" s="24"/>
      <c r="D832" s="24"/>
    </row>
    <row r="833" spans="3:4" ht="14.25" customHeight="1" x14ac:dyDescent="0.25">
      <c r="C833" s="24"/>
      <c r="D833" s="24"/>
    </row>
    <row r="834" spans="3:4" ht="14.25" customHeight="1" x14ac:dyDescent="0.25">
      <c r="C834" s="24"/>
      <c r="D834" s="24"/>
    </row>
    <row r="835" spans="3:4" ht="14.25" customHeight="1" x14ac:dyDescent="0.25">
      <c r="C835" s="24"/>
      <c r="D835" s="24"/>
    </row>
    <row r="836" spans="3:4" ht="14.25" customHeight="1" x14ac:dyDescent="0.25">
      <c r="C836" s="24"/>
      <c r="D836" s="24"/>
    </row>
    <row r="837" spans="3:4" ht="14.25" customHeight="1" x14ac:dyDescent="0.25">
      <c r="C837" s="24"/>
      <c r="D837" s="24"/>
    </row>
    <row r="838" spans="3:4" ht="14.25" customHeight="1" x14ac:dyDescent="0.25">
      <c r="C838" s="24"/>
      <c r="D838" s="24"/>
    </row>
    <row r="839" spans="3:4" ht="14.25" customHeight="1" x14ac:dyDescent="0.25">
      <c r="C839" s="24"/>
      <c r="D839" s="24"/>
    </row>
    <row r="840" spans="3:4" ht="14.25" customHeight="1" x14ac:dyDescent="0.25">
      <c r="C840" s="24"/>
      <c r="D840" s="24"/>
    </row>
    <row r="841" spans="3:4" ht="14.25" customHeight="1" x14ac:dyDescent="0.25">
      <c r="C841" s="24"/>
      <c r="D841" s="24"/>
    </row>
    <row r="842" spans="3:4" ht="14.25" customHeight="1" x14ac:dyDescent="0.25">
      <c r="C842" s="24"/>
      <c r="D842" s="24"/>
    </row>
    <row r="843" spans="3:4" ht="14.25" customHeight="1" x14ac:dyDescent="0.25">
      <c r="C843" s="24"/>
      <c r="D843" s="24"/>
    </row>
    <row r="844" spans="3:4" ht="14.25" customHeight="1" x14ac:dyDescent="0.25">
      <c r="C844" s="24"/>
      <c r="D844" s="24"/>
    </row>
    <row r="845" spans="3:4" ht="14.25" customHeight="1" x14ac:dyDescent="0.25">
      <c r="C845" s="24"/>
      <c r="D845" s="24"/>
    </row>
    <row r="846" spans="3:4" ht="14.25" customHeight="1" x14ac:dyDescent="0.25">
      <c r="C846" s="24"/>
      <c r="D846" s="24"/>
    </row>
    <row r="847" spans="3:4" ht="14.25" customHeight="1" x14ac:dyDescent="0.25">
      <c r="C847" s="24"/>
      <c r="D847" s="24"/>
    </row>
    <row r="848" spans="3:4" ht="14.25" customHeight="1" x14ac:dyDescent="0.25">
      <c r="C848" s="24"/>
      <c r="D848" s="24"/>
    </row>
    <row r="849" spans="3:4" ht="14.25" customHeight="1" x14ac:dyDescent="0.25">
      <c r="C849" s="24"/>
      <c r="D849" s="24"/>
    </row>
    <row r="850" spans="3:4" ht="14.25" customHeight="1" x14ac:dyDescent="0.25">
      <c r="C850" s="24"/>
      <c r="D850" s="24"/>
    </row>
    <row r="851" spans="3:4" ht="14.25" customHeight="1" x14ac:dyDescent="0.25">
      <c r="C851" s="24"/>
      <c r="D851" s="24"/>
    </row>
    <row r="852" spans="3:4" ht="14.25" customHeight="1" x14ac:dyDescent="0.25">
      <c r="C852" s="24"/>
      <c r="D852" s="24"/>
    </row>
    <row r="853" spans="3:4" ht="14.25" customHeight="1" x14ac:dyDescent="0.25">
      <c r="C853" s="24"/>
      <c r="D853" s="24"/>
    </row>
    <row r="854" spans="3:4" ht="14.25" customHeight="1" x14ac:dyDescent="0.25">
      <c r="C854" s="24"/>
      <c r="D854" s="24"/>
    </row>
    <row r="855" spans="3:4" ht="14.25" customHeight="1" x14ac:dyDescent="0.25">
      <c r="C855" s="24"/>
      <c r="D855" s="24"/>
    </row>
    <row r="856" spans="3:4" ht="14.25" customHeight="1" x14ac:dyDescent="0.25">
      <c r="C856" s="24"/>
      <c r="D856" s="24"/>
    </row>
    <row r="857" spans="3:4" ht="14.25" customHeight="1" x14ac:dyDescent="0.25">
      <c r="C857" s="24"/>
      <c r="D857" s="24"/>
    </row>
    <row r="858" spans="3:4" ht="14.25" customHeight="1" x14ac:dyDescent="0.25">
      <c r="C858" s="24"/>
      <c r="D858" s="24"/>
    </row>
    <row r="859" spans="3:4" ht="14.25" customHeight="1" x14ac:dyDescent="0.25">
      <c r="C859" s="24"/>
      <c r="D859" s="24"/>
    </row>
    <row r="860" spans="3:4" ht="14.25" customHeight="1" x14ac:dyDescent="0.25">
      <c r="C860" s="24"/>
      <c r="D860" s="24"/>
    </row>
    <row r="861" spans="3:4" ht="14.25" customHeight="1" x14ac:dyDescent="0.25">
      <c r="C861" s="24"/>
      <c r="D861" s="24"/>
    </row>
    <row r="862" spans="3:4" ht="14.25" customHeight="1" x14ac:dyDescent="0.25">
      <c r="C862" s="24"/>
      <c r="D862" s="24"/>
    </row>
    <row r="863" spans="3:4" ht="14.25" customHeight="1" x14ac:dyDescent="0.25">
      <c r="C863" s="24"/>
      <c r="D863" s="24"/>
    </row>
    <row r="864" spans="3:4" ht="14.25" customHeight="1" x14ac:dyDescent="0.25">
      <c r="C864" s="24"/>
      <c r="D864" s="24"/>
    </row>
    <row r="865" spans="3:4" ht="14.25" customHeight="1" x14ac:dyDescent="0.25">
      <c r="C865" s="24"/>
      <c r="D865" s="24"/>
    </row>
    <row r="866" spans="3:4" ht="14.25" customHeight="1" x14ac:dyDescent="0.25">
      <c r="C866" s="24"/>
      <c r="D866" s="24"/>
    </row>
    <row r="867" spans="3:4" ht="14.25" customHeight="1" x14ac:dyDescent="0.25">
      <c r="C867" s="24"/>
      <c r="D867" s="24"/>
    </row>
    <row r="868" spans="3:4" ht="14.25" customHeight="1" x14ac:dyDescent="0.25">
      <c r="C868" s="24"/>
      <c r="D868" s="24"/>
    </row>
    <row r="869" spans="3:4" ht="14.25" customHeight="1" x14ac:dyDescent="0.25">
      <c r="C869" s="24"/>
      <c r="D869" s="24"/>
    </row>
    <row r="870" spans="3:4" ht="14.25" customHeight="1" x14ac:dyDescent="0.25">
      <c r="C870" s="24"/>
      <c r="D870" s="24"/>
    </row>
    <row r="871" spans="3:4" ht="14.25" customHeight="1" x14ac:dyDescent="0.25">
      <c r="C871" s="24"/>
      <c r="D871" s="24"/>
    </row>
    <row r="872" spans="3:4" ht="14.25" customHeight="1" x14ac:dyDescent="0.25">
      <c r="C872" s="24"/>
      <c r="D872" s="24"/>
    </row>
    <row r="873" spans="3:4" ht="14.25" customHeight="1" x14ac:dyDescent="0.25">
      <c r="C873" s="24"/>
      <c r="D873" s="24"/>
    </row>
    <row r="874" spans="3:4" ht="14.25" customHeight="1" x14ac:dyDescent="0.25">
      <c r="C874" s="24"/>
      <c r="D874" s="24"/>
    </row>
    <row r="875" spans="3:4" ht="14.25" customHeight="1" x14ac:dyDescent="0.25">
      <c r="C875" s="24"/>
      <c r="D875" s="24"/>
    </row>
    <row r="876" spans="3:4" ht="14.25" customHeight="1" x14ac:dyDescent="0.25">
      <c r="C876" s="24"/>
      <c r="D876" s="24"/>
    </row>
    <row r="877" spans="3:4" ht="14.25" customHeight="1" x14ac:dyDescent="0.25">
      <c r="C877" s="24"/>
      <c r="D877" s="24"/>
    </row>
    <row r="878" spans="3:4" ht="14.25" customHeight="1" x14ac:dyDescent="0.25">
      <c r="C878" s="24"/>
      <c r="D878" s="24"/>
    </row>
    <row r="879" spans="3:4" ht="14.25" customHeight="1" x14ac:dyDescent="0.25">
      <c r="C879" s="24"/>
      <c r="D879" s="24"/>
    </row>
    <row r="880" spans="3:4" ht="14.25" customHeight="1" x14ac:dyDescent="0.25">
      <c r="C880" s="24"/>
      <c r="D880" s="24"/>
    </row>
    <row r="881" spans="3:4" ht="14.25" customHeight="1" x14ac:dyDescent="0.25">
      <c r="C881" s="24"/>
      <c r="D881" s="24"/>
    </row>
    <row r="882" spans="3:4" ht="14.25" customHeight="1" x14ac:dyDescent="0.25">
      <c r="C882" s="24"/>
      <c r="D882" s="24"/>
    </row>
    <row r="883" spans="3:4" ht="14.25" customHeight="1" x14ac:dyDescent="0.25">
      <c r="C883" s="24"/>
      <c r="D883" s="24"/>
    </row>
    <row r="884" spans="3:4" ht="14.25" customHeight="1" x14ac:dyDescent="0.25">
      <c r="C884" s="24"/>
      <c r="D884" s="24"/>
    </row>
    <row r="885" spans="3:4" ht="14.25" customHeight="1" x14ac:dyDescent="0.25">
      <c r="C885" s="24"/>
      <c r="D885" s="24"/>
    </row>
    <row r="886" spans="3:4" ht="14.25" customHeight="1" x14ac:dyDescent="0.25">
      <c r="C886" s="24"/>
      <c r="D886" s="24"/>
    </row>
    <row r="887" spans="3:4" ht="14.25" customHeight="1" x14ac:dyDescent="0.25">
      <c r="C887" s="24"/>
      <c r="D887" s="24"/>
    </row>
    <row r="888" spans="3:4" ht="14.25" customHeight="1" x14ac:dyDescent="0.25">
      <c r="C888" s="24"/>
      <c r="D888" s="24"/>
    </row>
    <row r="889" spans="3:4" ht="14.25" customHeight="1" x14ac:dyDescent="0.25">
      <c r="C889" s="24"/>
      <c r="D889" s="24"/>
    </row>
    <row r="890" spans="3:4" ht="14.25" customHeight="1" x14ac:dyDescent="0.25">
      <c r="C890" s="24"/>
      <c r="D890" s="24"/>
    </row>
    <row r="891" spans="3:4" ht="14.25" customHeight="1" x14ac:dyDescent="0.25">
      <c r="C891" s="24"/>
      <c r="D891" s="24"/>
    </row>
    <row r="892" spans="3:4" ht="14.25" customHeight="1" x14ac:dyDescent="0.25">
      <c r="C892" s="24"/>
      <c r="D892" s="24"/>
    </row>
    <row r="893" spans="3:4" ht="14.25" customHeight="1" x14ac:dyDescent="0.25">
      <c r="C893" s="24"/>
      <c r="D893" s="24"/>
    </row>
    <row r="894" spans="3:4" ht="14.25" customHeight="1" x14ac:dyDescent="0.25">
      <c r="C894" s="24"/>
      <c r="D894" s="24"/>
    </row>
    <row r="895" spans="3:4" ht="14.25" customHeight="1" x14ac:dyDescent="0.25">
      <c r="C895" s="24"/>
      <c r="D895" s="24"/>
    </row>
    <row r="896" spans="3:4" ht="14.25" customHeight="1" x14ac:dyDescent="0.25">
      <c r="C896" s="24"/>
      <c r="D896" s="24"/>
    </row>
    <row r="897" spans="3:4" ht="14.25" customHeight="1" x14ac:dyDescent="0.25">
      <c r="C897" s="24"/>
      <c r="D897" s="24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89"/>
  <sheetViews>
    <sheetView workbookViewId="0">
      <selection activeCell="F64" sqref="F64"/>
    </sheetView>
  </sheetViews>
  <sheetFormatPr defaultColWidth="14.42578125" defaultRowHeight="15" customHeight="1" x14ac:dyDescent="0.25"/>
  <cols>
    <col min="1" max="1" width="66.42578125" customWidth="1"/>
    <col min="2" max="2" width="22.42578125" customWidth="1"/>
    <col min="3" max="3" width="16.85546875" customWidth="1"/>
    <col min="4" max="4" width="26.5703125" customWidth="1"/>
    <col min="5" max="5" width="13.7109375" customWidth="1"/>
    <col min="6" max="6" width="9.140625" customWidth="1"/>
    <col min="7" max="7" width="11.5703125" customWidth="1"/>
    <col min="8" max="10" width="9.140625" customWidth="1"/>
    <col min="11" max="11" width="10.85546875" customWidth="1"/>
    <col min="12" max="23" width="9.140625" customWidth="1"/>
  </cols>
  <sheetData>
    <row r="1" spans="1:23" ht="16.5" customHeight="1" x14ac:dyDescent="0.6">
      <c r="A1" s="75" t="s">
        <v>0</v>
      </c>
      <c r="B1" s="77" t="s">
        <v>60</v>
      </c>
      <c r="C1" s="78"/>
      <c r="D1" s="25" t="s">
        <v>59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9.5" customHeight="1" x14ac:dyDescent="0.6">
      <c r="A2" s="76"/>
      <c r="B2" s="20" t="s">
        <v>21</v>
      </c>
      <c r="C2" s="2" t="s">
        <v>3</v>
      </c>
      <c r="D2" s="27" t="s">
        <v>3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ht="19.5" customHeight="1" x14ac:dyDescent="0.6">
      <c r="A3" s="12" t="str">
        <f>ORÇAMENTO_EXECUTIVO!A2</f>
        <v>GERENCIAMENTO TÉCNICO E ADMINISTRATIVO</v>
      </c>
      <c r="B3" s="13">
        <f>ORÇAMENTO_EXECUTIVO!B2</f>
        <v>3441809.4857795984</v>
      </c>
      <c r="C3" s="30">
        <f>B3/ORÇAMENTO_EXECUTIVO!$H$2</f>
        <v>658.67791809887569</v>
      </c>
      <c r="D3" s="15" t="str">
        <f>FIXED(CÁLCULO_MÉDIAS!T8,2,FALSE)&amp;" "&amp;"-"&amp;FIXED(CÁLCULO_MÉDIAS!U8,2,FALSE)</f>
        <v>450,00 -570,00</v>
      </c>
      <c r="E3" s="74" t="s">
        <v>58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19.5" customHeight="1" x14ac:dyDescent="0.6">
      <c r="A4" s="4" t="str">
        <f>ORÇAMENTO_EXECUTIVO!A3</f>
        <v>MOVIMENTAÇÃO DE TERRA</v>
      </c>
      <c r="B4" s="5">
        <f>ORÇAMENTO_EXECUTIVO!B3</f>
        <v>199250.14117370688</v>
      </c>
      <c r="C4" s="28">
        <f>B4/ORÇAMENTO_EXECUTIVO!$H$2</f>
        <v>38.13158999980994</v>
      </c>
      <c r="D4" s="29" t="str">
        <f>FIXED(CÁLCULO_MÉDIAS!T9,2,FALSE)&amp;" "&amp;"-"&amp;FIXED(CÁLCULO_MÉDIAS!U9,2,FALSE)</f>
        <v>35,00 -65,00</v>
      </c>
      <c r="E4" s="73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ht="19.5" customHeight="1" x14ac:dyDescent="0.6">
      <c r="A5" s="12" t="str">
        <f>ORÇAMENTO_EXECUTIVO!A5</f>
        <v>INFRAESTRUTURA</v>
      </c>
      <c r="B5" s="13">
        <f>ORÇAMENTO_EXECUTIVO!B5+ORÇAMENTO_EXECUTIVO!B4</f>
        <v>2209479.4024166651</v>
      </c>
      <c r="C5" s="30">
        <f>B5/ORÇAMENTO_EXECUTIVO!$H$2</f>
        <v>422.84016558124847</v>
      </c>
      <c r="D5" s="15" t="str">
        <f>FIXED(CÁLCULO_MÉDIAS!T10,2,FALSE)&amp;" "&amp;"-"&amp;FIXED(CÁLCULO_MÉDIAS!U10,2,FALSE)</f>
        <v>350,00 -460,00</v>
      </c>
      <c r="E5" s="73"/>
      <c r="F5" s="26"/>
      <c r="G5" s="26"/>
      <c r="H5" s="26"/>
      <c r="I5" s="26"/>
      <c r="J5" s="26"/>
      <c r="K5" s="26"/>
      <c r="L5" s="26"/>
      <c r="M5" s="26"/>
      <c r="N5" s="26"/>
      <c r="O5" s="31"/>
      <c r="P5" s="31"/>
      <c r="Q5" s="31"/>
      <c r="R5" s="31"/>
      <c r="S5" s="31"/>
      <c r="T5" s="31"/>
      <c r="U5" s="31"/>
      <c r="V5" s="31"/>
      <c r="W5" s="31"/>
    </row>
    <row r="6" spans="1:23" ht="19.5" customHeight="1" x14ac:dyDescent="0.6">
      <c r="A6" s="4" t="str">
        <f>ORÇAMENTO_EXECUTIVO!A6</f>
        <v>SUPRAESTRUTURA</v>
      </c>
      <c r="B6" s="5">
        <f>ORÇAMENTO_EXECUTIVO!B6</f>
        <v>4169502.5243946658</v>
      </c>
      <c r="C6" s="28">
        <f>B6/ORÇAMENTO_EXECUTIVO!$H$2</f>
        <v>797.94051751653308</v>
      </c>
      <c r="D6" s="29" t="str">
        <f>FIXED(CÁLCULO_MÉDIAS!T11,2,FALSE)&amp;" "&amp;"-"&amp;FIXED(CÁLCULO_MÉDIAS!U11,2,FALSE)</f>
        <v>660,00 -760,00</v>
      </c>
      <c r="E6" s="73" t="s">
        <v>65</v>
      </c>
      <c r="F6" s="26"/>
      <c r="G6" s="26"/>
      <c r="H6" s="26"/>
      <c r="I6" s="26"/>
      <c r="J6" s="26"/>
      <c r="K6" s="26"/>
      <c r="L6" s="26"/>
      <c r="M6" s="26"/>
      <c r="N6" s="26"/>
      <c r="O6" s="31"/>
      <c r="P6" s="31"/>
      <c r="Q6" s="31"/>
      <c r="R6" s="31"/>
      <c r="S6" s="31"/>
      <c r="T6" s="31"/>
      <c r="U6" s="31"/>
      <c r="V6" s="31"/>
      <c r="W6" s="31"/>
    </row>
    <row r="7" spans="1:23" ht="19.5" customHeight="1" x14ac:dyDescent="0.6">
      <c r="A7" s="32" t="s">
        <v>19</v>
      </c>
      <c r="B7" s="33">
        <f>SUM(B3:B6)</f>
        <v>10020041.553764638</v>
      </c>
      <c r="C7" s="34">
        <f>SUM(C3:C6)</f>
        <v>1917.590191196467</v>
      </c>
      <c r="D7" s="35" t="str">
        <f>FIXED(CÁLCULO_MÉDIAS!T24,2,FALSE)&amp;" "&amp;"-"&amp;FIXED(CÁLCULO_MÉDIAS!U24,2,FALSE)</f>
        <v>3.080,00 -3.900,00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31"/>
      <c r="P7" s="31"/>
      <c r="Q7" s="31"/>
      <c r="R7" s="31"/>
      <c r="S7" s="31"/>
      <c r="T7" s="31"/>
      <c r="U7" s="31"/>
      <c r="V7" s="31"/>
      <c r="W7" s="31"/>
    </row>
    <row r="8" spans="1:23" ht="21.75" customHeight="1" x14ac:dyDescent="0.6">
      <c r="A8" s="26"/>
      <c r="B8" s="36"/>
      <c r="C8" s="26"/>
      <c r="D8" s="37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ht="21.75" customHeight="1" x14ac:dyDescent="0.6">
      <c r="A9" s="26"/>
      <c r="B9" s="36"/>
      <c r="C9" s="26"/>
      <c r="D9" s="37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ht="21.75" customHeight="1" x14ac:dyDescent="0.6">
      <c r="A10" s="26"/>
      <c r="B10" s="36"/>
      <c r="C10" s="26"/>
      <c r="D10" s="37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spans="1:23" ht="21.75" hidden="1" customHeight="1" x14ac:dyDescent="0.6">
      <c r="A11" s="26"/>
      <c r="B11" s="36">
        <v>2007.57</v>
      </c>
      <c r="C11" s="26"/>
      <c r="D11" s="37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ht="21.75" hidden="1" customHeight="1" x14ac:dyDescent="0.6">
      <c r="A12" s="26"/>
      <c r="B12" s="36">
        <v>2461.35</v>
      </c>
      <c r="C12" s="26"/>
      <c r="D12" s="37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ht="21.75" hidden="1" customHeight="1" x14ac:dyDescent="0.6">
      <c r="A13" s="26"/>
      <c r="B13" s="36">
        <f>B12/B11</f>
        <v>1.2260344595705255</v>
      </c>
      <c r="C13" s="26"/>
      <c r="D13" s="37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ht="21.75" hidden="1" customHeight="1" x14ac:dyDescent="0.6">
      <c r="A14" s="26"/>
      <c r="B14" s="36"/>
      <c r="C14" s="26"/>
      <c r="D14" s="37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ht="21.75" hidden="1" customHeight="1" x14ac:dyDescent="0.6">
      <c r="A15" s="26"/>
      <c r="B15" s="36"/>
      <c r="C15" s="26"/>
      <c r="D15" s="3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ht="21.75" hidden="1" customHeight="1" x14ac:dyDescent="0.6">
      <c r="A16" s="26"/>
      <c r="B16" s="36"/>
      <c r="C16" s="26">
        <v>1.1023000000000001</v>
      </c>
      <c r="D16" s="37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ht="21.75" hidden="1" customHeight="1" x14ac:dyDescent="0.6">
      <c r="A17" s="26"/>
      <c r="B17" s="36"/>
      <c r="C17" s="26"/>
      <c r="D17" s="37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ht="21.75" hidden="1" customHeight="1" x14ac:dyDescent="0.6">
      <c r="A18" s="38" t="s">
        <v>22</v>
      </c>
      <c r="B18" s="36">
        <v>900</v>
      </c>
      <c r="C18" s="36"/>
      <c r="D18" s="3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ht="21.75" hidden="1" customHeight="1" x14ac:dyDescent="0.6">
      <c r="A19" s="39" t="s">
        <v>23</v>
      </c>
      <c r="B19" s="36">
        <v>25</v>
      </c>
      <c r="C19" s="36"/>
      <c r="D19" s="3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ht="21.75" hidden="1" customHeight="1" x14ac:dyDescent="0.6">
      <c r="A20" s="38" t="s">
        <v>24</v>
      </c>
      <c r="B20" s="36">
        <v>15</v>
      </c>
      <c r="C20" s="36"/>
      <c r="D20" s="3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ht="21.75" hidden="1" customHeight="1" x14ac:dyDescent="0.6">
      <c r="A21" s="39" t="s">
        <v>25</v>
      </c>
      <c r="B21" s="36">
        <v>150</v>
      </c>
      <c r="C21" s="36"/>
      <c r="D21" s="3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ht="21.75" hidden="1" customHeight="1" x14ac:dyDescent="0.6">
      <c r="A22" s="38" t="s">
        <v>26</v>
      </c>
      <c r="B22" s="36">
        <v>440</v>
      </c>
      <c r="C22" s="36"/>
      <c r="D22" s="3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ht="21.75" hidden="1" customHeight="1" x14ac:dyDescent="0.6">
      <c r="A23" s="39" t="s">
        <v>27</v>
      </c>
      <c r="B23" s="36"/>
      <c r="C23" s="36"/>
      <c r="D23" s="3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ht="21.75" hidden="1" customHeight="1" x14ac:dyDescent="0.6">
      <c r="A24" s="38" t="s">
        <v>28</v>
      </c>
      <c r="B24" s="36">
        <v>55</v>
      </c>
      <c r="C24" s="36"/>
      <c r="D24" s="3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ht="21.75" hidden="1" customHeight="1" x14ac:dyDescent="0.6">
      <c r="A25" s="39" t="s">
        <v>29</v>
      </c>
      <c r="B25" s="36">
        <v>170</v>
      </c>
      <c r="C25" s="36"/>
      <c r="D25" s="3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ht="21.75" hidden="1" customHeight="1" x14ac:dyDescent="0.6">
      <c r="A26" s="38" t="s">
        <v>30</v>
      </c>
      <c r="B26" s="36">
        <v>165</v>
      </c>
      <c r="C26" s="36"/>
      <c r="D26" s="3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ht="21.75" hidden="1" customHeight="1" x14ac:dyDescent="0.6">
      <c r="A27" s="39" t="s">
        <v>31</v>
      </c>
      <c r="B27" s="36">
        <v>40</v>
      </c>
      <c r="C27" s="36"/>
      <c r="D27" s="3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ht="21.75" hidden="1" customHeight="1" x14ac:dyDescent="0.6">
      <c r="A28" s="38" t="s">
        <v>32</v>
      </c>
      <c r="B28" s="36">
        <v>55</v>
      </c>
      <c r="C28" s="36"/>
      <c r="D28" s="3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ht="21.75" hidden="1" customHeight="1" x14ac:dyDescent="0.6">
      <c r="A29" s="39" t="s">
        <v>33</v>
      </c>
      <c r="B29" s="36">
        <v>35</v>
      </c>
      <c r="C29" s="36"/>
      <c r="D29" s="3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ht="21.75" hidden="1" customHeight="1" x14ac:dyDescent="0.6">
      <c r="A30" s="38" t="s">
        <v>34</v>
      </c>
      <c r="B30" s="36">
        <v>130</v>
      </c>
      <c r="C30" s="36"/>
      <c r="D30" s="3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21.75" hidden="1" customHeight="1" x14ac:dyDescent="0.6">
      <c r="A31" s="39" t="s">
        <v>35</v>
      </c>
      <c r="B31" s="36">
        <v>35</v>
      </c>
      <c r="C31" s="36"/>
      <c r="D31" s="3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ht="21.75" hidden="1" customHeight="1" x14ac:dyDescent="0.6">
      <c r="A32" s="38" t="s">
        <v>36</v>
      </c>
      <c r="B32" s="36">
        <v>35</v>
      </c>
      <c r="C32" s="36"/>
      <c r="D32" s="3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1:23" ht="21.75" hidden="1" customHeight="1" x14ac:dyDescent="0.6">
      <c r="A33" s="39" t="s">
        <v>37</v>
      </c>
      <c r="B33" s="36">
        <v>430</v>
      </c>
      <c r="C33" s="36"/>
      <c r="D33" s="3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1:23" ht="21.75" hidden="1" customHeight="1" x14ac:dyDescent="0.6">
      <c r="A34" s="38" t="s">
        <v>33</v>
      </c>
      <c r="B34" s="36">
        <v>35</v>
      </c>
      <c r="C34" s="36"/>
      <c r="D34" s="3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1:23" ht="21.75" hidden="1" customHeight="1" x14ac:dyDescent="0.6">
      <c r="A35" s="39" t="s">
        <v>38</v>
      </c>
      <c r="B35" s="36">
        <v>150</v>
      </c>
      <c r="C35" s="36"/>
      <c r="D35" s="3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1:23" ht="21.75" hidden="1" customHeight="1" x14ac:dyDescent="0.6">
      <c r="A36" s="26"/>
      <c r="B36" s="36"/>
      <c r="C36" s="26"/>
      <c r="D36" s="37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1:23" ht="21.75" hidden="1" customHeight="1" x14ac:dyDescent="0.6">
      <c r="A37" s="26"/>
      <c r="B37" s="36"/>
      <c r="C37" s="26"/>
      <c r="D37" s="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1:23" ht="21.75" hidden="1" customHeight="1" x14ac:dyDescent="0.6">
      <c r="A38" s="26"/>
      <c r="B38" s="36"/>
      <c r="C38" s="26"/>
      <c r="D38" s="37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1:23" ht="21.75" hidden="1" customHeight="1" x14ac:dyDescent="0.6">
      <c r="A39" s="26"/>
      <c r="B39" s="36"/>
      <c r="C39" s="26"/>
      <c r="D39" s="37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ht="21.75" hidden="1" customHeight="1" x14ac:dyDescent="0.6">
      <c r="A40" s="26"/>
      <c r="B40" s="36"/>
      <c r="C40" s="26"/>
      <c r="D40" s="37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1:23" ht="21.75" hidden="1" customHeight="1" x14ac:dyDescent="0.6">
      <c r="A41" s="26"/>
      <c r="B41" s="36"/>
      <c r="C41" s="26"/>
      <c r="D41" s="37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ht="21.75" hidden="1" customHeight="1" x14ac:dyDescent="0.6">
      <c r="A42" s="26"/>
      <c r="B42" s="36"/>
      <c r="C42" s="26"/>
      <c r="D42" s="37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1:23" ht="21.75" hidden="1" customHeight="1" x14ac:dyDescent="0.6">
      <c r="A43" s="26"/>
      <c r="B43" s="36"/>
      <c r="C43" s="26"/>
      <c r="D43" s="37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1:23" ht="21.75" hidden="1" customHeight="1" x14ac:dyDescent="0.6">
      <c r="A44" s="26"/>
      <c r="B44" s="36"/>
      <c r="C44" s="26"/>
      <c r="D44" s="37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1:23" ht="21.75" hidden="1" customHeight="1" x14ac:dyDescent="0.6">
      <c r="A45" s="26"/>
      <c r="B45" s="36"/>
      <c r="C45" s="26"/>
      <c r="D45" s="37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1:23" ht="21.75" hidden="1" customHeight="1" x14ac:dyDescent="0.6">
      <c r="A46" s="26"/>
      <c r="B46" s="36"/>
      <c r="C46" s="26"/>
      <c r="D46" s="37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1:23" ht="21.75" hidden="1" customHeight="1" x14ac:dyDescent="0.6">
      <c r="A47" s="26"/>
      <c r="B47" s="36"/>
      <c r="C47" s="26"/>
      <c r="D47" s="37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1:23" ht="21.75" hidden="1" customHeight="1" x14ac:dyDescent="0.6">
      <c r="A48" s="26"/>
      <c r="B48" s="36"/>
      <c r="C48" s="26"/>
      <c r="D48" s="37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1:23" ht="21.75" hidden="1" customHeight="1" x14ac:dyDescent="0.6">
      <c r="A49" s="26"/>
      <c r="B49" s="36"/>
      <c r="C49" s="26"/>
      <c r="D49" s="37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1:23" ht="21.75" hidden="1" customHeight="1" x14ac:dyDescent="0.6">
      <c r="A50" s="26"/>
      <c r="B50" s="36"/>
      <c r="C50" s="26"/>
      <c r="D50" s="37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1:23" ht="21.75" hidden="1" customHeight="1" x14ac:dyDescent="0.6">
      <c r="A51" s="26"/>
      <c r="B51" s="36"/>
      <c r="C51" s="26"/>
      <c r="D51" s="37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1:23" ht="21.75" hidden="1" customHeight="1" x14ac:dyDescent="0.6">
      <c r="A52" s="26"/>
      <c r="B52" s="36"/>
      <c r="C52" s="26"/>
      <c r="D52" s="37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1:23" ht="21.75" hidden="1" customHeight="1" x14ac:dyDescent="0.6">
      <c r="A53" s="26"/>
      <c r="B53" s="36"/>
      <c r="C53" s="26"/>
      <c r="D53" s="37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1:23" ht="21.75" hidden="1" customHeight="1" x14ac:dyDescent="0.6">
      <c r="A54" s="26"/>
      <c r="B54" s="36"/>
      <c r="C54" s="26"/>
      <c r="D54" s="37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1:23" ht="21.75" hidden="1" customHeight="1" x14ac:dyDescent="0.6">
      <c r="A55" s="26"/>
      <c r="B55" s="36"/>
      <c r="C55" s="26"/>
      <c r="D55" s="37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spans="1:23" ht="21.75" hidden="1" customHeight="1" x14ac:dyDescent="0.6">
      <c r="A56" s="26"/>
      <c r="B56" s="36"/>
      <c r="C56" s="26"/>
      <c r="D56" s="37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1:23" ht="21.75" hidden="1" customHeight="1" x14ac:dyDescent="0.6">
      <c r="A57" s="26"/>
      <c r="B57" s="36"/>
      <c r="C57" s="26"/>
      <c r="D57" s="37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21.75" hidden="1" customHeight="1" x14ac:dyDescent="0.6">
      <c r="A58" s="26"/>
      <c r="B58" s="36"/>
      <c r="C58" s="26"/>
      <c r="D58" s="37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 ht="21.75" hidden="1" customHeight="1" x14ac:dyDescent="0.6">
      <c r="A59" s="26"/>
      <c r="B59" s="36"/>
      <c r="C59" s="26"/>
      <c r="D59" s="37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 ht="21.75" hidden="1" customHeight="1" x14ac:dyDescent="0.6">
      <c r="A60" s="26"/>
      <c r="B60" s="36"/>
      <c r="C60" s="26"/>
      <c r="D60" s="37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1:23" ht="21.75" hidden="1" customHeight="1" x14ac:dyDescent="0.6">
      <c r="A61" s="26"/>
      <c r="B61" s="36"/>
      <c r="C61" s="26"/>
      <c r="D61" s="37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spans="1:23" ht="21.75" hidden="1" customHeight="1" x14ac:dyDescent="0.6">
      <c r="A62" s="26"/>
      <c r="B62" s="36"/>
      <c r="C62" s="26"/>
      <c r="D62" s="37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21.75" hidden="1" customHeight="1" x14ac:dyDescent="0.6">
      <c r="A63" s="26"/>
      <c r="B63" s="36"/>
      <c r="C63" s="26"/>
      <c r="D63" s="37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spans="1:23" ht="21.75" customHeight="1" x14ac:dyDescent="0.6">
      <c r="A64" s="26"/>
      <c r="B64" s="36"/>
      <c r="C64" s="26"/>
      <c r="D64" s="37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spans="1:23" ht="21.75" customHeight="1" x14ac:dyDescent="0.6">
      <c r="A65" s="26"/>
      <c r="B65" s="3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21.75" customHeight="1" x14ac:dyDescent="0.6">
      <c r="A66" s="26"/>
      <c r="B66" s="3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21.75" customHeight="1" x14ac:dyDescent="0.6">
      <c r="A67" s="26"/>
      <c r="B67" s="3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spans="1:23" ht="21.75" customHeight="1" x14ac:dyDescent="0.6">
      <c r="A68" s="26"/>
      <c r="B68" s="3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spans="1:23" ht="21.75" customHeight="1" x14ac:dyDescent="0.6">
      <c r="A69" s="26"/>
      <c r="B69" s="3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ht="21.75" customHeight="1" x14ac:dyDescent="0.6">
      <c r="A70" s="26"/>
      <c r="B70" s="36"/>
      <c r="C70" s="26"/>
      <c r="D70" s="37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ht="21.75" customHeight="1" x14ac:dyDescent="0.6">
      <c r="A71" s="26"/>
      <c r="B71" s="36"/>
      <c r="C71" s="26"/>
      <c r="D71" s="37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spans="1:23" ht="21.75" customHeight="1" x14ac:dyDescent="0.6">
      <c r="A72" s="26"/>
      <c r="B72" s="36"/>
      <c r="C72" s="26"/>
      <c r="D72" s="37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 ht="21.75" customHeight="1" x14ac:dyDescent="0.6">
      <c r="A73" s="26"/>
      <c r="B73" s="36"/>
      <c r="C73" s="26"/>
      <c r="D73" s="37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spans="1:23" ht="21.75" customHeight="1" x14ac:dyDescent="0.6">
      <c r="A74" s="26"/>
      <c r="B74" s="36"/>
      <c r="C74" s="26"/>
      <c r="D74" s="37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spans="1:23" ht="21.75" customHeight="1" x14ac:dyDescent="0.6">
      <c r="A75" s="26"/>
      <c r="B75" s="36"/>
      <c r="C75" s="26"/>
      <c r="D75" s="37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spans="1:23" ht="21.75" customHeight="1" x14ac:dyDescent="0.6">
      <c r="A76" s="26"/>
      <c r="B76" s="36"/>
      <c r="C76" s="26"/>
      <c r="D76" s="37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ht="21.75" customHeight="1" x14ac:dyDescent="0.6">
      <c r="A77" s="26"/>
      <c r="B77" s="36"/>
      <c r="C77" s="26"/>
      <c r="D77" s="37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spans="1:23" ht="21.75" customHeight="1" x14ac:dyDescent="0.6">
      <c r="A78" s="26"/>
      <c r="B78" s="36"/>
      <c r="C78" s="26"/>
      <c r="D78" s="37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ht="21.75" customHeight="1" x14ac:dyDescent="0.6">
      <c r="A79" s="26"/>
      <c r="B79" s="36"/>
      <c r="C79" s="26"/>
      <c r="D79" s="37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3" ht="21.75" customHeight="1" x14ac:dyDescent="0.6">
      <c r="A80" s="26"/>
      <c r="B80" s="36"/>
      <c r="C80" s="26"/>
      <c r="D80" s="37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spans="1:23" ht="21.75" customHeight="1" x14ac:dyDescent="0.6">
      <c r="A81" s="26"/>
      <c r="B81" s="36"/>
      <c r="C81" s="26"/>
      <c r="D81" s="37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spans="1:23" ht="21.75" customHeight="1" x14ac:dyDescent="0.6">
      <c r="A82" s="26"/>
      <c r="B82" s="36"/>
      <c r="C82" s="26"/>
      <c r="D82" s="37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ht="21.75" customHeight="1" x14ac:dyDescent="0.6">
      <c r="A83" s="26"/>
      <c r="B83" s="36"/>
      <c r="C83" s="26"/>
      <c r="D83" s="37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ht="21.75" customHeight="1" x14ac:dyDescent="0.6">
      <c r="A84" s="26"/>
      <c r="B84" s="36"/>
      <c r="C84" s="26"/>
      <c r="D84" s="37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spans="1:23" ht="21.75" customHeight="1" x14ac:dyDescent="0.6">
      <c r="A85" s="26"/>
      <c r="B85" s="36"/>
      <c r="C85" s="26"/>
      <c r="D85" s="37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ht="21.75" customHeight="1" x14ac:dyDescent="0.6">
      <c r="A86" s="26"/>
      <c r="B86" s="36"/>
      <c r="C86" s="26"/>
      <c r="D86" s="37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spans="1:23" ht="21.75" customHeight="1" x14ac:dyDescent="0.6">
      <c r="A87" s="26"/>
      <c r="B87" s="36"/>
      <c r="C87" s="26"/>
      <c r="D87" s="37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spans="1:23" ht="21.75" customHeight="1" x14ac:dyDescent="0.6">
      <c r="A88" s="26"/>
      <c r="B88" s="36"/>
      <c r="C88" s="26"/>
      <c r="D88" s="37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spans="1:23" ht="21.75" customHeight="1" x14ac:dyDescent="0.6">
      <c r="A89" s="26"/>
      <c r="B89" s="36"/>
      <c r="C89" s="26"/>
      <c r="D89" s="37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spans="1:23" ht="21.75" customHeight="1" x14ac:dyDescent="0.6">
      <c r="A90" s="26"/>
      <c r="B90" s="36"/>
      <c r="C90" s="26"/>
      <c r="D90" s="37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spans="1:23" ht="21.75" customHeight="1" x14ac:dyDescent="0.6">
      <c r="A91" s="26"/>
      <c r="B91" s="36"/>
      <c r="C91" s="26"/>
      <c r="D91" s="37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spans="1:23" ht="21.75" customHeight="1" x14ac:dyDescent="0.6">
      <c r="A92" s="26"/>
      <c r="B92" s="36"/>
      <c r="C92" s="26"/>
      <c r="D92" s="37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spans="1:23" ht="21.75" customHeight="1" x14ac:dyDescent="0.6">
      <c r="A93" s="26"/>
      <c r="B93" s="36"/>
      <c r="C93" s="26"/>
      <c r="D93" s="37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spans="1:23" ht="21.75" customHeight="1" x14ac:dyDescent="0.6">
      <c r="A94" s="26"/>
      <c r="B94" s="36"/>
      <c r="C94" s="26"/>
      <c r="D94" s="37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ht="21.75" customHeight="1" x14ac:dyDescent="0.6">
      <c r="A95" s="26"/>
      <c r="B95" s="36"/>
      <c r="C95" s="26"/>
      <c r="D95" s="37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spans="1:23" ht="21.75" customHeight="1" x14ac:dyDescent="0.6">
      <c r="A96" s="26"/>
      <c r="B96" s="36"/>
      <c r="C96" s="26"/>
      <c r="D96" s="37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spans="1:23" ht="21.75" customHeight="1" x14ac:dyDescent="0.6">
      <c r="A97" s="26"/>
      <c r="B97" s="36"/>
      <c r="C97" s="26"/>
      <c r="D97" s="37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spans="1:23" ht="21.75" customHeight="1" x14ac:dyDescent="0.6">
      <c r="A98" s="26"/>
      <c r="B98" s="36"/>
      <c r="C98" s="26"/>
      <c r="D98" s="37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spans="1:23" ht="21.75" customHeight="1" x14ac:dyDescent="0.6">
      <c r="A99" s="26"/>
      <c r="B99" s="36"/>
      <c r="C99" s="26"/>
      <c r="D99" s="37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spans="1:23" ht="21.75" customHeight="1" x14ac:dyDescent="0.6">
      <c r="A100" s="26"/>
      <c r="B100" s="36"/>
      <c r="C100" s="26"/>
      <c r="D100" s="37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spans="1:23" ht="21.75" customHeight="1" x14ac:dyDescent="0.6">
      <c r="A101" s="26"/>
      <c r="B101" s="36"/>
      <c r="C101" s="26"/>
      <c r="D101" s="37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spans="1:23" ht="21.75" customHeight="1" x14ac:dyDescent="0.6">
      <c r="A102" s="26"/>
      <c r="B102" s="36"/>
      <c r="C102" s="26"/>
      <c r="D102" s="37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spans="1:23" ht="21.75" customHeight="1" x14ac:dyDescent="0.6">
      <c r="A103" s="26"/>
      <c r="B103" s="36"/>
      <c r="C103" s="26"/>
      <c r="D103" s="37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spans="1:23" ht="21.75" customHeight="1" x14ac:dyDescent="0.6">
      <c r="A104" s="26"/>
      <c r="B104" s="36"/>
      <c r="C104" s="26"/>
      <c r="D104" s="37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spans="1:23" ht="21.75" customHeight="1" x14ac:dyDescent="0.6">
      <c r="A105" s="26"/>
      <c r="B105" s="36"/>
      <c r="C105" s="26"/>
      <c r="D105" s="37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spans="1:23" ht="21.75" customHeight="1" x14ac:dyDescent="0.6">
      <c r="A106" s="26"/>
      <c r="B106" s="36"/>
      <c r="C106" s="26"/>
      <c r="D106" s="37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spans="1:23" ht="21.75" customHeight="1" x14ac:dyDescent="0.6">
      <c r="A107" s="26"/>
      <c r="B107" s="36"/>
      <c r="C107" s="26"/>
      <c r="D107" s="37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spans="1:23" ht="21.75" customHeight="1" x14ac:dyDescent="0.6">
      <c r="A108" s="26"/>
      <c r="B108" s="36"/>
      <c r="C108" s="26"/>
      <c r="D108" s="37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spans="1:23" ht="21.75" customHeight="1" x14ac:dyDescent="0.6">
      <c r="A109" s="26"/>
      <c r="B109" s="36"/>
      <c r="C109" s="26"/>
      <c r="D109" s="37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spans="1:23" ht="21.75" customHeight="1" x14ac:dyDescent="0.6">
      <c r="A110" s="26"/>
      <c r="B110" s="36"/>
      <c r="C110" s="26"/>
      <c r="D110" s="37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</row>
    <row r="111" spans="1:23" ht="21.75" customHeight="1" x14ac:dyDescent="0.6">
      <c r="A111" s="26"/>
      <c r="B111" s="36"/>
      <c r="C111" s="26"/>
      <c r="D111" s="37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</row>
    <row r="112" spans="1:23" ht="21.75" customHeight="1" x14ac:dyDescent="0.6">
      <c r="A112" s="26"/>
      <c r="B112" s="36"/>
      <c r="C112" s="26"/>
      <c r="D112" s="37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</row>
    <row r="113" spans="1:23" ht="21.75" customHeight="1" x14ac:dyDescent="0.6">
      <c r="A113" s="26"/>
      <c r="B113" s="36"/>
      <c r="C113" s="26"/>
      <c r="D113" s="37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 spans="1:23" ht="21.75" customHeight="1" x14ac:dyDescent="0.6">
      <c r="A114" s="26"/>
      <c r="B114" s="36"/>
      <c r="C114" s="26"/>
      <c r="D114" s="37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spans="1:23" ht="21.75" customHeight="1" x14ac:dyDescent="0.6">
      <c r="A115" s="26"/>
      <c r="B115" s="36"/>
      <c r="C115" s="26"/>
      <c r="D115" s="37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 spans="1:23" ht="21.75" customHeight="1" x14ac:dyDescent="0.6">
      <c r="A116" s="26"/>
      <c r="B116" s="36"/>
      <c r="C116" s="26"/>
      <c r="D116" s="37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spans="1:23" ht="21.75" customHeight="1" x14ac:dyDescent="0.6">
      <c r="A117" s="26"/>
      <c r="B117" s="36"/>
      <c r="C117" s="26"/>
      <c r="D117" s="37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 spans="1:23" ht="21.75" customHeight="1" x14ac:dyDescent="0.6">
      <c r="A118" s="26"/>
      <c r="B118" s="36"/>
      <c r="C118" s="26"/>
      <c r="D118" s="37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spans="1:23" ht="21.75" customHeight="1" x14ac:dyDescent="0.6">
      <c r="A119" s="26"/>
      <c r="B119" s="36"/>
      <c r="C119" s="26"/>
      <c r="D119" s="37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</row>
    <row r="120" spans="1:23" ht="21.75" customHeight="1" x14ac:dyDescent="0.6">
      <c r="A120" s="26"/>
      <c r="B120" s="36"/>
      <c r="C120" s="26"/>
      <c r="D120" s="37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 spans="1:23" ht="21.75" customHeight="1" x14ac:dyDescent="0.6">
      <c r="A121" s="26"/>
      <c r="B121" s="36"/>
      <c r="C121" s="26"/>
      <c r="D121" s="37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</row>
    <row r="122" spans="1:23" ht="21.75" customHeight="1" x14ac:dyDescent="0.6">
      <c r="A122" s="26"/>
      <c r="B122" s="36"/>
      <c r="C122" s="26"/>
      <c r="D122" s="37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</row>
    <row r="123" spans="1:23" ht="21.75" customHeight="1" x14ac:dyDescent="0.6">
      <c r="A123" s="26"/>
      <c r="B123" s="36"/>
      <c r="C123" s="26"/>
      <c r="D123" s="37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</row>
    <row r="124" spans="1:23" ht="21.75" customHeight="1" x14ac:dyDescent="0.6">
      <c r="A124" s="26"/>
      <c r="B124" s="36"/>
      <c r="C124" s="26"/>
      <c r="D124" s="37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</row>
    <row r="125" spans="1:23" ht="21.75" customHeight="1" x14ac:dyDescent="0.6">
      <c r="A125" s="26"/>
      <c r="B125" s="36"/>
      <c r="C125" s="26"/>
      <c r="D125" s="37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</row>
    <row r="126" spans="1:23" ht="21.75" customHeight="1" x14ac:dyDescent="0.6">
      <c r="A126" s="26"/>
      <c r="B126" s="36"/>
      <c r="C126" s="26"/>
      <c r="D126" s="37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</row>
    <row r="127" spans="1:23" ht="21.75" customHeight="1" x14ac:dyDescent="0.6">
      <c r="A127" s="26"/>
      <c r="B127" s="36"/>
      <c r="C127" s="26"/>
      <c r="D127" s="37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</row>
    <row r="128" spans="1:23" ht="21.75" customHeight="1" x14ac:dyDescent="0.6">
      <c r="A128" s="26"/>
      <c r="B128" s="36"/>
      <c r="C128" s="26"/>
      <c r="D128" s="37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 spans="1:23" ht="21.75" customHeight="1" x14ac:dyDescent="0.6">
      <c r="A129" s="26"/>
      <c r="B129" s="36"/>
      <c r="C129" s="26"/>
      <c r="D129" s="37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 spans="1:23" ht="21.75" customHeight="1" x14ac:dyDescent="0.6">
      <c r="A130" s="26"/>
      <c r="B130" s="36"/>
      <c r="C130" s="26"/>
      <c r="D130" s="37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 spans="1:23" ht="21.75" customHeight="1" x14ac:dyDescent="0.6">
      <c r="A131" s="26"/>
      <c r="B131" s="36"/>
      <c r="C131" s="26"/>
      <c r="D131" s="37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 spans="1:23" ht="21.75" customHeight="1" x14ac:dyDescent="0.6">
      <c r="A132" s="26"/>
      <c r="B132" s="36"/>
      <c r="C132" s="26"/>
      <c r="D132" s="37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spans="1:23" ht="21.75" customHeight="1" x14ac:dyDescent="0.6">
      <c r="A133" s="26"/>
      <c r="B133" s="36"/>
      <c r="C133" s="26"/>
      <c r="D133" s="37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 spans="1:23" ht="21.75" customHeight="1" x14ac:dyDescent="0.6">
      <c r="A134" s="26"/>
      <c r="B134" s="36"/>
      <c r="C134" s="26"/>
      <c r="D134" s="37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 spans="1:23" ht="21.75" customHeight="1" x14ac:dyDescent="0.6">
      <c r="A135" s="26"/>
      <c r="B135" s="36"/>
      <c r="C135" s="26"/>
      <c r="D135" s="37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 spans="1:23" ht="21.75" customHeight="1" x14ac:dyDescent="0.6">
      <c r="A136" s="26"/>
      <c r="B136" s="36"/>
      <c r="C136" s="26"/>
      <c r="D136" s="37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spans="1:23" ht="21.75" customHeight="1" x14ac:dyDescent="0.6">
      <c r="A137" s="26"/>
      <c r="B137" s="36"/>
      <c r="C137" s="26"/>
      <c r="D137" s="37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 spans="1:23" ht="21.75" customHeight="1" x14ac:dyDescent="0.6">
      <c r="A138" s="26"/>
      <c r="B138" s="36"/>
      <c r="C138" s="26"/>
      <c r="D138" s="37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spans="1:23" ht="21.75" customHeight="1" x14ac:dyDescent="0.6">
      <c r="A139" s="26"/>
      <c r="B139" s="36"/>
      <c r="C139" s="26"/>
      <c r="D139" s="37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</row>
    <row r="140" spans="1:23" ht="21.75" customHeight="1" x14ac:dyDescent="0.6">
      <c r="A140" s="26"/>
      <c r="B140" s="36"/>
      <c r="C140" s="26"/>
      <c r="D140" s="37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</row>
    <row r="141" spans="1:23" ht="21.75" customHeight="1" x14ac:dyDescent="0.6">
      <c r="A141" s="26"/>
      <c r="B141" s="36"/>
      <c r="C141" s="26"/>
      <c r="D141" s="37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 spans="1:23" ht="21.75" customHeight="1" x14ac:dyDescent="0.6">
      <c r="A142" s="26"/>
      <c r="B142" s="36"/>
      <c r="C142" s="26"/>
      <c r="D142" s="37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</row>
    <row r="143" spans="1:23" ht="21.75" customHeight="1" x14ac:dyDescent="0.6">
      <c r="A143" s="26"/>
      <c r="B143" s="36"/>
      <c r="C143" s="26"/>
      <c r="D143" s="37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  <row r="144" spans="1:23" ht="21.75" customHeight="1" x14ac:dyDescent="0.6">
      <c r="A144" s="26"/>
      <c r="B144" s="36"/>
      <c r="C144" s="26"/>
      <c r="D144" s="37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spans="1:23" ht="21.75" customHeight="1" x14ac:dyDescent="0.6">
      <c r="A145" s="26"/>
      <c r="B145" s="36"/>
      <c r="C145" s="26"/>
      <c r="D145" s="37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spans="1:23" ht="21.75" customHeight="1" x14ac:dyDescent="0.6">
      <c r="A146" s="26"/>
      <c r="B146" s="36"/>
      <c r="C146" s="26"/>
      <c r="D146" s="37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 spans="1:23" ht="21.75" customHeight="1" x14ac:dyDescent="0.6">
      <c r="A147" s="26"/>
      <c r="B147" s="36"/>
      <c r="C147" s="26"/>
      <c r="D147" s="37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</row>
    <row r="148" spans="1:23" ht="21.75" customHeight="1" x14ac:dyDescent="0.6">
      <c r="A148" s="26"/>
      <c r="B148" s="36"/>
      <c r="C148" s="26"/>
      <c r="D148" s="37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</row>
    <row r="149" spans="1:23" ht="21.75" customHeight="1" x14ac:dyDescent="0.6">
      <c r="A149" s="26"/>
      <c r="B149" s="36"/>
      <c r="C149" s="26"/>
      <c r="D149" s="37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 spans="1:23" ht="21.75" customHeight="1" x14ac:dyDescent="0.6">
      <c r="A150" s="26"/>
      <c r="B150" s="36"/>
      <c r="C150" s="26"/>
      <c r="D150" s="37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 spans="1:23" ht="21.75" customHeight="1" x14ac:dyDescent="0.6">
      <c r="A151" s="26"/>
      <c r="B151" s="36"/>
      <c r="C151" s="26"/>
      <c r="D151" s="37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</row>
    <row r="152" spans="1:23" ht="21.75" customHeight="1" x14ac:dyDescent="0.6">
      <c r="A152" s="26"/>
      <c r="B152" s="36"/>
      <c r="C152" s="26"/>
      <c r="D152" s="37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</row>
    <row r="153" spans="1:23" ht="21.75" customHeight="1" x14ac:dyDescent="0.6">
      <c r="A153" s="26"/>
      <c r="B153" s="36"/>
      <c r="C153" s="26"/>
      <c r="D153" s="37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</row>
    <row r="154" spans="1:23" ht="21.75" customHeight="1" x14ac:dyDescent="0.6">
      <c r="A154" s="26"/>
      <c r="B154" s="36"/>
      <c r="C154" s="26"/>
      <c r="D154" s="37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 spans="1:23" ht="21.75" customHeight="1" x14ac:dyDescent="0.6">
      <c r="A155" s="26"/>
      <c r="B155" s="36"/>
      <c r="C155" s="26"/>
      <c r="D155" s="37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</row>
    <row r="156" spans="1:23" ht="21.75" customHeight="1" x14ac:dyDescent="0.6">
      <c r="A156" s="26"/>
      <c r="B156" s="36"/>
      <c r="C156" s="26"/>
      <c r="D156" s="37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</row>
    <row r="157" spans="1:23" ht="21.75" customHeight="1" x14ac:dyDescent="0.6">
      <c r="A157" s="26"/>
      <c r="B157" s="36"/>
      <c r="C157" s="26"/>
      <c r="D157" s="37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</row>
    <row r="158" spans="1:23" ht="21.75" customHeight="1" x14ac:dyDescent="0.6">
      <c r="A158" s="26"/>
      <c r="B158" s="36"/>
      <c r="C158" s="26"/>
      <c r="D158" s="37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</row>
    <row r="159" spans="1:23" ht="21.75" customHeight="1" x14ac:dyDescent="0.6">
      <c r="A159" s="26"/>
      <c r="B159" s="36"/>
      <c r="C159" s="26"/>
      <c r="D159" s="37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</row>
    <row r="160" spans="1:23" ht="21.75" customHeight="1" x14ac:dyDescent="0.6">
      <c r="A160" s="26"/>
      <c r="B160" s="36"/>
      <c r="C160" s="26"/>
      <c r="D160" s="37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</row>
    <row r="161" spans="1:23" ht="21.75" customHeight="1" x14ac:dyDescent="0.6">
      <c r="A161" s="26"/>
      <c r="B161" s="36"/>
      <c r="C161" s="26"/>
      <c r="D161" s="37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</row>
    <row r="162" spans="1:23" ht="21.75" customHeight="1" x14ac:dyDescent="0.6">
      <c r="A162" s="26"/>
      <c r="B162" s="36"/>
      <c r="C162" s="26"/>
      <c r="D162" s="37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 spans="1:23" ht="21.75" customHeight="1" x14ac:dyDescent="0.6">
      <c r="A163" s="26"/>
      <c r="B163" s="36"/>
      <c r="C163" s="26"/>
      <c r="D163" s="37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</row>
    <row r="164" spans="1:23" ht="21.75" customHeight="1" x14ac:dyDescent="0.6">
      <c r="A164" s="26"/>
      <c r="B164" s="36"/>
      <c r="C164" s="26"/>
      <c r="D164" s="37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</row>
    <row r="165" spans="1:23" ht="21.75" customHeight="1" x14ac:dyDescent="0.6">
      <c r="A165" s="26"/>
      <c r="B165" s="36"/>
      <c r="C165" s="26"/>
      <c r="D165" s="37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</row>
    <row r="166" spans="1:23" ht="21.75" customHeight="1" x14ac:dyDescent="0.6">
      <c r="A166" s="26"/>
      <c r="B166" s="36"/>
      <c r="C166" s="26"/>
      <c r="D166" s="37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</row>
    <row r="167" spans="1:23" ht="21.75" customHeight="1" x14ac:dyDescent="0.6">
      <c r="A167" s="26"/>
      <c r="B167" s="36"/>
      <c r="C167" s="26"/>
      <c r="D167" s="37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</row>
    <row r="168" spans="1:23" ht="21.75" customHeight="1" x14ac:dyDescent="0.6">
      <c r="A168" s="26"/>
      <c r="B168" s="36"/>
      <c r="C168" s="26"/>
      <c r="D168" s="37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</row>
    <row r="169" spans="1:23" ht="21.75" customHeight="1" x14ac:dyDescent="0.6">
      <c r="A169" s="26"/>
      <c r="B169" s="36"/>
      <c r="C169" s="26"/>
      <c r="D169" s="37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 spans="1:23" ht="21.75" customHeight="1" x14ac:dyDescent="0.6">
      <c r="A170" s="26"/>
      <c r="B170" s="36"/>
      <c r="C170" s="26"/>
      <c r="D170" s="37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 spans="1:23" ht="21.75" customHeight="1" x14ac:dyDescent="0.6">
      <c r="A171" s="26"/>
      <c r="B171" s="36"/>
      <c r="C171" s="26"/>
      <c r="D171" s="37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spans="1:23" ht="21.75" customHeight="1" x14ac:dyDescent="0.6">
      <c r="A172" s="26"/>
      <c r="B172" s="36"/>
      <c r="C172" s="26"/>
      <c r="D172" s="37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</row>
    <row r="173" spans="1:23" ht="21.75" customHeight="1" x14ac:dyDescent="0.6">
      <c r="A173" s="26"/>
      <c r="B173" s="36"/>
      <c r="C173" s="26"/>
      <c r="D173" s="37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</row>
    <row r="174" spans="1:23" ht="21.75" customHeight="1" x14ac:dyDescent="0.6">
      <c r="A174" s="26"/>
      <c r="B174" s="36"/>
      <c r="C174" s="26"/>
      <c r="D174" s="37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</row>
    <row r="175" spans="1:23" ht="21.75" customHeight="1" x14ac:dyDescent="0.6">
      <c r="A175" s="26"/>
      <c r="B175" s="36"/>
      <c r="C175" s="26"/>
      <c r="D175" s="37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</row>
    <row r="176" spans="1:23" ht="21.75" customHeight="1" x14ac:dyDescent="0.6">
      <c r="A176" s="26"/>
      <c r="B176" s="36"/>
      <c r="C176" s="26"/>
      <c r="D176" s="37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</row>
    <row r="177" spans="1:23" ht="21.75" customHeight="1" x14ac:dyDescent="0.6">
      <c r="A177" s="26"/>
      <c r="B177" s="36"/>
      <c r="C177" s="26"/>
      <c r="D177" s="37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 spans="1:23" ht="21.75" customHeight="1" x14ac:dyDescent="0.6">
      <c r="A178" s="26"/>
      <c r="B178" s="36"/>
      <c r="C178" s="26"/>
      <c r="D178" s="37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</row>
    <row r="179" spans="1:23" ht="21.75" customHeight="1" x14ac:dyDescent="0.6">
      <c r="A179" s="26"/>
      <c r="B179" s="36"/>
      <c r="C179" s="26"/>
      <c r="D179" s="37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</row>
    <row r="180" spans="1:23" ht="21.75" customHeight="1" x14ac:dyDescent="0.6">
      <c r="A180" s="26"/>
      <c r="B180" s="36"/>
      <c r="C180" s="26"/>
      <c r="D180" s="37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</row>
    <row r="181" spans="1:23" ht="21.75" customHeight="1" x14ac:dyDescent="0.6">
      <c r="A181" s="26"/>
      <c r="B181" s="36"/>
      <c r="C181" s="26"/>
      <c r="D181" s="37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</row>
    <row r="182" spans="1:23" ht="21.75" customHeight="1" x14ac:dyDescent="0.6">
      <c r="A182" s="26"/>
      <c r="B182" s="36"/>
      <c r="C182" s="26"/>
      <c r="D182" s="37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</row>
    <row r="183" spans="1:23" ht="21.75" customHeight="1" x14ac:dyDescent="0.6">
      <c r="A183" s="26"/>
      <c r="B183" s="36"/>
      <c r="C183" s="26"/>
      <c r="D183" s="37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 spans="1:23" ht="21.75" customHeight="1" x14ac:dyDescent="0.6">
      <c r="A184" s="26"/>
      <c r="B184" s="36"/>
      <c r="C184" s="26"/>
      <c r="D184" s="37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 spans="1:23" ht="21.75" customHeight="1" x14ac:dyDescent="0.6">
      <c r="A185" s="26"/>
      <c r="B185" s="36"/>
      <c r="C185" s="26"/>
      <c r="D185" s="37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</row>
    <row r="186" spans="1:23" ht="21.75" customHeight="1" x14ac:dyDescent="0.6">
      <c r="A186" s="26"/>
      <c r="B186" s="36"/>
      <c r="C186" s="26"/>
      <c r="D186" s="37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</row>
    <row r="187" spans="1:23" ht="21.75" customHeight="1" x14ac:dyDescent="0.6">
      <c r="A187" s="26"/>
      <c r="B187" s="36"/>
      <c r="C187" s="26"/>
      <c r="D187" s="37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</row>
    <row r="188" spans="1:23" ht="21.75" customHeight="1" x14ac:dyDescent="0.6">
      <c r="A188" s="26"/>
      <c r="B188" s="36"/>
      <c r="C188" s="26"/>
      <c r="D188" s="37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</row>
    <row r="189" spans="1:23" ht="21.75" customHeight="1" x14ac:dyDescent="0.6">
      <c r="A189" s="26"/>
      <c r="B189" s="36"/>
      <c r="C189" s="26"/>
      <c r="D189" s="37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 spans="1:23" ht="21.75" customHeight="1" x14ac:dyDescent="0.6">
      <c r="A190" s="26"/>
      <c r="B190" s="36"/>
      <c r="C190" s="26"/>
      <c r="D190" s="37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</row>
    <row r="191" spans="1:23" ht="21.75" customHeight="1" x14ac:dyDescent="0.6">
      <c r="A191" s="26"/>
      <c r="B191" s="36"/>
      <c r="C191" s="26"/>
      <c r="D191" s="37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</row>
    <row r="192" spans="1:23" ht="21.75" customHeight="1" x14ac:dyDescent="0.6">
      <c r="A192" s="26"/>
      <c r="B192" s="36"/>
      <c r="C192" s="26"/>
      <c r="D192" s="37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</row>
    <row r="193" spans="1:23" ht="21.75" customHeight="1" x14ac:dyDescent="0.6">
      <c r="A193" s="26"/>
      <c r="B193" s="36"/>
      <c r="C193" s="26"/>
      <c r="D193" s="37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</row>
    <row r="194" spans="1:23" ht="21.75" customHeight="1" x14ac:dyDescent="0.6">
      <c r="A194" s="26"/>
      <c r="B194" s="36"/>
      <c r="C194" s="26"/>
      <c r="D194" s="37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195" spans="1:23" ht="21.75" customHeight="1" x14ac:dyDescent="0.6">
      <c r="A195" s="26"/>
      <c r="B195" s="36"/>
      <c r="C195" s="26"/>
      <c r="D195" s="37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</row>
    <row r="196" spans="1:23" ht="21.75" customHeight="1" x14ac:dyDescent="0.6">
      <c r="A196" s="26"/>
      <c r="B196" s="36"/>
      <c r="C196" s="26"/>
      <c r="D196" s="37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</row>
    <row r="197" spans="1:23" ht="21.75" customHeight="1" x14ac:dyDescent="0.6">
      <c r="A197" s="26"/>
      <c r="B197" s="36"/>
      <c r="C197" s="26"/>
      <c r="D197" s="37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</row>
    <row r="198" spans="1:23" ht="21.75" customHeight="1" x14ac:dyDescent="0.6">
      <c r="A198" s="26"/>
      <c r="B198" s="36"/>
      <c r="C198" s="26"/>
      <c r="D198" s="37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</row>
    <row r="199" spans="1:23" ht="21.75" customHeight="1" x14ac:dyDescent="0.6">
      <c r="A199" s="26"/>
      <c r="B199" s="36"/>
      <c r="C199" s="26"/>
      <c r="D199" s="37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</row>
    <row r="200" spans="1:23" ht="21.75" customHeight="1" x14ac:dyDescent="0.6">
      <c r="A200" s="26"/>
      <c r="B200" s="36"/>
      <c r="C200" s="26"/>
      <c r="D200" s="37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 spans="1:23" ht="21.75" customHeight="1" x14ac:dyDescent="0.6">
      <c r="A201" s="26"/>
      <c r="B201" s="36"/>
      <c r="C201" s="26"/>
      <c r="D201" s="37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 spans="1:23" ht="21.75" customHeight="1" x14ac:dyDescent="0.6">
      <c r="A202" s="26"/>
      <c r="B202" s="36"/>
      <c r="C202" s="26"/>
      <c r="D202" s="37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 spans="1:23" ht="21.75" customHeight="1" x14ac:dyDescent="0.6">
      <c r="A203" s="26"/>
      <c r="B203" s="36"/>
      <c r="C203" s="26"/>
      <c r="D203" s="37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 spans="1:23" ht="21.75" customHeight="1" x14ac:dyDescent="0.6">
      <c r="A204" s="26"/>
      <c r="B204" s="36"/>
      <c r="C204" s="26"/>
      <c r="D204" s="37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 spans="1:23" ht="21.75" customHeight="1" x14ac:dyDescent="0.6">
      <c r="A205" s="26"/>
      <c r="B205" s="36"/>
      <c r="C205" s="26"/>
      <c r="D205" s="37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 spans="1:23" ht="21.75" customHeight="1" x14ac:dyDescent="0.6">
      <c r="A206" s="26"/>
      <c r="B206" s="36"/>
      <c r="C206" s="26"/>
      <c r="D206" s="37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 spans="1:23" ht="21.75" customHeight="1" x14ac:dyDescent="0.6">
      <c r="A207" s="26"/>
      <c r="B207" s="36"/>
      <c r="C207" s="26"/>
      <c r="D207" s="37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 spans="1:23" ht="21.75" customHeight="1" x14ac:dyDescent="0.6">
      <c r="A208" s="26"/>
      <c r="B208" s="36"/>
      <c r="C208" s="26"/>
      <c r="D208" s="37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 spans="1:23" ht="21.75" customHeight="1" x14ac:dyDescent="0.6">
      <c r="A209" s="26"/>
      <c r="B209" s="36"/>
      <c r="C209" s="26"/>
      <c r="D209" s="37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 spans="1:23" ht="21.75" customHeight="1" x14ac:dyDescent="0.6">
      <c r="A210" s="26"/>
      <c r="B210" s="36"/>
      <c r="C210" s="26"/>
      <c r="D210" s="37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 spans="1:23" ht="21.75" customHeight="1" x14ac:dyDescent="0.6">
      <c r="A211" s="26"/>
      <c r="B211" s="36"/>
      <c r="C211" s="26"/>
      <c r="D211" s="37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spans="1:23" ht="21.75" customHeight="1" x14ac:dyDescent="0.6">
      <c r="A212" s="26"/>
      <c r="B212" s="36"/>
      <c r="C212" s="26"/>
      <c r="D212" s="37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 spans="1:23" ht="21.75" customHeight="1" x14ac:dyDescent="0.6">
      <c r="A213" s="26"/>
      <c r="B213" s="36"/>
      <c r="C213" s="26"/>
      <c r="D213" s="37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 spans="1:23" ht="21.75" customHeight="1" x14ac:dyDescent="0.6">
      <c r="A214" s="26"/>
      <c r="B214" s="36"/>
      <c r="C214" s="26"/>
      <c r="D214" s="37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 spans="1:23" ht="21.75" customHeight="1" x14ac:dyDescent="0.6">
      <c r="A215" s="26"/>
      <c r="B215" s="36"/>
      <c r="C215" s="26"/>
      <c r="D215" s="37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 spans="1:23" ht="21.75" customHeight="1" x14ac:dyDescent="0.6">
      <c r="A216" s="26"/>
      <c r="B216" s="36"/>
      <c r="C216" s="26"/>
      <c r="D216" s="37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 spans="1:23" ht="21.75" customHeight="1" x14ac:dyDescent="0.6">
      <c r="A217" s="26"/>
      <c r="B217" s="36"/>
      <c r="C217" s="26"/>
      <c r="D217" s="37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spans="1:23" ht="21.75" customHeight="1" x14ac:dyDescent="0.6">
      <c r="A218" s="26"/>
      <c r="B218" s="36"/>
      <c r="C218" s="26"/>
      <c r="D218" s="37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spans="1:23" ht="21.75" customHeight="1" x14ac:dyDescent="0.6">
      <c r="A219" s="26"/>
      <c r="B219" s="36"/>
      <c r="C219" s="26"/>
      <c r="D219" s="37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</row>
    <row r="220" spans="1:23" ht="21.75" customHeight="1" x14ac:dyDescent="0.6">
      <c r="A220" s="26"/>
      <c r="B220" s="36"/>
      <c r="C220" s="26"/>
      <c r="D220" s="37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</row>
    <row r="221" spans="1:23" ht="21.75" customHeight="1" x14ac:dyDescent="0.6">
      <c r="A221" s="26"/>
      <c r="B221" s="36"/>
      <c r="C221" s="26"/>
      <c r="D221" s="37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</row>
    <row r="222" spans="1:23" ht="21.75" customHeight="1" x14ac:dyDescent="0.6">
      <c r="A222" s="26"/>
      <c r="B222" s="36"/>
      <c r="C222" s="26"/>
      <c r="D222" s="37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</row>
    <row r="223" spans="1:23" ht="21.75" customHeight="1" x14ac:dyDescent="0.6">
      <c r="A223" s="26"/>
      <c r="B223" s="36"/>
      <c r="C223" s="26"/>
      <c r="D223" s="37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 spans="1:23" ht="21.75" customHeight="1" x14ac:dyDescent="0.6">
      <c r="A224" s="26"/>
      <c r="B224" s="36"/>
      <c r="C224" s="26"/>
      <c r="D224" s="37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 spans="1:23" ht="21.75" customHeight="1" x14ac:dyDescent="0.6">
      <c r="A225" s="26"/>
      <c r="B225" s="36"/>
      <c r="C225" s="26"/>
      <c r="D225" s="37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 spans="1:23" ht="21.75" customHeight="1" x14ac:dyDescent="0.6">
      <c r="A226" s="26"/>
      <c r="B226" s="36"/>
      <c r="C226" s="26"/>
      <c r="D226" s="37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 spans="1:23" ht="21.75" customHeight="1" x14ac:dyDescent="0.6">
      <c r="A227" s="26"/>
      <c r="B227" s="36"/>
      <c r="C227" s="26"/>
      <c r="D227" s="37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 spans="1:23" ht="21.75" customHeight="1" x14ac:dyDescent="0.6">
      <c r="A228" s="26"/>
      <c r="B228" s="36"/>
      <c r="C228" s="26"/>
      <c r="D228" s="37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 spans="1:23" ht="21.75" customHeight="1" x14ac:dyDescent="0.6">
      <c r="A229" s="26"/>
      <c r="B229" s="36"/>
      <c r="C229" s="26"/>
      <c r="D229" s="37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spans="1:23" ht="21.75" customHeight="1" x14ac:dyDescent="0.6">
      <c r="A230" s="26"/>
      <c r="B230" s="36"/>
      <c r="C230" s="26"/>
      <c r="D230" s="37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 spans="1:23" ht="21.75" customHeight="1" x14ac:dyDescent="0.6">
      <c r="A231" s="26"/>
      <c r="B231" s="36"/>
      <c r="C231" s="26"/>
      <c r="D231" s="37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  <row r="232" spans="1:23" ht="21.75" customHeight="1" x14ac:dyDescent="0.6">
      <c r="A232" s="26"/>
      <c r="B232" s="36"/>
      <c r="C232" s="26"/>
      <c r="D232" s="37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</row>
    <row r="233" spans="1:23" ht="21.75" customHeight="1" x14ac:dyDescent="0.6">
      <c r="A233" s="26"/>
      <c r="B233" s="36"/>
      <c r="C233" s="26"/>
      <c r="D233" s="37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</row>
    <row r="234" spans="1:23" ht="21.75" customHeight="1" x14ac:dyDescent="0.6">
      <c r="A234" s="26"/>
      <c r="B234" s="36"/>
      <c r="C234" s="26"/>
      <c r="D234" s="37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</row>
    <row r="235" spans="1:23" ht="21.75" customHeight="1" x14ac:dyDescent="0.6">
      <c r="A235" s="26"/>
      <c r="B235" s="36"/>
      <c r="C235" s="26"/>
      <c r="D235" s="37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</row>
    <row r="236" spans="1:23" ht="14.25" customHeight="1" x14ac:dyDescent="0.25">
      <c r="D236" s="40"/>
    </row>
    <row r="237" spans="1:23" ht="14.25" customHeight="1" x14ac:dyDescent="0.25">
      <c r="D237" s="40"/>
    </row>
    <row r="238" spans="1:23" ht="14.25" customHeight="1" x14ac:dyDescent="0.25">
      <c r="D238" s="40"/>
    </row>
    <row r="239" spans="1:23" ht="14.25" customHeight="1" x14ac:dyDescent="0.25">
      <c r="D239" s="40"/>
    </row>
    <row r="240" spans="1:23" ht="14.25" customHeight="1" x14ac:dyDescent="0.25">
      <c r="D240" s="40"/>
    </row>
    <row r="241" spans="4:4" ht="14.25" customHeight="1" x14ac:dyDescent="0.25">
      <c r="D241" s="40"/>
    </row>
    <row r="242" spans="4:4" ht="14.25" customHeight="1" x14ac:dyDescent="0.25">
      <c r="D242" s="40"/>
    </row>
    <row r="243" spans="4:4" ht="14.25" customHeight="1" x14ac:dyDescent="0.25">
      <c r="D243" s="40"/>
    </row>
    <row r="244" spans="4:4" ht="14.25" customHeight="1" x14ac:dyDescent="0.25">
      <c r="D244" s="40"/>
    </row>
    <row r="245" spans="4:4" ht="14.25" customHeight="1" x14ac:dyDescent="0.25">
      <c r="D245" s="40"/>
    </row>
    <row r="246" spans="4:4" ht="14.25" customHeight="1" x14ac:dyDescent="0.25">
      <c r="D246" s="40"/>
    </row>
    <row r="247" spans="4:4" ht="14.25" customHeight="1" x14ac:dyDescent="0.25">
      <c r="D247" s="40"/>
    </row>
    <row r="248" spans="4:4" ht="14.25" customHeight="1" x14ac:dyDescent="0.25">
      <c r="D248" s="40"/>
    </row>
    <row r="249" spans="4:4" ht="14.25" customHeight="1" x14ac:dyDescent="0.25">
      <c r="D249" s="40"/>
    </row>
    <row r="250" spans="4:4" ht="14.25" customHeight="1" x14ac:dyDescent="0.25">
      <c r="D250" s="40"/>
    </row>
    <row r="251" spans="4:4" ht="14.25" customHeight="1" x14ac:dyDescent="0.25">
      <c r="D251" s="40"/>
    </row>
    <row r="252" spans="4:4" ht="14.25" customHeight="1" x14ac:dyDescent="0.25">
      <c r="D252" s="40"/>
    </row>
    <row r="253" spans="4:4" ht="14.25" customHeight="1" x14ac:dyDescent="0.25">
      <c r="D253" s="40"/>
    </row>
    <row r="254" spans="4:4" ht="14.25" customHeight="1" x14ac:dyDescent="0.25">
      <c r="D254" s="40"/>
    </row>
    <row r="255" spans="4:4" ht="14.25" customHeight="1" x14ac:dyDescent="0.25">
      <c r="D255" s="40"/>
    </row>
    <row r="256" spans="4:4" ht="14.25" customHeight="1" x14ac:dyDescent="0.25">
      <c r="D256" s="40"/>
    </row>
    <row r="257" spans="4:4" ht="14.25" customHeight="1" x14ac:dyDescent="0.25">
      <c r="D257" s="40"/>
    </row>
    <row r="258" spans="4:4" ht="14.25" customHeight="1" x14ac:dyDescent="0.25">
      <c r="D258" s="40"/>
    </row>
    <row r="259" spans="4:4" ht="14.25" customHeight="1" x14ac:dyDescent="0.25">
      <c r="D259" s="40"/>
    </row>
    <row r="260" spans="4:4" ht="14.25" customHeight="1" x14ac:dyDescent="0.25">
      <c r="D260" s="40"/>
    </row>
    <row r="261" spans="4:4" ht="14.25" customHeight="1" x14ac:dyDescent="0.25">
      <c r="D261" s="40"/>
    </row>
    <row r="262" spans="4:4" ht="14.25" customHeight="1" x14ac:dyDescent="0.25">
      <c r="D262" s="40"/>
    </row>
    <row r="263" spans="4:4" ht="14.25" customHeight="1" x14ac:dyDescent="0.25">
      <c r="D263" s="40"/>
    </row>
    <row r="264" spans="4:4" ht="14.25" customHeight="1" x14ac:dyDescent="0.25">
      <c r="D264" s="40"/>
    </row>
    <row r="265" spans="4:4" ht="14.25" customHeight="1" x14ac:dyDescent="0.25">
      <c r="D265" s="40"/>
    </row>
    <row r="266" spans="4:4" ht="14.25" customHeight="1" x14ac:dyDescent="0.25">
      <c r="D266" s="40"/>
    </row>
    <row r="267" spans="4:4" ht="14.25" customHeight="1" x14ac:dyDescent="0.25">
      <c r="D267" s="40"/>
    </row>
    <row r="268" spans="4:4" ht="14.25" customHeight="1" x14ac:dyDescent="0.25">
      <c r="D268" s="40"/>
    </row>
    <row r="269" spans="4:4" ht="14.25" customHeight="1" x14ac:dyDescent="0.25">
      <c r="D269" s="40"/>
    </row>
    <row r="270" spans="4:4" ht="14.25" customHeight="1" x14ac:dyDescent="0.25">
      <c r="D270" s="40"/>
    </row>
    <row r="271" spans="4:4" ht="14.25" customHeight="1" x14ac:dyDescent="0.25">
      <c r="D271" s="40"/>
    </row>
    <row r="272" spans="4:4" ht="14.25" customHeight="1" x14ac:dyDescent="0.25">
      <c r="D272" s="40"/>
    </row>
    <row r="273" spans="4:4" ht="14.25" customHeight="1" x14ac:dyDescent="0.25">
      <c r="D273" s="40"/>
    </row>
    <row r="274" spans="4:4" ht="14.25" customHeight="1" x14ac:dyDescent="0.25">
      <c r="D274" s="40"/>
    </row>
    <row r="275" spans="4:4" ht="14.25" customHeight="1" x14ac:dyDescent="0.25">
      <c r="D275" s="40"/>
    </row>
    <row r="276" spans="4:4" ht="14.25" customHeight="1" x14ac:dyDescent="0.25">
      <c r="D276" s="40"/>
    </row>
    <row r="277" spans="4:4" ht="14.25" customHeight="1" x14ac:dyDescent="0.25">
      <c r="D277" s="40"/>
    </row>
    <row r="278" spans="4:4" ht="14.25" customHeight="1" x14ac:dyDescent="0.25">
      <c r="D278" s="40"/>
    </row>
    <row r="279" spans="4:4" ht="14.25" customHeight="1" x14ac:dyDescent="0.25">
      <c r="D279" s="40"/>
    </row>
    <row r="280" spans="4:4" ht="14.25" customHeight="1" x14ac:dyDescent="0.25">
      <c r="D280" s="40"/>
    </row>
    <row r="281" spans="4:4" ht="14.25" customHeight="1" x14ac:dyDescent="0.25">
      <c r="D281" s="40"/>
    </row>
    <row r="282" spans="4:4" ht="14.25" customHeight="1" x14ac:dyDescent="0.25">
      <c r="D282" s="40"/>
    </row>
    <row r="283" spans="4:4" ht="14.25" customHeight="1" x14ac:dyDescent="0.25">
      <c r="D283" s="40"/>
    </row>
    <row r="284" spans="4:4" ht="14.25" customHeight="1" x14ac:dyDescent="0.25">
      <c r="D284" s="40"/>
    </row>
    <row r="285" spans="4:4" ht="14.25" customHeight="1" x14ac:dyDescent="0.25">
      <c r="D285" s="40"/>
    </row>
    <row r="286" spans="4:4" ht="14.25" customHeight="1" x14ac:dyDescent="0.25">
      <c r="D286" s="40"/>
    </row>
    <row r="287" spans="4:4" ht="14.25" customHeight="1" x14ac:dyDescent="0.25">
      <c r="D287" s="40"/>
    </row>
    <row r="288" spans="4:4" ht="14.25" customHeight="1" x14ac:dyDescent="0.25">
      <c r="D288" s="40"/>
    </row>
    <row r="289" spans="4:4" ht="14.25" customHeight="1" x14ac:dyDescent="0.25">
      <c r="D289" s="40"/>
    </row>
    <row r="290" spans="4:4" ht="14.25" customHeight="1" x14ac:dyDescent="0.25">
      <c r="D290" s="40"/>
    </row>
    <row r="291" spans="4:4" ht="14.25" customHeight="1" x14ac:dyDescent="0.25">
      <c r="D291" s="40"/>
    </row>
    <row r="292" spans="4:4" ht="14.25" customHeight="1" x14ac:dyDescent="0.25">
      <c r="D292" s="40"/>
    </row>
    <row r="293" spans="4:4" ht="14.25" customHeight="1" x14ac:dyDescent="0.25">
      <c r="D293" s="40"/>
    </row>
    <row r="294" spans="4:4" ht="14.25" customHeight="1" x14ac:dyDescent="0.25">
      <c r="D294" s="40"/>
    </row>
    <row r="295" spans="4:4" ht="14.25" customHeight="1" x14ac:dyDescent="0.25">
      <c r="D295" s="40"/>
    </row>
    <row r="296" spans="4:4" ht="14.25" customHeight="1" x14ac:dyDescent="0.25">
      <c r="D296" s="40"/>
    </row>
    <row r="297" spans="4:4" ht="14.25" customHeight="1" x14ac:dyDescent="0.25">
      <c r="D297" s="40"/>
    </row>
    <row r="298" spans="4:4" ht="14.25" customHeight="1" x14ac:dyDescent="0.25">
      <c r="D298" s="40"/>
    </row>
    <row r="299" spans="4:4" ht="14.25" customHeight="1" x14ac:dyDescent="0.25">
      <c r="D299" s="40"/>
    </row>
    <row r="300" spans="4:4" ht="14.25" customHeight="1" x14ac:dyDescent="0.25">
      <c r="D300" s="40"/>
    </row>
    <row r="301" spans="4:4" ht="14.25" customHeight="1" x14ac:dyDescent="0.25">
      <c r="D301" s="40"/>
    </row>
    <row r="302" spans="4:4" ht="14.25" customHeight="1" x14ac:dyDescent="0.25">
      <c r="D302" s="40"/>
    </row>
    <row r="303" spans="4:4" ht="14.25" customHeight="1" x14ac:dyDescent="0.25">
      <c r="D303" s="40"/>
    </row>
    <row r="304" spans="4:4" ht="14.25" customHeight="1" x14ac:dyDescent="0.25">
      <c r="D304" s="40"/>
    </row>
    <row r="305" spans="4:4" ht="14.25" customHeight="1" x14ac:dyDescent="0.25">
      <c r="D305" s="40"/>
    </row>
    <row r="306" spans="4:4" ht="14.25" customHeight="1" x14ac:dyDescent="0.25">
      <c r="D306" s="40"/>
    </row>
    <row r="307" spans="4:4" ht="14.25" customHeight="1" x14ac:dyDescent="0.25">
      <c r="D307" s="40"/>
    </row>
    <row r="308" spans="4:4" ht="14.25" customHeight="1" x14ac:dyDescent="0.25">
      <c r="D308" s="40"/>
    </row>
    <row r="309" spans="4:4" ht="14.25" customHeight="1" x14ac:dyDescent="0.25">
      <c r="D309" s="40"/>
    </row>
    <row r="310" spans="4:4" ht="14.25" customHeight="1" x14ac:dyDescent="0.25">
      <c r="D310" s="40"/>
    </row>
    <row r="311" spans="4:4" ht="14.25" customHeight="1" x14ac:dyDescent="0.25">
      <c r="D311" s="40"/>
    </row>
    <row r="312" spans="4:4" ht="14.25" customHeight="1" x14ac:dyDescent="0.25">
      <c r="D312" s="40"/>
    </row>
    <row r="313" spans="4:4" ht="14.25" customHeight="1" x14ac:dyDescent="0.25">
      <c r="D313" s="40"/>
    </row>
    <row r="314" spans="4:4" ht="14.25" customHeight="1" x14ac:dyDescent="0.25">
      <c r="D314" s="40"/>
    </row>
    <row r="315" spans="4:4" ht="14.25" customHeight="1" x14ac:dyDescent="0.25">
      <c r="D315" s="40"/>
    </row>
    <row r="316" spans="4:4" ht="14.25" customHeight="1" x14ac:dyDescent="0.25">
      <c r="D316" s="40"/>
    </row>
    <row r="317" spans="4:4" ht="14.25" customHeight="1" x14ac:dyDescent="0.25">
      <c r="D317" s="40"/>
    </row>
    <row r="318" spans="4:4" ht="14.25" customHeight="1" x14ac:dyDescent="0.25">
      <c r="D318" s="40"/>
    </row>
    <row r="319" spans="4:4" ht="14.25" customHeight="1" x14ac:dyDescent="0.25">
      <c r="D319" s="40"/>
    </row>
    <row r="320" spans="4:4" ht="14.25" customHeight="1" x14ac:dyDescent="0.25">
      <c r="D320" s="40"/>
    </row>
    <row r="321" spans="4:4" ht="14.25" customHeight="1" x14ac:dyDescent="0.25">
      <c r="D321" s="40"/>
    </row>
    <row r="322" spans="4:4" ht="14.25" customHeight="1" x14ac:dyDescent="0.25">
      <c r="D322" s="40"/>
    </row>
    <row r="323" spans="4:4" ht="14.25" customHeight="1" x14ac:dyDescent="0.25">
      <c r="D323" s="40"/>
    </row>
    <row r="324" spans="4:4" ht="14.25" customHeight="1" x14ac:dyDescent="0.25">
      <c r="D324" s="40"/>
    </row>
    <row r="325" spans="4:4" ht="14.25" customHeight="1" x14ac:dyDescent="0.25">
      <c r="D325" s="40"/>
    </row>
    <row r="326" spans="4:4" ht="14.25" customHeight="1" x14ac:dyDescent="0.25">
      <c r="D326" s="40"/>
    </row>
    <row r="327" spans="4:4" ht="14.25" customHeight="1" x14ac:dyDescent="0.25">
      <c r="D327" s="40"/>
    </row>
    <row r="328" spans="4:4" ht="14.25" customHeight="1" x14ac:dyDescent="0.25">
      <c r="D328" s="40"/>
    </row>
    <row r="329" spans="4:4" ht="14.25" customHeight="1" x14ac:dyDescent="0.25">
      <c r="D329" s="40"/>
    </row>
    <row r="330" spans="4:4" ht="14.25" customHeight="1" x14ac:dyDescent="0.25">
      <c r="D330" s="40"/>
    </row>
    <row r="331" spans="4:4" ht="14.25" customHeight="1" x14ac:dyDescent="0.25">
      <c r="D331" s="40"/>
    </row>
    <row r="332" spans="4:4" ht="14.25" customHeight="1" x14ac:dyDescent="0.25">
      <c r="D332" s="40"/>
    </row>
    <row r="333" spans="4:4" ht="14.25" customHeight="1" x14ac:dyDescent="0.25">
      <c r="D333" s="40"/>
    </row>
    <row r="334" spans="4:4" ht="14.25" customHeight="1" x14ac:dyDescent="0.25">
      <c r="D334" s="40"/>
    </row>
    <row r="335" spans="4:4" ht="14.25" customHeight="1" x14ac:dyDescent="0.25">
      <c r="D335" s="40"/>
    </row>
    <row r="336" spans="4:4" ht="14.25" customHeight="1" x14ac:dyDescent="0.25">
      <c r="D336" s="40"/>
    </row>
    <row r="337" spans="4:4" ht="14.25" customHeight="1" x14ac:dyDescent="0.25">
      <c r="D337" s="40"/>
    </row>
    <row r="338" spans="4:4" ht="14.25" customHeight="1" x14ac:dyDescent="0.25">
      <c r="D338" s="40"/>
    </row>
    <row r="339" spans="4:4" ht="14.25" customHeight="1" x14ac:dyDescent="0.25">
      <c r="D339" s="40"/>
    </row>
    <row r="340" spans="4:4" ht="14.25" customHeight="1" x14ac:dyDescent="0.25">
      <c r="D340" s="40"/>
    </row>
    <row r="341" spans="4:4" ht="14.25" customHeight="1" x14ac:dyDescent="0.25">
      <c r="D341" s="40"/>
    </row>
    <row r="342" spans="4:4" ht="14.25" customHeight="1" x14ac:dyDescent="0.25">
      <c r="D342" s="40"/>
    </row>
    <row r="343" spans="4:4" ht="14.25" customHeight="1" x14ac:dyDescent="0.25">
      <c r="D343" s="40"/>
    </row>
    <row r="344" spans="4:4" ht="14.25" customHeight="1" x14ac:dyDescent="0.25">
      <c r="D344" s="40"/>
    </row>
    <row r="345" spans="4:4" ht="14.25" customHeight="1" x14ac:dyDescent="0.25">
      <c r="D345" s="40"/>
    </row>
    <row r="346" spans="4:4" ht="14.25" customHeight="1" x14ac:dyDescent="0.25">
      <c r="D346" s="40"/>
    </row>
    <row r="347" spans="4:4" ht="14.25" customHeight="1" x14ac:dyDescent="0.25">
      <c r="D347" s="40"/>
    </row>
    <row r="348" spans="4:4" ht="14.25" customHeight="1" x14ac:dyDescent="0.25">
      <c r="D348" s="40"/>
    </row>
    <row r="349" spans="4:4" ht="14.25" customHeight="1" x14ac:dyDescent="0.25">
      <c r="D349" s="40"/>
    </row>
    <row r="350" spans="4:4" ht="14.25" customHeight="1" x14ac:dyDescent="0.25">
      <c r="D350" s="40"/>
    </row>
    <row r="351" spans="4:4" ht="14.25" customHeight="1" x14ac:dyDescent="0.25">
      <c r="D351" s="40"/>
    </row>
    <row r="352" spans="4:4" ht="14.25" customHeight="1" x14ac:dyDescent="0.25">
      <c r="D352" s="40"/>
    </row>
    <row r="353" spans="4:4" ht="14.25" customHeight="1" x14ac:dyDescent="0.25">
      <c r="D353" s="40"/>
    </row>
    <row r="354" spans="4:4" ht="14.25" customHeight="1" x14ac:dyDescent="0.25">
      <c r="D354" s="40"/>
    </row>
    <row r="355" spans="4:4" ht="14.25" customHeight="1" x14ac:dyDescent="0.25">
      <c r="D355" s="40"/>
    </row>
    <row r="356" spans="4:4" ht="14.25" customHeight="1" x14ac:dyDescent="0.25">
      <c r="D356" s="40"/>
    </row>
    <row r="357" spans="4:4" ht="14.25" customHeight="1" x14ac:dyDescent="0.25">
      <c r="D357" s="40"/>
    </row>
    <row r="358" spans="4:4" ht="14.25" customHeight="1" x14ac:dyDescent="0.25">
      <c r="D358" s="40"/>
    </row>
    <row r="359" spans="4:4" ht="14.25" customHeight="1" x14ac:dyDescent="0.25">
      <c r="D359" s="40"/>
    </row>
    <row r="360" spans="4:4" ht="14.25" customHeight="1" x14ac:dyDescent="0.25">
      <c r="D360" s="40"/>
    </row>
    <row r="361" spans="4:4" ht="14.25" customHeight="1" x14ac:dyDescent="0.25">
      <c r="D361" s="40"/>
    </row>
    <row r="362" spans="4:4" ht="14.25" customHeight="1" x14ac:dyDescent="0.25">
      <c r="D362" s="40"/>
    </row>
    <row r="363" spans="4:4" ht="14.25" customHeight="1" x14ac:dyDescent="0.25">
      <c r="D363" s="40"/>
    </row>
    <row r="364" spans="4:4" ht="14.25" customHeight="1" x14ac:dyDescent="0.25">
      <c r="D364" s="40"/>
    </row>
    <row r="365" spans="4:4" ht="14.25" customHeight="1" x14ac:dyDescent="0.25">
      <c r="D365" s="40"/>
    </row>
    <row r="366" spans="4:4" ht="14.25" customHeight="1" x14ac:dyDescent="0.25">
      <c r="D366" s="40"/>
    </row>
    <row r="367" spans="4:4" ht="14.25" customHeight="1" x14ac:dyDescent="0.25">
      <c r="D367" s="40"/>
    </row>
    <row r="368" spans="4:4" ht="14.25" customHeight="1" x14ac:dyDescent="0.25">
      <c r="D368" s="40"/>
    </row>
    <row r="369" spans="4:4" ht="14.25" customHeight="1" x14ac:dyDescent="0.25">
      <c r="D369" s="40"/>
    </row>
    <row r="370" spans="4:4" ht="14.25" customHeight="1" x14ac:dyDescent="0.25">
      <c r="D370" s="40"/>
    </row>
    <row r="371" spans="4:4" ht="14.25" customHeight="1" x14ac:dyDescent="0.25">
      <c r="D371" s="40"/>
    </row>
    <row r="372" spans="4:4" ht="14.25" customHeight="1" x14ac:dyDescent="0.25">
      <c r="D372" s="40"/>
    </row>
    <row r="373" spans="4:4" ht="14.25" customHeight="1" x14ac:dyDescent="0.25">
      <c r="D373" s="40"/>
    </row>
    <row r="374" spans="4:4" ht="14.25" customHeight="1" x14ac:dyDescent="0.25">
      <c r="D374" s="40"/>
    </row>
    <row r="375" spans="4:4" ht="14.25" customHeight="1" x14ac:dyDescent="0.25">
      <c r="D375" s="40"/>
    </row>
    <row r="376" spans="4:4" ht="14.25" customHeight="1" x14ac:dyDescent="0.25">
      <c r="D376" s="40"/>
    </row>
    <row r="377" spans="4:4" ht="14.25" customHeight="1" x14ac:dyDescent="0.25">
      <c r="D377" s="40"/>
    </row>
    <row r="378" spans="4:4" ht="14.25" customHeight="1" x14ac:dyDescent="0.25">
      <c r="D378" s="40"/>
    </row>
    <row r="379" spans="4:4" ht="14.25" customHeight="1" x14ac:dyDescent="0.25">
      <c r="D379" s="40"/>
    </row>
    <row r="380" spans="4:4" ht="14.25" customHeight="1" x14ac:dyDescent="0.25">
      <c r="D380" s="40"/>
    </row>
    <row r="381" spans="4:4" ht="14.25" customHeight="1" x14ac:dyDescent="0.25">
      <c r="D381" s="40"/>
    </row>
    <row r="382" spans="4:4" ht="14.25" customHeight="1" x14ac:dyDescent="0.25">
      <c r="D382" s="40"/>
    </row>
    <row r="383" spans="4:4" ht="14.25" customHeight="1" x14ac:dyDescent="0.25">
      <c r="D383" s="40"/>
    </row>
    <row r="384" spans="4:4" ht="14.25" customHeight="1" x14ac:dyDescent="0.25">
      <c r="D384" s="40"/>
    </row>
    <row r="385" spans="4:4" ht="14.25" customHeight="1" x14ac:dyDescent="0.25">
      <c r="D385" s="40"/>
    </row>
    <row r="386" spans="4:4" ht="14.25" customHeight="1" x14ac:dyDescent="0.25">
      <c r="D386" s="40"/>
    </row>
    <row r="387" spans="4:4" ht="14.25" customHeight="1" x14ac:dyDescent="0.25">
      <c r="D387" s="40"/>
    </row>
    <row r="388" spans="4:4" ht="14.25" customHeight="1" x14ac:dyDescent="0.25">
      <c r="D388" s="40"/>
    </row>
    <row r="389" spans="4:4" ht="14.25" customHeight="1" x14ac:dyDescent="0.25">
      <c r="D389" s="40"/>
    </row>
    <row r="390" spans="4:4" ht="14.25" customHeight="1" x14ac:dyDescent="0.25">
      <c r="D390" s="40"/>
    </row>
    <row r="391" spans="4:4" ht="14.25" customHeight="1" x14ac:dyDescent="0.25">
      <c r="D391" s="40"/>
    </row>
    <row r="392" spans="4:4" ht="14.25" customHeight="1" x14ac:dyDescent="0.25">
      <c r="D392" s="40"/>
    </row>
    <row r="393" spans="4:4" ht="14.25" customHeight="1" x14ac:dyDescent="0.25">
      <c r="D393" s="40"/>
    </row>
    <row r="394" spans="4:4" ht="14.25" customHeight="1" x14ac:dyDescent="0.25">
      <c r="D394" s="40"/>
    </row>
    <row r="395" spans="4:4" ht="14.25" customHeight="1" x14ac:dyDescent="0.25">
      <c r="D395" s="40"/>
    </row>
    <row r="396" spans="4:4" ht="14.25" customHeight="1" x14ac:dyDescent="0.25">
      <c r="D396" s="40"/>
    </row>
    <row r="397" spans="4:4" ht="14.25" customHeight="1" x14ac:dyDescent="0.25">
      <c r="D397" s="40"/>
    </row>
    <row r="398" spans="4:4" ht="14.25" customHeight="1" x14ac:dyDescent="0.25">
      <c r="D398" s="40"/>
    </row>
    <row r="399" spans="4:4" ht="14.25" customHeight="1" x14ac:dyDescent="0.25">
      <c r="D399" s="40"/>
    </row>
    <row r="400" spans="4:4" ht="14.25" customHeight="1" x14ac:dyDescent="0.25">
      <c r="D400" s="40"/>
    </row>
    <row r="401" spans="4:4" ht="14.25" customHeight="1" x14ac:dyDescent="0.25">
      <c r="D401" s="40"/>
    </row>
    <row r="402" spans="4:4" ht="14.25" customHeight="1" x14ac:dyDescent="0.25">
      <c r="D402" s="40"/>
    </row>
    <row r="403" spans="4:4" ht="14.25" customHeight="1" x14ac:dyDescent="0.25">
      <c r="D403" s="40"/>
    </row>
    <row r="404" spans="4:4" ht="14.25" customHeight="1" x14ac:dyDescent="0.25">
      <c r="D404" s="40"/>
    </row>
    <row r="405" spans="4:4" ht="14.25" customHeight="1" x14ac:dyDescent="0.25">
      <c r="D405" s="40"/>
    </row>
    <row r="406" spans="4:4" ht="14.25" customHeight="1" x14ac:dyDescent="0.25">
      <c r="D406" s="40"/>
    </row>
    <row r="407" spans="4:4" ht="14.25" customHeight="1" x14ac:dyDescent="0.25">
      <c r="D407" s="40"/>
    </row>
    <row r="408" spans="4:4" ht="14.25" customHeight="1" x14ac:dyDescent="0.25">
      <c r="D408" s="40"/>
    </row>
    <row r="409" spans="4:4" ht="14.25" customHeight="1" x14ac:dyDescent="0.25">
      <c r="D409" s="40"/>
    </row>
    <row r="410" spans="4:4" ht="14.25" customHeight="1" x14ac:dyDescent="0.25">
      <c r="D410" s="40"/>
    </row>
    <row r="411" spans="4:4" ht="14.25" customHeight="1" x14ac:dyDescent="0.25">
      <c r="D411" s="40"/>
    </row>
    <row r="412" spans="4:4" ht="14.25" customHeight="1" x14ac:dyDescent="0.25">
      <c r="D412" s="40"/>
    </row>
    <row r="413" spans="4:4" ht="14.25" customHeight="1" x14ac:dyDescent="0.25">
      <c r="D413" s="40"/>
    </row>
    <row r="414" spans="4:4" ht="14.25" customHeight="1" x14ac:dyDescent="0.25">
      <c r="D414" s="40"/>
    </row>
    <row r="415" spans="4:4" ht="14.25" customHeight="1" x14ac:dyDescent="0.25">
      <c r="D415" s="40"/>
    </row>
    <row r="416" spans="4:4" ht="14.25" customHeight="1" x14ac:dyDescent="0.25">
      <c r="D416" s="40"/>
    </row>
    <row r="417" spans="4:4" ht="14.25" customHeight="1" x14ac:dyDescent="0.25">
      <c r="D417" s="40"/>
    </row>
    <row r="418" spans="4:4" ht="14.25" customHeight="1" x14ac:dyDescent="0.25">
      <c r="D418" s="40"/>
    </row>
    <row r="419" spans="4:4" ht="14.25" customHeight="1" x14ac:dyDescent="0.25">
      <c r="D419" s="40"/>
    </row>
    <row r="420" spans="4:4" ht="14.25" customHeight="1" x14ac:dyDescent="0.25">
      <c r="D420" s="40"/>
    </row>
    <row r="421" spans="4:4" ht="14.25" customHeight="1" x14ac:dyDescent="0.25">
      <c r="D421" s="40"/>
    </row>
    <row r="422" spans="4:4" ht="14.25" customHeight="1" x14ac:dyDescent="0.25">
      <c r="D422" s="40"/>
    </row>
    <row r="423" spans="4:4" ht="14.25" customHeight="1" x14ac:dyDescent="0.25">
      <c r="D423" s="40"/>
    </row>
    <row r="424" spans="4:4" ht="14.25" customHeight="1" x14ac:dyDescent="0.25">
      <c r="D424" s="40"/>
    </row>
    <row r="425" spans="4:4" ht="14.25" customHeight="1" x14ac:dyDescent="0.25">
      <c r="D425" s="40"/>
    </row>
    <row r="426" spans="4:4" ht="14.25" customHeight="1" x14ac:dyDescent="0.25">
      <c r="D426" s="40"/>
    </row>
    <row r="427" spans="4:4" ht="14.25" customHeight="1" x14ac:dyDescent="0.25">
      <c r="D427" s="40"/>
    </row>
    <row r="428" spans="4:4" ht="14.25" customHeight="1" x14ac:dyDescent="0.25">
      <c r="D428" s="40"/>
    </row>
    <row r="429" spans="4:4" ht="14.25" customHeight="1" x14ac:dyDescent="0.25">
      <c r="D429" s="40"/>
    </row>
    <row r="430" spans="4:4" ht="14.25" customHeight="1" x14ac:dyDescent="0.25">
      <c r="D430" s="40"/>
    </row>
    <row r="431" spans="4:4" ht="14.25" customHeight="1" x14ac:dyDescent="0.25">
      <c r="D431" s="40"/>
    </row>
    <row r="432" spans="4:4" ht="14.25" customHeight="1" x14ac:dyDescent="0.25">
      <c r="D432" s="40"/>
    </row>
    <row r="433" spans="4:4" ht="14.25" customHeight="1" x14ac:dyDescent="0.25">
      <c r="D433" s="40"/>
    </row>
    <row r="434" spans="4:4" ht="14.25" customHeight="1" x14ac:dyDescent="0.25">
      <c r="D434" s="40"/>
    </row>
    <row r="435" spans="4:4" ht="14.25" customHeight="1" x14ac:dyDescent="0.25">
      <c r="D435" s="40"/>
    </row>
    <row r="436" spans="4:4" ht="14.25" customHeight="1" x14ac:dyDescent="0.25">
      <c r="D436" s="40"/>
    </row>
    <row r="437" spans="4:4" ht="14.25" customHeight="1" x14ac:dyDescent="0.25">
      <c r="D437" s="40"/>
    </row>
    <row r="438" spans="4:4" ht="14.25" customHeight="1" x14ac:dyDescent="0.25">
      <c r="D438" s="40"/>
    </row>
    <row r="439" spans="4:4" ht="14.25" customHeight="1" x14ac:dyDescent="0.25">
      <c r="D439" s="40"/>
    </row>
    <row r="440" spans="4:4" ht="14.25" customHeight="1" x14ac:dyDescent="0.25">
      <c r="D440" s="40"/>
    </row>
    <row r="441" spans="4:4" ht="14.25" customHeight="1" x14ac:dyDescent="0.25">
      <c r="D441" s="40"/>
    </row>
    <row r="442" spans="4:4" ht="14.25" customHeight="1" x14ac:dyDescent="0.25">
      <c r="D442" s="40"/>
    </row>
    <row r="443" spans="4:4" ht="14.25" customHeight="1" x14ac:dyDescent="0.25">
      <c r="D443" s="40"/>
    </row>
    <row r="444" spans="4:4" ht="14.25" customHeight="1" x14ac:dyDescent="0.25">
      <c r="D444" s="40"/>
    </row>
    <row r="445" spans="4:4" ht="14.25" customHeight="1" x14ac:dyDescent="0.25">
      <c r="D445" s="40"/>
    </row>
    <row r="446" spans="4:4" ht="14.25" customHeight="1" x14ac:dyDescent="0.25">
      <c r="D446" s="40"/>
    </row>
    <row r="447" spans="4:4" ht="14.25" customHeight="1" x14ac:dyDescent="0.25">
      <c r="D447" s="40"/>
    </row>
    <row r="448" spans="4:4" ht="14.25" customHeight="1" x14ac:dyDescent="0.25">
      <c r="D448" s="40"/>
    </row>
    <row r="449" spans="4:4" ht="14.25" customHeight="1" x14ac:dyDescent="0.25">
      <c r="D449" s="40"/>
    </row>
    <row r="450" spans="4:4" ht="14.25" customHeight="1" x14ac:dyDescent="0.25">
      <c r="D450" s="40"/>
    </row>
    <row r="451" spans="4:4" ht="14.25" customHeight="1" x14ac:dyDescent="0.25">
      <c r="D451" s="40"/>
    </row>
    <row r="452" spans="4:4" ht="14.25" customHeight="1" x14ac:dyDescent="0.25">
      <c r="D452" s="40"/>
    </row>
    <row r="453" spans="4:4" ht="14.25" customHeight="1" x14ac:dyDescent="0.25">
      <c r="D453" s="40"/>
    </row>
    <row r="454" spans="4:4" ht="14.25" customHeight="1" x14ac:dyDescent="0.25">
      <c r="D454" s="40"/>
    </row>
    <row r="455" spans="4:4" ht="14.25" customHeight="1" x14ac:dyDescent="0.25">
      <c r="D455" s="40"/>
    </row>
    <row r="456" spans="4:4" ht="14.25" customHeight="1" x14ac:dyDescent="0.25">
      <c r="D456" s="40"/>
    </row>
    <row r="457" spans="4:4" ht="14.25" customHeight="1" x14ac:dyDescent="0.25">
      <c r="D457" s="40"/>
    </row>
    <row r="458" spans="4:4" ht="14.25" customHeight="1" x14ac:dyDescent="0.25">
      <c r="D458" s="40"/>
    </row>
    <row r="459" spans="4:4" ht="14.25" customHeight="1" x14ac:dyDescent="0.25">
      <c r="D459" s="40"/>
    </row>
    <row r="460" spans="4:4" ht="14.25" customHeight="1" x14ac:dyDescent="0.25">
      <c r="D460" s="40"/>
    </row>
    <row r="461" spans="4:4" ht="14.25" customHeight="1" x14ac:dyDescent="0.25">
      <c r="D461" s="40"/>
    </row>
    <row r="462" spans="4:4" ht="14.25" customHeight="1" x14ac:dyDescent="0.25">
      <c r="D462" s="40"/>
    </row>
    <row r="463" spans="4:4" ht="14.25" customHeight="1" x14ac:dyDescent="0.25">
      <c r="D463" s="40"/>
    </row>
    <row r="464" spans="4:4" ht="14.25" customHeight="1" x14ac:dyDescent="0.25">
      <c r="D464" s="40"/>
    </row>
    <row r="465" spans="4:4" ht="14.25" customHeight="1" x14ac:dyDescent="0.25">
      <c r="D465" s="40"/>
    </row>
    <row r="466" spans="4:4" ht="14.25" customHeight="1" x14ac:dyDescent="0.25">
      <c r="D466" s="40"/>
    </row>
    <row r="467" spans="4:4" ht="14.25" customHeight="1" x14ac:dyDescent="0.25">
      <c r="D467" s="40"/>
    </row>
    <row r="468" spans="4:4" ht="14.25" customHeight="1" x14ac:dyDescent="0.25">
      <c r="D468" s="40"/>
    </row>
    <row r="469" spans="4:4" ht="14.25" customHeight="1" x14ac:dyDescent="0.25">
      <c r="D469" s="40"/>
    </row>
    <row r="470" spans="4:4" ht="14.25" customHeight="1" x14ac:dyDescent="0.25">
      <c r="D470" s="40"/>
    </row>
    <row r="471" spans="4:4" ht="14.25" customHeight="1" x14ac:dyDescent="0.25">
      <c r="D471" s="40"/>
    </row>
    <row r="472" spans="4:4" ht="14.25" customHeight="1" x14ac:dyDescent="0.25">
      <c r="D472" s="40"/>
    </row>
    <row r="473" spans="4:4" ht="14.25" customHeight="1" x14ac:dyDescent="0.25">
      <c r="D473" s="40"/>
    </row>
    <row r="474" spans="4:4" ht="14.25" customHeight="1" x14ac:dyDescent="0.25">
      <c r="D474" s="40"/>
    </row>
    <row r="475" spans="4:4" ht="14.25" customHeight="1" x14ac:dyDescent="0.25">
      <c r="D475" s="40"/>
    </row>
    <row r="476" spans="4:4" ht="14.25" customHeight="1" x14ac:dyDescent="0.25">
      <c r="D476" s="40"/>
    </row>
    <row r="477" spans="4:4" ht="14.25" customHeight="1" x14ac:dyDescent="0.25">
      <c r="D477" s="40"/>
    </row>
    <row r="478" spans="4:4" ht="14.25" customHeight="1" x14ac:dyDescent="0.25">
      <c r="D478" s="40"/>
    </row>
    <row r="479" spans="4:4" ht="14.25" customHeight="1" x14ac:dyDescent="0.25">
      <c r="D479" s="40"/>
    </row>
    <row r="480" spans="4:4" ht="14.25" customHeight="1" x14ac:dyDescent="0.25">
      <c r="D480" s="40"/>
    </row>
    <row r="481" spans="4:4" ht="14.25" customHeight="1" x14ac:dyDescent="0.25">
      <c r="D481" s="40"/>
    </row>
    <row r="482" spans="4:4" ht="14.25" customHeight="1" x14ac:dyDescent="0.25">
      <c r="D482" s="40"/>
    </row>
    <row r="483" spans="4:4" ht="14.25" customHeight="1" x14ac:dyDescent="0.25">
      <c r="D483" s="40"/>
    </row>
    <row r="484" spans="4:4" ht="14.25" customHeight="1" x14ac:dyDescent="0.25">
      <c r="D484" s="40"/>
    </row>
    <row r="485" spans="4:4" ht="14.25" customHeight="1" x14ac:dyDescent="0.25">
      <c r="D485" s="40"/>
    </row>
    <row r="486" spans="4:4" ht="14.25" customHeight="1" x14ac:dyDescent="0.25">
      <c r="D486" s="40"/>
    </row>
    <row r="487" spans="4:4" ht="14.25" customHeight="1" x14ac:dyDescent="0.25">
      <c r="D487" s="40"/>
    </row>
    <row r="488" spans="4:4" ht="14.25" customHeight="1" x14ac:dyDescent="0.25">
      <c r="D488" s="40"/>
    </row>
    <row r="489" spans="4:4" ht="14.25" customHeight="1" x14ac:dyDescent="0.25">
      <c r="D489" s="40"/>
    </row>
    <row r="490" spans="4:4" ht="14.25" customHeight="1" x14ac:dyDescent="0.25">
      <c r="D490" s="40"/>
    </row>
    <row r="491" spans="4:4" ht="14.25" customHeight="1" x14ac:dyDescent="0.25">
      <c r="D491" s="40"/>
    </row>
    <row r="492" spans="4:4" ht="14.25" customHeight="1" x14ac:dyDescent="0.25">
      <c r="D492" s="40"/>
    </row>
    <row r="493" spans="4:4" ht="14.25" customHeight="1" x14ac:dyDescent="0.25">
      <c r="D493" s="40"/>
    </row>
    <row r="494" spans="4:4" ht="14.25" customHeight="1" x14ac:dyDescent="0.25">
      <c r="D494" s="40"/>
    </row>
    <row r="495" spans="4:4" ht="14.25" customHeight="1" x14ac:dyDescent="0.25">
      <c r="D495" s="40"/>
    </row>
    <row r="496" spans="4:4" ht="14.25" customHeight="1" x14ac:dyDescent="0.25">
      <c r="D496" s="40"/>
    </row>
    <row r="497" spans="4:4" ht="14.25" customHeight="1" x14ac:dyDescent="0.25">
      <c r="D497" s="40"/>
    </row>
    <row r="498" spans="4:4" ht="14.25" customHeight="1" x14ac:dyDescent="0.25">
      <c r="D498" s="40"/>
    </row>
    <row r="499" spans="4:4" ht="14.25" customHeight="1" x14ac:dyDescent="0.25">
      <c r="D499" s="40"/>
    </row>
    <row r="500" spans="4:4" ht="14.25" customHeight="1" x14ac:dyDescent="0.25">
      <c r="D500" s="40"/>
    </row>
    <row r="501" spans="4:4" ht="14.25" customHeight="1" x14ac:dyDescent="0.25">
      <c r="D501" s="40"/>
    </row>
    <row r="502" spans="4:4" ht="14.25" customHeight="1" x14ac:dyDescent="0.25">
      <c r="D502" s="40"/>
    </row>
    <row r="503" spans="4:4" ht="14.25" customHeight="1" x14ac:dyDescent="0.25">
      <c r="D503" s="40"/>
    </row>
    <row r="504" spans="4:4" ht="14.25" customHeight="1" x14ac:dyDescent="0.25">
      <c r="D504" s="40"/>
    </row>
    <row r="505" spans="4:4" ht="14.25" customHeight="1" x14ac:dyDescent="0.25">
      <c r="D505" s="40"/>
    </row>
    <row r="506" spans="4:4" ht="14.25" customHeight="1" x14ac:dyDescent="0.25">
      <c r="D506" s="40"/>
    </row>
    <row r="507" spans="4:4" ht="14.25" customHeight="1" x14ac:dyDescent="0.25">
      <c r="D507" s="40"/>
    </row>
    <row r="508" spans="4:4" ht="14.25" customHeight="1" x14ac:dyDescent="0.25">
      <c r="D508" s="40"/>
    </row>
    <row r="509" spans="4:4" ht="14.25" customHeight="1" x14ac:dyDescent="0.25">
      <c r="D509" s="40"/>
    </row>
    <row r="510" spans="4:4" ht="14.25" customHeight="1" x14ac:dyDescent="0.25">
      <c r="D510" s="40"/>
    </row>
    <row r="511" spans="4:4" ht="14.25" customHeight="1" x14ac:dyDescent="0.25">
      <c r="D511" s="40"/>
    </row>
    <row r="512" spans="4:4" ht="14.25" customHeight="1" x14ac:dyDescent="0.25">
      <c r="D512" s="40"/>
    </row>
    <row r="513" spans="4:4" ht="14.25" customHeight="1" x14ac:dyDescent="0.25">
      <c r="D513" s="40"/>
    </row>
    <row r="514" spans="4:4" ht="14.25" customHeight="1" x14ac:dyDescent="0.25">
      <c r="D514" s="40"/>
    </row>
    <row r="515" spans="4:4" ht="14.25" customHeight="1" x14ac:dyDescent="0.25">
      <c r="D515" s="40"/>
    </row>
    <row r="516" spans="4:4" ht="14.25" customHeight="1" x14ac:dyDescent="0.25">
      <c r="D516" s="40"/>
    </row>
    <row r="517" spans="4:4" ht="14.25" customHeight="1" x14ac:dyDescent="0.25">
      <c r="D517" s="40"/>
    </row>
    <row r="518" spans="4:4" ht="14.25" customHeight="1" x14ac:dyDescent="0.25">
      <c r="D518" s="40"/>
    </row>
    <row r="519" spans="4:4" ht="14.25" customHeight="1" x14ac:dyDescent="0.25">
      <c r="D519" s="40"/>
    </row>
    <row r="520" spans="4:4" ht="14.25" customHeight="1" x14ac:dyDescent="0.25">
      <c r="D520" s="40"/>
    </row>
    <row r="521" spans="4:4" ht="14.25" customHeight="1" x14ac:dyDescent="0.25">
      <c r="D521" s="40"/>
    </row>
    <row r="522" spans="4:4" ht="14.25" customHeight="1" x14ac:dyDescent="0.25">
      <c r="D522" s="40"/>
    </row>
    <row r="523" spans="4:4" ht="14.25" customHeight="1" x14ac:dyDescent="0.25">
      <c r="D523" s="40"/>
    </row>
    <row r="524" spans="4:4" ht="14.25" customHeight="1" x14ac:dyDescent="0.25">
      <c r="D524" s="40"/>
    </row>
    <row r="525" spans="4:4" ht="14.25" customHeight="1" x14ac:dyDescent="0.25">
      <c r="D525" s="40"/>
    </row>
    <row r="526" spans="4:4" ht="14.25" customHeight="1" x14ac:dyDescent="0.25">
      <c r="D526" s="40"/>
    </row>
    <row r="527" spans="4:4" ht="14.25" customHeight="1" x14ac:dyDescent="0.25">
      <c r="D527" s="40"/>
    </row>
    <row r="528" spans="4:4" ht="14.25" customHeight="1" x14ac:dyDescent="0.25">
      <c r="D528" s="40"/>
    </row>
    <row r="529" spans="4:4" ht="14.25" customHeight="1" x14ac:dyDescent="0.25">
      <c r="D529" s="40"/>
    </row>
    <row r="530" spans="4:4" ht="14.25" customHeight="1" x14ac:dyDescent="0.25">
      <c r="D530" s="40"/>
    </row>
    <row r="531" spans="4:4" ht="14.25" customHeight="1" x14ac:dyDescent="0.25">
      <c r="D531" s="40"/>
    </row>
    <row r="532" spans="4:4" ht="14.25" customHeight="1" x14ac:dyDescent="0.25">
      <c r="D532" s="40"/>
    </row>
    <row r="533" spans="4:4" ht="14.25" customHeight="1" x14ac:dyDescent="0.25">
      <c r="D533" s="40"/>
    </row>
    <row r="534" spans="4:4" ht="14.25" customHeight="1" x14ac:dyDescent="0.25">
      <c r="D534" s="40"/>
    </row>
    <row r="535" spans="4:4" ht="14.25" customHeight="1" x14ac:dyDescent="0.25">
      <c r="D535" s="40"/>
    </row>
    <row r="536" spans="4:4" ht="14.25" customHeight="1" x14ac:dyDescent="0.25">
      <c r="D536" s="40"/>
    </row>
    <row r="537" spans="4:4" ht="14.25" customHeight="1" x14ac:dyDescent="0.25">
      <c r="D537" s="40"/>
    </row>
    <row r="538" spans="4:4" ht="14.25" customHeight="1" x14ac:dyDescent="0.25">
      <c r="D538" s="40"/>
    </row>
    <row r="539" spans="4:4" ht="14.25" customHeight="1" x14ac:dyDescent="0.25">
      <c r="D539" s="40"/>
    </row>
    <row r="540" spans="4:4" ht="14.25" customHeight="1" x14ac:dyDescent="0.25">
      <c r="D540" s="40"/>
    </row>
    <row r="541" spans="4:4" ht="14.25" customHeight="1" x14ac:dyDescent="0.25">
      <c r="D541" s="40"/>
    </row>
    <row r="542" spans="4:4" ht="14.25" customHeight="1" x14ac:dyDescent="0.25">
      <c r="D542" s="40"/>
    </row>
    <row r="543" spans="4:4" ht="14.25" customHeight="1" x14ac:dyDescent="0.25">
      <c r="D543" s="40"/>
    </row>
    <row r="544" spans="4:4" ht="14.25" customHeight="1" x14ac:dyDescent="0.25">
      <c r="D544" s="40"/>
    </row>
    <row r="545" spans="4:4" ht="14.25" customHeight="1" x14ac:dyDescent="0.25">
      <c r="D545" s="40"/>
    </row>
    <row r="546" spans="4:4" ht="14.25" customHeight="1" x14ac:dyDescent="0.25">
      <c r="D546" s="40"/>
    </row>
    <row r="547" spans="4:4" ht="14.25" customHeight="1" x14ac:dyDescent="0.25">
      <c r="D547" s="40"/>
    </row>
    <row r="548" spans="4:4" ht="14.25" customHeight="1" x14ac:dyDescent="0.25">
      <c r="D548" s="40"/>
    </row>
    <row r="549" spans="4:4" ht="14.25" customHeight="1" x14ac:dyDescent="0.25">
      <c r="D549" s="40"/>
    </row>
    <row r="550" spans="4:4" ht="14.25" customHeight="1" x14ac:dyDescent="0.25">
      <c r="D550" s="40"/>
    </row>
    <row r="551" spans="4:4" ht="14.25" customHeight="1" x14ac:dyDescent="0.25">
      <c r="D551" s="40"/>
    </row>
    <row r="552" spans="4:4" ht="14.25" customHeight="1" x14ac:dyDescent="0.25">
      <c r="D552" s="40"/>
    </row>
    <row r="553" spans="4:4" ht="14.25" customHeight="1" x14ac:dyDescent="0.25">
      <c r="D553" s="40"/>
    </row>
    <row r="554" spans="4:4" ht="14.25" customHeight="1" x14ac:dyDescent="0.25">
      <c r="D554" s="40"/>
    </row>
    <row r="555" spans="4:4" ht="14.25" customHeight="1" x14ac:dyDescent="0.25">
      <c r="D555" s="40"/>
    </row>
    <row r="556" spans="4:4" ht="14.25" customHeight="1" x14ac:dyDescent="0.25">
      <c r="D556" s="40"/>
    </row>
    <row r="557" spans="4:4" ht="14.25" customHeight="1" x14ac:dyDescent="0.25">
      <c r="D557" s="40"/>
    </row>
    <row r="558" spans="4:4" ht="14.25" customHeight="1" x14ac:dyDescent="0.25">
      <c r="D558" s="40"/>
    </row>
    <row r="559" spans="4:4" ht="14.25" customHeight="1" x14ac:dyDescent="0.25">
      <c r="D559" s="40"/>
    </row>
    <row r="560" spans="4:4" ht="14.25" customHeight="1" x14ac:dyDescent="0.25">
      <c r="D560" s="40"/>
    </row>
    <row r="561" spans="4:4" ht="14.25" customHeight="1" x14ac:dyDescent="0.25">
      <c r="D561" s="40"/>
    </row>
    <row r="562" spans="4:4" ht="14.25" customHeight="1" x14ac:dyDescent="0.25">
      <c r="D562" s="40"/>
    </row>
    <row r="563" spans="4:4" ht="14.25" customHeight="1" x14ac:dyDescent="0.25">
      <c r="D563" s="40"/>
    </row>
    <row r="564" spans="4:4" ht="14.25" customHeight="1" x14ac:dyDescent="0.25">
      <c r="D564" s="40"/>
    </row>
    <row r="565" spans="4:4" ht="14.25" customHeight="1" x14ac:dyDescent="0.25">
      <c r="D565" s="40"/>
    </row>
    <row r="566" spans="4:4" ht="14.25" customHeight="1" x14ac:dyDescent="0.25">
      <c r="D566" s="40"/>
    </row>
    <row r="567" spans="4:4" ht="14.25" customHeight="1" x14ac:dyDescent="0.25">
      <c r="D567" s="40"/>
    </row>
    <row r="568" spans="4:4" ht="14.25" customHeight="1" x14ac:dyDescent="0.25">
      <c r="D568" s="40"/>
    </row>
    <row r="569" spans="4:4" ht="14.25" customHeight="1" x14ac:dyDescent="0.25">
      <c r="D569" s="40"/>
    </row>
    <row r="570" spans="4:4" ht="14.25" customHeight="1" x14ac:dyDescent="0.25">
      <c r="D570" s="40"/>
    </row>
    <row r="571" spans="4:4" ht="14.25" customHeight="1" x14ac:dyDescent="0.25">
      <c r="D571" s="40"/>
    </row>
    <row r="572" spans="4:4" ht="14.25" customHeight="1" x14ac:dyDescent="0.25">
      <c r="D572" s="40"/>
    </row>
    <row r="573" spans="4:4" ht="14.25" customHeight="1" x14ac:dyDescent="0.25">
      <c r="D573" s="40"/>
    </row>
    <row r="574" spans="4:4" ht="14.25" customHeight="1" x14ac:dyDescent="0.25">
      <c r="D574" s="40"/>
    </row>
    <row r="575" spans="4:4" ht="14.25" customHeight="1" x14ac:dyDescent="0.25">
      <c r="D575" s="40"/>
    </row>
    <row r="576" spans="4:4" ht="14.25" customHeight="1" x14ac:dyDescent="0.25">
      <c r="D576" s="40"/>
    </row>
    <row r="577" spans="4:4" ht="14.25" customHeight="1" x14ac:dyDescent="0.25">
      <c r="D577" s="40"/>
    </row>
    <row r="578" spans="4:4" ht="14.25" customHeight="1" x14ac:dyDescent="0.25">
      <c r="D578" s="40"/>
    </row>
    <row r="579" spans="4:4" ht="14.25" customHeight="1" x14ac:dyDescent="0.25">
      <c r="D579" s="40"/>
    </row>
    <row r="580" spans="4:4" ht="14.25" customHeight="1" x14ac:dyDescent="0.25">
      <c r="D580" s="40"/>
    </row>
    <row r="581" spans="4:4" ht="14.25" customHeight="1" x14ac:dyDescent="0.25">
      <c r="D581" s="40"/>
    </row>
    <row r="582" spans="4:4" ht="14.25" customHeight="1" x14ac:dyDescent="0.25">
      <c r="D582" s="40"/>
    </row>
    <row r="583" spans="4:4" ht="14.25" customHeight="1" x14ac:dyDescent="0.25">
      <c r="D583" s="40"/>
    </row>
    <row r="584" spans="4:4" ht="14.25" customHeight="1" x14ac:dyDescent="0.25">
      <c r="D584" s="40"/>
    </row>
    <row r="585" spans="4:4" ht="14.25" customHeight="1" x14ac:dyDescent="0.25">
      <c r="D585" s="40"/>
    </row>
    <row r="586" spans="4:4" ht="14.25" customHeight="1" x14ac:dyDescent="0.25">
      <c r="D586" s="40"/>
    </row>
    <row r="587" spans="4:4" ht="14.25" customHeight="1" x14ac:dyDescent="0.25">
      <c r="D587" s="40"/>
    </row>
    <row r="588" spans="4:4" ht="14.25" customHeight="1" x14ac:dyDescent="0.25">
      <c r="D588" s="40"/>
    </row>
    <row r="589" spans="4:4" ht="14.25" customHeight="1" x14ac:dyDescent="0.25">
      <c r="D589" s="40"/>
    </row>
    <row r="590" spans="4:4" ht="14.25" customHeight="1" x14ac:dyDescent="0.25">
      <c r="D590" s="40"/>
    </row>
    <row r="591" spans="4:4" ht="14.25" customHeight="1" x14ac:dyDescent="0.25">
      <c r="D591" s="40"/>
    </row>
    <row r="592" spans="4:4" ht="14.25" customHeight="1" x14ac:dyDescent="0.25">
      <c r="D592" s="40"/>
    </row>
    <row r="593" spans="4:4" ht="14.25" customHeight="1" x14ac:dyDescent="0.25">
      <c r="D593" s="40"/>
    </row>
    <row r="594" spans="4:4" ht="14.25" customHeight="1" x14ac:dyDescent="0.25">
      <c r="D594" s="40"/>
    </row>
    <row r="595" spans="4:4" ht="14.25" customHeight="1" x14ac:dyDescent="0.25">
      <c r="D595" s="40"/>
    </row>
    <row r="596" spans="4:4" ht="14.25" customHeight="1" x14ac:dyDescent="0.25">
      <c r="D596" s="40"/>
    </row>
    <row r="597" spans="4:4" ht="14.25" customHeight="1" x14ac:dyDescent="0.25">
      <c r="D597" s="40"/>
    </row>
    <row r="598" spans="4:4" ht="14.25" customHeight="1" x14ac:dyDescent="0.25">
      <c r="D598" s="40"/>
    </row>
    <row r="599" spans="4:4" ht="14.25" customHeight="1" x14ac:dyDescent="0.25">
      <c r="D599" s="40"/>
    </row>
    <row r="600" spans="4:4" ht="14.25" customHeight="1" x14ac:dyDescent="0.25">
      <c r="D600" s="40"/>
    </row>
    <row r="601" spans="4:4" ht="14.25" customHeight="1" x14ac:dyDescent="0.25">
      <c r="D601" s="40"/>
    </row>
    <row r="602" spans="4:4" ht="14.25" customHeight="1" x14ac:dyDescent="0.25">
      <c r="D602" s="40"/>
    </row>
    <row r="603" spans="4:4" ht="14.25" customHeight="1" x14ac:dyDescent="0.25">
      <c r="D603" s="40"/>
    </row>
    <row r="604" spans="4:4" ht="14.25" customHeight="1" x14ac:dyDescent="0.25">
      <c r="D604" s="40"/>
    </row>
    <row r="605" spans="4:4" ht="14.25" customHeight="1" x14ac:dyDescent="0.25">
      <c r="D605" s="40"/>
    </row>
    <row r="606" spans="4:4" ht="14.25" customHeight="1" x14ac:dyDescent="0.25">
      <c r="D606" s="40"/>
    </row>
    <row r="607" spans="4:4" ht="14.25" customHeight="1" x14ac:dyDescent="0.25">
      <c r="D607" s="40"/>
    </row>
    <row r="608" spans="4:4" ht="14.25" customHeight="1" x14ac:dyDescent="0.25">
      <c r="D608" s="40"/>
    </row>
    <row r="609" spans="4:4" ht="14.25" customHeight="1" x14ac:dyDescent="0.25">
      <c r="D609" s="40"/>
    </row>
    <row r="610" spans="4:4" ht="14.25" customHeight="1" x14ac:dyDescent="0.25">
      <c r="D610" s="40"/>
    </row>
    <row r="611" spans="4:4" ht="14.25" customHeight="1" x14ac:dyDescent="0.25">
      <c r="D611" s="40"/>
    </row>
    <row r="612" spans="4:4" ht="14.25" customHeight="1" x14ac:dyDescent="0.25">
      <c r="D612" s="40"/>
    </row>
    <row r="613" spans="4:4" ht="14.25" customHeight="1" x14ac:dyDescent="0.25">
      <c r="D613" s="40"/>
    </row>
    <row r="614" spans="4:4" ht="14.25" customHeight="1" x14ac:dyDescent="0.25">
      <c r="D614" s="40"/>
    </row>
    <row r="615" spans="4:4" ht="14.25" customHeight="1" x14ac:dyDescent="0.25">
      <c r="D615" s="40"/>
    </row>
    <row r="616" spans="4:4" ht="14.25" customHeight="1" x14ac:dyDescent="0.25">
      <c r="D616" s="40"/>
    </row>
    <row r="617" spans="4:4" ht="14.25" customHeight="1" x14ac:dyDescent="0.25">
      <c r="D617" s="40"/>
    </row>
    <row r="618" spans="4:4" ht="14.25" customHeight="1" x14ac:dyDescent="0.25">
      <c r="D618" s="40"/>
    </row>
    <row r="619" spans="4:4" ht="14.25" customHeight="1" x14ac:dyDescent="0.25">
      <c r="D619" s="40"/>
    </row>
    <row r="620" spans="4:4" ht="14.25" customHeight="1" x14ac:dyDescent="0.25">
      <c r="D620" s="40"/>
    </row>
    <row r="621" spans="4:4" ht="14.25" customHeight="1" x14ac:dyDescent="0.25">
      <c r="D621" s="40"/>
    </row>
    <row r="622" spans="4:4" ht="14.25" customHeight="1" x14ac:dyDescent="0.25">
      <c r="D622" s="40"/>
    </row>
    <row r="623" spans="4:4" ht="14.25" customHeight="1" x14ac:dyDescent="0.25">
      <c r="D623" s="40"/>
    </row>
    <row r="624" spans="4:4" ht="14.25" customHeight="1" x14ac:dyDescent="0.25">
      <c r="D624" s="40"/>
    </row>
    <row r="625" spans="4:4" ht="14.25" customHeight="1" x14ac:dyDescent="0.25">
      <c r="D625" s="40"/>
    </row>
    <row r="626" spans="4:4" ht="14.25" customHeight="1" x14ac:dyDescent="0.25">
      <c r="D626" s="40"/>
    </row>
    <row r="627" spans="4:4" ht="14.25" customHeight="1" x14ac:dyDescent="0.25">
      <c r="D627" s="40"/>
    </row>
    <row r="628" spans="4:4" ht="14.25" customHeight="1" x14ac:dyDescent="0.25">
      <c r="D628" s="40"/>
    </row>
    <row r="629" spans="4:4" ht="14.25" customHeight="1" x14ac:dyDescent="0.25">
      <c r="D629" s="40"/>
    </row>
    <row r="630" spans="4:4" ht="14.25" customHeight="1" x14ac:dyDescent="0.25">
      <c r="D630" s="40"/>
    </row>
    <row r="631" spans="4:4" ht="14.25" customHeight="1" x14ac:dyDescent="0.25">
      <c r="D631" s="40"/>
    </row>
    <row r="632" spans="4:4" ht="14.25" customHeight="1" x14ac:dyDescent="0.25">
      <c r="D632" s="40"/>
    </row>
    <row r="633" spans="4:4" ht="14.25" customHeight="1" x14ac:dyDescent="0.25">
      <c r="D633" s="40"/>
    </row>
    <row r="634" spans="4:4" ht="14.25" customHeight="1" x14ac:dyDescent="0.25">
      <c r="D634" s="40"/>
    </row>
    <row r="635" spans="4:4" ht="14.25" customHeight="1" x14ac:dyDescent="0.25">
      <c r="D635" s="40"/>
    </row>
    <row r="636" spans="4:4" ht="14.25" customHeight="1" x14ac:dyDescent="0.25">
      <c r="D636" s="40"/>
    </row>
    <row r="637" spans="4:4" ht="14.25" customHeight="1" x14ac:dyDescent="0.25">
      <c r="D637" s="40"/>
    </row>
    <row r="638" spans="4:4" ht="14.25" customHeight="1" x14ac:dyDescent="0.25">
      <c r="D638" s="40"/>
    </row>
    <row r="639" spans="4:4" ht="14.25" customHeight="1" x14ac:dyDescent="0.25">
      <c r="D639" s="40"/>
    </row>
    <row r="640" spans="4:4" ht="14.25" customHeight="1" x14ac:dyDescent="0.25">
      <c r="D640" s="40"/>
    </row>
    <row r="641" spans="4:4" ht="14.25" customHeight="1" x14ac:dyDescent="0.25">
      <c r="D641" s="40"/>
    </row>
    <row r="642" spans="4:4" ht="14.25" customHeight="1" x14ac:dyDescent="0.25">
      <c r="D642" s="40"/>
    </row>
    <row r="643" spans="4:4" ht="14.25" customHeight="1" x14ac:dyDescent="0.25">
      <c r="D643" s="40"/>
    </row>
    <row r="644" spans="4:4" ht="14.25" customHeight="1" x14ac:dyDescent="0.25">
      <c r="D644" s="40"/>
    </row>
    <row r="645" spans="4:4" ht="14.25" customHeight="1" x14ac:dyDescent="0.25">
      <c r="D645" s="40"/>
    </row>
    <row r="646" spans="4:4" ht="14.25" customHeight="1" x14ac:dyDescent="0.25">
      <c r="D646" s="40"/>
    </row>
    <row r="647" spans="4:4" ht="14.25" customHeight="1" x14ac:dyDescent="0.25">
      <c r="D647" s="40"/>
    </row>
    <row r="648" spans="4:4" ht="14.25" customHeight="1" x14ac:dyDescent="0.25">
      <c r="D648" s="40"/>
    </row>
    <row r="649" spans="4:4" ht="14.25" customHeight="1" x14ac:dyDescent="0.25">
      <c r="D649" s="40"/>
    </row>
    <row r="650" spans="4:4" ht="14.25" customHeight="1" x14ac:dyDescent="0.25">
      <c r="D650" s="40"/>
    </row>
    <row r="651" spans="4:4" ht="14.25" customHeight="1" x14ac:dyDescent="0.25">
      <c r="D651" s="40"/>
    </row>
    <row r="652" spans="4:4" ht="14.25" customHeight="1" x14ac:dyDescent="0.25">
      <c r="D652" s="40"/>
    </row>
    <row r="653" spans="4:4" ht="14.25" customHeight="1" x14ac:dyDescent="0.25">
      <c r="D653" s="40"/>
    </row>
    <row r="654" spans="4:4" ht="14.25" customHeight="1" x14ac:dyDescent="0.25">
      <c r="D654" s="40"/>
    </row>
    <row r="655" spans="4:4" ht="14.25" customHeight="1" x14ac:dyDescent="0.25">
      <c r="D655" s="40"/>
    </row>
    <row r="656" spans="4:4" ht="14.25" customHeight="1" x14ac:dyDescent="0.25">
      <c r="D656" s="40"/>
    </row>
    <row r="657" spans="4:4" ht="14.25" customHeight="1" x14ac:dyDescent="0.25">
      <c r="D657" s="40"/>
    </row>
    <row r="658" spans="4:4" ht="14.25" customHeight="1" x14ac:dyDescent="0.25">
      <c r="D658" s="40"/>
    </row>
    <row r="659" spans="4:4" ht="14.25" customHeight="1" x14ac:dyDescent="0.25">
      <c r="D659" s="40"/>
    </row>
    <row r="660" spans="4:4" ht="14.25" customHeight="1" x14ac:dyDescent="0.25">
      <c r="D660" s="40"/>
    </row>
    <row r="661" spans="4:4" ht="14.25" customHeight="1" x14ac:dyDescent="0.25">
      <c r="D661" s="40"/>
    </row>
    <row r="662" spans="4:4" ht="14.25" customHeight="1" x14ac:dyDescent="0.25">
      <c r="D662" s="40"/>
    </row>
    <row r="663" spans="4:4" ht="14.25" customHeight="1" x14ac:dyDescent="0.25">
      <c r="D663" s="40"/>
    </row>
    <row r="664" spans="4:4" ht="14.25" customHeight="1" x14ac:dyDescent="0.25">
      <c r="D664" s="40"/>
    </row>
    <row r="665" spans="4:4" ht="14.25" customHeight="1" x14ac:dyDescent="0.25">
      <c r="D665" s="40"/>
    </row>
    <row r="666" spans="4:4" ht="14.25" customHeight="1" x14ac:dyDescent="0.25">
      <c r="D666" s="40"/>
    </row>
    <row r="667" spans="4:4" ht="14.25" customHeight="1" x14ac:dyDescent="0.25">
      <c r="D667" s="40"/>
    </row>
    <row r="668" spans="4:4" ht="14.25" customHeight="1" x14ac:dyDescent="0.25">
      <c r="D668" s="40"/>
    </row>
    <row r="669" spans="4:4" ht="14.25" customHeight="1" x14ac:dyDescent="0.25">
      <c r="D669" s="40"/>
    </row>
    <row r="670" spans="4:4" ht="14.25" customHeight="1" x14ac:dyDescent="0.25">
      <c r="D670" s="40"/>
    </row>
    <row r="671" spans="4:4" ht="14.25" customHeight="1" x14ac:dyDescent="0.25">
      <c r="D671" s="40"/>
    </row>
    <row r="672" spans="4:4" ht="14.25" customHeight="1" x14ac:dyDescent="0.25">
      <c r="D672" s="40"/>
    </row>
    <row r="673" spans="4:4" ht="14.25" customHeight="1" x14ac:dyDescent="0.25">
      <c r="D673" s="40"/>
    </row>
    <row r="674" spans="4:4" ht="14.25" customHeight="1" x14ac:dyDescent="0.25">
      <c r="D674" s="40"/>
    </row>
    <row r="675" spans="4:4" ht="14.25" customHeight="1" x14ac:dyDescent="0.25">
      <c r="D675" s="40"/>
    </row>
    <row r="676" spans="4:4" ht="14.25" customHeight="1" x14ac:dyDescent="0.25">
      <c r="D676" s="40"/>
    </row>
    <row r="677" spans="4:4" ht="14.25" customHeight="1" x14ac:dyDescent="0.25">
      <c r="D677" s="40"/>
    </row>
    <row r="678" spans="4:4" ht="14.25" customHeight="1" x14ac:dyDescent="0.25">
      <c r="D678" s="40"/>
    </row>
    <row r="679" spans="4:4" ht="14.25" customHeight="1" x14ac:dyDescent="0.25">
      <c r="D679" s="40"/>
    </row>
    <row r="680" spans="4:4" ht="14.25" customHeight="1" x14ac:dyDescent="0.25">
      <c r="D680" s="40"/>
    </row>
    <row r="681" spans="4:4" ht="14.25" customHeight="1" x14ac:dyDescent="0.25">
      <c r="D681" s="40"/>
    </row>
    <row r="682" spans="4:4" ht="14.25" customHeight="1" x14ac:dyDescent="0.25">
      <c r="D682" s="40"/>
    </row>
    <row r="683" spans="4:4" ht="14.25" customHeight="1" x14ac:dyDescent="0.25">
      <c r="D683" s="40"/>
    </row>
    <row r="684" spans="4:4" ht="14.25" customHeight="1" x14ac:dyDescent="0.25">
      <c r="D684" s="40"/>
    </row>
    <row r="685" spans="4:4" ht="14.25" customHeight="1" x14ac:dyDescent="0.25">
      <c r="D685" s="40"/>
    </row>
    <row r="686" spans="4:4" ht="14.25" customHeight="1" x14ac:dyDescent="0.25">
      <c r="D686" s="40"/>
    </row>
    <row r="687" spans="4:4" ht="14.25" customHeight="1" x14ac:dyDescent="0.25">
      <c r="D687" s="40"/>
    </row>
    <row r="688" spans="4:4" ht="14.25" customHeight="1" x14ac:dyDescent="0.25">
      <c r="D688" s="40"/>
    </row>
    <row r="689" spans="4:4" ht="14.25" customHeight="1" x14ac:dyDescent="0.25">
      <c r="D689" s="40"/>
    </row>
    <row r="690" spans="4:4" ht="14.25" customHeight="1" x14ac:dyDescent="0.25">
      <c r="D690" s="40"/>
    </row>
    <row r="691" spans="4:4" ht="14.25" customHeight="1" x14ac:dyDescent="0.25">
      <c r="D691" s="40"/>
    </row>
    <row r="692" spans="4:4" ht="14.25" customHeight="1" x14ac:dyDescent="0.25">
      <c r="D692" s="40"/>
    </row>
    <row r="693" spans="4:4" ht="14.25" customHeight="1" x14ac:dyDescent="0.25">
      <c r="D693" s="40"/>
    </row>
    <row r="694" spans="4:4" ht="14.25" customHeight="1" x14ac:dyDescent="0.25">
      <c r="D694" s="40"/>
    </row>
    <row r="695" spans="4:4" ht="14.25" customHeight="1" x14ac:dyDescent="0.25">
      <c r="D695" s="40"/>
    </row>
    <row r="696" spans="4:4" ht="14.25" customHeight="1" x14ac:dyDescent="0.25">
      <c r="D696" s="40"/>
    </row>
    <row r="697" spans="4:4" ht="14.25" customHeight="1" x14ac:dyDescent="0.25">
      <c r="D697" s="40"/>
    </row>
    <row r="698" spans="4:4" ht="14.25" customHeight="1" x14ac:dyDescent="0.25">
      <c r="D698" s="40"/>
    </row>
    <row r="699" spans="4:4" ht="14.25" customHeight="1" x14ac:dyDescent="0.25">
      <c r="D699" s="40"/>
    </row>
    <row r="700" spans="4:4" ht="14.25" customHeight="1" x14ac:dyDescent="0.25">
      <c r="D700" s="40"/>
    </row>
    <row r="701" spans="4:4" ht="14.25" customHeight="1" x14ac:dyDescent="0.25">
      <c r="D701" s="40"/>
    </row>
    <row r="702" spans="4:4" ht="14.25" customHeight="1" x14ac:dyDescent="0.25">
      <c r="D702" s="40"/>
    </row>
    <row r="703" spans="4:4" ht="14.25" customHeight="1" x14ac:dyDescent="0.25">
      <c r="D703" s="40"/>
    </row>
    <row r="704" spans="4:4" ht="14.25" customHeight="1" x14ac:dyDescent="0.25">
      <c r="D704" s="40"/>
    </row>
    <row r="705" spans="4:4" ht="14.25" customHeight="1" x14ac:dyDescent="0.25">
      <c r="D705" s="40"/>
    </row>
    <row r="706" spans="4:4" ht="14.25" customHeight="1" x14ac:dyDescent="0.25">
      <c r="D706" s="40"/>
    </row>
    <row r="707" spans="4:4" ht="14.25" customHeight="1" x14ac:dyDescent="0.25">
      <c r="D707" s="40"/>
    </row>
    <row r="708" spans="4:4" ht="14.25" customHeight="1" x14ac:dyDescent="0.25">
      <c r="D708" s="40"/>
    </row>
    <row r="709" spans="4:4" ht="14.25" customHeight="1" x14ac:dyDescent="0.25">
      <c r="D709" s="40"/>
    </row>
    <row r="710" spans="4:4" ht="14.25" customHeight="1" x14ac:dyDescent="0.25">
      <c r="D710" s="40"/>
    </row>
    <row r="711" spans="4:4" ht="14.25" customHeight="1" x14ac:dyDescent="0.25">
      <c r="D711" s="40"/>
    </row>
    <row r="712" spans="4:4" ht="14.25" customHeight="1" x14ac:dyDescent="0.25">
      <c r="D712" s="40"/>
    </row>
    <row r="713" spans="4:4" ht="14.25" customHeight="1" x14ac:dyDescent="0.25">
      <c r="D713" s="40"/>
    </row>
    <row r="714" spans="4:4" ht="14.25" customHeight="1" x14ac:dyDescent="0.25">
      <c r="D714" s="40"/>
    </row>
    <row r="715" spans="4:4" ht="14.25" customHeight="1" x14ac:dyDescent="0.25">
      <c r="D715" s="40"/>
    </row>
    <row r="716" spans="4:4" ht="14.25" customHeight="1" x14ac:dyDescent="0.25">
      <c r="D716" s="40"/>
    </row>
    <row r="717" spans="4:4" ht="14.25" customHeight="1" x14ac:dyDescent="0.25">
      <c r="D717" s="40"/>
    </row>
    <row r="718" spans="4:4" ht="14.25" customHeight="1" x14ac:dyDescent="0.25">
      <c r="D718" s="40"/>
    </row>
    <row r="719" spans="4:4" ht="14.25" customHeight="1" x14ac:dyDescent="0.25">
      <c r="D719" s="40"/>
    </row>
    <row r="720" spans="4:4" ht="14.25" customHeight="1" x14ac:dyDescent="0.25">
      <c r="D720" s="40"/>
    </row>
    <row r="721" spans="4:4" ht="14.25" customHeight="1" x14ac:dyDescent="0.25">
      <c r="D721" s="40"/>
    </row>
    <row r="722" spans="4:4" ht="14.25" customHeight="1" x14ac:dyDescent="0.25">
      <c r="D722" s="40"/>
    </row>
    <row r="723" spans="4:4" ht="14.25" customHeight="1" x14ac:dyDescent="0.25">
      <c r="D723" s="40"/>
    </row>
    <row r="724" spans="4:4" ht="14.25" customHeight="1" x14ac:dyDescent="0.25">
      <c r="D724" s="40"/>
    </row>
    <row r="725" spans="4:4" ht="14.25" customHeight="1" x14ac:dyDescent="0.25">
      <c r="D725" s="40"/>
    </row>
    <row r="726" spans="4:4" ht="14.25" customHeight="1" x14ac:dyDescent="0.25">
      <c r="D726" s="40"/>
    </row>
    <row r="727" spans="4:4" ht="14.25" customHeight="1" x14ac:dyDescent="0.25">
      <c r="D727" s="40"/>
    </row>
    <row r="728" spans="4:4" ht="14.25" customHeight="1" x14ac:dyDescent="0.25">
      <c r="D728" s="40"/>
    </row>
    <row r="729" spans="4:4" ht="14.25" customHeight="1" x14ac:dyDescent="0.25">
      <c r="D729" s="40"/>
    </row>
    <row r="730" spans="4:4" ht="14.25" customHeight="1" x14ac:dyDescent="0.25">
      <c r="D730" s="40"/>
    </row>
    <row r="731" spans="4:4" ht="14.25" customHeight="1" x14ac:dyDescent="0.25">
      <c r="D731" s="40"/>
    </row>
    <row r="732" spans="4:4" ht="14.25" customHeight="1" x14ac:dyDescent="0.25">
      <c r="D732" s="40"/>
    </row>
    <row r="733" spans="4:4" ht="14.25" customHeight="1" x14ac:dyDescent="0.25">
      <c r="D733" s="40"/>
    </row>
    <row r="734" spans="4:4" ht="14.25" customHeight="1" x14ac:dyDescent="0.25">
      <c r="D734" s="40"/>
    </row>
    <row r="735" spans="4:4" ht="14.25" customHeight="1" x14ac:dyDescent="0.25">
      <c r="D735" s="40"/>
    </row>
    <row r="736" spans="4:4" ht="14.25" customHeight="1" x14ac:dyDescent="0.25">
      <c r="D736" s="40"/>
    </row>
    <row r="737" spans="4:4" ht="14.25" customHeight="1" x14ac:dyDescent="0.25">
      <c r="D737" s="40"/>
    </row>
    <row r="738" spans="4:4" ht="14.25" customHeight="1" x14ac:dyDescent="0.25">
      <c r="D738" s="40"/>
    </row>
    <row r="739" spans="4:4" ht="14.25" customHeight="1" x14ac:dyDescent="0.25">
      <c r="D739" s="40"/>
    </row>
    <row r="740" spans="4:4" ht="14.25" customHeight="1" x14ac:dyDescent="0.25">
      <c r="D740" s="40"/>
    </row>
    <row r="741" spans="4:4" ht="14.25" customHeight="1" x14ac:dyDescent="0.25">
      <c r="D741" s="40"/>
    </row>
    <row r="742" spans="4:4" ht="14.25" customHeight="1" x14ac:dyDescent="0.25">
      <c r="D742" s="40"/>
    </row>
    <row r="743" spans="4:4" ht="14.25" customHeight="1" x14ac:dyDescent="0.25">
      <c r="D743" s="40"/>
    </row>
    <row r="744" spans="4:4" ht="14.25" customHeight="1" x14ac:dyDescent="0.25">
      <c r="D744" s="40"/>
    </row>
    <row r="745" spans="4:4" ht="14.25" customHeight="1" x14ac:dyDescent="0.25">
      <c r="D745" s="40"/>
    </row>
    <row r="746" spans="4:4" ht="14.25" customHeight="1" x14ac:dyDescent="0.25">
      <c r="D746" s="40"/>
    </row>
    <row r="747" spans="4:4" ht="14.25" customHeight="1" x14ac:dyDescent="0.25">
      <c r="D747" s="40"/>
    </row>
    <row r="748" spans="4:4" ht="14.25" customHeight="1" x14ac:dyDescent="0.25">
      <c r="D748" s="40"/>
    </row>
    <row r="749" spans="4:4" ht="14.25" customHeight="1" x14ac:dyDescent="0.25">
      <c r="D749" s="40"/>
    </row>
    <row r="750" spans="4:4" ht="14.25" customHeight="1" x14ac:dyDescent="0.25">
      <c r="D750" s="40"/>
    </row>
    <row r="751" spans="4:4" ht="14.25" customHeight="1" x14ac:dyDescent="0.25">
      <c r="D751" s="40"/>
    </row>
    <row r="752" spans="4:4" ht="14.25" customHeight="1" x14ac:dyDescent="0.25">
      <c r="D752" s="40"/>
    </row>
    <row r="753" spans="4:4" ht="14.25" customHeight="1" x14ac:dyDescent="0.25">
      <c r="D753" s="40"/>
    </row>
    <row r="754" spans="4:4" ht="14.25" customHeight="1" x14ac:dyDescent="0.25">
      <c r="D754" s="40"/>
    </row>
    <row r="755" spans="4:4" ht="14.25" customHeight="1" x14ac:dyDescent="0.25">
      <c r="D755" s="40"/>
    </row>
    <row r="756" spans="4:4" ht="14.25" customHeight="1" x14ac:dyDescent="0.25">
      <c r="D756" s="40"/>
    </row>
    <row r="757" spans="4:4" ht="14.25" customHeight="1" x14ac:dyDescent="0.25">
      <c r="D757" s="40"/>
    </row>
    <row r="758" spans="4:4" ht="14.25" customHeight="1" x14ac:dyDescent="0.25">
      <c r="D758" s="40"/>
    </row>
    <row r="759" spans="4:4" ht="14.25" customHeight="1" x14ac:dyDescent="0.25">
      <c r="D759" s="40"/>
    </row>
    <row r="760" spans="4:4" ht="14.25" customHeight="1" x14ac:dyDescent="0.25">
      <c r="D760" s="40"/>
    </row>
    <row r="761" spans="4:4" ht="14.25" customHeight="1" x14ac:dyDescent="0.25">
      <c r="D761" s="40"/>
    </row>
    <row r="762" spans="4:4" ht="14.25" customHeight="1" x14ac:dyDescent="0.25">
      <c r="D762" s="40"/>
    </row>
    <row r="763" spans="4:4" ht="14.25" customHeight="1" x14ac:dyDescent="0.25">
      <c r="D763" s="40"/>
    </row>
    <row r="764" spans="4:4" ht="14.25" customHeight="1" x14ac:dyDescent="0.25">
      <c r="D764" s="40"/>
    </row>
    <row r="765" spans="4:4" ht="14.25" customHeight="1" x14ac:dyDescent="0.25">
      <c r="D765" s="40"/>
    </row>
    <row r="766" spans="4:4" ht="14.25" customHeight="1" x14ac:dyDescent="0.25">
      <c r="D766" s="40"/>
    </row>
    <row r="767" spans="4:4" ht="14.25" customHeight="1" x14ac:dyDescent="0.25">
      <c r="D767" s="40"/>
    </row>
    <row r="768" spans="4:4" ht="14.25" customHeight="1" x14ac:dyDescent="0.25">
      <c r="D768" s="40"/>
    </row>
    <row r="769" spans="4:4" ht="14.25" customHeight="1" x14ac:dyDescent="0.25">
      <c r="D769" s="40"/>
    </row>
    <row r="770" spans="4:4" ht="14.25" customHeight="1" x14ac:dyDescent="0.25">
      <c r="D770" s="40"/>
    </row>
    <row r="771" spans="4:4" ht="14.25" customHeight="1" x14ac:dyDescent="0.25">
      <c r="D771" s="40"/>
    </row>
    <row r="772" spans="4:4" ht="14.25" customHeight="1" x14ac:dyDescent="0.25">
      <c r="D772" s="40"/>
    </row>
    <row r="773" spans="4:4" ht="14.25" customHeight="1" x14ac:dyDescent="0.25">
      <c r="D773" s="40"/>
    </row>
    <row r="774" spans="4:4" ht="14.25" customHeight="1" x14ac:dyDescent="0.25">
      <c r="D774" s="40"/>
    </row>
    <row r="775" spans="4:4" ht="14.25" customHeight="1" x14ac:dyDescent="0.25">
      <c r="D775" s="40"/>
    </row>
    <row r="776" spans="4:4" ht="14.25" customHeight="1" x14ac:dyDescent="0.25">
      <c r="D776" s="40"/>
    </row>
    <row r="777" spans="4:4" ht="14.25" customHeight="1" x14ac:dyDescent="0.25">
      <c r="D777" s="40"/>
    </row>
    <row r="778" spans="4:4" ht="14.25" customHeight="1" x14ac:dyDescent="0.25">
      <c r="D778" s="40"/>
    </row>
    <row r="779" spans="4:4" ht="14.25" customHeight="1" x14ac:dyDescent="0.25">
      <c r="D779" s="40"/>
    </row>
    <row r="780" spans="4:4" ht="14.25" customHeight="1" x14ac:dyDescent="0.25">
      <c r="D780" s="40"/>
    </row>
    <row r="781" spans="4:4" ht="14.25" customHeight="1" x14ac:dyDescent="0.25">
      <c r="D781" s="40"/>
    </row>
    <row r="782" spans="4:4" ht="14.25" customHeight="1" x14ac:dyDescent="0.25">
      <c r="D782" s="40"/>
    </row>
    <row r="783" spans="4:4" ht="14.25" customHeight="1" x14ac:dyDescent="0.25">
      <c r="D783" s="40"/>
    </row>
    <row r="784" spans="4:4" ht="14.25" customHeight="1" x14ac:dyDescent="0.25">
      <c r="D784" s="40"/>
    </row>
    <row r="785" spans="4:4" ht="14.25" customHeight="1" x14ac:dyDescent="0.25">
      <c r="D785" s="40"/>
    </row>
    <row r="786" spans="4:4" ht="14.25" customHeight="1" x14ac:dyDescent="0.25">
      <c r="D786" s="40"/>
    </row>
    <row r="787" spans="4:4" ht="14.25" customHeight="1" x14ac:dyDescent="0.25">
      <c r="D787" s="40"/>
    </row>
    <row r="788" spans="4:4" ht="14.25" customHeight="1" x14ac:dyDescent="0.25">
      <c r="D788" s="40"/>
    </row>
    <row r="789" spans="4:4" ht="14.25" customHeight="1" x14ac:dyDescent="0.25">
      <c r="D789" s="40"/>
    </row>
    <row r="790" spans="4:4" ht="14.25" customHeight="1" x14ac:dyDescent="0.25">
      <c r="D790" s="40"/>
    </row>
    <row r="791" spans="4:4" ht="14.25" customHeight="1" x14ac:dyDescent="0.25">
      <c r="D791" s="40"/>
    </row>
    <row r="792" spans="4:4" ht="14.25" customHeight="1" x14ac:dyDescent="0.25">
      <c r="D792" s="40"/>
    </row>
    <row r="793" spans="4:4" ht="14.25" customHeight="1" x14ac:dyDescent="0.25">
      <c r="D793" s="40"/>
    </row>
    <row r="794" spans="4:4" ht="14.25" customHeight="1" x14ac:dyDescent="0.25">
      <c r="D794" s="40"/>
    </row>
    <row r="795" spans="4:4" ht="14.25" customHeight="1" x14ac:dyDescent="0.25">
      <c r="D795" s="40"/>
    </row>
    <row r="796" spans="4:4" ht="14.25" customHeight="1" x14ac:dyDescent="0.25">
      <c r="D796" s="40"/>
    </row>
    <row r="797" spans="4:4" ht="14.25" customHeight="1" x14ac:dyDescent="0.25">
      <c r="D797" s="40"/>
    </row>
    <row r="798" spans="4:4" ht="14.25" customHeight="1" x14ac:dyDescent="0.25">
      <c r="D798" s="40"/>
    </row>
    <row r="799" spans="4:4" ht="14.25" customHeight="1" x14ac:dyDescent="0.25">
      <c r="D799" s="40"/>
    </row>
    <row r="800" spans="4:4" ht="14.25" customHeight="1" x14ac:dyDescent="0.25">
      <c r="D800" s="40"/>
    </row>
    <row r="801" spans="4:4" ht="14.25" customHeight="1" x14ac:dyDescent="0.25">
      <c r="D801" s="40"/>
    </row>
    <row r="802" spans="4:4" ht="14.25" customHeight="1" x14ac:dyDescent="0.25">
      <c r="D802" s="40"/>
    </row>
    <row r="803" spans="4:4" ht="14.25" customHeight="1" x14ac:dyDescent="0.25">
      <c r="D803" s="40"/>
    </row>
    <row r="804" spans="4:4" ht="14.25" customHeight="1" x14ac:dyDescent="0.25">
      <c r="D804" s="40"/>
    </row>
    <row r="805" spans="4:4" ht="14.25" customHeight="1" x14ac:dyDescent="0.25">
      <c r="D805" s="40"/>
    </row>
    <row r="806" spans="4:4" ht="14.25" customHeight="1" x14ac:dyDescent="0.25">
      <c r="D806" s="40"/>
    </row>
    <row r="807" spans="4:4" ht="14.25" customHeight="1" x14ac:dyDescent="0.25">
      <c r="D807" s="40"/>
    </row>
    <row r="808" spans="4:4" ht="14.25" customHeight="1" x14ac:dyDescent="0.25">
      <c r="D808" s="40"/>
    </row>
    <row r="809" spans="4:4" ht="14.25" customHeight="1" x14ac:dyDescent="0.25">
      <c r="D809" s="40"/>
    </row>
    <row r="810" spans="4:4" ht="14.25" customHeight="1" x14ac:dyDescent="0.25">
      <c r="D810" s="40"/>
    </row>
    <row r="811" spans="4:4" ht="14.25" customHeight="1" x14ac:dyDescent="0.25">
      <c r="D811" s="40"/>
    </row>
    <row r="812" spans="4:4" ht="14.25" customHeight="1" x14ac:dyDescent="0.25">
      <c r="D812" s="40"/>
    </row>
    <row r="813" spans="4:4" ht="14.25" customHeight="1" x14ac:dyDescent="0.25">
      <c r="D813" s="40"/>
    </row>
    <row r="814" spans="4:4" ht="14.25" customHeight="1" x14ac:dyDescent="0.25">
      <c r="D814" s="40"/>
    </row>
    <row r="815" spans="4:4" ht="14.25" customHeight="1" x14ac:dyDescent="0.25">
      <c r="D815" s="40"/>
    </row>
    <row r="816" spans="4:4" ht="14.25" customHeight="1" x14ac:dyDescent="0.25">
      <c r="D816" s="40"/>
    </row>
    <row r="817" spans="4:4" ht="14.25" customHeight="1" x14ac:dyDescent="0.25">
      <c r="D817" s="40"/>
    </row>
    <row r="818" spans="4:4" ht="14.25" customHeight="1" x14ac:dyDescent="0.25">
      <c r="D818" s="40"/>
    </row>
    <row r="819" spans="4:4" ht="14.25" customHeight="1" x14ac:dyDescent="0.25">
      <c r="D819" s="40"/>
    </row>
    <row r="820" spans="4:4" ht="14.25" customHeight="1" x14ac:dyDescent="0.25">
      <c r="D820" s="40"/>
    </row>
    <row r="821" spans="4:4" ht="14.25" customHeight="1" x14ac:dyDescent="0.25">
      <c r="D821" s="40"/>
    </row>
    <row r="822" spans="4:4" ht="14.25" customHeight="1" x14ac:dyDescent="0.25">
      <c r="D822" s="40"/>
    </row>
    <row r="823" spans="4:4" ht="14.25" customHeight="1" x14ac:dyDescent="0.25">
      <c r="D823" s="40"/>
    </row>
    <row r="824" spans="4:4" ht="14.25" customHeight="1" x14ac:dyDescent="0.25">
      <c r="D824" s="40"/>
    </row>
    <row r="825" spans="4:4" ht="14.25" customHeight="1" x14ac:dyDescent="0.25">
      <c r="D825" s="40"/>
    </row>
    <row r="826" spans="4:4" ht="14.25" customHeight="1" x14ac:dyDescent="0.25">
      <c r="D826" s="40"/>
    </row>
    <row r="827" spans="4:4" ht="14.25" customHeight="1" x14ac:dyDescent="0.25">
      <c r="D827" s="40"/>
    </row>
    <row r="828" spans="4:4" ht="14.25" customHeight="1" x14ac:dyDescent="0.25">
      <c r="D828" s="40"/>
    </row>
    <row r="829" spans="4:4" ht="14.25" customHeight="1" x14ac:dyDescent="0.25">
      <c r="D829" s="40"/>
    </row>
    <row r="830" spans="4:4" ht="14.25" customHeight="1" x14ac:dyDescent="0.25">
      <c r="D830" s="40"/>
    </row>
    <row r="831" spans="4:4" ht="14.25" customHeight="1" x14ac:dyDescent="0.25">
      <c r="D831" s="40"/>
    </row>
    <row r="832" spans="4:4" ht="14.25" customHeight="1" x14ac:dyDescent="0.25">
      <c r="D832" s="40"/>
    </row>
    <row r="833" spans="4:4" ht="14.25" customHeight="1" x14ac:dyDescent="0.25">
      <c r="D833" s="40"/>
    </row>
    <row r="834" spans="4:4" ht="14.25" customHeight="1" x14ac:dyDescent="0.25">
      <c r="D834" s="40"/>
    </row>
    <row r="835" spans="4:4" ht="14.25" customHeight="1" x14ac:dyDescent="0.25">
      <c r="D835" s="40"/>
    </row>
    <row r="836" spans="4:4" ht="14.25" customHeight="1" x14ac:dyDescent="0.25">
      <c r="D836" s="40"/>
    </row>
    <row r="837" spans="4:4" ht="14.25" customHeight="1" x14ac:dyDescent="0.25">
      <c r="D837" s="40"/>
    </row>
    <row r="838" spans="4:4" ht="14.25" customHeight="1" x14ac:dyDescent="0.25">
      <c r="D838" s="40"/>
    </row>
    <row r="839" spans="4:4" ht="14.25" customHeight="1" x14ac:dyDescent="0.25">
      <c r="D839" s="40"/>
    </row>
    <row r="840" spans="4:4" ht="14.25" customHeight="1" x14ac:dyDescent="0.25">
      <c r="D840" s="40"/>
    </row>
    <row r="841" spans="4:4" ht="14.25" customHeight="1" x14ac:dyDescent="0.25">
      <c r="D841" s="40"/>
    </row>
    <row r="842" spans="4:4" ht="14.25" customHeight="1" x14ac:dyDescent="0.25">
      <c r="D842" s="40"/>
    </row>
    <row r="843" spans="4:4" ht="14.25" customHeight="1" x14ac:dyDescent="0.25">
      <c r="D843" s="40"/>
    </row>
    <row r="844" spans="4:4" ht="14.25" customHeight="1" x14ac:dyDescent="0.25">
      <c r="D844" s="40"/>
    </row>
    <row r="845" spans="4:4" ht="14.25" customHeight="1" x14ac:dyDescent="0.25">
      <c r="D845" s="40"/>
    </row>
    <row r="846" spans="4:4" ht="14.25" customHeight="1" x14ac:dyDescent="0.25">
      <c r="D846" s="40"/>
    </row>
    <row r="847" spans="4:4" ht="14.25" customHeight="1" x14ac:dyDescent="0.25">
      <c r="D847" s="40"/>
    </row>
    <row r="848" spans="4:4" ht="14.25" customHeight="1" x14ac:dyDescent="0.25">
      <c r="D848" s="40"/>
    </row>
    <row r="849" spans="4:4" ht="14.25" customHeight="1" x14ac:dyDescent="0.25">
      <c r="D849" s="40"/>
    </row>
    <row r="850" spans="4:4" ht="14.25" customHeight="1" x14ac:dyDescent="0.25">
      <c r="D850" s="40"/>
    </row>
    <row r="851" spans="4:4" ht="14.25" customHeight="1" x14ac:dyDescent="0.25">
      <c r="D851" s="40"/>
    </row>
    <row r="852" spans="4:4" ht="14.25" customHeight="1" x14ac:dyDescent="0.25">
      <c r="D852" s="40"/>
    </row>
    <row r="853" spans="4:4" ht="14.25" customHeight="1" x14ac:dyDescent="0.25">
      <c r="D853" s="40"/>
    </row>
    <row r="854" spans="4:4" ht="14.25" customHeight="1" x14ac:dyDescent="0.25">
      <c r="D854" s="40"/>
    </row>
    <row r="855" spans="4:4" ht="14.25" customHeight="1" x14ac:dyDescent="0.25">
      <c r="D855" s="40"/>
    </row>
    <row r="856" spans="4:4" ht="14.25" customHeight="1" x14ac:dyDescent="0.25">
      <c r="D856" s="40"/>
    </row>
    <row r="857" spans="4:4" ht="14.25" customHeight="1" x14ac:dyDescent="0.25">
      <c r="D857" s="40"/>
    </row>
    <row r="858" spans="4:4" ht="14.25" customHeight="1" x14ac:dyDescent="0.25">
      <c r="D858" s="40"/>
    </row>
    <row r="859" spans="4:4" ht="14.25" customHeight="1" x14ac:dyDescent="0.25">
      <c r="D859" s="40"/>
    </row>
    <row r="860" spans="4:4" ht="14.25" customHeight="1" x14ac:dyDescent="0.25">
      <c r="D860" s="40"/>
    </row>
    <row r="861" spans="4:4" ht="14.25" customHeight="1" x14ac:dyDescent="0.25">
      <c r="D861" s="40"/>
    </row>
    <row r="862" spans="4:4" ht="14.25" customHeight="1" x14ac:dyDescent="0.25">
      <c r="D862" s="40"/>
    </row>
    <row r="863" spans="4:4" ht="14.25" customHeight="1" x14ac:dyDescent="0.25">
      <c r="D863" s="40"/>
    </row>
    <row r="864" spans="4:4" ht="14.25" customHeight="1" x14ac:dyDescent="0.25">
      <c r="D864" s="40"/>
    </row>
    <row r="865" spans="4:4" ht="14.25" customHeight="1" x14ac:dyDescent="0.25">
      <c r="D865" s="40"/>
    </row>
    <row r="866" spans="4:4" ht="14.25" customHeight="1" x14ac:dyDescent="0.25">
      <c r="D866" s="40"/>
    </row>
    <row r="867" spans="4:4" ht="14.25" customHeight="1" x14ac:dyDescent="0.25">
      <c r="D867" s="40"/>
    </row>
    <row r="868" spans="4:4" ht="14.25" customHeight="1" x14ac:dyDescent="0.25">
      <c r="D868" s="40"/>
    </row>
    <row r="869" spans="4:4" ht="14.25" customHeight="1" x14ac:dyDescent="0.25">
      <c r="D869" s="40"/>
    </row>
    <row r="870" spans="4:4" ht="14.25" customHeight="1" x14ac:dyDescent="0.25">
      <c r="D870" s="40"/>
    </row>
    <row r="871" spans="4:4" ht="14.25" customHeight="1" x14ac:dyDescent="0.25">
      <c r="D871" s="40"/>
    </row>
    <row r="872" spans="4:4" ht="14.25" customHeight="1" x14ac:dyDescent="0.25">
      <c r="D872" s="40"/>
    </row>
    <row r="873" spans="4:4" ht="14.25" customHeight="1" x14ac:dyDescent="0.25">
      <c r="D873" s="40"/>
    </row>
    <row r="874" spans="4:4" ht="14.25" customHeight="1" x14ac:dyDescent="0.25">
      <c r="D874" s="40"/>
    </row>
    <row r="875" spans="4:4" ht="14.25" customHeight="1" x14ac:dyDescent="0.25">
      <c r="D875" s="40"/>
    </row>
    <row r="876" spans="4:4" ht="14.25" customHeight="1" x14ac:dyDescent="0.25">
      <c r="D876" s="40"/>
    </row>
    <row r="877" spans="4:4" ht="14.25" customHeight="1" x14ac:dyDescent="0.25">
      <c r="D877" s="40"/>
    </row>
    <row r="878" spans="4:4" ht="14.25" customHeight="1" x14ac:dyDescent="0.25">
      <c r="D878" s="40"/>
    </row>
    <row r="879" spans="4:4" ht="14.25" customHeight="1" x14ac:dyDescent="0.25">
      <c r="D879" s="40"/>
    </row>
    <row r="880" spans="4:4" ht="14.25" customHeight="1" x14ac:dyDescent="0.25">
      <c r="D880" s="40"/>
    </row>
    <row r="881" spans="4:4" ht="14.25" customHeight="1" x14ac:dyDescent="0.25">
      <c r="D881" s="40"/>
    </row>
    <row r="882" spans="4:4" ht="14.25" customHeight="1" x14ac:dyDescent="0.25">
      <c r="D882" s="40"/>
    </row>
    <row r="883" spans="4:4" ht="14.25" customHeight="1" x14ac:dyDescent="0.25">
      <c r="D883" s="40"/>
    </row>
    <row r="884" spans="4:4" ht="14.25" customHeight="1" x14ac:dyDescent="0.25">
      <c r="D884" s="40"/>
    </row>
    <row r="885" spans="4:4" ht="14.25" customHeight="1" x14ac:dyDescent="0.25">
      <c r="D885" s="40"/>
    </row>
    <row r="886" spans="4:4" ht="14.25" customHeight="1" x14ac:dyDescent="0.25">
      <c r="D886" s="40"/>
    </row>
    <row r="887" spans="4:4" ht="14.25" customHeight="1" x14ac:dyDescent="0.25">
      <c r="D887" s="40"/>
    </row>
    <row r="888" spans="4:4" ht="14.25" customHeight="1" x14ac:dyDescent="0.25">
      <c r="D888" s="40"/>
    </row>
    <row r="889" spans="4:4" ht="14.25" customHeight="1" x14ac:dyDescent="0.25">
      <c r="D889" s="40"/>
    </row>
    <row r="890" spans="4:4" ht="14.25" customHeight="1" x14ac:dyDescent="0.25">
      <c r="D890" s="40"/>
    </row>
    <row r="891" spans="4:4" ht="14.25" customHeight="1" x14ac:dyDescent="0.25">
      <c r="D891" s="40"/>
    </row>
    <row r="892" spans="4:4" ht="14.25" customHeight="1" x14ac:dyDescent="0.25">
      <c r="D892" s="40"/>
    </row>
    <row r="893" spans="4:4" ht="14.25" customHeight="1" x14ac:dyDescent="0.25">
      <c r="D893" s="40"/>
    </row>
    <row r="894" spans="4:4" ht="14.25" customHeight="1" x14ac:dyDescent="0.25">
      <c r="D894" s="40"/>
    </row>
    <row r="895" spans="4:4" ht="14.25" customHeight="1" x14ac:dyDescent="0.25">
      <c r="D895" s="40"/>
    </row>
    <row r="896" spans="4:4" ht="14.25" customHeight="1" x14ac:dyDescent="0.25">
      <c r="D896" s="40"/>
    </row>
    <row r="897" spans="4:4" ht="14.25" customHeight="1" x14ac:dyDescent="0.25">
      <c r="D897" s="40"/>
    </row>
    <row r="898" spans="4:4" ht="14.25" customHeight="1" x14ac:dyDescent="0.25">
      <c r="D898" s="40"/>
    </row>
    <row r="899" spans="4:4" ht="14.25" customHeight="1" x14ac:dyDescent="0.25">
      <c r="D899" s="40"/>
    </row>
    <row r="900" spans="4:4" ht="14.25" customHeight="1" x14ac:dyDescent="0.25">
      <c r="D900" s="40"/>
    </row>
    <row r="901" spans="4:4" ht="14.25" customHeight="1" x14ac:dyDescent="0.25">
      <c r="D901" s="40"/>
    </row>
    <row r="902" spans="4:4" ht="14.25" customHeight="1" x14ac:dyDescent="0.25">
      <c r="D902" s="40"/>
    </row>
    <row r="903" spans="4:4" ht="14.25" customHeight="1" x14ac:dyDescent="0.25">
      <c r="D903" s="40"/>
    </row>
    <row r="904" spans="4:4" ht="14.25" customHeight="1" x14ac:dyDescent="0.25">
      <c r="D904" s="40"/>
    </row>
    <row r="905" spans="4:4" ht="14.25" customHeight="1" x14ac:dyDescent="0.25">
      <c r="D905" s="40"/>
    </row>
    <row r="906" spans="4:4" ht="14.25" customHeight="1" x14ac:dyDescent="0.25">
      <c r="D906" s="40"/>
    </row>
    <row r="907" spans="4:4" ht="14.25" customHeight="1" x14ac:dyDescent="0.25">
      <c r="D907" s="40"/>
    </row>
    <row r="908" spans="4:4" ht="14.25" customHeight="1" x14ac:dyDescent="0.25">
      <c r="D908" s="40"/>
    </row>
    <row r="909" spans="4:4" ht="14.25" customHeight="1" x14ac:dyDescent="0.25">
      <c r="D909" s="40"/>
    </row>
    <row r="910" spans="4:4" ht="14.25" customHeight="1" x14ac:dyDescent="0.25">
      <c r="D910" s="40"/>
    </row>
    <row r="911" spans="4:4" ht="14.25" customHeight="1" x14ac:dyDescent="0.25">
      <c r="D911" s="40"/>
    </row>
    <row r="912" spans="4:4" ht="14.25" customHeight="1" x14ac:dyDescent="0.25">
      <c r="D912" s="40"/>
    </row>
    <row r="913" spans="4:4" ht="14.25" customHeight="1" x14ac:dyDescent="0.25">
      <c r="D913" s="40"/>
    </row>
    <row r="914" spans="4:4" ht="14.25" customHeight="1" x14ac:dyDescent="0.25">
      <c r="D914" s="40"/>
    </row>
    <row r="915" spans="4:4" ht="14.25" customHeight="1" x14ac:dyDescent="0.25">
      <c r="D915" s="40"/>
    </row>
    <row r="916" spans="4:4" ht="14.25" customHeight="1" x14ac:dyDescent="0.25">
      <c r="D916" s="40"/>
    </row>
    <row r="917" spans="4:4" ht="14.25" customHeight="1" x14ac:dyDescent="0.25">
      <c r="D917" s="40"/>
    </row>
    <row r="918" spans="4:4" ht="14.25" customHeight="1" x14ac:dyDescent="0.25">
      <c r="D918" s="40"/>
    </row>
    <row r="919" spans="4:4" ht="14.25" customHeight="1" x14ac:dyDescent="0.25">
      <c r="D919" s="40"/>
    </row>
    <row r="920" spans="4:4" ht="14.25" customHeight="1" x14ac:dyDescent="0.25">
      <c r="D920" s="40"/>
    </row>
    <row r="921" spans="4:4" ht="14.25" customHeight="1" x14ac:dyDescent="0.25">
      <c r="D921" s="40"/>
    </row>
    <row r="922" spans="4:4" ht="14.25" customHeight="1" x14ac:dyDescent="0.25">
      <c r="D922" s="40"/>
    </row>
    <row r="923" spans="4:4" ht="14.25" customHeight="1" x14ac:dyDescent="0.25">
      <c r="D923" s="40"/>
    </row>
    <row r="924" spans="4:4" ht="14.25" customHeight="1" x14ac:dyDescent="0.25">
      <c r="D924" s="40"/>
    </row>
    <row r="925" spans="4:4" ht="14.25" customHeight="1" x14ac:dyDescent="0.25">
      <c r="D925" s="40"/>
    </row>
    <row r="926" spans="4:4" ht="14.25" customHeight="1" x14ac:dyDescent="0.25">
      <c r="D926" s="40"/>
    </row>
    <row r="927" spans="4:4" ht="14.25" customHeight="1" x14ac:dyDescent="0.25">
      <c r="D927" s="40"/>
    </row>
    <row r="928" spans="4:4" ht="14.25" customHeight="1" x14ac:dyDescent="0.25">
      <c r="D928" s="40"/>
    </row>
    <row r="929" spans="4:4" ht="14.25" customHeight="1" x14ac:dyDescent="0.25">
      <c r="D929" s="40"/>
    </row>
    <row r="930" spans="4:4" ht="14.25" customHeight="1" x14ac:dyDescent="0.25">
      <c r="D930" s="40"/>
    </row>
    <row r="931" spans="4:4" ht="14.25" customHeight="1" x14ac:dyDescent="0.25">
      <c r="D931" s="40"/>
    </row>
    <row r="932" spans="4:4" ht="14.25" customHeight="1" x14ac:dyDescent="0.25">
      <c r="D932" s="40"/>
    </row>
    <row r="933" spans="4:4" ht="14.25" customHeight="1" x14ac:dyDescent="0.25">
      <c r="D933" s="40"/>
    </row>
    <row r="934" spans="4:4" ht="14.25" customHeight="1" x14ac:dyDescent="0.25">
      <c r="D934" s="40"/>
    </row>
    <row r="935" spans="4:4" ht="14.25" customHeight="1" x14ac:dyDescent="0.25">
      <c r="D935" s="40"/>
    </row>
    <row r="936" spans="4:4" ht="14.25" customHeight="1" x14ac:dyDescent="0.25">
      <c r="D936" s="40"/>
    </row>
    <row r="937" spans="4:4" ht="14.25" customHeight="1" x14ac:dyDescent="0.25">
      <c r="D937" s="40"/>
    </row>
    <row r="938" spans="4:4" ht="14.25" customHeight="1" x14ac:dyDescent="0.25">
      <c r="D938" s="40"/>
    </row>
    <row r="939" spans="4:4" ht="14.25" customHeight="1" x14ac:dyDescent="0.25">
      <c r="D939" s="40"/>
    </row>
    <row r="940" spans="4:4" ht="14.25" customHeight="1" x14ac:dyDescent="0.25">
      <c r="D940" s="40"/>
    </row>
    <row r="941" spans="4:4" ht="14.25" customHeight="1" x14ac:dyDescent="0.25">
      <c r="D941" s="40"/>
    </row>
    <row r="942" spans="4:4" ht="14.25" customHeight="1" x14ac:dyDescent="0.25">
      <c r="D942" s="40"/>
    </row>
    <row r="943" spans="4:4" ht="14.25" customHeight="1" x14ac:dyDescent="0.25">
      <c r="D943" s="40"/>
    </row>
    <row r="944" spans="4:4" ht="14.25" customHeight="1" x14ac:dyDescent="0.25">
      <c r="D944" s="40"/>
    </row>
    <row r="945" spans="4:4" ht="14.25" customHeight="1" x14ac:dyDescent="0.25">
      <c r="D945" s="40"/>
    </row>
    <row r="946" spans="4:4" ht="14.25" customHeight="1" x14ac:dyDescent="0.25">
      <c r="D946" s="40"/>
    </row>
    <row r="947" spans="4:4" ht="14.25" customHeight="1" x14ac:dyDescent="0.25">
      <c r="D947" s="40"/>
    </row>
    <row r="948" spans="4:4" ht="14.25" customHeight="1" x14ac:dyDescent="0.25">
      <c r="D948" s="40"/>
    </row>
    <row r="949" spans="4:4" ht="14.25" customHeight="1" x14ac:dyDescent="0.25">
      <c r="D949" s="40"/>
    </row>
    <row r="950" spans="4:4" ht="14.25" customHeight="1" x14ac:dyDescent="0.25">
      <c r="D950" s="40"/>
    </row>
    <row r="951" spans="4:4" ht="14.25" customHeight="1" x14ac:dyDescent="0.25">
      <c r="D951" s="40"/>
    </row>
    <row r="952" spans="4:4" ht="14.25" customHeight="1" x14ac:dyDescent="0.25">
      <c r="D952" s="40"/>
    </row>
    <row r="953" spans="4:4" ht="14.25" customHeight="1" x14ac:dyDescent="0.25">
      <c r="D953" s="40"/>
    </row>
    <row r="954" spans="4:4" ht="14.25" customHeight="1" x14ac:dyDescent="0.25">
      <c r="D954" s="40"/>
    </row>
    <row r="955" spans="4:4" ht="14.25" customHeight="1" x14ac:dyDescent="0.25">
      <c r="D955" s="40"/>
    </row>
    <row r="956" spans="4:4" ht="14.25" customHeight="1" x14ac:dyDescent="0.25">
      <c r="D956" s="40"/>
    </row>
    <row r="957" spans="4:4" ht="14.25" customHeight="1" x14ac:dyDescent="0.25">
      <c r="D957" s="40"/>
    </row>
    <row r="958" spans="4:4" ht="14.25" customHeight="1" x14ac:dyDescent="0.25">
      <c r="D958" s="40"/>
    </row>
    <row r="959" spans="4:4" ht="14.25" customHeight="1" x14ac:dyDescent="0.25">
      <c r="D959" s="40"/>
    </row>
    <row r="960" spans="4:4" ht="14.25" customHeight="1" x14ac:dyDescent="0.25">
      <c r="D960" s="40"/>
    </row>
    <row r="961" spans="4:4" ht="14.25" customHeight="1" x14ac:dyDescent="0.25">
      <c r="D961" s="40"/>
    </row>
    <row r="962" spans="4:4" ht="14.25" customHeight="1" x14ac:dyDescent="0.25">
      <c r="D962" s="40"/>
    </row>
    <row r="963" spans="4:4" ht="14.25" customHeight="1" x14ac:dyDescent="0.25">
      <c r="D963" s="40"/>
    </row>
    <row r="964" spans="4:4" ht="14.25" customHeight="1" x14ac:dyDescent="0.25">
      <c r="D964" s="40"/>
    </row>
    <row r="965" spans="4:4" ht="14.25" customHeight="1" x14ac:dyDescent="0.25">
      <c r="D965" s="40"/>
    </row>
    <row r="966" spans="4:4" ht="14.25" customHeight="1" x14ac:dyDescent="0.25">
      <c r="D966" s="40"/>
    </row>
    <row r="967" spans="4:4" ht="14.25" customHeight="1" x14ac:dyDescent="0.25">
      <c r="D967" s="40"/>
    </row>
    <row r="968" spans="4:4" ht="14.25" customHeight="1" x14ac:dyDescent="0.25">
      <c r="D968" s="40"/>
    </row>
    <row r="969" spans="4:4" ht="14.25" customHeight="1" x14ac:dyDescent="0.25">
      <c r="D969" s="40"/>
    </row>
    <row r="970" spans="4:4" ht="14.25" customHeight="1" x14ac:dyDescent="0.25">
      <c r="D970" s="40"/>
    </row>
    <row r="971" spans="4:4" ht="14.25" customHeight="1" x14ac:dyDescent="0.25">
      <c r="D971" s="40"/>
    </row>
    <row r="972" spans="4:4" ht="14.25" customHeight="1" x14ac:dyDescent="0.25">
      <c r="D972" s="40"/>
    </row>
    <row r="973" spans="4:4" ht="14.25" customHeight="1" x14ac:dyDescent="0.25">
      <c r="D973" s="40"/>
    </row>
    <row r="974" spans="4:4" ht="14.25" customHeight="1" x14ac:dyDescent="0.25">
      <c r="D974" s="40"/>
    </row>
    <row r="975" spans="4:4" ht="14.25" customHeight="1" x14ac:dyDescent="0.25">
      <c r="D975" s="40"/>
    </row>
    <row r="976" spans="4:4" ht="14.25" customHeight="1" x14ac:dyDescent="0.25">
      <c r="D976" s="40"/>
    </row>
    <row r="977" spans="4:4" ht="14.25" customHeight="1" x14ac:dyDescent="0.25">
      <c r="D977" s="40"/>
    </row>
    <row r="978" spans="4:4" ht="14.25" customHeight="1" x14ac:dyDescent="0.25">
      <c r="D978" s="40"/>
    </row>
    <row r="979" spans="4:4" ht="14.25" customHeight="1" x14ac:dyDescent="0.25">
      <c r="D979" s="40"/>
    </row>
    <row r="980" spans="4:4" ht="14.25" customHeight="1" x14ac:dyDescent="0.25">
      <c r="D980" s="40"/>
    </row>
    <row r="981" spans="4:4" ht="14.25" customHeight="1" x14ac:dyDescent="0.25">
      <c r="D981" s="40"/>
    </row>
    <row r="982" spans="4:4" ht="14.25" customHeight="1" x14ac:dyDescent="0.25">
      <c r="D982" s="40"/>
    </row>
    <row r="983" spans="4:4" ht="14.25" customHeight="1" x14ac:dyDescent="0.25">
      <c r="D983" s="40"/>
    </row>
    <row r="984" spans="4:4" ht="14.25" customHeight="1" x14ac:dyDescent="0.25">
      <c r="D984" s="40"/>
    </row>
    <row r="985" spans="4:4" ht="14.25" customHeight="1" x14ac:dyDescent="0.25">
      <c r="D985" s="40"/>
    </row>
    <row r="986" spans="4:4" ht="14.25" customHeight="1" x14ac:dyDescent="0.25">
      <c r="D986" s="40"/>
    </row>
    <row r="987" spans="4:4" ht="14.25" customHeight="1" x14ac:dyDescent="0.25">
      <c r="D987" s="40"/>
    </row>
    <row r="988" spans="4:4" ht="14.25" customHeight="1" x14ac:dyDescent="0.25">
      <c r="D988" s="40"/>
    </row>
    <row r="989" spans="4:4" ht="14.25" customHeight="1" x14ac:dyDescent="0.25">
      <c r="D989" s="40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CFE1-48F9-4411-9A61-CD6AE64963BF}">
  <dimension ref="A1:AB989"/>
  <sheetViews>
    <sheetView tabSelected="1" workbookViewId="0">
      <selection activeCell="I10" sqref="I10"/>
    </sheetView>
  </sheetViews>
  <sheetFormatPr defaultColWidth="14.42578125" defaultRowHeight="15" customHeight="1" x14ac:dyDescent="0.25"/>
  <cols>
    <col min="1" max="1" width="66.42578125" customWidth="1"/>
    <col min="2" max="2" width="22.42578125" customWidth="1"/>
    <col min="3" max="3" width="16.85546875" customWidth="1"/>
    <col min="4" max="4" width="22.42578125" hidden="1" customWidth="1"/>
    <col min="5" max="5" width="16.85546875" hidden="1" customWidth="1"/>
    <col min="6" max="6" width="22.42578125" customWidth="1"/>
    <col min="7" max="7" width="16.85546875" customWidth="1"/>
    <col min="8" max="8" width="20.42578125" bestFit="1" customWidth="1"/>
    <col min="9" max="9" width="16.5703125" customWidth="1"/>
    <col min="10" max="10" width="10.85546875" customWidth="1"/>
    <col min="11" max="11" width="9.140625" customWidth="1"/>
    <col min="12" max="12" width="11.5703125" customWidth="1"/>
    <col min="13" max="15" width="9.140625" customWidth="1"/>
    <col min="16" max="16" width="10.85546875" customWidth="1"/>
    <col min="17" max="28" width="9.140625" customWidth="1"/>
  </cols>
  <sheetData>
    <row r="1" spans="1:28" ht="16.5" customHeight="1" x14ac:dyDescent="0.6">
      <c r="A1" s="75" t="s">
        <v>0</v>
      </c>
      <c r="B1" s="77" t="s">
        <v>60</v>
      </c>
      <c r="C1" s="78"/>
      <c r="D1" s="77" t="s">
        <v>55</v>
      </c>
      <c r="E1" s="78"/>
      <c r="F1" s="77" t="s">
        <v>62</v>
      </c>
      <c r="G1" s="78"/>
      <c r="H1" s="91" t="s">
        <v>63</v>
      </c>
      <c r="I1" s="92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9.5" customHeight="1" x14ac:dyDescent="0.6">
      <c r="A2" s="76"/>
      <c r="B2" s="20" t="s">
        <v>21</v>
      </c>
      <c r="C2" s="2" t="s">
        <v>3</v>
      </c>
      <c r="D2" s="20" t="s">
        <v>21</v>
      </c>
      <c r="E2" s="2" t="s">
        <v>3</v>
      </c>
      <c r="F2" s="20" t="s">
        <v>21</v>
      </c>
      <c r="G2" s="2" t="s">
        <v>3</v>
      </c>
      <c r="H2" s="20" t="s">
        <v>21</v>
      </c>
      <c r="I2" s="2" t="s">
        <v>3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9.5" customHeight="1" x14ac:dyDescent="0.6">
      <c r="A3" s="12" t="str">
        <f>ORÇAMENTO_EXECUTIVO!A2</f>
        <v>GERENCIAMENTO TÉCNICO E ADMINISTRATIVO</v>
      </c>
      <c r="B3" s="84">
        <f>ORÇAMENTO_EXECUTIVO!B2</f>
        <v>3441809.4857795984</v>
      </c>
      <c r="C3" s="85">
        <f>B3/ORÇAMENTO_EXECUTIVO!$H$2</f>
        <v>658.67791809887569</v>
      </c>
      <c r="D3" s="84">
        <f>[2]ORÇAMENTO_EXECUTIVO!$B$2</f>
        <v>2384931.88</v>
      </c>
      <c r="E3" s="85">
        <f>[2]ORÇAMENTO_EXECUTIVO!$D$2</f>
        <v>381.86526576019776</v>
      </c>
      <c r="F3" s="84">
        <f>D3*($B$8/$D$8)</f>
        <v>2568988.4750916306</v>
      </c>
      <c r="G3" s="85">
        <f>E3*($B$8/$D$8)</f>
        <v>411.33563394513004</v>
      </c>
      <c r="H3" s="88">
        <f>B3-F3</f>
        <v>872821.01068796776</v>
      </c>
      <c r="I3" s="93">
        <f>C3-G3</f>
        <v>247.34228415374565</v>
      </c>
      <c r="J3" s="26" t="s">
        <v>58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9.5" customHeight="1" x14ac:dyDescent="0.6">
      <c r="A4" s="4" t="str">
        <f>ORÇAMENTO_EXECUTIVO!A3</f>
        <v>MOVIMENTAÇÃO DE TERRA</v>
      </c>
      <c r="B4" s="86">
        <f>ORÇAMENTO_EXECUTIVO!B3</f>
        <v>199250.14117370688</v>
      </c>
      <c r="C4" s="87">
        <f>B4/ORÇAMENTO_EXECUTIVO!$H$2</f>
        <v>38.13158999980994</v>
      </c>
      <c r="D4" s="86">
        <f>[2]ORÇAMENTO_EXECUTIVO!$B$3</f>
        <v>230869.63</v>
      </c>
      <c r="E4" s="87">
        <f>[2]ORÇAMENTO_EXECUTIVO!$D$3</f>
        <v>36.965874520453198</v>
      </c>
      <c r="F4" s="86">
        <f t="shared" ref="F4:F6" si="0">D4*($B$8/$D$8)</f>
        <v>248686.94309150206</v>
      </c>
      <c r="G4" s="87">
        <f t="shared" ref="G4:G6" si="1">E4*($B$8/$D$8)</f>
        <v>39.818707784109804</v>
      </c>
      <c r="H4" s="89">
        <f>B4-F4</f>
        <v>-49436.801917795179</v>
      </c>
      <c r="I4" s="94">
        <f>C4-G4</f>
        <v>-1.6871177842998648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9.5" customHeight="1" x14ac:dyDescent="0.6">
      <c r="A5" s="12" t="str">
        <f>ORÇAMENTO_EXECUTIVO!A5</f>
        <v>INFRAESTRUTURA</v>
      </c>
      <c r="B5" s="84">
        <f>ORÇAMENTO_EXECUTIVO!B5+ORÇAMENTO_EXECUTIVO!B4</f>
        <v>2209479.4024166651</v>
      </c>
      <c r="C5" s="85">
        <f>B5/ORÇAMENTO_EXECUTIVO!$H$2</f>
        <v>422.84016558124847</v>
      </c>
      <c r="D5" s="84">
        <f>[2]ORÇAMENTO_EXECUTIVO!$B$4</f>
        <v>933522.84</v>
      </c>
      <c r="E5" s="85">
        <f>[2]ORÇAMENTO_EXECUTIVO!$D$4</f>
        <v>149.47175237131495</v>
      </c>
      <c r="F5" s="84">
        <f t="shared" si="0"/>
        <v>1005567.2605604184</v>
      </c>
      <c r="G5" s="85">
        <f t="shared" si="1"/>
        <v>161.00720209822441</v>
      </c>
      <c r="H5" s="88">
        <f>B5-F5</f>
        <v>1203912.1418562466</v>
      </c>
      <c r="I5" s="93">
        <f>C5-G5</f>
        <v>261.83296348302406</v>
      </c>
      <c r="J5" s="26" t="s">
        <v>64</v>
      </c>
      <c r="K5" s="26"/>
      <c r="L5" s="26"/>
      <c r="M5" s="26"/>
      <c r="N5" s="26"/>
      <c r="O5" s="26"/>
      <c r="P5" s="26"/>
      <c r="Q5" s="26"/>
      <c r="R5" s="26"/>
      <c r="S5" s="26"/>
      <c r="T5" s="31"/>
      <c r="U5" s="31"/>
      <c r="V5" s="31"/>
      <c r="W5" s="31"/>
      <c r="X5" s="31"/>
      <c r="Y5" s="31"/>
      <c r="Z5" s="31"/>
      <c r="AA5" s="31"/>
      <c r="AB5" s="31"/>
    </row>
    <row r="6" spans="1:28" ht="19.5" customHeight="1" x14ac:dyDescent="0.6">
      <c r="A6" s="4" t="str">
        <f>ORÇAMENTO_EXECUTIVO!A6</f>
        <v>SUPRAESTRUTURA</v>
      </c>
      <c r="B6" s="86">
        <f>ORÇAMENTO_EXECUTIVO!B6</f>
        <v>4169502.5243946658</v>
      </c>
      <c r="C6" s="87">
        <f>B6/ORÇAMENTO_EXECUTIVO!$H$2</f>
        <v>797.94051751653308</v>
      </c>
      <c r="D6" s="86">
        <f>[2]ORÇAMENTO_EXECUTIVO!$B$5</f>
        <v>4384787.09</v>
      </c>
      <c r="E6" s="87">
        <f>[2]ORÇAMENTO_EXECUTIVO!$D$5</f>
        <v>702.07367408109542</v>
      </c>
      <c r="F6" s="86">
        <f t="shared" si="0"/>
        <v>4723182.0725800227</v>
      </c>
      <c r="G6" s="87">
        <f t="shared" si="1"/>
        <v>756.25605599249741</v>
      </c>
      <c r="H6" s="89">
        <f>B6-F6</f>
        <v>-553679.54818535689</v>
      </c>
      <c r="I6" s="94">
        <f>C6-G6</f>
        <v>41.684461524035669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31"/>
      <c r="U6" s="31"/>
      <c r="V6" s="31"/>
      <c r="W6" s="31"/>
      <c r="X6" s="31"/>
      <c r="Y6" s="31"/>
      <c r="Z6" s="31"/>
      <c r="AA6" s="31"/>
      <c r="AB6" s="31"/>
    </row>
    <row r="7" spans="1:28" ht="19.5" customHeight="1" thickBot="1" x14ac:dyDescent="0.65">
      <c r="A7" s="32" t="s">
        <v>19</v>
      </c>
      <c r="B7" s="33">
        <f>SUM(B3:B6)</f>
        <v>10020041.553764638</v>
      </c>
      <c r="C7" s="34">
        <f>SUM(C3:C6)</f>
        <v>1917.590191196467</v>
      </c>
      <c r="D7" s="33">
        <f>SUM(D3:D6)</f>
        <v>7934111.4399999995</v>
      </c>
      <c r="E7" s="34">
        <f>SUM(E3:E6)</f>
        <v>1270.3765667330613</v>
      </c>
      <c r="F7" s="33">
        <f>SUM(F3:F6)</f>
        <v>8546424.7513235733</v>
      </c>
      <c r="G7" s="34">
        <f>SUM(G3:G6)</f>
        <v>1368.4175998199617</v>
      </c>
      <c r="H7" s="95">
        <f>SUM(H3:H6)</f>
        <v>1473616.8024410624</v>
      </c>
      <c r="I7" s="96">
        <f>SUM(I3:I6)</f>
        <v>549.17259137650558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31"/>
      <c r="U7" s="31"/>
      <c r="V7" s="31"/>
      <c r="W7" s="31"/>
      <c r="X7" s="31"/>
      <c r="Y7" s="31"/>
      <c r="Z7" s="31"/>
      <c r="AA7" s="31"/>
      <c r="AB7" s="31"/>
    </row>
    <row r="8" spans="1:28" ht="21.75" customHeight="1" x14ac:dyDescent="0.6">
      <c r="A8" s="1" t="s">
        <v>20</v>
      </c>
      <c r="B8" s="18">
        <v>3008.84</v>
      </c>
      <c r="C8" s="21">
        <v>45992</v>
      </c>
      <c r="D8" s="18">
        <v>2793.27</v>
      </c>
      <c r="E8" s="21">
        <v>45474</v>
      </c>
      <c r="F8" s="18">
        <v>2793.27</v>
      </c>
      <c r="G8" s="21">
        <v>45474</v>
      </c>
      <c r="H8" s="90"/>
      <c r="I8" s="90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21.75" customHeight="1" x14ac:dyDescent="0.6">
      <c r="A9" s="26"/>
      <c r="B9" s="36"/>
      <c r="C9" s="26"/>
      <c r="D9" s="36"/>
      <c r="E9" s="26"/>
      <c r="F9" s="36"/>
      <c r="G9" s="26"/>
      <c r="H9" s="26"/>
      <c r="I9" s="37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21.75" customHeight="1" x14ac:dyDescent="0.6">
      <c r="A10" s="26"/>
      <c r="B10" s="36"/>
      <c r="C10" s="26"/>
      <c r="D10" s="36"/>
      <c r="E10" s="26"/>
      <c r="F10" s="36"/>
      <c r="G10" s="26"/>
      <c r="H10" s="26"/>
      <c r="I10" s="3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21.75" hidden="1" customHeight="1" x14ac:dyDescent="0.6">
      <c r="A11" s="26"/>
      <c r="B11" s="36">
        <v>2007.57</v>
      </c>
      <c r="C11" s="26"/>
      <c r="D11" s="36">
        <v>2007.57</v>
      </c>
      <c r="E11" s="26"/>
      <c r="F11" s="36">
        <v>2007.57</v>
      </c>
      <c r="G11" s="26"/>
      <c r="H11" s="26"/>
      <c r="I11" s="37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21.75" hidden="1" customHeight="1" x14ac:dyDescent="0.6">
      <c r="A12" s="26"/>
      <c r="B12" s="36">
        <v>2461.35</v>
      </c>
      <c r="C12" s="26"/>
      <c r="D12" s="36">
        <v>2461.35</v>
      </c>
      <c r="E12" s="26"/>
      <c r="F12" s="36">
        <v>2461.35</v>
      </c>
      <c r="G12" s="26"/>
      <c r="H12" s="26"/>
      <c r="I12" s="3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21.75" hidden="1" customHeight="1" x14ac:dyDescent="0.6">
      <c r="A13" s="26"/>
      <c r="B13" s="36">
        <f>B12/B11</f>
        <v>1.2260344595705255</v>
      </c>
      <c r="C13" s="26"/>
      <c r="D13" s="36">
        <f>D12/D11</f>
        <v>1.2260344595705255</v>
      </c>
      <c r="E13" s="26"/>
      <c r="F13" s="36">
        <f>F12/F11</f>
        <v>1.2260344595705255</v>
      </c>
      <c r="G13" s="26"/>
      <c r="H13" s="26"/>
      <c r="I13" s="37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21.75" hidden="1" customHeight="1" x14ac:dyDescent="0.6">
      <c r="A14" s="26"/>
      <c r="B14" s="36"/>
      <c r="C14" s="26"/>
      <c r="D14" s="36"/>
      <c r="E14" s="26"/>
      <c r="F14" s="36"/>
      <c r="G14" s="26"/>
      <c r="H14" s="26"/>
      <c r="I14" s="37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21.75" hidden="1" customHeight="1" x14ac:dyDescent="0.6">
      <c r="A15" s="26"/>
      <c r="B15" s="36"/>
      <c r="C15" s="26"/>
      <c r="D15" s="36"/>
      <c r="E15" s="26"/>
      <c r="F15" s="36"/>
      <c r="G15" s="26"/>
      <c r="H15" s="26"/>
      <c r="I15" s="37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21.75" hidden="1" customHeight="1" x14ac:dyDescent="0.6">
      <c r="A16" s="26"/>
      <c r="B16" s="36"/>
      <c r="C16" s="26">
        <v>1.1023000000000001</v>
      </c>
      <c r="D16" s="36"/>
      <c r="E16" s="26">
        <v>1.1023000000000001</v>
      </c>
      <c r="F16" s="36"/>
      <c r="G16" s="26">
        <v>1.1023000000000001</v>
      </c>
      <c r="H16" s="26"/>
      <c r="I16" s="3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21.75" hidden="1" customHeight="1" x14ac:dyDescent="0.6">
      <c r="A17" s="26"/>
      <c r="B17" s="36"/>
      <c r="C17" s="26"/>
      <c r="D17" s="36"/>
      <c r="E17" s="26"/>
      <c r="F17" s="36"/>
      <c r="G17" s="26"/>
      <c r="H17" s="26"/>
      <c r="I17" s="37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21.75" hidden="1" customHeight="1" x14ac:dyDescent="0.6">
      <c r="A18" s="38" t="s">
        <v>22</v>
      </c>
      <c r="B18" s="36">
        <v>900</v>
      </c>
      <c r="C18" s="36"/>
      <c r="D18" s="36">
        <v>900</v>
      </c>
      <c r="E18" s="36"/>
      <c r="F18" s="36">
        <v>900</v>
      </c>
      <c r="G18" s="36"/>
      <c r="H18" s="36"/>
      <c r="I18" s="3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21.75" hidden="1" customHeight="1" x14ac:dyDescent="0.6">
      <c r="A19" s="39" t="s">
        <v>23</v>
      </c>
      <c r="B19" s="36">
        <v>25</v>
      </c>
      <c r="C19" s="36"/>
      <c r="D19" s="36">
        <v>25</v>
      </c>
      <c r="E19" s="36"/>
      <c r="F19" s="36">
        <v>25</v>
      </c>
      <c r="G19" s="36"/>
      <c r="H19" s="36"/>
      <c r="I19" s="3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21.75" hidden="1" customHeight="1" x14ac:dyDescent="0.6">
      <c r="A20" s="38" t="s">
        <v>24</v>
      </c>
      <c r="B20" s="36">
        <v>15</v>
      </c>
      <c r="C20" s="36"/>
      <c r="D20" s="36">
        <v>15</v>
      </c>
      <c r="E20" s="36"/>
      <c r="F20" s="36">
        <v>15</v>
      </c>
      <c r="G20" s="36"/>
      <c r="H20" s="36"/>
      <c r="I20" s="3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21.75" hidden="1" customHeight="1" x14ac:dyDescent="0.6">
      <c r="A21" s="39" t="s">
        <v>25</v>
      </c>
      <c r="B21" s="36">
        <v>150</v>
      </c>
      <c r="C21" s="36"/>
      <c r="D21" s="36">
        <v>150</v>
      </c>
      <c r="E21" s="36"/>
      <c r="F21" s="36">
        <v>150</v>
      </c>
      <c r="G21" s="36"/>
      <c r="H21" s="36"/>
      <c r="I21" s="3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21.75" hidden="1" customHeight="1" x14ac:dyDescent="0.6">
      <c r="A22" s="38" t="s">
        <v>26</v>
      </c>
      <c r="B22" s="36">
        <v>440</v>
      </c>
      <c r="C22" s="36"/>
      <c r="D22" s="36">
        <v>440</v>
      </c>
      <c r="E22" s="36"/>
      <c r="F22" s="36">
        <v>440</v>
      </c>
      <c r="G22" s="36"/>
      <c r="H22" s="36"/>
      <c r="I22" s="3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21.75" hidden="1" customHeight="1" x14ac:dyDescent="0.6">
      <c r="A23" s="39" t="s">
        <v>27</v>
      </c>
      <c r="B23" s="36"/>
      <c r="C23" s="36"/>
      <c r="D23" s="36"/>
      <c r="E23" s="36"/>
      <c r="F23" s="36"/>
      <c r="G23" s="36"/>
      <c r="H23" s="36"/>
      <c r="I23" s="3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21.75" hidden="1" customHeight="1" x14ac:dyDescent="0.6">
      <c r="A24" s="38" t="s">
        <v>28</v>
      </c>
      <c r="B24" s="36">
        <v>55</v>
      </c>
      <c r="C24" s="36"/>
      <c r="D24" s="36">
        <v>55</v>
      </c>
      <c r="E24" s="36"/>
      <c r="F24" s="36">
        <v>55</v>
      </c>
      <c r="G24" s="36"/>
      <c r="H24" s="36"/>
      <c r="I24" s="3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1.75" hidden="1" customHeight="1" x14ac:dyDescent="0.6">
      <c r="A25" s="39" t="s">
        <v>29</v>
      </c>
      <c r="B25" s="36">
        <v>170</v>
      </c>
      <c r="C25" s="36"/>
      <c r="D25" s="36">
        <v>170</v>
      </c>
      <c r="E25" s="36"/>
      <c r="F25" s="36">
        <v>170</v>
      </c>
      <c r="G25" s="36"/>
      <c r="H25" s="36"/>
      <c r="I25" s="3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21.75" hidden="1" customHeight="1" x14ac:dyDescent="0.6">
      <c r="A26" s="38" t="s">
        <v>30</v>
      </c>
      <c r="B26" s="36">
        <v>165</v>
      </c>
      <c r="C26" s="36"/>
      <c r="D26" s="36">
        <v>165</v>
      </c>
      <c r="E26" s="36"/>
      <c r="F26" s="36">
        <v>165</v>
      </c>
      <c r="G26" s="36"/>
      <c r="H26" s="36"/>
      <c r="I26" s="3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1.75" hidden="1" customHeight="1" x14ac:dyDescent="0.6">
      <c r="A27" s="39" t="s">
        <v>31</v>
      </c>
      <c r="B27" s="36">
        <v>40</v>
      </c>
      <c r="C27" s="36"/>
      <c r="D27" s="36">
        <v>40</v>
      </c>
      <c r="E27" s="36"/>
      <c r="F27" s="36">
        <v>40</v>
      </c>
      <c r="G27" s="36"/>
      <c r="H27" s="36"/>
      <c r="I27" s="3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1.75" hidden="1" customHeight="1" x14ac:dyDescent="0.6">
      <c r="A28" s="38" t="s">
        <v>32</v>
      </c>
      <c r="B28" s="36">
        <v>55</v>
      </c>
      <c r="C28" s="36"/>
      <c r="D28" s="36">
        <v>55</v>
      </c>
      <c r="E28" s="36"/>
      <c r="F28" s="36">
        <v>55</v>
      </c>
      <c r="G28" s="36"/>
      <c r="H28" s="36"/>
      <c r="I28" s="3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1.75" hidden="1" customHeight="1" x14ac:dyDescent="0.6">
      <c r="A29" s="39" t="s">
        <v>33</v>
      </c>
      <c r="B29" s="36">
        <v>35</v>
      </c>
      <c r="C29" s="36"/>
      <c r="D29" s="36">
        <v>35</v>
      </c>
      <c r="E29" s="36"/>
      <c r="F29" s="36">
        <v>35</v>
      </c>
      <c r="G29" s="36"/>
      <c r="H29" s="36"/>
      <c r="I29" s="3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1.75" hidden="1" customHeight="1" x14ac:dyDescent="0.6">
      <c r="A30" s="38" t="s">
        <v>34</v>
      </c>
      <c r="B30" s="36">
        <v>130</v>
      </c>
      <c r="C30" s="36"/>
      <c r="D30" s="36">
        <v>130</v>
      </c>
      <c r="E30" s="36"/>
      <c r="F30" s="36">
        <v>130</v>
      </c>
      <c r="G30" s="36"/>
      <c r="H30" s="36"/>
      <c r="I30" s="3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1.75" hidden="1" customHeight="1" x14ac:dyDescent="0.6">
      <c r="A31" s="39" t="s">
        <v>35</v>
      </c>
      <c r="B31" s="36">
        <v>35</v>
      </c>
      <c r="C31" s="36"/>
      <c r="D31" s="36">
        <v>35</v>
      </c>
      <c r="E31" s="36"/>
      <c r="F31" s="36">
        <v>35</v>
      </c>
      <c r="G31" s="36"/>
      <c r="H31" s="36"/>
      <c r="I31" s="3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1.75" hidden="1" customHeight="1" x14ac:dyDescent="0.6">
      <c r="A32" s="38" t="s">
        <v>36</v>
      </c>
      <c r="B32" s="36">
        <v>35</v>
      </c>
      <c r="C32" s="36"/>
      <c r="D32" s="36">
        <v>35</v>
      </c>
      <c r="E32" s="36"/>
      <c r="F32" s="36">
        <v>35</v>
      </c>
      <c r="G32" s="36"/>
      <c r="H32" s="36"/>
      <c r="I32" s="3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1.75" hidden="1" customHeight="1" x14ac:dyDescent="0.6">
      <c r="A33" s="39" t="s">
        <v>37</v>
      </c>
      <c r="B33" s="36">
        <v>430</v>
      </c>
      <c r="C33" s="36"/>
      <c r="D33" s="36">
        <v>430</v>
      </c>
      <c r="E33" s="36"/>
      <c r="F33" s="36">
        <v>430</v>
      </c>
      <c r="G33" s="36"/>
      <c r="H33" s="36"/>
      <c r="I33" s="3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1.75" hidden="1" customHeight="1" x14ac:dyDescent="0.6">
      <c r="A34" s="38" t="s">
        <v>33</v>
      </c>
      <c r="B34" s="36">
        <v>35</v>
      </c>
      <c r="C34" s="36"/>
      <c r="D34" s="36">
        <v>35</v>
      </c>
      <c r="E34" s="36"/>
      <c r="F34" s="36">
        <v>35</v>
      </c>
      <c r="G34" s="36"/>
      <c r="H34" s="36"/>
      <c r="I34" s="3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1.75" hidden="1" customHeight="1" x14ac:dyDescent="0.6">
      <c r="A35" s="39" t="s">
        <v>38</v>
      </c>
      <c r="B35" s="36">
        <v>150</v>
      </c>
      <c r="C35" s="36"/>
      <c r="D35" s="36">
        <v>150</v>
      </c>
      <c r="E35" s="36"/>
      <c r="F35" s="36">
        <v>150</v>
      </c>
      <c r="G35" s="36"/>
      <c r="H35" s="36"/>
      <c r="I35" s="3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1.75" hidden="1" customHeight="1" x14ac:dyDescent="0.6">
      <c r="A36" s="26"/>
      <c r="B36" s="36"/>
      <c r="C36" s="26"/>
      <c r="D36" s="36"/>
      <c r="E36" s="26"/>
      <c r="F36" s="36"/>
      <c r="G36" s="26"/>
      <c r="H36" s="26"/>
      <c r="I36" s="3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1.75" hidden="1" customHeight="1" x14ac:dyDescent="0.6">
      <c r="A37" s="26"/>
      <c r="B37" s="36"/>
      <c r="C37" s="26"/>
      <c r="D37" s="36"/>
      <c r="E37" s="26"/>
      <c r="F37" s="36"/>
      <c r="G37" s="26"/>
      <c r="H37" s="26"/>
      <c r="I37" s="3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1.75" hidden="1" customHeight="1" x14ac:dyDescent="0.6">
      <c r="A38" s="26"/>
      <c r="B38" s="36"/>
      <c r="C38" s="26"/>
      <c r="D38" s="36"/>
      <c r="E38" s="26"/>
      <c r="F38" s="36"/>
      <c r="G38" s="26"/>
      <c r="H38" s="26"/>
      <c r="I38" s="3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1.75" hidden="1" customHeight="1" x14ac:dyDescent="0.6">
      <c r="A39" s="26"/>
      <c r="B39" s="36"/>
      <c r="C39" s="26"/>
      <c r="D39" s="36"/>
      <c r="E39" s="26"/>
      <c r="F39" s="36"/>
      <c r="G39" s="26"/>
      <c r="H39" s="26"/>
      <c r="I39" s="3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1.75" hidden="1" customHeight="1" x14ac:dyDescent="0.6">
      <c r="A40" s="26"/>
      <c r="B40" s="36"/>
      <c r="C40" s="26"/>
      <c r="D40" s="36"/>
      <c r="E40" s="26"/>
      <c r="F40" s="36"/>
      <c r="G40" s="26"/>
      <c r="H40" s="26"/>
      <c r="I40" s="3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1.75" hidden="1" customHeight="1" x14ac:dyDescent="0.6">
      <c r="A41" s="26"/>
      <c r="B41" s="36"/>
      <c r="C41" s="26"/>
      <c r="D41" s="36"/>
      <c r="E41" s="26"/>
      <c r="F41" s="36"/>
      <c r="G41" s="26"/>
      <c r="H41" s="26"/>
      <c r="I41" s="3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1.75" hidden="1" customHeight="1" x14ac:dyDescent="0.6">
      <c r="A42" s="26"/>
      <c r="B42" s="36"/>
      <c r="C42" s="26"/>
      <c r="D42" s="36"/>
      <c r="E42" s="26"/>
      <c r="F42" s="36"/>
      <c r="G42" s="26"/>
      <c r="H42" s="26"/>
      <c r="I42" s="3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1.75" hidden="1" customHeight="1" x14ac:dyDescent="0.6">
      <c r="A43" s="26"/>
      <c r="B43" s="36"/>
      <c r="C43" s="26"/>
      <c r="D43" s="36"/>
      <c r="E43" s="26"/>
      <c r="F43" s="36"/>
      <c r="G43" s="26"/>
      <c r="H43" s="26"/>
      <c r="I43" s="3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1.75" hidden="1" customHeight="1" x14ac:dyDescent="0.6">
      <c r="A44" s="26"/>
      <c r="B44" s="36"/>
      <c r="C44" s="26"/>
      <c r="D44" s="36"/>
      <c r="E44" s="26"/>
      <c r="F44" s="36"/>
      <c r="G44" s="26"/>
      <c r="H44" s="26"/>
      <c r="I44" s="3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1.75" hidden="1" customHeight="1" x14ac:dyDescent="0.6">
      <c r="A45" s="26"/>
      <c r="B45" s="36"/>
      <c r="C45" s="26"/>
      <c r="D45" s="36"/>
      <c r="E45" s="26"/>
      <c r="F45" s="36"/>
      <c r="G45" s="26"/>
      <c r="H45" s="26"/>
      <c r="I45" s="3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1.75" hidden="1" customHeight="1" x14ac:dyDescent="0.6">
      <c r="A46" s="26"/>
      <c r="B46" s="36"/>
      <c r="C46" s="26"/>
      <c r="D46" s="36"/>
      <c r="E46" s="26"/>
      <c r="F46" s="36"/>
      <c r="G46" s="26"/>
      <c r="H46" s="26"/>
      <c r="I46" s="37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1.75" hidden="1" customHeight="1" x14ac:dyDescent="0.6">
      <c r="A47" s="26"/>
      <c r="B47" s="36"/>
      <c r="C47" s="26"/>
      <c r="D47" s="36"/>
      <c r="E47" s="26"/>
      <c r="F47" s="36"/>
      <c r="G47" s="26"/>
      <c r="H47" s="26"/>
      <c r="I47" s="3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1.75" hidden="1" customHeight="1" x14ac:dyDescent="0.6">
      <c r="A48" s="26"/>
      <c r="B48" s="36"/>
      <c r="C48" s="26"/>
      <c r="D48" s="36"/>
      <c r="E48" s="26"/>
      <c r="F48" s="36"/>
      <c r="G48" s="26"/>
      <c r="H48" s="26"/>
      <c r="I48" s="3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1.75" hidden="1" customHeight="1" x14ac:dyDescent="0.6">
      <c r="A49" s="26"/>
      <c r="B49" s="36"/>
      <c r="C49" s="26"/>
      <c r="D49" s="36"/>
      <c r="E49" s="26"/>
      <c r="F49" s="36"/>
      <c r="G49" s="26"/>
      <c r="H49" s="26"/>
      <c r="I49" s="3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1.75" hidden="1" customHeight="1" x14ac:dyDescent="0.6">
      <c r="A50" s="26"/>
      <c r="B50" s="36"/>
      <c r="C50" s="26"/>
      <c r="D50" s="36"/>
      <c r="E50" s="26"/>
      <c r="F50" s="36"/>
      <c r="G50" s="26"/>
      <c r="H50" s="26"/>
      <c r="I50" s="3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1.75" hidden="1" customHeight="1" x14ac:dyDescent="0.6">
      <c r="A51" s="26"/>
      <c r="B51" s="36"/>
      <c r="C51" s="26"/>
      <c r="D51" s="36"/>
      <c r="E51" s="26"/>
      <c r="F51" s="36"/>
      <c r="G51" s="26"/>
      <c r="H51" s="26"/>
      <c r="I51" s="3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1.75" hidden="1" customHeight="1" x14ac:dyDescent="0.6">
      <c r="A52" s="26"/>
      <c r="B52" s="36"/>
      <c r="C52" s="26"/>
      <c r="D52" s="36"/>
      <c r="E52" s="26"/>
      <c r="F52" s="36"/>
      <c r="G52" s="26"/>
      <c r="H52" s="26"/>
      <c r="I52" s="3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1.75" hidden="1" customHeight="1" x14ac:dyDescent="0.6">
      <c r="A53" s="26"/>
      <c r="B53" s="36"/>
      <c r="C53" s="26"/>
      <c r="D53" s="36"/>
      <c r="E53" s="26"/>
      <c r="F53" s="36"/>
      <c r="G53" s="26"/>
      <c r="H53" s="26"/>
      <c r="I53" s="3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1.75" hidden="1" customHeight="1" x14ac:dyDescent="0.6">
      <c r="A54" s="26"/>
      <c r="B54" s="36"/>
      <c r="C54" s="26"/>
      <c r="D54" s="36"/>
      <c r="E54" s="26"/>
      <c r="F54" s="36"/>
      <c r="G54" s="26"/>
      <c r="H54" s="26"/>
      <c r="I54" s="3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1.75" hidden="1" customHeight="1" x14ac:dyDescent="0.6">
      <c r="A55" s="26"/>
      <c r="B55" s="36"/>
      <c r="C55" s="26"/>
      <c r="D55" s="36"/>
      <c r="E55" s="26"/>
      <c r="F55" s="36"/>
      <c r="G55" s="26"/>
      <c r="H55" s="26"/>
      <c r="I55" s="3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1.75" hidden="1" customHeight="1" x14ac:dyDescent="0.6">
      <c r="A56" s="26"/>
      <c r="B56" s="36"/>
      <c r="C56" s="26"/>
      <c r="D56" s="36"/>
      <c r="E56" s="26"/>
      <c r="F56" s="36"/>
      <c r="G56" s="26"/>
      <c r="H56" s="26"/>
      <c r="I56" s="3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1.75" hidden="1" customHeight="1" x14ac:dyDescent="0.6">
      <c r="A57" s="26"/>
      <c r="B57" s="36"/>
      <c r="C57" s="26"/>
      <c r="D57" s="36"/>
      <c r="E57" s="26"/>
      <c r="F57" s="36"/>
      <c r="G57" s="26"/>
      <c r="H57" s="26"/>
      <c r="I57" s="3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1.75" hidden="1" customHeight="1" x14ac:dyDescent="0.6">
      <c r="A58" s="26"/>
      <c r="B58" s="36"/>
      <c r="C58" s="26"/>
      <c r="D58" s="36"/>
      <c r="E58" s="26"/>
      <c r="F58" s="36"/>
      <c r="G58" s="26"/>
      <c r="H58" s="26"/>
      <c r="I58" s="3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1.75" hidden="1" customHeight="1" x14ac:dyDescent="0.6">
      <c r="A59" s="26"/>
      <c r="B59" s="36"/>
      <c r="C59" s="26"/>
      <c r="D59" s="36"/>
      <c r="E59" s="26"/>
      <c r="F59" s="36"/>
      <c r="G59" s="26"/>
      <c r="H59" s="26"/>
      <c r="I59" s="3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1.75" hidden="1" customHeight="1" x14ac:dyDescent="0.6">
      <c r="A60" s="26"/>
      <c r="B60" s="36"/>
      <c r="C60" s="26"/>
      <c r="D60" s="36"/>
      <c r="E60" s="26"/>
      <c r="F60" s="36"/>
      <c r="G60" s="26"/>
      <c r="H60" s="26"/>
      <c r="I60" s="3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1.75" hidden="1" customHeight="1" x14ac:dyDescent="0.6">
      <c r="A61" s="26"/>
      <c r="B61" s="36"/>
      <c r="C61" s="26"/>
      <c r="D61" s="36"/>
      <c r="E61" s="26"/>
      <c r="F61" s="36"/>
      <c r="G61" s="26"/>
      <c r="H61" s="26"/>
      <c r="I61" s="3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1.75" hidden="1" customHeight="1" x14ac:dyDescent="0.6">
      <c r="A62" s="26"/>
      <c r="B62" s="36"/>
      <c r="C62" s="26"/>
      <c r="D62" s="36"/>
      <c r="E62" s="26"/>
      <c r="F62" s="36"/>
      <c r="G62" s="26"/>
      <c r="H62" s="26"/>
      <c r="I62" s="3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1.75" hidden="1" customHeight="1" x14ac:dyDescent="0.6">
      <c r="A63" s="26"/>
      <c r="B63" s="36"/>
      <c r="C63" s="26"/>
      <c r="D63" s="36"/>
      <c r="E63" s="26"/>
      <c r="F63" s="36"/>
      <c r="G63" s="26"/>
      <c r="H63" s="26"/>
      <c r="I63" s="37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1.75" customHeight="1" x14ac:dyDescent="0.6">
      <c r="A64" s="26"/>
      <c r="B64" s="36"/>
      <c r="C64" s="26"/>
      <c r="D64" s="36"/>
      <c r="E64" s="26"/>
      <c r="F64" s="36"/>
      <c r="G64" s="26"/>
      <c r="H64" s="26"/>
      <c r="I64" s="3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1.75" customHeight="1" x14ac:dyDescent="0.6">
      <c r="A65" s="26"/>
      <c r="B65" s="36"/>
      <c r="C65" s="26"/>
      <c r="D65" s="36"/>
      <c r="E65" s="26"/>
      <c r="F65" s="3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1.75" customHeight="1" x14ac:dyDescent="0.6">
      <c r="A66" s="26"/>
      <c r="B66" s="36"/>
      <c r="C66" s="26"/>
      <c r="D66" s="36"/>
      <c r="E66" s="26"/>
      <c r="F66" s="3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1.75" customHeight="1" x14ac:dyDescent="0.6">
      <c r="A67" s="26"/>
      <c r="B67" s="36"/>
      <c r="C67" s="26"/>
      <c r="D67" s="36"/>
      <c r="E67" s="26"/>
      <c r="F67" s="3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1.75" customHeight="1" x14ac:dyDescent="0.6">
      <c r="A68" s="26"/>
      <c r="B68" s="36"/>
      <c r="C68" s="26"/>
      <c r="D68" s="36"/>
      <c r="E68" s="26"/>
      <c r="F68" s="3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1.75" customHeight="1" x14ac:dyDescent="0.6">
      <c r="A69" s="26"/>
      <c r="B69" s="36"/>
      <c r="C69" s="26"/>
      <c r="D69" s="36"/>
      <c r="E69" s="26"/>
      <c r="F69" s="3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1.75" customHeight="1" x14ac:dyDescent="0.6">
      <c r="A70" s="26"/>
      <c r="B70" s="36"/>
      <c r="C70" s="26"/>
      <c r="D70" s="36"/>
      <c r="E70" s="26"/>
      <c r="F70" s="36"/>
      <c r="G70" s="26"/>
      <c r="H70" s="26"/>
      <c r="I70" s="37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1.75" customHeight="1" x14ac:dyDescent="0.6">
      <c r="A71" s="26"/>
      <c r="B71" s="36"/>
      <c r="C71" s="26"/>
      <c r="D71" s="36"/>
      <c r="E71" s="26"/>
      <c r="F71" s="36"/>
      <c r="G71" s="26"/>
      <c r="H71" s="26"/>
      <c r="I71" s="37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1.75" customHeight="1" x14ac:dyDescent="0.6">
      <c r="A72" s="26"/>
      <c r="B72" s="36"/>
      <c r="C72" s="26"/>
      <c r="D72" s="36"/>
      <c r="E72" s="26"/>
      <c r="F72" s="36"/>
      <c r="G72" s="26"/>
      <c r="H72" s="26"/>
      <c r="I72" s="37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1.75" customHeight="1" x14ac:dyDescent="0.6">
      <c r="A73" s="26"/>
      <c r="B73" s="36"/>
      <c r="C73" s="26"/>
      <c r="D73" s="36"/>
      <c r="E73" s="26"/>
      <c r="F73" s="36"/>
      <c r="G73" s="26"/>
      <c r="H73" s="26"/>
      <c r="I73" s="37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1.75" customHeight="1" x14ac:dyDescent="0.6">
      <c r="A74" s="26"/>
      <c r="B74" s="36"/>
      <c r="C74" s="26"/>
      <c r="D74" s="36"/>
      <c r="E74" s="26"/>
      <c r="F74" s="36"/>
      <c r="G74" s="26"/>
      <c r="H74" s="26"/>
      <c r="I74" s="37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1.75" customHeight="1" x14ac:dyDescent="0.6">
      <c r="A75" s="26"/>
      <c r="B75" s="36"/>
      <c r="C75" s="26"/>
      <c r="D75" s="36"/>
      <c r="E75" s="26"/>
      <c r="F75" s="36"/>
      <c r="G75" s="26"/>
      <c r="H75" s="26"/>
      <c r="I75" s="37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1.75" customHeight="1" x14ac:dyDescent="0.6">
      <c r="A76" s="26"/>
      <c r="B76" s="36"/>
      <c r="C76" s="26"/>
      <c r="D76" s="36"/>
      <c r="E76" s="26"/>
      <c r="F76" s="36"/>
      <c r="G76" s="26"/>
      <c r="H76" s="26"/>
      <c r="I76" s="37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1.75" customHeight="1" x14ac:dyDescent="0.6">
      <c r="A77" s="26"/>
      <c r="B77" s="36"/>
      <c r="C77" s="26"/>
      <c r="D77" s="36"/>
      <c r="E77" s="26"/>
      <c r="F77" s="36"/>
      <c r="G77" s="26"/>
      <c r="H77" s="26"/>
      <c r="I77" s="37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1.75" customHeight="1" x14ac:dyDescent="0.6">
      <c r="A78" s="26"/>
      <c r="B78" s="36"/>
      <c r="C78" s="26"/>
      <c r="D78" s="36"/>
      <c r="E78" s="26"/>
      <c r="F78" s="36"/>
      <c r="G78" s="26"/>
      <c r="H78" s="26"/>
      <c r="I78" s="37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1.75" customHeight="1" x14ac:dyDescent="0.6">
      <c r="A79" s="26"/>
      <c r="B79" s="36"/>
      <c r="C79" s="26"/>
      <c r="D79" s="36"/>
      <c r="E79" s="26"/>
      <c r="F79" s="36"/>
      <c r="G79" s="26"/>
      <c r="H79" s="26"/>
      <c r="I79" s="37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1.75" customHeight="1" x14ac:dyDescent="0.6">
      <c r="A80" s="26"/>
      <c r="B80" s="36"/>
      <c r="C80" s="26"/>
      <c r="D80" s="36"/>
      <c r="E80" s="26"/>
      <c r="F80" s="36"/>
      <c r="G80" s="26"/>
      <c r="H80" s="26"/>
      <c r="I80" s="37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1.75" customHeight="1" x14ac:dyDescent="0.6">
      <c r="A81" s="26"/>
      <c r="B81" s="36"/>
      <c r="C81" s="26"/>
      <c r="D81" s="36"/>
      <c r="E81" s="26"/>
      <c r="F81" s="36"/>
      <c r="G81" s="26"/>
      <c r="H81" s="26"/>
      <c r="I81" s="37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1.75" customHeight="1" x14ac:dyDescent="0.6">
      <c r="A82" s="26"/>
      <c r="B82" s="36"/>
      <c r="C82" s="26"/>
      <c r="D82" s="36"/>
      <c r="E82" s="26"/>
      <c r="F82" s="36"/>
      <c r="G82" s="26"/>
      <c r="H82" s="26"/>
      <c r="I82" s="37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1.75" customHeight="1" x14ac:dyDescent="0.6">
      <c r="A83" s="26"/>
      <c r="B83" s="36"/>
      <c r="C83" s="26"/>
      <c r="D83" s="36"/>
      <c r="E83" s="26"/>
      <c r="F83" s="36"/>
      <c r="G83" s="26"/>
      <c r="H83" s="26"/>
      <c r="I83" s="37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1.75" customHeight="1" x14ac:dyDescent="0.6">
      <c r="A84" s="26"/>
      <c r="B84" s="36"/>
      <c r="C84" s="26"/>
      <c r="D84" s="36"/>
      <c r="E84" s="26"/>
      <c r="F84" s="36"/>
      <c r="G84" s="26"/>
      <c r="H84" s="26"/>
      <c r="I84" s="37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1.75" customHeight="1" x14ac:dyDescent="0.6">
      <c r="A85" s="26"/>
      <c r="B85" s="36"/>
      <c r="C85" s="26"/>
      <c r="D85" s="36"/>
      <c r="E85" s="26"/>
      <c r="F85" s="36"/>
      <c r="G85" s="26"/>
      <c r="H85" s="26"/>
      <c r="I85" s="37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1.75" customHeight="1" x14ac:dyDescent="0.6">
      <c r="A86" s="26"/>
      <c r="B86" s="36"/>
      <c r="C86" s="26"/>
      <c r="D86" s="36"/>
      <c r="E86" s="26"/>
      <c r="F86" s="36"/>
      <c r="G86" s="26"/>
      <c r="H86" s="26"/>
      <c r="I86" s="37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1.75" customHeight="1" x14ac:dyDescent="0.6">
      <c r="A87" s="26"/>
      <c r="B87" s="36"/>
      <c r="C87" s="26"/>
      <c r="D87" s="36"/>
      <c r="E87" s="26"/>
      <c r="F87" s="36"/>
      <c r="G87" s="26"/>
      <c r="H87" s="26"/>
      <c r="I87" s="37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1.75" customHeight="1" x14ac:dyDescent="0.6">
      <c r="A88" s="26"/>
      <c r="B88" s="36"/>
      <c r="C88" s="26"/>
      <c r="D88" s="36"/>
      <c r="E88" s="26"/>
      <c r="F88" s="36"/>
      <c r="G88" s="26"/>
      <c r="H88" s="26"/>
      <c r="I88" s="37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1.75" customHeight="1" x14ac:dyDescent="0.6">
      <c r="A89" s="26"/>
      <c r="B89" s="36"/>
      <c r="C89" s="26"/>
      <c r="D89" s="36"/>
      <c r="E89" s="26"/>
      <c r="F89" s="36"/>
      <c r="G89" s="26"/>
      <c r="H89" s="26"/>
      <c r="I89" s="37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1.75" customHeight="1" x14ac:dyDescent="0.6">
      <c r="A90" s="26"/>
      <c r="B90" s="36"/>
      <c r="C90" s="26"/>
      <c r="D90" s="36"/>
      <c r="E90" s="26"/>
      <c r="F90" s="36"/>
      <c r="G90" s="26"/>
      <c r="H90" s="26"/>
      <c r="I90" s="37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1.75" customHeight="1" x14ac:dyDescent="0.6">
      <c r="A91" s="26"/>
      <c r="B91" s="36"/>
      <c r="C91" s="26"/>
      <c r="D91" s="36"/>
      <c r="E91" s="26"/>
      <c r="F91" s="36"/>
      <c r="G91" s="26"/>
      <c r="H91" s="26"/>
      <c r="I91" s="37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1.75" customHeight="1" x14ac:dyDescent="0.6">
      <c r="A92" s="26"/>
      <c r="B92" s="36"/>
      <c r="C92" s="26"/>
      <c r="D92" s="36"/>
      <c r="E92" s="26"/>
      <c r="F92" s="36"/>
      <c r="G92" s="26"/>
      <c r="H92" s="26"/>
      <c r="I92" s="37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1.75" customHeight="1" x14ac:dyDescent="0.6">
      <c r="A93" s="26"/>
      <c r="B93" s="36"/>
      <c r="C93" s="26"/>
      <c r="D93" s="36"/>
      <c r="E93" s="26"/>
      <c r="F93" s="36"/>
      <c r="G93" s="26"/>
      <c r="H93" s="26"/>
      <c r="I93" s="37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1.75" customHeight="1" x14ac:dyDescent="0.6">
      <c r="A94" s="26"/>
      <c r="B94" s="36"/>
      <c r="C94" s="26"/>
      <c r="D94" s="36"/>
      <c r="E94" s="26"/>
      <c r="F94" s="36"/>
      <c r="G94" s="26"/>
      <c r="H94" s="26"/>
      <c r="I94" s="37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1.75" customHeight="1" x14ac:dyDescent="0.6">
      <c r="A95" s="26"/>
      <c r="B95" s="36"/>
      <c r="C95" s="26"/>
      <c r="D95" s="36"/>
      <c r="E95" s="26"/>
      <c r="F95" s="36"/>
      <c r="G95" s="26"/>
      <c r="H95" s="26"/>
      <c r="I95" s="37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1.75" customHeight="1" x14ac:dyDescent="0.6">
      <c r="A96" s="26"/>
      <c r="B96" s="36"/>
      <c r="C96" s="26"/>
      <c r="D96" s="36"/>
      <c r="E96" s="26"/>
      <c r="F96" s="36"/>
      <c r="G96" s="26"/>
      <c r="H96" s="26"/>
      <c r="I96" s="37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1.75" customHeight="1" x14ac:dyDescent="0.6">
      <c r="A97" s="26"/>
      <c r="B97" s="36"/>
      <c r="C97" s="26"/>
      <c r="D97" s="36"/>
      <c r="E97" s="26"/>
      <c r="F97" s="36"/>
      <c r="G97" s="26"/>
      <c r="H97" s="26"/>
      <c r="I97" s="37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1.75" customHeight="1" x14ac:dyDescent="0.6">
      <c r="A98" s="26"/>
      <c r="B98" s="36"/>
      <c r="C98" s="26"/>
      <c r="D98" s="36"/>
      <c r="E98" s="26"/>
      <c r="F98" s="36"/>
      <c r="G98" s="26"/>
      <c r="H98" s="26"/>
      <c r="I98" s="37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1.75" customHeight="1" x14ac:dyDescent="0.6">
      <c r="A99" s="26"/>
      <c r="B99" s="36"/>
      <c r="C99" s="26"/>
      <c r="D99" s="36"/>
      <c r="E99" s="26"/>
      <c r="F99" s="36"/>
      <c r="G99" s="26"/>
      <c r="H99" s="26"/>
      <c r="I99" s="37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1.75" customHeight="1" x14ac:dyDescent="0.6">
      <c r="A100" s="26"/>
      <c r="B100" s="36"/>
      <c r="C100" s="26"/>
      <c r="D100" s="36"/>
      <c r="E100" s="26"/>
      <c r="F100" s="36"/>
      <c r="G100" s="26"/>
      <c r="H100" s="26"/>
      <c r="I100" s="37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1.75" customHeight="1" x14ac:dyDescent="0.6">
      <c r="A101" s="26"/>
      <c r="B101" s="36"/>
      <c r="C101" s="26"/>
      <c r="D101" s="36"/>
      <c r="E101" s="26"/>
      <c r="F101" s="36"/>
      <c r="G101" s="26"/>
      <c r="H101" s="26"/>
      <c r="I101" s="37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1.75" customHeight="1" x14ac:dyDescent="0.6">
      <c r="A102" s="26"/>
      <c r="B102" s="36"/>
      <c r="C102" s="26"/>
      <c r="D102" s="36"/>
      <c r="E102" s="26"/>
      <c r="F102" s="36"/>
      <c r="G102" s="26"/>
      <c r="H102" s="26"/>
      <c r="I102" s="37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1.75" customHeight="1" x14ac:dyDescent="0.6">
      <c r="A103" s="26"/>
      <c r="B103" s="36"/>
      <c r="C103" s="26"/>
      <c r="D103" s="36"/>
      <c r="E103" s="26"/>
      <c r="F103" s="36"/>
      <c r="G103" s="26"/>
      <c r="H103" s="26"/>
      <c r="I103" s="37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1.75" customHeight="1" x14ac:dyDescent="0.6">
      <c r="A104" s="26"/>
      <c r="B104" s="36"/>
      <c r="C104" s="26"/>
      <c r="D104" s="36"/>
      <c r="E104" s="26"/>
      <c r="F104" s="36"/>
      <c r="G104" s="26"/>
      <c r="H104" s="26"/>
      <c r="I104" s="37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1.75" customHeight="1" x14ac:dyDescent="0.6">
      <c r="A105" s="26"/>
      <c r="B105" s="36"/>
      <c r="C105" s="26"/>
      <c r="D105" s="36"/>
      <c r="E105" s="26"/>
      <c r="F105" s="36"/>
      <c r="G105" s="26"/>
      <c r="H105" s="26"/>
      <c r="I105" s="37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1.75" customHeight="1" x14ac:dyDescent="0.6">
      <c r="A106" s="26"/>
      <c r="B106" s="36"/>
      <c r="C106" s="26"/>
      <c r="D106" s="36"/>
      <c r="E106" s="26"/>
      <c r="F106" s="36"/>
      <c r="G106" s="26"/>
      <c r="H106" s="26"/>
      <c r="I106" s="37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1.75" customHeight="1" x14ac:dyDescent="0.6">
      <c r="A107" s="26"/>
      <c r="B107" s="36"/>
      <c r="C107" s="26"/>
      <c r="D107" s="36"/>
      <c r="E107" s="26"/>
      <c r="F107" s="36"/>
      <c r="G107" s="26"/>
      <c r="H107" s="26"/>
      <c r="I107" s="37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1.75" customHeight="1" x14ac:dyDescent="0.6">
      <c r="A108" s="26"/>
      <c r="B108" s="36"/>
      <c r="C108" s="26"/>
      <c r="D108" s="36"/>
      <c r="E108" s="26"/>
      <c r="F108" s="36"/>
      <c r="G108" s="26"/>
      <c r="H108" s="26"/>
      <c r="I108" s="37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1.75" customHeight="1" x14ac:dyDescent="0.6">
      <c r="A109" s="26"/>
      <c r="B109" s="36"/>
      <c r="C109" s="26"/>
      <c r="D109" s="36"/>
      <c r="E109" s="26"/>
      <c r="F109" s="36"/>
      <c r="G109" s="26"/>
      <c r="H109" s="26"/>
      <c r="I109" s="37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1.75" customHeight="1" x14ac:dyDescent="0.6">
      <c r="A110" s="26"/>
      <c r="B110" s="36"/>
      <c r="C110" s="26"/>
      <c r="D110" s="36"/>
      <c r="E110" s="26"/>
      <c r="F110" s="36"/>
      <c r="G110" s="26"/>
      <c r="H110" s="26"/>
      <c r="I110" s="37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1.75" customHeight="1" x14ac:dyDescent="0.6">
      <c r="A111" s="26"/>
      <c r="B111" s="36"/>
      <c r="C111" s="26"/>
      <c r="D111" s="36"/>
      <c r="E111" s="26"/>
      <c r="F111" s="36"/>
      <c r="G111" s="26"/>
      <c r="H111" s="26"/>
      <c r="I111" s="37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1.75" customHeight="1" x14ac:dyDescent="0.6">
      <c r="A112" s="26"/>
      <c r="B112" s="36"/>
      <c r="C112" s="26"/>
      <c r="D112" s="36"/>
      <c r="E112" s="26"/>
      <c r="F112" s="36"/>
      <c r="G112" s="26"/>
      <c r="H112" s="26"/>
      <c r="I112" s="37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1.75" customHeight="1" x14ac:dyDescent="0.6">
      <c r="A113" s="26"/>
      <c r="B113" s="36"/>
      <c r="C113" s="26"/>
      <c r="D113" s="36"/>
      <c r="E113" s="26"/>
      <c r="F113" s="36"/>
      <c r="G113" s="26"/>
      <c r="H113" s="26"/>
      <c r="I113" s="37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1.75" customHeight="1" x14ac:dyDescent="0.6">
      <c r="A114" s="26"/>
      <c r="B114" s="36"/>
      <c r="C114" s="26"/>
      <c r="D114" s="36"/>
      <c r="E114" s="26"/>
      <c r="F114" s="36"/>
      <c r="G114" s="26"/>
      <c r="H114" s="26"/>
      <c r="I114" s="37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1.75" customHeight="1" x14ac:dyDescent="0.6">
      <c r="A115" s="26"/>
      <c r="B115" s="36"/>
      <c r="C115" s="26"/>
      <c r="D115" s="36"/>
      <c r="E115" s="26"/>
      <c r="F115" s="36"/>
      <c r="G115" s="26"/>
      <c r="H115" s="26"/>
      <c r="I115" s="37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1.75" customHeight="1" x14ac:dyDescent="0.6">
      <c r="A116" s="26"/>
      <c r="B116" s="36"/>
      <c r="C116" s="26"/>
      <c r="D116" s="36"/>
      <c r="E116" s="26"/>
      <c r="F116" s="36"/>
      <c r="G116" s="26"/>
      <c r="H116" s="26"/>
      <c r="I116" s="37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1.75" customHeight="1" x14ac:dyDescent="0.6">
      <c r="A117" s="26"/>
      <c r="B117" s="36"/>
      <c r="C117" s="26"/>
      <c r="D117" s="36"/>
      <c r="E117" s="26"/>
      <c r="F117" s="36"/>
      <c r="G117" s="26"/>
      <c r="H117" s="26"/>
      <c r="I117" s="37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1.75" customHeight="1" x14ac:dyDescent="0.6">
      <c r="A118" s="26"/>
      <c r="B118" s="36"/>
      <c r="C118" s="26"/>
      <c r="D118" s="36"/>
      <c r="E118" s="26"/>
      <c r="F118" s="36"/>
      <c r="G118" s="26"/>
      <c r="H118" s="26"/>
      <c r="I118" s="37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1.75" customHeight="1" x14ac:dyDescent="0.6">
      <c r="A119" s="26"/>
      <c r="B119" s="36"/>
      <c r="C119" s="26"/>
      <c r="D119" s="36"/>
      <c r="E119" s="26"/>
      <c r="F119" s="36"/>
      <c r="G119" s="26"/>
      <c r="H119" s="26"/>
      <c r="I119" s="37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1.75" customHeight="1" x14ac:dyDescent="0.6">
      <c r="A120" s="26"/>
      <c r="B120" s="36"/>
      <c r="C120" s="26"/>
      <c r="D120" s="36"/>
      <c r="E120" s="26"/>
      <c r="F120" s="36"/>
      <c r="G120" s="26"/>
      <c r="H120" s="26"/>
      <c r="I120" s="37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1.75" customHeight="1" x14ac:dyDescent="0.6">
      <c r="A121" s="26"/>
      <c r="B121" s="36"/>
      <c r="C121" s="26"/>
      <c r="D121" s="36"/>
      <c r="E121" s="26"/>
      <c r="F121" s="36"/>
      <c r="G121" s="26"/>
      <c r="H121" s="26"/>
      <c r="I121" s="37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1.75" customHeight="1" x14ac:dyDescent="0.6">
      <c r="A122" s="26"/>
      <c r="B122" s="36"/>
      <c r="C122" s="26"/>
      <c r="D122" s="36"/>
      <c r="E122" s="26"/>
      <c r="F122" s="36"/>
      <c r="G122" s="26"/>
      <c r="H122" s="26"/>
      <c r="I122" s="37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1.75" customHeight="1" x14ac:dyDescent="0.6">
      <c r="A123" s="26"/>
      <c r="B123" s="36"/>
      <c r="C123" s="26"/>
      <c r="D123" s="36"/>
      <c r="E123" s="26"/>
      <c r="F123" s="36"/>
      <c r="G123" s="26"/>
      <c r="H123" s="26"/>
      <c r="I123" s="37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1.75" customHeight="1" x14ac:dyDescent="0.6">
      <c r="A124" s="26"/>
      <c r="B124" s="36"/>
      <c r="C124" s="26"/>
      <c r="D124" s="36"/>
      <c r="E124" s="26"/>
      <c r="F124" s="36"/>
      <c r="G124" s="26"/>
      <c r="H124" s="26"/>
      <c r="I124" s="37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1.75" customHeight="1" x14ac:dyDescent="0.6">
      <c r="A125" s="26"/>
      <c r="B125" s="36"/>
      <c r="C125" s="26"/>
      <c r="D125" s="36"/>
      <c r="E125" s="26"/>
      <c r="F125" s="36"/>
      <c r="G125" s="26"/>
      <c r="H125" s="26"/>
      <c r="I125" s="37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1.75" customHeight="1" x14ac:dyDescent="0.6">
      <c r="A126" s="26"/>
      <c r="B126" s="36"/>
      <c r="C126" s="26"/>
      <c r="D126" s="36"/>
      <c r="E126" s="26"/>
      <c r="F126" s="36"/>
      <c r="G126" s="26"/>
      <c r="H126" s="26"/>
      <c r="I126" s="37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1.75" customHeight="1" x14ac:dyDescent="0.6">
      <c r="A127" s="26"/>
      <c r="B127" s="36"/>
      <c r="C127" s="26"/>
      <c r="D127" s="36"/>
      <c r="E127" s="26"/>
      <c r="F127" s="36"/>
      <c r="G127" s="26"/>
      <c r="H127" s="26"/>
      <c r="I127" s="37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1.75" customHeight="1" x14ac:dyDescent="0.6">
      <c r="A128" s="26"/>
      <c r="B128" s="36"/>
      <c r="C128" s="26"/>
      <c r="D128" s="36"/>
      <c r="E128" s="26"/>
      <c r="F128" s="36"/>
      <c r="G128" s="26"/>
      <c r="H128" s="26"/>
      <c r="I128" s="37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1.75" customHeight="1" x14ac:dyDescent="0.6">
      <c r="A129" s="26"/>
      <c r="B129" s="36"/>
      <c r="C129" s="26"/>
      <c r="D129" s="36"/>
      <c r="E129" s="26"/>
      <c r="F129" s="36"/>
      <c r="G129" s="26"/>
      <c r="H129" s="26"/>
      <c r="I129" s="37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1.75" customHeight="1" x14ac:dyDescent="0.6">
      <c r="A130" s="26"/>
      <c r="B130" s="36"/>
      <c r="C130" s="26"/>
      <c r="D130" s="36"/>
      <c r="E130" s="26"/>
      <c r="F130" s="36"/>
      <c r="G130" s="26"/>
      <c r="H130" s="26"/>
      <c r="I130" s="37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1.75" customHeight="1" x14ac:dyDescent="0.6">
      <c r="A131" s="26"/>
      <c r="B131" s="36"/>
      <c r="C131" s="26"/>
      <c r="D131" s="36"/>
      <c r="E131" s="26"/>
      <c r="F131" s="36"/>
      <c r="G131" s="26"/>
      <c r="H131" s="26"/>
      <c r="I131" s="37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1.75" customHeight="1" x14ac:dyDescent="0.6">
      <c r="A132" s="26"/>
      <c r="B132" s="36"/>
      <c r="C132" s="26"/>
      <c r="D132" s="36"/>
      <c r="E132" s="26"/>
      <c r="F132" s="36"/>
      <c r="G132" s="26"/>
      <c r="H132" s="26"/>
      <c r="I132" s="37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1.75" customHeight="1" x14ac:dyDescent="0.6">
      <c r="A133" s="26"/>
      <c r="B133" s="36"/>
      <c r="C133" s="26"/>
      <c r="D133" s="36"/>
      <c r="E133" s="26"/>
      <c r="F133" s="36"/>
      <c r="G133" s="26"/>
      <c r="H133" s="26"/>
      <c r="I133" s="37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1.75" customHeight="1" x14ac:dyDescent="0.6">
      <c r="A134" s="26"/>
      <c r="B134" s="36"/>
      <c r="C134" s="26"/>
      <c r="D134" s="36"/>
      <c r="E134" s="26"/>
      <c r="F134" s="36"/>
      <c r="G134" s="26"/>
      <c r="H134" s="26"/>
      <c r="I134" s="37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1.75" customHeight="1" x14ac:dyDescent="0.6">
      <c r="A135" s="26"/>
      <c r="B135" s="36"/>
      <c r="C135" s="26"/>
      <c r="D135" s="36"/>
      <c r="E135" s="26"/>
      <c r="F135" s="36"/>
      <c r="G135" s="26"/>
      <c r="H135" s="26"/>
      <c r="I135" s="37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1.75" customHeight="1" x14ac:dyDescent="0.6">
      <c r="A136" s="26"/>
      <c r="B136" s="36"/>
      <c r="C136" s="26"/>
      <c r="D136" s="36"/>
      <c r="E136" s="26"/>
      <c r="F136" s="36"/>
      <c r="G136" s="26"/>
      <c r="H136" s="26"/>
      <c r="I136" s="37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1.75" customHeight="1" x14ac:dyDescent="0.6">
      <c r="A137" s="26"/>
      <c r="B137" s="36"/>
      <c r="C137" s="26"/>
      <c r="D137" s="36"/>
      <c r="E137" s="26"/>
      <c r="F137" s="36"/>
      <c r="G137" s="26"/>
      <c r="H137" s="26"/>
      <c r="I137" s="37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1.75" customHeight="1" x14ac:dyDescent="0.6">
      <c r="A138" s="26"/>
      <c r="B138" s="36"/>
      <c r="C138" s="26"/>
      <c r="D138" s="36"/>
      <c r="E138" s="26"/>
      <c r="F138" s="36"/>
      <c r="G138" s="26"/>
      <c r="H138" s="26"/>
      <c r="I138" s="37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1.75" customHeight="1" x14ac:dyDescent="0.6">
      <c r="A139" s="26"/>
      <c r="B139" s="36"/>
      <c r="C139" s="26"/>
      <c r="D139" s="36"/>
      <c r="E139" s="26"/>
      <c r="F139" s="36"/>
      <c r="G139" s="26"/>
      <c r="H139" s="26"/>
      <c r="I139" s="37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1.75" customHeight="1" x14ac:dyDescent="0.6">
      <c r="A140" s="26"/>
      <c r="B140" s="36"/>
      <c r="C140" s="26"/>
      <c r="D140" s="36"/>
      <c r="E140" s="26"/>
      <c r="F140" s="36"/>
      <c r="G140" s="26"/>
      <c r="H140" s="26"/>
      <c r="I140" s="37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1.75" customHeight="1" x14ac:dyDescent="0.6">
      <c r="A141" s="26"/>
      <c r="B141" s="36"/>
      <c r="C141" s="26"/>
      <c r="D141" s="36"/>
      <c r="E141" s="26"/>
      <c r="F141" s="36"/>
      <c r="G141" s="26"/>
      <c r="H141" s="26"/>
      <c r="I141" s="37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1.75" customHeight="1" x14ac:dyDescent="0.6">
      <c r="A142" s="26"/>
      <c r="B142" s="36"/>
      <c r="C142" s="26"/>
      <c r="D142" s="36"/>
      <c r="E142" s="26"/>
      <c r="F142" s="36"/>
      <c r="G142" s="26"/>
      <c r="H142" s="26"/>
      <c r="I142" s="37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1.75" customHeight="1" x14ac:dyDescent="0.6">
      <c r="A143" s="26"/>
      <c r="B143" s="36"/>
      <c r="C143" s="26"/>
      <c r="D143" s="36"/>
      <c r="E143" s="26"/>
      <c r="F143" s="36"/>
      <c r="G143" s="26"/>
      <c r="H143" s="26"/>
      <c r="I143" s="37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1.75" customHeight="1" x14ac:dyDescent="0.6">
      <c r="A144" s="26"/>
      <c r="B144" s="36"/>
      <c r="C144" s="26"/>
      <c r="D144" s="36"/>
      <c r="E144" s="26"/>
      <c r="F144" s="36"/>
      <c r="G144" s="26"/>
      <c r="H144" s="26"/>
      <c r="I144" s="37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1.75" customHeight="1" x14ac:dyDescent="0.6">
      <c r="A145" s="26"/>
      <c r="B145" s="36"/>
      <c r="C145" s="26"/>
      <c r="D145" s="36"/>
      <c r="E145" s="26"/>
      <c r="F145" s="36"/>
      <c r="G145" s="26"/>
      <c r="H145" s="26"/>
      <c r="I145" s="37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1.75" customHeight="1" x14ac:dyDescent="0.6">
      <c r="A146" s="26"/>
      <c r="B146" s="36"/>
      <c r="C146" s="26"/>
      <c r="D146" s="36"/>
      <c r="E146" s="26"/>
      <c r="F146" s="36"/>
      <c r="G146" s="26"/>
      <c r="H146" s="26"/>
      <c r="I146" s="37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1.75" customHeight="1" x14ac:dyDescent="0.6">
      <c r="A147" s="26"/>
      <c r="B147" s="36"/>
      <c r="C147" s="26"/>
      <c r="D147" s="36"/>
      <c r="E147" s="26"/>
      <c r="F147" s="36"/>
      <c r="G147" s="26"/>
      <c r="H147" s="26"/>
      <c r="I147" s="37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1.75" customHeight="1" x14ac:dyDescent="0.6">
      <c r="A148" s="26"/>
      <c r="B148" s="36"/>
      <c r="C148" s="26"/>
      <c r="D148" s="36"/>
      <c r="E148" s="26"/>
      <c r="F148" s="36"/>
      <c r="G148" s="26"/>
      <c r="H148" s="26"/>
      <c r="I148" s="37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1.75" customHeight="1" x14ac:dyDescent="0.6">
      <c r="A149" s="26"/>
      <c r="B149" s="36"/>
      <c r="C149" s="26"/>
      <c r="D149" s="36"/>
      <c r="E149" s="26"/>
      <c r="F149" s="36"/>
      <c r="G149" s="26"/>
      <c r="H149" s="26"/>
      <c r="I149" s="37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1.75" customHeight="1" x14ac:dyDescent="0.6">
      <c r="A150" s="26"/>
      <c r="B150" s="36"/>
      <c r="C150" s="26"/>
      <c r="D150" s="36"/>
      <c r="E150" s="26"/>
      <c r="F150" s="36"/>
      <c r="G150" s="26"/>
      <c r="H150" s="26"/>
      <c r="I150" s="37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1.75" customHeight="1" x14ac:dyDescent="0.6">
      <c r="A151" s="26"/>
      <c r="B151" s="36"/>
      <c r="C151" s="26"/>
      <c r="D151" s="36"/>
      <c r="E151" s="26"/>
      <c r="F151" s="36"/>
      <c r="G151" s="26"/>
      <c r="H151" s="26"/>
      <c r="I151" s="37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1.75" customHeight="1" x14ac:dyDescent="0.6">
      <c r="A152" s="26"/>
      <c r="B152" s="36"/>
      <c r="C152" s="26"/>
      <c r="D152" s="36"/>
      <c r="E152" s="26"/>
      <c r="F152" s="36"/>
      <c r="G152" s="26"/>
      <c r="H152" s="26"/>
      <c r="I152" s="37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1.75" customHeight="1" x14ac:dyDescent="0.6">
      <c r="A153" s="26"/>
      <c r="B153" s="36"/>
      <c r="C153" s="26"/>
      <c r="D153" s="36"/>
      <c r="E153" s="26"/>
      <c r="F153" s="36"/>
      <c r="G153" s="26"/>
      <c r="H153" s="26"/>
      <c r="I153" s="37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1.75" customHeight="1" x14ac:dyDescent="0.6">
      <c r="A154" s="26"/>
      <c r="B154" s="36"/>
      <c r="C154" s="26"/>
      <c r="D154" s="36"/>
      <c r="E154" s="26"/>
      <c r="F154" s="36"/>
      <c r="G154" s="26"/>
      <c r="H154" s="26"/>
      <c r="I154" s="37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1.75" customHeight="1" x14ac:dyDescent="0.6">
      <c r="A155" s="26"/>
      <c r="B155" s="36"/>
      <c r="C155" s="26"/>
      <c r="D155" s="36"/>
      <c r="E155" s="26"/>
      <c r="F155" s="36"/>
      <c r="G155" s="26"/>
      <c r="H155" s="26"/>
      <c r="I155" s="37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1.75" customHeight="1" x14ac:dyDescent="0.6">
      <c r="A156" s="26"/>
      <c r="B156" s="36"/>
      <c r="C156" s="26"/>
      <c r="D156" s="36"/>
      <c r="E156" s="26"/>
      <c r="F156" s="36"/>
      <c r="G156" s="26"/>
      <c r="H156" s="26"/>
      <c r="I156" s="37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1.75" customHeight="1" x14ac:dyDescent="0.6">
      <c r="A157" s="26"/>
      <c r="B157" s="36"/>
      <c r="C157" s="26"/>
      <c r="D157" s="36"/>
      <c r="E157" s="26"/>
      <c r="F157" s="36"/>
      <c r="G157" s="26"/>
      <c r="H157" s="26"/>
      <c r="I157" s="37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1.75" customHeight="1" x14ac:dyDescent="0.6">
      <c r="A158" s="26"/>
      <c r="B158" s="36"/>
      <c r="C158" s="26"/>
      <c r="D158" s="36"/>
      <c r="E158" s="26"/>
      <c r="F158" s="36"/>
      <c r="G158" s="26"/>
      <c r="H158" s="26"/>
      <c r="I158" s="37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1.75" customHeight="1" x14ac:dyDescent="0.6">
      <c r="A159" s="26"/>
      <c r="B159" s="36"/>
      <c r="C159" s="26"/>
      <c r="D159" s="36"/>
      <c r="E159" s="26"/>
      <c r="F159" s="36"/>
      <c r="G159" s="26"/>
      <c r="H159" s="26"/>
      <c r="I159" s="37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1.75" customHeight="1" x14ac:dyDescent="0.6">
      <c r="A160" s="26"/>
      <c r="B160" s="36"/>
      <c r="C160" s="26"/>
      <c r="D160" s="36"/>
      <c r="E160" s="26"/>
      <c r="F160" s="36"/>
      <c r="G160" s="26"/>
      <c r="H160" s="26"/>
      <c r="I160" s="37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1.75" customHeight="1" x14ac:dyDescent="0.6">
      <c r="A161" s="26"/>
      <c r="B161" s="36"/>
      <c r="C161" s="26"/>
      <c r="D161" s="36"/>
      <c r="E161" s="26"/>
      <c r="F161" s="36"/>
      <c r="G161" s="26"/>
      <c r="H161" s="26"/>
      <c r="I161" s="37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1.75" customHeight="1" x14ac:dyDescent="0.6">
      <c r="A162" s="26"/>
      <c r="B162" s="36"/>
      <c r="C162" s="26"/>
      <c r="D162" s="36"/>
      <c r="E162" s="26"/>
      <c r="F162" s="36"/>
      <c r="G162" s="26"/>
      <c r="H162" s="26"/>
      <c r="I162" s="37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1.75" customHeight="1" x14ac:dyDescent="0.6">
      <c r="A163" s="26"/>
      <c r="B163" s="36"/>
      <c r="C163" s="26"/>
      <c r="D163" s="36"/>
      <c r="E163" s="26"/>
      <c r="F163" s="36"/>
      <c r="G163" s="26"/>
      <c r="H163" s="26"/>
      <c r="I163" s="37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1.75" customHeight="1" x14ac:dyDescent="0.6">
      <c r="A164" s="26"/>
      <c r="B164" s="36"/>
      <c r="C164" s="26"/>
      <c r="D164" s="36"/>
      <c r="E164" s="26"/>
      <c r="F164" s="36"/>
      <c r="G164" s="26"/>
      <c r="H164" s="26"/>
      <c r="I164" s="37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1.75" customHeight="1" x14ac:dyDescent="0.6">
      <c r="A165" s="26"/>
      <c r="B165" s="36"/>
      <c r="C165" s="26"/>
      <c r="D165" s="36"/>
      <c r="E165" s="26"/>
      <c r="F165" s="36"/>
      <c r="G165" s="26"/>
      <c r="H165" s="26"/>
      <c r="I165" s="37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1.75" customHeight="1" x14ac:dyDescent="0.6">
      <c r="A166" s="26"/>
      <c r="B166" s="36"/>
      <c r="C166" s="26"/>
      <c r="D166" s="36"/>
      <c r="E166" s="26"/>
      <c r="F166" s="36"/>
      <c r="G166" s="26"/>
      <c r="H166" s="26"/>
      <c r="I166" s="37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1.75" customHeight="1" x14ac:dyDescent="0.6">
      <c r="A167" s="26"/>
      <c r="B167" s="36"/>
      <c r="C167" s="26"/>
      <c r="D167" s="36"/>
      <c r="E167" s="26"/>
      <c r="F167" s="36"/>
      <c r="G167" s="26"/>
      <c r="H167" s="26"/>
      <c r="I167" s="37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1.75" customHeight="1" x14ac:dyDescent="0.6">
      <c r="A168" s="26"/>
      <c r="B168" s="36"/>
      <c r="C168" s="26"/>
      <c r="D168" s="36"/>
      <c r="E168" s="26"/>
      <c r="F168" s="36"/>
      <c r="G168" s="26"/>
      <c r="H168" s="26"/>
      <c r="I168" s="37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1.75" customHeight="1" x14ac:dyDescent="0.6">
      <c r="A169" s="26"/>
      <c r="B169" s="36"/>
      <c r="C169" s="26"/>
      <c r="D169" s="36"/>
      <c r="E169" s="26"/>
      <c r="F169" s="36"/>
      <c r="G169" s="26"/>
      <c r="H169" s="26"/>
      <c r="I169" s="37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1.75" customHeight="1" x14ac:dyDescent="0.6">
      <c r="A170" s="26"/>
      <c r="B170" s="36"/>
      <c r="C170" s="26"/>
      <c r="D170" s="36"/>
      <c r="E170" s="26"/>
      <c r="F170" s="36"/>
      <c r="G170" s="26"/>
      <c r="H170" s="26"/>
      <c r="I170" s="37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1.75" customHeight="1" x14ac:dyDescent="0.6">
      <c r="A171" s="26"/>
      <c r="B171" s="36"/>
      <c r="C171" s="26"/>
      <c r="D171" s="36"/>
      <c r="E171" s="26"/>
      <c r="F171" s="36"/>
      <c r="G171" s="26"/>
      <c r="H171" s="26"/>
      <c r="I171" s="37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1.75" customHeight="1" x14ac:dyDescent="0.6">
      <c r="A172" s="26"/>
      <c r="B172" s="36"/>
      <c r="C172" s="26"/>
      <c r="D172" s="36"/>
      <c r="E172" s="26"/>
      <c r="F172" s="36"/>
      <c r="G172" s="26"/>
      <c r="H172" s="26"/>
      <c r="I172" s="37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1.75" customHeight="1" x14ac:dyDescent="0.6">
      <c r="A173" s="26"/>
      <c r="B173" s="36"/>
      <c r="C173" s="26"/>
      <c r="D173" s="36"/>
      <c r="E173" s="26"/>
      <c r="F173" s="36"/>
      <c r="G173" s="26"/>
      <c r="H173" s="26"/>
      <c r="I173" s="37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1.75" customHeight="1" x14ac:dyDescent="0.6">
      <c r="A174" s="26"/>
      <c r="B174" s="36"/>
      <c r="C174" s="26"/>
      <c r="D174" s="36"/>
      <c r="E174" s="26"/>
      <c r="F174" s="36"/>
      <c r="G174" s="26"/>
      <c r="H174" s="26"/>
      <c r="I174" s="37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1.75" customHeight="1" x14ac:dyDescent="0.6">
      <c r="A175" s="26"/>
      <c r="B175" s="36"/>
      <c r="C175" s="26"/>
      <c r="D175" s="36"/>
      <c r="E175" s="26"/>
      <c r="F175" s="36"/>
      <c r="G175" s="26"/>
      <c r="H175" s="26"/>
      <c r="I175" s="37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1.75" customHeight="1" x14ac:dyDescent="0.6">
      <c r="A176" s="26"/>
      <c r="B176" s="36"/>
      <c r="C176" s="26"/>
      <c r="D176" s="36"/>
      <c r="E176" s="26"/>
      <c r="F176" s="36"/>
      <c r="G176" s="26"/>
      <c r="H176" s="26"/>
      <c r="I176" s="37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1.75" customHeight="1" x14ac:dyDescent="0.6">
      <c r="A177" s="26"/>
      <c r="B177" s="36"/>
      <c r="C177" s="26"/>
      <c r="D177" s="36"/>
      <c r="E177" s="26"/>
      <c r="F177" s="36"/>
      <c r="G177" s="26"/>
      <c r="H177" s="26"/>
      <c r="I177" s="37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1.75" customHeight="1" x14ac:dyDescent="0.6">
      <c r="A178" s="26"/>
      <c r="B178" s="36"/>
      <c r="C178" s="26"/>
      <c r="D178" s="36"/>
      <c r="E178" s="26"/>
      <c r="F178" s="36"/>
      <c r="G178" s="26"/>
      <c r="H178" s="26"/>
      <c r="I178" s="37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1.75" customHeight="1" x14ac:dyDescent="0.6">
      <c r="A179" s="26"/>
      <c r="B179" s="36"/>
      <c r="C179" s="26"/>
      <c r="D179" s="36"/>
      <c r="E179" s="26"/>
      <c r="F179" s="36"/>
      <c r="G179" s="26"/>
      <c r="H179" s="26"/>
      <c r="I179" s="37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1.75" customHeight="1" x14ac:dyDescent="0.6">
      <c r="A180" s="26"/>
      <c r="B180" s="36"/>
      <c r="C180" s="26"/>
      <c r="D180" s="36"/>
      <c r="E180" s="26"/>
      <c r="F180" s="36"/>
      <c r="G180" s="26"/>
      <c r="H180" s="26"/>
      <c r="I180" s="37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1.75" customHeight="1" x14ac:dyDescent="0.6">
      <c r="A181" s="26"/>
      <c r="B181" s="36"/>
      <c r="C181" s="26"/>
      <c r="D181" s="36"/>
      <c r="E181" s="26"/>
      <c r="F181" s="36"/>
      <c r="G181" s="26"/>
      <c r="H181" s="26"/>
      <c r="I181" s="37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1.75" customHeight="1" x14ac:dyDescent="0.6">
      <c r="A182" s="26"/>
      <c r="B182" s="36"/>
      <c r="C182" s="26"/>
      <c r="D182" s="36"/>
      <c r="E182" s="26"/>
      <c r="F182" s="36"/>
      <c r="G182" s="26"/>
      <c r="H182" s="26"/>
      <c r="I182" s="37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1.75" customHeight="1" x14ac:dyDescent="0.6">
      <c r="A183" s="26"/>
      <c r="B183" s="36"/>
      <c r="C183" s="26"/>
      <c r="D183" s="36"/>
      <c r="E183" s="26"/>
      <c r="F183" s="36"/>
      <c r="G183" s="26"/>
      <c r="H183" s="26"/>
      <c r="I183" s="37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1.75" customHeight="1" x14ac:dyDescent="0.6">
      <c r="A184" s="26"/>
      <c r="B184" s="36"/>
      <c r="C184" s="26"/>
      <c r="D184" s="36"/>
      <c r="E184" s="26"/>
      <c r="F184" s="36"/>
      <c r="G184" s="26"/>
      <c r="H184" s="26"/>
      <c r="I184" s="37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1.75" customHeight="1" x14ac:dyDescent="0.6">
      <c r="A185" s="26"/>
      <c r="B185" s="36"/>
      <c r="C185" s="26"/>
      <c r="D185" s="36"/>
      <c r="E185" s="26"/>
      <c r="F185" s="36"/>
      <c r="G185" s="26"/>
      <c r="H185" s="26"/>
      <c r="I185" s="37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1.75" customHeight="1" x14ac:dyDescent="0.6">
      <c r="A186" s="26"/>
      <c r="B186" s="36"/>
      <c r="C186" s="26"/>
      <c r="D186" s="36"/>
      <c r="E186" s="26"/>
      <c r="F186" s="36"/>
      <c r="G186" s="26"/>
      <c r="H186" s="26"/>
      <c r="I186" s="37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1.75" customHeight="1" x14ac:dyDescent="0.6">
      <c r="A187" s="26"/>
      <c r="B187" s="36"/>
      <c r="C187" s="26"/>
      <c r="D187" s="36"/>
      <c r="E187" s="26"/>
      <c r="F187" s="36"/>
      <c r="G187" s="26"/>
      <c r="H187" s="26"/>
      <c r="I187" s="37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1.75" customHeight="1" x14ac:dyDescent="0.6">
      <c r="A188" s="26"/>
      <c r="B188" s="36"/>
      <c r="C188" s="26"/>
      <c r="D188" s="36"/>
      <c r="E188" s="26"/>
      <c r="F188" s="36"/>
      <c r="G188" s="26"/>
      <c r="H188" s="26"/>
      <c r="I188" s="37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1.75" customHeight="1" x14ac:dyDescent="0.6">
      <c r="A189" s="26"/>
      <c r="B189" s="36"/>
      <c r="C189" s="26"/>
      <c r="D189" s="36"/>
      <c r="E189" s="26"/>
      <c r="F189" s="36"/>
      <c r="G189" s="26"/>
      <c r="H189" s="26"/>
      <c r="I189" s="37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1.75" customHeight="1" x14ac:dyDescent="0.6">
      <c r="A190" s="26"/>
      <c r="B190" s="36"/>
      <c r="C190" s="26"/>
      <c r="D190" s="36"/>
      <c r="E190" s="26"/>
      <c r="F190" s="36"/>
      <c r="G190" s="26"/>
      <c r="H190" s="26"/>
      <c r="I190" s="37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1.75" customHeight="1" x14ac:dyDescent="0.6">
      <c r="A191" s="26"/>
      <c r="B191" s="36"/>
      <c r="C191" s="26"/>
      <c r="D191" s="36"/>
      <c r="E191" s="26"/>
      <c r="F191" s="36"/>
      <c r="G191" s="26"/>
      <c r="H191" s="26"/>
      <c r="I191" s="37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1.75" customHeight="1" x14ac:dyDescent="0.6">
      <c r="A192" s="26"/>
      <c r="B192" s="36"/>
      <c r="C192" s="26"/>
      <c r="D192" s="36"/>
      <c r="E192" s="26"/>
      <c r="F192" s="36"/>
      <c r="G192" s="26"/>
      <c r="H192" s="26"/>
      <c r="I192" s="37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1.75" customHeight="1" x14ac:dyDescent="0.6">
      <c r="A193" s="26"/>
      <c r="B193" s="36"/>
      <c r="C193" s="26"/>
      <c r="D193" s="36"/>
      <c r="E193" s="26"/>
      <c r="F193" s="36"/>
      <c r="G193" s="26"/>
      <c r="H193" s="26"/>
      <c r="I193" s="37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1.75" customHeight="1" x14ac:dyDescent="0.6">
      <c r="A194" s="26"/>
      <c r="B194" s="36"/>
      <c r="C194" s="26"/>
      <c r="D194" s="36"/>
      <c r="E194" s="26"/>
      <c r="F194" s="36"/>
      <c r="G194" s="26"/>
      <c r="H194" s="26"/>
      <c r="I194" s="37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1.75" customHeight="1" x14ac:dyDescent="0.6">
      <c r="A195" s="26"/>
      <c r="B195" s="36"/>
      <c r="C195" s="26"/>
      <c r="D195" s="36"/>
      <c r="E195" s="26"/>
      <c r="F195" s="36"/>
      <c r="G195" s="26"/>
      <c r="H195" s="26"/>
      <c r="I195" s="37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1.75" customHeight="1" x14ac:dyDescent="0.6">
      <c r="A196" s="26"/>
      <c r="B196" s="36"/>
      <c r="C196" s="26"/>
      <c r="D196" s="36"/>
      <c r="E196" s="26"/>
      <c r="F196" s="36"/>
      <c r="G196" s="26"/>
      <c r="H196" s="26"/>
      <c r="I196" s="37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1.75" customHeight="1" x14ac:dyDescent="0.6">
      <c r="A197" s="26"/>
      <c r="B197" s="36"/>
      <c r="C197" s="26"/>
      <c r="D197" s="36"/>
      <c r="E197" s="26"/>
      <c r="F197" s="36"/>
      <c r="G197" s="26"/>
      <c r="H197" s="26"/>
      <c r="I197" s="37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1.75" customHeight="1" x14ac:dyDescent="0.6">
      <c r="A198" s="26"/>
      <c r="B198" s="36"/>
      <c r="C198" s="26"/>
      <c r="D198" s="36"/>
      <c r="E198" s="26"/>
      <c r="F198" s="36"/>
      <c r="G198" s="26"/>
      <c r="H198" s="26"/>
      <c r="I198" s="37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1.75" customHeight="1" x14ac:dyDescent="0.6">
      <c r="A199" s="26"/>
      <c r="B199" s="36"/>
      <c r="C199" s="26"/>
      <c r="D199" s="36"/>
      <c r="E199" s="26"/>
      <c r="F199" s="36"/>
      <c r="G199" s="26"/>
      <c r="H199" s="26"/>
      <c r="I199" s="37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1.75" customHeight="1" x14ac:dyDescent="0.6">
      <c r="A200" s="26"/>
      <c r="B200" s="36"/>
      <c r="C200" s="26"/>
      <c r="D200" s="36"/>
      <c r="E200" s="26"/>
      <c r="F200" s="36"/>
      <c r="G200" s="26"/>
      <c r="H200" s="26"/>
      <c r="I200" s="37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1.75" customHeight="1" x14ac:dyDescent="0.6">
      <c r="A201" s="26"/>
      <c r="B201" s="36"/>
      <c r="C201" s="26"/>
      <c r="D201" s="36"/>
      <c r="E201" s="26"/>
      <c r="F201" s="36"/>
      <c r="G201" s="26"/>
      <c r="H201" s="26"/>
      <c r="I201" s="37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1.75" customHeight="1" x14ac:dyDescent="0.6">
      <c r="A202" s="26"/>
      <c r="B202" s="36"/>
      <c r="C202" s="26"/>
      <c r="D202" s="36"/>
      <c r="E202" s="26"/>
      <c r="F202" s="36"/>
      <c r="G202" s="26"/>
      <c r="H202" s="26"/>
      <c r="I202" s="37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1.75" customHeight="1" x14ac:dyDescent="0.6">
      <c r="A203" s="26"/>
      <c r="B203" s="36"/>
      <c r="C203" s="26"/>
      <c r="D203" s="36"/>
      <c r="E203" s="26"/>
      <c r="F203" s="36"/>
      <c r="G203" s="26"/>
      <c r="H203" s="26"/>
      <c r="I203" s="37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1.75" customHeight="1" x14ac:dyDescent="0.6">
      <c r="A204" s="26"/>
      <c r="B204" s="36"/>
      <c r="C204" s="26"/>
      <c r="D204" s="36"/>
      <c r="E204" s="26"/>
      <c r="F204" s="36"/>
      <c r="G204" s="26"/>
      <c r="H204" s="26"/>
      <c r="I204" s="37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1.75" customHeight="1" x14ac:dyDescent="0.6">
      <c r="A205" s="26"/>
      <c r="B205" s="36"/>
      <c r="C205" s="26"/>
      <c r="D205" s="36"/>
      <c r="E205" s="26"/>
      <c r="F205" s="36"/>
      <c r="G205" s="26"/>
      <c r="H205" s="26"/>
      <c r="I205" s="37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1.75" customHeight="1" x14ac:dyDescent="0.6">
      <c r="A206" s="26"/>
      <c r="B206" s="36"/>
      <c r="C206" s="26"/>
      <c r="D206" s="36"/>
      <c r="E206" s="26"/>
      <c r="F206" s="36"/>
      <c r="G206" s="26"/>
      <c r="H206" s="26"/>
      <c r="I206" s="37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1.75" customHeight="1" x14ac:dyDescent="0.6">
      <c r="A207" s="26"/>
      <c r="B207" s="36"/>
      <c r="C207" s="26"/>
      <c r="D207" s="36"/>
      <c r="E207" s="26"/>
      <c r="F207" s="36"/>
      <c r="G207" s="26"/>
      <c r="H207" s="26"/>
      <c r="I207" s="37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1.75" customHeight="1" x14ac:dyDescent="0.6">
      <c r="A208" s="26"/>
      <c r="B208" s="36"/>
      <c r="C208" s="26"/>
      <c r="D208" s="36"/>
      <c r="E208" s="26"/>
      <c r="F208" s="36"/>
      <c r="G208" s="26"/>
      <c r="H208" s="26"/>
      <c r="I208" s="37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1.75" customHeight="1" x14ac:dyDescent="0.6">
      <c r="A209" s="26"/>
      <c r="B209" s="36"/>
      <c r="C209" s="26"/>
      <c r="D209" s="36"/>
      <c r="E209" s="26"/>
      <c r="F209" s="36"/>
      <c r="G209" s="26"/>
      <c r="H209" s="26"/>
      <c r="I209" s="37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1.75" customHeight="1" x14ac:dyDescent="0.6">
      <c r="A210" s="26"/>
      <c r="B210" s="36"/>
      <c r="C210" s="26"/>
      <c r="D210" s="36"/>
      <c r="E210" s="26"/>
      <c r="F210" s="36"/>
      <c r="G210" s="26"/>
      <c r="H210" s="26"/>
      <c r="I210" s="37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1.75" customHeight="1" x14ac:dyDescent="0.6">
      <c r="A211" s="26"/>
      <c r="B211" s="36"/>
      <c r="C211" s="26"/>
      <c r="D211" s="36"/>
      <c r="E211" s="26"/>
      <c r="F211" s="36"/>
      <c r="G211" s="26"/>
      <c r="H211" s="26"/>
      <c r="I211" s="37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1.75" customHeight="1" x14ac:dyDescent="0.6">
      <c r="A212" s="26"/>
      <c r="B212" s="36"/>
      <c r="C212" s="26"/>
      <c r="D212" s="36"/>
      <c r="E212" s="26"/>
      <c r="F212" s="36"/>
      <c r="G212" s="26"/>
      <c r="H212" s="26"/>
      <c r="I212" s="37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1.75" customHeight="1" x14ac:dyDescent="0.6">
      <c r="A213" s="26"/>
      <c r="B213" s="36"/>
      <c r="C213" s="26"/>
      <c r="D213" s="36"/>
      <c r="E213" s="26"/>
      <c r="F213" s="36"/>
      <c r="G213" s="26"/>
      <c r="H213" s="26"/>
      <c r="I213" s="37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1.75" customHeight="1" x14ac:dyDescent="0.6">
      <c r="A214" s="26"/>
      <c r="B214" s="36"/>
      <c r="C214" s="26"/>
      <c r="D214" s="36"/>
      <c r="E214" s="26"/>
      <c r="F214" s="36"/>
      <c r="G214" s="26"/>
      <c r="H214" s="26"/>
      <c r="I214" s="37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1.75" customHeight="1" x14ac:dyDescent="0.6">
      <c r="A215" s="26"/>
      <c r="B215" s="36"/>
      <c r="C215" s="26"/>
      <c r="D215" s="36"/>
      <c r="E215" s="26"/>
      <c r="F215" s="36"/>
      <c r="G215" s="26"/>
      <c r="H215" s="26"/>
      <c r="I215" s="37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1.75" customHeight="1" x14ac:dyDescent="0.6">
      <c r="A216" s="26"/>
      <c r="B216" s="36"/>
      <c r="C216" s="26"/>
      <c r="D216" s="36"/>
      <c r="E216" s="26"/>
      <c r="F216" s="36"/>
      <c r="G216" s="26"/>
      <c r="H216" s="26"/>
      <c r="I216" s="37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1.75" customHeight="1" x14ac:dyDescent="0.6">
      <c r="A217" s="26"/>
      <c r="B217" s="36"/>
      <c r="C217" s="26"/>
      <c r="D217" s="36"/>
      <c r="E217" s="26"/>
      <c r="F217" s="36"/>
      <c r="G217" s="26"/>
      <c r="H217" s="26"/>
      <c r="I217" s="37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1.75" customHeight="1" x14ac:dyDescent="0.6">
      <c r="A218" s="26"/>
      <c r="B218" s="36"/>
      <c r="C218" s="26"/>
      <c r="D218" s="36"/>
      <c r="E218" s="26"/>
      <c r="F218" s="36"/>
      <c r="G218" s="26"/>
      <c r="H218" s="26"/>
      <c r="I218" s="37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1.75" customHeight="1" x14ac:dyDescent="0.6">
      <c r="A219" s="26"/>
      <c r="B219" s="36"/>
      <c r="C219" s="26"/>
      <c r="D219" s="36"/>
      <c r="E219" s="26"/>
      <c r="F219" s="36"/>
      <c r="G219" s="26"/>
      <c r="H219" s="26"/>
      <c r="I219" s="37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1.75" customHeight="1" x14ac:dyDescent="0.6">
      <c r="A220" s="26"/>
      <c r="B220" s="36"/>
      <c r="C220" s="26"/>
      <c r="D220" s="36"/>
      <c r="E220" s="26"/>
      <c r="F220" s="36"/>
      <c r="G220" s="26"/>
      <c r="H220" s="26"/>
      <c r="I220" s="37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1.75" customHeight="1" x14ac:dyDescent="0.6">
      <c r="A221" s="26"/>
      <c r="B221" s="36"/>
      <c r="C221" s="26"/>
      <c r="D221" s="36"/>
      <c r="E221" s="26"/>
      <c r="F221" s="36"/>
      <c r="G221" s="26"/>
      <c r="H221" s="26"/>
      <c r="I221" s="37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1.75" customHeight="1" x14ac:dyDescent="0.6">
      <c r="A222" s="26"/>
      <c r="B222" s="36"/>
      <c r="C222" s="26"/>
      <c r="D222" s="36"/>
      <c r="E222" s="26"/>
      <c r="F222" s="36"/>
      <c r="G222" s="26"/>
      <c r="H222" s="26"/>
      <c r="I222" s="37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1.75" customHeight="1" x14ac:dyDescent="0.6">
      <c r="A223" s="26"/>
      <c r="B223" s="36"/>
      <c r="C223" s="26"/>
      <c r="D223" s="36"/>
      <c r="E223" s="26"/>
      <c r="F223" s="36"/>
      <c r="G223" s="26"/>
      <c r="H223" s="26"/>
      <c r="I223" s="37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1.75" customHeight="1" x14ac:dyDescent="0.6">
      <c r="A224" s="26"/>
      <c r="B224" s="36"/>
      <c r="C224" s="26"/>
      <c r="D224" s="36"/>
      <c r="E224" s="26"/>
      <c r="F224" s="36"/>
      <c r="G224" s="26"/>
      <c r="H224" s="26"/>
      <c r="I224" s="37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1.75" customHeight="1" x14ac:dyDescent="0.6">
      <c r="A225" s="26"/>
      <c r="B225" s="36"/>
      <c r="C225" s="26"/>
      <c r="D225" s="36"/>
      <c r="E225" s="26"/>
      <c r="F225" s="36"/>
      <c r="G225" s="26"/>
      <c r="H225" s="26"/>
      <c r="I225" s="37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1.75" customHeight="1" x14ac:dyDescent="0.6">
      <c r="A226" s="26"/>
      <c r="B226" s="36"/>
      <c r="C226" s="26"/>
      <c r="D226" s="36"/>
      <c r="E226" s="26"/>
      <c r="F226" s="36"/>
      <c r="G226" s="26"/>
      <c r="H226" s="26"/>
      <c r="I226" s="37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1.75" customHeight="1" x14ac:dyDescent="0.6">
      <c r="A227" s="26"/>
      <c r="B227" s="36"/>
      <c r="C227" s="26"/>
      <c r="D227" s="36"/>
      <c r="E227" s="26"/>
      <c r="F227" s="36"/>
      <c r="G227" s="26"/>
      <c r="H227" s="26"/>
      <c r="I227" s="37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1.75" customHeight="1" x14ac:dyDescent="0.6">
      <c r="A228" s="26"/>
      <c r="B228" s="36"/>
      <c r="C228" s="26"/>
      <c r="D228" s="36"/>
      <c r="E228" s="26"/>
      <c r="F228" s="36"/>
      <c r="G228" s="26"/>
      <c r="H228" s="26"/>
      <c r="I228" s="37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1.75" customHeight="1" x14ac:dyDescent="0.6">
      <c r="A229" s="26"/>
      <c r="B229" s="36"/>
      <c r="C229" s="26"/>
      <c r="D229" s="36"/>
      <c r="E229" s="26"/>
      <c r="F229" s="36"/>
      <c r="G229" s="26"/>
      <c r="H229" s="26"/>
      <c r="I229" s="37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1.75" customHeight="1" x14ac:dyDescent="0.6">
      <c r="A230" s="26"/>
      <c r="B230" s="36"/>
      <c r="C230" s="26"/>
      <c r="D230" s="36"/>
      <c r="E230" s="26"/>
      <c r="F230" s="36"/>
      <c r="G230" s="26"/>
      <c r="H230" s="26"/>
      <c r="I230" s="37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1.75" customHeight="1" x14ac:dyDescent="0.6">
      <c r="A231" s="26"/>
      <c r="B231" s="36"/>
      <c r="C231" s="26"/>
      <c r="D231" s="36"/>
      <c r="E231" s="26"/>
      <c r="F231" s="36"/>
      <c r="G231" s="26"/>
      <c r="H231" s="26"/>
      <c r="I231" s="37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1.75" customHeight="1" x14ac:dyDescent="0.6">
      <c r="A232" s="26"/>
      <c r="B232" s="36"/>
      <c r="C232" s="26"/>
      <c r="D232" s="36"/>
      <c r="E232" s="26"/>
      <c r="F232" s="36"/>
      <c r="G232" s="26"/>
      <c r="H232" s="26"/>
      <c r="I232" s="37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1.75" customHeight="1" x14ac:dyDescent="0.6">
      <c r="A233" s="26"/>
      <c r="B233" s="36"/>
      <c r="C233" s="26"/>
      <c r="D233" s="36"/>
      <c r="E233" s="26"/>
      <c r="F233" s="36"/>
      <c r="G233" s="26"/>
      <c r="H233" s="26"/>
      <c r="I233" s="37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1.75" customHeight="1" x14ac:dyDescent="0.6">
      <c r="A234" s="26"/>
      <c r="B234" s="36"/>
      <c r="C234" s="26"/>
      <c r="D234" s="36"/>
      <c r="E234" s="26"/>
      <c r="F234" s="36"/>
      <c r="G234" s="26"/>
      <c r="H234" s="26"/>
      <c r="I234" s="37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1.75" customHeight="1" x14ac:dyDescent="0.6">
      <c r="A235" s="26"/>
      <c r="B235" s="36"/>
      <c r="C235" s="26"/>
      <c r="D235" s="36"/>
      <c r="E235" s="26"/>
      <c r="F235" s="36"/>
      <c r="G235" s="26"/>
      <c r="H235" s="26"/>
      <c r="I235" s="37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14.25" customHeight="1" x14ac:dyDescent="0.25">
      <c r="I236" s="40"/>
    </row>
    <row r="237" spans="1:28" ht="14.25" customHeight="1" x14ac:dyDescent="0.25">
      <c r="I237" s="40"/>
    </row>
    <row r="238" spans="1:28" ht="14.25" customHeight="1" x14ac:dyDescent="0.25">
      <c r="I238" s="40"/>
    </row>
    <row r="239" spans="1:28" ht="14.25" customHeight="1" x14ac:dyDescent="0.25">
      <c r="I239" s="40"/>
    </row>
    <row r="240" spans="1:28" ht="14.25" customHeight="1" x14ac:dyDescent="0.25">
      <c r="I240" s="40"/>
    </row>
    <row r="241" spans="9:9" ht="14.25" customHeight="1" x14ac:dyDescent="0.25">
      <c r="I241" s="40"/>
    </row>
    <row r="242" spans="9:9" ht="14.25" customHeight="1" x14ac:dyDescent="0.25">
      <c r="I242" s="40"/>
    </row>
    <row r="243" spans="9:9" ht="14.25" customHeight="1" x14ac:dyDescent="0.25">
      <c r="I243" s="40"/>
    </row>
    <row r="244" spans="9:9" ht="14.25" customHeight="1" x14ac:dyDescent="0.25">
      <c r="I244" s="40"/>
    </row>
    <row r="245" spans="9:9" ht="14.25" customHeight="1" x14ac:dyDescent="0.25">
      <c r="I245" s="40"/>
    </row>
    <row r="246" spans="9:9" ht="14.25" customHeight="1" x14ac:dyDescent="0.25">
      <c r="I246" s="40"/>
    </row>
    <row r="247" spans="9:9" ht="14.25" customHeight="1" x14ac:dyDescent="0.25">
      <c r="I247" s="40"/>
    </row>
    <row r="248" spans="9:9" ht="14.25" customHeight="1" x14ac:dyDescent="0.25">
      <c r="I248" s="40"/>
    </row>
    <row r="249" spans="9:9" ht="14.25" customHeight="1" x14ac:dyDescent="0.25">
      <c r="I249" s="40"/>
    </row>
    <row r="250" spans="9:9" ht="14.25" customHeight="1" x14ac:dyDescent="0.25">
      <c r="I250" s="40"/>
    </row>
    <row r="251" spans="9:9" ht="14.25" customHeight="1" x14ac:dyDescent="0.25">
      <c r="I251" s="40"/>
    </row>
    <row r="252" spans="9:9" ht="14.25" customHeight="1" x14ac:dyDescent="0.25">
      <c r="I252" s="40"/>
    </row>
    <row r="253" spans="9:9" ht="14.25" customHeight="1" x14ac:dyDescent="0.25">
      <c r="I253" s="40"/>
    </row>
    <row r="254" spans="9:9" ht="14.25" customHeight="1" x14ac:dyDescent="0.25">
      <c r="I254" s="40"/>
    </row>
    <row r="255" spans="9:9" ht="14.25" customHeight="1" x14ac:dyDescent="0.25">
      <c r="I255" s="40"/>
    </row>
    <row r="256" spans="9:9" ht="14.25" customHeight="1" x14ac:dyDescent="0.25">
      <c r="I256" s="40"/>
    </row>
    <row r="257" spans="9:9" ht="14.25" customHeight="1" x14ac:dyDescent="0.25">
      <c r="I257" s="40"/>
    </row>
    <row r="258" spans="9:9" ht="14.25" customHeight="1" x14ac:dyDescent="0.25">
      <c r="I258" s="40"/>
    </row>
    <row r="259" spans="9:9" ht="14.25" customHeight="1" x14ac:dyDescent="0.25">
      <c r="I259" s="40"/>
    </row>
    <row r="260" spans="9:9" ht="14.25" customHeight="1" x14ac:dyDescent="0.25">
      <c r="I260" s="40"/>
    </row>
    <row r="261" spans="9:9" ht="14.25" customHeight="1" x14ac:dyDescent="0.25">
      <c r="I261" s="40"/>
    </row>
    <row r="262" spans="9:9" ht="14.25" customHeight="1" x14ac:dyDescent="0.25">
      <c r="I262" s="40"/>
    </row>
    <row r="263" spans="9:9" ht="14.25" customHeight="1" x14ac:dyDescent="0.25">
      <c r="I263" s="40"/>
    </row>
    <row r="264" spans="9:9" ht="14.25" customHeight="1" x14ac:dyDescent="0.25">
      <c r="I264" s="40"/>
    </row>
    <row r="265" spans="9:9" ht="14.25" customHeight="1" x14ac:dyDescent="0.25">
      <c r="I265" s="40"/>
    </row>
    <row r="266" spans="9:9" ht="14.25" customHeight="1" x14ac:dyDescent="0.25">
      <c r="I266" s="40"/>
    </row>
    <row r="267" spans="9:9" ht="14.25" customHeight="1" x14ac:dyDescent="0.25">
      <c r="I267" s="40"/>
    </row>
    <row r="268" spans="9:9" ht="14.25" customHeight="1" x14ac:dyDescent="0.25">
      <c r="I268" s="40"/>
    </row>
    <row r="269" spans="9:9" ht="14.25" customHeight="1" x14ac:dyDescent="0.25">
      <c r="I269" s="40"/>
    </row>
    <row r="270" spans="9:9" ht="14.25" customHeight="1" x14ac:dyDescent="0.25">
      <c r="I270" s="40"/>
    </row>
    <row r="271" spans="9:9" ht="14.25" customHeight="1" x14ac:dyDescent="0.25">
      <c r="I271" s="40"/>
    </row>
    <row r="272" spans="9:9" ht="14.25" customHeight="1" x14ac:dyDescent="0.25">
      <c r="I272" s="40"/>
    </row>
    <row r="273" spans="9:9" ht="14.25" customHeight="1" x14ac:dyDescent="0.25">
      <c r="I273" s="40"/>
    </row>
    <row r="274" spans="9:9" ht="14.25" customHeight="1" x14ac:dyDescent="0.25">
      <c r="I274" s="40"/>
    </row>
    <row r="275" spans="9:9" ht="14.25" customHeight="1" x14ac:dyDescent="0.25">
      <c r="I275" s="40"/>
    </row>
    <row r="276" spans="9:9" ht="14.25" customHeight="1" x14ac:dyDescent="0.25">
      <c r="I276" s="40"/>
    </row>
    <row r="277" spans="9:9" ht="14.25" customHeight="1" x14ac:dyDescent="0.25">
      <c r="I277" s="40"/>
    </row>
    <row r="278" spans="9:9" ht="14.25" customHeight="1" x14ac:dyDescent="0.25">
      <c r="I278" s="40"/>
    </row>
    <row r="279" spans="9:9" ht="14.25" customHeight="1" x14ac:dyDescent="0.25">
      <c r="I279" s="40"/>
    </row>
    <row r="280" spans="9:9" ht="14.25" customHeight="1" x14ac:dyDescent="0.25">
      <c r="I280" s="40"/>
    </row>
    <row r="281" spans="9:9" ht="14.25" customHeight="1" x14ac:dyDescent="0.25">
      <c r="I281" s="40"/>
    </row>
    <row r="282" spans="9:9" ht="14.25" customHeight="1" x14ac:dyDescent="0.25">
      <c r="I282" s="40"/>
    </row>
    <row r="283" spans="9:9" ht="14.25" customHeight="1" x14ac:dyDescent="0.25">
      <c r="I283" s="40"/>
    </row>
    <row r="284" spans="9:9" ht="14.25" customHeight="1" x14ac:dyDescent="0.25">
      <c r="I284" s="40"/>
    </row>
    <row r="285" spans="9:9" ht="14.25" customHeight="1" x14ac:dyDescent="0.25">
      <c r="I285" s="40"/>
    </row>
    <row r="286" spans="9:9" ht="14.25" customHeight="1" x14ac:dyDescent="0.25">
      <c r="I286" s="40"/>
    </row>
    <row r="287" spans="9:9" ht="14.25" customHeight="1" x14ac:dyDescent="0.25">
      <c r="I287" s="40"/>
    </row>
    <row r="288" spans="9:9" ht="14.25" customHeight="1" x14ac:dyDescent="0.25">
      <c r="I288" s="40"/>
    </row>
    <row r="289" spans="9:9" ht="14.25" customHeight="1" x14ac:dyDescent="0.25">
      <c r="I289" s="40"/>
    </row>
    <row r="290" spans="9:9" ht="14.25" customHeight="1" x14ac:dyDescent="0.25">
      <c r="I290" s="40"/>
    </row>
    <row r="291" spans="9:9" ht="14.25" customHeight="1" x14ac:dyDescent="0.25">
      <c r="I291" s="40"/>
    </row>
    <row r="292" spans="9:9" ht="14.25" customHeight="1" x14ac:dyDescent="0.25">
      <c r="I292" s="40"/>
    </row>
    <row r="293" spans="9:9" ht="14.25" customHeight="1" x14ac:dyDescent="0.25">
      <c r="I293" s="40"/>
    </row>
    <row r="294" spans="9:9" ht="14.25" customHeight="1" x14ac:dyDescent="0.25">
      <c r="I294" s="40"/>
    </row>
    <row r="295" spans="9:9" ht="14.25" customHeight="1" x14ac:dyDescent="0.25">
      <c r="I295" s="40"/>
    </row>
    <row r="296" spans="9:9" ht="14.25" customHeight="1" x14ac:dyDescent="0.25">
      <c r="I296" s="40"/>
    </row>
    <row r="297" spans="9:9" ht="14.25" customHeight="1" x14ac:dyDescent="0.25">
      <c r="I297" s="40"/>
    </row>
    <row r="298" spans="9:9" ht="14.25" customHeight="1" x14ac:dyDescent="0.25">
      <c r="I298" s="40"/>
    </row>
    <row r="299" spans="9:9" ht="14.25" customHeight="1" x14ac:dyDescent="0.25">
      <c r="I299" s="40"/>
    </row>
    <row r="300" spans="9:9" ht="14.25" customHeight="1" x14ac:dyDescent="0.25">
      <c r="I300" s="40"/>
    </row>
    <row r="301" spans="9:9" ht="14.25" customHeight="1" x14ac:dyDescent="0.25">
      <c r="I301" s="40"/>
    </row>
    <row r="302" spans="9:9" ht="14.25" customHeight="1" x14ac:dyDescent="0.25">
      <c r="I302" s="40"/>
    </row>
    <row r="303" spans="9:9" ht="14.25" customHeight="1" x14ac:dyDescent="0.25">
      <c r="I303" s="40"/>
    </row>
    <row r="304" spans="9:9" ht="14.25" customHeight="1" x14ac:dyDescent="0.25">
      <c r="I304" s="40"/>
    </row>
    <row r="305" spans="9:9" ht="14.25" customHeight="1" x14ac:dyDescent="0.25">
      <c r="I305" s="40"/>
    </row>
    <row r="306" spans="9:9" ht="14.25" customHeight="1" x14ac:dyDescent="0.25">
      <c r="I306" s="40"/>
    </row>
    <row r="307" spans="9:9" ht="14.25" customHeight="1" x14ac:dyDescent="0.25">
      <c r="I307" s="40"/>
    </row>
    <row r="308" spans="9:9" ht="14.25" customHeight="1" x14ac:dyDescent="0.25">
      <c r="I308" s="40"/>
    </row>
    <row r="309" spans="9:9" ht="14.25" customHeight="1" x14ac:dyDescent="0.25">
      <c r="I309" s="40"/>
    </row>
    <row r="310" spans="9:9" ht="14.25" customHeight="1" x14ac:dyDescent="0.25">
      <c r="I310" s="40"/>
    </row>
    <row r="311" spans="9:9" ht="14.25" customHeight="1" x14ac:dyDescent="0.25">
      <c r="I311" s="40"/>
    </row>
    <row r="312" spans="9:9" ht="14.25" customHeight="1" x14ac:dyDescent="0.25">
      <c r="I312" s="40"/>
    </row>
    <row r="313" spans="9:9" ht="14.25" customHeight="1" x14ac:dyDescent="0.25">
      <c r="I313" s="40"/>
    </row>
    <row r="314" spans="9:9" ht="14.25" customHeight="1" x14ac:dyDescent="0.25">
      <c r="I314" s="40"/>
    </row>
    <row r="315" spans="9:9" ht="14.25" customHeight="1" x14ac:dyDescent="0.25">
      <c r="I315" s="40"/>
    </row>
    <row r="316" spans="9:9" ht="14.25" customHeight="1" x14ac:dyDescent="0.25">
      <c r="I316" s="40"/>
    </row>
    <row r="317" spans="9:9" ht="14.25" customHeight="1" x14ac:dyDescent="0.25">
      <c r="I317" s="40"/>
    </row>
    <row r="318" spans="9:9" ht="14.25" customHeight="1" x14ac:dyDescent="0.25">
      <c r="I318" s="40"/>
    </row>
    <row r="319" spans="9:9" ht="14.25" customHeight="1" x14ac:dyDescent="0.25">
      <c r="I319" s="40"/>
    </row>
    <row r="320" spans="9:9" ht="14.25" customHeight="1" x14ac:dyDescent="0.25">
      <c r="I320" s="40"/>
    </row>
    <row r="321" spans="9:9" ht="14.25" customHeight="1" x14ac:dyDescent="0.25">
      <c r="I321" s="40"/>
    </row>
    <row r="322" spans="9:9" ht="14.25" customHeight="1" x14ac:dyDescent="0.25">
      <c r="I322" s="40"/>
    </row>
    <row r="323" spans="9:9" ht="14.25" customHeight="1" x14ac:dyDescent="0.25">
      <c r="I323" s="40"/>
    </row>
    <row r="324" spans="9:9" ht="14.25" customHeight="1" x14ac:dyDescent="0.25">
      <c r="I324" s="40"/>
    </row>
    <row r="325" spans="9:9" ht="14.25" customHeight="1" x14ac:dyDescent="0.25">
      <c r="I325" s="40"/>
    </row>
    <row r="326" spans="9:9" ht="14.25" customHeight="1" x14ac:dyDescent="0.25">
      <c r="I326" s="40"/>
    </row>
    <row r="327" spans="9:9" ht="14.25" customHeight="1" x14ac:dyDescent="0.25">
      <c r="I327" s="40"/>
    </row>
    <row r="328" spans="9:9" ht="14.25" customHeight="1" x14ac:dyDescent="0.25">
      <c r="I328" s="40"/>
    </row>
    <row r="329" spans="9:9" ht="14.25" customHeight="1" x14ac:dyDescent="0.25">
      <c r="I329" s="40"/>
    </row>
    <row r="330" spans="9:9" ht="14.25" customHeight="1" x14ac:dyDescent="0.25">
      <c r="I330" s="40"/>
    </row>
    <row r="331" spans="9:9" ht="14.25" customHeight="1" x14ac:dyDescent="0.25">
      <c r="I331" s="40"/>
    </row>
    <row r="332" spans="9:9" ht="14.25" customHeight="1" x14ac:dyDescent="0.25">
      <c r="I332" s="40"/>
    </row>
    <row r="333" spans="9:9" ht="14.25" customHeight="1" x14ac:dyDescent="0.25">
      <c r="I333" s="40"/>
    </row>
    <row r="334" spans="9:9" ht="14.25" customHeight="1" x14ac:dyDescent="0.25">
      <c r="I334" s="40"/>
    </row>
    <row r="335" spans="9:9" ht="14.25" customHeight="1" x14ac:dyDescent="0.25">
      <c r="I335" s="40"/>
    </row>
    <row r="336" spans="9:9" ht="14.25" customHeight="1" x14ac:dyDescent="0.25">
      <c r="I336" s="40"/>
    </row>
    <row r="337" spans="9:9" ht="14.25" customHeight="1" x14ac:dyDescent="0.25">
      <c r="I337" s="40"/>
    </row>
    <row r="338" spans="9:9" ht="14.25" customHeight="1" x14ac:dyDescent="0.25">
      <c r="I338" s="40"/>
    </row>
    <row r="339" spans="9:9" ht="14.25" customHeight="1" x14ac:dyDescent="0.25">
      <c r="I339" s="40"/>
    </row>
    <row r="340" spans="9:9" ht="14.25" customHeight="1" x14ac:dyDescent="0.25">
      <c r="I340" s="40"/>
    </row>
    <row r="341" spans="9:9" ht="14.25" customHeight="1" x14ac:dyDescent="0.25">
      <c r="I341" s="40"/>
    </row>
    <row r="342" spans="9:9" ht="14.25" customHeight="1" x14ac:dyDescent="0.25">
      <c r="I342" s="40"/>
    </row>
    <row r="343" spans="9:9" ht="14.25" customHeight="1" x14ac:dyDescent="0.25">
      <c r="I343" s="40"/>
    </row>
    <row r="344" spans="9:9" ht="14.25" customHeight="1" x14ac:dyDescent="0.25">
      <c r="I344" s="40"/>
    </row>
    <row r="345" spans="9:9" ht="14.25" customHeight="1" x14ac:dyDescent="0.25">
      <c r="I345" s="40"/>
    </row>
    <row r="346" spans="9:9" ht="14.25" customHeight="1" x14ac:dyDescent="0.25">
      <c r="I346" s="40"/>
    </row>
    <row r="347" spans="9:9" ht="14.25" customHeight="1" x14ac:dyDescent="0.25">
      <c r="I347" s="40"/>
    </row>
    <row r="348" spans="9:9" ht="14.25" customHeight="1" x14ac:dyDescent="0.25">
      <c r="I348" s="40"/>
    </row>
    <row r="349" spans="9:9" ht="14.25" customHeight="1" x14ac:dyDescent="0.25">
      <c r="I349" s="40"/>
    </row>
    <row r="350" spans="9:9" ht="14.25" customHeight="1" x14ac:dyDescent="0.25">
      <c r="I350" s="40"/>
    </row>
    <row r="351" spans="9:9" ht="14.25" customHeight="1" x14ac:dyDescent="0.25">
      <c r="I351" s="40"/>
    </row>
    <row r="352" spans="9:9" ht="14.25" customHeight="1" x14ac:dyDescent="0.25">
      <c r="I352" s="40"/>
    </row>
    <row r="353" spans="9:9" ht="14.25" customHeight="1" x14ac:dyDescent="0.25">
      <c r="I353" s="40"/>
    </row>
    <row r="354" spans="9:9" ht="14.25" customHeight="1" x14ac:dyDescent="0.25">
      <c r="I354" s="40"/>
    </row>
    <row r="355" spans="9:9" ht="14.25" customHeight="1" x14ac:dyDescent="0.25">
      <c r="I355" s="40"/>
    </row>
    <row r="356" spans="9:9" ht="14.25" customHeight="1" x14ac:dyDescent="0.25">
      <c r="I356" s="40"/>
    </row>
    <row r="357" spans="9:9" ht="14.25" customHeight="1" x14ac:dyDescent="0.25">
      <c r="I357" s="40"/>
    </row>
    <row r="358" spans="9:9" ht="14.25" customHeight="1" x14ac:dyDescent="0.25">
      <c r="I358" s="40"/>
    </row>
    <row r="359" spans="9:9" ht="14.25" customHeight="1" x14ac:dyDescent="0.25">
      <c r="I359" s="40"/>
    </row>
    <row r="360" spans="9:9" ht="14.25" customHeight="1" x14ac:dyDescent="0.25">
      <c r="I360" s="40"/>
    </row>
    <row r="361" spans="9:9" ht="14.25" customHeight="1" x14ac:dyDescent="0.25">
      <c r="I361" s="40"/>
    </row>
    <row r="362" spans="9:9" ht="14.25" customHeight="1" x14ac:dyDescent="0.25">
      <c r="I362" s="40"/>
    </row>
    <row r="363" spans="9:9" ht="14.25" customHeight="1" x14ac:dyDescent="0.25">
      <c r="I363" s="40"/>
    </row>
    <row r="364" spans="9:9" ht="14.25" customHeight="1" x14ac:dyDescent="0.25">
      <c r="I364" s="40"/>
    </row>
    <row r="365" spans="9:9" ht="14.25" customHeight="1" x14ac:dyDescent="0.25">
      <c r="I365" s="40"/>
    </row>
    <row r="366" spans="9:9" ht="14.25" customHeight="1" x14ac:dyDescent="0.25">
      <c r="I366" s="40"/>
    </row>
    <row r="367" spans="9:9" ht="14.25" customHeight="1" x14ac:dyDescent="0.25">
      <c r="I367" s="40"/>
    </row>
    <row r="368" spans="9:9" ht="14.25" customHeight="1" x14ac:dyDescent="0.25">
      <c r="I368" s="40"/>
    </row>
    <row r="369" spans="9:9" ht="14.25" customHeight="1" x14ac:dyDescent="0.25">
      <c r="I369" s="40"/>
    </row>
    <row r="370" spans="9:9" ht="14.25" customHeight="1" x14ac:dyDescent="0.25">
      <c r="I370" s="40"/>
    </row>
    <row r="371" spans="9:9" ht="14.25" customHeight="1" x14ac:dyDescent="0.25">
      <c r="I371" s="40"/>
    </row>
    <row r="372" spans="9:9" ht="14.25" customHeight="1" x14ac:dyDescent="0.25">
      <c r="I372" s="40"/>
    </row>
    <row r="373" spans="9:9" ht="14.25" customHeight="1" x14ac:dyDescent="0.25">
      <c r="I373" s="40"/>
    </row>
    <row r="374" spans="9:9" ht="14.25" customHeight="1" x14ac:dyDescent="0.25">
      <c r="I374" s="40"/>
    </row>
    <row r="375" spans="9:9" ht="14.25" customHeight="1" x14ac:dyDescent="0.25">
      <c r="I375" s="40"/>
    </row>
    <row r="376" spans="9:9" ht="14.25" customHeight="1" x14ac:dyDescent="0.25">
      <c r="I376" s="40"/>
    </row>
    <row r="377" spans="9:9" ht="14.25" customHeight="1" x14ac:dyDescent="0.25">
      <c r="I377" s="40"/>
    </row>
    <row r="378" spans="9:9" ht="14.25" customHeight="1" x14ac:dyDescent="0.25">
      <c r="I378" s="40"/>
    </row>
    <row r="379" spans="9:9" ht="14.25" customHeight="1" x14ac:dyDescent="0.25">
      <c r="I379" s="40"/>
    </row>
    <row r="380" spans="9:9" ht="14.25" customHeight="1" x14ac:dyDescent="0.25">
      <c r="I380" s="40"/>
    </row>
    <row r="381" spans="9:9" ht="14.25" customHeight="1" x14ac:dyDescent="0.25">
      <c r="I381" s="40"/>
    </row>
    <row r="382" spans="9:9" ht="14.25" customHeight="1" x14ac:dyDescent="0.25">
      <c r="I382" s="40"/>
    </row>
    <row r="383" spans="9:9" ht="14.25" customHeight="1" x14ac:dyDescent="0.25">
      <c r="I383" s="40"/>
    </row>
    <row r="384" spans="9:9" ht="14.25" customHeight="1" x14ac:dyDescent="0.25">
      <c r="I384" s="40"/>
    </row>
    <row r="385" spans="9:9" ht="14.25" customHeight="1" x14ac:dyDescent="0.25">
      <c r="I385" s="40"/>
    </row>
    <row r="386" spans="9:9" ht="14.25" customHeight="1" x14ac:dyDescent="0.25">
      <c r="I386" s="40"/>
    </row>
    <row r="387" spans="9:9" ht="14.25" customHeight="1" x14ac:dyDescent="0.25">
      <c r="I387" s="40"/>
    </row>
    <row r="388" spans="9:9" ht="14.25" customHeight="1" x14ac:dyDescent="0.25">
      <c r="I388" s="40"/>
    </row>
    <row r="389" spans="9:9" ht="14.25" customHeight="1" x14ac:dyDescent="0.25">
      <c r="I389" s="40"/>
    </row>
    <row r="390" spans="9:9" ht="14.25" customHeight="1" x14ac:dyDescent="0.25">
      <c r="I390" s="40"/>
    </row>
    <row r="391" spans="9:9" ht="14.25" customHeight="1" x14ac:dyDescent="0.25">
      <c r="I391" s="40"/>
    </row>
    <row r="392" spans="9:9" ht="14.25" customHeight="1" x14ac:dyDescent="0.25">
      <c r="I392" s="40"/>
    </row>
    <row r="393" spans="9:9" ht="14.25" customHeight="1" x14ac:dyDescent="0.25">
      <c r="I393" s="40"/>
    </row>
    <row r="394" spans="9:9" ht="14.25" customHeight="1" x14ac:dyDescent="0.25">
      <c r="I394" s="40"/>
    </row>
    <row r="395" spans="9:9" ht="14.25" customHeight="1" x14ac:dyDescent="0.25">
      <c r="I395" s="40"/>
    </row>
    <row r="396" spans="9:9" ht="14.25" customHeight="1" x14ac:dyDescent="0.25">
      <c r="I396" s="40"/>
    </row>
    <row r="397" spans="9:9" ht="14.25" customHeight="1" x14ac:dyDescent="0.25">
      <c r="I397" s="40"/>
    </row>
    <row r="398" spans="9:9" ht="14.25" customHeight="1" x14ac:dyDescent="0.25">
      <c r="I398" s="40"/>
    </row>
    <row r="399" spans="9:9" ht="14.25" customHeight="1" x14ac:dyDescent="0.25">
      <c r="I399" s="40"/>
    </row>
    <row r="400" spans="9:9" ht="14.25" customHeight="1" x14ac:dyDescent="0.25">
      <c r="I400" s="40"/>
    </row>
    <row r="401" spans="9:9" ht="14.25" customHeight="1" x14ac:dyDescent="0.25">
      <c r="I401" s="40"/>
    </row>
    <row r="402" spans="9:9" ht="14.25" customHeight="1" x14ac:dyDescent="0.25">
      <c r="I402" s="40"/>
    </row>
    <row r="403" spans="9:9" ht="14.25" customHeight="1" x14ac:dyDescent="0.25">
      <c r="I403" s="40"/>
    </row>
    <row r="404" spans="9:9" ht="14.25" customHeight="1" x14ac:dyDescent="0.25">
      <c r="I404" s="40"/>
    </row>
    <row r="405" spans="9:9" ht="14.25" customHeight="1" x14ac:dyDescent="0.25">
      <c r="I405" s="40"/>
    </row>
    <row r="406" spans="9:9" ht="14.25" customHeight="1" x14ac:dyDescent="0.25">
      <c r="I406" s="40"/>
    </row>
    <row r="407" spans="9:9" ht="14.25" customHeight="1" x14ac:dyDescent="0.25">
      <c r="I407" s="40"/>
    </row>
    <row r="408" spans="9:9" ht="14.25" customHeight="1" x14ac:dyDescent="0.25">
      <c r="I408" s="40"/>
    </row>
    <row r="409" spans="9:9" ht="14.25" customHeight="1" x14ac:dyDescent="0.25">
      <c r="I409" s="40"/>
    </row>
    <row r="410" spans="9:9" ht="14.25" customHeight="1" x14ac:dyDescent="0.25">
      <c r="I410" s="40"/>
    </row>
    <row r="411" spans="9:9" ht="14.25" customHeight="1" x14ac:dyDescent="0.25">
      <c r="I411" s="40"/>
    </row>
    <row r="412" spans="9:9" ht="14.25" customHeight="1" x14ac:dyDescent="0.25">
      <c r="I412" s="40"/>
    </row>
    <row r="413" spans="9:9" ht="14.25" customHeight="1" x14ac:dyDescent="0.25">
      <c r="I413" s="40"/>
    </row>
    <row r="414" spans="9:9" ht="14.25" customHeight="1" x14ac:dyDescent="0.25">
      <c r="I414" s="40"/>
    </row>
    <row r="415" spans="9:9" ht="14.25" customHeight="1" x14ac:dyDescent="0.25">
      <c r="I415" s="40"/>
    </row>
    <row r="416" spans="9:9" ht="14.25" customHeight="1" x14ac:dyDescent="0.25">
      <c r="I416" s="40"/>
    </row>
    <row r="417" spans="9:9" ht="14.25" customHeight="1" x14ac:dyDescent="0.25">
      <c r="I417" s="40"/>
    </row>
    <row r="418" spans="9:9" ht="14.25" customHeight="1" x14ac:dyDescent="0.25">
      <c r="I418" s="40"/>
    </row>
    <row r="419" spans="9:9" ht="14.25" customHeight="1" x14ac:dyDescent="0.25">
      <c r="I419" s="40"/>
    </row>
    <row r="420" spans="9:9" ht="14.25" customHeight="1" x14ac:dyDescent="0.25">
      <c r="I420" s="40"/>
    </row>
    <row r="421" spans="9:9" ht="14.25" customHeight="1" x14ac:dyDescent="0.25">
      <c r="I421" s="40"/>
    </row>
    <row r="422" spans="9:9" ht="14.25" customHeight="1" x14ac:dyDescent="0.25">
      <c r="I422" s="40"/>
    </row>
    <row r="423" spans="9:9" ht="14.25" customHeight="1" x14ac:dyDescent="0.25">
      <c r="I423" s="40"/>
    </row>
    <row r="424" spans="9:9" ht="14.25" customHeight="1" x14ac:dyDescent="0.25">
      <c r="I424" s="40"/>
    </row>
    <row r="425" spans="9:9" ht="14.25" customHeight="1" x14ac:dyDescent="0.25">
      <c r="I425" s="40"/>
    </row>
    <row r="426" spans="9:9" ht="14.25" customHeight="1" x14ac:dyDescent="0.25">
      <c r="I426" s="40"/>
    </row>
    <row r="427" spans="9:9" ht="14.25" customHeight="1" x14ac:dyDescent="0.25">
      <c r="I427" s="40"/>
    </row>
    <row r="428" spans="9:9" ht="14.25" customHeight="1" x14ac:dyDescent="0.25">
      <c r="I428" s="40"/>
    </row>
    <row r="429" spans="9:9" ht="14.25" customHeight="1" x14ac:dyDescent="0.25">
      <c r="I429" s="40"/>
    </row>
    <row r="430" spans="9:9" ht="14.25" customHeight="1" x14ac:dyDescent="0.25">
      <c r="I430" s="40"/>
    </row>
    <row r="431" spans="9:9" ht="14.25" customHeight="1" x14ac:dyDescent="0.25">
      <c r="I431" s="40"/>
    </row>
    <row r="432" spans="9:9" ht="14.25" customHeight="1" x14ac:dyDescent="0.25">
      <c r="I432" s="40"/>
    </row>
    <row r="433" spans="9:9" ht="14.25" customHeight="1" x14ac:dyDescent="0.25">
      <c r="I433" s="40"/>
    </row>
    <row r="434" spans="9:9" ht="14.25" customHeight="1" x14ac:dyDescent="0.25">
      <c r="I434" s="40"/>
    </row>
    <row r="435" spans="9:9" ht="14.25" customHeight="1" x14ac:dyDescent="0.25">
      <c r="I435" s="40"/>
    </row>
    <row r="436" spans="9:9" ht="14.25" customHeight="1" x14ac:dyDescent="0.25">
      <c r="I436" s="40"/>
    </row>
    <row r="437" spans="9:9" ht="14.25" customHeight="1" x14ac:dyDescent="0.25">
      <c r="I437" s="40"/>
    </row>
    <row r="438" spans="9:9" ht="14.25" customHeight="1" x14ac:dyDescent="0.25">
      <c r="I438" s="40"/>
    </row>
    <row r="439" spans="9:9" ht="14.25" customHeight="1" x14ac:dyDescent="0.25">
      <c r="I439" s="40"/>
    </row>
    <row r="440" spans="9:9" ht="14.25" customHeight="1" x14ac:dyDescent="0.25">
      <c r="I440" s="40"/>
    </row>
    <row r="441" spans="9:9" ht="14.25" customHeight="1" x14ac:dyDescent="0.25">
      <c r="I441" s="40"/>
    </row>
    <row r="442" spans="9:9" ht="14.25" customHeight="1" x14ac:dyDescent="0.25">
      <c r="I442" s="40"/>
    </row>
    <row r="443" spans="9:9" ht="14.25" customHeight="1" x14ac:dyDescent="0.25">
      <c r="I443" s="40"/>
    </row>
    <row r="444" spans="9:9" ht="14.25" customHeight="1" x14ac:dyDescent="0.25">
      <c r="I444" s="40"/>
    </row>
    <row r="445" spans="9:9" ht="14.25" customHeight="1" x14ac:dyDescent="0.25">
      <c r="I445" s="40"/>
    </row>
    <row r="446" spans="9:9" ht="14.25" customHeight="1" x14ac:dyDescent="0.25">
      <c r="I446" s="40"/>
    </row>
    <row r="447" spans="9:9" ht="14.25" customHeight="1" x14ac:dyDescent="0.25">
      <c r="I447" s="40"/>
    </row>
    <row r="448" spans="9:9" ht="14.25" customHeight="1" x14ac:dyDescent="0.25">
      <c r="I448" s="40"/>
    </row>
    <row r="449" spans="9:9" ht="14.25" customHeight="1" x14ac:dyDescent="0.25">
      <c r="I449" s="40"/>
    </row>
    <row r="450" spans="9:9" ht="14.25" customHeight="1" x14ac:dyDescent="0.25">
      <c r="I450" s="40"/>
    </row>
    <row r="451" spans="9:9" ht="14.25" customHeight="1" x14ac:dyDescent="0.25">
      <c r="I451" s="40"/>
    </row>
    <row r="452" spans="9:9" ht="14.25" customHeight="1" x14ac:dyDescent="0.25">
      <c r="I452" s="40"/>
    </row>
    <row r="453" spans="9:9" ht="14.25" customHeight="1" x14ac:dyDescent="0.25">
      <c r="I453" s="40"/>
    </row>
    <row r="454" spans="9:9" ht="14.25" customHeight="1" x14ac:dyDescent="0.25">
      <c r="I454" s="40"/>
    </row>
    <row r="455" spans="9:9" ht="14.25" customHeight="1" x14ac:dyDescent="0.25">
      <c r="I455" s="40"/>
    </row>
    <row r="456" spans="9:9" ht="14.25" customHeight="1" x14ac:dyDescent="0.25">
      <c r="I456" s="40"/>
    </row>
    <row r="457" spans="9:9" ht="14.25" customHeight="1" x14ac:dyDescent="0.25">
      <c r="I457" s="40"/>
    </row>
    <row r="458" spans="9:9" ht="14.25" customHeight="1" x14ac:dyDescent="0.25">
      <c r="I458" s="40"/>
    </row>
    <row r="459" spans="9:9" ht="14.25" customHeight="1" x14ac:dyDescent="0.25">
      <c r="I459" s="40"/>
    </row>
    <row r="460" spans="9:9" ht="14.25" customHeight="1" x14ac:dyDescent="0.25">
      <c r="I460" s="40"/>
    </row>
    <row r="461" spans="9:9" ht="14.25" customHeight="1" x14ac:dyDescent="0.25">
      <c r="I461" s="40"/>
    </row>
    <row r="462" spans="9:9" ht="14.25" customHeight="1" x14ac:dyDescent="0.25">
      <c r="I462" s="40"/>
    </row>
    <row r="463" spans="9:9" ht="14.25" customHeight="1" x14ac:dyDescent="0.25">
      <c r="I463" s="40"/>
    </row>
    <row r="464" spans="9:9" ht="14.25" customHeight="1" x14ac:dyDescent="0.25">
      <c r="I464" s="40"/>
    </row>
    <row r="465" spans="9:9" ht="14.25" customHeight="1" x14ac:dyDescent="0.25">
      <c r="I465" s="40"/>
    </row>
    <row r="466" spans="9:9" ht="14.25" customHeight="1" x14ac:dyDescent="0.25">
      <c r="I466" s="40"/>
    </row>
    <row r="467" spans="9:9" ht="14.25" customHeight="1" x14ac:dyDescent="0.25">
      <c r="I467" s="40"/>
    </row>
    <row r="468" spans="9:9" ht="14.25" customHeight="1" x14ac:dyDescent="0.25">
      <c r="I468" s="40"/>
    </row>
    <row r="469" spans="9:9" ht="14.25" customHeight="1" x14ac:dyDescent="0.25">
      <c r="I469" s="40"/>
    </row>
    <row r="470" spans="9:9" ht="14.25" customHeight="1" x14ac:dyDescent="0.25">
      <c r="I470" s="40"/>
    </row>
    <row r="471" spans="9:9" ht="14.25" customHeight="1" x14ac:dyDescent="0.25">
      <c r="I471" s="40"/>
    </row>
    <row r="472" spans="9:9" ht="14.25" customHeight="1" x14ac:dyDescent="0.25">
      <c r="I472" s="40"/>
    </row>
    <row r="473" spans="9:9" ht="14.25" customHeight="1" x14ac:dyDescent="0.25">
      <c r="I473" s="40"/>
    </row>
    <row r="474" spans="9:9" ht="14.25" customHeight="1" x14ac:dyDescent="0.25">
      <c r="I474" s="40"/>
    </row>
    <row r="475" spans="9:9" ht="14.25" customHeight="1" x14ac:dyDescent="0.25">
      <c r="I475" s="40"/>
    </row>
    <row r="476" spans="9:9" ht="14.25" customHeight="1" x14ac:dyDescent="0.25">
      <c r="I476" s="40"/>
    </row>
    <row r="477" spans="9:9" ht="14.25" customHeight="1" x14ac:dyDescent="0.25">
      <c r="I477" s="40"/>
    </row>
    <row r="478" spans="9:9" ht="14.25" customHeight="1" x14ac:dyDescent="0.25">
      <c r="I478" s="40"/>
    </row>
    <row r="479" spans="9:9" ht="14.25" customHeight="1" x14ac:dyDescent="0.25">
      <c r="I479" s="40"/>
    </row>
    <row r="480" spans="9:9" ht="14.25" customHeight="1" x14ac:dyDescent="0.25">
      <c r="I480" s="40"/>
    </row>
    <row r="481" spans="9:9" ht="14.25" customHeight="1" x14ac:dyDescent="0.25">
      <c r="I481" s="40"/>
    </row>
    <row r="482" spans="9:9" ht="14.25" customHeight="1" x14ac:dyDescent="0.25">
      <c r="I482" s="40"/>
    </row>
    <row r="483" spans="9:9" ht="14.25" customHeight="1" x14ac:dyDescent="0.25">
      <c r="I483" s="40"/>
    </row>
    <row r="484" spans="9:9" ht="14.25" customHeight="1" x14ac:dyDescent="0.25">
      <c r="I484" s="40"/>
    </row>
    <row r="485" spans="9:9" ht="14.25" customHeight="1" x14ac:dyDescent="0.25">
      <c r="I485" s="40"/>
    </row>
    <row r="486" spans="9:9" ht="14.25" customHeight="1" x14ac:dyDescent="0.25">
      <c r="I486" s="40"/>
    </row>
    <row r="487" spans="9:9" ht="14.25" customHeight="1" x14ac:dyDescent="0.25">
      <c r="I487" s="40"/>
    </row>
    <row r="488" spans="9:9" ht="14.25" customHeight="1" x14ac:dyDescent="0.25">
      <c r="I488" s="40"/>
    </row>
    <row r="489" spans="9:9" ht="14.25" customHeight="1" x14ac:dyDescent="0.25">
      <c r="I489" s="40"/>
    </row>
    <row r="490" spans="9:9" ht="14.25" customHeight="1" x14ac:dyDescent="0.25">
      <c r="I490" s="40"/>
    </row>
    <row r="491" spans="9:9" ht="14.25" customHeight="1" x14ac:dyDescent="0.25">
      <c r="I491" s="40"/>
    </row>
    <row r="492" spans="9:9" ht="14.25" customHeight="1" x14ac:dyDescent="0.25">
      <c r="I492" s="40"/>
    </row>
    <row r="493" spans="9:9" ht="14.25" customHeight="1" x14ac:dyDescent="0.25">
      <c r="I493" s="40"/>
    </row>
    <row r="494" spans="9:9" ht="14.25" customHeight="1" x14ac:dyDescent="0.25">
      <c r="I494" s="40"/>
    </row>
    <row r="495" spans="9:9" ht="14.25" customHeight="1" x14ac:dyDescent="0.25">
      <c r="I495" s="40"/>
    </row>
    <row r="496" spans="9:9" ht="14.25" customHeight="1" x14ac:dyDescent="0.25">
      <c r="I496" s="40"/>
    </row>
    <row r="497" spans="9:9" ht="14.25" customHeight="1" x14ac:dyDescent="0.25">
      <c r="I497" s="40"/>
    </row>
    <row r="498" spans="9:9" ht="14.25" customHeight="1" x14ac:dyDescent="0.25">
      <c r="I498" s="40"/>
    </row>
    <row r="499" spans="9:9" ht="14.25" customHeight="1" x14ac:dyDescent="0.25">
      <c r="I499" s="40"/>
    </row>
    <row r="500" spans="9:9" ht="14.25" customHeight="1" x14ac:dyDescent="0.25">
      <c r="I500" s="40"/>
    </row>
    <row r="501" spans="9:9" ht="14.25" customHeight="1" x14ac:dyDescent="0.25">
      <c r="I501" s="40"/>
    </row>
    <row r="502" spans="9:9" ht="14.25" customHeight="1" x14ac:dyDescent="0.25">
      <c r="I502" s="40"/>
    </row>
    <row r="503" spans="9:9" ht="14.25" customHeight="1" x14ac:dyDescent="0.25">
      <c r="I503" s="40"/>
    </row>
    <row r="504" spans="9:9" ht="14.25" customHeight="1" x14ac:dyDescent="0.25">
      <c r="I504" s="40"/>
    </row>
    <row r="505" spans="9:9" ht="14.25" customHeight="1" x14ac:dyDescent="0.25">
      <c r="I505" s="40"/>
    </row>
    <row r="506" spans="9:9" ht="14.25" customHeight="1" x14ac:dyDescent="0.25">
      <c r="I506" s="40"/>
    </row>
    <row r="507" spans="9:9" ht="14.25" customHeight="1" x14ac:dyDescent="0.25">
      <c r="I507" s="40"/>
    </row>
    <row r="508" spans="9:9" ht="14.25" customHeight="1" x14ac:dyDescent="0.25">
      <c r="I508" s="40"/>
    </row>
    <row r="509" spans="9:9" ht="14.25" customHeight="1" x14ac:dyDescent="0.25">
      <c r="I509" s="40"/>
    </row>
    <row r="510" spans="9:9" ht="14.25" customHeight="1" x14ac:dyDescent="0.25">
      <c r="I510" s="40"/>
    </row>
    <row r="511" spans="9:9" ht="14.25" customHeight="1" x14ac:dyDescent="0.25">
      <c r="I511" s="40"/>
    </row>
    <row r="512" spans="9:9" ht="14.25" customHeight="1" x14ac:dyDescent="0.25">
      <c r="I512" s="40"/>
    </row>
    <row r="513" spans="9:9" ht="14.25" customHeight="1" x14ac:dyDescent="0.25">
      <c r="I513" s="40"/>
    </row>
    <row r="514" spans="9:9" ht="14.25" customHeight="1" x14ac:dyDescent="0.25">
      <c r="I514" s="40"/>
    </row>
    <row r="515" spans="9:9" ht="14.25" customHeight="1" x14ac:dyDescent="0.25">
      <c r="I515" s="40"/>
    </row>
    <row r="516" spans="9:9" ht="14.25" customHeight="1" x14ac:dyDescent="0.25">
      <c r="I516" s="40"/>
    </row>
    <row r="517" spans="9:9" ht="14.25" customHeight="1" x14ac:dyDescent="0.25">
      <c r="I517" s="40"/>
    </row>
    <row r="518" spans="9:9" ht="14.25" customHeight="1" x14ac:dyDescent="0.25">
      <c r="I518" s="40"/>
    </row>
    <row r="519" spans="9:9" ht="14.25" customHeight="1" x14ac:dyDescent="0.25">
      <c r="I519" s="40"/>
    </row>
    <row r="520" spans="9:9" ht="14.25" customHeight="1" x14ac:dyDescent="0.25">
      <c r="I520" s="40"/>
    </row>
    <row r="521" spans="9:9" ht="14.25" customHeight="1" x14ac:dyDescent="0.25">
      <c r="I521" s="40"/>
    </row>
    <row r="522" spans="9:9" ht="14.25" customHeight="1" x14ac:dyDescent="0.25">
      <c r="I522" s="40"/>
    </row>
    <row r="523" spans="9:9" ht="14.25" customHeight="1" x14ac:dyDescent="0.25">
      <c r="I523" s="40"/>
    </row>
    <row r="524" spans="9:9" ht="14.25" customHeight="1" x14ac:dyDescent="0.25">
      <c r="I524" s="40"/>
    </row>
    <row r="525" spans="9:9" ht="14.25" customHeight="1" x14ac:dyDescent="0.25">
      <c r="I525" s="40"/>
    </row>
    <row r="526" spans="9:9" ht="14.25" customHeight="1" x14ac:dyDescent="0.25">
      <c r="I526" s="40"/>
    </row>
    <row r="527" spans="9:9" ht="14.25" customHeight="1" x14ac:dyDescent="0.25">
      <c r="I527" s="40"/>
    </row>
    <row r="528" spans="9:9" ht="14.25" customHeight="1" x14ac:dyDescent="0.25">
      <c r="I528" s="40"/>
    </row>
    <row r="529" spans="9:9" ht="14.25" customHeight="1" x14ac:dyDescent="0.25">
      <c r="I529" s="40"/>
    </row>
    <row r="530" spans="9:9" ht="14.25" customHeight="1" x14ac:dyDescent="0.25">
      <c r="I530" s="40"/>
    </row>
    <row r="531" spans="9:9" ht="14.25" customHeight="1" x14ac:dyDescent="0.25">
      <c r="I531" s="40"/>
    </row>
    <row r="532" spans="9:9" ht="14.25" customHeight="1" x14ac:dyDescent="0.25">
      <c r="I532" s="40"/>
    </row>
    <row r="533" spans="9:9" ht="14.25" customHeight="1" x14ac:dyDescent="0.25">
      <c r="I533" s="40"/>
    </row>
    <row r="534" spans="9:9" ht="14.25" customHeight="1" x14ac:dyDescent="0.25">
      <c r="I534" s="40"/>
    </row>
    <row r="535" spans="9:9" ht="14.25" customHeight="1" x14ac:dyDescent="0.25">
      <c r="I535" s="40"/>
    </row>
    <row r="536" spans="9:9" ht="14.25" customHeight="1" x14ac:dyDescent="0.25">
      <c r="I536" s="40"/>
    </row>
    <row r="537" spans="9:9" ht="14.25" customHeight="1" x14ac:dyDescent="0.25">
      <c r="I537" s="40"/>
    </row>
    <row r="538" spans="9:9" ht="14.25" customHeight="1" x14ac:dyDescent="0.25">
      <c r="I538" s="40"/>
    </row>
    <row r="539" spans="9:9" ht="14.25" customHeight="1" x14ac:dyDescent="0.25">
      <c r="I539" s="40"/>
    </row>
    <row r="540" spans="9:9" ht="14.25" customHeight="1" x14ac:dyDescent="0.25">
      <c r="I540" s="40"/>
    </row>
    <row r="541" spans="9:9" ht="14.25" customHeight="1" x14ac:dyDescent="0.25">
      <c r="I541" s="40"/>
    </row>
    <row r="542" spans="9:9" ht="14.25" customHeight="1" x14ac:dyDescent="0.25">
      <c r="I542" s="40"/>
    </row>
    <row r="543" spans="9:9" ht="14.25" customHeight="1" x14ac:dyDescent="0.25">
      <c r="I543" s="40"/>
    </row>
    <row r="544" spans="9:9" ht="14.25" customHeight="1" x14ac:dyDescent="0.25">
      <c r="I544" s="40"/>
    </row>
    <row r="545" spans="9:9" ht="14.25" customHeight="1" x14ac:dyDescent="0.25">
      <c r="I545" s="40"/>
    </row>
    <row r="546" spans="9:9" ht="14.25" customHeight="1" x14ac:dyDescent="0.25">
      <c r="I546" s="40"/>
    </row>
    <row r="547" spans="9:9" ht="14.25" customHeight="1" x14ac:dyDescent="0.25">
      <c r="I547" s="40"/>
    </row>
    <row r="548" spans="9:9" ht="14.25" customHeight="1" x14ac:dyDescent="0.25">
      <c r="I548" s="40"/>
    </row>
    <row r="549" spans="9:9" ht="14.25" customHeight="1" x14ac:dyDescent="0.25">
      <c r="I549" s="40"/>
    </row>
    <row r="550" spans="9:9" ht="14.25" customHeight="1" x14ac:dyDescent="0.25">
      <c r="I550" s="40"/>
    </row>
    <row r="551" spans="9:9" ht="14.25" customHeight="1" x14ac:dyDescent="0.25">
      <c r="I551" s="40"/>
    </row>
    <row r="552" spans="9:9" ht="14.25" customHeight="1" x14ac:dyDescent="0.25">
      <c r="I552" s="40"/>
    </row>
    <row r="553" spans="9:9" ht="14.25" customHeight="1" x14ac:dyDescent="0.25">
      <c r="I553" s="40"/>
    </row>
    <row r="554" spans="9:9" ht="14.25" customHeight="1" x14ac:dyDescent="0.25">
      <c r="I554" s="40"/>
    </row>
    <row r="555" spans="9:9" ht="14.25" customHeight="1" x14ac:dyDescent="0.25">
      <c r="I555" s="40"/>
    </row>
    <row r="556" spans="9:9" ht="14.25" customHeight="1" x14ac:dyDescent="0.25">
      <c r="I556" s="40"/>
    </row>
    <row r="557" spans="9:9" ht="14.25" customHeight="1" x14ac:dyDescent="0.25">
      <c r="I557" s="40"/>
    </row>
    <row r="558" spans="9:9" ht="14.25" customHeight="1" x14ac:dyDescent="0.25">
      <c r="I558" s="40"/>
    </row>
    <row r="559" spans="9:9" ht="14.25" customHeight="1" x14ac:dyDescent="0.25">
      <c r="I559" s="40"/>
    </row>
    <row r="560" spans="9:9" ht="14.25" customHeight="1" x14ac:dyDescent="0.25">
      <c r="I560" s="40"/>
    </row>
    <row r="561" spans="9:9" ht="14.25" customHeight="1" x14ac:dyDescent="0.25">
      <c r="I561" s="40"/>
    </row>
    <row r="562" spans="9:9" ht="14.25" customHeight="1" x14ac:dyDescent="0.25">
      <c r="I562" s="40"/>
    </row>
    <row r="563" spans="9:9" ht="14.25" customHeight="1" x14ac:dyDescent="0.25">
      <c r="I563" s="40"/>
    </row>
    <row r="564" spans="9:9" ht="14.25" customHeight="1" x14ac:dyDescent="0.25">
      <c r="I564" s="40"/>
    </row>
    <row r="565" spans="9:9" ht="14.25" customHeight="1" x14ac:dyDescent="0.25">
      <c r="I565" s="40"/>
    </row>
    <row r="566" spans="9:9" ht="14.25" customHeight="1" x14ac:dyDescent="0.25">
      <c r="I566" s="40"/>
    </row>
    <row r="567" spans="9:9" ht="14.25" customHeight="1" x14ac:dyDescent="0.25">
      <c r="I567" s="40"/>
    </row>
    <row r="568" spans="9:9" ht="14.25" customHeight="1" x14ac:dyDescent="0.25">
      <c r="I568" s="40"/>
    </row>
    <row r="569" spans="9:9" ht="14.25" customHeight="1" x14ac:dyDescent="0.25">
      <c r="I569" s="40"/>
    </row>
    <row r="570" spans="9:9" ht="14.25" customHeight="1" x14ac:dyDescent="0.25">
      <c r="I570" s="40"/>
    </row>
    <row r="571" spans="9:9" ht="14.25" customHeight="1" x14ac:dyDescent="0.25">
      <c r="I571" s="40"/>
    </row>
    <row r="572" spans="9:9" ht="14.25" customHeight="1" x14ac:dyDescent="0.25">
      <c r="I572" s="40"/>
    </row>
    <row r="573" spans="9:9" ht="14.25" customHeight="1" x14ac:dyDescent="0.25">
      <c r="I573" s="40"/>
    </row>
    <row r="574" spans="9:9" ht="14.25" customHeight="1" x14ac:dyDescent="0.25">
      <c r="I574" s="40"/>
    </row>
    <row r="575" spans="9:9" ht="14.25" customHeight="1" x14ac:dyDescent="0.25">
      <c r="I575" s="40"/>
    </row>
    <row r="576" spans="9:9" ht="14.25" customHeight="1" x14ac:dyDescent="0.25">
      <c r="I576" s="40"/>
    </row>
    <row r="577" spans="9:9" ht="14.25" customHeight="1" x14ac:dyDescent="0.25">
      <c r="I577" s="40"/>
    </row>
    <row r="578" spans="9:9" ht="14.25" customHeight="1" x14ac:dyDescent="0.25">
      <c r="I578" s="40"/>
    </row>
    <row r="579" spans="9:9" ht="14.25" customHeight="1" x14ac:dyDescent="0.25">
      <c r="I579" s="40"/>
    </row>
    <row r="580" spans="9:9" ht="14.25" customHeight="1" x14ac:dyDescent="0.25">
      <c r="I580" s="40"/>
    </row>
    <row r="581" spans="9:9" ht="14.25" customHeight="1" x14ac:dyDescent="0.25">
      <c r="I581" s="40"/>
    </row>
    <row r="582" spans="9:9" ht="14.25" customHeight="1" x14ac:dyDescent="0.25">
      <c r="I582" s="40"/>
    </row>
    <row r="583" spans="9:9" ht="14.25" customHeight="1" x14ac:dyDescent="0.25">
      <c r="I583" s="40"/>
    </row>
    <row r="584" spans="9:9" ht="14.25" customHeight="1" x14ac:dyDescent="0.25">
      <c r="I584" s="40"/>
    </row>
    <row r="585" spans="9:9" ht="14.25" customHeight="1" x14ac:dyDescent="0.25">
      <c r="I585" s="40"/>
    </row>
    <row r="586" spans="9:9" ht="14.25" customHeight="1" x14ac:dyDescent="0.25">
      <c r="I586" s="40"/>
    </row>
    <row r="587" spans="9:9" ht="14.25" customHeight="1" x14ac:dyDescent="0.25">
      <c r="I587" s="40"/>
    </row>
    <row r="588" spans="9:9" ht="14.25" customHeight="1" x14ac:dyDescent="0.25">
      <c r="I588" s="40"/>
    </row>
    <row r="589" spans="9:9" ht="14.25" customHeight="1" x14ac:dyDescent="0.25">
      <c r="I589" s="40"/>
    </row>
    <row r="590" spans="9:9" ht="14.25" customHeight="1" x14ac:dyDescent="0.25">
      <c r="I590" s="40"/>
    </row>
    <row r="591" spans="9:9" ht="14.25" customHeight="1" x14ac:dyDescent="0.25">
      <c r="I591" s="40"/>
    </row>
    <row r="592" spans="9:9" ht="14.25" customHeight="1" x14ac:dyDescent="0.25">
      <c r="I592" s="40"/>
    </row>
    <row r="593" spans="9:9" ht="14.25" customHeight="1" x14ac:dyDescent="0.25">
      <c r="I593" s="40"/>
    </row>
    <row r="594" spans="9:9" ht="14.25" customHeight="1" x14ac:dyDescent="0.25">
      <c r="I594" s="40"/>
    </row>
    <row r="595" spans="9:9" ht="14.25" customHeight="1" x14ac:dyDescent="0.25">
      <c r="I595" s="40"/>
    </row>
    <row r="596" spans="9:9" ht="14.25" customHeight="1" x14ac:dyDescent="0.25">
      <c r="I596" s="40"/>
    </row>
    <row r="597" spans="9:9" ht="14.25" customHeight="1" x14ac:dyDescent="0.25">
      <c r="I597" s="40"/>
    </row>
    <row r="598" spans="9:9" ht="14.25" customHeight="1" x14ac:dyDescent="0.25">
      <c r="I598" s="40"/>
    </row>
    <row r="599" spans="9:9" ht="14.25" customHeight="1" x14ac:dyDescent="0.25">
      <c r="I599" s="40"/>
    </row>
    <row r="600" spans="9:9" ht="14.25" customHeight="1" x14ac:dyDescent="0.25">
      <c r="I600" s="40"/>
    </row>
    <row r="601" spans="9:9" ht="14.25" customHeight="1" x14ac:dyDescent="0.25">
      <c r="I601" s="40"/>
    </row>
    <row r="602" spans="9:9" ht="14.25" customHeight="1" x14ac:dyDescent="0.25">
      <c r="I602" s="40"/>
    </row>
    <row r="603" spans="9:9" ht="14.25" customHeight="1" x14ac:dyDescent="0.25">
      <c r="I603" s="40"/>
    </row>
    <row r="604" spans="9:9" ht="14.25" customHeight="1" x14ac:dyDescent="0.25">
      <c r="I604" s="40"/>
    </row>
    <row r="605" spans="9:9" ht="14.25" customHeight="1" x14ac:dyDescent="0.25">
      <c r="I605" s="40"/>
    </row>
    <row r="606" spans="9:9" ht="14.25" customHeight="1" x14ac:dyDescent="0.25">
      <c r="I606" s="40"/>
    </row>
    <row r="607" spans="9:9" ht="14.25" customHeight="1" x14ac:dyDescent="0.25">
      <c r="I607" s="40"/>
    </row>
    <row r="608" spans="9:9" ht="14.25" customHeight="1" x14ac:dyDescent="0.25">
      <c r="I608" s="40"/>
    </row>
    <row r="609" spans="9:9" ht="14.25" customHeight="1" x14ac:dyDescent="0.25">
      <c r="I609" s="40"/>
    </row>
    <row r="610" spans="9:9" ht="14.25" customHeight="1" x14ac:dyDescent="0.25">
      <c r="I610" s="40"/>
    </row>
    <row r="611" spans="9:9" ht="14.25" customHeight="1" x14ac:dyDescent="0.25">
      <c r="I611" s="40"/>
    </row>
    <row r="612" spans="9:9" ht="14.25" customHeight="1" x14ac:dyDescent="0.25">
      <c r="I612" s="40"/>
    </row>
    <row r="613" spans="9:9" ht="14.25" customHeight="1" x14ac:dyDescent="0.25">
      <c r="I613" s="40"/>
    </row>
    <row r="614" spans="9:9" ht="14.25" customHeight="1" x14ac:dyDescent="0.25">
      <c r="I614" s="40"/>
    </row>
    <row r="615" spans="9:9" ht="14.25" customHeight="1" x14ac:dyDescent="0.25">
      <c r="I615" s="40"/>
    </row>
    <row r="616" spans="9:9" ht="14.25" customHeight="1" x14ac:dyDescent="0.25">
      <c r="I616" s="40"/>
    </row>
    <row r="617" spans="9:9" ht="14.25" customHeight="1" x14ac:dyDescent="0.25">
      <c r="I617" s="40"/>
    </row>
    <row r="618" spans="9:9" ht="14.25" customHeight="1" x14ac:dyDescent="0.25">
      <c r="I618" s="40"/>
    </row>
    <row r="619" spans="9:9" ht="14.25" customHeight="1" x14ac:dyDescent="0.25">
      <c r="I619" s="40"/>
    </row>
    <row r="620" spans="9:9" ht="14.25" customHeight="1" x14ac:dyDescent="0.25">
      <c r="I620" s="40"/>
    </row>
    <row r="621" spans="9:9" ht="14.25" customHeight="1" x14ac:dyDescent="0.25">
      <c r="I621" s="40"/>
    </row>
    <row r="622" spans="9:9" ht="14.25" customHeight="1" x14ac:dyDescent="0.25">
      <c r="I622" s="40"/>
    </row>
    <row r="623" spans="9:9" ht="14.25" customHeight="1" x14ac:dyDescent="0.25">
      <c r="I623" s="40"/>
    </row>
    <row r="624" spans="9:9" ht="14.25" customHeight="1" x14ac:dyDescent="0.25">
      <c r="I624" s="40"/>
    </row>
    <row r="625" spans="9:9" ht="14.25" customHeight="1" x14ac:dyDescent="0.25">
      <c r="I625" s="40"/>
    </row>
    <row r="626" spans="9:9" ht="14.25" customHeight="1" x14ac:dyDescent="0.25">
      <c r="I626" s="40"/>
    </row>
    <row r="627" spans="9:9" ht="14.25" customHeight="1" x14ac:dyDescent="0.25">
      <c r="I627" s="40"/>
    </row>
    <row r="628" spans="9:9" ht="14.25" customHeight="1" x14ac:dyDescent="0.25">
      <c r="I628" s="40"/>
    </row>
    <row r="629" spans="9:9" ht="14.25" customHeight="1" x14ac:dyDescent="0.25">
      <c r="I629" s="40"/>
    </row>
    <row r="630" spans="9:9" ht="14.25" customHeight="1" x14ac:dyDescent="0.25">
      <c r="I630" s="40"/>
    </row>
    <row r="631" spans="9:9" ht="14.25" customHeight="1" x14ac:dyDescent="0.25">
      <c r="I631" s="40"/>
    </row>
    <row r="632" spans="9:9" ht="14.25" customHeight="1" x14ac:dyDescent="0.25">
      <c r="I632" s="40"/>
    </row>
    <row r="633" spans="9:9" ht="14.25" customHeight="1" x14ac:dyDescent="0.25">
      <c r="I633" s="40"/>
    </row>
    <row r="634" spans="9:9" ht="14.25" customHeight="1" x14ac:dyDescent="0.25">
      <c r="I634" s="40"/>
    </row>
    <row r="635" spans="9:9" ht="14.25" customHeight="1" x14ac:dyDescent="0.25">
      <c r="I635" s="40"/>
    </row>
    <row r="636" spans="9:9" ht="14.25" customHeight="1" x14ac:dyDescent="0.25">
      <c r="I636" s="40"/>
    </row>
    <row r="637" spans="9:9" ht="14.25" customHeight="1" x14ac:dyDescent="0.25">
      <c r="I637" s="40"/>
    </row>
    <row r="638" spans="9:9" ht="14.25" customHeight="1" x14ac:dyDescent="0.25">
      <c r="I638" s="40"/>
    </row>
    <row r="639" spans="9:9" ht="14.25" customHeight="1" x14ac:dyDescent="0.25">
      <c r="I639" s="40"/>
    </row>
    <row r="640" spans="9:9" ht="14.25" customHeight="1" x14ac:dyDescent="0.25">
      <c r="I640" s="40"/>
    </row>
    <row r="641" spans="9:9" ht="14.25" customHeight="1" x14ac:dyDescent="0.25">
      <c r="I641" s="40"/>
    </row>
    <row r="642" spans="9:9" ht="14.25" customHeight="1" x14ac:dyDescent="0.25">
      <c r="I642" s="40"/>
    </row>
    <row r="643" spans="9:9" ht="14.25" customHeight="1" x14ac:dyDescent="0.25">
      <c r="I643" s="40"/>
    </row>
    <row r="644" spans="9:9" ht="14.25" customHeight="1" x14ac:dyDescent="0.25">
      <c r="I644" s="40"/>
    </row>
    <row r="645" spans="9:9" ht="14.25" customHeight="1" x14ac:dyDescent="0.25">
      <c r="I645" s="40"/>
    </row>
    <row r="646" spans="9:9" ht="14.25" customHeight="1" x14ac:dyDescent="0.25">
      <c r="I646" s="40"/>
    </row>
    <row r="647" spans="9:9" ht="14.25" customHeight="1" x14ac:dyDescent="0.25">
      <c r="I647" s="40"/>
    </row>
    <row r="648" spans="9:9" ht="14.25" customHeight="1" x14ac:dyDescent="0.25">
      <c r="I648" s="40"/>
    </row>
    <row r="649" spans="9:9" ht="14.25" customHeight="1" x14ac:dyDescent="0.25">
      <c r="I649" s="40"/>
    </row>
    <row r="650" spans="9:9" ht="14.25" customHeight="1" x14ac:dyDescent="0.25">
      <c r="I650" s="40"/>
    </row>
    <row r="651" spans="9:9" ht="14.25" customHeight="1" x14ac:dyDescent="0.25">
      <c r="I651" s="40"/>
    </row>
    <row r="652" spans="9:9" ht="14.25" customHeight="1" x14ac:dyDescent="0.25">
      <c r="I652" s="40"/>
    </row>
    <row r="653" spans="9:9" ht="14.25" customHeight="1" x14ac:dyDescent="0.25">
      <c r="I653" s="40"/>
    </row>
    <row r="654" spans="9:9" ht="14.25" customHeight="1" x14ac:dyDescent="0.25">
      <c r="I654" s="40"/>
    </row>
    <row r="655" spans="9:9" ht="14.25" customHeight="1" x14ac:dyDescent="0.25">
      <c r="I655" s="40"/>
    </row>
    <row r="656" spans="9:9" ht="14.25" customHeight="1" x14ac:dyDescent="0.25">
      <c r="I656" s="40"/>
    </row>
    <row r="657" spans="9:9" ht="14.25" customHeight="1" x14ac:dyDescent="0.25">
      <c r="I657" s="40"/>
    </row>
    <row r="658" spans="9:9" ht="14.25" customHeight="1" x14ac:dyDescent="0.25">
      <c r="I658" s="40"/>
    </row>
    <row r="659" spans="9:9" ht="14.25" customHeight="1" x14ac:dyDescent="0.25">
      <c r="I659" s="40"/>
    </row>
    <row r="660" spans="9:9" ht="14.25" customHeight="1" x14ac:dyDescent="0.25">
      <c r="I660" s="40"/>
    </row>
    <row r="661" spans="9:9" ht="14.25" customHeight="1" x14ac:dyDescent="0.25">
      <c r="I661" s="40"/>
    </row>
    <row r="662" spans="9:9" ht="14.25" customHeight="1" x14ac:dyDescent="0.25">
      <c r="I662" s="40"/>
    </row>
    <row r="663" spans="9:9" ht="14.25" customHeight="1" x14ac:dyDescent="0.25">
      <c r="I663" s="40"/>
    </row>
    <row r="664" spans="9:9" ht="14.25" customHeight="1" x14ac:dyDescent="0.25">
      <c r="I664" s="40"/>
    </row>
    <row r="665" spans="9:9" ht="14.25" customHeight="1" x14ac:dyDescent="0.25">
      <c r="I665" s="40"/>
    </row>
    <row r="666" spans="9:9" ht="14.25" customHeight="1" x14ac:dyDescent="0.25">
      <c r="I666" s="40"/>
    </row>
    <row r="667" spans="9:9" ht="14.25" customHeight="1" x14ac:dyDescent="0.25">
      <c r="I667" s="40"/>
    </row>
    <row r="668" spans="9:9" ht="14.25" customHeight="1" x14ac:dyDescent="0.25">
      <c r="I668" s="40"/>
    </row>
    <row r="669" spans="9:9" ht="14.25" customHeight="1" x14ac:dyDescent="0.25">
      <c r="I669" s="40"/>
    </row>
    <row r="670" spans="9:9" ht="14.25" customHeight="1" x14ac:dyDescent="0.25">
      <c r="I670" s="40"/>
    </row>
    <row r="671" spans="9:9" ht="14.25" customHeight="1" x14ac:dyDescent="0.25">
      <c r="I671" s="40"/>
    </row>
    <row r="672" spans="9:9" ht="14.25" customHeight="1" x14ac:dyDescent="0.25">
      <c r="I672" s="40"/>
    </row>
    <row r="673" spans="9:9" ht="14.25" customHeight="1" x14ac:dyDescent="0.25">
      <c r="I673" s="40"/>
    </row>
    <row r="674" spans="9:9" ht="14.25" customHeight="1" x14ac:dyDescent="0.25">
      <c r="I674" s="40"/>
    </row>
    <row r="675" spans="9:9" ht="14.25" customHeight="1" x14ac:dyDescent="0.25">
      <c r="I675" s="40"/>
    </row>
    <row r="676" spans="9:9" ht="14.25" customHeight="1" x14ac:dyDescent="0.25">
      <c r="I676" s="40"/>
    </row>
    <row r="677" spans="9:9" ht="14.25" customHeight="1" x14ac:dyDescent="0.25">
      <c r="I677" s="40"/>
    </row>
    <row r="678" spans="9:9" ht="14.25" customHeight="1" x14ac:dyDescent="0.25">
      <c r="I678" s="40"/>
    </row>
    <row r="679" spans="9:9" ht="14.25" customHeight="1" x14ac:dyDescent="0.25">
      <c r="I679" s="40"/>
    </row>
    <row r="680" spans="9:9" ht="14.25" customHeight="1" x14ac:dyDescent="0.25">
      <c r="I680" s="40"/>
    </row>
    <row r="681" spans="9:9" ht="14.25" customHeight="1" x14ac:dyDescent="0.25">
      <c r="I681" s="40"/>
    </row>
    <row r="682" spans="9:9" ht="14.25" customHeight="1" x14ac:dyDescent="0.25">
      <c r="I682" s="40"/>
    </row>
    <row r="683" spans="9:9" ht="14.25" customHeight="1" x14ac:dyDescent="0.25">
      <c r="I683" s="40"/>
    </row>
    <row r="684" spans="9:9" ht="14.25" customHeight="1" x14ac:dyDescent="0.25">
      <c r="I684" s="40"/>
    </row>
    <row r="685" spans="9:9" ht="14.25" customHeight="1" x14ac:dyDescent="0.25">
      <c r="I685" s="40"/>
    </row>
    <row r="686" spans="9:9" ht="14.25" customHeight="1" x14ac:dyDescent="0.25">
      <c r="I686" s="40"/>
    </row>
    <row r="687" spans="9:9" ht="14.25" customHeight="1" x14ac:dyDescent="0.25">
      <c r="I687" s="40"/>
    </row>
    <row r="688" spans="9:9" ht="14.25" customHeight="1" x14ac:dyDescent="0.25">
      <c r="I688" s="40"/>
    </row>
    <row r="689" spans="9:9" ht="14.25" customHeight="1" x14ac:dyDescent="0.25">
      <c r="I689" s="40"/>
    </row>
    <row r="690" spans="9:9" ht="14.25" customHeight="1" x14ac:dyDescent="0.25">
      <c r="I690" s="40"/>
    </row>
    <row r="691" spans="9:9" ht="14.25" customHeight="1" x14ac:dyDescent="0.25">
      <c r="I691" s="40"/>
    </row>
    <row r="692" spans="9:9" ht="14.25" customHeight="1" x14ac:dyDescent="0.25">
      <c r="I692" s="40"/>
    </row>
    <row r="693" spans="9:9" ht="14.25" customHeight="1" x14ac:dyDescent="0.25">
      <c r="I693" s="40"/>
    </row>
    <row r="694" spans="9:9" ht="14.25" customHeight="1" x14ac:dyDescent="0.25">
      <c r="I694" s="40"/>
    </row>
    <row r="695" spans="9:9" ht="14.25" customHeight="1" x14ac:dyDescent="0.25">
      <c r="I695" s="40"/>
    </row>
    <row r="696" spans="9:9" ht="14.25" customHeight="1" x14ac:dyDescent="0.25">
      <c r="I696" s="40"/>
    </row>
    <row r="697" spans="9:9" ht="14.25" customHeight="1" x14ac:dyDescent="0.25">
      <c r="I697" s="40"/>
    </row>
    <row r="698" spans="9:9" ht="14.25" customHeight="1" x14ac:dyDescent="0.25">
      <c r="I698" s="40"/>
    </row>
    <row r="699" spans="9:9" ht="14.25" customHeight="1" x14ac:dyDescent="0.25">
      <c r="I699" s="40"/>
    </row>
    <row r="700" spans="9:9" ht="14.25" customHeight="1" x14ac:dyDescent="0.25">
      <c r="I700" s="40"/>
    </row>
    <row r="701" spans="9:9" ht="14.25" customHeight="1" x14ac:dyDescent="0.25">
      <c r="I701" s="40"/>
    </row>
    <row r="702" spans="9:9" ht="14.25" customHeight="1" x14ac:dyDescent="0.25">
      <c r="I702" s="40"/>
    </row>
    <row r="703" spans="9:9" ht="14.25" customHeight="1" x14ac:dyDescent="0.25">
      <c r="I703" s="40"/>
    </row>
    <row r="704" spans="9:9" ht="14.25" customHeight="1" x14ac:dyDescent="0.25">
      <c r="I704" s="40"/>
    </row>
    <row r="705" spans="9:9" ht="14.25" customHeight="1" x14ac:dyDescent="0.25">
      <c r="I705" s="40"/>
    </row>
    <row r="706" spans="9:9" ht="14.25" customHeight="1" x14ac:dyDescent="0.25">
      <c r="I706" s="40"/>
    </row>
    <row r="707" spans="9:9" ht="14.25" customHeight="1" x14ac:dyDescent="0.25">
      <c r="I707" s="40"/>
    </row>
    <row r="708" spans="9:9" ht="14.25" customHeight="1" x14ac:dyDescent="0.25">
      <c r="I708" s="40"/>
    </row>
    <row r="709" spans="9:9" ht="14.25" customHeight="1" x14ac:dyDescent="0.25">
      <c r="I709" s="40"/>
    </row>
    <row r="710" spans="9:9" ht="14.25" customHeight="1" x14ac:dyDescent="0.25">
      <c r="I710" s="40"/>
    </row>
    <row r="711" spans="9:9" ht="14.25" customHeight="1" x14ac:dyDescent="0.25">
      <c r="I711" s="40"/>
    </row>
    <row r="712" spans="9:9" ht="14.25" customHeight="1" x14ac:dyDescent="0.25">
      <c r="I712" s="40"/>
    </row>
    <row r="713" spans="9:9" ht="14.25" customHeight="1" x14ac:dyDescent="0.25">
      <c r="I713" s="40"/>
    </row>
    <row r="714" spans="9:9" ht="14.25" customHeight="1" x14ac:dyDescent="0.25">
      <c r="I714" s="40"/>
    </row>
    <row r="715" spans="9:9" ht="14.25" customHeight="1" x14ac:dyDescent="0.25">
      <c r="I715" s="40"/>
    </row>
    <row r="716" spans="9:9" ht="14.25" customHeight="1" x14ac:dyDescent="0.25">
      <c r="I716" s="40"/>
    </row>
    <row r="717" spans="9:9" ht="14.25" customHeight="1" x14ac:dyDescent="0.25">
      <c r="I717" s="40"/>
    </row>
    <row r="718" spans="9:9" ht="14.25" customHeight="1" x14ac:dyDescent="0.25">
      <c r="I718" s="40"/>
    </row>
    <row r="719" spans="9:9" ht="14.25" customHeight="1" x14ac:dyDescent="0.25">
      <c r="I719" s="40"/>
    </row>
    <row r="720" spans="9:9" ht="14.25" customHeight="1" x14ac:dyDescent="0.25">
      <c r="I720" s="40"/>
    </row>
    <row r="721" spans="9:9" ht="14.25" customHeight="1" x14ac:dyDescent="0.25">
      <c r="I721" s="40"/>
    </row>
    <row r="722" spans="9:9" ht="14.25" customHeight="1" x14ac:dyDescent="0.25">
      <c r="I722" s="40"/>
    </row>
    <row r="723" spans="9:9" ht="14.25" customHeight="1" x14ac:dyDescent="0.25">
      <c r="I723" s="40"/>
    </row>
    <row r="724" spans="9:9" ht="14.25" customHeight="1" x14ac:dyDescent="0.25">
      <c r="I724" s="40"/>
    </row>
    <row r="725" spans="9:9" ht="14.25" customHeight="1" x14ac:dyDescent="0.25">
      <c r="I725" s="40"/>
    </row>
    <row r="726" spans="9:9" ht="14.25" customHeight="1" x14ac:dyDescent="0.25">
      <c r="I726" s="40"/>
    </row>
    <row r="727" spans="9:9" ht="14.25" customHeight="1" x14ac:dyDescent="0.25">
      <c r="I727" s="40"/>
    </row>
    <row r="728" spans="9:9" ht="14.25" customHeight="1" x14ac:dyDescent="0.25">
      <c r="I728" s="40"/>
    </row>
    <row r="729" spans="9:9" ht="14.25" customHeight="1" x14ac:dyDescent="0.25">
      <c r="I729" s="40"/>
    </row>
    <row r="730" spans="9:9" ht="14.25" customHeight="1" x14ac:dyDescent="0.25">
      <c r="I730" s="40"/>
    </row>
    <row r="731" spans="9:9" ht="14.25" customHeight="1" x14ac:dyDescent="0.25">
      <c r="I731" s="40"/>
    </row>
    <row r="732" spans="9:9" ht="14.25" customHeight="1" x14ac:dyDescent="0.25">
      <c r="I732" s="40"/>
    </row>
    <row r="733" spans="9:9" ht="14.25" customHeight="1" x14ac:dyDescent="0.25">
      <c r="I733" s="40"/>
    </row>
    <row r="734" spans="9:9" ht="14.25" customHeight="1" x14ac:dyDescent="0.25">
      <c r="I734" s="40"/>
    </row>
    <row r="735" spans="9:9" ht="14.25" customHeight="1" x14ac:dyDescent="0.25">
      <c r="I735" s="40"/>
    </row>
    <row r="736" spans="9:9" ht="14.25" customHeight="1" x14ac:dyDescent="0.25">
      <c r="I736" s="40"/>
    </row>
    <row r="737" spans="9:9" ht="14.25" customHeight="1" x14ac:dyDescent="0.25">
      <c r="I737" s="40"/>
    </row>
    <row r="738" spans="9:9" ht="14.25" customHeight="1" x14ac:dyDescent="0.25">
      <c r="I738" s="40"/>
    </row>
    <row r="739" spans="9:9" ht="14.25" customHeight="1" x14ac:dyDescent="0.25">
      <c r="I739" s="40"/>
    </row>
    <row r="740" spans="9:9" ht="14.25" customHeight="1" x14ac:dyDescent="0.25">
      <c r="I740" s="40"/>
    </row>
    <row r="741" spans="9:9" ht="14.25" customHeight="1" x14ac:dyDescent="0.25">
      <c r="I741" s="40"/>
    </row>
    <row r="742" spans="9:9" ht="14.25" customHeight="1" x14ac:dyDescent="0.25">
      <c r="I742" s="40"/>
    </row>
    <row r="743" spans="9:9" ht="14.25" customHeight="1" x14ac:dyDescent="0.25">
      <c r="I743" s="40"/>
    </row>
    <row r="744" spans="9:9" ht="14.25" customHeight="1" x14ac:dyDescent="0.25">
      <c r="I744" s="40"/>
    </row>
    <row r="745" spans="9:9" ht="14.25" customHeight="1" x14ac:dyDescent="0.25">
      <c r="I745" s="40"/>
    </row>
    <row r="746" spans="9:9" ht="14.25" customHeight="1" x14ac:dyDescent="0.25">
      <c r="I746" s="40"/>
    </row>
    <row r="747" spans="9:9" ht="14.25" customHeight="1" x14ac:dyDescent="0.25">
      <c r="I747" s="40"/>
    </row>
    <row r="748" spans="9:9" ht="14.25" customHeight="1" x14ac:dyDescent="0.25">
      <c r="I748" s="40"/>
    </row>
    <row r="749" spans="9:9" ht="14.25" customHeight="1" x14ac:dyDescent="0.25">
      <c r="I749" s="40"/>
    </row>
    <row r="750" spans="9:9" ht="14.25" customHeight="1" x14ac:dyDescent="0.25">
      <c r="I750" s="40"/>
    </row>
    <row r="751" spans="9:9" ht="14.25" customHeight="1" x14ac:dyDescent="0.25">
      <c r="I751" s="40"/>
    </row>
    <row r="752" spans="9:9" ht="14.25" customHeight="1" x14ac:dyDescent="0.25">
      <c r="I752" s="40"/>
    </row>
    <row r="753" spans="9:9" ht="14.25" customHeight="1" x14ac:dyDescent="0.25">
      <c r="I753" s="40"/>
    </row>
    <row r="754" spans="9:9" ht="14.25" customHeight="1" x14ac:dyDescent="0.25">
      <c r="I754" s="40"/>
    </row>
    <row r="755" spans="9:9" ht="14.25" customHeight="1" x14ac:dyDescent="0.25">
      <c r="I755" s="40"/>
    </row>
    <row r="756" spans="9:9" ht="14.25" customHeight="1" x14ac:dyDescent="0.25">
      <c r="I756" s="40"/>
    </row>
    <row r="757" spans="9:9" ht="14.25" customHeight="1" x14ac:dyDescent="0.25">
      <c r="I757" s="40"/>
    </row>
    <row r="758" spans="9:9" ht="14.25" customHeight="1" x14ac:dyDescent="0.25">
      <c r="I758" s="40"/>
    </row>
    <row r="759" spans="9:9" ht="14.25" customHeight="1" x14ac:dyDescent="0.25">
      <c r="I759" s="40"/>
    </row>
    <row r="760" spans="9:9" ht="14.25" customHeight="1" x14ac:dyDescent="0.25">
      <c r="I760" s="40"/>
    </row>
    <row r="761" spans="9:9" ht="14.25" customHeight="1" x14ac:dyDescent="0.25">
      <c r="I761" s="40"/>
    </row>
    <row r="762" spans="9:9" ht="14.25" customHeight="1" x14ac:dyDescent="0.25">
      <c r="I762" s="40"/>
    </row>
    <row r="763" spans="9:9" ht="14.25" customHeight="1" x14ac:dyDescent="0.25">
      <c r="I763" s="40"/>
    </row>
    <row r="764" spans="9:9" ht="14.25" customHeight="1" x14ac:dyDescent="0.25">
      <c r="I764" s="40"/>
    </row>
    <row r="765" spans="9:9" ht="14.25" customHeight="1" x14ac:dyDescent="0.25">
      <c r="I765" s="40"/>
    </row>
    <row r="766" spans="9:9" ht="14.25" customHeight="1" x14ac:dyDescent="0.25">
      <c r="I766" s="40"/>
    </row>
    <row r="767" spans="9:9" ht="14.25" customHeight="1" x14ac:dyDescent="0.25">
      <c r="I767" s="40"/>
    </row>
    <row r="768" spans="9:9" ht="14.25" customHeight="1" x14ac:dyDescent="0.25">
      <c r="I768" s="40"/>
    </row>
    <row r="769" spans="9:9" ht="14.25" customHeight="1" x14ac:dyDescent="0.25">
      <c r="I769" s="40"/>
    </row>
    <row r="770" spans="9:9" ht="14.25" customHeight="1" x14ac:dyDescent="0.25">
      <c r="I770" s="40"/>
    </row>
    <row r="771" spans="9:9" ht="14.25" customHeight="1" x14ac:dyDescent="0.25">
      <c r="I771" s="40"/>
    </row>
    <row r="772" spans="9:9" ht="14.25" customHeight="1" x14ac:dyDescent="0.25">
      <c r="I772" s="40"/>
    </row>
    <row r="773" spans="9:9" ht="14.25" customHeight="1" x14ac:dyDescent="0.25">
      <c r="I773" s="40"/>
    </row>
    <row r="774" spans="9:9" ht="14.25" customHeight="1" x14ac:dyDescent="0.25">
      <c r="I774" s="40"/>
    </row>
    <row r="775" spans="9:9" ht="14.25" customHeight="1" x14ac:dyDescent="0.25">
      <c r="I775" s="40"/>
    </row>
    <row r="776" spans="9:9" ht="14.25" customHeight="1" x14ac:dyDescent="0.25">
      <c r="I776" s="40"/>
    </row>
    <row r="777" spans="9:9" ht="14.25" customHeight="1" x14ac:dyDescent="0.25">
      <c r="I777" s="40"/>
    </row>
    <row r="778" spans="9:9" ht="14.25" customHeight="1" x14ac:dyDescent="0.25">
      <c r="I778" s="40"/>
    </row>
    <row r="779" spans="9:9" ht="14.25" customHeight="1" x14ac:dyDescent="0.25">
      <c r="I779" s="40"/>
    </row>
    <row r="780" spans="9:9" ht="14.25" customHeight="1" x14ac:dyDescent="0.25">
      <c r="I780" s="40"/>
    </row>
    <row r="781" spans="9:9" ht="14.25" customHeight="1" x14ac:dyDescent="0.25">
      <c r="I781" s="40"/>
    </row>
    <row r="782" spans="9:9" ht="14.25" customHeight="1" x14ac:dyDescent="0.25">
      <c r="I782" s="40"/>
    </row>
    <row r="783" spans="9:9" ht="14.25" customHeight="1" x14ac:dyDescent="0.25">
      <c r="I783" s="40"/>
    </row>
    <row r="784" spans="9:9" ht="14.25" customHeight="1" x14ac:dyDescent="0.25">
      <c r="I784" s="40"/>
    </row>
    <row r="785" spans="9:9" ht="14.25" customHeight="1" x14ac:dyDescent="0.25">
      <c r="I785" s="40"/>
    </row>
    <row r="786" spans="9:9" ht="14.25" customHeight="1" x14ac:dyDescent="0.25">
      <c r="I786" s="40"/>
    </row>
    <row r="787" spans="9:9" ht="14.25" customHeight="1" x14ac:dyDescent="0.25">
      <c r="I787" s="40"/>
    </row>
    <row r="788" spans="9:9" ht="14.25" customHeight="1" x14ac:dyDescent="0.25">
      <c r="I788" s="40"/>
    </row>
    <row r="789" spans="9:9" ht="14.25" customHeight="1" x14ac:dyDescent="0.25">
      <c r="I789" s="40"/>
    </row>
    <row r="790" spans="9:9" ht="14.25" customHeight="1" x14ac:dyDescent="0.25">
      <c r="I790" s="40"/>
    </row>
    <row r="791" spans="9:9" ht="14.25" customHeight="1" x14ac:dyDescent="0.25">
      <c r="I791" s="40"/>
    </row>
    <row r="792" spans="9:9" ht="14.25" customHeight="1" x14ac:dyDescent="0.25">
      <c r="I792" s="40"/>
    </row>
    <row r="793" spans="9:9" ht="14.25" customHeight="1" x14ac:dyDescent="0.25">
      <c r="I793" s="40"/>
    </row>
    <row r="794" spans="9:9" ht="14.25" customHeight="1" x14ac:dyDescent="0.25">
      <c r="I794" s="40"/>
    </row>
    <row r="795" spans="9:9" ht="14.25" customHeight="1" x14ac:dyDescent="0.25">
      <c r="I795" s="40"/>
    </row>
    <row r="796" spans="9:9" ht="14.25" customHeight="1" x14ac:dyDescent="0.25">
      <c r="I796" s="40"/>
    </row>
    <row r="797" spans="9:9" ht="14.25" customHeight="1" x14ac:dyDescent="0.25">
      <c r="I797" s="40"/>
    </row>
    <row r="798" spans="9:9" ht="14.25" customHeight="1" x14ac:dyDescent="0.25">
      <c r="I798" s="40"/>
    </row>
    <row r="799" spans="9:9" ht="14.25" customHeight="1" x14ac:dyDescent="0.25">
      <c r="I799" s="40"/>
    </row>
    <row r="800" spans="9:9" ht="14.25" customHeight="1" x14ac:dyDescent="0.25">
      <c r="I800" s="40"/>
    </row>
    <row r="801" spans="9:9" ht="14.25" customHeight="1" x14ac:dyDescent="0.25">
      <c r="I801" s="40"/>
    </row>
    <row r="802" spans="9:9" ht="14.25" customHeight="1" x14ac:dyDescent="0.25">
      <c r="I802" s="40"/>
    </row>
    <row r="803" spans="9:9" ht="14.25" customHeight="1" x14ac:dyDescent="0.25">
      <c r="I803" s="40"/>
    </row>
    <row r="804" spans="9:9" ht="14.25" customHeight="1" x14ac:dyDescent="0.25">
      <c r="I804" s="40"/>
    </row>
    <row r="805" spans="9:9" ht="14.25" customHeight="1" x14ac:dyDescent="0.25">
      <c r="I805" s="40"/>
    </row>
    <row r="806" spans="9:9" ht="14.25" customHeight="1" x14ac:dyDescent="0.25">
      <c r="I806" s="40"/>
    </row>
    <row r="807" spans="9:9" ht="14.25" customHeight="1" x14ac:dyDescent="0.25">
      <c r="I807" s="40"/>
    </row>
    <row r="808" spans="9:9" ht="14.25" customHeight="1" x14ac:dyDescent="0.25">
      <c r="I808" s="40"/>
    </row>
    <row r="809" spans="9:9" ht="14.25" customHeight="1" x14ac:dyDescent="0.25">
      <c r="I809" s="40"/>
    </row>
    <row r="810" spans="9:9" ht="14.25" customHeight="1" x14ac:dyDescent="0.25">
      <c r="I810" s="40"/>
    </row>
    <row r="811" spans="9:9" ht="14.25" customHeight="1" x14ac:dyDescent="0.25">
      <c r="I811" s="40"/>
    </row>
    <row r="812" spans="9:9" ht="14.25" customHeight="1" x14ac:dyDescent="0.25">
      <c r="I812" s="40"/>
    </row>
    <row r="813" spans="9:9" ht="14.25" customHeight="1" x14ac:dyDescent="0.25">
      <c r="I813" s="40"/>
    </row>
    <row r="814" spans="9:9" ht="14.25" customHeight="1" x14ac:dyDescent="0.25">
      <c r="I814" s="40"/>
    </row>
    <row r="815" spans="9:9" ht="14.25" customHeight="1" x14ac:dyDescent="0.25">
      <c r="I815" s="40"/>
    </row>
    <row r="816" spans="9:9" ht="14.25" customHeight="1" x14ac:dyDescent="0.25">
      <c r="I816" s="40"/>
    </row>
    <row r="817" spans="9:9" ht="14.25" customHeight="1" x14ac:dyDescent="0.25">
      <c r="I817" s="40"/>
    </row>
    <row r="818" spans="9:9" ht="14.25" customHeight="1" x14ac:dyDescent="0.25">
      <c r="I818" s="40"/>
    </row>
    <row r="819" spans="9:9" ht="14.25" customHeight="1" x14ac:dyDescent="0.25">
      <c r="I819" s="40"/>
    </row>
    <row r="820" spans="9:9" ht="14.25" customHeight="1" x14ac:dyDescent="0.25">
      <c r="I820" s="40"/>
    </row>
    <row r="821" spans="9:9" ht="14.25" customHeight="1" x14ac:dyDescent="0.25">
      <c r="I821" s="40"/>
    </row>
    <row r="822" spans="9:9" ht="14.25" customHeight="1" x14ac:dyDescent="0.25">
      <c r="I822" s="40"/>
    </row>
    <row r="823" spans="9:9" ht="14.25" customHeight="1" x14ac:dyDescent="0.25">
      <c r="I823" s="40"/>
    </row>
    <row r="824" spans="9:9" ht="14.25" customHeight="1" x14ac:dyDescent="0.25">
      <c r="I824" s="40"/>
    </row>
    <row r="825" spans="9:9" ht="14.25" customHeight="1" x14ac:dyDescent="0.25">
      <c r="I825" s="40"/>
    </row>
    <row r="826" spans="9:9" ht="14.25" customHeight="1" x14ac:dyDescent="0.25">
      <c r="I826" s="40"/>
    </row>
    <row r="827" spans="9:9" ht="14.25" customHeight="1" x14ac:dyDescent="0.25">
      <c r="I827" s="40"/>
    </row>
    <row r="828" spans="9:9" ht="14.25" customHeight="1" x14ac:dyDescent="0.25">
      <c r="I828" s="40"/>
    </row>
    <row r="829" spans="9:9" ht="14.25" customHeight="1" x14ac:dyDescent="0.25">
      <c r="I829" s="40"/>
    </row>
    <row r="830" spans="9:9" ht="14.25" customHeight="1" x14ac:dyDescent="0.25">
      <c r="I830" s="40"/>
    </row>
    <row r="831" spans="9:9" ht="14.25" customHeight="1" x14ac:dyDescent="0.25">
      <c r="I831" s="40"/>
    </row>
    <row r="832" spans="9:9" ht="14.25" customHeight="1" x14ac:dyDescent="0.25">
      <c r="I832" s="40"/>
    </row>
    <row r="833" spans="9:9" ht="14.25" customHeight="1" x14ac:dyDescent="0.25">
      <c r="I833" s="40"/>
    </row>
    <row r="834" spans="9:9" ht="14.25" customHeight="1" x14ac:dyDescent="0.25">
      <c r="I834" s="40"/>
    </row>
    <row r="835" spans="9:9" ht="14.25" customHeight="1" x14ac:dyDescent="0.25">
      <c r="I835" s="40"/>
    </row>
    <row r="836" spans="9:9" ht="14.25" customHeight="1" x14ac:dyDescent="0.25">
      <c r="I836" s="40"/>
    </row>
    <row r="837" spans="9:9" ht="14.25" customHeight="1" x14ac:dyDescent="0.25">
      <c r="I837" s="40"/>
    </row>
    <row r="838" spans="9:9" ht="14.25" customHeight="1" x14ac:dyDescent="0.25">
      <c r="I838" s="40"/>
    </row>
    <row r="839" spans="9:9" ht="14.25" customHeight="1" x14ac:dyDescent="0.25">
      <c r="I839" s="40"/>
    </row>
    <row r="840" spans="9:9" ht="14.25" customHeight="1" x14ac:dyDescent="0.25">
      <c r="I840" s="40"/>
    </row>
    <row r="841" spans="9:9" ht="14.25" customHeight="1" x14ac:dyDescent="0.25">
      <c r="I841" s="40"/>
    </row>
    <row r="842" spans="9:9" ht="14.25" customHeight="1" x14ac:dyDescent="0.25">
      <c r="I842" s="40"/>
    </row>
    <row r="843" spans="9:9" ht="14.25" customHeight="1" x14ac:dyDescent="0.25">
      <c r="I843" s="40"/>
    </row>
    <row r="844" spans="9:9" ht="14.25" customHeight="1" x14ac:dyDescent="0.25">
      <c r="I844" s="40"/>
    </row>
    <row r="845" spans="9:9" ht="14.25" customHeight="1" x14ac:dyDescent="0.25">
      <c r="I845" s="40"/>
    </row>
    <row r="846" spans="9:9" ht="14.25" customHeight="1" x14ac:dyDescent="0.25">
      <c r="I846" s="40"/>
    </row>
    <row r="847" spans="9:9" ht="14.25" customHeight="1" x14ac:dyDescent="0.25">
      <c r="I847" s="40"/>
    </row>
    <row r="848" spans="9:9" ht="14.25" customHeight="1" x14ac:dyDescent="0.25">
      <c r="I848" s="40"/>
    </row>
    <row r="849" spans="9:9" ht="14.25" customHeight="1" x14ac:dyDescent="0.25">
      <c r="I849" s="40"/>
    </row>
    <row r="850" spans="9:9" ht="14.25" customHeight="1" x14ac:dyDescent="0.25">
      <c r="I850" s="40"/>
    </row>
    <row r="851" spans="9:9" ht="14.25" customHeight="1" x14ac:dyDescent="0.25">
      <c r="I851" s="40"/>
    </row>
    <row r="852" spans="9:9" ht="14.25" customHeight="1" x14ac:dyDescent="0.25">
      <c r="I852" s="40"/>
    </row>
    <row r="853" spans="9:9" ht="14.25" customHeight="1" x14ac:dyDescent="0.25">
      <c r="I853" s="40"/>
    </row>
    <row r="854" spans="9:9" ht="14.25" customHeight="1" x14ac:dyDescent="0.25">
      <c r="I854" s="40"/>
    </row>
    <row r="855" spans="9:9" ht="14.25" customHeight="1" x14ac:dyDescent="0.25">
      <c r="I855" s="40"/>
    </row>
    <row r="856" spans="9:9" ht="14.25" customHeight="1" x14ac:dyDescent="0.25">
      <c r="I856" s="40"/>
    </row>
    <row r="857" spans="9:9" ht="14.25" customHeight="1" x14ac:dyDescent="0.25">
      <c r="I857" s="40"/>
    </row>
    <row r="858" spans="9:9" ht="14.25" customHeight="1" x14ac:dyDescent="0.25">
      <c r="I858" s="40"/>
    </row>
    <row r="859" spans="9:9" ht="14.25" customHeight="1" x14ac:dyDescent="0.25">
      <c r="I859" s="40"/>
    </row>
    <row r="860" spans="9:9" ht="14.25" customHeight="1" x14ac:dyDescent="0.25">
      <c r="I860" s="40"/>
    </row>
    <row r="861" spans="9:9" ht="14.25" customHeight="1" x14ac:dyDescent="0.25">
      <c r="I861" s="40"/>
    </row>
    <row r="862" spans="9:9" ht="14.25" customHeight="1" x14ac:dyDescent="0.25">
      <c r="I862" s="40"/>
    </row>
    <row r="863" spans="9:9" ht="14.25" customHeight="1" x14ac:dyDescent="0.25">
      <c r="I863" s="40"/>
    </row>
    <row r="864" spans="9:9" ht="14.25" customHeight="1" x14ac:dyDescent="0.25">
      <c r="I864" s="40"/>
    </row>
    <row r="865" spans="9:9" ht="14.25" customHeight="1" x14ac:dyDescent="0.25">
      <c r="I865" s="40"/>
    </row>
    <row r="866" spans="9:9" ht="14.25" customHeight="1" x14ac:dyDescent="0.25">
      <c r="I866" s="40"/>
    </row>
    <row r="867" spans="9:9" ht="14.25" customHeight="1" x14ac:dyDescent="0.25">
      <c r="I867" s="40"/>
    </row>
    <row r="868" spans="9:9" ht="14.25" customHeight="1" x14ac:dyDescent="0.25">
      <c r="I868" s="40"/>
    </row>
    <row r="869" spans="9:9" ht="14.25" customHeight="1" x14ac:dyDescent="0.25">
      <c r="I869" s="40"/>
    </row>
    <row r="870" spans="9:9" ht="14.25" customHeight="1" x14ac:dyDescent="0.25">
      <c r="I870" s="40"/>
    </row>
    <row r="871" spans="9:9" ht="14.25" customHeight="1" x14ac:dyDescent="0.25">
      <c r="I871" s="40"/>
    </row>
    <row r="872" spans="9:9" ht="14.25" customHeight="1" x14ac:dyDescent="0.25">
      <c r="I872" s="40"/>
    </row>
    <row r="873" spans="9:9" ht="14.25" customHeight="1" x14ac:dyDescent="0.25">
      <c r="I873" s="40"/>
    </row>
    <row r="874" spans="9:9" ht="14.25" customHeight="1" x14ac:dyDescent="0.25">
      <c r="I874" s="40"/>
    </row>
    <row r="875" spans="9:9" ht="14.25" customHeight="1" x14ac:dyDescent="0.25">
      <c r="I875" s="40"/>
    </row>
    <row r="876" spans="9:9" ht="14.25" customHeight="1" x14ac:dyDescent="0.25">
      <c r="I876" s="40"/>
    </row>
    <row r="877" spans="9:9" ht="14.25" customHeight="1" x14ac:dyDescent="0.25">
      <c r="I877" s="40"/>
    </row>
    <row r="878" spans="9:9" ht="14.25" customHeight="1" x14ac:dyDescent="0.25">
      <c r="I878" s="40"/>
    </row>
    <row r="879" spans="9:9" ht="14.25" customHeight="1" x14ac:dyDescent="0.25">
      <c r="I879" s="40"/>
    </row>
    <row r="880" spans="9:9" ht="14.25" customHeight="1" x14ac:dyDescent="0.25">
      <c r="I880" s="40"/>
    </row>
    <row r="881" spans="9:9" ht="14.25" customHeight="1" x14ac:dyDescent="0.25">
      <c r="I881" s="40"/>
    </row>
    <row r="882" spans="9:9" ht="14.25" customHeight="1" x14ac:dyDescent="0.25">
      <c r="I882" s="40"/>
    </row>
    <row r="883" spans="9:9" ht="14.25" customHeight="1" x14ac:dyDescent="0.25">
      <c r="I883" s="40"/>
    </row>
    <row r="884" spans="9:9" ht="14.25" customHeight="1" x14ac:dyDescent="0.25">
      <c r="I884" s="40"/>
    </row>
    <row r="885" spans="9:9" ht="14.25" customHeight="1" x14ac:dyDescent="0.25">
      <c r="I885" s="40"/>
    </row>
    <row r="886" spans="9:9" ht="14.25" customHeight="1" x14ac:dyDescent="0.25">
      <c r="I886" s="40"/>
    </row>
    <row r="887" spans="9:9" ht="14.25" customHeight="1" x14ac:dyDescent="0.25">
      <c r="I887" s="40"/>
    </row>
    <row r="888" spans="9:9" ht="14.25" customHeight="1" x14ac:dyDescent="0.25">
      <c r="I888" s="40"/>
    </row>
    <row r="889" spans="9:9" ht="14.25" customHeight="1" x14ac:dyDescent="0.25">
      <c r="I889" s="40"/>
    </row>
    <row r="890" spans="9:9" ht="14.25" customHeight="1" x14ac:dyDescent="0.25">
      <c r="I890" s="40"/>
    </row>
    <row r="891" spans="9:9" ht="14.25" customHeight="1" x14ac:dyDescent="0.25">
      <c r="I891" s="40"/>
    </row>
    <row r="892" spans="9:9" ht="14.25" customHeight="1" x14ac:dyDescent="0.25">
      <c r="I892" s="40"/>
    </row>
    <row r="893" spans="9:9" ht="14.25" customHeight="1" x14ac:dyDescent="0.25">
      <c r="I893" s="40"/>
    </row>
    <row r="894" spans="9:9" ht="14.25" customHeight="1" x14ac:dyDescent="0.25">
      <c r="I894" s="40"/>
    </row>
    <row r="895" spans="9:9" ht="14.25" customHeight="1" x14ac:dyDescent="0.25">
      <c r="I895" s="40"/>
    </row>
    <row r="896" spans="9:9" ht="14.25" customHeight="1" x14ac:dyDescent="0.25">
      <c r="I896" s="40"/>
    </row>
    <row r="897" spans="9:9" ht="14.25" customHeight="1" x14ac:dyDescent="0.25">
      <c r="I897" s="40"/>
    </row>
    <row r="898" spans="9:9" ht="14.25" customHeight="1" x14ac:dyDescent="0.25">
      <c r="I898" s="40"/>
    </row>
    <row r="899" spans="9:9" ht="14.25" customHeight="1" x14ac:dyDescent="0.25">
      <c r="I899" s="40"/>
    </row>
    <row r="900" spans="9:9" ht="14.25" customHeight="1" x14ac:dyDescent="0.25">
      <c r="I900" s="40"/>
    </row>
    <row r="901" spans="9:9" ht="14.25" customHeight="1" x14ac:dyDescent="0.25">
      <c r="I901" s="40"/>
    </row>
    <row r="902" spans="9:9" ht="14.25" customHeight="1" x14ac:dyDescent="0.25">
      <c r="I902" s="40"/>
    </row>
    <row r="903" spans="9:9" ht="14.25" customHeight="1" x14ac:dyDescent="0.25">
      <c r="I903" s="40"/>
    </row>
    <row r="904" spans="9:9" ht="14.25" customHeight="1" x14ac:dyDescent="0.25">
      <c r="I904" s="40"/>
    </row>
    <row r="905" spans="9:9" ht="14.25" customHeight="1" x14ac:dyDescent="0.25">
      <c r="I905" s="40"/>
    </row>
    <row r="906" spans="9:9" ht="14.25" customHeight="1" x14ac:dyDescent="0.25">
      <c r="I906" s="40"/>
    </row>
    <row r="907" spans="9:9" ht="14.25" customHeight="1" x14ac:dyDescent="0.25">
      <c r="I907" s="40"/>
    </row>
    <row r="908" spans="9:9" ht="14.25" customHeight="1" x14ac:dyDescent="0.25">
      <c r="I908" s="40"/>
    </row>
    <row r="909" spans="9:9" ht="14.25" customHeight="1" x14ac:dyDescent="0.25">
      <c r="I909" s="40"/>
    </row>
    <row r="910" spans="9:9" ht="14.25" customHeight="1" x14ac:dyDescent="0.25">
      <c r="I910" s="40"/>
    </row>
    <row r="911" spans="9:9" ht="14.25" customHeight="1" x14ac:dyDescent="0.25">
      <c r="I911" s="40"/>
    </row>
    <row r="912" spans="9:9" ht="14.25" customHeight="1" x14ac:dyDescent="0.25">
      <c r="I912" s="40"/>
    </row>
    <row r="913" spans="9:9" ht="14.25" customHeight="1" x14ac:dyDescent="0.25">
      <c r="I913" s="40"/>
    </row>
    <row r="914" spans="9:9" ht="14.25" customHeight="1" x14ac:dyDescent="0.25">
      <c r="I914" s="40"/>
    </row>
    <row r="915" spans="9:9" ht="14.25" customHeight="1" x14ac:dyDescent="0.25">
      <c r="I915" s="40"/>
    </row>
    <row r="916" spans="9:9" ht="14.25" customHeight="1" x14ac:dyDescent="0.25">
      <c r="I916" s="40"/>
    </row>
    <row r="917" spans="9:9" ht="14.25" customHeight="1" x14ac:dyDescent="0.25">
      <c r="I917" s="40"/>
    </row>
    <row r="918" spans="9:9" ht="14.25" customHeight="1" x14ac:dyDescent="0.25">
      <c r="I918" s="40"/>
    </row>
    <row r="919" spans="9:9" ht="14.25" customHeight="1" x14ac:dyDescent="0.25">
      <c r="I919" s="40"/>
    </row>
    <row r="920" spans="9:9" ht="14.25" customHeight="1" x14ac:dyDescent="0.25">
      <c r="I920" s="40"/>
    </row>
    <row r="921" spans="9:9" ht="14.25" customHeight="1" x14ac:dyDescent="0.25">
      <c r="I921" s="40"/>
    </row>
    <row r="922" spans="9:9" ht="14.25" customHeight="1" x14ac:dyDescent="0.25">
      <c r="I922" s="40"/>
    </row>
    <row r="923" spans="9:9" ht="14.25" customHeight="1" x14ac:dyDescent="0.25">
      <c r="I923" s="40"/>
    </row>
    <row r="924" spans="9:9" ht="14.25" customHeight="1" x14ac:dyDescent="0.25">
      <c r="I924" s="40"/>
    </row>
    <row r="925" spans="9:9" ht="14.25" customHeight="1" x14ac:dyDescent="0.25">
      <c r="I925" s="40"/>
    </row>
    <row r="926" spans="9:9" ht="14.25" customHeight="1" x14ac:dyDescent="0.25">
      <c r="I926" s="40"/>
    </row>
    <row r="927" spans="9:9" ht="14.25" customHeight="1" x14ac:dyDescent="0.25">
      <c r="I927" s="40"/>
    </row>
    <row r="928" spans="9:9" ht="14.25" customHeight="1" x14ac:dyDescent="0.25">
      <c r="I928" s="40"/>
    </row>
    <row r="929" spans="9:9" ht="14.25" customHeight="1" x14ac:dyDescent="0.25">
      <c r="I929" s="40"/>
    </row>
    <row r="930" spans="9:9" ht="14.25" customHeight="1" x14ac:dyDescent="0.25">
      <c r="I930" s="40"/>
    </row>
    <row r="931" spans="9:9" ht="14.25" customHeight="1" x14ac:dyDescent="0.25">
      <c r="I931" s="40"/>
    </row>
    <row r="932" spans="9:9" ht="14.25" customHeight="1" x14ac:dyDescent="0.25">
      <c r="I932" s="40"/>
    </row>
    <row r="933" spans="9:9" ht="14.25" customHeight="1" x14ac:dyDescent="0.25">
      <c r="I933" s="40"/>
    </row>
    <row r="934" spans="9:9" ht="14.25" customHeight="1" x14ac:dyDescent="0.25">
      <c r="I934" s="40"/>
    </row>
    <row r="935" spans="9:9" ht="14.25" customHeight="1" x14ac:dyDescent="0.25">
      <c r="I935" s="40"/>
    </row>
    <row r="936" spans="9:9" ht="14.25" customHeight="1" x14ac:dyDescent="0.25">
      <c r="I936" s="40"/>
    </row>
    <row r="937" spans="9:9" ht="14.25" customHeight="1" x14ac:dyDescent="0.25">
      <c r="I937" s="40"/>
    </row>
    <row r="938" spans="9:9" ht="14.25" customHeight="1" x14ac:dyDescent="0.25">
      <c r="I938" s="40"/>
    </row>
    <row r="939" spans="9:9" ht="14.25" customHeight="1" x14ac:dyDescent="0.25">
      <c r="I939" s="40"/>
    </row>
    <row r="940" spans="9:9" ht="14.25" customHeight="1" x14ac:dyDescent="0.25">
      <c r="I940" s="40"/>
    </row>
    <row r="941" spans="9:9" ht="14.25" customHeight="1" x14ac:dyDescent="0.25">
      <c r="I941" s="40"/>
    </row>
    <row r="942" spans="9:9" ht="14.25" customHeight="1" x14ac:dyDescent="0.25">
      <c r="I942" s="40"/>
    </row>
    <row r="943" spans="9:9" ht="14.25" customHeight="1" x14ac:dyDescent="0.25">
      <c r="I943" s="40"/>
    </row>
    <row r="944" spans="9:9" ht="14.25" customHeight="1" x14ac:dyDescent="0.25">
      <c r="I944" s="40"/>
    </row>
    <row r="945" spans="9:9" ht="14.25" customHeight="1" x14ac:dyDescent="0.25">
      <c r="I945" s="40"/>
    </row>
    <row r="946" spans="9:9" ht="14.25" customHeight="1" x14ac:dyDescent="0.25">
      <c r="I946" s="40"/>
    </row>
    <row r="947" spans="9:9" ht="14.25" customHeight="1" x14ac:dyDescent="0.25">
      <c r="I947" s="40"/>
    </row>
    <row r="948" spans="9:9" ht="14.25" customHeight="1" x14ac:dyDescent="0.25">
      <c r="I948" s="40"/>
    </row>
    <row r="949" spans="9:9" ht="14.25" customHeight="1" x14ac:dyDescent="0.25">
      <c r="I949" s="40"/>
    </row>
    <row r="950" spans="9:9" ht="14.25" customHeight="1" x14ac:dyDescent="0.25">
      <c r="I950" s="40"/>
    </row>
    <row r="951" spans="9:9" ht="14.25" customHeight="1" x14ac:dyDescent="0.25">
      <c r="I951" s="40"/>
    </row>
    <row r="952" spans="9:9" ht="14.25" customHeight="1" x14ac:dyDescent="0.25">
      <c r="I952" s="40"/>
    </row>
    <row r="953" spans="9:9" ht="14.25" customHeight="1" x14ac:dyDescent="0.25">
      <c r="I953" s="40"/>
    </row>
    <row r="954" spans="9:9" ht="14.25" customHeight="1" x14ac:dyDescent="0.25">
      <c r="I954" s="40"/>
    </row>
    <row r="955" spans="9:9" ht="14.25" customHeight="1" x14ac:dyDescent="0.25">
      <c r="I955" s="40"/>
    </row>
    <row r="956" spans="9:9" ht="14.25" customHeight="1" x14ac:dyDescent="0.25">
      <c r="I956" s="40"/>
    </row>
    <row r="957" spans="9:9" ht="14.25" customHeight="1" x14ac:dyDescent="0.25">
      <c r="I957" s="40"/>
    </row>
    <row r="958" spans="9:9" ht="14.25" customHeight="1" x14ac:dyDescent="0.25">
      <c r="I958" s="40"/>
    </row>
    <row r="959" spans="9:9" ht="14.25" customHeight="1" x14ac:dyDescent="0.25">
      <c r="I959" s="40"/>
    </row>
    <row r="960" spans="9:9" ht="14.25" customHeight="1" x14ac:dyDescent="0.25">
      <c r="I960" s="40"/>
    </row>
    <row r="961" spans="9:9" ht="14.25" customHeight="1" x14ac:dyDescent="0.25">
      <c r="I961" s="40"/>
    </row>
    <row r="962" spans="9:9" ht="14.25" customHeight="1" x14ac:dyDescent="0.25">
      <c r="I962" s="40"/>
    </row>
    <row r="963" spans="9:9" ht="14.25" customHeight="1" x14ac:dyDescent="0.25">
      <c r="I963" s="40"/>
    </row>
    <row r="964" spans="9:9" ht="14.25" customHeight="1" x14ac:dyDescent="0.25">
      <c r="I964" s="40"/>
    </row>
    <row r="965" spans="9:9" ht="14.25" customHeight="1" x14ac:dyDescent="0.25">
      <c r="I965" s="40"/>
    </row>
    <row r="966" spans="9:9" ht="14.25" customHeight="1" x14ac:dyDescent="0.25">
      <c r="I966" s="40"/>
    </row>
    <row r="967" spans="9:9" ht="14.25" customHeight="1" x14ac:dyDescent="0.25">
      <c r="I967" s="40"/>
    </row>
    <row r="968" spans="9:9" ht="14.25" customHeight="1" x14ac:dyDescent="0.25">
      <c r="I968" s="40"/>
    </row>
    <row r="969" spans="9:9" ht="14.25" customHeight="1" x14ac:dyDescent="0.25">
      <c r="I969" s="40"/>
    </row>
    <row r="970" spans="9:9" ht="14.25" customHeight="1" x14ac:dyDescent="0.25">
      <c r="I970" s="40"/>
    </row>
    <row r="971" spans="9:9" ht="14.25" customHeight="1" x14ac:dyDescent="0.25">
      <c r="I971" s="40"/>
    </row>
    <row r="972" spans="9:9" ht="14.25" customHeight="1" x14ac:dyDescent="0.25">
      <c r="I972" s="40"/>
    </row>
    <row r="973" spans="9:9" ht="14.25" customHeight="1" x14ac:dyDescent="0.25">
      <c r="I973" s="40"/>
    </row>
    <row r="974" spans="9:9" ht="14.25" customHeight="1" x14ac:dyDescent="0.25">
      <c r="I974" s="40"/>
    </row>
    <row r="975" spans="9:9" ht="14.25" customHeight="1" x14ac:dyDescent="0.25">
      <c r="I975" s="40"/>
    </row>
    <row r="976" spans="9:9" ht="14.25" customHeight="1" x14ac:dyDescent="0.25">
      <c r="I976" s="40"/>
    </row>
    <row r="977" spans="9:9" ht="14.25" customHeight="1" x14ac:dyDescent="0.25">
      <c r="I977" s="40"/>
    </row>
    <row r="978" spans="9:9" ht="14.25" customHeight="1" x14ac:dyDescent="0.25">
      <c r="I978" s="40"/>
    </row>
    <row r="979" spans="9:9" ht="14.25" customHeight="1" x14ac:dyDescent="0.25">
      <c r="I979" s="40"/>
    </row>
    <row r="980" spans="9:9" ht="14.25" customHeight="1" x14ac:dyDescent="0.25">
      <c r="I980" s="40"/>
    </row>
    <row r="981" spans="9:9" ht="14.25" customHeight="1" x14ac:dyDescent="0.25">
      <c r="I981" s="40"/>
    </row>
    <row r="982" spans="9:9" ht="14.25" customHeight="1" x14ac:dyDescent="0.25">
      <c r="I982" s="40"/>
    </row>
    <row r="983" spans="9:9" ht="14.25" customHeight="1" x14ac:dyDescent="0.25">
      <c r="I983" s="40"/>
    </row>
    <row r="984" spans="9:9" ht="14.25" customHeight="1" x14ac:dyDescent="0.25">
      <c r="I984" s="40"/>
    </row>
    <row r="985" spans="9:9" ht="14.25" customHeight="1" x14ac:dyDescent="0.25">
      <c r="I985" s="40"/>
    </row>
    <row r="986" spans="9:9" ht="14.25" customHeight="1" x14ac:dyDescent="0.25">
      <c r="I986" s="40"/>
    </row>
    <row r="987" spans="9:9" ht="14.25" customHeight="1" x14ac:dyDescent="0.25">
      <c r="I987" s="40"/>
    </row>
    <row r="988" spans="9:9" ht="14.25" customHeight="1" x14ac:dyDescent="0.25">
      <c r="I988" s="40"/>
    </row>
    <row r="989" spans="9:9" ht="14.25" customHeight="1" x14ac:dyDescent="0.25">
      <c r="I989" s="40"/>
    </row>
  </sheetData>
  <mergeCells count="5">
    <mergeCell ref="A1:A2"/>
    <mergeCell ref="B1:C1"/>
    <mergeCell ref="F1:G1"/>
    <mergeCell ref="D1:E1"/>
    <mergeCell ref="H1:I1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000"/>
  <sheetViews>
    <sheetView workbookViewId="0">
      <selection activeCell="A11" sqref="A11:XFD11"/>
    </sheetView>
  </sheetViews>
  <sheetFormatPr defaultColWidth="14.42578125" defaultRowHeight="15" customHeight="1" x14ac:dyDescent="0.25"/>
  <cols>
    <col min="1" max="1" width="8.7109375" customWidth="1"/>
    <col min="2" max="2" width="66.140625" customWidth="1"/>
    <col min="3" max="3" width="16.85546875" customWidth="1"/>
    <col min="4" max="4" width="24" customWidth="1"/>
    <col min="5" max="5" width="18.85546875" customWidth="1"/>
    <col min="6" max="18" width="20.42578125" customWidth="1"/>
    <col min="19" max="19" width="9.5703125" customWidth="1"/>
    <col min="20" max="21" width="17" customWidth="1"/>
    <col min="22" max="36" width="8.7109375" customWidth="1"/>
  </cols>
  <sheetData>
    <row r="1" spans="2:22" ht="13.7" customHeight="1" x14ac:dyDescent="0.25">
      <c r="T1" s="40"/>
      <c r="U1" s="40"/>
    </row>
    <row r="2" spans="2:22" ht="13.7" customHeight="1" thickBot="1" x14ac:dyDescent="0.3">
      <c r="T2" s="40"/>
      <c r="U2" s="40"/>
    </row>
    <row r="3" spans="2:22" ht="13.7" customHeight="1" x14ac:dyDescent="0.25">
      <c r="C3" s="41" t="s">
        <v>39</v>
      </c>
      <c r="D3" s="42">
        <v>44896</v>
      </c>
      <c r="E3" s="41" t="s">
        <v>39</v>
      </c>
      <c r="F3" s="42">
        <v>45108</v>
      </c>
      <c r="G3" s="41" t="s">
        <v>39</v>
      </c>
      <c r="H3" s="42">
        <v>45383</v>
      </c>
      <c r="I3" s="41" t="s">
        <v>39</v>
      </c>
      <c r="J3" s="42">
        <v>45444</v>
      </c>
      <c r="K3" s="41" t="s">
        <v>39</v>
      </c>
      <c r="L3" s="42">
        <v>45139</v>
      </c>
      <c r="M3" s="41" t="s">
        <v>39</v>
      </c>
      <c r="N3" s="42">
        <v>45839</v>
      </c>
      <c r="O3" s="41" t="s">
        <v>39</v>
      </c>
      <c r="P3" s="42">
        <v>44805</v>
      </c>
      <c r="Q3" s="41" t="s">
        <v>39</v>
      </c>
      <c r="R3" s="42">
        <v>45748</v>
      </c>
      <c r="T3" s="40"/>
      <c r="U3" s="40"/>
    </row>
    <row r="4" spans="2:22" ht="13.7" customHeight="1" thickBot="1" x14ac:dyDescent="0.3">
      <c r="C4" s="43" t="s">
        <v>40</v>
      </c>
      <c r="D4" s="44">
        <v>2651.17</v>
      </c>
      <c r="E4" s="43" t="s">
        <v>40</v>
      </c>
      <c r="F4" s="44">
        <v>2747.9</v>
      </c>
      <c r="G4" s="43" t="s">
        <v>40</v>
      </c>
      <c r="H4" s="44">
        <v>2757.56</v>
      </c>
      <c r="I4" s="43" t="s">
        <v>40</v>
      </c>
      <c r="J4" s="44">
        <v>2793.27</v>
      </c>
      <c r="K4" s="43" t="s">
        <v>40</v>
      </c>
      <c r="L4" s="44">
        <v>2750.52</v>
      </c>
      <c r="M4" s="43" t="s">
        <v>40</v>
      </c>
      <c r="N4" s="44">
        <v>2965.54</v>
      </c>
      <c r="O4" s="43" t="s">
        <v>40</v>
      </c>
      <c r="P4" s="44">
        <v>2623.42</v>
      </c>
      <c r="Q4" s="43" t="s">
        <v>40</v>
      </c>
      <c r="R4" s="44">
        <v>2916.12</v>
      </c>
      <c r="T4" s="40"/>
      <c r="U4" s="40"/>
    </row>
    <row r="5" spans="2:22" ht="13.7" customHeight="1" thickBot="1" x14ac:dyDescent="0.3">
      <c r="T5" s="40"/>
      <c r="U5" s="40"/>
    </row>
    <row r="6" spans="2:22" ht="18.75" customHeight="1" thickBot="1" x14ac:dyDescent="0.3">
      <c r="B6" s="45"/>
      <c r="C6" s="79" t="s">
        <v>41</v>
      </c>
      <c r="D6" s="80"/>
      <c r="E6" s="79" t="s">
        <v>42</v>
      </c>
      <c r="F6" s="81"/>
      <c r="G6" s="79" t="s">
        <v>43</v>
      </c>
      <c r="H6" s="80"/>
      <c r="I6" s="79" t="s">
        <v>55</v>
      </c>
      <c r="J6" s="81"/>
      <c r="K6" s="79" t="s">
        <v>54</v>
      </c>
      <c r="L6" s="81"/>
      <c r="M6" s="79" t="s">
        <v>53</v>
      </c>
      <c r="N6" s="80"/>
      <c r="O6" s="79" t="s">
        <v>57</v>
      </c>
      <c r="P6" s="80"/>
      <c r="Q6" s="79" t="s">
        <v>61</v>
      </c>
      <c r="R6" s="80"/>
      <c r="T6" s="82" t="s">
        <v>44</v>
      </c>
      <c r="U6" s="83"/>
    </row>
    <row r="7" spans="2:22" ht="18.75" customHeight="1" thickBot="1" x14ac:dyDescent="0.3">
      <c r="B7" s="45"/>
      <c r="C7" s="46" t="s">
        <v>45</v>
      </c>
      <c r="D7" s="47" t="s">
        <v>46</v>
      </c>
      <c r="E7" s="47" t="s">
        <v>45</v>
      </c>
      <c r="F7" s="47" t="s">
        <v>46</v>
      </c>
      <c r="G7" s="47" t="s">
        <v>45</v>
      </c>
      <c r="H7" s="47" t="s">
        <v>46</v>
      </c>
      <c r="I7" s="47" t="s">
        <v>45</v>
      </c>
      <c r="J7" s="47" t="s">
        <v>46</v>
      </c>
      <c r="K7" s="47" t="s">
        <v>45</v>
      </c>
      <c r="L7" s="47" t="s">
        <v>46</v>
      </c>
      <c r="M7" s="47" t="s">
        <v>45</v>
      </c>
      <c r="N7" s="47" t="s">
        <v>46</v>
      </c>
      <c r="O7" s="47" t="s">
        <v>45</v>
      </c>
      <c r="P7" s="47" t="s">
        <v>46</v>
      </c>
      <c r="Q7" s="47" t="s">
        <v>45</v>
      </c>
      <c r="R7" s="47" t="s">
        <v>46</v>
      </c>
      <c r="T7" s="48" t="s">
        <v>47</v>
      </c>
      <c r="U7" s="48" t="s">
        <v>48</v>
      </c>
    </row>
    <row r="8" spans="2:22" ht="18.75" customHeight="1" thickBot="1" x14ac:dyDescent="0.6">
      <c r="B8" s="49" t="s">
        <v>49</v>
      </c>
      <c r="C8" s="61">
        <v>1198.23</v>
      </c>
      <c r="D8" s="62">
        <f>ORÇAMENTO_EXECUTIVO!$B$8/CÁLCULO_MÉDIAS!D$4*C8</f>
        <v>1359.8835054711692</v>
      </c>
      <c r="E8" s="63">
        <v>419.37</v>
      </c>
      <c r="F8" s="62">
        <f>ORÇAMENTO_EXECUTIVO!$B$8/CÁLCULO_MÉDIAS!F$4*E8</f>
        <v>459.19328607300122</v>
      </c>
      <c r="G8" s="63">
        <v>336.4</v>
      </c>
      <c r="H8" s="64">
        <f>ORÇAMENTO_EXECUTIVO!$B$8/CÁLCULO_MÉDIAS!H$4*G8</f>
        <v>367.05412611148989</v>
      </c>
      <c r="I8" s="63">
        <v>381.86526576019776</v>
      </c>
      <c r="J8" s="64">
        <f>ORÇAMENTO_EXECUTIVO!$B$8/CÁLCULO_MÉDIAS!J$4*I8</f>
        <v>411.33563394513004</v>
      </c>
      <c r="K8" s="63">
        <v>521.70769502407381</v>
      </c>
      <c r="L8" s="64">
        <f>ORÇAMENTO_EXECUTIVO!$B$8/CÁLCULO_MÉDIAS!L$4*K8</f>
        <v>570.70480530817235</v>
      </c>
      <c r="M8" s="63">
        <v>552.08199870350893</v>
      </c>
      <c r="N8" s="64">
        <f>ORÇAMENTO_EXECUTIVO!$B$8/CÁLCULO_MÉDIAS!N$4*M8</f>
        <v>560.14297597707866</v>
      </c>
      <c r="O8" s="63">
        <v>487.93174538969282</v>
      </c>
      <c r="P8" s="64">
        <f>ORÇAMENTO_EXECUTIVO!$B$8/CÁLCULO_MÉDIAS!P$4*O8</f>
        <v>559.61628439149024</v>
      </c>
      <c r="Q8" s="63">
        <v>681.68055037735951</v>
      </c>
      <c r="R8" s="64">
        <f>ORÇAMENTO_EXECUTIVO!$B$8/CÁLCULO_MÉDIAS!R$4*Q8</f>
        <v>703.35504272712183</v>
      </c>
      <c r="S8" s="45"/>
      <c r="T8" s="50">
        <v>450</v>
      </c>
      <c r="U8" s="50">
        <v>570</v>
      </c>
    </row>
    <row r="9" spans="2:22" ht="18.75" customHeight="1" x14ac:dyDescent="0.25">
      <c r="B9" s="51" t="s">
        <v>7</v>
      </c>
      <c r="C9" s="65">
        <v>5.17</v>
      </c>
      <c r="D9" s="62">
        <f>ORÇAMENTO_EXECUTIVO!$B$8/CÁLCULO_MÉDIAS!D$4*C9</f>
        <v>5.8674859778890074</v>
      </c>
      <c r="E9" s="66">
        <v>7.37</v>
      </c>
      <c r="F9" s="62">
        <f>ORÇAMENTO_EXECUTIVO!$B$8/CÁLCULO_MÉDIAS!F$4*E9</f>
        <v>8.0698536336839037</v>
      </c>
      <c r="G9" s="66">
        <v>0</v>
      </c>
      <c r="H9" s="64">
        <f>ORÇAMENTO_EXECUTIVO!$B$8/CÁLCULO_MÉDIAS!H$4*G9</f>
        <v>0</v>
      </c>
      <c r="I9" s="66">
        <v>36.965874520453198</v>
      </c>
      <c r="J9" s="64">
        <f>ORÇAMENTO_EXECUTIVO!$B$8/CÁLCULO_MÉDIAS!J$4*I9</f>
        <v>39.818707784109804</v>
      </c>
      <c r="K9" s="66">
        <v>16.838658622789897</v>
      </c>
      <c r="L9" s="64">
        <f>ORÇAMENTO_EXECUTIVO!$B$8/CÁLCULO_MÉDIAS!L$4*K9</f>
        <v>18.42009133203727</v>
      </c>
      <c r="M9" s="66">
        <v>28.519928632834628</v>
      </c>
      <c r="N9" s="64">
        <f>ORÇAMENTO_EXECUTIVO!$B$8/CÁLCULO_MÉDIAS!N$4*M9</f>
        <v>28.936349557793232</v>
      </c>
      <c r="O9" s="66">
        <v>12.078622515582195</v>
      </c>
      <c r="P9" s="64">
        <f>ORÇAMENTO_EXECUTIVO!$B$8/CÁLCULO_MÉDIAS!P$4*O9</f>
        <v>13.853154496719675</v>
      </c>
      <c r="Q9" s="66">
        <v>30.749635602106263</v>
      </c>
      <c r="R9" s="64">
        <f>ORÇAMENTO_EXECUTIVO!$B$8/CÁLCULO_MÉDIAS!R$4*Q9</f>
        <v>31.727340982209721</v>
      </c>
      <c r="S9" s="45"/>
      <c r="T9" s="50">
        <v>35</v>
      </c>
      <c r="U9" s="50">
        <v>65</v>
      </c>
    </row>
    <row r="10" spans="2:22" ht="18.75" customHeight="1" thickBot="1" x14ac:dyDescent="0.6">
      <c r="B10" s="52" t="s">
        <v>8</v>
      </c>
      <c r="C10" s="61">
        <v>144.25</v>
      </c>
      <c r="D10" s="62">
        <f>ORÇAMENTO_EXECUTIVO!$B$8/CÁLCULO_MÉDIAS!D$4*C10</f>
        <v>163.71080315483351</v>
      </c>
      <c r="E10" s="67">
        <v>183.12</v>
      </c>
      <c r="F10" s="62">
        <f>ORÇAMENTO_EXECUTIVO!$B$8/CÁLCULO_MÉDIAS!F$4*E10</f>
        <v>200.50903628225191</v>
      </c>
      <c r="G10" s="67">
        <v>162.9</v>
      </c>
      <c r="H10" s="64">
        <f>ORÇAMENTO_EXECUTIVO!$B$8/CÁLCULO_MÉDIAS!H$4*G10</f>
        <v>177.74410565862576</v>
      </c>
      <c r="I10" s="67">
        <v>149.47175237131495</v>
      </c>
      <c r="J10" s="64">
        <f>ORÇAMENTO_EXECUTIVO!$B$8/CÁLCULO_MÉDIAS!J$4*I10</f>
        <v>161.00720209822441</v>
      </c>
      <c r="K10" s="67">
        <v>343.9846380771163</v>
      </c>
      <c r="L10" s="64">
        <f>ORÇAMENTO_EXECUTIVO!$B$8/CÁLCULO_MÉDIAS!L$4*K10</f>
        <v>376.29056994021153</v>
      </c>
      <c r="M10" s="67">
        <v>181.42356995839529</v>
      </c>
      <c r="N10" s="64">
        <f>ORÇAMENTO_EXECUTIVO!$B$8/CÁLCULO_MÉDIAS!N$4*M10</f>
        <v>184.07254470808624</v>
      </c>
      <c r="O10" s="67">
        <v>157.74779091360386</v>
      </c>
      <c r="P10" s="64">
        <f>ORÇAMENTO_EXECUTIVO!$B$8/CÁLCULO_MÉDIAS!P$4*O10</f>
        <v>180.92332269041475</v>
      </c>
      <c r="Q10" s="67">
        <v>244.62390783149522</v>
      </c>
      <c r="R10" s="64">
        <f>ORÇAMENTO_EXECUTIVO!$B$8/CÁLCULO_MÉDIAS!R$4*Q10</f>
        <v>252.40188978495951</v>
      </c>
      <c r="S10" s="45"/>
      <c r="T10" s="50">
        <f>190+160</f>
        <v>350</v>
      </c>
      <c r="U10" s="50">
        <f>250+210</f>
        <v>460</v>
      </c>
    </row>
    <row r="11" spans="2:22" ht="18.75" customHeight="1" x14ac:dyDescent="0.25">
      <c r="B11" s="51" t="s">
        <v>9</v>
      </c>
      <c r="C11" s="65">
        <v>613.07000000000005</v>
      </c>
      <c r="D11" s="62">
        <f>ORÇAMENTO_EXECUTIVO!$B$8/CÁLCULO_MÉDIAS!D$4*C11</f>
        <v>695.77942523489628</v>
      </c>
      <c r="E11" s="66">
        <v>693.61</v>
      </c>
      <c r="F11" s="62">
        <f>ORÇAMENTO_EXECUTIVO!$B$8/CÁLCULO_MÉDIAS!F$4*E11</f>
        <v>759.47505818989043</v>
      </c>
      <c r="G11" s="66">
        <v>655</v>
      </c>
      <c r="H11" s="64">
        <f>ORÇAMENTO_EXECUTIVO!$B$8/CÁLCULO_MÉDIAS!H$4*G11</f>
        <v>714.68624436095683</v>
      </c>
      <c r="I11" s="66">
        <v>702.07367408109542</v>
      </c>
      <c r="J11" s="64">
        <f>ORÇAMENTO_EXECUTIVO!$B$8/CÁLCULO_MÉDIAS!J$4*I11</f>
        <v>756.25605599249741</v>
      </c>
      <c r="K11" s="66">
        <v>475.74120274214988</v>
      </c>
      <c r="L11" s="64">
        <f>ORÇAMENTO_EXECUTIVO!$B$8/CÁLCULO_MÉDIAS!L$4*K11</f>
        <v>520.42128777783489</v>
      </c>
      <c r="M11" s="66">
        <v>615.93975720969752</v>
      </c>
      <c r="N11" s="64">
        <f>ORÇAMENTO_EXECUTIVO!$B$8/CÁLCULO_MÉDIAS!N$4*M11</f>
        <v>624.93312485511115</v>
      </c>
      <c r="O11" s="66">
        <v>578.45426097188772</v>
      </c>
      <c r="P11" s="64">
        <f>ORÇAMENTO_EXECUTIVO!$B$8/CÁLCULO_MÉDIAS!P$4*O11</f>
        <v>663.43792400098141</v>
      </c>
      <c r="Q11" s="66">
        <v>641.05175812153618</v>
      </c>
      <c r="R11" s="64">
        <f>ORÇAMENTO_EXECUTIVO!$B$8/CÁLCULO_MÉDIAS!R$4*Q11</f>
        <v>661.4344306497685</v>
      </c>
      <c r="S11" s="45"/>
      <c r="T11" s="50">
        <v>660</v>
      </c>
      <c r="U11" s="50">
        <v>760</v>
      </c>
    </row>
    <row r="12" spans="2:22" ht="18.75" customHeight="1" thickBot="1" x14ac:dyDescent="0.6">
      <c r="B12" s="52" t="s">
        <v>50</v>
      </c>
      <c r="C12" s="61">
        <v>129.07</v>
      </c>
      <c r="D12" s="62">
        <f>ORÇAMENTO_EXECUTIVO!$B$8/CÁLCULO_MÉDIAS!D$4*C12</f>
        <v>146.48286560273388</v>
      </c>
      <c r="E12" s="63">
        <v>124</v>
      </c>
      <c r="F12" s="62">
        <f>ORÇAMENTO_EXECUTIVO!$B$8/CÁLCULO_MÉDIAS!F$4*E12</f>
        <v>135.77501364678483</v>
      </c>
      <c r="G12" s="63">
        <v>122.73</v>
      </c>
      <c r="H12" s="64">
        <f>ORÇAMENTO_EXECUTIVO!$B$8/CÁLCULO_MÉDIAS!H$4*G12</f>
        <v>133.91365308461104</v>
      </c>
      <c r="I12" s="63">
        <v>138.28093757405355</v>
      </c>
      <c r="J12" s="64">
        <f>ORÇAMENTO_EXECUTIVO!$B$8/CÁLCULO_MÉDIAS!J$4*I12</f>
        <v>148.95273862187159</v>
      </c>
      <c r="K12" s="63">
        <v>115.25457653901383</v>
      </c>
      <c r="L12" s="64">
        <f>ORÇAMENTO_EXECUTIVO!$B$8/CÁLCULO_MÉDIAS!L$4*K12</f>
        <v>126.07891601357066</v>
      </c>
      <c r="M12" s="63">
        <v>171.30842967479541</v>
      </c>
      <c r="N12" s="64">
        <f>ORÇAMENTO_EXECUTIVO!$B$8/CÁLCULO_MÉDIAS!N$4*M12</f>
        <v>173.80971274800254</v>
      </c>
      <c r="O12" s="63">
        <v>112.59324679622719</v>
      </c>
      <c r="P12" s="64">
        <f>ORÇAMENTO_EXECUTIVO!$B$8/CÁLCULO_MÉDIAS!P$4*O12</f>
        <v>129.13489440896242</v>
      </c>
      <c r="Q12" s="63"/>
      <c r="R12" s="64">
        <f>ORÇAMENTO_EXECUTIVO!$B$8/CÁLCULO_MÉDIAS!R$4*Q12</f>
        <v>0</v>
      </c>
      <c r="S12" s="45"/>
      <c r="T12" s="50">
        <v>120</v>
      </c>
      <c r="U12" s="50">
        <v>135</v>
      </c>
    </row>
    <row r="13" spans="2:22" ht="18.75" customHeight="1" x14ac:dyDescent="0.25">
      <c r="B13" s="51" t="s">
        <v>10</v>
      </c>
      <c r="C13" s="65">
        <v>273.64999999999998</v>
      </c>
      <c r="D13" s="62">
        <f>ORÇAMENTO_EXECUTIVO!$B$8/CÁLCULO_MÉDIAS!D$4*C13</f>
        <v>310.56818913913474</v>
      </c>
      <c r="E13" s="66">
        <v>304.39</v>
      </c>
      <c r="F13" s="62">
        <f>ORÇAMENTO_EXECUTIVO!$B$8/CÁLCULO_MÉDIAS!F$4*E13</f>
        <v>333.29480970923248</v>
      </c>
      <c r="G13" s="66">
        <v>346.19</v>
      </c>
      <c r="H13" s="64">
        <f>ORÇAMENTO_EXECUTIVO!$B$8/CÁLCULO_MÉDIAS!H$4*G13</f>
        <v>377.73623043560252</v>
      </c>
      <c r="I13" s="66">
        <v>309.87917982284796</v>
      </c>
      <c r="J13" s="64">
        <f>ORÇAMENTO_EXECUTIVO!$B$8/CÁLCULO_MÉDIAS!J$4*I13</f>
        <v>333.79403760401891</v>
      </c>
      <c r="K13" s="66">
        <v>302.3499799655898</v>
      </c>
      <c r="L13" s="64">
        <f>ORÇAMENTO_EXECUTIVO!$B$8/CÁLCULO_MÉDIAS!L$4*K13</f>
        <v>330.74571852582972</v>
      </c>
      <c r="M13" s="66">
        <v>393.81</v>
      </c>
      <c r="N13" s="64">
        <f>ORÇAMENTO_EXECUTIVO!$B$8/CÁLCULO_MÉDIAS!N$4*M13</f>
        <v>399.5600397903923</v>
      </c>
      <c r="O13" s="66">
        <v>240.74096600415527</v>
      </c>
      <c r="P13" s="64">
        <f>ORÇAMENTO_EXECUTIVO!$B$8/CÁLCULO_MÉDIAS!P$4*O13</f>
        <v>276.10944803041167</v>
      </c>
      <c r="Q13" s="66"/>
      <c r="R13" s="64">
        <f>ORÇAMENTO_EXECUTIVO!$B$8/CÁLCULO_MÉDIAS!R$4*Q13</f>
        <v>0</v>
      </c>
      <c r="S13" s="45"/>
      <c r="T13" s="50">
        <v>270</v>
      </c>
      <c r="U13" s="50">
        <v>365</v>
      </c>
      <c r="V13" s="45"/>
    </row>
    <row r="14" spans="2:22" ht="18.75" customHeight="1" thickBot="1" x14ac:dyDescent="0.6">
      <c r="B14" s="52" t="s">
        <v>11</v>
      </c>
      <c r="C14" s="61">
        <v>131.86000000000001</v>
      </c>
      <c r="D14" s="62">
        <f>ORÇAMENTO_EXECUTIVO!$B$8/CÁLCULO_MÉDIAS!D$4*C14</f>
        <v>149.64926519234905</v>
      </c>
      <c r="E14" s="63">
        <v>149.47</v>
      </c>
      <c r="F14" s="62">
        <f>ORÇAMENTO_EXECUTIVO!$B$8/CÁLCULO_MÉDIAS!F$4*E14</f>
        <v>163.66363943374941</v>
      </c>
      <c r="G14" s="63">
        <v>163.30000000000001</v>
      </c>
      <c r="H14" s="64">
        <f>ORÇAMENTO_EXECUTIVO!$B$8/CÁLCULO_MÉDIAS!H$4*G14</f>
        <v>178.1805552735027</v>
      </c>
      <c r="I14" s="63">
        <v>224.91320122712747</v>
      </c>
      <c r="J14" s="64">
        <f>ORÇAMENTO_EXECUTIVO!$B$8/CÁLCULO_MÉDIAS!J$4*I14</f>
        <v>242.27082823365811</v>
      </c>
      <c r="K14" s="63">
        <v>169.40434929512347</v>
      </c>
      <c r="L14" s="64">
        <f>ORÇAMENTO_EXECUTIVO!$B$8/CÁLCULO_MÉDIAS!L$4*K14</f>
        <v>185.31426142443584</v>
      </c>
      <c r="M14" s="63">
        <v>204.04</v>
      </c>
      <c r="N14" s="64">
        <f>ORÇAMENTO_EXECUTIVO!$B$8/CÁLCULO_MÉDIAS!N$4*M14</f>
        <v>207.01919839219838</v>
      </c>
      <c r="O14" s="63">
        <v>244.0750887127912</v>
      </c>
      <c r="P14" s="64">
        <f>ORÇAMENTO_EXECUTIVO!$B$8/CÁLCULO_MÉDIAS!P$4*O14</f>
        <v>279.93340369540323</v>
      </c>
      <c r="Q14" s="63"/>
      <c r="R14" s="64">
        <f>ORÇAMENTO_EXECUTIVO!$B$8/CÁLCULO_MÉDIAS!R$4*Q14</f>
        <v>0</v>
      </c>
      <c r="S14" s="45"/>
      <c r="T14" s="50">
        <v>140</v>
      </c>
      <c r="U14" s="50">
        <v>170</v>
      </c>
    </row>
    <row r="15" spans="2:22" ht="18.75" customHeight="1" x14ac:dyDescent="0.25">
      <c r="B15" s="51" t="s">
        <v>12</v>
      </c>
      <c r="C15" s="65">
        <v>41.71</v>
      </c>
      <c r="D15" s="62">
        <f>ORÇAMENTO_EXECUTIVO!$B$8/CÁLCULO_MÉDIAS!D$4*C15</f>
        <v>47.337106409622919</v>
      </c>
      <c r="E15" s="66">
        <v>74.34</v>
      </c>
      <c r="F15" s="62">
        <f>ORÇAMENTO_EXECUTIVO!$B$8/CÁLCULO_MÉDIAS!F$4*E15</f>
        <v>81.399310600822446</v>
      </c>
      <c r="G15" s="66">
        <v>43.36</v>
      </c>
      <c r="H15" s="64">
        <f>ORÇAMENTO_EXECUTIVO!$B$8/CÁLCULO_MÉDIAS!H$4*G15</f>
        <v>47.311138252658154</v>
      </c>
      <c r="I15" s="66">
        <v>67.249425184293287</v>
      </c>
      <c r="J15" s="64">
        <f>ORÇAMENTO_EXECUTIVO!$B$8/CÁLCULO_MÉDIAS!J$4*I15</f>
        <v>72.439384832654568</v>
      </c>
      <c r="K15" s="66">
        <v>65.362085316738771</v>
      </c>
      <c r="L15" s="64">
        <f>ORÇAMENTO_EXECUTIVO!$B$8/CÁLCULO_MÉDIAS!L$4*K15</f>
        <v>71.500682338036555</v>
      </c>
      <c r="M15" s="66">
        <v>70.908490775433634</v>
      </c>
      <c r="N15" s="64">
        <f>ORÇAMENTO_EXECUTIVO!$B$8/CÁLCULO_MÉDIAS!N$4*M15</f>
        <v>71.943829246867594</v>
      </c>
      <c r="O15" s="66">
        <v>45.575748772729781</v>
      </c>
      <c r="P15" s="64">
        <f>ORÇAMENTO_EXECUTIVO!$B$8/CÁLCULO_MÉDIAS!P$4*O15</f>
        <v>52.271514258997904</v>
      </c>
      <c r="Q15" s="66"/>
      <c r="R15" s="64">
        <f>ORÇAMENTO_EXECUTIVO!$B$8/CÁLCULO_MÉDIAS!R$4*Q15</f>
        <v>0</v>
      </c>
      <c r="S15" s="45"/>
      <c r="T15" s="50">
        <v>45</v>
      </c>
      <c r="U15" s="50">
        <v>80</v>
      </c>
    </row>
    <row r="16" spans="2:22" ht="18.75" customHeight="1" thickBot="1" x14ac:dyDescent="0.6">
      <c r="B16" s="52" t="s">
        <v>51</v>
      </c>
      <c r="C16" s="61">
        <v>159.86000000000001</v>
      </c>
      <c r="D16" s="62">
        <f>ORÇAMENTO_EXECUTIVO!$B$8/CÁLCULO_MÉDIAS!D$4*C16</f>
        <v>181.42675211321796</v>
      </c>
      <c r="E16" s="63">
        <v>190.23</v>
      </c>
      <c r="F16" s="62">
        <f>ORÇAMENTO_EXECUTIVO!$B$8/CÁLCULO_MÉDIAS!F$4*E16</f>
        <v>208.29420037119252</v>
      </c>
      <c r="G16" s="63">
        <v>146.21</v>
      </c>
      <c r="H16" s="64">
        <f>ORÇAMENTO_EXECUTIVO!$B$8/CÁLCULO_MÉDIAS!H$4*G16</f>
        <v>159.53324547788628</v>
      </c>
      <c r="I16" s="63">
        <v>164.93294510590061</v>
      </c>
      <c r="J16" s="64">
        <f>ORÇAMENTO_EXECUTIVO!$B$8/CÁLCULO_MÉDIAS!J$4*I16</f>
        <v>177.66160899320079</v>
      </c>
      <c r="K16" s="63">
        <v>160.86774151702951</v>
      </c>
      <c r="L16" s="64">
        <f>ORÇAMENTO_EXECUTIVO!$B$8/CÁLCULO_MÉDIAS!L$4*K16</f>
        <v>175.9759228749833</v>
      </c>
      <c r="M16" s="63">
        <v>185.15</v>
      </c>
      <c r="N16" s="64">
        <f>ORÇAMENTO_EXECUTIVO!$B$8/CÁLCULO_MÉDIAS!N$4*M16</f>
        <v>187.85338454379306</v>
      </c>
      <c r="O16" s="63">
        <v>177.78960635422607</v>
      </c>
      <c r="P16" s="64">
        <f>ORÇAMENTO_EXECUTIVO!$B$8/CÁLCULO_MÉDIAS!P$4*O16</f>
        <v>203.90958336173756</v>
      </c>
      <c r="Q16" s="63"/>
      <c r="R16" s="64">
        <f>ORÇAMENTO_EXECUTIVO!$B$8/CÁLCULO_MÉDIAS!R$4*Q16</f>
        <v>0</v>
      </c>
      <c r="S16" s="45"/>
      <c r="T16" s="50">
        <v>145</v>
      </c>
      <c r="U16" s="50">
        <v>190</v>
      </c>
    </row>
    <row r="17" spans="2:21" ht="18.75" customHeight="1" x14ac:dyDescent="0.25">
      <c r="B17" s="51" t="s">
        <v>13</v>
      </c>
      <c r="C17" s="65">
        <v>68.430000000000007</v>
      </c>
      <c r="D17" s="62">
        <f>ORÇAMENTO_EXECUTIVO!$B$8/CÁLCULO_MÉDIAS!D$4*C17</f>
        <v>77.661908214109246</v>
      </c>
      <c r="E17" s="66">
        <v>54.57</v>
      </c>
      <c r="F17" s="62">
        <f>ORÇAMENTO_EXECUTIVO!$B$8/CÁLCULO_MÉDIAS!F$4*E17</f>
        <v>59.751955602460058</v>
      </c>
      <c r="G17" s="66">
        <v>60.1</v>
      </c>
      <c r="H17" s="64">
        <f>ORÇAMENTO_EXECUTIVO!$B$8/CÁLCULO_MÉDIAS!H$4*G17</f>
        <v>65.576554635257267</v>
      </c>
      <c r="I17" s="66">
        <v>55.140818640040479</v>
      </c>
      <c r="J17" s="64">
        <f>ORÇAMENTO_EXECUTIVO!$B$8/CÁLCULO_MÉDIAS!J$4*I17</f>
        <v>59.396299232404814</v>
      </c>
      <c r="K17" s="66">
        <v>41.37551357559807</v>
      </c>
      <c r="L17" s="64">
        <f>ORÇAMENTO_EXECUTIVO!$B$8/CÁLCULO_MÉDIAS!L$4*K17</f>
        <v>45.261368856362616</v>
      </c>
      <c r="M17" s="66">
        <v>72.414536479332682</v>
      </c>
      <c r="N17" s="64">
        <f>ORÇAMENTO_EXECUTIVO!$B$8/CÁLCULO_MÉDIAS!N$4*M17</f>
        <v>73.4718648005002</v>
      </c>
      <c r="O17" s="66">
        <v>48.608027358473223</v>
      </c>
      <c r="P17" s="64">
        <f>ORÇAMENTO_EXECUTIVO!$B$8/CÁLCULO_MÉDIAS!P$4*O17</f>
        <v>55.749280342937304</v>
      </c>
      <c r="Q17" s="66"/>
      <c r="R17" s="64">
        <f>ORÇAMENTO_EXECUTIVO!$B$8/CÁLCULO_MÉDIAS!R$4*Q17</f>
        <v>0</v>
      </c>
      <c r="S17" s="45"/>
      <c r="T17" s="50">
        <v>55</v>
      </c>
      <c r="U17" s="50">
        <v>70</v>
      </c>
    </row>
    <row r="18" spans="2:21" ht="18.75" customHeight="1" thickBot="1" x14ac:dyDescent="0.6">
      <c r="B18" s="52" t="s">
        <v>52</v>
      </c>
      <c r="C18" s="61">
        <v>199.49</v>
      </c>
      <c r="D18" s="62">
        <f>ORÇAMENTO_EXECUTIVO!$B$8/CÁLCULO_MÉDIAS!D$4*C18</f>
        <v>226.40324520871917</v>
      </c>
      <c r="E18" s="63">
        <v>167.8</v>
      </c>
      <c r="F18" s="62">
        <f>ORÇAMENTO_EXECUTIVO!$B$8/CÁLCULO_MÉDIAS!F$4*E18</f>
        <v>183.73425233814913</v>
      </c>
      <c r="G18" s="63">
        <v>153.35</v>
      </c>
      <c r="H18" s="64">
        <f>ORÇAMENTO_EXECUTIVO!$B$8/CÁLCULO_MÉDIAS!H$4*G18</f>
        <v>167.32387110343927</v>
      </c>
      <c r="I18" s="63">
        <v>222.33111466212367</v>
      </c>
      <c r="J18" s="64">
        <f>ORÇAMENTO_EXECUTIVO!$B$8/CÁLCULO_MÉDIAS!J$4*I18</f>
        <v>239.48946970396136</v>
      </c>
      <c r="K18" s="63">
        <v>139.85612627804724</v>
      </c>
      <c r="L18" s="64">
        <f>ORÇAMENTO_EXECUTIVO!$B$8/CÁLCULO_MÉDIAS!L$4*K18</f>
        <v>152.99096425055615</v>
      </c>
      <c r="M18" s="63">
        <v>244.75</v>
      </c>
      <c r="N18" s="64">
        <f>ORÇAMENTO_EXECUTIVO!$B$8/CÁLCULO_MÉDIAS!N$4*M18</f>
        <v>248.32360716766593</v>
      </c>
      <c r="O18" s="63">
        <v>198.16454246263029</v>
      </c>
      <c r="P18" s="64">
        <f>ORÇAMENTO_EXECUTIVO!$B$8/CÁLCULO_MÉDIAS!P$4*O18</f>
        <v>227.27790515558337</v>
      </c>
      <c r="Q18" s="63"/>
      <c r="R18" s="64">
        <f>ORÇAMENTO_EXECUTIVO!$B$8/CÁLCULO_MÉDIAS!R$4*Q18</f>
        <v>0</v>
      </c>
      <c r="S18" s="45"/>
      <c r="T18" s="50">
        <v>170</v>
      </c>
      <c r="U18" s="50">
        <v>210</v>
      </c>
    </row>
    <row r="19" spans="2:21" ht="19.5" customHeight="1" thickBot="1" x14ac:dyDescent="0.3">
      <c r="B19" s="51" t="s">
        <v>14</v>
      </c>
      <c r="C19" s="65">
        <v>104.47</v>
      </c>
      <c r="D19" s="62">
        <f>ORÇAMENTO_EXECUTIVO!$B$8/CÁLCULO_MÉDIAS!D$4*C19</f>
        <v>118.56407352225621</v>
      </c>
      <c r="E19" s="66">
        <v>136.68</v>
      </c>
      <c r="F19" s="62">
        <f>ORÇAMENTO_EXECUTIVO!$B$8/CÁLCULO_MÉDIAS!F$4*E19</f>
        <v>149.65910375195605</v>
      </c>
      <c r="G19" s="66">
        <v>149.59</v>
      </c>
      <c r="H19" s="64">
        <f>ORÇAMENTO_EXECUTIVO!$B$8/CÁLCULO_MÉDIAS!H$4*G19</f>
        <v>163.22124472359624</v>
      </c>
      <c r="I19" s="66">
        <v>114.05369162978668</v>
      </c>
      <c r="J19" s="64">
        <f>ORÇAMENTO_EXECUTIVO!$B$8/CÁLCULO_MÉDIAS!J$4*I19</f>
        <v>122.85576028216656</v>
      </c>
      <c r="K19" s="66">
        <v>140.49637325359109</v>
      </c>
      <c r="L19" s="64">
        <f>ORÇAMENTO_EXECUTIVO!$B$8/CÁLCULO_MÉDIAS!L$4*K19</f>
        <v>153.69134116470158</v>
      </c>
      <c r="M19" s="66">
        <v>152.49178460498462</v>
      </c>
      <c r="N19" s="64">
        <f>ORÇAMENTO_EXECUTIVO!$B$8/CÁLCULO_MÉDIAS!N$4*M19</f>
        <v>154.71832488884382</v>
      </c>
      <c r="O19" s="66">
        <v>90.169148173343871</v>
      </c>
      <c r="P19" s="64">
        <f>ORÇAMENTO_EXECUTIVO!$B$8/CÁLCULO_MÉDIAS!P$4*O19</f>
        <v>103.41635719400018</v>
      </c>
      <c r="Q19" s="66"/>
      <c r="R19" s="64">
        <f>ORÇAMENTO_EXECUTIVO!$B$8/CÁLCULO_MÉDIAS!R$4*Q19</f>
        <v>0</v>
      </c>
      <c r="S19" s="45"/>
      <c r="T19" s="50">
        <v>100</v>
      </c>
      <c r="U19" s="50">
        <v>135</v>
      </c>
    </row>
    <row r="20" spans="2:21" ht="14.25" customHeight="1" thickBot="1" x14ac:dyDescent="0.3">
      <c r="B20" s="52" t="s">
        <v>15</v>
      </c>
      <c r="C20" s="68">
        <v>295.87</v>
      </c>
      <c r="D20" s="62">
        <f>ORÇAMENTO_EXECUTIVO!$B$8/CÁLCULO_MÉDIAS!D$4*C20</f>
        <v>335.78589483133862</v>
      </c>
      <c r="E20" s="67">
        <v>250.15</v>
      </c>
      <c r="F20" s="62">
        <f>ORÇAMENTO_EXECUTIVO!$B$8/CÁLCULO_MÉDIAS!F$4*E20</f>
        <v>273.90419083663886</v>
      </c>
      <c r="G20" s="67">
        <v>288.61</v>
      </c>
      <c r="H20" s="64">
        <f>ORÇAMENTO_EXECUTIVO!$B$8/CÁLCULO_MÉDIAS!H$4*G20</f>
        <v>314.90930837406989</v>
      </c>
      <c r="I20" s="67">
        <v>260.01007448586819</v>
      </c>
      <c r="J20" s="64">
        <f>ORÇAMENTO_EXECUTIVO!$B$8/CÁLCULO_MÉDIAS!J$4*I20</f>
        <v>280.07629499334456</v>
      </c>
      <c r="K20" s="67">
        <v>233.90718703702882</v>
      </c>
      <c r="L20" s="64">
        <f>ORÇAMENTO_EXECUTIVO!$B$8/CÁLCULO_MÉDIAS!L$4*K20</f>
        <v>255.874998416479</v>
      </c>
      <c r="M20" s="67">
        <v>271.49528621963088</v>
      </c>
      <c r="N20" s="64">
        <f>ORÇAMENTO_EXECUTIVO!$B$8/CÁLCULO_MÉDIAS!N$4*M20</f>
        <v>275.45940266834174</v>
      </c>
      <c r="O20" s="67">
        <v>281.03700012870252</v>
      </c>
      <c r="P20" s="64">
        <f>ORÇAMENTO_EXECUTIVO!$B$8/CÁLCULO_MÉDIAS!P$4*O20</f>
        <v>322.3255778591477</v>
      </c>
      <c r="Q20" s="67"/>
      <c r="R20" s="64">
        <f>ORÇAMENTO_EXECUTIVO!$B$8/CÁLCULO_MÉDIAS!R$4*Q20</f>
        <v>0</v>
      </c>
      <c r="S20" s="45"/>
      <c r="T20" s="50">
        <v>250</v>
      </c>
      <c r="U20" s="50">
        <v>290</v>
      </c>
    </row>
    <row r="21" spans="2:21" ht="18.75" customHeight="1" thickBot="1" x14ac:dyDescent="0.3">
      <c r="B21" s="51" t="s">
        <v>16</v>
      </c>
      <c r="C21" s="65">
        <v>134.47</v>
      </c>
      <c r="D21" s="62">
        <f>ORÇAMENTO_EXECUTIVO!$B$8/CÁLCULO_MÉDIAS!D$4*C21</f>
        <v>152.61138093747289</v>
      </c>
      <c r="E21" s="66">
        <v>14.89</v>
      </c>
      <c r="F21" s="62">
        <f>ORÇAMENTO_EXECUTIVO!$B$8/CÁLCULO_MÉDIAS!F$4*E21</f>
        <v>16.30395123548892</v>
      </c>
      <c r="G21" s="66">
        <v>2.4700000000000002</v>
      </c>
      <c r="H21" s="64">
        <f>ORÇAMENTO_EXECUTIVO!$B$8/CÁLCULO_MÉDIAS!H$4*G21</f>
        <v>2.6950763718649826</v>
      </c>
      <c r="I21" s="66">
        <v>2.8643931291109732</v>
      </c>
      <c r="J21" s="64">
        <f>ORÇAMENTO_EXECUTIVO!$B$8/CÁLCULO_MÉDIAS!J$4*I21</f>
        <v>3.0854520410108082</v>
      </c>
      <c r="K21" s="66">
        <v>14.778762637318669</v>
      </c>
      <c r="L21" s="64">
        <f>ORÇAMENTO_EXECUTIVO!$B$8/CÁLCULO_MÉDIAS!L$4*K21</f>
        <v>16.166736534789752</v>
      </c>
      <c r="M21" s="66">
        <v>5.5632672463176238</v>
      </c>
      <c r="N21" s="64">
        <f>ORÇAMENTO_EXECUTIVO!$B$8/CÁLCULO_MÉDIAS!N$4*M21</f>
        <v>5.644496793639715</v>
      </c>
      <c r="O21" s="66">
        <v>91.542598687234559</v>
      </c>
      <c r="P21" s="64">
        <f>ORÇAMENTO_EXECUTIVO!$B$8/CÁLCULO_MÉDIAS!P$4*O21</f>
        <v>104.99158832138919</v>
      </c>
      <c r="Q21" s="66"/>
      <c r="R21" s="64">
        <f>ORÇAMENTO_EXECUTIVO!$B$8/CÁLCULO_MÉDIAS!R$4*Q21</f>
        <v>0</v>
      </c>
      <c r="S21" s="45"/>
      <c r="T21" s="50">
        <v>15</v>
      </c>
      <c r="U21" s="50">
        <v>50</v>
      </c>
    </row>
    <row r="22" spans="2:21" ht="18.75" customHeight="1" thickBot="1" x14ac:dyDescent="0.3">
      <c r="B22" s="52" t="s">
        <v>17</v>
      </c>
      <c r="C22" s="68">
        <v>12.86</v>
      </c>
      <c r="D22" s="62">
        <f>ORÇAMENTO_EXECUTIVO!$B$8/CÁLCULO_MÉDIAS!D$4*C22</f>
        <v>14.594945778656214</v>
      </c>
      <c r="E22" s="67">
        <v>134.66999999999999</v>
      </c>
      <c r="F22" s="62">
        <f>ORÇAMENTO_EXECUTIVO!$B$8/CÁLCULO_MÉDIAS!F$4*E22</f>
        <v>147.45823457913315</v>
      </c>
      <c r="G22" s="67">
        <v>114.53</v>
      </c>
      <c r="H22" s="64">
        <f>ORÇAMENTO_EXECUTIVO!$B$8/CÁLCULO_MÉDIAS!H$4*G22</f>
        <v>124.96643597963418</v>
      </c>
      <c r="I22" s="67">
        <v>252.96888469741322</v>
      </c>
      <c r="J22" s="64">
        <f>ORÇAMENTO_EXECUTIVO!$B$8/CÁLCULO_MÉDIAS!J$4*I22</f>
        <v>272.49170292630674</v>
      </c>
      <c r="K22" s="67">
        <v>121.66471344800453</v>
      </c>
      <c r="L22" s="64">
        <f>ORÇAMENTO_EXECUTIVO!$B$8/CÁLCULO_MÉDIAS!L$4*K22</f>
        <v>133.09107238300174</v>
      </c>
      <c r="M22" s="67">
        <v>195.72768372287953</v>
      </c>
      <c r="N22" s="64">
        <f>ORÇAMENTO_EXECUTIVO!$B$8/CÁLCULO_MÉDIAS!N$4*M22</f>
        <v>198.585513563381</v>
      </c>
      <c r="O22" s="67">
        <v>3.8263674640092669</v>
      </c>
      <c r="P22" s="64">
        <f>ORÇAMENTO_EXECUTIVO!$B$8/CÁLCULO_MÉDIAS!P$4*O22</f>
        <v>4.3885186056405923</v>
      </c>
      <c r="Q22" s="67"/>
      <c r="R22" s="64">
        <f>ORÇAMENTO_EXECUTIVO!$B$8/CÁLCULO_MÉDIAS!R$4*Q22</f>
        <v>0</v>
      </c>
      <c r="S22" s="45"/>
      <c r="T22" s="50">
        <v>115</v>
      </c>
      <c r="U22" s="50">
        <v>130</v>
      </c>
    </row>
    <row r="23" spans="2:21" ht="18.75" customHeight="1" thickBot="1" x14ac:dyDescent="0.3">
      <c r="B23" s="53" t="s">
        <v>18</v>
      </c>
      <c r="C23" s="69">
        <v>210.46</v>
      </c>
      <c r="D23" s="70">
        <f>ORÇAMENTO_EXECUTIVO!$B$8/CÁLCULO_MÉDIAS!D$4*C23</f>
        <v>238.85321062021674</v>
      </c>
      <c r="E23" s="71">
        <v>125.12</v>
      </c>
      <c r="F23" s="70">
        <f>ORÇAMENTO_EXECUTIVO!$B$8/CÁLCULO_MÉDIAS!F$4*E23</f>
        <v>137.00136860875577</v>
      </c>
      <c r="G23" s="71">
        <v>157.19999999999999</v>
      </c>
      <c r="H23" s="72">
        <f>ORÇAMENTO_EXECUTIVO!$B$8/CÁLCULO_MÉDIAS!H$4*G23</f>
        <v>171.52469864662964</v>
      </c>
      <c r="I23" s="71">
        <v>268.35407366607535</v>
      </c>
      <c r="J23" s="72">
        <f>ORÇAMENTO_EXECUTIVO!$B$8/CÁLCULO_MÉDIAS!J$4*I23</f>
        <v>289.06424048138354</v>
      </c>
      <c r="K23" s="71">
        <v>241.24935828179949</v>
      </c>
      <c r="L23" s="72">
        <f>ORÇAMENTO_EXECUTIVO!$B$8/CÁLCULO_MÉDIAS!L$4*K23</f>
        <v>263.90672279154836</v>
      </c>
      <c r="M23" s="71">
        <v>233.60271074379483</v>
      </c>
      <c r="N23" s="72">
        <f>ORÇAMENTO_EXECUTIVO!$B$8/CÁLCULO_MÉDIAS!N$4*M23</f>
        <v>237.01355577546067</v>
      </c>
      <c r="O23" s="71">
        <v>141.28485539355384</v>
      </c>
      <c r="P23" s="72">
        <f>ORÇAMENTO_EXECUTIVO!$B$8/CÁLCULO_MÉDIAS!P$4*O23</f>
        <v>162.0417334252009</v>
      </c>
      <c r="Q23" s="71"/>
      <c r="R23" s="72">
        <f>ORÇAMENTO_EXECUTIVO!$B$8/CÁLCULO_MÉDIAS!R$4*Q23</f>
        <v>0</v>
      </c>
      <c r="S23" s="45"/>
      <c r="T23" s="54">
        <v>160</v>
      </c>
      <c r="U23" s="54">
        <v>220</v>
      </c>
    </row>
    <row r="24" spans="2:21" ht="18.75" customHeight="1" thickBot="1" x14ac:dyDescent="0.3">
      <c r="B24" s="55" t="s">
        <v>19</v>
      </c>
      <c r="C24" s="56">
        <f t="shared" ref="C24:L24" si="0">SUM(C8:C23)</f>
        <v>3722.9200000000005</v>
      </c>
      <c r="D24" s="57">
        <f t="shared" si="0"/>
        <v>4225.1800574086155</v>
      </c>
      <c r="E24" s="58">
        <f t="shared" si="0"/>
        <v>3029.78</v>
      </c>
      <c r="F24" s="57">
        <f t="shared" si="0"/>
        <v>3317.487264893191</v>
      </c>
      <c r="G24" s="58">
        <f t="shared" si="0"/>
        <v>2901.94</v>
      </c>
      <c r="H24" s="59">
        <f t="shared" si="0"/>
        <v>3166.3764884898242</v>
      </c>
      <c r="I24" s="58">
        <f t="shared" ref="I24:J24" si="1">SUM(I8:I23)</f>
        <v>3351.3553065577021</v>
      </c>
      <c r="J24" s="59">
        <f t="shared" si="1"/>
        <v>3609.9954177659438</v>
      </c>
      <c r="K24" s="58">
        <f t="shared" si="0"/>
        <v>3104.8389616110139</v>
      </c>
      <c r="L24" s="59">
        <f t="shared" si="0"/>
        <v>3396.4354599325516</v>
      </c>
      <c r="M24" s="58">
        <f t="shared" ref="M24:N24" si="2">SUM(M8:M23)</f>
        <v>3579.2274439716061</v>
      </c>
      <c r="N24" s="59">
        <f t="shared" si="2"/>
        <v>3631.4879254771558</v>
      </c>
      <c r="O24" s="58">
        <f t="shared" ref="O24:P24" si="3">SUM(O8:O23)</f>
        <v>2911.6196160988434</v>
      </c>
      <c r="P24" s="59">
        <f t="shared" si="3"/>
        <v>3339.3804902390184</v>
      </c>
      <c r="Q24" s="58">
        <f t="shared" ref="Q24:R24" si="4">SUM(Q8:Q23)</f>
        <v>1598.1058519324972</v>
      </c>
      <c r="R24" s="59">
        <f t="shared" si="4"/>
        <v>1648.9187041440596</v>
      </c>
      <c r="T24" s="60">
        <f t="shared" ref="T24:U24" si="5">SUM(T8:T23)</f>
        <v>3080</v>
      </c>
      <c r="U24" s="60">
        <f t="shared" si="5"/>
        <v>3900</v>
      </c>
    </row>
    <row r="25" spans="2:21" ht="14.25" customHeight="1" x14ac:dyDescent="0.25">
      <c r="T25" s="40"/>
      <c r="U25" s="40"/>
    </row>
    <row r="26" spans="2:21" ht="14.25" customHeight="1" x14ac:dyDescent="0.25">
      <c r="T26" s="40"/>
      <c r="U26" s="40"/>
    </row>
    <row r="27" spans="2:21" ht="14.25" customHeight="1" x14ac:dyDescent="0.25">
      <c r="T27" s="40"/>
      <c r="U27" s="40"/>
    </row>
    <row r="28" spans="2:21" ht="14.25" customHeight="1" x14ac:dyDescent="0.25">
      <c r="T28" s="40"/>
      <c r="U28" s="40"/>
    </row>
    <row r="29" spans="2:21" ht="14.25" customHeight="1" x14ac:dyDescent="0.25">
      <c r="S29" s="40"/>
      <c r="T29" s="40"/>
      <c r="U29" s="40"/>
    </row>
    <row r="30" spans="2:21" ht="14.25" customHeight="1" x14ac:dyDescent="0.25">
      <c r="S30" s="40"/>
      <c r="T30" s="40"/>
      <c r="U30" s="40"/>
    </row>
    <row r="31" spans="2:21" ht="14.25" customHeight="1" x14ac:dyDescent="0.25">
      <c r="S31" s="40"/>
      <c r="T31" s="40"/>
      <c r="U31" s="40"/>
    </row>
    <row r="32" spans="2:21" ht="14.25" customHeight="1" x14ac:dyDescent="0.25">
      <c r="S32" s="40"/>
      <c r="T32" s="40"/>
      <c r="U32" s="40"/>
    </row>
    <row r="33" spans="19:21" ht="14.25" customHeight="1" x14ac:dyDescent="0.25">
      <c r="S33" s="40"/>
      <c r="T33" s="40"/>
      <c r="U33" s="40"/>
    </row>
    <row r="34" spans="19:21" ht="14.25" customHeight="1" x14ac:dyDescent="0.25">
      <c r="T34" s="40"/>
      <c r="U34" s="40"/>
    </row>
    <row r="35" spans="19:21" ht="14.25" customHeight="1" x14ac:dyDescent="0.25">
      <c r="T35" s="40"/>
      <c r="U35" s="40"/>
    </row>
    <row r="36" spans="19:21" ht="14.25" customHeight="1" x14ac:dyDescent="0.25">
      <c r="T36" s="40"/>
      <c r="U36" s="40"/>
    </row>
    <row r="37" spans="19:21" ht="14.25" customHeight="1" x14ac:dyDescent="0.25">
      <c r="T37" s="40"/>
      <c r="U37" s="40"/>
    </row>
    <row r="38" spans="19:21" ht="14.25" customHeight="1" x14ac:dyDescent="0.25">
      <c r="T38" s="40"/>
      <c r="U38" s="40"/>
    </row>
    <row r="39" spans="19:21" ht="14.25" customHeight="1" x14ac:dyDescent="0.25">
      <c r="T39" s="40"/>
      <c r="U39" s="40"/>
    </row>
    <row r="40" spans="19:21" ht="14.25" customHeight="1" x14ac:dyDescent="0.25">
      <c r="T40" s="40"/>
      <c r="U40" s="40"/>
    </row>
    <row r="41" spans="19:21" ht="14.25" customHeight="1" x14ac:dyDescent="0.25">
      <c r="T41" s="40"/>
      <c r="U41" s="40"/>
    </row>
    <row r="42" spans="19:21" ht="14.25" customHeight="1" x14ac:dyDescent="0.25">
      <c r="T42" s="40"/>
      <c r="U42" s="40"/>
    </row>
    <row r="43" spans="19:21" ht="14.25" customHeight="1" x14ac:dyDescent="0.25">
      <c r="T43" s="40"/>
      <c r="U43" s="40"/>
    </row>
    <row r="44" spans="19:21" ht="14.25" customHeight="1" x14ac:dyDescent="0.25">
      <c r="T44" s="40"/>
      <c r="U44" s="40"/>
    </row>
    <row r="45" spans="19:21" ht="14.25" customHeight="1" x14ac:dyDescent="0.25">
      <c r="T45" s="40"/>
      <c r="U45" s="40"/>
    </row>
    <row r="46" spans="19:21" ht="14.25" customHeight="1" x14ac:dyDescent="0.25">
      <c r="T46" s="40"/>
      <c r="U46" s="40"/>
    </row>
    <row r="47" spans="19:21" ht="14.25" customHeight="1" x14ac:dyDescent="0.25">
      <c r="T47" s="40"/>
      <c r="U47" s="40"/>
    </row>
    <row r="48" spans="19:21" ht="14.25" customHeight="1" x14ac:dyDescent="0.25">
      <c r="T48" s="40"/>
      <c r="U48" s="40"/>
    </row>
    <row r="49" spans="20:21" ht="14.25" customHeight="1" x14ac:dyDescent="0.25">
      <c r="T49" s="40"/>
      <c r="U49" s="40"/>
    </row>
    <row r="50" spans="20:21" ht="14.25" customHeight="1" x14ac:dyDescent="0.25">
      <c r="T50" s="40"/>
      <c r="U50" s="40"/>
    </row>
    <row r="51" spans="20:21" ht="14.25" customHeight="1" x14ac:dyDescent="0.25">
      <c r="T51" s="40"/>
      <c r="U51" s="40"/>
    </row>
    <row r="52" spans="20:21" ht="14.25" customHeight="1" x14ac:dyDescent="0.25">
      <c r="T52" s="40"/>
      <c r="U52" s="40"/>
    </row>
    <row r="53" spans="20:21" ht="14.25" customHeight="1" x14ac:dyDescent="0.25">
      <c r="T53" s="40"/>
      <c r="U53" s="40"/>
    </row>
    <row r="54" spans="20:21" ht="14.25" customHeight="1" x14ac:dyDescent="0.25">
      <c r="T54" s="40"/>
      <c r="U54" s="40"/>
    </row>
    <row r="55" spans="20:21" ht="14.25" customHeight="1" x14ac:dyDescent="0.25">
      <c r="T55" s="40"/>
      <c r="U55" s="40"/>
    </row>
    <row r="56" spans="20:21" ht="14.25" customHeight="1" x14ac:dyDescent="0.25">
      <c r="T56" s="40"/>
      <c r="U56" s="40"/>
    </row>
    <row r="57" spans="20:21" ht="14.25" customHeight="1" x14ac:dyDescent="0.25">
      <c r="T57" s="40"/>
      <c r="U57" s="40"/>
    </row>
    <row r="58" spans="20:21" ht="14.25" customHeight="1" x14ac:dyDescent="0.25">
      <c r="T58" s="40"/>
      <c r="U58" s="40"/>
    </row>
    <row r="59" spans="20:21" ht="14.25" customHeight="1" x14ac:dyDescent="0.25">
      <c r="T59" s="40"/>
      <c r="U59" s="40"/>
    </row>
    <row r="60" spans="20:21" ht="14.25" customHeight="1" x14ac:dyDescent="0.25">
      <c r="T60" s="40"/>
      <c r="U60" s="40"/>
    </row>
    <row r="61" spans="20:21" ht="14.25" customHeight="1" x14ac:dyDescent="0.25">
      <c r="T61" s="40"/>
      <c r="U61" s="40"/>
    </row>
    <row r="62" spans="20:21" ht="14.25" customHeight="1" x14ac:dyDescent="0.25">
      <c r="T62" s="40"/>
      <c r="U62" s="40"/>
    </row>
    <row r="63" spans="20:21" ht="14.25" customHeight="1" x14ac:dyDescent="0.25">
      <c r="T63" s="40"/>
      <c r="U63" s="40"/>
    </row>
    <row r="64" spans="20:21" ht="14.25" customHeight="1" x14ac:dyDescent="0.25">
      <c r="T64" s="40"/>
      <c r="U64" s="40"/>
    </row>
    <row r="65" spans="20:21" ht="14.25" customHeight="1" x14ac:dyDescent="0.25">
      <c r="T65" s="40"/>
      <c r="U65" s="40"/>
    </row>
    <row r="66" spans="20:21" ht="14.25" customHeight="1" x14ac:dyDescent="0.25">
      <c r="T66" s="40"/>
      <c r="U66" s="40"/>
    </row>
    <row r="67" spans="20:21" ht="14.25" customHeight="1" x14ac:dyDescent="0.25">
      <c r="T67" s="40"/>
      <c r="U67" s="40"/>
    </row>
    <row r="68" spans="20:21" ht="14.25" customHeight="1" x14ac:dyDescent="0.25">
      <c r="T68" s="40"/>
      <c r="U68" s="40"/>
    </row>
    <row r="69" spans="20:21" ht="14.25" customHeight="1" x14ac:dyDescent="0.25">
      <c r="T69" s="40"/>
      <c r="U69" s="40"/>
    </row>
    <row r="70" spans="20:21" ht="14.25" customHeight="1" x14ac:dyDescent="0.25">
      <c r="T70" s="40"/>
      <c r="U70" s="40"/>
    </row>
    <row r="71" spans="20:21" ht="14.25" customHeight="1" x14ac:dyDescent="0.25">
      <c r="T71" s="40"/>
      <c r="U71" s="40"/>
    </row>
    <row r="72" spans="20:21" ht="14.25" customHeight="1" x14ac:dyDescent="0.25">
      <c r="T72" s="40"/>
      <c r="U72" s="40"/>
    </row>
    <row r="73" spans="20:21" ht="14.25" customHeight="1" x14ac:dyDescent="0.25">
      <c r="T73" s="40"/>
      <c r="U73" s="40"/>
    </row>
    <row r="74" spans="20:21" ht="14.25" customHeight="1" x14ac:dyDescent="0.25">
      <c r="T74" s="40"/>
      <c r="U74" s="40"/>
    </row>
    <row r="75" spans="20:21" ht="14.25" customHeight="1" x14ac:dyDescent="0.25">
      <c r="T75" s="40"/>
      <c r="U75" s="40"/>
    </row>
    <row r="76" spans="20:21" ht="14.25" customHeight="1" x14ac:dyDescent="0.25">
      <c r="T76" s="40"/>
      <c r="U76" s="40"/>
    </row>
    <row r="77" spans="20:21" ht="14.25" customHeight="1" x14ac:dyDescent="0.25">
      <c r="T77" s="40"/>
      <c r="U77" s="40"/>
    </row>
    <row r="78" spans="20:21" ht="14.25" customHeight="1" x14ac:dyDescent="0.25">
      <c r="T78" s="40"/>
      <c r="U78" s="40"/>
    </row>
    <row r="79" spans="20:21" ht="14.25" customHeight="1" x14ac:dyDescent="0.25">
      <c r="T79" s="40"/>
      <c r="U79" s="40"/>
    </row>
    <row r="80" spans="20:21" ht="14.25" customHeight="1" x14ac:dyDescent="0.25">
      <c r="T80" s="40"/>
      <c r="U80" s="40"/>
    </row>
    <row r="81" spans="20:21" ht="14.25" customHeight="1" x14ac:dyDescent="0.25">
      <c r="T81" s="40"/>
      <c r="U81" s="40"/>
    </row>
    <row r="82" spans="20:21" ht="14.25" customHeight="1" x14ac:dyDescent="0.25">
      <c r="T82" s="40"/>
      <c r="U82" s="40"/>
    </row>
    <row r="83" spans="20:21" ht="14.25" customHeight="1" x14ac:dyDescent="0.25">
      <c r="T83" s="40"/>
      <c r="U83" s="40"/>
    </row>
    <row r="84" spans="20:21" ht="14.25" customHeight="1" x14ac:dyDescent="0.25">
      <c r="T84" s="40"/>
      <c r="U84" s="40"/>
    </row>
    <row r="85" spans="20:21" ht="14.25" customHeight="1" x14ac:dyDescent="0.25">
      <c r="T85" s="40"/>
      <c r="U85" s="40"/>
    </row>
    <row r="86" spans="20:21" ht="14.25" customHeight="1" x14ac:dyDescent="0.25">
      <c r="T86" s="40"/>
      <c r="U86" s="40"/>
    </row>
    <row r="87" spans="20:21" ht="14.25" customHeight="1" x14ac:dyDescent="0.25">
      <c r="T87" s="40"/>
      <c r="U87" s="40"/>
    </row>
    <row r="88" spans="20:21" ht="14.25" customHeight="1" x14ac:dyDescent="0.25">
      <c r="T88" s="40"/>
      <c r="U88" s="40"/>
    </row>
    <row r="89" spans="20:21" ht="14.25" customHeight="1" x14ac:dyDescent="0.25">
      <c r="T89" s="40"/>
      <c r="U89" s="40"/>
    </row>
    <row r="90" spans="20:21" ht="14.25" customHeight="1" x14ac:dyDescent="0.25">
      <c r="T90" s="40"/>
      <c r="U90" s="40"/>
    </row>
    <row r="91" spans="20:21" ht="14.25" customHeight="1" x14ac:dyDescent="0.25">
      <c r="T91" s="40"/>
      <c r="U91" s="40"/>
    </row>
    <row r="92" spans="20:21" ht="14.25" customHeight="1" x14ac:dyDescent="0.25">
      <c r="T92" s="40"/>
      <c r="U92" s="40"/>
    </row>
    <row r="93" spans="20:21" ht="14.25" customHeight="1" x14ac:dyDescent="0.25">
      <c r="T93" s="40"/>
      <c r="U93" s="40"/>
    </row>
    <row r="94" spans="20:21" ht="14.25" customHeight="1" x14ac:dyDescent="0.25">
      <c r="T94" s="40"/>
      <c r="U94" s="40"/>
    </row>
    <row r="95" spans="20:21" ht="14.25" customHeight="1" x14ac:dyDescent="0.25">
      <c r="T95" s="40"/>
      <c r="U95" s="40"/>
    </row>
    <row r="96" spans="20:21" ht="14.25" customHeight="1" x14ac:dyDescent="0.25">
      <c r="T96" s="40"/>
      <c r="U96" s="40"/>
    </row>
    <row r="97" spans="20:21" ht="14.25" customHeight="1" x14ac:dyDescent="0.25">
      <c r="T97" s="40"/>
      <c r="U97" s="40"/>
    </row>
    <row r="98" spans="20:21" ht="14.25" customHeight="1" x14ac:dyDescent="0.25">
      <c r="T98" s="40"/>
      <c r="U98" s="40"/>
    </row>
    <row r="99" spans="20:21" ht="14.25" customHeight="1" x14ac:dyDescent="0.25">
      <c r="T99" s="40"/>
      <c r="U99" s="40"/>
    </row>
    <row r="100" spans="20:21" ht="14.25" customHeight="1" x14ac:dyDescent="0.25">
      <c r="T100" s="40"/>
      <c r="U100" s="40"/>
    </row>
    <row r="101" spans="20:21" ht="14.25" customHeight="1" x14ac:dyDescent="0.25">
      <c r="T101" s="40"/>
      <c r="U101" s="40"/>
    </row>
    <row r="102" spans="20:21" ht="14.25" customHeight="1" x14ac:dyDescent="0.25">
      <c r="T102" s="40"/>
      <c r="U102" s="40"/>
    </row>
    <row r="103" spans="20:21" ht="14.25" customHeight="1" x14ac:dyDescent="0.25">
      <c r="T103" s="40"/>
      <c r="U103" s="40"/>
    </row>
    <row r="104" spans="20:21" ht="14.25" customHeight="1" x14ac:dyDescent="0.25">
      <c r="T104" s="40"/>
      <c r="U104" s="40"/>
    </row>
    <row r="105" spans="20:21" ht="14.25" customHeight="1" x14ac:dyDescent="0.25">
      <c r="T105" s="40"/>
      <c r="U105" s="40"/>
    </row>
    <row r="106" spans="20:21" ht="14.25" customHeight="1" x14ac:dyDescent="0.25">
      <c r="T106" s="40"/>
      <c r="U106" s="40"/>
    </row>
    <row r="107" spans="20:21" ht="14.25" customHeight="1" x14ac:dyDescent="0.25">
      <c r="T107" s="40"/>
      <c r="U107" s="40"/>
    </row>
    <row r="108" spans="20:21" ht="14.25" customHeight="1" x14ac:dyDescent="0.25">
      <c r="T108" s="40"/>
      <c r="U108" s="40"/>
    </row>
    <row r="109" spans="20:21" ht="14.25" customHeight="1" x14ac:dyDescent="0.25">
      <c r="T109" s="40"/>
      <c r="U109" s="40"/>
    </row>
    <row r="110" spans="20:21" ht="14.25" customHeight="1" x14ac:dyDescent="0.25">
      <c r="T110" s="40"/>
      <c r="U110" s="40"/>
    </row>
    <row r="111" spans="20:21" ht="14.25" customHeight="1" x14ac:dyDescent="0.25">
      <c r="T111" s="40"/>
      <c r="U111" s="40"/>
    </row>
    <row r="112" spans="20:21" ht="14.25" customHeight="1" x14ac:dyDescent="0.25">
      <c r="T112" s="40"/>
      <c r="U112" s="40"/>
    </row>
    <row r="113" spans="20:21" ht="14.25" customHeight="1" x14ac:dyDescent="0.25">
      <c r="T113" s="40"/>
      <c r="U113" s="40"/>
    </row>
    <row r="114" spans="20:21" ht="14.25" customHeight="1" x14ac:dyDescent="0.25">
      <c r="T114" s="40"/>
      <c r="U114" s="40"/>
    </row>
    <row r="115" spans="20:21" ht="14.25" customHeight="1" x14ac:dyDescent="0.25">
      <c r="T115" s="40"/>
      <c r="U115" s="40"/>
    </row>
    <row r="116" spans="20:21" ht="14.25" customHeight="1" x14ac:dyDescent="0.25">
      <c r="T116" s="40"/>
      <c r="U116" s="40"/>
    </row>
    <row r="117" spans="20:21" ht="14.25" customHeight="1" x14ac:dyDescent="0.25">
      <c r="T117" s="40"/>
      <c r="U117" s="40"/>
    </row>
    <row r="118" spans="20:21" ht="14.25" customHeight="1" x14ac:dyDescent="0.25">
      <c r="T118" s="40"/>
      <c r="U118" s="40"/>
    </row>
    <row r="119" spans="20:21" ht="14.25" customHeight="1" x14ac:dyDescent="0.25">
      <c r="T119" s="40"/>
      <c r="U119" s="40"/>
    </row>
    <row r="120" spans="20:21" ht="14.25" customHeight="1" x14ac:dyDescent="0.25">
      <c r="T120" s="40"/>
      <c r="U120" s="40"/>
    </row>
    <row r="121" spans="20:21" ht="14.25" customHeight="1" x14ac:dyDescent="0.25">
      <c r="T121" s="40"/>
      <c r="U121" s="40"/>
    </row>
    <row r="122" spans="20:21" ht="14.25" customHeight="1" x14ac:dyDescent="0.25">
      <c r="T122" s="40"/>
      <c r="U122" s="40"/>
    </row>
    <row r="123" spans="20:21" ht="14.25" customHeight="1" x14ac:dyDescent="0.25">
      <c r="T123" s="40"/>
      <c r="U123" s="40"/>
    </row>
    <row r="124" spans="20:21" ht="14.25" customHeight="1" x14ac:dyDescent="0.25">
      <c r="T124" s="40"/>
      <c r="U124" s="40"/>
    </row>
    <row r="125" spans="20:21" ht="14.25" customHeight="1" x14ac:dyDescent="0.25">
      <c r="T125" s="40"/>
      <c r="U125" s="40"/>
    </row>
    <row r="126" spans="20:21" ht="14.25" customHeight="1" x14ac:dyDescent="0.25">
      <c r="T126" s="40"/>
      <c r="U126" s="40"/>
    </row>
    <row r="127" spans="20:21" ht="14.25" customHeight="1" x14ac:dyDescent="0.25">
      <c r="T127" s="40"/>
      <c r="U127" s="40"/>
    </row>
    <row r="128" spans="20:21" ht="14.25" customHeight="1" x14ac:dyDescent="0.25">
      <c r="T128" s="40"/>
      <c r="U128" s="40"/>
    </row>
    <row r="129" spans="20:21" ht="14.25" customHeight="1" x14ac:dyDescent="0.25">
      <c r="T129" s="40"/>
      <c r="U129" s="40"/>
    </row>
    <row r="130" spans="20:21" ht="14.25" customHeight="1" x14ac:dyDescent="0.25">
      <c r="T130" s="40"/>
      <c r="U130" s="40"/>
    </row>
    <row r="131" spans="20:21" ht="14.25" customHeight="1" x14ac:dyDescent="0.25">
      <c r="T131" s="40"/>
      <c r="U131" s="40"/>
    </row>
    <row r="132" spans="20:21" ht="14.25" customHeight="1" x14ac:dyDescent="0.25">
      <c r="T132" s="40"/>
      <c r="U132" s="40"/>
    </row>
    <row r="133" spans="20:21" ht="14.25" customHeight="1" x14ac:dyDescent="0.25">
      <c r="T133" s="40"/>
      <c r="U133" s="40"/>
    </row>
    <row r="134" spans="20:21" ht="14.25" customHeight="1" x14ac:dyDescent="0.25">
      <c r="T134" s="40"/>
      <c r="U134" s="40"/>
    </row>
    <row r="135" spans="20:21" ht="14.25" customHeight="1" x14ac:dyDescent="0.25">
      <c r="T135" s="40"/>
      <c r="U135" s="40"/>
    </row>
    <row r="136" spans="20:21" ht="14.25" customHeight="1" x14ac:dyDescent="0.25">
      <c r="T136" s="40"/>
      <c r="U136" s="40"/>
    </row>
    <row r="137" spans="20:21" ht="14.25" customHeight="1" x14ac:dyDescent="0.25">
      <c r="T137" s="40"/>
      <c r="U137" s="40"/>
    </row>
    <row r="138" spans="20:21" ht="14.25" customHeight="1" x14ac:dyDescent="0.25">
      <c r="T138" s="40"/>
      <c r="U138" s="40"/>
    </row>
    <row r="139" spans="20:21" ht="14.25" customHeight="1" x14ac:dyDescent="0.25">
      <c r="T139" s="40"/>
      <c r="U139" s="40"/>
    </row>
    <row r="140" spans="20:21" ht="14.25" customHeight="1" x14ac:dyDescent="0.25">
      <c r="T140" s="40"/>
      <c r="U140" s="40"/>
    </row>
    <row r="141" spans="20:21" ht="14.25" customHeight="1" x14ac:dyDescent="0.25">
      <c r="T141" s="40"/>
      <c r="U141" s="40"/>
    </row>
    <row r="142" spans="20:21" ht="14.25" customHeight="1" x14ac:dyDescent="0.25">
      <c r="T142" s="40"/>
      <c r="U142" s="40"/>
    </row>
    <row r="143" spans="20:21" ht="14.25" customHeight="1" x14ac:dyDescent="0.25">
      <c r="T143" s="40"/>
      <c r="U143" s="40"/>
    </row>
    <row r="144" spans="20:21" ht="14.25" customHeight="1" x14ac:dyDescent="0.25">
      <c r="T144" s="40"/>
      <c r="U144" s="40"/>
    </row>
    <row r="145" spans="20:21" ht="14.25" customHeight="1" x14ac:dyDescent="0.25">
      <c r="T145" s="40"/>
      <c r="U145" s="40"/>
    </row>
    <row r="146" spans="20:21" ht="14.25" customHeight="1" x14ac:dyDescent="0.25">
      <c r="T146" s="40"/>
      <c r="U146" s="40"/>
    </row>
    <row r="147" spans="20:21" ht="14.25" customHeight="1" x14ac:dyDescent="0.25">
      <c r="T147" s="40"/>
      <c r="U147" s="40"/>
    </row>
    <row r="148" spans="20:21" ht="14.25" customHeight="1" x14ac:dyDescent="0.25">
      <c r="T148" s="40"/>
      <c r="U148" s="40"/>
    </row>
    <row r="149" spans="20:21" ht="14.25" customHeight="1" x14ac:dyDescent="0.25">
      <c r="T149" s="40"/>
      <c r="U149" s="40"/>
    </row>
    <row r="150" spans="20:21" ht="14.25" customHeight="1" x14ac:dyDescent="0.25">
      <c r="T150" s="40"/>
      <c r="U150" s="40"/>
    </row>
    <row r="151" spans="20:21" ht="14.25" customHeight="1" x14ac:dyDescent="0.25">
      <c r="T151" s="40"/>
      <c r="U151" s="40"/>
    </row>
    <row r="152" spans="20:21" ht="14.25" customHeight="1" x14ac:dyDescent="0.25">
      <c r="T152" s="40"/>
      <c r="U152" s="40"/>
    </row>
    <row r="153" spans="20:21" ht="14.25" customHeight="1" x14ac:dyDescent="0.25">
      <c r="T153" s="40"/>
      <c r="U153" s="40"/>
    </row>
    <row r="154" spans="20:21" ht="14.25" customHeight="1" x14ac:dyDescent="0.25">
      <c r="T154" s="40"/>
      <c r="U154" s="40"/>
    </row>
    <row r="155" spans="20:21" ht="14.25" customHeight="1" x14ac:dyDescent="0.25">
      <c r="T155" s="40"/>
      <c r="U155" s="40"/>
    </row>
    <row r="156" spans="20:21" ht="14.25" customHeight="1" x14ac:dyDescent="0.25">
      <c r="T156" s="40"/>
      <c r="U156" s="40"/>
    </row>
    <row r="157" spans="20:21" ht="14.25" customHeight="1" x14ac:dyDescent="0.25">
      <c r="T157" s="40"/>
      <c r="U157" s="40"/>
    </row>
    <row r="158" spans="20:21" ht="14.25" customHeight="1" x14ac:dyDescent="0.25">
      <c r="T158" s="40"/>
      <c r="U158" s="40"/>
    </row>
    <row r="159" spans="20:21" ht="14.25" customHeight="1" x14ac:dyDescent="0.25">
      <c r="T159" s="40"/>
      <c r="U159" s="40"/>
    </row>
    <row r="160" spans="20:21" ht="14.25" customHeight="1" x14ac:dyDescent="0.25">
      <c r="T160" s="40"/>
      <c r="U160" s="40"/>
    </row>
    <row r="161" spans="20:21" ht="14.25" customHeight="1" x14ac:dyDescent="0.25">
      <c r="T161" s="40"/>
      <c r="U161" s="40"/>
    </row>
    <row r="162" spans="20:21" ht="14.25" customHeight="1" x14ac:dyDescent="0.25">
      <c r="T162" s="40"/>
      <c r="U162" s="40"/>
    </row>
    <row r="163" spans="20:21" ht="14.25" customHeight="1" x14ac:dyDescent="0.25">
      <c r="T163" s="40"/>
      <c r="U163" s="40"/>
    </row>
    <row r="164" spans="20:21" ht="14.25" customHeight="1" x14ac:dyDescent="0.25">
      <c r="T164" s="40"/>
      <c r="U164" s="40"/>
    </row>
    <row r="165" spans="20:21" ht="14.25" customHeight="1" x14ac:dyDescent="0.25">
      <c r="T165" s="40"/>
      <c r="U165" s="40"/>
    </row>
    <row r="166" spans="20:21" ht="14.25" customHeight="1" x14ac:dyDescent="0.25">
      <c r="T166" s="40"/>
      <c r="U166" s="40"/>
    </row>
    <row r="167" spans="20:21" ht="14.25" customHeight="1" x14ac:dyDescent="0.25">
      <c r="T167" s="40"/>
      <c r="U167" s="40"/>
    </row>
    <row r="168" spans="20:21" ht="14.25" customHeight="1" x14ac:dyDescent="0.25">
      <c r="T168" s="40"/>
      <c r="U168" s="40"/>
    </row>
    <row r="169" spans="20:21" ht="14.25" customHeight="1" x14ac:dyDescent="0.25">
      <c r="T169" s="40"/>
      <c r="U169" s="40"/>
    </row>
    <row r="170" spans="20:21" ht="14.25" customHeight="1" x14ac:dyDescent="0.25">
      <c r="T170" s="40"/>
      <c r="U170" s="40"/>
    </row>
    <row r="171" spans="20:21" ht="14.25" customHeight="1" x14ac:dyDescent="0.25">
      <c r="T171" s="40"/>
      <c r="U171" s="40"/>
    </row>
    <row r="172" spans="20:21" ht="14.25" customHeight="1" x14ac:dyDescent="0.25">
      <c r="T172" s="40"/>
      <c r="U172" s="40"/>
    </row>
    <row r="173" spans="20:21" ht="14.25" customHeight="1" x14ac:dyDescent="0.25">
      <c r="T173" s="40"/>
      <c r="U173" s="40"/>
    </row>
    <row r="174" spans="20:21" ht="14.25" customHeight="1" x14ac:dyDescent="0.25">
      <c r="T174" s="40"/>
      <c r="U174" s="40"/>
    </row>
    <row r="175" spans="20:21" ht="14.25" customHeight="1" x14ac:dyDescent="0.25">
      <c r="T175" s="40"/>
      <c r="U175" s="40"/>
    </row>
    <row r="176" spans="20:21" ht="14.25" customHeight="1" x14ac:dyDescent="0.25">
      <c r="T176" s="40"/>
      <c r="U176" s="40"/>
    </row>
    <row r="177" spans="20:21" ht="14.25" customHeight="1" x14ac:dyDescent="0.25">
      <c r="T177" s="40"/>
      <c r="U177" s="40"/>
    </row>
    <row r="178" spans="20:21" ht="14.25" customHeight="1" x14ac:dyDescent="0.25">
      <c r="T178" s="40"/>
      <c r="U178" s="40"/>
    </row>
    <row r="179" spans="20:21" ht="14.25" customHeight="1" x14ac:dyDescent="0.25">
      <c r="T179" s="40"/>
      <c r="U179" s="40"/>
    </row>
    <row r="180" spans="20:21" ht="14.25" customHeight="1" x14ac:dyDescent="0.25">
      <c r="T180" s="40"/>
      <c r="U180" s="40"/>
    </row>
    <row r="181" spans="20:21" ht="14.25" customHeight="1" x14ac:dyDescent="0.25">
      <c r="T181" s="40"/>
      <c r="U181" s="40"/>
    </row>
    <row r="182" spans="20:21" ht="14.25" customHeight="1" x14ac:dyDescent="0.25">
      <c r="T182" s="40"/>
      <c r="U182" s="40"/>
    </row>
    <row r="183" spans="20:21" ht="14.25" customHeight="1" x14ac:dyDescent="0.25">
      <c r="T183" s="40"/>
      <c r="U183" s="40"/>
    </row>
    <row r="184" spans="20:21" ht="14.25" customHeight="1" x14ac:dyDescent="0.25">
      <c r="T184" s="40"/>
      <c r="U184" s="40"/>
    </row>
    <row r="185" spans="20:21" ht="14.25" customHeight="1" x14ac:dyDescent="0.25">
      <c r="T185" s="40"/>
      <c r="U185" s="40"/>
    </row>
    <row r="186" spans="20:21" ht="14.25" customHeight="1" x14ac:dyDescent="0.25">
      <c r="T186" s="40"/>
      <c r="U186" s="40"/>
    </row>
    <row r="187" spans="20:21" ht="14.25" customHeight="1" x14ac:dyDescent="0.25">
      <c r="T187" s="40"/>
      <c r="U187" s="40"/>
    </row>
    <row r="188" spans="20:21" ht="14.25" customHeight="1" x14ac:dyDescent="0.25">
      <c r="T188" s="40"/>
      <c r="U188" s="40"/>
    </row>
    <row r="189" spans="20:21" ht="14.25" customHeight="1" x14ac:dyDescent="0.25">
      <c r="T189" s="40"/>
      <c r="U189" s="40"/>
    </row>
    <row r="190" spans="20:21" ht="14.25" customHeight="1" x14ac:dyDescent="0.25">
      <c r="T190" s="40"/>
      <c r="U190" s="40"/>
    </row>
    <row r="191" spans="20:21" ht="14.25" customHeight="1" x14ac:dyDescent="0.25">
      <c r="T191" s="40"/>
      <c r="U191" s="40"/>
    </row>
    <row r="192" spans="20:21" ht="14.25" customHeight="1" x14ac:dyDescent="0.25">
      <c r="T192" s="40"/>
      <c r="U192" s="40"/>
    </row>
    <row r="193" spans="20:21" ht="14.25" customHeight="1" x14ac:dyDescent="0.25">
      <c r="T193" s="40"/>
      <c r="U193" s="40"/>
    </row>
    <row r="194" spans="20:21" ht="14.25" customHeight="1" x14ac:dyDescent="0.25">
      <c r="T194" s="40"/>
      <c r="U194" s="40"/>
    </row>
    <row r="195" spans="20:21" ht="14.25" customHeight="1" x14ac:dyDescent="0.25">
      <c r="T195" s="40"/>
      <c r="U195" s="40"/>
    </row>
    <row r="196" spans="20:21" ht="14.25" customHeight="1" x14ac:dyDescent="0.25">
      <c r="T196" s="40"/>
      <c r="U196" s="40"/>
    </row>
    <row r="197" spans="20:21" ht="14.25" customHeight="1" x14ac:dyDescent="0.25">
      <c r="T197" s="40"/>
      <c r="U197" s="40"/>
    </row>
    <row r="198" spans="20:21" ht="14.25" customHeight="1" x14ac:dyDescent="0.25">
      <c r="T198" s="40"/>
      <c r="U198" s="40"/>
    </row>
    <row r="199" spans="20:21" ht="14.25" customHeight="1" x14ac:dyDescent="0.25">
      <c r="T199" s="40"/>
      <c r="U199" s="40"/>
    </row>
    <row r="200" spans="20:21" ht="14.25" customHeight="1" x14ac:dyDescent="0.25">
      <c r="T200" s="40"/>
      <c r="U200" s="40"/>
    </row>
    <row r="201" spans="20:21" ht="14.25" customHeight="1" x14ac:dyDescent="0.25">
      <c r="T201" s="40"/>
      <c r="U201" s="40"/>
    </row>
    <row r="202" spans="20:21" ht="14.25" customHeight="1" x14ac:dyDescent="0.25">
      <c r="T202" s="40"/>
      <c r="U202" s="40"/>
    </row>
    <row r="203" spans="20:21" ht="14.25" customHeight="1" x14ac:dyDescent="0.25">
      <c r="T203" s="40"/>
      <c r="U203" s="40"/>
    </row>
    <row r="204" spans="20:21" ht="14.25" customHeight="1" x14ac:dyDescent="0.25">
      <c r="T204" s="40"/>
      <c r="U204" s="40"/>
    </row>
    <row r="205" spans="20:21" ht="14.25" customHeight="1" x14ac:dyDescent="0.25">
      <c r="T205" s="40"/>
      <c r="U205" s="40"/>
    </row>
    <row r="206" spans="20:21" ht="14.25" customHeight="1" x14ac:dyDescent="0.25">
      <c r="T206" s="40"/>
      <c r="U206" s="40"/>
    </row>
    <row r="207" spans="20:21" ht="14.25" customHeight="1" x14ac:dyDescent="0.25">
      <c r="T207" s="40"/>
      <c r="U207" s="40"/>
    </row>
    <row r="208" spans="20:21" ht="14.25" customHeight="1" x14ac:dyDescent="0.25">
      <c r="T208" s="40"/>
      <c r="U208" s="40"/>
    </row>
    <row r="209" spans="20:21" ht="14.25" customHeight="1" x14ac:dyDescent="0.25">
      <c r="T209" s="40"/>
      <c r="U209" s="40"/>
    </row>
    <row r="210" spans="20:21" ht="14.25" customHeight="1" x14ac:dyDescent="0.25">
      <c r="T210" s="40"/>
      <c r="U210" s="40"/>
    </row>
    <row r="211" spans="20:21" ht="14.25" customHeight="1" x14ac:dyDescent="0.25">
      <c r="T211" s="40"/>
      <c r="U211" s="40"/>
    </row>
    <row r="212" spans="20:21" ht="14.25" customHeight="1" x14ac:dyDescent="0.25">
      <c r="T212" s="40"/>
      <c r="U212" s="40"/>
    </row>
    <row r="213" spans="20:21" ht="14.25" customHeight="1" x14ac:dyDescent="0.25">
      <c r="T213" s="40"/>
      <c r="U213" s="40"/>
    </row>
    <row r="214" spans="20:21" ht="14.25" customHeight="1" x14ac:dyDescent="0.25">
      <c r="T214" s="40"/>
      <c r="U214" s="40"/>
    </row>
    <row r="215" spans="20:21" ht="14.25" customHeight="1" x14ac:dyDescent="0.25">
      <c r="T215" s="40"/>
      <c r="U215" s="40"/>
    </row>
    <row r="216" spans="20:21" ht="14.25" customHeight="1" x14ac:dyDescent="0.25">
      <c r="T216" s="40"/>
      <c r="U216" s="40"/>
    </row>
    <row r="217" spans="20:21" ht="14.25" customHeight="1" x14ac:dyDescent="0.25">
      <c r="T217" s="40"/>
      <c r="U217" s="40"/>
    </row>
    <row r="218" spans="20:21" ht="14.25" customHeight="1" x14ac:dyDescent="0.25">
      <c r="T218" s="40"/>
      <c r="U218" s="40"/>
    </row>
    <row r="219" spans="20:21" ht="14.25" customHeight="1" x14ac:dyDescent="0.25">
      <c r="T219" s="40"/>
      <c r="U219" s="40"/>
    </row>
    <row r="220" spans="20:21" ht="14.25" customHeight="1" x14ac:dyDescent="0.25">
      <c r="T220" s="40"/>
      <c r="U220" s="40"/>
    </row>
    <row r="221" spans="20:21" ht="14.25" customHeight="1" x14ac:dyDescent="0.25">
      <c r="T221" s="40"/>
      <c r="U221" s="40"/>
    </row>
    <row r="222" spans="20:21" ht="14.25" customHeight="1" x14ac:dyDescent="0.25">
      <c r="T222" s="40"/>
      <c r="U222" s="40"/>
    </row>
    <row r="223" spans="20:21" ht="14.25" customHeight="1" x14ac:dyDescent="0.25">
      <c r="T223" s="40"/>
      <c r="U223" s="40"/>
    </row>
    <row r="224" spans="20:21" ht="14.25" customHeight="1" x14ac:dyDescent="0.25">
      <c r="T224" s="40"/>
      <c r="U224" s="40"/>
    </row>
    <row r="225" spans="20:21" ht="14.25" customHeight="1" x14ac:dyDescent="0.25">
      <c r="T225" s="40"/>
      <c r="U225" s="40"/>
    </row>
    <row r="226" spans="20:21" ht="14.25" customHeight="1" x14ac:dyDescent="0.25">
      <c r="T226" s="40"/>
      <c r="U226" s="40"/>
    </row>
    <row r="227" spans="20:21" ht="14.25" customHeight="1" x14ac:dyDescent="0.25">
      <c r="T227" s="40"/>
      <c r="U227" s="40"/>
    </row>
    <row r="228" spans="20:21" ht="14.25" customHeight="1" x14ac:dyDescent="0.25">
      <c r="T228" s="40"/>
      <c r="U228" s="40"/>
    </row>
    <row r="229" spans="20:21" ht="14.25" customHeight="1" x14ac:dyDescent="0.25">
      <c r="T229" s="40"/>
      <c r="U229" s="40"/>
    </row>
    <row r="230" spans="20:21" ht="14.25" customHeight="1" x14ac:dyDescent="0.25">
      <c r="T230" s="40"/>
      <c r="U230" s="40"/>
    </row>
    <row r="231" spans="20:21" ht="14.25" customHeight="1" x14ac:dyDescent="0.25">
      <c r="T231" s="40"/>
      <c r="U231" s="40"/>
    </row>
    <row r="232" spans="20:21" ht="14.25" customHeight="1" x14ac:dyDescent="0.25">
      <c r="T232" s="40"/>
      <c r="U232" s="40"/>
    </row>
    <row r="233" spans="20:21" ht="14.25" customHeight="1" x14ac:dyDescent="0.25">
      <c r="T233" s="40"/>
      <c r="U233" s="40"/>
    </row>
    <row r="234" spans="20:21" ht="14.25" customHeight="1" x14ac:dyDescent="0.25">
      <c r="T234" s="40"/>
      <c r="U234" s="40"/>
    </row>
    <row r="235" spans="20:21" ht="14.25" customHeight="1" x14ac:dyDescent="0.25">
      <c r="T235" s="40"/>
      <c r="U235" s="40"/>
    </row>
    <row r="236" spans="20:21" ht="14.25" customHeight="1" x14ac:dyDescent="0.25">
      <c r="T236" s="40"/>
      <c r="U236" s="40"/>
    </row>
    <row r="237" spans="20:21" ht="14.25" customHeight="1" x14ac:dyDescent="0.25">
      <c r="T237" s="40"/>
      <c r="U237" s="40"/>
    </row>
    <row r="238" spans="20:21" ht="14.25" customHeight="1" x14ac:dyDescent="0.25">
      <c r="T238" s="40"/>
      <c r="U238" s="40"/>
    </row>
    <row r="239" spans="20:21" ht="14.25" customHeight="1" x14ac:dyDescent="0.25">
      <c r="T239" s="40"/>
      <c r="U239" s="40"/>
    </row>
    <row r="240" spans="20:21" ht="14.25" customHeight="1" x14ac:dyDescent="0.25">
      <c r="T240" s="40"/>
      <c r="U240" s="40"/>
    </row>
    <row r="241" spans="20:21" ht="14.25" customHeight="1" x14ac:dyDescent="0.25">
      <c r="T241" s="40"/>
      <c r="U241" s="40"/>
    </row>
    <row r="242" spans="20:21" ht="14.25" customHeight="1" x14ac:dyDescent="0.25">
      <c r="T242" s="40"/>
      <c r="U242" s="40"/>
    </row>
    <row r="243" spans="20:21" ht="14.25" customHeight="1" x14ac:dyDescent="0.25">
      <c r="T243" s="40"/>
      <c r="U243" s="40"/>
    </row>
    <row r="244" spans="20:21" ht="14.25" customHeight="1" x14ac:dyDescent="0.25">
      <c r="T244" s="40"/>
      <c r="U244" s="40"/>
    </row>
    <row r="245" spans="20:21" ht="14.25" customHeight="1" x14ac:dyDescent="0.25">
      <c r="T245" s="40"/>
      <c r="U245" s="40"/>
    </row>
    <row r="246" spans="20:21" ht="14.25" customHeight="1" x14ac:dyDescent="0.25">
      <c r="T246" s="40"/>
      <c r="U246" s="40"/>
    </row>
    <row r="247" spans="20:21" ht="14.25" customHeight="1" x14ac:dyDescent="0.25">
      <c r="T247" s="40"/>
      <c r="U247" s="40"/>
    </row>
    <row r="248" spans="20:21" ht="14.25" customHeight="1" x14ac:dyDescent="0.25">
      <c r="T248" s="40"/>
      <c r="U248" s="40"/>
    </row>
    <row r="249" spans="20:21" ht="14.25" customHeight="1" x14ac:dyDescent="0.25">
      <c r="T249" s="40"/>
      <c r="U249" s="40"/>
    </row>
    <row r="250" spans="20:21" ht="14.25" customHeight="1" x14ac:dyDescent="0.25">
      <c r="T250" s="40"/>
      <c r="U250" s="40"/>
    </row>
    <row r="251" spans="20:21" ht="14.25" customHeight="1" x14ac:dyDescent="0.25">
      <c r="T251" s="40"/>
      <c r="U251" s="40"/>
    </row>
    <row r="252" spans="20:21" ht="14.25" customHeight="1" x14ac:dyDescent="0.25">
      <c r="T252" s="40"/>
      <c r="U252" s="40"/>
    </row>
    <row r="253" spans="20:21" ht="14.25" customHeight="1" x14ac:dyDescent="0.25">
      <c r="T253" s="40"/>
      <c r="U253" s="40"/>
    </row>
    <row r="254" spans="20:21" ht="14.25" customHeight="1" x14ac:dyDescent="0.25">
      <c r="T254" s="40"/>
      <c r="U254" s="40"/>
    </row>
    <row r="255" spans="20:21" ht="14.25" customHeight="1" x14ac:dyDescent="0.25">
      <c r="T255" s="40"/>
      <c r="U255" s="40"/>
    </row>
    <row r="256" spans="20:21" ht="14.25" customHeight="1" x14ac:dyDescent="0.25">
      <c r="T256" s="40"/>
      <c r="U256" s="40"/>
    </row>
    <row r="257" spans="20:21" ht="14.25" customHeight="1" x14ac:dyDescent="0.25">
      <c r="T257" s="40"/>
      <c r="U257" s="40"/>
    </row>
    <row r="258" spans="20:21" ht="14.25" customHeight="1" x14ac:dyDescent="0.25">
      <c r="T258" s="40"/>
      <c r="U258" s="40"/>
    </row>
    <row r="259" spans="20:21" ht="14.25" customHeight="1" x14ac:dyDescent="0.25">
      <c r="T259" s="40"/>
      <c r="U259" s="40"/>
    </row>
    <row r="260" spans="20:21" ht="14.25" customHeight="1" x14ac:dyDescent="0.25">
      <c r="T260" s="40"/>
      <c r="U260" s="40"/>
    </row>
    <row r="261" spans="20:21" ht="14.25" customHeight="1" x14ac:dyDescent="0.25">
      <c r="T261" s="40"/>
      <c r="U261" s="40"/>
    </row>
    <row r="262" spans="20:21" ht="14.25" customHeight="1" x14ac:dyDescent="0.25">
      <c r="T262" s="40"/>
      <c r="U262" s="40"/>
    </row>
    <row r="263" spans="20:21" ht="14.25" customHeight="1" x14ac:dyDescent="0.25">
      <c r="T263" s="40"/>
      <c r="U263" s="40"/>
    </row>
    <row r="264" spans="20:21" ht="14.25" customHeight="1" x14ac:dyDescent="0.25">
      <c r="T264" s="40"/>
      <c r="U264" s="40"/>
    </row>
    <row r="265" spans="20:21" ht="14.25" customHeight="1" x14ac:dyDescent="0.25">
      <c r="T265" s="40"/>
      <c r="U265" s="40"/>
    </row>
    <row r="266" spans="20:21" ht="14.25" customHeight="1" x14ac:dyDescent="0.25">
      <c r="T266" s="40"/>
      <c r="U266" s="40"/>
    </row>
    <row r="267" spans="20:21" ht="14.25" customHeight="1" x14ac:dyDescent="0.25">
      <c r="T267" s="40"/>
      <c r="U267" s="40"/>
    </row>
    <row r="268" spans="20:21" ht="14.25" customHeight="1" x14ac:dyDescent="0.25">
      <c r="T268" s="40"/>
      <c r="U268" s="40"/>
    </row>
    <row r="269" spans="20:21" ht="14.25" customHeight="1" x14ac:dyDescent="0.25">
      <c r="T269" s="40"/>
      <c r="U269" s="40"/>
    </row>
    <row r="270" spans="20:21" ht="14.25" customHeight="1" x14ac:dyDescent="0.25">
      <c r="T270" s="40"/>
      <c r="U270" s="40"/>
    </row>
    <row r="271" spans="20:21" ht="14.25" customHeight="1" x14ac:dyDescent="0.25">
      <c r="T271" s="40"/>
      <c r="U271" s="40"/>
    </row>
    <row r="272" spans="20:21" ht="14.25" customHeight="1" x14ac:dyDescent="0.25">
      <c r="T272" s="40"/>
      <c r="U272" s="40"/>
    </row>
    <row r="273" spans="20:21" ht="14.25" customHeight="1" x14ac:dyDescent="0.25">
      <c r="T273" s="40"/>
      <c r="U273" s="40"/>
    </row>
    <row r="274" spans="20:21" ht="14.25" customHeight="1" x14ac:dyDescent="0.25">
      <c r="T274" s="40"/>
      <c r="U274" s="40"/>
    </row>
    <row r="275" spans="20:21" ht="14.25" customHeight="1" x14ac:dyDescent="0.25">
      <c r="T275" s="40"/>
      <c r="U275" s="40"/>
    </row>
    <row r="276" spans="20:21" ht="14.25" customHeight="1" x14ac:dyDescent="0.25">
      <c r="T276" s="40"/>
      <c r="U276" s="40"/>
    </row>
    <row r="277" spans="20:21" ht="14.25" customHeight="1" x14ac:dyDescent="0.25">
      <c r="T277" s="40"/>
      <c r="U277" s="40"/>
    </row>
    <row r="278" spans="20:21" ht="14.25" customHeight="1" x14ac:dyDescent="0.25">
      <c r="T278" s="40"/>
      <c r="U278" s="40"/>
    </row>
    <row r="279" spans="20:21" ht="14.25" customHeight="1" x14ac:dyDescent="0.25">
      <c r="T279" s="40"/>
      <c r="U279" s="40"/>
    </row>
    <row r="280" spans="20:21" ht="14.25" customHeight="1" x14ac:dyDescent="0.25">
      <c r="T280" s="40"/>
      <c r="U280" s="40"/>
    </row>
    <row r="281" spans="20:21" ht="14.25" customHeight="1" x14ac:dyDescent="0.25">
      <c r="T281" s="40"/>
      <c r="U281" s="40"/>
    </row>
    <row r="282" spans="20:21" ht="14.25" customHeight="1" x14ac:dyDescent="0.25">
      <c r="T282" s="40"/>
      <c r="U282" s="40"/>
    </row>
    <row r="283" spans="20:21" ht="14.25" customHeight="1" x14ac:dyDescent="0.25">
      <c r="T283" s="40"/>
      <c r="U283" s="40"/>
    </row>
    <row r="284" spans="20:21" ht="14.25" customHeight="1" x14ac:dyDescent="0.25">
      <c r="T284" s="40"/>
      <c r="U284" s="40"/>
    </row>
    <row r="285" spans="20:21" ht="14.25" customHeight="1" x14ac:dyDescent="0.25">
      <c r="T285" s="40"/>
      <c r="U285" s="40"/>
    </row>
    <row r="286" spans="20:21" ht="14.25" customHeight="1" x14ac:dyDescent="0.25">
      <c r="T286" s="40"/>
      <c r="U286" s="40"/>
    </row>
    <row r="287" spans="20:21" ht="14.25" customHeight="1" x14ac:dyDescent="0.25">
      <c r="T287" s="40"/>
      <c r="U287" s="40"/>
    </row>
    <row r="288" spans="20:21" ht="14.25" customHeight="1" x14ac:dyDescent="0.25">
      <c r="T288" s="40"/>
      <c r="U288" s="40"/>
    </row>
    <row r="289" spans="20:21" ht="14.25" customHeight="1" x14ac:dyDescent="0.25">
      <c r="T289" s="40"/>
      <c r="U289" s="40"/>
    </row>
    <row r="290" spans="20:21" ht="14.25" customHeight="1" x14ac:dyDescent="0.25">
      <c r="T290" s="40"/>
      <c r="U290" s="40"/>
    </row>
    <row r="291" spans="20:21" ht="14.25" customHeight="1" x14ac:dyDescent="0.25">
      <c r="T291" s="40"/>
      <c r="U291" s="40"/>
    </row>
    <row r="292" spans="20:21" ht="14.25" customHeight="1" x14ac:dyDescent="0.25">
      <c r="T292" s="40"/>
      <c r="U292" s="40"/>
    </row>
    <row r="293" spans="20:21" ht="14.25" customHeight="1" x14ac:dyDescent="0.25">
      <c r="T293" s="40"/>
      <c r="U293" s="40"/>
    </row>
    <row r="294" spans="20:21" ht="14.25" customHeight="1" x14ac:dyDescent="0.25">
      <c r="T294" s="40"/>
      <c r="U294" s="40"/>
    </row>
    <row r="295" spans="20:21" ht="14.25" customHeight="1" x14ac:dyDescent="0.25">
      <c r="T295" s="40"/>
      <c r="U295" s="40"/>
    </row>
    <row r="296" spans="20:21" ht="14.25" customHeight="1" x14ac:dyDescent="0.25">
      <c r="T296" s="40"/>
      <c r="U296" s="40"/>
    </row>
    <row r="297" spans="20:21" ht="14.25" customHeight="1" x14ac:dyDescent="0.25">
      <c r="T297" s="40"/>
      <c r="U297" s="40"/>
    </row>
    <row r="298" spans="20:21" ht="14.25" customHeight="1" x14ac:dyDescent="0.25">
      <c r="T298" s="40"/>
      <c r="U298" s="40"/>
    </row>
    <row r="299" spans="20:21" ht="14.25" customHeight="1" x14ac:dyDescent="0.25">
      <c r="T299" s="40"/>
      <c r="U299" s="40"/>
    </row>
    <row r="300" spans="20:21" ht="14.25" customHeight="1" x14ac:dyDescent="0.25">
      <c r="T300" s="40"/>
      <c r="U300" s="40"/>
    </row>
    <row r="301" spans="20:21" ht="14.25" customHeight="1" x14ac:dyDescent="0.25">
      <c r="T301" s="40"/>
      <c r="U301" s="40"/>
    </row>
    <row r="302" spans="20:21" ht="14.25" customHeight="1" x14ac:dyDescent="0.25">
      <c r="T302" s="40"/>
      <c r="U302" s="40"/>
    </row>
    <row r="303" spans="20:21" ht="14.25" customHeight="1" x14ac:dyDescent="0.25">
      <c r="T303" s="40"/>
      <c r="U303" s="40"/>
    </row>
    <row r="304" spans="20:21" ht="14.25" customHeight="1" x14ac:dyDescent="0.25">
      <c r="T304" s="40"/>
      <c r="U304" s="40"/>
    </row>
    <row r="305" spans="20:21" ht="14.25" customHeight="1" x14ac:dyDescent="0.25">
      <c r="T305" s="40"/>
      <c r="U305" s="40"/>
    </row>
    <row r="306" spans="20:21" ht="14.25" customHeight="1" x14ac:dyDescent="0.25">
      <c r="T306" s="40"/>
      <c r="U306" s="40"/>
    </row>
    <row r="307" spans="20:21" ht="14.25" customHeight="1" x14ac:dyDescent="0.25">
      <c r="T307" s="40"/>
      <c r="U307" s="40"/>
    </row>
    <row r="308" spans="20:21" ht="14.25" customHeight="1" x14ac:dyDescent="0.25">
      <c r="T308" s="40"/>
      <c r="U308" s="40"/>
    </row>
    <row r="309" spans="20:21" ht="14.25" customHeight="1" x14ac:dyDescent="0.25">
      <c r="T309" s="40"/>
      <c r="U309" s="40"/>
    </row>
    <row r="310" spans="20:21" ht="14.25" customHeight="1" x14ac:dyDescent="0.25">
      <c r="T310" s="40"/>
      <c r="U310" s="40"/>
    </row>
    <row r="311" spans="20:21" ht="14.25" customHeight="1" x14ac:dyDescent="0.25">
      <c r="T311" s="40"/>
      <c r="U311" s="40"/>
    </row>
    <row r="312" spans="20:21" ht="14.25" customHeight="1" x14ac:dyDescent="0.25">
      <c r="T312" s="40"/>
      <c r="U312" s="40"/>
    </row>
    <row r="313" spans="20:21" ht="14.25" customHeight="1" x14ac:dyDescent="0.25">
      <c r="T313" s="40"/>
      <c r="U313" s="40"/>
    </row>
    <row r="314" spans="20:21" ht="14.25" customHeight="1" x14ac:dyDescent="0.25">
      <c r="T314" s="40"/>
      <c r="U314" s="40"/>
    </row>
    <row r="315" spans="20:21" ht="14.25" customHeight="1" x14ac:dyDescent="0.25">
      <c r="T315" s="40"/>
      <c r="U315" s="40"/>
    </row>
    <row r="316" spans="20:21" ht="14.25" customHeight="1" x14ac:dyDescent="0.25">
      <c r="T316" s="40"/>
      <c r="U316" s="40"/>
    </row>
    <row r="317" spans="20:21" ht="14.25" customHeight="1" x14ac:dyDescent="0.25">
      <c r="T317" s="40"/>
      <c r="U317" s="40"/>
    </row>
    <row r="318" spans="20:21" ht="14.25" customHeight="1" x14ac:dyDescent="0.25">
      <c r="T318" s="40"/>
      <c r="U318" s="40"/>
    </row>
    <row r="319" spans="20:21" ht="14.25" customHeight="1" x14ac:dyDescent="0.25">
      <c r="T319" s="40"/>
      <c r="U319" s="40"/>
    </row>
    <row r="320" spans="20:21" ht="14.25" customHeight="1" x14ac:dyDescent="0.25">
      <c r="T320" s="40"/>
      <c r="U320" s="40"/>
    </row>
    <row r="321" spans="20:21" ht="14.25" customHeight="1" x14ac:dyDescent="0.25">
      <c r="T321" s="40"/>
      <c r="U321" s="40"/>
    </row>
    <row r="322" spans="20:21" ht="14.25" customHeight="1" x14ac:dyDescent="0.25">
      <c r="T322" s="40"/>
      <c r="U322" s="40"/>
    </row>
    <row r="323" spans="20:21" ht="14.25" customHeight="1" x14ac:dyDescent="0.25">
      <c r="T323" s="40"/>
      <c r="U323" s="40"/>
    </row>
    <row r="324" spans="20:21" ht="14.25" customHeight="1" x14ac:dyDescent="0.25">
      <c r="T324" s="40"/>
      <c r="U324" s="40"/>
    </row>
    <row r="325" spans="20:21" ht="14.25" customHeight="1" x14ac:dyDescent="0.25">
      <c r="T325" s="40"/>
      <c r="U325" s="40"/>
    </row>
    <row r="326" spans="20:21" ht="14.25" customHeight="1" x14ac:dyDescent="0.25">
      <c r="T326" s="40"/>
      <c r="U326" s="40"/>
    </row>
    <row r="327" spans="20:21" ht="14.25" customHeight="1" x14ac:dyDescent="0.25">
      <c r="T327" s="40"/>
      <c r="U327" s="40"/>
    </row>
    <row r="328" spans="20:21" ht="14.25" customHeight="1" x14ac:dyDescent="0.25">
      <c r="T328" s="40"/>
      <c r="U328" s="40"/>
    </row>
    <row r="329" spans="20:21" ht="14.25" customHeight="1" x14ac:dyDescent="0.25">
      <c r="T329" s="40"/>
      <c r="U329" s="40"/>
    </row>
    <row r="330" spans="20:21" ht="14.25" customHeight="1" x14ac:dyDescent="0.25">
      <c r="T330" s="40"/>
      <c r="U330" s="40"/>
    </row>
    <row r="331" spans="20:21" ht="14.25" customHeight="1" x14ac:dyDescent="0.25">
      <c r="T331" s="40"/>
      <c r="U331" s="40"/>
    </row>
    <row r="332" spans="20:21" ht="14.25" customHeight="1" x14ac:dyDescent="0.25">
      <c r="T332" s="40"/>
      <c r="U332" s="40"/>
    </row>
    <row r="333" spans="20:21" ht="14.25" customHeight="1" x14ac:dyDescent="0.25">
      <c r="T333" s="40"/>
      <c r="U333" s="40"/>
    </row>
    <row r="334" spans="20:21" ht="14.25" customHeight="1" x14ac:dyDescent="0.25">
      <c r="T334" s="40"/>
      <c r="U334" s="40"/>
    </row>
    <row r="335" spans="20:21" ht="14.25" customHeight="1" x14ac:dyDescent="0.25">
      <c r="T335" s="40"/>
      <c r="U335" s="40"/>
    </row>
    <row r="336" spans="20:21" ht="14.25" customHeight="1" x14ac:dyDescent="0.25">
      <c r="T336" s="40"/>
      <c r="U336" s="40"/>
    </row>
    <row r="337" spans="20:21" ht="14.25" customHeight="1" x14ac:dyDescent="0.25">
      <c r="T337" s="40"/>
      <c r="U337" s="40"/>
    </row>
    <row r="338" spans="20:21" ht="14.25" customHeight="1" x14ac:dyDescent="0.25">
      <c r="T338" s="40"/>
      <c r="U338" s="40"/>
    </row>
    <row r="339" spans="20:21" ht="14.25" customHeight="1" x14ac:dyDescent="0.25">
      <c r="T339" s="40"/>
      <c r="U339" s="40"/>
    </row>
    <row r="340" spans="20:21" ht="14.25" customHeight="1" x14ac:dyDescent="0.25">
      <c r="T340" s="40"/>
      <c r="U340" s="40"/>
    </row>
    <row r="341" spans="20:21" ht="14.25" customHeight="1" x14ac:dyDescent="0.25">
      <c r="T341" s="40"/>
      <c r="U341" s="40"/>
    </row>
    <row r="342" spans="20:21" ht="14.25" customHeight="1" x14ac:dyDescent="0.25">
      <c r="T342" s="40"/>
      <c r="U342" s="40"/>
    </row>
    <row r="343" spans="20:21" ht="14.25" customHeight="1" x14ac:dyDescent="0.25">
      <c r="T343" s="40"/>
      <c r="U343" s="40"/>
    </row>
    <row r="344" spans="20:21" ht="14.25" customHeight="1" x14ac:dyDescent="0.25">
      <c r="T344" s="40"/>
      <c r="U344" s="40"/>
    </row>
    <row r="345" spans="20:21" ht="14.25" customHeight="1" x14ac:dyDescent="0.25">
      <c r="T345" s="40"/>
      <c r="U345" s="40"/>
    </row>
    <row r="346" spans="20:21" ht="14.25" customHeight="1" x14ac:dyDescent="0.25">
      <c r="T346" s="40"/>
      <c r="U346" s="40"/>
    </row>
    <row r="347" spans="20:21" ht="14.25" customHeight="1" x14ac:dyDescent="0.25">
      <c r="T347" s="40"/>
      <c r="U347" s="40"/>
    </row>
    <row r="348" spans="20:21" ht="14.25" customHeight="1" x14ac:dyDescent="0.25">
      <c r="T348" s="40"/>
      <c r="U348" s="40"/>
    </row>
    <row r="349" spans="20:21" ht="14.25" customHeight="1" x14ac:dyDescent="0.25">
      <c r="T349" s="40"/>
      <c r="U349" s="40"/>
    </row>
    <row r="350" spans="20:21" ht="14.25" customHeight="1" x14ac:dyDescent="0.25">
      <c r="T350" s="40"/>
      <c r="U350" s="40"/>
    </row>
    <row r="351" spans="20:21" ht="14.25" customHeight="1" x14ac:dyDescent="0.25">
      <c r="T351" s="40"/>
      <c r="U351" s="40"/>
    </row>
    <row r="352" spans="20:21" ht="14.25" customHeight="1" x14ac:dyDescent="0.25">
      <c r="T352" s="40"/>
      <c r="U352" s="40"/>
    </row>
    <row r="353" spans="20:21" ht="14.25" customHeight="1" x14ac:dyDescent="0.25">
      <c r="T353" s="40"/>
      <c r="U353" s="40"/>
    </row>
    <row r="354" spans="20:21" ht="14.25" customHeight="1" x14ac:dyDescent="0.25">
      <c r="T354" s="40"/>
      <c r="U354" s="40"/>
    </row>
    <row r="355" spans="20:21" ht="14.25" customHeight="1" x14ac:dyDescent="0.25">
      <c r="T355" s="40"/>
      <c r="U355" s="40"/>
    </row>
    <row r="356" spans="20:21" ht="14.25" customHeight="1" x14ac:dyDescent="0.25">
      <c r="T356" s="40"/>
      <c r="U356" s="40"/>
    </row>
    <row r="357" spans="20:21" ht="14.25" customHeight="1" x14ac:dyDescent="0.25">
      <c r="T357" s="40"/>
      <c r="U357" s="40"/>
    </row>
    <row r="358" spans="20:21" ht="14.25" customHeight="1" x14ac:dyDescent="0.25">
      <c r="T358" s="40"/>
      <c r="U358" s="40"/>
    </row>
    <row r="359" spans="20:21" ht="14.25" customHeight="1" x14ac:dyDescent="0.25">
      <c r="T359" s="40"/>
      <c r="U359" s="40"/>
    </row>
    <row r="360" spans="20:21" ht="14.25" customHeight="1" x14ac:dyDescent="0.25">
      <c r="T360" s="40"/>
      <c r="U360" s="40"/>
    </row>
    <row r="361" spans="20:21" ht="14.25" customHeight="1" x14ac:dyDescent="0.25">
      <c r="T361" s="40"/>
      <c r="U361" s="40"/>
    </row>
    <row r="362" spans="20:21" ht="14.25" customHeight="1" x14ac:dyDescent="0.25">
      <c r="T362" s="40"/>
      <c r="U362" s="40"/>
    </row>
    <row r="363" spans="20:21" ht="14.25" customHeight="1" x14ac:dyDescent="0.25">
      <c r="T363" s="40"/>
      <c r="U363" s="40"/>
    </row>
    <row r="364" spans="20:21" ht="14.25" customHeight="1" x14ac:dyDescent="0.25">
      <c r="T364" s="40"/>
      <c r="U364" s="40"/>
    </row>
    <row r="365" spans="20:21" ht="14.25" customHeight="1" x14ac:dyDescent="0.25">
      <c r="T365" s="40"/>
      <c r="U365" s="40"/>
    </row>
    <row r="366" spans="20:21" ht="14.25" customHeight="1" x14ac:dyDescent="0.25">
      <c r="T366" s="40"/>
      <c r="U366" s="40"/>
    </row>
    <row r="367" spans="20:21" ht="14.25" customHeight="1" x14ac:dyDescent="0.25">
      <c r="T367" s="40"/>
      <c r="U367" s="40"/>
    </row>
    <row r="368" spans="20:21" ht="14.25" customHeight="1" x14ac:dyDescent="0.25">
      <c r="T368" s="40"/>
      <c r="U368" s="40"/>
    </row>
    <row r="369" spans="20:21" ht="14.25" customHeight="1" x14ac:dyDescent="0.25">
      <c r="T369" s="40"/>
      <c r="U369" s="40"/>
    </row>
    <row r="370" spans="20:21" ht="14.25" customHeight="1" x14ac:dyDescent="0.25">
      <c r="T370" s="40"/>
      <c r="U370" s="40"/>
    </row>
    <row r="371" spans="20:21" ht="14.25" customHeight="1" x14ac:dyDescent="0.25">
      <c r="T371" s="40"/>
      <c r="U371" s="40"/>
    </row>
    <row r="372" spans="20:21" ht="14.25" customHeight="1" x14ac:dyDescent="0.25">
      <c r="T372" s="40"/>
      <c r="U372" s="40"/>
    </row>
    <row r="373" spans="20:21" ht="14.25" customHeight="1" x14ac:dyDescent="0.25">
      <c r="T373" s="40"/>
      <c r="U373" s="40"/>
    </row>
    <row r="374" spans="20:21" ht="14.25" customHeight="1" x14ac:dyDescent="0.25">
      <c r="T374" s="40"/>
      <c r="U374" s="40"/>
    </row>
    <row r="375" spans="20:21" ht="14.25" customHeight="1" x14ac:dyDescent="0.25">
      <c r="T375" s="40"/>
      <c r="U375" s="40"/>
    </row>
    <row r="376" spans="20:21" ht="14.25" customHeight="1" x14ac:dyDescent="0.25">
      <c r="T376" s="40"/>
      <c r="U376" s="40"/>
    </row>
    <row r="377" spans="20:21" ht="14.25" customHeight="1" x14ac:dyDescent="0.25">
      <c r="T377" s="40"/>
      <c r="U377" s="40"/>
    </row>
    <row r="378" spans="20:21" ht="14.25" customHeight="1" x14ac:dyDescent="0.25">
      <c r="T378" s="40"/>
      <c r="U378" s="40"/>
    </row>
    <row r="379" spans="20:21" ht="14.25" customHeight="1" x14ac:dyDescent="0.25">
      <c r="T379" s="40"/>
      <c r="U379" s="40"/>
    </row>
    <row r="380" spans="20:21" ht="14.25" customHeight="1" x14ac:dyDescent="0.25">
      <c r="T380" s="40"/>
      <c r="U380" s="40"/>
    </row>
    <row r="381" spans="20:21" ht="14.25" customHeight="1" x14ac:dyDescent="0.25">
      <c r="T381" s="40"/>
      <c r="U381" s="40"/>
    </row>
    <row r="382" spans="20:21" ht="14.25" customHeight="1" x14ac:dyDescent="0.25">
      <c r="T382" s="40"/>
      <c r="U382" s="40"/>
    </row>
    <row r="383" spans="20:21" ht="14.25" customHeight="1" x14ac:dyDescent="0.25">
      <c r="T383" s="40"/>
      <c r="U383" s="40"/>
    </row>
    <row r="384" spans="20:21" ht="14.25" customHeight="1" x14ac:dyDescent="0.25">
      <c r="T384" s="40"/>
      <c r="U384" s="40"/>
    </row>
    <row r="385" spans="20:21" ht="14.25" customHeight="1" x14ac:dyDescent="0.25">
      <c r="T385" s="40"/>
      <c r="U385" s="40"/>
    </row>
    <row r="386" spans="20:21" ht="14.25" customHeight="1" x14ac:dyDescent="0.25">
      <c r="T386" s="40"/>
      <c r="U386" s="40"/>
    </row>
    <row r="387" spans="20:21" ht="14.25" customHeight="1" x14ac:dyDescent="0.25">
      <c r="T387" s="40"/>
      <c r="U387" s="40"/>
    </row>
    <row r="388" spans="20:21" ht="14.25" customHeight="1" x14ac:dyDescent="0.25">
      <c r="T388" s="40"/>
      <c r="U388" s="40"/>
    </row>
    <row r="389" spans="20:21" ht="14.25" customHeight="1" x14ac:dyDescent="0.25">
      <c r="T389" s="40"/>
      <c r="U389" s="40"/>
    </row>
    <row r="390" spans="20:21" ht="14.25" customHeight="1" x14ac:dyDescent="0.25">
      <c r="T390" s="40"/>
      <c r="U390" s="40"/>
    </row>
    <row r="391" spans="20:21" ht="14.25" customHeight="1" x14ac:dyDescent="0.25">
      <c r="T391" s="40"/>
      <c r="U391" s="40"/>
    </row>
    <row r="392" spans="20:21" ht="14.25" customHeight="1" x14ac:dyDescent="0.25">
      <c r="T392" s="40"/>
      <c r="U392" s="40"/>
    </row>
    <row r="393" spans="20:21" ht="14.25" customHeight="1" x14ac:dyDescent="0.25">
      <c r="T393" s="40"/>
      <c r="U393" s="40"/>
    </row>
    <row r="394" spans="20:21" ht="14.25" customHeight="1" x14ac:dyDescent="0.25">
      <c r="T394" s="40"/>
      <c r="U394" s="40"/>
    </row>
    <row r="395" spans="20:21" ht="14.25" customHeight="1" x14ac:dyDescent="0.25">
      <c r="T395" s="40"/>
      <c r="U395" s="40"/>
    </row>
    <row r="396" spans="20:21" ht="14.25" customHeight="1" x14ac:dyDescent="0.25">
      <c r="T396" s="40"/>
      <c r="U396" s="40"/>
    </row>
    <row r="397" spans="20:21" ht="14.25" customHeight="1" x14ac:dyDescent="0.25">
      <c r="T397" s="40"/>
      <c r="U397" s="40"/>
    </row>
    <row r="398" spans="20:21" ht="14.25" customHeight="1" x14ac:dyDescent="0.25">
      <c r="T398" s="40"/>
      <c r="U398" s="40"/>
    </row>
    <row r="399" spans="20:21" ht="14.25" customHeight="1" x14ac:dyDescent="0.25">
      <c r="T399" s="40"/>
      <c r="U399" s="40"/>
    </row>
    <row r="400" spans="20:21" ht="14.25" customHeight="1" x14ac:dyDescent="0.25">
      <c r="T400" s="40"/>
      <c r="U400" s="40"/>
    </row>
    <row r="401" spans="20:21" ht="14.25" customHeight="1" x14ac:dyDescent="0.25">
      <c r="T401" s="40"/>
      <c r="U401" s="40"/>
    </row>
    <row r="402" spans="20:21" ht="14.25" customHeight="1" x14ac:dyDescent="0.25">
      <c r="T402" s="40"/>
      <c r="U402" s="40"/>
    </row>
    <row r="403" spans="20:21" ht="14.25" customHeight="1" x14ac:dyDescent="0.25">
      <c r="T403" s="40"/>
      <c r="U403" s="40"/>
    </row>
    <row r="404" spans="20:21" ht="14.25" customHeight="1" x14ac:dyDescent="0.25">
      <c r="T404" s="40"/>
      <c r="U404" s="40"/>
    </row>
    <row r="405" spans="20:21" ht="14.25" customHeight="1" x14ac:dyDescent="0.25">
      <c r="T405" s="40"/>
      <c r="U405" s="40"/>
    </row>
    <row r="406" spans="20:21" ht="14.25" customHeight="1" x14ac:dyDescent="0.25">
      <c r="T406" s="40"/>
      <c r="U406" s="40"/>
    </row>
    <row r="407" spans="20:21" ht="14.25" customHeight="1" x14ac:dyDescent="0.25">
      <c r="T407" s="40"/>
      <c r="U407" s="40"/>
    </row>
    <row r="408" spans="20:21" ht="14.25" customHeight="1" x14ac:dyDescent="0.25">
      <c r="T408" s="40"/>
      <c r="U408" s="40"/>
    </row>
    <row r="409" spans="20:21" ht="14.25" customHeight="1" x14ac:dyDescent="0.25">
      <c r="T409" s="40"/>
      <c r="U409" s="40"/>
    </row>
    <row r="410" spans="20:21" ht="14.25" customHeight="1" x14ac:dyDescent="0.25">
      <c r="T410" s="40"/>
      <c r="U410" s="40"/>
    </row>
    <row r="411" spans="20:21" ht="14.25" customHeight="1" x14ac:dyDescent="0.25">
      <c r="T411" s="40"/>
      <c r="U411" s="40"/>
    </row>
    <row r="412" spans="20:21" ht="14.25" customHeight="1" x14ac:dyDescent="0.25">
      <c r="T412" s="40"/>
      <c r="U412" s="40"/>
    </row>
    <row r="413" spans="20:21" ht="14.25" customHeight="1" x14ac:dyDescent="0.25">
      <c r="T413" s="40"/>
      <c r="U413" s="40"/>
    </row>
    <row r="414" spans="20:21" ht="14.25" customHeight="1" x14ac:dyDescent="0.25">
      <c r="T414" s="40"/>
      <c r="U414" s="40"/>
    </row>
    <row r="415" spans="20:21" ht="14.25" customHeight="1" x14ac:dyDescent="0.25">
      <c r="T415" s="40"/>
      <c r="U415" s="40"/>
    </row>
    <row r="416" spans="20:21" ht="14.25" customHeight="1" x14ac:dyDescent="0.25">
      <c r="T416" s="40"/>
      <c r="U416" s="40"/>
    </row>
    <row r="417" spans="20:21" ht="14.25" customHeight="1" x14ac:dyDescent="0.25">
      <c r="T417" s="40"/>
      <c r="U417" s="40"/>
    </row>
    <row r="418" spans="20:21" ht="14.25" customHeight="1" x14ac:dyDescent="0.25">
      <c r="T418" s="40"/>
      <c r="U418" s="40"/>
    </row>
    <row r="419" spans="20:21" ht="14.25" customHeight="1" x14ac:dyDescent="0.25">
      <c r="T419" s="40"/>
      <c r="U419" s="40"/>
    </row>
    <row r="420" spans="20:21" ht="14.25" customHeight="1" x14ac:dyDescent="0.25">
      <c r="T420" s="40"/>
      <c r="U420" s="40"/>
    </row>
    <row r="421" spans="20:21" ht="14.25" customHeight="1" x14ac:dyDescent="0.25">
      <c r="T421" s="40"/>
      <c r="U421" s="40"/>
    </row>
    <row r="422" spans="20:21" ht="14.25" customHeight="1" x14ac:dyDescent="0.25">
      <c r="T422" s="40"/>
      <c r="U422" s="40"/>
    </row>
    <row r="423" spans="20:21" ht="14.25" customHeight="1" x14ac:dyDescent="0.25">
      <c r="T423" s="40"/>
      <c r="U423" s="40"/>
    </row>
    <row r="424" spans="20:21" ht="14.25" customHeight="1" x14ac:dyDescent="0.25">
      <c r="T424" s="40"/>
      <c r="U424" s="40"/>
    </row>
    <row r="425" spans="20:21" ht="14.25" customHeight="1" x14ac:dyDescent="0.25">
      <c r="T425" s="40"/>
      <c r="U425" s="40"/>
    </row>
    <row r="426" spans="20:21" ht="14.25" customHeight="1" x14ac:dyDescent="0.25">
      <c r="T426" s="40"/>
      <c r="U426" s="40"/>
    </row>
    <row r="427" spans="20:21" ht="14.25" customHeight="1" x14ac:dyDescent="0.25">
      <c r="T427" s="40"/>
      <c r="U427" s="40"/>
    </row>
    <row r="428" spans="20:21" ht="14.25" customHeight="1" x14ac:dyDescent="0.25">
      <c r="T428" s="40"/>
      <c r="U428" s="40"/>
    </row>
    <row r="429" spans="20:21" ht="14.25" customHeight="1" x14ac:dyDescent="0.25">
      <c r="T429" s="40"/>
      <c r="U429" s="40"/>
    </row>
    <row r="430" spans="20:21" ht="14.25" customHeight="1" x14ac:dyDescent="0.25">
      <c r="T430" s="40"/>
      <c r="U430" s="40"/>
    </row>
    <row r="431" spans="20:21" ht="14.25" customHeight="1" x14ac:dyDescent="0.25">
      <c r="T431" s="40"/>
      <c r="U431" s="40"/>
    </row>
    <row r="432" spans="20:21" ht="14.25" customHeight="1" x14ac:dyDescent="0.25">
      <c r="T432" s="40"/>
      <c r="U432" s="40"/>
    </row>
    <row r="433" spans="20:21" ht="14.25" customHeight="1" x14ac:dyDescent="0.25">
      <c r="T433" s="40"/>
      <c r="U433" s="40"/>
    </row>
    <row r="434" spans="20:21" ht="14.25" customHeight="1" x14ac:dyDescent="0.25">
      <c r="T434" s="40"/>
      <c r="U434" s="40"/>
    </row>
    <row r="435" spans="20:21" ht="14.25" customHeight="1" x14ac:dyDescent="0.25">
      <c r="T435" s="40"/>
      <c r="U435" s="40"/>
    </row>
    <row r="436" spans="20:21" ht="14.25" customHeight="1" x14ac:dyDescent="0.25">
      <c r="T436" s="40"/>
      <c r="U436" s="40"/>
    </row>
    <row r="437" spans="20:21" ht="14.25" customHeight="1" x14ac:dyDescent="0.25">
      <c r="T437" s="40"/>
      <c r="U437" s="40"/>
    </row>
    <row r="438" spans="20:21" ht="14.25" customHeight="1" x14ac:dyDescent="0.25">
      <c r="T438" s="40"/>
      <c r="U438" s="40"/>
    </row>
    <row r="439" spans="20:21" ht="14.25" customHeight="1" x14ac:dyDescent="0.25">
      <c r="T439" s="40"/>
      <c r="U439" s="40"/>
    </row>
    <row r="440" spans="20:21" ht="14.25" customHeight="1" x14ac:dyDescent="0.25">
      <c r="T440" s="40"/>
      <c r="U440" s="40"/>
    </row>
    <row r="441" spans="20:21" ht="14.25" customHeight="1" x14ac:dyDescent="0.25">
      <c r="T441" s="40"/>
      <c r="U441" s="40"/>
    </row>
    <row r="442" spans="20:21" ht="14.25" customHeight="1" x14ac:dyDescent="0.25">
      <c r="T442" s="40"/>
      <c r="U442" s="40"/>
    </row>
    <row r="443" spans="20:21" ht="14.25" customHeight="1" x14ac:dyDescent="0.25">
      <c r="T443" s="40"/>
      <c r="U443" s="40"/>
    </row>
    <row r="444" spans="20:21" ht="14.25" customHeight="1" x14ac:dyDescent="0.25">
      <c r="T444" s="40"/>
      <c r="U444" s="40"/>
    </row>
    <row r="445" spans="20:21" ht="14.25" customHeight="1" x14ac:dyDescent="0.25">
      <c r="T445" s="40"/>
      <c r="U445" s="40"/>
    </row>
    <row r="446" spans="20:21" ht="14.25" customHeight="1" x14ac:dyDescent="0.25">
      <c r="T446" s="40"/>
      <c r="U446" s="40"/>
    </row>
    <row r="447" spans="20:21" ht="14.25" customHeight="1" x14ac:dyDescent="0.25">
      <c r="T447" s="40"/>
      <c r="U447" s="40"/>
    </row>
    <row r="448" spans="20:21" ht="14.25" customHeight="1" x14ac:dyDescent="0.25">
      <c r="T448" s="40"/>
      <c r="U448" s="40"/>
    </row>
    <row r="449" spans="20:21" ht="14.25" customHeight="1" x14ac:dyDescent="0.25">
      <c r="T449" s="40"/>
      <c r="U449" s="40"/>
    </row>
    <row r="450" spans="20:21" ht="14.25" customHeight="1" x14ac:dyDescent="0.25">
      <c r="T450" s="40"/>
      <c r="U450" s="40"/>
    </row>
    <row r="451" spans="20:21" ht="14.25" customHeight="1" x14ac:dyDescent="0.25">
      <c r="T451" s="40"/>
      <c r="U451" s="40"/>
    </row>
    <row r="452" spans="20:21" ht="14.25" customHeight="1" x14ac:dyDescent="0.25">
      <c r="T452" s="40"/>
      <c r="U452" s="40"/>
    </row>
    <row r="453" spans="20:21" ht="14.25" customHeight="1" x14ac:dyDescent="0.25">
      <c r="T453" s="40"/>
      <c r="U453" s="40"/>
    </row>
    <row r="454" spans="20:21" ht="14.25" customHeight="1" x14ac:dyDescent="0.25">
      <c r="T454" s="40"/>
      <c r="U454" s="40"/>
    </row>
    <row r="455" spans="20:21" ht="14.25" customHeight="1" x14ac:dyDescent="0.25">
      <c r="T455" s="40"/>
      <c r="U455" s="40"/>
    </row>
    <row r="456" spans="20:21" ht="14.25" customHeight="1" x14ac:dyDescent="0.25">
      <c r="T456" s="40"/>
      <c r="U456" s="40"/>
    </row>
    <row r="457" spans="20:21" ht="14.25" customHeight="1" x14ac:dyDescent="0.25">
      <c r="T457" s="40"/>
      <c r="U457" s="40"/>
    </row>
    <row r="458" spans="20:21" ht="14.25" customHeight="1" x14ac:dyDescent="0.25">
      <c r="T458" s="40"/>
      <c r="U458" s="40"/>
    </row>
    <row r="459" spans="20:21" ht="14.25" customHeight="1" x14ac:dyDescent="0.25">
      <c r="T459" s="40"/>
      <c r="U459" s="40"/>
    </row>
    <row r="460" spans="20:21" ht="14.25" customHeight="1" x14ac:dyDescent="0.25">
      <c r="T460" s="40"/>
      <c r="U460" s="40"/>
    </row>
    <row r="461" spans="20:21" ht="14.25" customHeight="1" x14ac:dyDescent="0.25">
      <c r="T461" s="40"/>
      <c r="U461" s="40"/>
    </row>
    <row r="462" spans="20:21" ht="14.25" customHeight="1" x14ac:dyDescent="0.25">
      <c r="T462" s="40"/>
      <c r="U462" s="40"/>
    </row>
    <row r="463" spans="20:21" ht="14.25" customHeight="1" x14ac:dyDescent="0.25">
      <c r="T463" s="40"/>
      <c r="U463" s="40"/>
    </row>
    <row r="464" spans="20:21" ht="14.25" customHeight="1" x14ac:dyDescent="0.25">
      <c r="T464" s="40"/>
      <c r="U464" s="40"/>
    </row>
    <row r="465" spans="20:21" ht="14.25" customHeight="1" x14ac:dyDescent="0.25">
      <c r="T465" s="40"/>
      <c r="U465" s="40"/>
    </row>
    <row r="466" spans="20:21" ht="14.25" customHeight="1" x14ac:dyDescent="0.25">
      <c r="T466" s="40"/>
      <c r="U466" s="40"/>
    </row>
    <row r="467" spans="20:21" ht="14.25" customHeight="1" x14ac:dyDescent="0.25">
      <c r="T467" s="40"/>
      <c r="U467" s="40"/>
    </row>
    <row r="468" spans="20:21" ht="14.25" customHeight="1" x14ac:dyDescent="0.25">
      <c r="T468" s="40"/>
      <c r="U468" s="40"/>
    </row>
    <row r="469" spans="20:21" ht="14.25" customHeight="1" x14ac:dyDescent="0.25">
      <c r="T469" s="40"/>
      <c r="U469" s="40"/>
    </row>
    <row r="470" spans="20:21" ht="14.25" customHeight="1" x14ac:dyDescent="0.25">
      <c r="T470" s="40"/>
      <c r="U470" s="40"/>
    </row>
    <row r="471" spans="20:21" ht="14.25" customHeight="1" x14ac:dyDescent="0.25">
      <c r="T471" s="40"/>
      <c r="U471" s="40"/>
    </row>
    <row r="472" spans="20:21" ht="14.25" customHeight="1" x14ac:dyDescent="0.25">
      <c r="T472" s="40"/>
      <c r="U472" s="40"/>
    </row>
    <row r="473" spans="20:21" ht="14.25" customHeight="1" x14ac:dyDescent="0.25">
      <c r="T473" s="40"/>
      <c r="U473" s="40"/>
    </row>
    <row r="474" spans="20:21" ht="14.25" customHeight="1" x14ac:dyDescent="0.25">
      <c r="T474" s="40"/>
      <c r="U474" s="40"/>
    </row>
    <row r="475" spans="20:21" ht="14.25" customHeight="1" x14ac:dyDescent="0.25">
      <c r="T475" s="40"/>
      <c r="U475" s="40"/>
    </row>
    <row r="476" spans="20:21" ht="14.25" customHeight="1" x14ac:dyDescent="0.25">
      <c r="T476" s="40"/>
      <c r="U476" s="40"/>
    </row>
    <row r="477" spans="20:21" ht="14.25" customHeight="1" x14ac:dyDescent="0.25">
      <c r="T477" s="40"/>
      <c r="U477" s="40"/>
    </row>
    <row r="478" spans="20:21" ht="14.25" customHeight="1" x14ac:dyDescent="0.25">
      <c r="T478" s="40"/>
      <c r="U478" s="40"/>
    </row>
    <row r="479" spans="20:21" ht="14.25" customHeight="1" x14ac:dyDescent="0.25">
      <c r="T479" s="40"/>
      <c r="U479" s="40"/>
    </row>
    <row r="480" spans="20:21" ht="14.25" customHeight="1" x14ac:dyDescent="0.25">
      <c r="T480" s="40"/>
      <c r="U480" s="40"/>
    </row>
    <row r="481" spans="20:21" ht="14.25" customHeight="1" x14ac:dyDescent="0.25">
      <c r="T481" s="40"/>
      <c r="U481" s="40"/>
    </row>
    <row r="482" spans="20:21" ht="14.25" customHeight="1" x14ac:dyDescent="0.25">
      <c r="T482" s="40"/>
      <c r="U482" s="40"/>
    </row>
    <row r="483" spans="20:21" ht="14.25" customHeight="1" x14ac:dyDescent="0.25">
      <c r="T483" s="40"/>
      <c r="U483" s="40"/>
    </row>
    <row r="484" spans="20:21" ht="14.25" customHeight="1" x14ac:dyDescent="0.25">
      <c r="T484" s="40"/>
      <c r="U484" s="40"/>
    </row>
    <row r="485" spans="20:21" ht="14.25" customHeight="1" x14ac:dyDescent="0.25">
      <c r="T485" s="40"/>
      <c r="U485" s="40"/>
    </row>
    <row r="486" spans="20:21" ht="14.25" customHeight="1" x14ac:dyDescent="0.25">
      <c r="T486" s="40"/>
      <c r="U486" s="40"/>
    </row>
    <row r="487" spans="20:21" ht="14.25" customHeight="1" x14ac:dyDescent="0.25">
      <c r="T487" s="40"/>
      <c r="U487" s="40"/>
    </row>
    <row r="488" spans="20:21" ht="14.25" customHeight="1" x14ac:dyDescent="0.25">
      <c r="T488" s="40"/>
      <c r="U488" s="40"/>
    </row>
    <row r="489" spans="20:21" ht="14.25" customHeight="1" x14ac:dyDescent="0.25">
      <c r="T489" s="40"/>
      <c r="U489" s="40"/>
    </row>
    <row r="490" spans="20:21" ht="14.25" customHeight="1" x14ac:dyDescent="0.25">
      <c r="T490" s="40"/>
      <c r="U490" s="40"/>
    </row>
    <row r="491" spans="20:21" ht="14.25" customHeight="1" x14ac:dyDescent="0.25">
      <c r="T491" s="40"/>
      <c r="U491" s="40"/>
    </row>
    <row r="492" spans="20:21" ht="14.25" customHeight="1" x14ac:dyDescent="0.25">
      <c r="T492" s="40"/>
      <c r="U492" s="40"/>
    </row>
    <row r="493" spans="20:21" ht="14.25" customHeight="1" x14ac:dyDescent="0.25">
      <c r="T493" s="40"/>
      <c r="U493" s="40"/>
    </row>
    <row r="494" spans="20:21" ht="14.25" customHeight="1" x14ac:dyDescent="0.25">
      <c r="T494" s="40"/>
      <c r="U494" s="40"/>
    </row>
    <row r="495" spans="20:21" ht="14.25" customHeight="1" x14ac:dyDescent="0.25">
      <c r="T495" s="40"/>
      <c r="U495" s="40"/>
    </row>
    <row r="496" spans="20:21" ht="14.25" customHeight="1" x14ac:dyDescent="0.25">
      <c r="T496" s="40"/>
      <c r="U496" s="40"/>
    </row>
    <row r="497" spans="20:21" ht="14.25" customHeight="1" x14ac:dyDescent="0.25">
      <c r="T497" s="40"/>
      <c r="U497" s="40"/>
    </row>
    <row r="498" spans="20:21" ht="14.25" customHeight="1" x14ac:dyDescent="0.25">
      <c r="T498" s="40"/>
      <c r="U498" s="40"/>
    </row>
    <row r="499" spans="20:21" ht="14.25" customHeight="1" x14ac:dyDescent="0.25">
      <c r="T499" s="40"/>
      <c r="U499" s="40"/>
    </row>
    <row r="500" spans="20:21" ht="14.25" customHeight="1" x14ac:dyDescent="0.25">
      <c r="T500" s="40"/>
      <c r="U500" s="40"/>
    </row>
    <row r="501" spans="20:21" ht="14.25" customHeight="1" x14ac:dyDescent="0.25">
      <c r="T501" s="40"/>
      <c r="U501" s="40"/>
    </row>
    <row r="502" spans="20:21" ht="14.25" customHeight="1" x14ac:dyDescent="0.25">
      <c r="T502" s="40"/>
      <c r="U502" s="40"/>
    </row>
    <row r="503" spans="20:21" ht="14.25" customHeight="1" x14ac:dyDescent="0.25">
      <c r="T503" s="40"/>
      <c r="U503" s="40"/>
    </row>
    <row r="504" spans="20:21" ht="14.25" customHeight="1" x14ac:dyDescent="0.25">
      <c r="T504" s="40"/>
      <c r="U504" s="40"/>
    </row>
    <row r="505" spans="20:21" ht="14.25" customHeight="1" x14ac:dyDescent="0.25">
      <c r="T505" s="40"/>
      <c r="U505" s="40"/>
    </row>
    <row r="506" spans="20:21" ht="14.25" customHeight="1" x14ac:dyDescent="0.25">
      <c r="T506" s="40"/>
      <c r="U506" s="40"/>
    </row>
    <row r="507" spans="20:21" ht="14.25" customHeight="1" x14ac:dyDescent="0.25">
      <c r="T507" s="40"/>
      <c r="U507" s="40"/>
    </row>
    <row r="508" spans="20:21" ht="14.25" customHeight="1" x14ac:dyDescent="0.25">
      <c r="T508" s="40"/>
      <c r="U508" s="40"/>
    </row>
    <row r="509" spans="20:21" ht="14.25" customHeight="1" x14ac:dyDescent="0.25">
      <c r="T509" s="40"/>
      <c r="U509" s="40"/>
    </row>
    <row r="510" spans="20:21" ht="14.25" customHeight="1" x14ac:dyDescent="0.25">
      <c r="T510" s="40"/>
      <c r="U510" s="40"/>
    </row>
    <row r="511" spans="20:21" ht="14.25" customHeight="1" x14ac:dyDescent="0.25">
      <c r="T511" s="40"/>
      <c r="U511" s="40"/>
    </row>
    <row r="512" spans="20:21" ht="14.25" customHeight="1" x14ac:dyDescent="0.25">
      <c r="T512" s="40"/>
      <c r="U512" s="40"/>
    </row>
    <row r="513" spans="20:21" ht="14.25" customHeight="1" x14ac:dyDescent="0.25">
      <c r="T513" s="40"/>
      <c r="U513" s="40"/>
    </row>
    <row r="514" spans="20:21" ht="14.25" customHeight="1" x14ac:dyDescent="0.25">
      <c r="T514" s="40"/>
      <c r="U514" s="40"/>
    </row>
    <row r="515" spans="20:21" ht="14.25" customHeight="1" x14ac:dyDescent="0.25">
      <c r="T515" s="40"/>
      <c r="U515" s="40"/>
    </row>
    <row r="516" spans="20:21" ht="14.25" customHeight="1" x14ac:dyDescent="0.25">
      <c r="T516" s="40"/>
      <c r="U516" s="40"/>
    </row>
    <row r="517" spans="20:21" ht="14.25" customHeight="1" x14ac:dyDescent="0.25">
      <c r="T517" s="40"/>
      <c r="U517" s="40"/>
    </row>
    <row r="518" spans="20:21" ht="14.25" customHeight="1" x14ac:dyDescent="0.25">
      <c r="T518" s="40"/>
      <c r="U518" s="40"/>
    </row>
    <row r="519" spans="20:21" ht="14.25" customHeight="1" x14ac:dyDescent="0.25">
      <c r="T519" s="40"/>
      <c r="U519" s="40"/>
    </row>
    <row r="520" spans="20:21" ht="14.25" customHeight="1" x14ac:dyDescent="0.25">
      <c r="T520" s="40"/>
      <c r="U520" s="40"/>
    </row>
    <row r="521" spans="20:21" ht="14.25" customHeight="1" x14ac:dyDescent="0.25">
      <c r="T521" s="40"/>
      <c r="U521" s="40"/>
    </row>
    <row r="522" spans="20:21" ht="14.25" customHeight="1" x14ac:dyDescent="0.25">
      <c r="T522" s="40"/>
      <c r="U522" s="40"/>
    </row>
    <row r="523" spans="20:21" ht="14.25" customHeight="1" x14ac:dyDescent="0.25">
      <c r="T523" s="40"/>
      <c r="U523" s="40"/>
    </row>
    <row r="524" spans="20:21" ht="14.25" customHeight="1" x14ac:dyDescent="0.25">
      <c r="T524" s="40"/>
      <c r="U524" s="40"/>
    </row>
    <row r="525" spans="20:21" ht="14.25" customHeight="1" x14ac:dyDescent="0.25">
      <c r="T525" s="40"/>
      <c r="U525" s="40"/>
    </row>
    <row r="526" spans="20:21" ht="14.25" customHeight="1" x14ac:dyDescent="0.25">
      <c r="T526" s="40"/>
      <c r="U526" s="40"/>
    </row>
    <row r="527" spans="20:21" ht="14.25" customHeight="1" x14ac:dyDescent="0.25">
      <c r="T527" s="40"/>
      <c r="U527" s="40"/>
    </row>
    <row r="528" spans="20:21" ht="14.25" customHeight="1" x14ac:dyDescent="0.25">
      <c r="T528" s="40"/>
      <c r="U528" s="40"/>
    </row>
    <row r="529" spans="20:21" ht="14.25" customHeight="1" x14ac:dyDescent="0.25">
      <c r="T529" s="40"/>
      <c r="U529" s="40"/>
    </row>
    <row r="530" spans="20:21" ht="14.25" customHeight="1" x14ac:dyDescent="0.25">
      <c r="T530" s="40"/>
      <c r="U530" s="40"/>
    </row>
    <row r="531" spans="20:21" ht="14.25" customHeight="1" x14ac:dyDescent="0.25">
      <c r="T531" s="40"/>
      <c r="U531" s="40"/>
    </row>
    <row r="532" spans="20:21" ht="14.25" customHeight="1" x14ac:dyDescent="0.25">
      <c r="T532" s="40"/>
      <c r="U532" s="40"/>
    </row>
    <row r="533" spans="20:21" ht="14.25" customHeight="1" x14ac:dyDescent="0.25">
      <c r="T533" s="40"/>
      <c r="U533" s="40"/>
    </row>
    <row r="534" spans="20:21" ht="14.25" customHeight="1" x14ac:dyDescent="0.25">
      <c r="T534" s="40"/>
      <c r="U534" s="40"/>
    </row>
    <row r="535" spans="20:21" ht="14.25" customHeight="1" x14ac:dyDescent="0.25">
      <c r="T535" s="40"/>
      <c r="U535" s="40"/>
    </row>
    <row r="536" spans="20:21" ht="14.25" customHeight="1" x14ac:dyDescent="0.25">
      <c r="T536" s="40"/>
      <c r="U536" s="40"/>
    </row>
    <row r="537" spans="20:21" ht="14.25" customHeight="1" x14ac:dyDescent="0.25">
      <c r="T537" s="40"/>
      <c r="U537" s="40"/>
    </row>
    <row r="538" spans="20:21" ht="14.25" customHeight="1" x14ac:dyDescent="0.25">
      <c r="T538" s="40"/>
      <c r="U538" s="40"/>
    </row>
    <row r="539" spans="20:21" ht="14.25" customHeight="1" x14ac:dyDescent="0.25">
      <c r="T539" s="40"/>
      <c r="U539" s="40"/>
    </row>
    <row r="540" spans="20:21" ht="14.25" customHeight="1" x14ac:dyDescent="0.25">
      <c r="T540" s="40"/>
      <c r="U540" s="40"/>
    </row>
    <row r="541" spans="20:21" ht="14.25" customHeight="1" x14ac:dyDescent="0.25">
      <c r="T541" s="40"/>
      <c r="U541" s="40"/>
    </row>
    <row r="542" spans="20:21" ht="14.25" customHeight="1" x14ac:dyDescent="0.25">
      <c r="T542" s="40"/>
      <c r="U542" s="40"/>
    </row>
    <row r="543" spans="20:21" ht="14.25" customHeight="1" x14ac:dyDescent="0.25">
      <c r="T543" s="40"/>
      <c r="U543" s="40"/>
    </row>
    <row r="544" spans="20:21" ht="14.25" customHeight="1" x14ac:dyDescent="0.25">
      <c r="T544" s="40"/>
      <c r="U544" s="40"/>
    </row>
    <row r="545" spans="20:21" ht="14.25" customHeight="1" x14ac:dyDescent="0.25">
      <c r="T545" s="40"/>
      <c r="U545" s="40"/>
    </row>
    <row r="546" spans="20:21" ht="14.25" customHeight="1" x14ac:dyDescent="0.25">
      <c r="T546" s="40"/>
      <c r="U546" s="40"/>
    </row>
    <row r="547" spans="20:21" ht="14.25" customHeight="1" x14ac:dyDescent="0.25">
      <c r="T547" s="40"/>
      <c r="U547" s="40"/>
    </row>
    <row r="548" spans="20:21" ht="14.25" customHeight="1" x14ac:dyDescent="0.25">
      <c r="T548" s="40"/>
      <c r="U548" s="40"/>
    </row>
    <row r="549" spans="20:21" ht="14.25" customHeight="1" x14ac:dyDescent="0.25">
      <c r="T549" s="40"/>
      <c r="U549" s="40"/>
    </row>
    <row r="550" spans="20:21" ht="14.25" customHeight="1" x14ac:dyDescent="0.25">
      <c r="T550" s="40"/>
      <c r="U550" s="40"/>
    </row>
    <row r="551" spans="20:21" ht="14.25" customHeight="1" x14ac:dyDescent="0.25">
      <c r="T551" s="40"/>
      <c r="U551" s="40"/>
    </row>
    <row r="552" spans="20:21" ht="14.25" customHeight="1" x14ac:dyDescent="0.25">
      <c r="T552" s="40"/>
      <c r="U552" s="40"/>
    </row>
    <row r="553" spans="20:21" ht="14.25" customHeight="1" x14ac:dyDescent="0.25">
      <c r="T553" s="40"/>
      <c r="U553" s="40"/>
    </row>
    <row r="554" spans="20:21" ht="14.25" customHeight="1" x14ac:dyDescent="0.25">
      <c r="T554" s="40"/>
      <c r="U554" s="40"/>
    </row>
    <row r="555" spans="20:21" ht="14.25" customHeight="1" x14ac:dyDescent="0.25">
      <c r="T555" s="40"/>
      <c r="U555" s="40"/>
    </row>
    <row r="556" spans="20:21" ht="14.25" customHeight="1" x14ac:dyDescent="0.25">
      <c r="T556" s="40"/>
      <c r="U556" s="40"/>
    </row>
    <row r="557" spans="20:21" ht="14.25" customHeight="1" x14ac:dyDescent="0.25">
      <c r="T557" s="40"/>
      <c r="U557" s="40"/>
    </row>
    <row r="558" spans="20:21" ht="14.25" customHeight="1" x14ac:dyDescent="0.25">
      <c r="T558" s="40"/>
      <c r="U558" s="40"/>
    </row>
    <row r="559" spans="20:21" ht="14.25" customHeight="1" x14ac:dyDescent="0.25">
      <c r="T559" s="40"/>
      <c r="U559" s="40"/>
    </row>
    <row r="560" spans="20:21" ht="14.25" customHeight="1" x14ac:dyDescent="0.25">
      <c r="T560" s="40"/>
      <c r="U560" s="40"/>
    </row>
    <row r="561" spans="20:21" ht="14.25" customHeight="1" x14ac:dyDescent="0.25">
      <c r="T561" s="40"/>
      <c r="U561" s="40"/>
    </row>
    <row r="562" spans="20:21" ht="14.25" customHeight="1" x14ac:dyDescent="0.25">
      <c r="T562" s="40"/>
      <c r="U562" s="40"/>
    </row>
    <row r="563" spans="20:21" ht="14.25" customHeight="1" x14ac:dyDescent="0.25">
      <c r="T563" s="40"/>
      <c r="U563" s="40"/>
    </row>
    <row r="564" spans="20:21" ht="14.25" customHeight="1" x14ac:dyDescent="0.25">
      <c r="T564" s="40"/>
      <c r="U564" s="40"/>
    </row>
    <row r="565" spans="20:21" ht="14.25" customHeight="1" x14ac:dyDescent="0.25">
      <c r="T565" s="40"/>
      <c r="U565" s="40"/>
    </row>
    <row r="566" spans="20:21" ht="14.25" customHeight="1" x14ac:dyDescent="0.25">
      <c r="T566" s="40"/>
      <c r="U566" s="40"/>
    </row>
    <row r="567" spans="20:21" ht="14.25" customHeight="1" x14ac:dyDescent="0.25">
      <c r="T567" s="40"/>
      <c r="U567" s="40"/>
    </row>
    <row r="568" spans="20:21" ht="14.25" customHeight="1" x14ac:dyDescent="0.25">
      <c r="T568" s="40"/>
      <c r="U568" s="40"/>
    </row>
    <row r="569" spans="20:21" ht="14.25" customHeight="1" x14ac:dyDescent="0.25">
      <c r="T569" s="40"/>
      <c r="U569" s="40"/>
    </row>
    <row r="570" spans="20:21" ht="14.25" customHeight="1" x14ac:dyDescent="0.25">
      <c r="T570" s="40"/>
      <c r="U570" s="40"/>
    </row>
    <row r="571" spans="20:21" ht="14.25" customHeight="1" x14ac:dyDescent="0.25">
      <c r="T571" s="40"/>
      <c r="U571" s="40"/>
    </row>
    <row r="572" spans="20:21" ht="14.25" customHeight="1" x14ac:dyDescent="0.25">
      <c r="T572" s="40"/>
      <c r="U572" s="40"/>
    </row>
    <row r="573" spans="20:21" ht="14.25" customHeight="1" x14ac:dyDescent="0.25">
      <c r="T573" s="40"/>
      <c r="U573" s="40"/>
    </row>
    <row r="574" spans="20:21" ht="14.25" customHeight="1" x14ac:dyDescent="0.25">
      <c r="T574" s="40"/>
      <c r="U574" s="40"/>
    </row>
    <row r="575" spans="20:21" ht="14.25" customHeight="1" x14ac:dyDescent="0.25">
      <c r="T575" s="40"/>
      <c r="U575" s="40"/>
    </row>
    <row r="576" spans="20:21" ht="14.25" customHeight="1" x14ac:dyDescent="0.25">
      <c r="T576" s="40"/>
      <c r="U576" s="40"/>
    </row>
    <row r="577" spans="20:21" ht="14.25" customHeight="1" x14ac:dyDescent="0.25">
      <c r="T577" s="40"/>
      <c r="U577" s="40"/>
    </row>
    <row r="578" spans="20:21" ht="14.25" customHeight="1" x14ac:dyDescent="0.25">
      <c r="T578" s="40"/>
      <c r="U578" s="40"/>
    </row>
    <row r="579" spans="20:21" ht="14.25" customHeight="1" x14ac:dyDescent="0.25">
      <c r="T579" s="40"/>
      <c r="U579" s="40"/>
    </row>
    <row r="580" spans="20:21" ht="14.25" customHeight="1" x14ac:dyDescent="0.25">
      <c r="T580" s="40"/>
      <c r="U580" s="40"/>
    </row>
    <row r="581" spans="20:21" ht="14.25" customHeight="1" x14ac:dyDescent="0.25">
      <c r="T581" s="40"/>
      <c r="U581" s="40"/>
    </row>
    <row r="582" spans="20:21" ht="14.25" customHeight="1" x14ac:dyDescent="0.25">
      <c r="T582" s="40"/>
      <c r="U582" s="40"/>
    </row>
    <row r="583" spans="20:21" ht="14.25" customHeight="1" x14ac:dyDescent="0.25">
      <c r="T583" s="40"/>
      <c r="U583" s="40"/>
    </row>
    <row r="584" spans="20:21" ht="14.25" customHeight="1" x14ac:dyDescent="0.25">
      <c r="T584" s="40"/>
      <c r="U584" s="40"/>
    </row>
    <row r="585" spans="20:21" ht="14.25" customHeight="1" x14ac:dyDescent="0.25">
      <c r="T585" s="40"/>
      <c r="U585" s="40"/>
    </row>
    <row r="586" spans="20:21" ht="14.25" customHeight="1" x14ac:dyDescent="0.25">
      <c r="T586" s="40"/>
      <c r="U586" s="40"/>
    </row>
    <row r="587" spans="20:21" ht="14.25" customHeight="1" x14ac:dyDescent="0.25">
      <c r="T587" s="40"/>
      <c r="U587" s="40"/>
    </row>
    <row r="588" spans="20:21" ht="14.25" customHeight="1" x14ac:dyDescent="0.25">
      <c r="T588" s="40"/>
      <c r="U588" s="40"/>
    </row>
    <row r="589" spans="20:21" ht="14.25" customHeight="1" x14ac:dyDescent="0.25">
      <c r="T589" s="40"/>
      <c r="U589" s="40"/>
    </row>
    <row r="590" spans="20:21" ht="14.25" customHeight="1" x14ac:dyDescent="0.25">
      <c r="T590" s="40"/>
      <c r="U590" s="40"/>
    </row>
    <row r="591" spans="20:21" ht="14.25" customHeight="1" x14ac:dyDescent="0.25">
      <c r="T591" s="40"/>
      <c r="U591" s="40"/>
    </row>
    <row r="592" spans="20:21" ht="14.25" customHeight="1" x14ac:dyDescent="0.25">
      <c r="T592" s="40"/>
      <c r="U592" s="40"/>
    </row>
    <row r="593" spans="20:21" ht="14.25" customHeight="1" x14ac:dyDescent="0.25">
      <c r="T593" s="40"/>
      <c r="U593" s="40"/>
    </row>
    <row r="594" spans="20:21" ht="14.25" customHeight="1" x14ac:dyDescent="0.25">
      <c r="T594" s="40"/>
      <c r="U594" s="40"/>
    </row>
    <row r="595" spans="20:21" ht="14.25" customHeight="1" x14ac:dyDescent="0.25">
      <c r="T595" s="40"/>
      <c r="U595" s="40"/>
    </row>
    <row r="596" spans="20:21" ht="14.25" customHeight="1" x14ac:dyDescent="0.25">
      <c r="T596" s="40"/>
      <c r="U596" s="40"/>
    </row>
    <row r="597" spans="20:21" ht="14.25" customHeight="1" x14ac:dyDescent="0.25">
      <c r="T597" s="40"/>
      <c r="U597" s="40"/>
    </row>
    <row r="598" spans="20:21" ht="14.25" customHeight="1" x14ac:dyDescent="0.25">
      <c r="T598" s="40"/>
      <c r="U598" s="40"/>
    </row>
    <row r="599" spans="20:21" ht="14.25" customHeight="1" x14ac:dyDescent="0.25">
      <c r="T599" s="40"/>
      <c r="U599" s="40"/>
    </row>
    <row r="600" spans="20:21" ht="14.25" customHeight="1" x14ac:dyDescent="0.25">
      <c r="T600" s="40"/>
      <c r="U600" s="40"/>
    </row>
    <row r="601" spans="20:21" ht="14.25" customHeight="1" x14ac:dyDescent="0.25">
      <c r="T601" s="40"/>
      <c r="U601" s="40"/>
    </row>
    <row r="602" spans="20:21" ht="14.25" customHeight="1" x14ac:dyDescent="0.25">
      <c r="T602" s="40"/>
      <c r="U602" s="40"/>
    </row>
    <row r="603" spans="20:21" ht="14.25" customHeight="1" x14ac:dyDescent="0.25">
      <c r="T603" s="40"/>
      <c r="U603" s="40"/>
    </row>
    <row r="604" spans="20:21" ht="14.25" customHeight="1" x14ac:dyDescent="0.25">
      <c r="T604" s="40"/>
      <c r="U604" s="40"/>
    </row>
    <row r="605" spans="20:21" ht="14.25" customHeight="1" x14ac:dyDescent="0.25">
      <c r="T605" s="40"/>
      <c r="U605" s="40"/>
    </row>
    <row r="606" spans="20:21" ht="14.25" customHeight="1" x14ac:dyDescent="0.25">
      <c r="T606" s="40"/>
      <c r="U606" s="40"/>
    </row>
    <row r="607" spans="20:21" ht="14.25" customHeight="1" x14ac:dyDescent="0.25">
      <c r="T607" s="40"/>
      <c r="U607" s="40"/>
    </row>
    <row r="608" spans="20:21" ht="14.25" customHeight="1" x14ac:dyDescent="0.25">
      <c r="T608" s="40"/>
      <c r="U608" s="40"/>
    </row>
    <row r="609" spans="20:21" ht="14.25" customHeight="1" x14ac:dyDescent="0.25">
      <c r="T609" s="40"/>
      <c r="U609" s="40"/>
    </row>
    <row r="610" spans="20:21" ht="14.25" customHeight="1" x14ac:dyDescent="0.25">
      <c r="T610" s="40"/>
      <c r="U610" s="40"/>
    </row>
    <row r="611" spans="20:21" ht="14.25" customHeight="1" x14ac:dyDescent="0.25">
      <c r="T611" s="40"/>
      <c r="U611" s="40"/>
    </row>
    <row r="612" spans="20:21" ht="14.25" customHeight="1" x14ac:dyDescent="0.25">
      <c r="T612" s="40"/>
      <c r="U612" s="40"/>
    </row>
    <row r="613" spans="20:21" ht="14.25" customHeight="1" x14ac:dyDescent="0.25">
      <c r="T613" s="40"/>
      <c r="U613" s="40"/>
    </row>
    <row r="614" spans="20:21" ht="14.25" customHeight="1" x14ac:dyDescent="0.25">
      <c r="T614" s="40"/>
      <c r="U614" s="40"/>
    </row>
    <row r="615" spans="20:21" ht="14.25" customHeight="1" x14ac:dyDescent="0.25">
      <c r="T615" s="40"/>
      <c r="U615" s="40"/>
    </row>
    <row r="616" spans="20:21" ht="14.25" customHeight="1" x14ac:dyDescent="0.25">
      <c r="T616" s="40"/>
      <c r="U616" s="40"/>
    </row>
    <row r="617" spans="20:21" ht="14.25" customHeight="1" x14ac:dyDescent="0.25">
      <c r="T617" s="40"/>
      <c r="U617" s="40"/>
    </row>
    <row r="618" spans="20:21" ht="14.25" customHeight="1" x14ac:dyDescent="0.25">
      <c r="T618" s="40"/>
      <c r="U618" s="40"/>
    </row>
    <row r="619" spans="20:21" ht="14.25" customHeight="1" x14ac:dyDescent="0.25">
      <c r="T619" s="40"/>
      <c r="U619" s="40"/>
    </row>
    <row r="620" spans="20:21" ht="14.25" customHeight="1" x14ac:dyDescent="0.25">
      <c r="T620" s="40"/>
      <c r="U620" s="40"/>
    </row>
    <row r="621" spans="20:21" ht="14.25" customHeight="1" x14ac:dyDescent="0.25">
      <c r="T621" s="40"/>
      <c r="U621" s="40"/>
    </row>
    <row r="622" spans="20:21" ht="14.25" customHeight="1" x14ac:dyDescent="0.25">
      <c r="T622" s="40"/>
      <c r="U622" s="40"/>
    </row>
    <row r="623" spans="20:21" ht="14.25" customHeight="1" x14ac:dyDescent="0.25">
      <c r="T623" s="40"/>
      <c r="U623" s="40"/>
    </row>
    <row r="624" spans="20:21" ht="14.25" customHeight="1" x14ac:dyDescent="0.25">
      <c r="T624" s="40"/>
      <c r="U624" s="40"/>
    </row>
    <row r="625" spans="20:21" ht="14.25" customHeight="1" x14ac:dyDescent="0.25">
      <c r="T625" s="40"/>
      <c r="U625" s="40"/>
    </row>
    <row r="626" spans="20:21" ht="14.25" customHeight="1" x14ac:dyDescent="0.25">
      <c r="T626" s="40"/>
      <c r="U626" s="40"/>
    </row>
    <row r="627" spans="20:21" ht="14.25" customHeight="1" x14ac:dyDescent="0.25">
      <c r="T627" s="40"/>
      <c r="U627" s="40"/>
    </row>
    <row r="628" spans="20:21" ht="14.25" customHeight="1" x14ac:dyDescent="0.25">
      <c r="T628" s="40"/>
      <c r="U628" s="40"/>
    </row>
    <row r="629" spans="20:21" ht="14.25" customHeight="1" x14ac:dyDescent="0.25">
      <c r="T629" s="40"/>
      <c r="U629" s="40"/>
    </row>
    <row r="630" spans="20:21" ht="14.25" customHeight="1" x14ac:dyDescent="0.25">
      <c r="T630" s="40"/>
      <c r="U630" s="40"/>
    </row>
    <row r="631" spans="20:21" ht="14.25" customHeight="1" x14ac:dyDescent="0.25">
      <c r="T631" s="40"/>
      <c r="U631" s="40"/>
    </row>
    <row r="632" spans="20:21" ht="14.25" customHeight="1" x14ac:dyDescent="0.25">
      <c r="T632" s="40"/>
      <c r="U632" s="40"/>
    </row>
    <row r="633" spans="20:21" ht="14.25" customHeight="1" x14ac:dyDescent="0.25">
      <c r="T633" s="40"/>
      <c r="U633" s="40"/>
    </row>
    <row r="634" spans="20:21" ht="14.25" customHeight="1" x14ac:dyDescent="0.25">
      <c r="T634" s="40"/>
      <c r="U634" s="40"/>
    </row>
    <row r="635" spans="20:21" ht="14.25" customHeight="1" x14ac:dyDescent="0.25">
      <c r="T635" s="40"/>
      <c r="U635" s="40"/>
    </row>
    <row r="636" spans="20:21" ht="14.25" customHeight="1" x14ac:dyDescent="0.25">
      <c r="T636" s="40"/>
      <c r="U636" s="40"/>
    </row>
    <row r="637" spans="20:21" ht="14.25" customHeight="1" x14ac:dyDescent="0.25">
      <c r="T637" s="40"/>
      <c r="U637" s="40"/>
    </row>
    <row r="638" spans="20:21" ht="14.25" customHeight="1" x14ac:dyDescent="0.25">
      <c r="T638" s="40"/>
      <c r="U638" s="40"/>
    </row>
    <row r="639" spans="20:21" ht="14.25" customHeight="1" x14ac:dyDescent="0.25">
      <c r="T639" s="40"/>
      <c r="U639" s="40"/>
    </row>
    <row r="640" spans="20:21" ht="14.25" customHeight="1" x14ac:dyDescent="0.25">
      <c r="T640" s="40"/>
      <c r="U640" s="40"/>
    </row>
    <row r="641" spans="20:21" ht="14.25" customHeight="1" x14ac:dyDescent="0.25">
      <c r="T641" s="40"/>
      <c r="U641" s="40"/>
    </row>
    <row r="642" spans="20:21" ht="14.25" customHeight="1" x14ac:dyDescent="0.25">
      <c r="T642" s="40"/>
      <c r="U642" s="40"/>
    </row>
    <row r="643" spans="20:21" ht="14.25" customHeight="1" x14ac:dyDescent="0.25">
      <c r="T643" s="40"/>
      <c r="U643" s="40"/>
    </row>
    <row r="644" spans="20:21" ht="14.25" customHeight="1" x14ac:dyDescent="0.25">
      <c r="T644" s="40"/>
      <c r="U644" s="40"/>
    </row>
    <row r="645" spans="20:21" ht="14.25" customHeight="1" x14ac:dyDescent="0.25">
      <c r="T645" s="40"/>
      <c r="U645" s="40"/>
    </row>
    <row r="646" spans="20:21" ht="14.25" customHeight="1" x14ac:dyDescent="0.25">
      <c r="T646" s="40"/>
      <c r="U646" s="40"/>
    </row>
    <row r="647" spans="20:21" ht="14.25" customHeight="1" x14ac:dyDescent="0.25">
      <c r="T647" s="40"/>
      <c r="U647" s="40"/>
    </row>
    <row r="648" spans="20:21" ht="14.25" customHeight="1" x14ac:dyDescent="0.25">
      <c r="T648" s="40"/>
      <c r="U648" s="40"/>
    </row>
    <row r="649" spans="20:21" ht="14.25" customHeight="1" x14ac:dyDescent="0.25">
      <c r="T649" s="40"/>
      <c r="U649" s="40"/>
    </row>
    <row r="650" spans="20:21" ht="14.25" customHeight="1" x14ac:dyDescent="0.25">
      <c r="T650" s="40"/>
      <c r="U650" s="40"/>
    </row>
    <row r="651" spans="20:21" ht="14.25" customHeight="1" x14ac:dyDescent="0.25">
      <c r="T651" s="40"/>
      <c r="U651" s="40"/>
    </row>
    <row r="652" spans="20:21" ht="14.25" customHeight="1" x14ac:dyDescent="0.25">
      <c r="T652" s="40"/>
      <c r="U652" s="40"/>
    </row>
    <row r="653" spans="20:21" ht="14.25" customHeight="1" x14ac:dyDescent="0.25">
      <c r="T653" s="40"/>
      <c r="U653" s="40"/>
    </row>
    <row r="654" spans="20:21" ht="14.25" customHeight="1" x14ac:dyDescent="0.25">
      <c r="T654" s="40"/>
      <c r="U654" s="40"/>
    </row>
    <row r="655" spans="20:21" ht="14.25" customHeight="1" x14ac:dyDescent="0.25">
      <c r="T655" s="40"/>
      <c r="U655" s="40"/>
    </row>
    <row r="656" spans="20:21" ht="14.25" customHeight="1" x14ac:dyDescent="0.25">
      <c r="T656" s="40"/>
      <c r="U656" s="40"/>
    </row>
    <row r="657" spans="20:21" ht="14.25" customHeight="1" x14ac:dyDescent="0.25">
      <c r="T657" s="40"/>
      <c r="U657" s="40"/>
    </row>
    <row r="658" spans="20:21" ht="14.25" customHeight="1" x14ac:dyDescent="0.25">
      <c r="T658" s="40"/>
      <c r="U658" s="40"/>
    </row>
    <row r="659" spans="20:21" ht="14.25" customHeight="1" x14ac:dyDescent="0.25">
      <c r="T659" s="40"/>
      <c r="U659" s="40"/>
    </row>
    <row r="660" spans="20:21" ht="14.25" customHeight="1" x14ac:dyDescent="0.25">
      <c r="T660" s="40"/>
      <c r="U660" s="40"/>
    </row>
    <row r="661" spans="20:21" ht="14.25" customHeight="1" x14ac:dyDescent="0.25">
      <c r="T661" s="40"/>
      <c r="U661" s="40"/>
    </row>
    <row r="662" spans="20:21" ht="14.25" customHeight="1" x14ac:dyDescent="0.25">
      <c r="T662" s="40"/>
      <c r="U662" s="40"/>
    </row>
    <row r="663" spans="20:21" ht="14.25" customHeight="1" x14ac:dyDescent="0.25">
      <c r="T663" s="40"/>
      <c r="U663" s="40"/>
    </row>
    <row r="664" spans="20:21" ht="14.25" customHeight="1" x14ac:dyDescent="0.25">
      <c r="T664" s="40"/>
      <c r="U664" s="40"/>
    </row>
    <row r="665" spans="20:21" ht="14.25" customHeight="1" x14ac:dyDescent="0.25">
      <c r="T665" s="40"/>
      <c r="U665" s="40"/>
    </row>
    <row r="666" spans="20:21" ht="14.25" customHeight="1" x14ac:dyDescent="0.25">
      <c r="T666" s="40"/>
      <c r="U666" s="40"/>
    </row>
    <row r="667" spans="20:21" ht="14.25" customHeight="1" x14ac:dyDescent="0.25">
      <c r="T667" s="40"/>
      <c r="U667" s="40"/>
    </row>
    <row r="668" spans="20:21" ht="14.25" customHeight="1" x14ac:dyDescent="0.25">
      <c r="T668" s="40"/>
      <c r="U668" s="40"/>
    </row>
    <row r="669" spans="20:21" ht="14.25" customHeight="1" x14ac:dyDescent="0.25">
      <c r="T669" s="40"/>
      <c r="U669" s="40"/>
    </row>
    <row r="670" spans="20:21" ht="14.25" customHeight="1" x14ac:dyDescent="0.25">
      <c r="T670" s="40"/>
      <c r="U670" s="40"/>
    </row>
    <row r="671" spans="20:21" ht="14.25" customHeight="1" x14ac:dyDescent="0.25">
      <c r="T671" s="40"/>
      <c r="U671" s="40"/>
    </row>
    <row r="672" spans="20:21" ht="14.25" customHeight="1" x14ac:dyDescent="0.25">
      <c r="T672" s="40"/>
      <c r="U672" s="40"/>
    </row>
    <row r="673" spans="20:21" ht="14.25" customHeight="1" x14ac:dyDescent="0.25">
      <c r="T673" s="40"/>
      <c r="U673" s="40"/>
    </row>
    <row r="674" spans="20:21" ht="14.25" customHeight="1" x14ac:dyDescent="0.25">
      <c r="T674" s="40"/>
      <c r="U674" s="40"/>
    </row>
    <row r="675" spans="20:21" ht="14.25" customHeight="1" x14ac:dyDescent="0.25">
      <c r="T675" s="40"/>
      <c r="U675" s="40"/>
    </row>
    <row r="676" spans="20:21" ht="14.25" customHeight="1" x14ac:dyDescent="0.25">
      <c r="T676" s="40"/>
      <c r="U676" s="40"/>
    </row>
    <row r="677" spans="20:21" ht="14.25" customHeight="1" x14ac:dyDescent="0.25">
      <c r="T677" s="40"/>
      <c r="U677" s="40"/>
    </row>
    <row r="678" spans="20:21" ht="14.25" customHeight="1" x14ac:dyDescent="0.25">
      <c r="T678" s="40"/>
      <c r="U678" s="40"/>
    </row>
    <row r="679" spans="20:21" ht="14.25" customHeight="1" x14ac:dyDescent="0.25">
      <c r="T679" s="40"/>
      <c r="U679" s="40"/>
    </row>
    <row r="680" spans="20:21" ht="14.25" customHeight="1" x14ac:dyDescent="0.25">
      <c r="T680" s="40"/>
      <c r="U680" s="40"/>
    </row>
    <row r="681" spans="20:21" ht="14.25" customHeight="1" x14ac:dyDescent="0.25">
      <c r="T681" s="40"/>
      <c r="U681" s="40"/>
    </row>
    <row r="682" spans="20:21" ht="14.25" customHeight="1" x14ac:dyDescent="0.25">
      <c r="T682" s="40"/>
      <c r="U682" s="40"/>
    </row>
    <row r="683" spans="20:21" ht="14.25" customHeight="1" x14ac:dyDescent="0.25">
      <c r="T683" s="40"/>
      <c r="U683" s="40"/>
    </row>
    <row r="684" spans="20:21" ht="14.25" customHeight="1" x14ac:dyDescent="0.25">
      <c r="T684" s="40"/>
      <c r="U684" s="40"/>
    </row>
    <row r="685" spans="20:21" ht="14.25" customHeight="1" x14ac:dyDescent="0.25">
      <c r="T685" s="40"/>
      <c r="U685" s="40"/>
    </row>
    <row r="686" spans="20:21" ht="14.25" customHeight="1" x14ac:dyDescent="0.25">
      <c r="T686" s="40"/>
      <c r="U686" s="40"/>
    </row>
    <row r="687" spans="20:21" ht="14.25" customHeight="1" x14ac:dyDescent="0.25">
      <c r="T687" s="40"/>
      <c r="U687" s="40"/>
    </row>
    <row r="688" spans="20:21" ht="14.25" customHeight="1" x14ac:dyDescent="0.25">
      <c r="T688" s="40"/>
      <c r="U688" s="40"/>
    </row>
    <row r="689" spans="20:21" ht="14.25" customHeight="1" x14ac:dyDescent="0.25">
      <c r="T689" s="40"/>
      <c r="U689" s="40"/>
    </row>
    <row r="690" spans="20:21" ht="14.25" customHeight="1" x14ac:dyDescent="0.25">
      <c r="T690" s="40"/>
      <c r="U690" s="40"/>
    </row>
    <row r="691" spans="20:21" ht="14.25" customHeight="1" x14ac:dyDescent="0.25">
      <c r="T691" s="40"/>
      <c r="U691" s="40"/>
    </row>
    <row r="692" spans="20:21" ht="14.25" customHeight="1" x14ac:dyDescent="0.25">
      <c r="T692" s="40"/>
      <c r="U692" s="40"/>
    </row>
    <row r="693" spans="20:21" ht="14.25" customHeight="1" x14ac:dyDescent="0.25">
      <c r="T693" s="40"/>
      <c r="U693" s="40"/>
    </row>
    <row r="694" spans="20:21" ht="14.25" customHeight="1" x14ac:dyDescent="0.25">
      <c r="T694" s="40"/>
      <c r="U694" s="40"/>
    </row>
    <row r="695" spans="20:21" ht="14.25" customHeight="1" x14ac:dyDescent="0.25">
      <c r="T695" s="40"/>
      <c r="U695" s="40"/>
    </row>
    <row r="696" spans="20:21" ht="14.25" customHeight="1" x14ac:dyDescent="0.25">
      <c r="T696" s="40"/>
      <c r="U696" s="40"/>
    </row>
    <row r="697" spans="20:21" ht="14.25" customHeight="1" x14ac:dyDescent="0.25">
      <c r="T697" s="40"/>
      <c r="U697" s="40"/>
    </row>
    <row r="698" spans="20:21" ht="14.25" customHeight="1" x14ac:dyDescent="0.25">
      <c r="T698" s="40"/>
      <c r="U698" s="40"/>
    </row>
    <row r="699" spans="20:21" ht="14.25" customHeight="1" x14ac:dyDescent="0.25">
      <c r="T699" s="40"/>
      <c r="U699" s="40"/>
    </row>
    <row r="700" spans="20:21" ht="14.25" customHeight="1" x14ac:dyDescent="0.25">
      <c r="T700" s="40"/>
      <c r="U700" s="40"/>
    </row>
    <row r="701" spans="20:21" ht="14.25" customHeight="1" x14ac:dyDescent="0.25">
      <c r="T701" s="40"/>
      <c r="U701" s="40"/>
    </row>
    <row r="702" spans="20:21" ht="14.25" customHeight="1" x14ac:dyDescent="0.25">
      <c r="T702" s="40"/>
      <c r="U702" s="40"/>
    </row>
    <row r="703" spans="20:21" ht="14.25" customHeight="1" x14ac:dyDescent="0.25">
      <c r="T703" s="40"/>
      <c r="U703" s="40"/>
    </row>
    <row r="704" spans="20:21" ht="14.25" customHeight="1" x14ac:dyDescent="0.25">
      <c r="T704" s="40"/>
      <c r="U704" s="40"/>
    </row>
    <row r="705" spans="20:21" ht="14.25" customHeight="1" x14ac:dyDescent="0.25">
      <c r="T705" s="40"/>
      <c r="U705" s="40"/>
    </row>
    <row r="706" spans="20:21" ht="14.25" customHeight="1" x14ac:dyDescent="0.25">
      <c r="T706" s="40"/>
      <c r="U706" s="40"/>
    </row>
    <row r="707" spans="20:21" ht="14.25" customHeight="1" x14ac:dyDescent="0.25">
      <c r="T707" s="40"/>
      <c r="U707" s="40"/>
    </row>
    <row r="708" spans="20:21" ht="14.25" customHeight="1" x14ac:dyDescent="0.25">
      <c r="T708" s="40"/>
      <c r="U708" s="40"/>
    </row>
    <row r="709" spans="20:21" ht="14.25" customHeight="1" x14ac:dyDescent="0.25">
      <c r="T709" s="40"/>
      <c r="U709" s="40"/>
    </row>
    <row r="710" spans="20:21" ht="14.25" customHeight="1" x14ac:dyDescent="0.25">
      <c r="T710" s="40"/>
      <c r="U710" s="40"/>
    </row>
    <row r="711" spans="20:21" ht="14.25" customHeight="1" x14ac:dyDescent="0.25">
      <c r="T711" s="40"/>
      <c r="U711" s="40"/>
    </row>
    <row r="712" spans="20:21" ht="14.25" customHeight="1" x14ac:dyDescent="0.25">
      <c r="T712" s="40"/>
      <c r="U712" s="40"/>
    </row>
    <row r="713" spans="20:21" ht="14.25" customHeight="1" x14ac:dyDescent="0.25">
      <c r="T713" s="40"/>
      <c r="U713" s="40"/>
    </row>
    <row r="714" spans="20:21" ht="14.25" customHeight="1" x14ac:dyDescent="0.25">
      <c r="T714" s="40"/>
      <c r="U714" s="40"/>
    </row>
    <row r="715" spans="20:21" ht="14.25" customHeight="1" x14ac:dyDescent="0.25">
      <c r="T715" s="40"/>
      <c r="U715" s="40"/>
    </row>
    <row r="716" spans="20:21" ht="14.25" customHeight="1" x14ac:dyDescent="0.25">
      <c r="T716" s="40"/>
      <c r="U716" s="40"/>
    </row>
    <row r="717" spans="20:21" ht="14.25" customHeight="1" x14ac:dyDescent="0.25">
      <c r="T717" s="40"/>
      <c r="U717" s="40"/>
    </row>
    <row r="718" spans="20:21" ht="14.25" customHeight="1" x14ac:dyDescent="0.25">
      <c r="T718" s="40"/>
      <c r="U718" s="40"/>
    </row>
    <row r="719" spans="20:21" ht="14.25" customHeight="1" x14ac:dyDescent="0.25">
      <c r="T719" s="40"/>
      <c r="U719" s="40"/>
    </row>
    <row r="720" spans="20:21" ht="14.25" customHeight="1" x14ac:dyDescent="0.25">
      <c r="T720" s="40"/>
      <c r="U720" s="40"/>
    </row>
    <row r="721" spans="20:21" ht="14.25" customHeight="1" x14ac:dyDescent="0.25">
      <c r="T721" s="40"/>
      <c r="U721" s="40"/>
    </row>
    <row r="722" spans="20:21" ht="14.25" customHeight="1" x14ac:dyDescent="0.25">
      <c r="T722" s="40"/>
      <c r="U722" s="40"/>
    </row>
    <row r="723" spans="20:21" ht="14.25" customHeight="1" x14ac:dyDescent="0.25">
      <c r="T723" s="40"/>
      <c r="U723" s="40"/>
    </row>
    <row r="724" spans="20:21" ht="14.25" customHeight="1" x14ac:dyDescent="0.25">
      <c r="T724" s="40"/>
      <c r="U724" s="40"/>
    </row>
    <row r="725" spans="20:21" ht="14.25" customHeight="1" x14ac:dyDescent="0.25">
      <c r="T725" s="40"/>
      <c r="U725" s="40"/>
    </row>
    <row r="726" spans="20:21" ht="14.25" customHeight="1" x14ac:dyDescent="0.25">
      <c r="T726" s="40"/>
      <c r="U726" s="40"/>
    </row>
    <row r="727" spans="20:21" ht="14.25" customHeight="1" x14ac:dyDescent="0.25">
      <c r="T727" s="40"/>
      <c r="U727" s="40"/>
    </row>
    <row r="728" spans="20:21" ht="14.25" customHeight="1" x14ac:dyDescent="0.25">
      <c r="T728" s="40"/>
      <c r="U728" s="40"/>
    </row>
    <row r="729" spans="20:21" ht="14.25" customHeight="1" x14ac:dyDescent="0.25">
      <c r="T729" s="40"/>
      <c r="U729" s="40"/>
    </row>
    <row r="730" spans="20:21" ht="14.25" customHeight="1" x14ac:dyDescent="0.25">
      <c r="T730" s="40"/>
      <c r="U730" s="40"/>
    </row>
    <row r="731" spans="20:21" ht="14.25" customHeight="1" x14ac:dyDescent="0.25">
      <c r="T731" s="40"/>
      <c r="U731" s="40"/>
    </row>
    <row r="732" spans="20:21" ht="14.25" customHeight="1" x14ac:dyDescent="0.25">
      <c r="T732" s="40"/>
      <c r="U732" s="40"/>
    </row>
    <row r="733" spans="20:21" ht="14.25" customHeight="1" x14ac:dyDescent="0.25">
      <c r="T733" s="40"/>
      <c r="U733" s="40"/>
    </row>
    <row r="734" spans="20:21" ht="14.25" customHeight="1" x14ac:dyDescent="0.25">
      <c r="T734" s="40"/>
      <c r="U734" s="40"/>
    </row>
    <row r="735" spans="20:21" ht="14.25" customHeight="1" x14ac:dyDescent="0.25">
      <c r="T735" s="40"/>
      <c r="U735" s="40"/>
    </row>
    <row r="736" spans="20:21" ht="14.25" customHeight="1" x14ac:dyDescent="0.25">
      <c r="T736" s="40"/>
      <c r="U736" s="40"/>
    </row>
    <row r="737" spans="20:21" ht="14.25" customHeight="1" x14ac:dyDescent="0.25">
      <c r="T737" s="40"/>
      <c r="U737" s="40"/>
    </row>
    <row r="738" spans="20:21" ht="14.25" customHeight="1" x14ac:dyDescent="0.25">
      <c r="T738" s="40"/>
      <c r="U738" s="40"/>
    </row>
    <row r="739" spans="20:21" ht="14.25" customHeight="1" x14ac:dyDescent="0.25">
      <c r="T739" s="40"/>
      <c r="U739" s="40"/>
    </row>
    <row r="740" spans="20:21" ht="14.25" customHeight="1" x14ac:dyDescent="0.25">
      <c r="T740" s="40"/>
      <c r="U740" s="40"/>
    </row>
    <row r="741" spans="20:21" ht="14.25" customHeight="1" x14ac:dyDescent="0.25">
      <c r="T741" s="40"/>
      <c r="U741" s="40"/>
    </row>
    <row r="742" spans="20:21" ht="14.25" customHeight="1" x14ac:dyDescent="0.25">
      <c r="T742" s="40"/>
      <c r="U742" s="40"/>
    </row>
    <row r="743" spans="20:21" ht="14.25" customHeight="1" x14ac:dyDescent="0.25">
      <c r="T743" s="40"/>
      <c r="U743" s="40"/>
    </row>
    <row r="744" spans="20:21" ht="14.25" customHeight="1" x14ac:dyDescent="0.25">
      <c r="T744" s="40"/>
      <c r="U744" s="40"/>
    </row>
    <row r="745" spans="20:21" ht="14.25" customHeight="1" x14ac:dyDescent="0.25">
      <c r="T745" s="40"/>
      <c r="U745" s="40"/>
    </row>
    <row r="746" spans="20:21" ht="14.25" customHeight="1" x14ac:dyDescent="0.25">
      <c r="T746" s="40"/>
      <c r="U746" s="40"/>
    </row>
    <row r="747" spans="20:21" ht="14.25" customHeight="1" x14ac:dyDescent="0.25">
      <c r="T747" s="40"/>
      <c r="U747" s="40"/>
    </row>
    <row r="748" spans="20:21" ht="14.25" customHeight="1" x14ac:dyDescent="0.25">
      <c r="T748" s="40"/>
      <c r="U748" s="40"/>
    </row>
    <row r="749" spans="20:21" ht="14.25" customHeight="1" x14ac:dyDescent="0.25">
      <c r="T749" s="40"/>
      <c r="U749" s="40"/>
    </row>
    <row r="750" spans="20:21" ht="14.25" customHeight="1" x14ac:dyDescent="0.25">
      <c r="T750" s="40"/>
      <c r="U750" s="40"/>
    </row>
    <row r="751" spans="20:21" ht="14.25" customHeight="1" x14ac:dyDescent="0.25">
      <c r="T751" s="40"/>
      <c r="U751" s="40"/>
    </row>
    <row r="752" spans="20:21" ht="14.25" customHeight="1" x14ac:dyDescent="0.25">
      <c r="T752" s="40"/>
      <c r="U752" s="40"/>
    </row>
    <row r="753" spans="20:21" ht="14.25" customHeight="1" x14ac:dyDescent="0.25">
      <c r="T753" s="40"/>
      <c r="U753" s="40"/>
    </row>
    <row r="754" spans="20:21" ht="14.25" customHeight="1" x14ac:dyDescent="0.25">
      <c r="T754" s="40"/>
      <c r="U754" s="40"/>
    </row>
    <row r="755" spans="20:21" ht="14.25" customHeight="1" x14ac:dyDescent="0.25">
      <c r="T755" s="40"/>
      <c r="U755" s="40"/>
    </row>
    <row r="756" spans="20:21" ht="14.25" customHeight="1" x14ac:dyDescent="0.25">
      <c r="T756" s="40"/>
      <c r="U756" s="40"/>
    </row>
    <row r="757" spans="20:21" ht="14.25" customHeight="1" x14ac:dyDescent="0.25">
      <c r="T757" s="40"/>
      <c r="U757" s="40"/>
    </row>
    <row r="758" spans="20:21" ht="14.25" customHeight="1" x14ac:dyDescent="0.25">
      <c r="T758" s="40"/>
      <c r="U758" s="40"/>
    </row>
    <row r="759" spans="20:21" ht="14.25" customHeight="1" x14ac:dyDescent="0.25">
      <c r="T759" s="40"/>
      <c r="U759" s="40"/>
    </row>
    <row r="760" spans="20:21" ht="14.25" customHeight="1" x14ac:dyDescent="0.25">
      <c r="T760" s="40"/>
      <c r="U760" s="40"/>
    </row>
    <row r="761" spans="20:21" ht="14.25" customHeight="1" x14ac:dyDescent="0.25">
      <c r="T761" s="40"/>
      <c r="U761" s="40"/>
    </row>
    <row r="762" spans="20:21" ht="14.25" customHeight="1" x14ac:dyDescent="0.25">
      <c r="T762" s="40"/>
      <c r="U762" s="40"/>
    </row>
    <row r="763" spans="20:21" ht="14.25" customHeight="1" x14ac:dyDescent="0.25">
      <c r="T763" s="40"/>
      <c r="U763" s="40"/>
    </row>
    <row r="764" spans="20:21" ht="14.25" customHeight="1" x14ac:dyDescent="0.25">
      <c r="T764" s="40"/>
      <c r="U764" s="40"/>
    </row>
    <row r="765" spans="20:21" ht="14.25" customHeight="1" x14ac:dyDescent="0.25">
      <c r="T765" s="40"/>
      <c r="U765" s="40"/>
    </row>
    <row r="766" spans="20:21" ht="14.25" customHeight="1" x14ac:dyDescent="0.25">
      <c r="T766" s="40"/>
      <c r="U766" s="40"/>
    </row>
    <row r="767" spans="20:21" ht="14.25" customHeight="1" x14ac:dyDescent="0.25">
      <c r="T767" s="40"/>
      <c r="U767" s="40"/>
    </row>
    <row r="768" spans="20:21" ht="14.25" customHeight="1" x14ac:dyDescent="0.25">
      <c r="T768" s="40"/>
      <c r="U768" s="40"/>
    </row>
    <row r="769" spans="20:21" ht="14.25" customHeight="1" x14ac:dyDescent="0.25">
      <c r="T769" s="40"/>
      <c r="U769" s="40"/>
    </row>
    <row r="770" spans="20:21" ht="14.25" customHeight="1" x14ac:dyDescent="0.25">
      <c r="T770" s="40"/>
      <c r="U770" s="40"/>
    </row>
    <row r="771" spans="20:21" ht="14.25" customHeight="1" x14ac:dyDescent="0.25">
      <c r="T771" s="40"/>
      <c r="U771" s="40"/>
    </row>
    <row r="772" spans="20:21" ht="14.25" customHeight="1" x14ac:dyDescent="0.25">
      <c r="T772" s="40"/>
      <c r="U772" s="40"/>
    </row>
    <row r="773" spans="20:21" ht="14.25" customHeight="1" x14ac:dyDescent="0.25">
      <c r="T773" s="40"/>
      <c r="U773" s="40"/>
    </row>
    <row r="774" spans="20:21" ht="14.25" customHeight="1" x14ac:dyDescent="0.25">
      <c r="T774" s="40"/>
      <c r="U774" s="40"/>
    </row>
    <row r="775" spans="20:21" ht="14.25" customHeight="1" x14ac:dyDescent="0.25">
      <c r="T775" s="40"/>
      <c r="U775" s="40"/>
    </row>
    <row r="776" spans="20:21" ht="14.25" customHeight="1" x14ac:dyDescent="0.25">
      <c r="T776" s="40"/>
      <c r="U776" s="40"/>
    </row>
    <row r="777" spans="20:21" ht="14.25" customHeight="1" x14ac:dyDescent="0.25">
      <c r="T777" s="40"/>
      <c r="U777" s="40"/>
    </row>
    <row r="778" spans="20:21" ht="14.25" customHeight="1" x14ac:dyDescent="0.25">
      <c r="T778" s="40"/>
      <c r="U778" s="40"/>
    </row>
    <row r="779" spans="20:21" ht="14.25" customHeight="1" x14ac:dyDescent="0.25">
      <c r="T779" s="40"/>
      <c r="U779" s="40"/>
    </row>
    <row r="780" spans="20:21" ht="14.25" customHeight="1" x14ac:dyDescent="0.25">
      <c r="T780" s="40"/>
      <c r="U780" s="40"/>
    </row>
    <row r="781" spans="20:21" ht="14.25" customHeight="1" x14ac:dyDescent="0.25">
      <c r="T781" s="40"/>
      <c r="U781" s="40"/>
    </row>
    <row r="782" spans="20:21" ht="14.25" customHeight="1" x14ac:dyDescent="0.25">
      <c r="T782" s="40"/>
      <c r="U782" s="40"/>
    </row>
    <row r="783" spans="20:21" ht="14.25" customHeight="1" x14ac:dyDescent="0.25">
      <c r="T783" s="40"/>
      <c r="U783" s="40"/>
    </row>
    <row r="784" spans="20:21" ht="14.25" customHeight="1" x14ac:dyDescent="0.25">
      <c r="T784" s="40"/>
      <c r="U784" s="40"/>
    </row>
    <row r="785" spans="20:21" ht="14.25" customHeight="1" x14ac:dyDescent="0.25">
      <c r="T785" s="40"/>
      <c r="U785" s="40"/>
    </row>
    <row r="786" spans="20:21" ht="14.25" customHeight="1" x14ac:dyDescent="0.25">
      <c r="T786" s="40"/>
      <c r="U786" s="40"/>
    </row>
    <row r="787" spans="20:21" ht="14.25" customHeight="1" x14ac:dyDescent="0.25">
      <c r="T787" s="40"/>
      <c r="U787" s="40"/>
    </row>
    <row r="788" spans="20:21" ht="14.25" customHeight="1" x14ac:dyDescent="0.25">
      <c r="T788" s="40"/>
      <c r="U788" s="40"/>
    </row>
    <row r="789" spans="20:21" ht="14.25" customHeight="1" x14ac:dyDescent="0.25">
      <c r="T789" s="40"/>
      <c r="U789" s="40"/>
    </row>
    <row r="790" spans="20:21" ht="14.25" customHeight="1" x14ac:dyDescent="0.25">
      <c r="T790" s="40"/>
      <c r="U790" s="40"/>
    </row>
    <row r="791" spans="20:21" ht="14.25" customHeight="1" x14ac:dyDescent="0.25">
      <c r="T791" s="40"/>
      <c r="U791" s="40"/>
    </row>
    <row r="792" spans="20:21" ht="14.25" customHeight="1" x14ac:dyDescent="0.25">
      <c r="T792" s="40"/>
      <c r="U792" s="40"/>
    </row>
    <row r="793" spans="20:21" ht="14.25" customHeight="1" x14ac:dyDescent="0.25">
      <c r="T793" s="40"/>
      <c r="U793" s="40"/>
    </row>
    <row r="794" spans="20:21" ht="14.25" customHeight="1" x14ac:dyDescent="0.25">
      <c r="T794" s="40"/>
      <c r="U794" s="40"/>
    </row>
    <row r="795" spans="20:21" ht="14.25" customHeight="1" x14ac:dyDescent="0.25">
      <c r="T795" s="40"/>
      <c r="U795" s="40"/>
    </row>
    <row r="796" spans="20:21" ht="14.25" customHeight="1" x14ac:dyDescent="0.25">
      <c r="T796" s="40"/>
      <c r="U796" s="40"/>
    </row>
    <row r="797" spans="20:21" ht="14.25" customHeight="1" x14ac:dyDescent="0.25">
      <c r="T797" s="40"/>
      <c r="U797" s="40"/>
    </row>
    <row r="798" spans="20:21" ht="14.25" customHeight="1" x14ac:dyDescent="0.25">
      <c r="T798" s="40"/>
      <c r="U798" s="40"/>
    </row>
    <row r="799" spans="20:21" ht="14.25" customHeight="1" x14ac:dyDescent="0.25">
      <c r="T799" s="40"/>
      <c r="U799" s="40"/>
    </row>
    <row r="800" spans="20:21" ht="14.25" customHeight="1" x14ac:dyDescent="0.25">
      <c r="T800" s="40"/>
      <c r="U800" s="40"/>
    </row>
    <row r="801" spans="20:21" ht="14.25" customHeight="1" x14ac:dyDescent="0.25">
      <c r="T801" s="40"/>
      <c r="U801" s="40"/>
    </row>
    <row r="802" spans="20:21" ht="14.25" customHeight="1" x14ac:dyDescent="0.25">
      <c r="T802" s="40"/>
      <c r="U802" s="40"/>
    </row>
    <row r="803" spans="20:21" ht="14.25" customHeight="1" x14ac:dyDescent="0.25">
      <c r="T803" s="40"/>
      <c r="U803" s="40"/>
    </row>
    <row r="804" spans="20:21" ht="14.25" customHeight="1" x14ac:dyDescent="0.25">
      <c r="T804" s="40"/>
      <c r="U804" s="40"/>
    </row>
    <row r="805" spans="20:21" ht="14.25" customHeight="1" x14ac:dyDescent="0.25">
      <c r="T805" s="40"/>
      <c r="U805" s="40"/>
    </row>
    <row r="806" spans="20:21" ht="14.25" customHeight="1" x14ac:dyDescent="0.25">
      <c r="T806" s="40"/>
      <c r="U806" s="40"/>
    </row>
    <row r="807" spans="20:21" ht="14.25" customHeight="1" x14ac:dyDescent="0.25">
      <c r="T807" s="40"/>
      <c r="U807" s="40"/>
    </row>
    <row r="808" spans="20:21" ht="14.25" customHeight="1" x14ac:dyDescent="0.25">
      <c r="T808" s="40"/>
      <c r="U808" s="40"/>
    </row>
    <row r="809" spans="20:21" ht="14.25" customHeight="1" x14ac:dyDescent="0.25">
      <c r="T809" s="40"/>
      <c r="U809" s="40"/>
    </row>
    <row r="810" spans="20:21" ht="14.25" customHeight="1" x14ac:dyDescent="0.25">
      <c r="T810" s="40"/>
      <c r="U810" s="40"/>
    </row>
    <row r="811" spans="20:21" ht="14.25" customHeight="1" x14ac:dyDescent="0.25">
      <c r="T811" s="40"/>
      <c r="U811" s="40"/>
    </row>
    <row r="812" spans="20:21" ht="14.25" customHeight="1" x14ac:dyDescent="0.25">
      <c r="T812" s="40"/>
      <c r="U812" s="40"/>
    </row>
    <row r="813" spans="20:21" ht="14.25" customHeight="1" x14ac:dyDescent="0.25">
      <c r="T813" s="40"/>
      <c r="U813" s="40"/>
    </row>
    <row r="814" spans="20:21" ht="14.25" customHeight="1" x14ac:dyDescent="0.25">
      <c r="T814" s="40"/>
      <c r="U814" s="40"/>
    </row>
    <row r="815" spans="20:21" ht="14.25" customHeight="1" x14ac:dyDescent="0.25">
      <c r="T815" s="40"/>
      <c r="U815" s="40"/>
    </row>
    <row r="816" spans="20:21" ht="14.25" customHeight="1" x14ac:dyDescent="0.25">
      <c r="T816" s="40"/>
      <c r="U816" s="40"/>
    </row>
    <row r="817" spans="20:21" ht="14.25" customHeight="1" x14ac:dyDescent="0.25">
      <c r="T817" s="40"/>
      <c r="U817" s="40"/>
    </row>
    <row r="818" spans="20:21" ht="14.25" customHeight="1" x14ac:dyDescent="0.25">
      <c r="T818" s="40"/>
      <c r="U818" s="40"/>
    </row>
    <row r="819" spans="20:21" ht="14.25" customHeight="1" x14ac:dyDescent="0.25">
      <c r="T819" s="40"/>
      <c r="U819" s="40"/>
    </row>
    <row r="820" spans="20:21" ht="14.25" customHeight="1" x14ac:dyDescent="0.25">
      <c r="T820" s="40"/>
      <c r="U820" s="40"/>
    </row>
    <row r="821" spans="20:21" ht="14.25" customHeight="1" x14ac:dyDescent="0.25">
      <c r="T821" s="40"/>
      <c r="U821" s="40"/>
    </row>
    <row r="822" spans="20:21" ht="14.25" customHeight="1" x14ac:dyDescent="0.25">
      <c r="T822" s="40"/>
      <c r="U822" s="40"/>
    </row>
    <row r="823" spans="20:21" ht="14.25" customHeight="1" x14ac:dyDescent="0.25">
      <c r="T823" s="40"/>
      <c r="U823" s="40"/>
    </row>
    <row r="824" spans="20:21" ht="14.25" customHeight="1" x14ac:dyDescent="0.25">
      <c r="T824" s="40"/>
      <c r="U824" s="40"/>
    </row>
    <row r="825" spans="20:21" ht="14.25" customHeight="1" x14ac:dyDescent="0.25">
      <c r="T825" s="40"/>
      <c r="U825" s="40"/>
    </row>
    <row r="826" spans="20:21" ht="14.25" customHeight="1" x14ac:dyDescent="0.25">
      <c r="T826" s="40"/>
      <c r="U826" s="40"/>
    </row>
    <row r="827" spans="20:21" ht="14.25" customHeight="1" x14ac:dyDescent="0.25">
      <c r="T827" s="40"/>
      <c r="U827" s="40"/>
    </row>
    <row r="828" spans="20:21" ht="14.25" customHeight="1" x14ac:dyDescent="0.25">
      <c r="T828" s="40"/>
      <c r="U828" s="40"/>
    </row>
    <row r="829" spans="20:21" ht="14.25" customHeight="1" x14ac:dyDescent="0.25">
      <c r="T829" s="40"/>
      <c r="U829" s="40"/>
    </row>
    <row r="830" spans="20:21" ht="14.25" customHeight="1" x14ac:dyDescent="0.25">
      <c r="T830" s="40"/>
      <c r="U830" s="40"/>
    </row>
    <row r="831" spans="20:21" ht="14.25" customHeight="1" x14ac:dyDescent="0.25">
      <c r="T831" s="40"/>
      <c r="U831" s="40"/>
    </row>
    <row r="832" spans="20:21" ht="14.25" customHeight="1" x14ac:dyDescent="0.25">
      <c r="T832" s="40"/>
      <c r="U832" s="40"/>
    </row>
    <row r="833" spans="20:21" ht="14.25" customHeight="1" x14ac:dyDescent="0.25">
      <c r="T833" s="40"/>
      <c r="U833" s="40"/>
    </row>
    <row r="834" spans="20:21" ht="14.25" customHeight="1" x14ac:dyDescent="0.25">
      <c r="T834" s="40"/>
      <c r="U834" s="40"/>
    </row>
    <row r="835" spans="20:21" ht="14.25" customHeight="1" x14ac:dyDescent="0.25">
      <c r="T835" s="40"/>
      <c r="U835" s="40"/>
    </row>
    <row r="836" spans="20:21" ht="14.25" customHeight="1" x14ac:dyDescent="0.25">
      <c r="T836" s="40"/>
      <c r="U836" s="40"/>
    </row>
    <row r="837" spans="20:21" ht="14.25" customHeight="1" x14ac:dyDescent="0.25">
      <c r="T837" s="40"/>
      <c r="U837" s="40"/>
    </row>
    <row r="838" spans="20:21" ht="14.25" customHeight="1" x14ac:dyDescent="0.25">
      <c r="T838" s="40"/>
      <c r="U838" s="40"/>
    </row>
    <row r="839" spans="20:21" ht="14.25" customHeight="1" x14ac:dyDescent="0.25">
      <c r="T839" s="40"/>
      <c r="U839" s="40"/>
    </row>
    <row r="840" spans="20:21" ht="14.25" customHeight="1" x14ac:dyDescent="0.25">
      <c r="T840" s="40"/>
      <c r="U840" s="40"/>
    </row>
    <row r="841" spans="20:21" ht="14.25" customHeight="1" x14ac:dyDescent="0.25">
      <c r="T841" s="40"/>
      <c r="U841" s="40"/>
    </row>
    <row r="842" spans="20:21" ht="14.25" customHeight="1" x14ac:dyDescent="0.25">
      <c r="T842" s="40"/>
      <c r="U842" s="40"/>
    </row>
    <row r="843" spans="20:21" ht="14.25" customHeight="1" x14ac:dyDescent="0.25">
      <c r="T843" s="40"/>
      <c r="U843" s="40"/>
    </row>
    <row r="844" spans="20:21" ht="14.25" customHeight="1" x14ac:dyDescent="0.25">
      <c r="T844" s="40"/>
      <c r="U844" s="40"/>
    </row>
    <row r="845" spans="20:21" ht="14.25" customHeight="1" x14ac:dyDescent="0.25">
      <c r="T845" s="40"/>
      <c r="U845" s="40"/>
    </row>
    <row r="846" spans="20:21" ht="14.25" customHeight="1" x14ac:dyDescent="0.25">
      <c r="T846" s="40"/>
      <c r="U846" s="40"/>
    </row>
    <row r="847" spans="20:21" ht="14.25" customHeight="1" x14ac:dyDescent="0.25">
      <c r="T847" s="40"/>
      <c r="U847" s="40"/>
    </row>
    <row r="848" spans="20:21" ht="14.25" customHeight="1" x14ac:dyDescent="0.25">
      <c r="T848" s="40"/>
      <c r="U848" s="40"/>
    </row>
    <row r="849" spans="20:21" ht="14.25" customHeight="1" x14ac:dyDescent="0.25">
      <c r="T849" s="40"/>
      <c r="U849" s="40"/>
    </row>
    <row r="850" spans="20:21" ht="14.25" customHeight="1" x14ac:dyDescent="0.25">
      <c r="T850" s="40"/>
      <c r="U850" s="40"/>
    </row>
    <row r="851" spans="20:21" ht="14.25" customHeight="1" x14ac:dyDescent="0.25">
      <c r="T851" s="40"/>
      <c r="U851" s="40"/>
    </row>
    <row r="852" spans="20:21" ht="14.25" customHeight="1" x14ac:dyDescent="0.25">
      <c r="T852" s="40"/>
      <c r="U852" s="40"/>
    </row>
    <row r="853" spans="20:21" ht="14.25" customHeight="1" x14ac:dyDescent="0.25">
      <c r="T853" s="40"/>
      <c r="U853" s="40"/>
    </row>
    <row r="854" spans="20:21" ht="14.25" customHeight="1" x14ac:dyDescent="0.25">
      <c r="T854" s="40"/>
      <c r="U854" s="40"/>
    </row>
    <row r="855" spans="20:21" ht="14.25" customHeight="1" x14ac:dyDescent="0.25">
      <c r="T855" s="40"/>
      <c r="U855" s="40"/>
    </row>
    <row r="856" spans="20:21" ht="14.25" customHeight="1" x14ac:dyDescent="0.25">
      <c r="T856" s="40"/>
      <c r="U856" s="40"/>
    </row>
    <row r="857" spans="20:21" ht="14.25" customHeight="1" x14ac:dyDescent="0.25">
      <c r="T857" s="40"/>
      <c r="U857" s="40"/>
    </row>
    <row r="858" spans="20:21" ht="14.25" customHeight="1" x14ac:dyDescent="0.25">
      <c r="T858" s="40"/>
      <c r="U858" s="40"/>
    </row>
    <row r="859" spans="20:21" ht="14.25" customHeight="1" x14ac:dyDescent="0.25">
      <c r="T859" s="40"/>
      <c r="U859" s="40"/>
    </row>
    <row r="860" spans="20:21" ht="14.25" customHeight="1" x14ac:dyDescent="0.25">
      <c r="T860" s="40"/>
      <c r="U860" s="40"/>
    </row>
    <row r="861" spans="20:21" ht="14.25" customHeight="1" x14ac:dyDescent="0.25">
      <c r="T861" s="40"/>
      <c r="U861" s="40"/>
    </row>
    <row r="862" spans="20:21" ht="14.25" customHeight="1" x14ac:dyDescent="0.25">
      <c r="T862" s="40"/>
      <c r="U862" s="40"/>
    </row>
    <row r="863" spans="20:21" ht="14.25" customHeight="1" x14ac:dyDescent="0.25">
      <c r="T863" s="40"/>
      <c r="U863" s="40"/>
    </row>
    <row r="864" spans="20:21" ht="14.25" customHeight="1" x14ac:dyDescent="0.25">
      <c r="T864" s="40"/>
      <c r="U864" s="40"/>
    </row>
    <row r="865" spans="20:21" ht="14.25" customHeight="1" x14ac:dyDescent="0.25">
      <c r="T865" s="40"/>
      <c r="U865" s="40"/>
    </row>
    <row r="866" spans="20:21" ht="14.25" customHeight="1" x14ac:dyDescent="0.25">
      <c r="T866" s="40"/>
      <c r="U866" s="40"/>
    </row>
    <row r="867" spans="20:21" ht="14.25" customHeight="1" x14ac:dyDescent="0.25">
      <c r="T867" s="40"/>
      <c r="U867" s="40"/>
    </row>
    <row r="868" spans="20:21" ht="14.25" customHeight="1" x14ac:dyDescent="0.25">
      <c r="T868" s="40"/>
      <c r="U868" s="40"/>
    </row>
    <row r="869" spans="20:21" ht="14.25" customHeight="1" x14ac:dyDescent="0.25">
      <c r="T869" s="40"/>
      <c r="U869" s="40"/>
    </row>
    <row r="870" spans="20:21" ht="14.25" customHeight="1" x14ac:dyDescent="0.25">
      <c r="T870" s="40"/>
      <c r="U870" s="40"/>
    </row>
    <row r="871" spans="20:21" ht="14.25" customHeight="1" x14ac:dyDescent="0.25">
      <c r="T871" s="40"/>
      <c r="U871" s="40"/>
    </row>
    <row r="872" spans="20:21" ht="14.25" customHeight="1" x14ac:dyDescent="0.25">
      <c r="T872" s="40"/>
      <c r="U872" s="40"/>
    </row>
    <row r="873" spans="20:21" ht="14.25" customHeight="1" x14ac:dyDescent="0.25">
      <c r="T873" s="40"/>
      <c r="U873" s="40"/>
    </row>
    <row r="874" spans="20:21" ht="14.25" customHeight="1" x14ac:dyDescent="0.25">
      <c r="T874" s="40"/>
      <c r="U874" s="40"/>
    </row>
    <row r="875" spans="20:21" ht="14.25" customHeight="1" x14ac:dyDescent="0.25">
      <c r="T875" s="40"/>
      <c r="U875" s="40"/>
    </row>
    <row r="876" spans="20:21" ht="14.25" customHeight="1" x14ac:dyDescent="0.25">
      <c r="T876" s="40"/>
      <c r="U876" s="40"/>
    </row>
    <row r="877" spans="20:21" ht="14.25" customHeight="1" x14ac:dyDescent="0.25">
      <c r="T877" s="40"/>
      <c r="U877" s="40"/>
    </row>
    <row r="878" spans="20:21" ht="14.25" customHeight="1" x14ac:dyDescent="0.25">
      <c r="T878" s="40"/>
      <c r="U878" s="40"/>
    </row>
    <row r="879" spans="20:21" ht="14.25" customHeight="1" x14ac:dyDescent="0.25">
      <c r="T879" s="40"/>
      <c r="U879" s="40"/>
    </row>
    <row r="880" spans="20:21" ht="14.25" customHeight="1" x14ac:dyDescent="0.25">
      <c r="T880" s="40"/>
      <c r="U880" s="40"/>
    </row>
    <row r="881" spans="20:21" ht="14.25" customHeight="1" x14ac:dyDescent="0.25">
      <c r="T881" s="40"/>
      <c r="U881" s="40"/>
    </row>
    <row r="882" spans="20:21" ht="14.25" customHeight="1" x14ac:dyDescent="0.25">
      <c r="T882" s="40"/>
      <c r="U882" s="40"/>
    </row>
    <row r="883" spans="20:21" ht="14.25" customHeight="1" x14ac:dyDescent="0.25">
      <c r="T883" s="40"/>
      <c r="U883" s="40"/>
    </row>
    <row r="884" spans="20:21" ht="14.25" customHeight="1" x14ac:dyDescent="0.25">
      <c r="T884" s="40"/>
      <c r="U884" s="40"/>
    </row>
    <row r="885" spans="20:21" ht="14.25" customHeight="1" x14ac:dyDescent="0.25">
      <c r="T885" s="40"/>
      <c r="U885" s="40"/>
    </row>
    <row r="886" spans="20:21" ht="14.25" customHeight="1" x14ac:dyDescent="0.25">
      <c r="T886" s="40"/>
      <c r="U886" s="40"/>
    </row>
    <row r="887" spans="20:21" ht="14.25" customHeight="1" x14ac:dyDescent="0.25">
      <c r="T887" s="40"/>
      <c r="U887" s="40"/>
    </row>
    <row r="888" spans="20:21" ht="14.25" customHeight="1" x14ac:dyDescent="0.25">
      <c r="T888" s="40"/>
      <c r="U888" s="40"/>
    </row>
    <row r="889" spans="20:21" ht="14.25" customHeight="1" x14ac:dyDescent="0.25">
      <c r="T889" s="40"/>
      <c r="U889" s="40"/>
    </row>
    <row r="890" spans="20:21" ht="14.25" customHeight="1" x14ac:dyDescent="0.25">
      <c r="T890" s="40"/>
      <c r="U890" s="40"/>
    </row>
    <row r="891" spans="20:21" ht="14.25" customHeight="1" x14ac:dyDescent="0.25">
      <c r="T891" s="40"/>
      <c r="U891" s="40"/>
    </row>
    <row r="892" spans="20:21" ht="14.25" customHeight="1" x14ac:dyDescent="0.25">
      <c r="T892" s="40"/>
      <c r="U892" s="40"/>
    </row>
    <row r="893" spans="20:21" ht="14.25" customHeight="1" x14ac:dyDescent="0.25">
      <c r="T893" s="40"/>
      <c r="U893" s="40"/>
    </row>
    <row r="894" spans="20:21" ht="14.25" customHeight="1" x14ac:dyDescent="0.25">
      <c r="T894" s="40"/>
      <c r="U894" s="40"/>
    </row>
    <row r="895" spans="20:21" ht="14.25" customHeight="1" x14ac:dyDescent="0.25">
      <c r="T895" s="40"/>
      <c r="U895" s="40"/>
    </row>
    <row r="896" spans="20:21" ht="14.25" customHeight="1" x14ac:dyDescent="0.25">
      <c r="T896" s="40"/>
      <c r="U896" s="40"/>
    </row>
    <row r="897" spans="20:21" ht="14.25" customHeight="1" x14ac:dyDescent="0.25">
      <c r="T897" s="40"/>
      <c r="U897" s="40"/>
    </row>
    <row r="898" spans="20:21" ht="14.25" customHeight="1" x14ac:dyDescent="0.25">
      <c r="T898" s="40"/>
      <c r="U898" s="40"/>
    </row>
    <row r="899" spans="20:21" ht="14.25" customHeight="1" x14ac:dyDescent="0.25">
      <c r="T899" s="40"/>
      <c r="U899" s="40"/>
    </row>
    <row r="900" spans="20:21" ht="14.25" customHeight="1" x14ac:dyDescent="0.25">
      <c r="T900" s="40"/>
      <c r="U900" s="40"/>
    </row>
    <row r="901" spans="20:21" ht="14.25" customHeight="1" x14ac:dyDescent="0.25">
      <c r="T901" s="40"/>
      <c r="U901" s="40"/>
    </row>
    <row r="902" spans="20:21" ht="14.25" customHeight="1" x14ac:dyDescent="0.25">
      <c r="T902" s="40"/>
      <c r="U902" s="40"/>
    </row>
    <row r="903" spans="20:21" ht="14.25" customHeight="1" x14ac:dyDescent="0.25">
      <c r="T903" s="40"/>
      <c r="U903" s="40"/>
    </row>
    <row r="904" spans="20:21" ht="14.25" customHeight="1" x14ac:dyDescent="0.25">
      <c r="T904" s="40"/>
      <c r="U904" s="40"/>
    </row>
    <row r="905" spans="20:21" ht="14.25" customHeight="1" x14ac:dyDescent="0.25">
      <c r="T905" s="40"/>
      <c r="U905" s="40"/>
    </row>
    <row r="906" spans="20:21" ht="14.25" customHeight="1" x14ac:dyDescent="0.25">
      <c r="T906" s="40"/>
      <c r="U906" s="40"/>
    </row>
    <row r="907" spans="20:21" ht="14.25" customHeight="1" x14ac:dyDescent="0.25">
      <c r="T907" s="40"/>
      <c r="U907" s="40"/>
    </row>
    <row r="908" spans="20:21" ht="14.25" customHeight="1" x14ac:dyDescent="0.25">
      <c r="T908" s="40"/>
      <c r="U908" s="40"/>
    </row>
    <row r="909" spans="20:21" ht="14.25" customHeight="1" x14ac:dyDescent="0.25">
      <c r="T909" s="40"/>
      <c r="U909" s="40"/>
    </row>
    <row r="910" spans="20:21" ht="14.25" customHeight="1" x14ac:dyDescent="0.25">
      <c r="T910" s="40"/>
      <c r="U910" s="40"/>
    </row>
    <row r="911" spans="20:21" ht="14.25" customHeight="1" x14ac:dyDescent="0.25">
      <c r="T911" s="40"/>
      <c r="U911" s="40"/>
    </row>
    <row r="912" spans="20:21" ht="14.25" customHeight="1" x14ac:dyDescent="0.25">
      <c r="T912" s="40"/>
      <c r="U912" s="40"/>
    </row>
    <row r="913" spans="20:21" ht="14.25" customHeight="1" x14ac:dyDescent="0.25">
      <c r="T913" s="40"/>
      <c r="U913" s="40"/>
    </row>
    <row r="914" spans="20:21" ht="14.25" customHeight="1" x14ac:dyDescent="0.25">
      <c r="T914" s="40"/>
      <c r="U914" s="40"/>
    </row>
    <row r="915" spans="20:21" ht="14.25" customHeight="1" x14ac:dyDescent="0.25">
      <c r="T915" s="40"/>
      <c r="U915" s="40"/>
    </row>
    <row r="916" spans="20:21" ht="14.25" customHeight="1" x14ac:dyDescent="0.25">
      <c r="T916" s="40"/>
      <c r="U916" s="40"/>
    </row>
    <row r="917" spans="20:21" ht="14.25" customHeight="1" x14ac:dyDescent="0.25">
      <c r="T917" s="40"/>
      <c r="U917" s="40"/>
    </row>
    <row r="918" spans="20:21" ht="14.25" customHeight="1" x14ac:dyDescent="0.25">
      <c r="T918" s="40"/>
      <c r="U918" s="40"/>
    </row>
    <row r="919" spans="20:21" ht="14.25" customHeight="1" x14ac:dyDescent="0.25">
      <c r="T919" s="40"/>
      <c r="U919" s="40"/>
    </row>
    <row r="920" spans="20:21" ht="14.25" customHeight="1" x14ac:dyDescent="0.25">
      <c r="T920" s="40"/>
      <c r="U920" s="40"/>
    </row>
    <row r="921" spans="20:21" ht="14.25" customHeight="1" x14ac:dyDescent="0.25">
      <c r="T921" s="40"/>
      <c r="U921" s="40"/>
    </row>
    <row r="922" spans="20:21" ht="14.25" customHeight="1" x14ac:dyDescent="0.25">
      <c r="T922" s="40"/>
      <c r="U922" s="40"/>
    </row>
    <row r="923" spans="20:21" ht="14.25" customHeight="1" x14ac:dyDescent="0.25">
      <c r="T923" s="40"/>
      <c r="U923" s="40"/>
    </row>
    <row r="924" spans="20:21" ht="14.25" customHeight="1" x14ac:dyDescent="0.25">
      <c r="T924" s="40"/>
      <c r="U924" s="40"/>
    </row>
    <row r="925" spans="20:21" ht="14.25" customHeight="1" x14ac:dyDescent="0.25">
      <c r="T925" s="40"/>
      <c r="U925" s="40"/>
    </row>
    <row r="926" spans="20:21" ht="14.25" customHeight="1" x14ac:dyDescent="0.25">
      <c r="T926" s="40"/>
      <c r="U926" s="40"/>
    </row>
    <row r="927" spans="20:21" ht="14.25" customHeight="1" x14ac:dyDescent="0.25">
      <c r="T927" s="40"/>
      <c r="U927" s="40"/>
    </row>
    <row r="928" spans="20:21" ht="14.25" customHeight="1" x14ac:dyDescent="0.25">
      <c r="T928" s="40"/>
      <c r="U928" s="40"/>
    </row>
    <row r="929" spans="20:21" ht="14.25" customHeight="1" x14ac:dyDescent="0.25">
      <c r="T929" s="40"/>
      <c r="U929" s="40"/>
    </row>
    <row r="930" spans="20:21" ht="14.25" customHeight="1" x14ac:dyDescent="0.25">
      <c r="T930" s="40"/>
      <c r="U930" s="40"/>
    </row>
    <row r="931" spans="20:21" ht="14.25" customHeight="1" x14ac:dyDescent="0.25">
      <c r="T931" s="40"/>
      <c r="U931" s="40"/>
    </row>
    <row r="932" spans="20:21" ht="14.25" customHeight="1" x14ac:dyDescent="0.25">
      <c r="T932" s="40"/>
      <c r="U932" s="40"/>
    </row>
    <row r="933" spans="20:21" ht="14.25" customHeight="1" x14ac:dyDescent="0.25">
      <c r="T933" s="40"/>
      <c r="U933" s="40"/>
    </row>
    <row r="934" spans="20:21" ht="14.25" customHeight="1" x14ac:dyDescent="0.25">
      <c r="T934" s="40"/>
      <c r="U934" s="40"/>
    </row>
    <row r="935" spans="20:21" ht="14.25" customHeight="1" x14ac:dyDescent="0.25">
      <c r="T935" s="40"/>
      <c r="U935" s="40"/>
    </row>
    <row r="936" spans="20:21" ht="14.25" customHeight="1" x14ac:dyDescent="0.25">
      <c r="T936" s="40"/>
      <c r="U936" s="40"/>
    </row>
    <row r="937" spans="20:21" ht="14.25" customHeight="1" x14ac:dyDescent="0.25">
      <c r="T937" s="40"/>
      <c r="U937" s="40"/>
    </row>
    <row r="938" spans="20:21" ht="14.25" customHeight="1" x14ac:dyDescent="0.25">
      <c r="T938" s="40"/>
      <c r="U938" s="40"/>
    </row>
    <row r="939" spans="20:21" ht="14.25" customHeight="1" x14ac:dyDescent="0.25">
      <c r="T939" s="40"/>
      <c r="U939" s="40"/>
    </row>
    <row r="940" spans="20:21" ht="14.25" customHeight="1" x14ac:dyDescent="0.25">
      <c r="T940" s="40"/>
      <c r="U940" s="40"/>
    </row>
    <row r="941" spans="20:21" ht="14.25" customHeight="1" x14ac:dyDescent="0.25">
      <c r="T941" s="40"/>
      <c r="U941" s="40"/>
    </row>
    <row r="942" spans="20:21" ht="14.25" customHeight="1" x14ac:dyDescent="0.25">
      <c r="T942" s="40"/>
      <c r="U942" s="40"/>
    </row>
    <row r="943" spans="20:21" ht="14.25" customHeight="1" x14ac:dyDescent="0.25">
      <c r="T943" s="40"/>
      <c r="U943" s="40"/>
    </row>
    <row r="944" spans="20:21" ht="14.25" customHeight="1" x14ac:dyDescent="0.25">
      <c r="T944" s="40"/>
      <c r="U944" s="40"/>
    </row>
    <row r="945" spans="20:21" ht="14.25" customHeight="1" x14ac:dyDescent="0.25">
      <c r="T945" s="40"/>
      <c r="U945" s="40"/>
    </row>
    <row r="946" spans="20:21" ht="14.25" customHeight="1" x14ac:dyDescent="0.25">
      <c r="T946" s="40"/>
      <c r="U946" s="40"/>
    </row>
    <row r="947" spans="20:21" ht="14.25" customHeight="1" x14ac:dyDescent="0.25">
      <c r="T947" s="40"/>
      <c r="U947" s="40"/>
    </row>
    <row r="948" spans="20:21" ht="14.25" customHeight="1" x14ac:dyDescent="0.25">
      <c r="T948" s="40"/>
      <c r="U948" s="40"/>
    </row>
    <row r="949" spans="20:21" ht="14.25" customHeight="1" x14ac:dyDescent="0.25">
      <c r="T949" s="40"/>
      <c r="U949" s="40"/>
    </row>
    <row r="950" spans="20:21" ht="14.25" customHeight="1" x14ac:dyDescent="0.25">
      <c r="T950" s="40"/>
      <c r="U950" s="40"/>
    </row>
    <row r="951" spans="20:21" ht="14.25" customHeight="1" x14ac:dyDescent="0.25">
      <c r="T951" s="40"/>
      <c r="U951" s="40"/>
    </row>
    <row r="952" spans="20:21" ht="14.25" customHeight="1" x14ac:dyDescent="0.25">
      <c r="T952" s="40"/>
      <c r="U952" s="40"/>
    </row>
    <row r="953" spans="20:21" ht="14.25" customHeight="1" x14ac:dyDescent="0.25">
      <c r="T953" s="40"/>
      <c r="U953" s="40"/>
    </row>
    <row r="954" spans="20:21" ht="14.25" customHeight="1" x14ac:dyDescent="0.25">
      <c r="T954" s="40"/>
      <c r="U954" s="40"/>
    </row>
    <row r="955" spans="20:21" ht="14.25" customHeight="1" x14ac:dyDescent="0.25">
      <c r="T955" s="40"/>
      <c r="U955" s="40"/>
    </row>
    <row r="956" spans="20:21" ht="14.25" customHeight="1" x14ac:dyDescent="0.25">
      <c r="T956" s="40"/>
      <c r="U956" s="40"/>
    </row>
    <row r="957" spans="20:21" ht="14.25" customHeight="1" x14ac:dyDescent="0.25">
      <c r="T957" s="40"/>
      <c r="U957" s="40"/>
    </row>
    <row r="958" spans="20:21" ht="14.25" customHeight="1" x14ac:dyDescent="0.25">
      <c r="T958" s="40"/>
      <c r="U958" s="40"/>
    </row>
    <row r="959" spans="20:21" ht="14.25" customHeight="1" x14ac:dyDescent="0.25">
      <c r="T959" s="40"/>
      <c r="U959" s="40"/>
    </row>
    <row r="960" spans="20:21" ht="14.25" customHeight="1" x14ac:dyDescent="0.25">
      <c r="T960" s="40"/>
      <c r="U960" s="40"/>
    </row>
    <row r="961" spans="20:21" ht="14.25" customHeight="1" x14ac:dyDescent="0.25">
      <c r="T961" s="40"/>
      <c r="U961" s="40"/>
    </row>
    <row r="962" spans="20:21" ht="14.25" customHeight="1" x14ac:dyDescent="0.25">
      <c r="T962" s="40"/>
      <c r="U962" s="40"/>
    </row>
    <row r="963" spans="20:21" ht="14.25" customHeight="1" x14ac:dyDescent="0.25">
      <c r="T963" s="40"/>
      <c r="U963" s="40"/>
    </row>
    <row r="964" spans="20:21" ht="14.25" customHeight="1" x14ac:dyDescent="0.25">
      <c r="T964" s="40"/>
      <c r="U964" s="40"/>
    </row>
    <row r="965" spans="20:21" ht="14.25" customHeight="1" x14ac:dyDescent="0.25">
      <c r="T965" s="40"/>
      <c r="U965" s="40"/>
    </row>
    <row r="966" spans="20:21" ht="14.25" customHeight="1" x14ac:dyDescent="0.25">
      <c r="T966" s="40"/>
      <c r="U966" s="40"/>
    </row>
    <row r="967" spans="20:21" ht="14.25" customHeight="1" x14ac:dyDescent="0.25">
      <c r="T967" s="40"/>
      <c r="U967" s="40"/>
    </row>
    <row r="968" spans="20:21" ht="14.25" customHeight="1" x14ac:dyDescent="0.25">
      <c r="T968" s="40"/>
      <c r="U968" s="40"/>
    </row>
    <row r="969" spans="20:21" ht="14.25" customHeight="1" x14ac:dyDescent="0.25">
      <c r="T969" s="40"/>
      <c r="U969" s="40"/>
    </row>
    <row r="970" spans="20:21" ht="14.25" customHeight="1" x14ac:dyDescent="0.25">
      <c r="T970" s="40"/>
      <c r="U970" s="40"/>
    </row>
    <row r="971" spans="20:21" ht="14.25" customHeight="1" x14ac:dyDescent="0.25">
      <c r="T971" s="40"/>
      <c r="U971" s="40"/>
    </row>
    <row r="972" spans="20:21" ht="14.25" customHeight="1" x14ac:dyDescent="0.25">
      <c r="T972" s="40"/>
      <c r="U972" s="40"/>
    </row>
    <row r="973" spans="20:21" ht="14.25" customHeight="1" x14ac:dyDescent="0.25">
      <c r="T973" s="40"/>
      <c r="U973" s="40"/>
    </row>
    <row r="974" spans="20:21" ht="14.25" customHeight="1" x14ac:dyDescent="0.25">
      <c r="T974" s="40"/>
      <c r="U974" s="40"/>
    </row>
    <row r="975" spans="20:21" ht="14.25" customHeight="1" x14ac:dyDescent="0.25">
      <c r="T975" s="40"/>
      <c r="U975" s="40"/>
    </row>
    <row r="976" spans="20:21" ht="14.25" customHeight="1" x14ac:dyDescent="0.25">
      <c r="T976" s="40"/>
      <c r="U976" s="40"/>
    </row>
    <row r="977" spans="20:21" ht="14.25" customHeight="1" x14ac:dyDescent="0.25">
      <c r="T977" s="40"/>
      <c r="U977" s="40"/>
    </row>
    <row r="978" spans="20:21" ht="14.25" customHeight="1" x14ac:dyDescent="0.25">
      <c r="T978" s="40"/>
      <c r="U978" s="40"/>
    </row>
    <row r="979" spans="20:21" ht="14.25" customHeight="1" x14ac:dyDescent="0.25">
      <c r="T979" s="40"/>
      <c r="U979" s="40"/>
    </row>
    <row r="980" spans="20:21" ht="14.25" customHeight="1" x14ac:dyDescent="0.25">
      <c r="T980" s="40"/>
      <c r="U980" s="40"/>
    </row>
    <row r="981" spans="20:21" ht="14.25" customHeight="1" x14ac:dyDescent="0.25">
      <c r="T981" s="40"/>
      <c r="U981" s="40"/>
    </row>
    <row r="982" spans="20:21" ht="14.25" customHeight="1" x14ac:dyDescent="0.25">
      <c r="T982" s="40"/>
      <c r="U982" s="40"/>
    </row>
    <row r="983" spans="20:21" ht="14.25" customHeight="1" x14ac:dyDescent="0.25">
      <c r="T983" s="40"/>
      <c r="U983" s="40"/>
    </row>
    <row r="984" spans="20:21" ht="14.25" customHeight="1" x14ac:dyDescent="0.25">
      <c r="T984" s="40"/>
      <c r="U984" s="40"/>
    </row>
    <row r="985" spans="20:21" ht="14.25" customHeight="1" x14ac:dyDescent="0.25">
      <c r="T985" s="40"/>
      <c r="U985" s="40"/>
    </row>
    <row r="986" spans="20:21" ht="14.25" customHeight="1" x14ac:dyDescent="0.25">
      <c r="T986" s="40"/>
      <c r="U986" s="40"/>
    </row>
    <row r="987" spans="20:21" ht="14.25" customHeight="1" x14ac:dyDescent="0.25">
      <c r="T987" s="40"/>
      <c r="U987" s="40"/>
    </row>
    <row r="988" spans="20:21" ht="14.25" customHeight="1" x14ac:dyDescent="0.25">
      <c r="T988" s="40"/>
      <c r="U988" s="40"/>
    </row>
    <row r="989" spans="20:21" ht="14.25" customHeight="1" x14ac:dyDescent="0.25">
      <c r="T989" s="40"/>
      <c r="U989" s="40"/>
    </row>
    <row r="990" spans="20:21" ht="14.25" customHeight="1" x14ac:dyDescent="0.25">
      <c r="T990" s="40"/>
      <c r="U990" s="40"/>
    </row>
    <row r="991" spans="20:21" ht="14.25" customHeight="1" x14ac:dyDescent="0.25">
      <c r="T991" s="40"/>
      <c r="U991" s="40"/>
    </row>
    <row r="992" spans="20:21" ht="14.25" customHeight="1" x14ac:dyDescent="0.25">
      <c r="T992" s="40"/>
      <c r="U992" s="40"/>
    </row>
    <row r="993" spans="20:21" ht="14.25" customHeight="1" x14ac:dyDescent="0.25">
      <c r="T993" s="40"/>
      <c r="U993" s="40"/>
    </row>
    <row r="994" spans="20:21" ht="14.25" customHeight="1" x14ac:dyDescent="0.25">
      <c r="T994" s="40"/>
      <c r="U994" s="40"/>
    </row>
    <row r="995" spans="20:21" ht="14.25" customHeight="1" x14ac:dyDescent="0.25">
      <c r="T995" s="40"/>
      <c r="U995" s="40"/>
    </row>
    <row r="996" spans="20:21" ht="14.25" customHeight="1" x14ac:dyDescent="0.25">
      <c r="T996" s="40"/>
      <c r="U996" s="40"/>
    </row>
    <row r="997" spans="20:21" ht="14.25" customHeight="1" x14ac:dyDescent="0.25">
      <c r="T997" s="40"/>
      <c r="U997" s="40"/>
    </row>
    <row r="998" spans="20:21" ht="14.25" customHeight="1" x14ac:dyDescent="0.25">
      <c r="T998" s="40"/>
      <c r="U998" s="40"/>
    </row>
    <row r="999" spans="20:21" ht="14.25" customHeight="1" x14ac:dyDescent="0.25">
      <c r="T999" s="40"/>
      <c r="U999" s="40"/>
    </row>
    <row r="1000" spans="20:21" ht="14.25" customHeight="1" x14ac:dyDescent="0.25">
      <c r="T1000" s="40"/>
      <c r="U1000" s="40"/>
    </row>
  </sheetData>
  <mergeCells count="9">
    <mergeCell ref="C6:D6"/>
    <mergeCell ref="E6:F6"/>
    <mergeCell ref="G6:H6"/>
    <mergeCell ref="T6:U6"/>
    <mergeCell ref="M6:N6"/>
    <mergeCell ref="K6:L6"/>
    <mergeCell ref="I6:J6"/>
    <mergeCell ref="O6:P6"/>
    <mergeCell ref="Q6:R6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ORÇAMENTO_EXECUTIVO</vt:lpstr>
      <vt:lpstr>ANÁLISE_CUSTOS</vt:lpstr>
      <vt:lpstr>CONTRUTORA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2025-12-16T10:52:53Z</dcterms:modified>
</cp:coreProperties>
</file>