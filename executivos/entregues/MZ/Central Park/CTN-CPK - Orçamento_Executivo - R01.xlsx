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/>
  <mc:AlternateContent xmlns:mc="http://schemas.openxmlformats.org/markup-compatibility/2006">
    <mc:Choice Requires="x15">
      <x15ac:absPath xmlns:x15ac="http://schemas.microsoft.com/office/spreadsheetml/2010/11/ac" url="G:\Drives compartilhados\Methodo Engenharia - Projetos\2. Propostas Fechadas\Central Park - 01.2021\Central Park\03. Custo\03.6 Custo - Determinação do orçamento\2021.10.07 - Orçamento executivo_R01\"/>
    </mc:Choice>
  </mc:AlternateContent>
  <xr:revisionPtr revIDLastSave="0" documentId="13_ncr:1_{A8A767F8-84E3-4AC4-9AB2-DF53F54994BE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Relatório" sheetId="1" r:id="rId1"/>
  </sheets>
  <definedNames>
    <definedName name="_xlnm._FilterDatabase" localSheetId="0" hidden="1">Relatório!$A$13:$F$43</definedName>
  </definedNames>
  <calcPr calcId="181029"/>
</workbook>
</file>

<file path=xl/calcChain.xml><?xml version="1.0" encoding="utf-8"?>
<calcChain xmlns="http://schemas.openxmlformats.org/spreadsheetml/2006/main">
  <c r="F327" i="1" l="1"/>
  <c r="F329" i="1"/>
  <c r="F306" i="1"/>
  <c r="F307" i="1"/>
  <c r="F285" i="1"/>
  <c r="F286" i="1"/>
  <c r="F1486" i="1" l="1"/>
  <c r="F1487" i="1"/>
  <c r="F1373" i="1"/>
  <c r="F1177" i="1"/>
  <c r="F1115" i="1"/>
  <c r="F1114" i="1"/>
  <c r="F1094" i="1"/>
  <c r="F1092" i="1"/>
  <c r="F1091" i="1" s="1"/>
  <c r="F1090" i="1"/>
  <c r="F1089" i="1" s="1"/>
  <c r="F823" i="1"/>
  <c r="F497" i="1"/>
  <c r="F496" i="1" s="1"/>
  <c r="F492" i="1"/>
  <c r="F479" i="1"/>
  <c r="F467" i="1"/>
  <c r="F464" i="1"/>
  <c r="F450" i="1"/>
  <c r="F446" i="1"/>
  <c r="F432" i="1"/>
  <c r="F420" i="1"/>
  <c r="F405" i="1"/>
  <c r="F188" i="1"/>
  <c r="F50" i="1"/>
  <c r="F52" i="1"/>
  <c r="F53" i="1"/>
  <c r="F54" i="1"/>
  <c r="F55" i="1"/>
  <c r="F56" i="1"/>
  <c r="F57" i="1"/>
  <c r="F58" i="1"/>
  <c r="F59" i="1"/>
  <c r="F60" i="1"/>
  <c r="F61" i="1"/>
  <c r="F63" i="1"/>
  <c r="F64" i="1"/>
  <c r="F66" i="1"/>
  <c r="F65" i="1" s="1"/>
  <c r="F69" i="1"/>
  <c r="F70" i="1"/>
  <c r="F71" i="1"/>
  <c r="F72" i="1"/>
  <c r="F73" i="1"/>
  <c r="F74" i="1"/>
  <c r="F75" i="1"/>
  <c r="F76" i="1"/>
  <c r="F77" i="1"/>
  <c r="F78" i="1"/>
  <c r="F17" i="1"/>
  <c r="F18" i="1"/>
  <c r="F20" i="1"/>
  <c r="F21" i="1"/>
  <c r="F22" i="1"/>
  <c r="F23" i="1"/>
  <c r="F24" i="1"/>
  <c r="F25" i="1"/>
  <c r="F26" i="1"/>
  <c r="F28" i="1"/>
  <c r="F27" i="1" s="1"/>
  <c r="F30" i="1"/>
  <c r="F29" i="1" s="1"/>
  <c r="F33" i="1"/>
  <c r="F34" i="1"/>
  <c r="F35" i="1"/>
  <c r="F36" i="1"/>
  <c r="F37" i="1"/>
  <c r="F39" i="1"/>
  <c r="F40" i="1"/>
  <c r="F42" i="1"/>
  <c r="F41" i="1" s="1"/>
  <c r="F51" i="1" l="1"/>
  <c r="F68" i="1"/>
  <c r="F62" i="1"/>
  <c r="F38" i="1"/>
  <c r="F32" i="1"/>
  <c r="F19" i="1"/>
  <c r="F16" i="1"/>
  <c r="F15" i="1" l="1"/>
  <c r="F31" i="1"/>
  <c r="F49" i="1"/>
  <c r="F48" i="1" s="1"/>
  <c r="F1713" i="1"/>
  <c r="F1712" i="1" s="1"/>
  <c r="F1711" i="1"/>
  <c r="F1710" i="1"/>
  <c r="F1708" i="1"/>
  <c r="F1707" i="1" s="1"/>
  <c r="F1706" i="1"/>
  <c r="F1705" i="1" s="1"/>
  <c r="F1704" i="1"/>
  <c r="F1703" i="1" s="1"/>
  <c r="F1700" i="1"/>
  <c r="F1699" i="1"/>
  <c r="F1698" i="1"/>
  <c r="F1696" i="1"/>
  <c r="F1695" i="1" s="1"/>
  <c r="F1694" i="1"/>
  <c r="F1693" i="1" s="1"/>
  <c r="F1692" i="1"/>
  <c r="F1691" i="1"/>
  <c r="F1690" i="1"/>
  <c r="F1688" i="1"/>
  <c r="F1687" i="1"/>
  <c r="F1686" i="1"/>
  <c r="F1683" i="1"/>
  <c r="F1682" i="1"/>
  <c r="F1681" i="1"/>
  <c r="F1679" i="1"/>
  <c r="F1678" i="1" s="1"/>
  <c r="F1677" i="1"/>
  <c r="F1676" i="1" s="1"/>
  <c r="F1675" i="1"/>
  <c r="F1674" i="1"/>
  <c r="F1673" i="1"/>
  <c r="F1671" i="1"/>
  <c r="F1670" i="1"/>
  <c r="F1669" i="1"/>
  <c r="F1666" i="1"/>
  <c r="F1665" i="1"/>
  <c r="F1664" i="1"/>
  <c r="F1662" i="1"/>
  <c r="F1661" i="1" s="1"/>
  <c r="F1660" i="1"/>
  <c r="F1659" i="1" s="1"/>
  <c r="F1658" i="1"/>
  <c r="F1657" i="1"/>
  <c r="F1656" i="1"/>
  <c r="F1654" i="1"/>
  <c r="F1653" i="1"/>
  <c r="F1652" i="1"/>
  <c r="F1649" i="1"/>
  <c r="F1648" i="1"/>
  <c r="F1647" i="1"/>
  <c r="F1645" i="1"/>
  <c r="F1644" i="1" s="1"/>
  <c r="F1643" i="1"/>
  <c r="F1642" i="1"/>
  <c r="F1641" i="1"/>
  <c r="F1639" i="1"/>
  <c r="F1638" i="1"/>
  <c r="F1637" i="1"/>
  <c r="F1634" i="1"/>
  <c r="F1633" i="1"/>
  <c r="F1632" i="1"/>
  <c r="F1630" i="1"/>
  <c r="F1629" i="1" s="1"/>
  <c r="F1628" i="1"/>
  <c r="F1627" i="1"/>
  <c r="F1625" i="1"/>
  <c r="F1624" i="1"/>
  <c r="F1623" i="1"/>
  <c r="F1621" i="1"/>
  <c r="F1620" i="1"/>
  <c r="F1619" i="1"/>
  <c r="F1615" i="1"/>
  <c r="F1614" i="1" s="1"/>
  <c r="F1613" i="1"/>
  <c r="F1612" i="1"/>
  <c r="F1611" i="1"/>
  <c r="F1609" i="1"/>
  <c r="F1608" i="1" s="1"/>
  <c r="F1607" i="1"/>
  <c r="F1606" i="1" s="1"/>
  <c r="F1603" i="1"/>
  <c r="F1602" i="1" s="1"/>
  <c r="F1601" i="1"/>
  <c r="F1600" i="1" s="1"/>
  <c r="F1599" i="1"/>
  <c r="F1598" i="1"/>
  <c r="F1595" i="1"/>
  <c r="F1594" i="1" s="1"/>
  <c r="F1593" i="1"/>
  <c r="F1592" i="1"/>
  <c r="F1591" i="1"/>
  <c r="F1590" i="1"/>
  <c r="F1589" i="1"/>
  <c r="F1587" i="1"/>
  <c r="F1586" i="1" s="1"/>
  <c r="F1585" i="1"/>
  <c r="F1584" i="1"/>
  <c r="F1581" i="1"/>
  <c r="F1580" i="1"/>
  <c r="F1578" i="1"/>
  <c r="F1577" i="1" s="1"/>
  <c r="F1576" i="1"/>
  <c r="F1575" i="1" s="1"/>
  <c r="F1574" i="1"/>
  <c r="F1573" i="1" s="1"/>
  <c r="F1572" i="1"/>
  <c r="F1571" i="1"/>
  <c r="F1570" i="1"/>
  <c r="F1569" i="1"/>
  <c r="F1568" i="1"/>
  <c r="F1567" i="1"/>
  <c r="F1565" i="1"/>
  <c r="F1564" i="1" s="1"/>
  <c r="F1563" i="1"/>
  <c r="F1562" i="1"/>
  <c r="F1561" i="1"/>
  <c r="F1558" i="1"/>
  <c r="F1557" i="1"/>
  <c r="F1555" i="1"/>
  <c r="F1554" i="1" s="1"/>
  <c r="F1553" i="1"/>
  <c r="F1552" i="1" s="1"/>
  <c r="F1551" i="1"/>
  <c r="F1550" i="1"/>
  <c r="F1549" i="1"/>
  <c r="F1548" i="1"/>
  <c r="F1547" i="1"/>
  <c r="F1545" i="1"/>
  <c r="F1544" i="1" s="1"/>
  <c r="F1543" i="1"/>
  <c r="F1542" i="1"/>
  <c r="F1541" i="1"/>
  <c r="F1538" i="1"/>
  <c r="F1537" i="1"/>
  <c r="F1535" i="1"/>
  <c r="F1534" i="1" s="1"/>
  <c r="F1533" i="1"/>
  <c r="F1532" i="1" s="1"/>
  <c r="F1531" i="1"/>
  <c r="F1530" i="1" s="1"/>
  <c r="F1529" i="1"/>
  <c r="F1528" i="1"/>
  <c r="F1527" i="1"/>
  <c r="F1526" i="1"/>
  <c r="F1524" i="1"/>
  <c r="F1523" i="1" s="1"/>
  <c r="F1522" i="1"/>
  <c r="F1521" i="1"/>
  <c r="F1520" i="1"/>
  <c r="F1517" i="1"/>
  <c r="F1516" i="1" s="1"/>
  <c r="F1515" i="1"/>
  <c r="F1514" i="1" s="1"/>
  <c r="F1513" i="1"/>
  <c r="F1512" i="1" s="1"/>
  <c r="F1511" i="1"/>
  <c r="F1510" i="1" s="1"/>
  <c r="F1509" i="1"/>
  <c r="F1508" i="1"/>
  <c r="F1507" i="1"/>
  <c r="F1504" i="1"/>
  <c r="F1503" i="1"/>
  <c r="F1501" i="1"/>
  <c r="F1500" i="1" s="1"/>
  <c r="F1499" i="1"/>
  <c r="F1498" i="1" s="1"/>
  <c r="F1497" i="1"/>
  <c r="F1496" i="1" s="1"/>
  <c r="F1495" i="1"/>
  <c r="F1494" i="1" s="1"/>
  <c r="F1493" i="1"/>
  <c r="F1492" i="1"/>
  <c r="F1491" i="1"/>
  <c r="F1488" i="1"/>
  <c r="F1485" i="1"/>
  <c r="F1484" i="1" s="1"/>
  <c r="F1483" i="1"/>
  <c r="F1482" i="1" s="1"/>
  <c r="F1481" i="1"/>
  <c r="F1480" i="1" s="1"/>
  <c r="F1479" i="1"/>
  <c r="F1478" i="1" s="1"/>
  <c r="F1477" i="1"/>
  <c r="F1476" i="1"/>
  <c r="F1475" i="1"/>
  <c r="F1472" i="1"/>
  <c r="F1471" i="1"/>
  <c r="F1469" i="1"/>
  <c r="F1468" i="1" s="1"/>
  <c r="F1467" i="1"/>
  <c r="F1466" i="1" s="1"/>
  <c r="F1465" i="1"/>
  <c r="F1464" i="1" s="1"/>
  <c r="F1463" i="1"/>
  <c r="F1462" i="1"/>
  <c r="F1459" i="1"/>
  <c r="F1458" i="1"/>
  <c r="F1456" i="1"/>
  <c r="F1455" i="1" s="1"/>
  <c r="F1454" i="1"/>
  <c r="F1453" i="1" s="1"/>
  <c r="F1452" i="1"/>
  <c r="F1451" i="1" s="1"/>
  <c r="F1450" i="1"/>
  <c r="F1449" i="1"/>
  <c r="F1445" i="1"/>
  <c r="F1444" i="1"/>
  <c r="F1442" i="1"/>
  <c r="F1441" i="1"/>
  <c r="F1438" i="1"/>
  <c r="F1437" i="1"/>
  <c r="F1436" i="1"/>
  <c r="F1435" i="1"/>
  <c r="F1434" i="1"/>
  <c r="F1432" i="1"/>
  <c r="F1431" i="1"/>
  <c r="F1429" i="1"/>
  <c r="F1428" i="1"/>
  <c r="F1427" i="1"/>
  <c r="F1424" i="1"/>
  <c r="F1423" i="1"/>
  <c r="F1422" i="1"/>
  <c r="F1421" i="1"/>
  <c r="F1420" i="1"/>
  <c r="F1419" i="1"/>
  <c r="F1418" i="1"/>
  <c r="F1417" i="1"/>
  <c r="F1416" i="1"/>
  <c r="F1415" i="1"/>
  <c r="F1413" i="1"/>
  <c r="F1412" i="1"/>
  <c r="F1411" i="1"/>
  <c r="F1410" i="1"/>
  <c r="F1408" i="1"/>
  <c r="F1407" i="1"/>
  <c r="F1406" i="1"/>
  <c r="F1405" i="1"/>
  <c r="F1404" i="1"/>
  <c r="F1402" i="1"/>
  <c r="F1401" i="1" s="1"/>
  <c r="F1399" i="1"/>
  <c r="F1398" i="1"/>
  <c r="F1397" i="1"/>
  <c r="F1396" i="1"/>
  <c r="F1395" i="1"/>
  <c r="F1394" i="1"/>
  <c r="F1393" i="1"/>
  <c r="F1392" i="1"/>
  <c r="F1391" i="1"/>
  <c r="F1390" i="1"/>
  <c r="F1388" i="1"/>
  <c r="F1387" i="1"/>
  <c r="F1386" i="1"/>
  <c r="F1385" i="1"/>
  <c r="F1383" i="1"/>
  <c r="F1382" i="1"/>
  <c r="F1381" i="1"/>
  <c r="F1380" i="1"/>
  <c r="F1379" i="1"/>
  <c r="F1377" i="1"/>
  <c r="F1376" i="1" s="1"/>
  <c r="F1374" i="1"/>
  <c r="F1372" i="1"/>
  <c r="F1371" i="1"/>
  <c r="F1370" i="1"/>
  <c r="F1369" i="1"/>
  <c r="F1368" i="1"/>
  <c r="F1367" i="1"/>
  <c r="F1366" i="1"/>
  <c r="F1365" i="1"/>
  <c r="F1364" i="1"/>
  <c r="F1362" i="1"/>
  <c r="F1361" i="1"/>
  <c r="F1360" i="1"/>
  <c r="F1359" i="1"/>
  <c r="F1357" i="1"/>
  <c r="F1356" i="1"/>
  <c r="F1355" i="1"/>
  <c r="F1354" i="1"/>
  <c r="F1353" i="1"/>
  <c r="F1352" i="1"/>
  <c r="F1350" i="1"/>
  <c r="F1349" i="1" s="1"/>
  <c r="F1347" i="1"/>
  <c r="F1346" i="1"/>
  <c r="F1345" i="1"/>
  <c r="F1344" i="1"/>
  <c r="F1343" i="1"/>
  <c r="F1342" i="1"/>
  <c r="F1341" i="1"/>
  <c r="F1340" i="1"/>
  <c r="F1339" i="1"/>
  <c r="F1338" i="1"/>
  <c r="F1336" i="1"/>
  <c r="F1335" i="1"/>
  <c r="F1333" i="1"/>
  <c r="F1332" i="1"/>
  <c r="F1331" i="1"/>
  <c r="F1330" i="1"/>
  <c r="F1329" i="1"/>
  <c r="F1327" i="1"/>
  <c r="F1326" i="1"/>
  <c r="F1325" i="1"/>
  <c r="F1322" i="1"/>
  <c r="F1321" i="1"/>
  <c r="F1320" i="1"/>
  <c r="F1319" i="1"/>
  <c r="F1318" i="1"/>
  <c r="F1317" i="1"/>
  <c r="F1316" i="1"/>
  <c r="F1315" i="1"/>
  <c r="F1314" i="1"/>
  <c r="F1313" i="1"/>
  <c r="F1311" i="1"/>
  <c r="F1310" i="1"/>
  <c r="F1309" i="1"/>
  <c r="F1308" i="1"/>
  <c r="F1306" i="1"/>
  <c r="F1305" i="1"/>
  <c r="F1304" i="1"/>
  <c r="F1303" i="1"/>
  <c r="F1302" i="1"/>
  <c r="F1300" i="1"/>
  <c r="F1299" i="1" s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4" i="1"/>
  <c r="F1283" i="1"/>
  <c r="F1282" i="1"/>
  <c r="F1281" i="1"/>
  <c r="F1279" i="1"/>
  <c r="F1278" i="1"/>
  <c r="F1277" i="1"/>
  <c r="F1276" i="1"/>
  <c r="F1275" i="1"/>
  <c r="F1273" i="1"/>
  <c r="F1272" i="1"/>
  <c r="F1271" i="1"/>
  <c r="F1268" i="1"/>
  <c r="F1267" i="1"/>
  <c r="F1266" i="1"/>
  <c r="F1265" i="1"/>
  <c r="F1264" i="1"/>
  <c r="F1263" i="1"/>
  <c r="F1262" i="1"/>
  <c r="F1261" i="1"/>
  <c r="F1259" i="1"/>
  <c r="F1258" i="1"/>
  <c r="F1256" i="1"/>
  <c r="F1255" i="1"/>
  <c r="F1254" i="1"/>
  <c r="F1252" i="1"/>
  <c r="F1251" i="1"/>
  <c r="F1250" i="1"/>
  <c r="F1247" i="1"/>
  <c r="F1246" i="1"/>
  <c r="F1245" i="1"/>
  <c r="F1244" i="1"/>
  <c r="F1243" i="1"/>
  <c r="F1242" i="1"/>
  <c r="F1241" i="1"/>
  <c r="F1240" i="1"/>
  <c r="F1238" i="1"/>
  <c r="F1237" i="1"/>
  <c r="F1235" i="1"/>
  <c r="F1234" i="1"/>
  <c r="F1233" i="1"/>
  <c r="F1231" i="1"/>
  <c r="F1230" i="1"/>
  <c r="F1229" i="1"/>
  <c r="F1225" i="1"/>
  <c r="F1224" i="1"/>
  <c r="F1223" i="1"/>
  <c r="F1222" i="1"/>
  <c r="F1221" i="1"/>
  <c r="F1220" i="1"/>
  <c r="F1218" i="1"/>
  <c r="F1217" i="1" s="1"/>
  <c r="F1216" i="1"/>
  <c r="F1215" i="1"/>
  <c r="F1213" i="1"/>
  <c r="F1212" i="1"/>
  <c r="F1210" i="1"/>
  <c r="F1209" i="1"/>
  <c r="F1207" i="1"/>
  <c r="F1206" i="1"/>
  <c r="F1205" i="1"/>
  <c r="F1202" i="1"/>
  <c r="F1201" i="1"/>
  <c r="F1200" i="1"/>
  <c r="F1199" i="1"/>
  <c r="F1198" i="1"/>
  <c r="F1197" i="1"/>
  <c r="F1196" i="1"/>
  <c r="F1194" i="1"/>
  <c r="F1193" i="1" s="1"/>
  <c r="F1192" i="1"/>
  <c r="F1191" i="1" s="1"/>
  <c r="F1190" i="1"/>
  <c r="F1189" i="1" s="1"/>
  <c r="F1188" i="1"/>
  <c r="F1187" i="1"/>
  <c r="F1185" i="1"/>
  <c r="F1184" i="1"/>
  <c r="F1183" i="1"/>
  <c r="F1180" i="1"/>
  <c r="F1179" i="1"/>
  <c r="F1178" i="1"/>
  <c r="F1176" i="1"/>
  <c r="F1175" i="1"/>
  <c r="F1174" i="1"/>
  <c r="F1173" i="1"/>
  <c r="F1172" i="1"/>
  <c r="F1170" i="1"/>
  <c r="F1169" i="1" s="1"/>
  <c r="F1168" i="1"/>
  <c r="F1167" i="1"/>
  <c r="F1166" i="1"/>
  <c r="F1165" i="1"/>
  <c r="F1164" i="1"/>
  <c r="F1163" i="1"/>
  <c r="F1162" i="1"/>
  <c r="F1161" i="1"/>
  <c r="F1160" i="1"/>
  <c r="F1158" i="1"/>
  <c r="F1157" i="1"/>
  <c r="F1155" i="1"/>
  <c r="F1154" i="1"/>
  <c r="F1152" i="1"/>
  <c r="F1151" i="1"/>
  <c r="F1150" i="1"/>
  <c r="F1149" i="1"/>
  <c r="F1148" i="1"/>
  <c r="F1147" i="1"/>
  <c r="F1146" i="1"/>
  <c r="F1143" i="1"/>
  <c r="F1142" i="1" s="1"/>
  <c r="F1141" i="1"/>
  <c r="F1140" i="1" s="1"/>
  <c r="F1138" i="1"/>
  <c r="F1137" i="1"/>
  <c r="F1136" i="1"/>
  <c r="F1135" i="1"/>
  <c r="F1133" i="1"/>
  <c r="F1132" i="1" s="1"/>
  <c r="F1131" i="1"/>
  <c r="F1130" i="1" s="1"/>
  <c r="F1129" i="1"/>
  <c r="F1128" i="1" s="1"/>
  <c r="F1127" i="1"/>
  <c r="F1124" i="1"/>
  <c r="F1123" i="1"/>
  <c r="F1122" i="1"/>
  <c r="F1121" i="1"/>
  <c r="F1120" i="1"/>
  <c r="F1119" i="1"/>
  <c r="F1118" i="1"/>
  <c r="F1117" i="1"/>
  <c r="F1113" i="1"/>
  <c r="F1112" i="1" s="1"/>
  <c r="F1111" i="1"/>
  <c r="F1110" i="1"/>
  <c r="F1108" i="1"/>
  <c r="F1107" i="1"/>
  <c r="F1106" i="1"/>
  <c r="F1105" i="1"/>
  <c r="F1103" i="1"/>
  <c r="F1102" i="1"/>
  <c r="F1101" i="1"/>
  <c r="F1100" i="1"/>
  <c r="F1099" i="1"/>
  <c r="F1098" i="1"/>
  <c r="F1095" i="1"/>
  <c r="F1093" i="1" s="1"/>
  <c r="F1088" i="1" s="1"/>
  <c r="F1086" i="1"/>
  <c r="F1085" i="1" s="1"/>
  <c r="F1084" i="1"/>
  <c r="F1083" i="1"/>
  <c r="F1080" i="1"/>
  <c r="F1079" i="1" s="1"/>
  <c r="F1078" i="1"/>
  <c r="F1077" i="1"/>
  <c r="F1076" i="1"/>
  <c r="F1074" i="1"/>
  <c r="F1073" i="1"/>
  <c r="F1070" i="1"/>
  <c r="F1069" i="1" s="1"/>
  <c r="F1068" i="1"/>
  <c r="F1067" i="1"/>
  <c r="F1066" i="1"/>
  <c r="F1064" i="1"/>
  <c r="F1063" i="1"/>
  <c r="F1060" i="1"/>
  <c r="F1059" i="1" s="1"/>
  <c r="F1058" i="1"/>
  <c r="F1057" i="1"/>
  <c r="F1056" i="1"/>
  <c r="F1054" i="1"/>
  <c r="F1053" i="1"/>
  <c r="F1050" i="1"/>
  <c r="F1049" i="1" s="1"/>
  <c r="F1048" i="1"/>
  <c r="F1047" i="1"/>
  <c r="F1045" i="1"/>
  <c r="F1044" i="1"/>
  <c r="F1041" i="1"/>
  <c r="F1040" i="1" s="1"/>
  <c r="F1039" i="1"/>
  <c r="F1038" i="1"/>
  <c r="F1036" i="1"/>
  <c r="F1035" i="1"/>
  <c r="F1031" i="1"/>
  <c r="F1030" i="1"/>
  <c r="F1028" i="1"/>
  <c r="F1027" i="1"/>
  <c r="F1026" i="1"/>
  <c r="F1024" i="1"/>
  <c r="F1023" i="1" s="1"/>
  <c r="F1021" i="1"/>
  <c r="F1020" i="1"/>
  <c r="F1018" i="1"/>
  <c r="F1017" i="1"/>
  <c r="F1016" i="1"/>
  <c r="F1014" i="1"/>
  <c r="F1013" i="1" s="1"/>
  <c r="F1011" i="1"/>
  <c r="F1010" i="1"/>
  <c r="F1009" i="1"/>
  <c r="F1007" i="1"/>
  <c r="F1006" i="1"/>
  <c r="F1005" i="1"/>
  <c r="F1003" i="1"/>
  <c r="F1002" i="1"/>
  <c r="F999" i="1"/>
  <c r="F998" i="1"/>
  <c r="F997" i="1"/>
  <c r="F995" i="1"/>
  <c r="F994" i="1"/>
  <c r="F993" i="1"/>
  <c r="F991" i="1"/>
  <c r="F990" i="1"/>
  <c r="F987" i="1"/>
  <c r="F986" i="1"/>
  <c r="F985" i="1"/>
  <c r="F983" i="1"/>
  <c r="F982" i="1"/>
  <c r="F981" i="1"/>
  <c r="F979" i="1"/>
  <c r="F978" i="1"/>
  <c r="F975" i="1"/>
  <c r="F974" i="1"/>
  <c r="F973" i="1"/>
  <c r="F972" i="1"/>
  <c r="F970" i="1"/>
  <c r="F969" i="1"/>
  <c r="F968" i="1"/>
  <c r="F967" i="1"/>
  <c r="F965" i="1"/>
  <c r="F962" i="1"/>
  <c r="F961" i="1"/>
  <c r="F959" i="1"/>
  <c r="F958" i="1"/>
  <c r="F957" i="1"/>
  <c r="F955" i="1"/>
  <c r="F954" i="1" s="1"/>
  <c r="F952" i="1"/>
  <c r="F951" i="1"/>
  <c r="F949" i="1"/>
  <c r="F948" i="1"/>
  <c r="F947" i="1"/>
  <c r="F945" i="1"/>
  <c r="F942" i="1"/>
  <c r="F941" i="1"/>
  <c r="F940" i="1"/>
  <c r="F939" i="1"/>
  <c r="F938" i="1"/>
  <c r="F936" i="1"/>
  <c r="F935" i="1"/>
  <c r="F934" i="1"/>
  <c r="F933" i="1"/>
  <c r="F931" i="1"/>
  <c r="F928" i="1"/>
  <c r="F927" i="1"/>
  <c r="F926" i="1"/>
  <c r="F925" i="1"/>
  <c r="F924" i="1"/>
  <c r="F922" i="1"/>
  <c r="F921" i="1"/>
  <c r="F920" i="1"/>
  <c r="F919" i="1"/>
  <c r="F917" i="1"/>
  <c r="F913" i="1"/>
  <c r="F912" i="1"/>
  <c r="F911" i="1"/>
  <c r="F909" i="1"/>
  <c r="F908" i="1"/>
  <c r="F906" i="1"/>
  <c r="F905" i="1" s="1"/>
  <c r="F903" i="1"/>
  <c r="F902" i="1"/>
  <c r="F901" i="1"/>
  <c r="F900" i="1"/>
  <c r="F899" i="1"/>
  <c r="F897" i="1"/>
  <c r="F896" i="1"/>
  <c r="F894" i="1"/>
  <c r="F893" i="1" s="1"/>
  <c r="F892" i="1"/>
  <c r="F891" i="1" s="1"/>
  <c r="F890" i="1"/>
  <c r="F889" i="1" s="1"/>
  <c r="F887" i="1"/>
  <c r="F886" i="1"/>
  <c r="F885" i="1"/>
  <c r="F884" i="1"/>
  <c r="F882" i="1"/>
  <c r="F881" i="1"/>
  <c r="F879" i="1"/>
  <c r="F878" i="1" s="1"/>
  <c r="F877" i="1"/>
  <c r="F876" i="1" s="1"/>
  <c r="F874" i="1"/>
  <c r="F873" i="1"/>
  <c r="F872" i="1"/>
  <c r="F871" i="1"/>
  <c r="F870" i="1"/>
  <c r="F868" i="1"/>
  <c r="F867" i="1"/>
  <c r="F865" i="1"/>
  <c r="F864" i="1" s="1"/>
  <c r="F863" i="1"/>
  <c r="F862" i="1" s="1"/>
  <c r="F861" i="1"/>
  <c r="F860" i="1" s="1"/>
  <c r="F858" i="1"/>
  <c r="F857" i="1"/>
  <c r="F856" i="1"/>
  <c r="F854" i="1"/>
  <c r="F853" i="1"/>
  <c r="F851" i="1"/>
  <c r="F850" i="1" s="1"/>
  <c r="F848" i="1"/>
  <c r="F847" i="1" s="1"/>
  <c r="F846" i="1"/>
  <c r="F845" i="1" s="1"/>
  <c r="F843" i="1"/>
  <c r="F842" i="1" s="1"/>
  <c r="F841" i="1"/>
  <c r="F840" i="1" s="1"/>
  <c r="F838" i="1"/>
  <c r="F837" i="1"/>
  <c r="F836" i="1"/>
  <c r="F834" i="1"/>
  <c r="F833" i="1"/>
  <c r="F831" i="1"/>
  <c r="F830" i="1" s="1"/>
  <c r="F827" i="1"/>
  <c r="F826" i="1"/>
  <c r="F824" i="1"/>
  <c r="F822" i="1"/>
  <c r="F820" i="1"/>
  <c r="F819" i="1"/>
  <c r="F818" i="1"/>
  <c r="F816" i="1"/>
  <c r="F815" i="1" s="1"/>
  <c r="F814" i="1"/>
  <c r="F813" i="1" s="1"/>
  <c r="F810" i="1"/>
  <c r="F809" i="1" s="1"/>
  <c r="F808" i="1"/>
  <c r="F807" i="1" s="1"/>
  <c r="F805" i="1"/>
  <c r="F804" i="1"/>
  <c r="F802" i="1"/>
  <c r="F801" i="1" s="1"/>
  <c r="F800" i="1"/>
  <c r="F799" i="1" s="1"/>
  <c r="F797" i="1"/>
  <c r="F796" i="1" s="1"/>
  <c r="F795" i="1"/>
  <c r="F794" i="1" s="1"/>
  <c r="F793" i="1"/>
  <c r="F792" i="1" s="1"/>
  <c r="F790" i="1"/>
  <c r="F789" i="1" s="1"/>
  <c r="F788" i="1"/>
  <c r="F787" i="1" s="1"/>
  <c r="F786" i="1"/>
  <c r="F785" i="1" s="1"/>
  <c r="F783" i="1"/>
  <c r="F782" i="1" s="1"/>
  <c r="F781" i="1"/>
  <c r="F780" i="1" s="1"/>
  <c r="F779" i="1"/>
  <c r="F778" i="1" s="1"/>
  <c r="F776" i="1"/>
  <c r="F775" i="1" s="1"/>
  <c r="F774" i="1"/>
  <c r="F773" i="1" s="1"/>
  <c r="F772" i="1"/>
  <c r="F771" i="1" s="1"/>
  <c r="F769" i="1"/>
  <c r="F768" i="1" s="1"/>
  <c r="F767" i="1"/>
  <c r="F766" i="1" s="1"/>
  <c r="F765" i="1"/>
  <c r="F764" i="1" s="1"/>
  <c r="F762" i="1"/>
  <c r="F761" i="1" s="1"/>
  <c r="F760" i="1"/>
  <c r="F759" i="1" s="1"/>
  <c r="F758" i="1"/>
  <c r="F757" i="1" s="1"/>
  <c r="F755" i="1"/>
  <c r="F754" i="1" s="1"/>
  <c r="F753" i="1"/>
  <c r="F752" i="1" s="1"/>
  <c r="F750" i="1"/>
  <c r="F749" i="1" s="1"/>
  <c r="F748" i="1"/>
  <c r="F747" i="1" s="1"/>
  <c r="F744" i="1"/>
  <c r="F743" i="1" s="1"/>
  <c r="F742" i="1"/>
  <c r="F741" i="1" s="1"/>
  <c r="F740" i="1"/>
  <c r="F739" i="1" s="1"/>
  <c r="F738" i="1"/>
  <c r="F737" i="1" s="1"/>
  <c r="F735" i="1"/>
  <c r="F734" i="1" s="1"/>
  <c r="F733" i="1"/>
  <c r="F732" i="1" s="1"/>
  <c r="F731" i="1"/>
  <c r="F730" i="1" s="1"/>
  <c r="F729" i="1"/>
  <c r="F728" i="1" s="1"/>
  <c r="F727" i="1"/>
  <c r="F726" i="1" s="1"/>
  <c r="F725" i="1"/>
  <c r="F724" i="1" s="1"/>
  <c r="F723" i="1"/>
  <c r="F722" i="1" s="1"/>
  <c r="F721" i="1"/>
  <c r="F720" i="1" s="1"/>
  <c r="F718" i="1"/>
  <c r="F717" i="1" s="1"/>
  <c r="F716" i="1"/>
  <c r="F715" i="1" s="1"/>
  <c r="F714" i="1"/>
  <c r="F713" i="1" s="1"/>
  <c r="F712" i="1"/>
  <c r="F711" i="1" s="1"/>
  <c r="F710" i="1"/>
  <c r="F709" i="1" s="1"/>
  <c r="F708" i="1"/>
  <c r="F707" i="1" s="1"/>
  <c r="F706" i="1"/>
  <c r="F705" i="1" s="1"/>
  <c r="F704" i="1"/>
  <c r="F703" i="1" s="1"/>
  <c r="F701" i="1"/>
  <c r="F700" i="1" s="1"/>
  <c r="F699" i="1"/>
  <c r="F698" i="1" s="1"/>
  <c r="F697" i="1"/>
  <c r="F696" i="1" s="1"/>
  <c r="F695" i="1"/>
  <c r="F694" i="1" s="1"/>
  <c r="F693" i="1"/>
  <c r="F692" i="1" s="1"/>
  <c r="F691" i="1"/>
  <c r="F690" i="1" s="1"/>
  <c r="F689" i="1"/>
  <c r="F688" i="1" s="1"/>
  <c r="F686" i="1"/>
  <c r="F685" i="1" s="1"/>
  <c r="F684" i="1"/>
  <c r="F683" i="1" s="1"/>
  <c r="F682" i="1"/>
  <c r="F681" i="1" s="1"/>
  <c r="F680" i="1"/>
  <c r="F679" i="1" s="1"/>
  <c r="F678" i="1"/>
  <c r="F677" i="1" s="1"/>
  <c r="F676" i="1"/>
  <c r="F675" i="1" s="1"/>
  <c r="F674" i="1"/>
  <c r="F673" i="1" s="1"/>
  <c r="F671" i="1"/>
  <c r="F670" i="1" s="1"/>
  <c r="F669" i="1"/>
  <c r="F668" i="1" s="1"/>
  <c r="F667" i="1"/>
  <c r="F666" i="1" s="1"/>
  <c r="F665" i="1"/>
  <c r="F664" i="1" s="1"/>
  <c r="F663" i="1"/>
  <c r="F662" i="1" s="1"/>
  <c r="F661" i="1"/>
  <c r="F660" i="1" s="1"/>
  <c r="F659" i="1"/>
  <c r="F658" i="1" s="1"/>
  <c r="F657" i="1"/>
  <c r="F656" i="1" s="1"/>
  <c r="F654" i="1"/>
  <c r="F653" i="1" s="1"/>
  <c r="F652" i="1"/>
  <c r="F651" i="1" s="1"/>
  <c r="F650" i="1"/>
  <c r="F649" i="1" s="1"/>
  <c r="F648" i="1"/>
  <c r="F647" i="1" s="1"/>
  <c r="F646" i="1"/>
  <c r="F645" i="1" s="1"/>
  <c r="F644" i="1"/>
  <c r="F643" i="1" s="1"/>
  <c r="F642" i="1"/>
  <c r="F641" i="1" s="1"/>
  <c r="F640" i="1"/>
  <c r="F639" i="1" s="1"/>
  <c r="F637" i="1"/>
  <c r="F636" i="1" s="1"/>
  <c r="F635" i="1"/>
  <c r="F634" i="1" s="1"/>
  <c r="F633" i="1"/>
  <c r="F632" i="1" s="1"/>
  <c r="F631" i="1"/>
  <c r="F630" i="1" s="1"/>
  <c r="F629" i="1"/>
  <c r="F628" i="1" s="1"/>
  <c r="F627" i="1"/>
  <c r="F626" i="1" s="1"/>
  <c r="F625" i="1"/>
  <c r="F624" i="1" s="1"/>
  <c r="F622" i="1"/>
  <c r="F621" i="1" s="1"/>
  <c r="F620" i="1"/>
  <c r="F619" i="1" s="1"/>
  <c r="F618" i="1"/>
  <c r="F617" i="1" s="1"/>
  <c r="F616" i="1"/>
  <c r="F615" i="1" s="1"/>
  <c r="F614" i="1"/>
  <c r="F613" i="1" s="1"/>
  <c r="F612" i="1"/>
  <c r="F611" i="1" s="1"/>
  <c r="F608" i="1"/>
  <c r="F607" i="1" s="1"/>
  <c r="F606" i="1"/>
  <c r="F605" i="1"/>
  <c r="F603" i="1"/>
  <c r="F602" i="1" s="1"/>
  <c r="F601" i="1"/>
  <c r="F600" i="1" s="1"/>
  <c r="F599" i="1"/>
  <c r="F598" i="1"/>
  <c r="F597" i="1"/>
  <c r="F595" i="1"/>
  <c r="F594" i="1" s="1"/>
  <c r="F592" i="1"/>
  <c r="F591" i="1" s="1"/>
  <c r="F590" i="1"/>
  <c r="F589" i="1"/>
  <c r="F587" i="1"/>
  <c r="F586" i="1" s="1"/>
  <c r="F585" i="1"/>
  <c r="F584" i="1" s="1"/>
  <c r="F583" i="1"/>
  <c r="F582" i="1"/>
  <c r="F580" i="1"/>
  <c r="F579" i="1" s="1"/>
  <c r="F577" i="1"/>
  <c r="F576" i="1" s="1"/>
  <c r="F575" i="1"/>
  <c r="F574" i="1"/>
  <c r="F572" i="1"/>
  <c r="F571" i="1" s="1"/>
  <c r="F570" i="1"/>
  <c r="F569" i="1" s="1"/>
  <c r="F568" i="1"/>
  <c r="F567" i="1"/>
  <c r="F566" i="1"/>
  <c r="F564" i="1"/>
  <c r="F563" i="1" s="1"/>
  <c r="F561" i="1"/>
  <c r="F560" i="1" s="1"/>
  <c r="F559" i="1"/>
  <c r="F558" i="1"/>
  <c r="F556" i="1"/>
  <c r="F555" i="1" s="1"/>
  <c r="F554" i="1"/>
  <c r="F553" i="1" s="1"/>
  <c r="F552" i="1"/>
  <c r="F551" i="1"/>
  <c r="F550" i="1"/>
  <c r="F548" i="1"/>
  <c r="F547" i="1" s="1"/>
  <c r="F545" i="1"/>
  <c r="F544" i="1" s="1"/>
  <c r="F543" i="1"/>
  <c r="F542" i="1"/>
  <c r="F540" i="1"/>
  <c r="F539" i="1" s="1"/>
  <c r="F538" i="1"/>
  <c r="F537" i="1" s="1"/>
  <c r="F536" i="1"/>
  <c r="F535" i="1"/>
  <c r="F533" i="1"/>
  <c r="F532" i="1" s="1"/>
  <c r="F530" i="1"/>
  <c r="F529" i="1" s="1"/>
  <c r="F528" i="1"/>
  <c r="F527" i="1"/>
  <c r="F525" i="1"/>
  <c r="F524" i="1" s="1"/>
  <c r="F523" i="1"/>
  <c r="F522" i="1" s="1"/>
  <c r="F521" i="1"/>
  <c r="F520" i="1"/>
  <c r="F519" i="1"/>
  <c r="F518" i="1"/>
  <c r="F516" i="1"/>
  <c r="F515" i="1" s="1"/>
  <c r="F513" i="1"/>
  <c r="F512" i="1" s="1"/>
  <c r="F511" i="1"/>
  <c r="F510" i="1"/>
  <c r="F508" i="1"/>
  <c r="F507" i="1" s="1"/>
  <c r="F506" i="1"/>
  <c r="F505" i="1" s="1"/>
  <c r="F504" i="1"/>
  <c r="F503" i="1"/>
  <c r="F502" i="1"/>
  <c r="F501" i="1"/>
  <c r="F499" i="1"/>
  <c r="F498" i="1" s="1"/>
  <c r="F493" i="1"/>
  <c r="F491" i="1" s="1"/>
  <c r="F490" i="1"/>
  <c r="F489" i="1"/>
  <c r="F488" i="1"/>
  <c r="F487" i="1"/>
  <c r="F485" i="1"/>
  <c r="F484" i="1" s="1"/>
  <c r="F483" i="1"/>
  <c r="F482" i="1" s="1"/>
  <c r="F480" i="1"/>
  <c r="F478" i="1" s="1"/>
  <c r="F477" i="1"/>
  <c r="F476" i="1"/>
  <c r="F475" i="1"/>
  <c r="F473" i="1"/>
  <c r="F472" i="1" s="1"/>
  <c r="F471" i="1"/>
  <c r="F470" i="1" s="1"/>
  <c r="F468" i="1"/>
  <c r="F466" i="1" s="1"/>
  <c r="F465" i="1"/>
  <c r="F463" i="1"/>
  <c r="F462" i="1"/>
  <c r="F461" i="1"/>
  <c r="F460" i="1"/>
  <c r="F459" i="1"/>
  <c r="F457" i="1"/>
  <c r="F456" i="1" s="1"/>
  <c r="F455" i="1"/>
  <c r="F454" i="1"/>
  <c r="F451" i="1"/>
  <c r="F449" i="1" s="1"/>
  <c r="F448" i="1"/>
  <c r="F447" i="1"/>
  <c r="F445" i="1"/>
  <c r="F444" i="1"/>
  <c r="F443" i="1"/>
  <c r="F442" i="1"/>
  <c r="F441" i="1"/>
  <c r="F439" i="1"/>
  <c r="F438" i="1" s="1"/>
  <c r="F437" i="1"/>
  <c r="F436" i="1"/>
  <c r="F433" i="1"/>
  <c r="F431" i="1" s="1"/>
  <c r="F430" i="1"/>
  <c r="F429" i="1"/>
  <c r="F428" i="1"/>
  <c r="F426" i="1"/>
  <c r="F425" i="1" s="1"/>
  <c r="F424" i="1"/>
  <c r="F423" i="1" s="1"/>
  <c r="F421" i="1"/>
  <c r="F419" i="1" s="1"/>
  <c r="F418" i="1"/>
  <c r="F417" i="1"/>
  <c r="F416" i="1"/>
  <c r="F415" i="1"/>
  <c r="F413" i="1"/>
  <c r="F412" i="1" s="1"/>
  <c r="F411" i="1"/>
  <c r="F410" i="1"/>
  <c r="F409" i="1"/>
  <c r="F406" i="1"/>
  <c r="F404" i="1" s="1"/>
  <c r="F403" i="1"/>
  <c r="F402" i="1"/>
  <c r="F401" i="1"/>
  <c r="F400" i="1"/>
  <c r="F398" i="1"/>
  <c r="F397" i="1" s="1"/>
  <c r="F396" i="1"/>
  <c r="F395" i="1"/>
  <c r="F394" i="1"/>
  <c r="F391" i="1"/>
  <c r="F390" i="1"/>
  <c r="F388" i="1"/>
  <c r="F387" i="1"/>
  <c r="F386" i="1"/>
  <c r="F385" i="1"/>
  <c r="F383" i="1"/>
  <c r="F382" i="1" s="1"/>
  <c r="F381" i="1"/>
  <c r="F380" i="1"/>
  <c r="F379" i="1"/>
  <c r="F376" i="1"/>
  <c r="F375" i="1" s="1"/>
  <c r="F374" i="1"/>
  <c r="F373" i="1"/>
  <c r="F372" i="1"/>
  <c r="F371" i="1"/>
  <c r="F369" i="1"/>
  <c r="F368" i="1"/>
  <c r="F367" i="1"/>
  <c r="F364" i="1"/>
  <c r="F363" i="1" s="1"/>
  <c r="F362" i="1"/>
  <c r="F361" i="1"/>
  <c r="F360" i="1"/>
  <c r="F359" i="1"/>
  <c r="F357" i="1"/>
  <c r="F356" i="1"/>
  <c r="F355" i="1"/>
  <c r="F351" i="1"/>
  <c r="F350" i="1" s="1"/>
  <c r="F349" i="1"/>
  <c r="F348" i="1" s="1"/>
  <c r="F347" i="1"/>
  <c r="F346" i="1" s="1"/>
  <c r="F345" i="1"/>
  <c r="F344" i="1"/>
  <c r="F343" i="1"/>
  <c r="F342" i="1"/>
  <c r="F341" i="1"/>
  <c r="F340" i="1"/>
  <c r="F339" i="1"/>
  <c r="F337" i="1"/>
  <c r="F336" i="1"/>
  <c r="F335" i="1"/>
  <c r="F332" i="1"/>
  <c r="F331" i="1" s="1"/>
  <c r="F330" i="1"/>
  <c r="F328" i="1"/>
  <c r="F326" i="1"/>
  <c r="F325" i="1" s="1"/>
  <c r="F324" i="1"/>
  <c r="F323" i="1"/>
  <c r="F322" i="1"/>
  <c r="F321" i="1"/>
  <c r="F320" i="1"/>
  <c r="F319" i="1"/>
  <c r="F318" i="1"/>
  <c r="F316" i="1"/>
  <c r="F315" i="1"/>
  <c r="F314" i="1"/>
  <c r="F311" i="1"/>
  <c r="F310" i="1" s="1"/>
  <c r="F309" i="1"/>
  <c r="F308" i="1"/>
  <c r="F305" i="1"/>
  <c r="F304" i="1" s="1"/>
  <c r="F303" i="1"/>
  <c r="F302" i="1"/>
  <c r="F301" i="1"/>
  <c r="F300" i="1"/>
  <c r="F299" i="1"/>
  <c r="F298" i="1"/>
  <c r="F297" i="1"/>
  <c r="F295" i="1"/>
  <c r="F294" i="1"/>
  <c r="F293" i="1"/>
  <c r="F290" i="1"/>
  <c r="F289" i="1" s="1"/>
  <c r="F288" i="1"/>
  <c r="F287" i="1"/>
  <c r="F284" i="1"/>
  <c r="F283" i="1" s="1"/>
  <c r="F282" i="1"/>
  <c r="F281" i="1"/>
  <c r="F280" i="1"/>
  <c r="F279" i="1"/>
  <c r="F278" i="1"/>
  <c r="F277" i="1"/>
  <c r="F276" i="1"/>
  <c r="F274" i="1"/>
  <c r="F273" i="1"/>
  <c r="F272" i="1"/>
  <c r="F271" i="1"/>
  <c r="F270" i="1"/>
  <c r="F269" i="1"/>
  <c r="F266" i="1"/>
  <c r="F265" i="1" s="1"/>
  <c r="F264" i="1"/>
  <c r="F263" i="1" s="1"/>
  <c r="F262" i="1"/>
  <c r="F261" i="1" s="1"/>
  <c r="F260" i="1"/>
  <c r="F259" i="1"/>
  <c r="F258" i="1"/>
  <c r="F257" i="1"/>
  <c r="F256" i="1"/>
  <c r="F255" i="1"/>
  <c r="F254" i="1"/>
  <c r="F252" i="1"/>
  <c r="F251" i="1"/>
  <c r="F250" i="1"/>
  <c r="F247" i="1"/>
  <c r="F246" i="1" s="1"/>
  <c r="F245" i="1"/>
  <c r="F244" i="1" s="1"/>
  <c r="F243" i="1"/>
  <c r="F242" i="1" s="1"/>
  <c r="F241" i="1"/>
  <c r="F240" i="1"/>
  <c r="F239" i="1"/>
  <c r="F238" i="1"/>
  <c r="F237" i="1"/>
  <c r="F236" i="1"/>
  <c r="F235" i="1"/>
  <c r="F233" i="1"/>
  <c r="F232" i="1"/>
  <c r="F231" i="1"/>
  <c r="F228" i="1"/>
  <c r="F227" i="1" s="1"/>
  <c r="F226" i="1"/>
  <c r="F225" i="1" s="1"/>
  <c r="F224" i="1"/>
  <c r="F223" i="1" s="1"/>
  <c r="F222" i="1"/>
  <c r="F221" i="1"/>
  <c r="F220" i="1"/>
  <c r="F219" i="1"/>
  <c r="F218" i="1"/>
  <c r="F217" i="1"/>
  <c r="F216" i="1"/>
  <c r="F214" i="1"/>
  <c r="F213" i="1"/>
  <c r="F212" i="1"/>
  <c r="F209" i="1"/>
  <c r="F208" i="1" s="1"/>
  <c r="F207" i="1"/>
  <c r="F206" i="1" s="1"/>
  <c r="F205" i="1"/>
  <c r="F204" i="1" s="1"/>
  <c r="F203" i="1"/>
  <c r="F202" i="1"/>
  <c r="F201" i="1"/>
  <c r="F200" i="1"/>
  <c r="F199" i="1"/>
  <c r="F198" i="1"/>
  <c r="F197" i="1"/>
  <c r="F195" i="1"/>
  <c r="F194" i="1"/>
  <c r="F193" i="1"/>
  <c r="F190" i="1"/>
  <c r="F189" i="1" s="1"/>
  <c r="F187" i="1"/>
  <c r="F186" i="1"/>
  <c r="F185" i="1" s="1"/>
  <c r="F184" i="1"/>
  <c r="F183" i="1"/>
  <c r="F182" i="1"/>
  <c r="F181" i="1"/>
  <c r="F180" i="1"/>
  <c r="F179" i="1"/>
  <c r="F178" i="1"/>
  <c r="F176" i="1"/>
  <c r="F175" i="1"/>
  <c r="F174" i="1"/>
  <c r="F171" i="1"/>
  <c r="F170" i="1" s="1"/>
  <c r="F169" i="1"/>
  <c r="F168" i="1" s="1"/>
  <c r="F167" i="1"/>
  <c r="F166" i="1"/>
  <c r="F165" i="1"/>
  <c r="F164" i="1"/>
  <c r="F163" i="1"/>
  <c r="F162" i="1"/>
  <c r="F161" i="1"/>
  <c r="F159" i="1"/>
  <c r="F158" i="1"/>
  <c r="F157" i="1"/>
  <c r="F156" i="1"/>
  <c r="F152" i="1"/>
  <c r="F151" i="1" s="1"/>
  <c r="F150" i="1"/>
  <c r="F149" i="1" s="1"/>
  <c r="F148" i="1"/>
  <c r="F147" i="1"/>
  <c r="F146" i="1"/>
  <c r="F145" i="1"/>
  <c r="F144" i="1"/>
  <c r="F143" i="1"/>
  <c r="F142" i="1"/>
  <c r="F140" i="1"/>
  <c r="F139" i="1"/>
  <c r="F135" i="1"/>
  <c r="F134" i="1" s="1"/>
  <c r="F133" i="1"/>
  <c r="F132" i="1" s="1"/>
  <c r="F131" i="1"/>
  <c r="F130" i="1"/>
  <c r="F129" i="1"/>
  <c r="F127" i="1"/>
  <c r="F126" i="1" s="1"/>
  <c r="F123" i="1"/>
  <c r="F122" i="1" s="1"/>
  <c r="F121" i="1"/>
  <c r="F120" i="1"/>
  <c r="F118" i="1"/>
  <c r="F117" i="1" s="1"/>
  <c r="F116" i="1"/>
  <c r="F115" i="1" s="1"/>
  <c r="F1363" i="1" l="1"/>
  <c r="F393" i="1"/>
  <c r="F435" i="1"/>
  <c r="F399" i="1"/>
  <c r="F389" i="1"/>
  <c r="F440" i="1"/>
  <c r="F453" i="1"/>
  <c r="F821" i="1"/>
  <c r="F14" i="1"/>
  <c r="F763" i="1"/>
  <c r="F427" i="1"/>
  <c r="F422" i="1" s="1"/>
  <c r="F844" i="1"/>
  <c r="F1257" i="1"/>
  <c r="F702" i="1"/>
  <c r="F719" i="1"/>
  <c r="F736" i="1"/>
  <c r="F756" i="1"/>
  <c r="F687" i="1"/>
  <c r="F777" i="1"/>
  <c r="F1668" i="1"/>
  <c r="F1709" i="1"/>
  <c r="F1702" i="1" s="1"/>
  <c r="F1701" i="1" s="1"/>
  <c r="F1139" i="1"/>
  <c r="F655" i="1"/>
  <c r="F623" i="1"/>
  <c r="F746" i="1"/>
  <c r="F784" i="1"/>
  <c r="F610" i="1"/>
  <c r="F638" i="1"/>
  <c r="F672" i="1"/>
  <c r="F751" i="1"/>
  <c r="F770" i="1"/>
  <c r="F806" i="1"/>
  <c r="F1663" i="1"/>
  <c r="F791" i="1"/>
  <c r="F839" i="1"/>
  <c r="F944" i="1"/>
  <c r="F984" i="1"/>
  <c r="F996" i="1"/>
  <c r="F1186" i="1"/>
  <c r="F1232" i="1"/>
  <c r="F1324" i="1"/>
  <c r="F1640" i="1"/>
  <c r="F1651" i="1"/>
  <c r="F1689" i="1"/>
  <c r="F1655" i="1"/>
  <c r="F1680" i="1"/>
  <c r="F1646" i="1"/>
  <c r="F852" i="1"/>
  <c r="F1029" i="1"/>
  <c r="F1126" i="1"/>
  <c r="F1301" i="1"/>
  <c r="F1351" i="1"/>
  <c r="F1443" i="1"/>
  <c r="F1474" i="1"/>
  <c r="F1473" i="1" s="1"/>
  <c r="F1490" i="1"/>
  <c r="F1556" i="1"/>
  <c r="F1610" i="1"/>
  <c r="F1605" i="1" s="1"/>
  <c r="F1604" i="1" s="1"/>
  <c r="F1636" i="1"/>
  <c r="F1672" i="1"/>
  <c r="F1685" i="1"/>
  <c r="F1697" i="1"/>
  <c r="F880" i="1"/>
  <c r="F1046" i="1"/>
  <c r="F1461" i="1"/>
  <c r="F1583" i="1"/>
  <c r="F1622" i="1"/>
  <c r="F1506" i="1"/>
  <c r="F1505" i="1" s="1"/>
  <c r="F1597" i="1"/>
  <c r="F1596" i="1" s="1"/>
  <c r="F1626" i="1"/>
  <c r="F557" i="1"/>
  <c r="F1037" i="1"/>
  <c r="F1052" i="1"/>
  <c r="F1156" i="1"/>
  <c r="F1211" i="1"/>
  <c r="F1270" i="1"/>
  <c r="F1008" i="1"/>
  <c r="F1228" i="1"/>
  <c r="F1430" i="1"/>
  <c r="F1426" i="1"/>
  <c r="F1588" i="1"/>
  <c r="F1457" i="1"/>
  <c r="F1307" i="1"/>
  <c r="F1631" i="1"/>
  <c r="F832" i="1"/>
  <c r="F977" i="1"/>
  <c r="F989" i="1"/>
  <c r="F1082" i="1"/>
  <c r="F1081" i="1" s="1"/>
  <c r="F1214" i="1"/>
  <c r="F1389" i="1"/>
  <c r="F1440" i="1"/>
  <c r="F1470" i="1"/>
  <c r="F1618" i="1"/>
  <c r="F1566" i="1"/>
  <c r="F960" i="1"/>
  <c r="F1043" i="1"/>
  <c r="F1204" i="1"/>
  <c r="F1239" i="1"/>
  <c r="F1249" i="1"/>
  <c r="F1260" i="1"/>
  <c r="F1280" i="1"/>
  <c r="F1502" i="1"/>
  <c r="F1579" i="1"/>
  <c r="F1182" i="1"/>
  <c r="F1195" i="1"/>
  <c r="F1219" i="1"/>
  <c r="F1312" i="1"/>
  <c r="F1328" i="1"/>
  <c r="F1358" i="1"/>
  <c r="F1378" i="1"/>
  <c r="F1403" i="1"/>
  <c r="F1409" i="1"/>
  <c r="F1433" i="1"/>
  <c r="F1519" i="1"/>
  <c r="F1546" i="1"/>
  <c r="F1153" i="1"/>
  <c r="F1208" i="1"/>
  <c r="F1253" i="1"/>
  <c r="F1384" i="1"/>
  <c r="F1414" i="1"/>
  <c r="F1448" i="1"/>
  <c r="F1447" i="1" s="1"/>
  <c r="F1560" i="1"/>
  <c r="F1097" i="1"/>
  <c r="F1145" i="1"/>
  <c r="F1274" i="1"/>
  <c r="F1285" i="1"/>
  <c r="F1334" i="1"/>
  <c r="F1536" i="1"/>
  <c r="F883" i="1"/>
  <c r="F898" i="1"/>
  <c r="F910" i="1"/>
  <c r="F956" i="1"/>
  <c r="F1065" i="1"/>
  <c r="F1525" i="1"/>
  <c r="F1236" i="1"/>
  <c r="F1337" i="1"/>
  <c r="F1540" i="1"/>
  <c r="F964" i="1"/>
  <c r="F1104" i="1"/>
  <c r="F855" i="1"/>
  <c r="F869" i="1"/>
  <c r="F895" i="1"/>
  <c r="F907" i="1"/>
  <c r="F918" i="1"/>
  <c r="F1019" i="1"/>
  <c r="F1034" i="1"/>
  <c r="F1062" i="1"/>
  <c r="F1075" i="1"/>
  <c r="F930" i="1"/>
  <c r="F946" i="1"/>
  <c r="F1025" i="1"/>
  <c r="F1109" i="1"/>
  <c r="F1134" i="1"/>
  <c r="F817" i="1"/>
  <c r="F923" i="1"/>
  <c r="F937" i="1"/>
  <c r="F966" i="1"/>
  <c r="F1001" i="1"/>
  <c r="F1055" i="1"/>
  <c r="F1159" i="1"/>
  <c r="F916" i="1"/>
  <c r="F1015" i="1"/>
  <c r="F803" i="1"/>
  <c r="F798" i="1" s="1"/>
  <c r="F835" i="1"/>
  <c r="F866" i="1"/>
  <c r="F859" i="1" s="1"/>
  <c r="F932" i="1"/>
  <c r="F950" i="1"/>
  <c r="F971" i="1"/>
  <c r="F980" i="1"/>
  <c r="F992" i="1"/>
  <c r="F1004" i="1"/>
  <c r="F1072" i="1"/>
  <c r="F1071" i="1" s="1"/>
  <c r="F1116" i="1"/>
  <c r="F1171" i="1"/>
  <c r="F825" i="1"/>
  <c r="F573" i="1"/>
  <c r="F588" i="1"/>
  <c r="F192" i="1"/>
  <c r="F414" i="1"/>
  <c r="F500" i="1"/>
  <c r="F526" i="1"/>
  <c r="F541" i="1"/>
  <c r="F534" i="1"/>
  <c r="F549" i="1"/>
  <c r="F581" i="1"/>
  <c r="F358" i="1"/>
  <c r="F370" i="1"/>
  <c r="F119" i="1"/>
  <c r="F138" i="1"/>
  <c r="F604" i="1"/>
  <c r="F173" i="1"/>
  <c r="F211" i="1"/>
  <c r="F292" i="1"/>
  <c r="F458" i="1"/>
  <c r="F486" i="1"/>
  <c r="F481" i="1" s="1"/>
  <c r="F517" i="1"/>
  <c r="F514" i="1" s="1"/>
  <c r="F565" i="1"/>
  <c r="F141" i="1"/>
  <c r="F509" i="1"/>
  <c r="F596" i="1"/>
  <c r="F230" i="1"/>
  <c r="F474" i="1"/>
  <c r="F469" i="1" s="1"/>
  <c r="F408" i="1"/>
  <c r="F249" i="1"/>
  <c r="F128" i="1"/>
  <c r="F125" i="1" s="1"/>
  <c r="F124" i="1" s="1"/>
  <c r="F155" i="1"/>
  <c r="F177" i="1"/>
  <c r="F234" i="1"/>
  <c r="F317" i="1"/>
  <c r="F354" i="1"/>
  <c r="F366" i="1"/>
  <c r="F378" i="1"/>
  <c r="F215" i="1"/>
  <c r="F253" i="1"/>
  <c r="F275" i="1"/>
  <c r="F334" i="1"/>
  <c r="F384" i="1"/>
  <c r="F296" i="1"/>
  <c r="F160" i="1"/>
  <c r="F196" i="1"/>
  <c r="F313" i="1"/>
  <c r="F268" i="1"/>
  <c r="F338" i="1"/>
  <c r="F89" i="1"/>
  <c r="F90" i="1"/>
  <c r="F91" i="1"/>
  <c r="F92" i="1"/>
  <c r="F93" i="1"/>
  <c r="F96" i="1"/>
  <c r="F97" i="1"/>
  <c r="F99" i="1"/>
  <c r="F100" i="1"/>
  <c r="F101" i="1"/>
  <c r="F102" i="1"/>
  <c r="F103" i="1"/>
  <c r="F1096" i="1" l="1"/>
  <c r="F495" i="1"/>
  <c r="F1559" i="1"/>
  <c r="F963" i="1"/>
  <c r="F546" i="1"/>
  <c r="F407" i="1"/>
  <c r="F1248" i="1"/>
  <c r="F267" i="1"/>
  <c r="F95" i="1"/>
  <c r="F1439" i="1"/>
  <c r="F88" i="1"/>
  <c r="F1375" i="1"/>
  <c r="F1667" i="1"/>
  <c r="F609" i="1"/>
  <c r="F1022" i="1"/>
  <c r="F562" i="1"/>
  <c r="F1400" i="1"/>
  <c r="F1061" i="1"/>
  <c r="F365" i="1"/>
  <c r="F849" i="1"/>
  <c r="F377" i="1"/>
  <c r="F291" i="1"/>
  <c r="F745" i="1"/>
  <c r="F452" i="1"/>
  <c r="F953" i="1"/>
  <c r="F1144" i="1"/>
  <c r="F1617" i="1"/>
  <c r="F829" i="1"/>
  <c r="F1489" i="1"/>
  <c r="F593" i="1"/>
  <c r="F578" i="1"/>
  <c r="F1012" i="1"/>
  <c r="F1033" i="1"/>
  <c r="F812" i="1"/>
  <c r="F811" i="1" s="1"/>
  <c r="F531" i="1"/>
  <c r="F1518" i="1"/>
  <c r="F1298" i="1"/>
  <c r="F888" i="1"/>
  <c r="F1051" i="1"/>
  <c r="F1684" i="1"/>
  <c r="F434" i="1"/>
  <c r="F1000" i="1"/>
  <c r="F1181" i="1"/>
  <c r="F1042" i="1"/>
  <c r="F1425" i="1"/>
  <c r="F1650" i="1"/>
  <c r="F353" i="1"/>
  <c r="F1539" i="1"/>
  <c r="F904" i="1"/>
  <c r="F1203" i="1"/>
  <c r="F1348" i="1"/>
  <c r="F392" i="1"/>
  <c r="F929" i="1"/>
  <c r="F988" i="1"/>
  <c r="F1582" i="1"/>
  <c r="F1635" i="1"/>
  <c r="F1125" i="1"/>
  <c r="F915" i="1"/>
  <c r="F943" i="1"/>
  <c r="F312" i="1"/>
  <c r="F154" i="1"/>
  <c r="F976" i="1"/>
  <c r="F1227" i="1"/>
  <c r="F1460" i="1"/>
  <c r="F1323" i="1"/>
  <c r="F1269" i="1"/>
  <c r="F875" i="1"/>
  <c r="F229" i="1"/>
  <c r="F210" i="1"/>
  <c r="F191" i="1"/>
  <c r="F172" i="1"/>
  <c r="F333" i="1"/>
  <c r="F248" i="1"/>
  <c r="F137" i="1"/>
  <c r="F136" i="1" s="1"/>
  <c r="F114" i="1"/>
  <c r="F113" i="1" s="1"/>
  <c r="F112" i="1" s="1"/>
  <c r="F111" i="1" s="1"/>
  <c r="F106" i="1"/>
  <c r="F105" i="1"/>
  <c r="F104" i="1"/>
  <c r="F87" i="1"/>
  <c r="F86" i="1"/>
  <c r="F85" i="1"/>
  <c r="F84" i="1"/>
  <c r="F83" i="1"/>
  <c r="F82" i="1"/>
  <c r="F81" i="1"/>
  <c r="F80" i="1"/>
  <c r="F98" i="1" l="1"/>
  <c r="F94" i="1" s="1"/>
  <c r="F79" i="1"/>
  <c r="F67" i="1" s="1"/>
  <c r="F828" i="1"/>
  <c r="F494" i="1"/>
  <c r="F1446" i="1"/>
  <c r="F1616" i="1"/>
  <c r="F1032" i="1"/>
  <c r="F1087" i="1"/>
  <c r="F914" i="1"/>
  <c r="F1226" i="1"/>
  <c r="F352" i="1"/>
  <c r="F153" i="1"/>
  <c r="F47" i="1" l="1"/>
  <c r="F107" i="1" s="1"/>
  <c r="F1714" i="1"/>
  <c r="F43" i="1"/>
  <c r="F1715" i="1" l="1"/>
</calcChain>
</file>

<file path=xl/sharedStrings.xml><?xml version="1.0" encoding="utf-8"?>
<sst xmlns="http://schemas.openxmlformats.org/spreadsheetml/2006/main" count="4410" uniqueCount="2225">
  <si>
    <t>Obra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</si>
  <si>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</si>
  <si>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</si>
  <si>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</si>
  <si>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</si>
  <si>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</si>
  <si>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</si>
  <si>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</si>
  <si>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GERENCIAMENTO TÉCNICO</t>
  </si>
  <si>
    <t xml:space="preserve">01.001 </t>
  </si>
  <si>
    <t>ESTUDOS, PROJETOS E CONSULTORIAS</t>
  </si>
  <si>
    <t xml:space="preserve">01.001.001 </t>
  </si>
  <si>
    <t>Estudos</t>
  </si>
  <si>
    <t xml:space="preserve">01.001.001.001 </t>
  </si>
  <si>
    <t>Estudo topográfico</t>
  </si>
  <si>
    <t>vb</t>
  </si>
  <si>
    <t xml:space="preserve">01.001.001.002 </t>
  </si>
  <si>
    <t>Sondagem do terreno</t>
  </si>
  <si>
    <t xml:space="preserve">01.001.002 </t>
  </si>
  <si>
    <t>Projetos</t>
  </si>
  <si>
    <t xml:space="preserve">01.001.002.001 </t>
  </si>
  <si>
    <t>Projeto arquitetônico</t>
  </si>
  <si>
    <t xml:space="preserve">01.001.002.002 </t>
  </si>
  <si>
    <t>Projeto estrutural</t>
  </si>
  <si>
    <t xml:space="preserve">01.001.002.003 </t>
  </si>
  <si>
    <t>Projeto fundações</t>
  </si>
  <si>
    <t xml:space="preserve">01.001.002.004 </t>
  </si>
  <si>
    <t>Projeto elétrico / telecomunicações</t>
  </si>
  <si>
    <t xml:space="preserve">01.001.002.005 </t>
  </si>
  <si>
    <t>Projeto hidrossanitário/pluvial</t>
  </si>
  <si>
    <t xml:space="preserve">01.001.002.006 </t>
  </si>
  <si>
    <t>Projeto preventivo - PPCI</t>
  </si>
  <si>
    <t xml:space="preserve">01.001.002.007 </t>
  </si>
  <si>
    <t>Projeto arquitetônico - ambientação</t>
  </si>
  <si>
    <t xml:space="preserve">01.001.003 </t>
  </si>
  <si>
    <t>Consultorias</t>
  </si>
  <si>
    <t xml:space="preserve">01.001.003.001 </t>
  </si>
  <si>
    <t xml:space="preserve">Consultoria de orçamento e planejamento   </t>
  </si>
  <si>
    <t xml:space="preserve">01.001.004 </t>
  </si>
  <si>
    <t>Ensaios e laudos</t>
  </si>
  <si>
    <t xml:space="preserve">01.001.004.001 </t>
  </si>
  <si>
    <t>Controle tecnológico de concreto</t>
  </si>
  <si>
    <t xml:space="preserve">01.002 </t>
  </si>
  <si>
    <t>TAXAS E DOCUMENTOS</t>
  </si>
  <si>
    <t xml:space="preserve">01.002.001 </t>
  </si>
  <si>
    <t>Licenciamentos, Taxas, Impostos, Aprovações e Seguros</t>
  </si>
  <si>
    <t xml:space="preserve">01.002.001.001 </t>
  </si>
  <si>
    <t>Despesas de Seguros</t>
  </si>
  <si>
    <t xml:space="preserve">01.002.001.002 </t>
  </si>
  <si>
    <t xml:space="preserve">Taxas de Aprovação e Alvarás           </t>
  </si>
  <si>
    <t xml:space="preserve">01.002.001.003 </t>
  </si>
  <si>
    <t>IPTU</t>
  </si>
  <si>
    <t xml:space="preserve">01.002.001.004 </t>
  </si>
  <si>
    <t>Taxa Habite-se</t>
  </si>
  <si>
    <t xml:space="preserve">01.002.001.005 </t>
  </si>
  <si>
    <t>Despesas cartório, jurídicas e incorporação</t>
  </si>
  <si>
    <t xml:space="preserve">01.002.002 </t>
  </si>
  <si>
    <t>Documentos</t>
  </si>
  <si>
    <t xml:space="preserve">01.002.002.001 </t>
  </si>
  <si>
    <t>As built</t>
  </si>
  <si>
    <t xml:space="preserve">01.002.002.002 </t>
  </si>
  <si>
    <t>Manuais técnicos - condomínio/proprietários</t>
  </si>
  <si>
    <t xml:space="preserve">01.002.003 </t>
  </si>
  <si>
    <t>Cópias e Encadernações</t>
  </si>
  <si>
    <t xml:space="preserve">01.002.003.001 </t>
  </si>
  <si>
    <t>Cópias e Plotagens</t>
  </si>
  <si>
    <t>Total da unidade construtiva</t>
  </si>
  <si>
    <t>GERENCIAMENTO ADMINISTRATIVO</t>
  </si>
  <si>
    <t>SEGURANÇA, MEIO AMBIENTE E SAÚDE</t>
  </si>
  <si>
    <t>Segurança do trabalho</t>
  </si>
  <si>
    <t>Serviço de segurança do trabalho terceirizado</t>
  </si>
  <si>
    <t>mes</t>
  </si>
  <si>
    <t>Equipamentos de proteção</t>
  </si>
  <si>
    <t>Bandeja de proteção primária</t>
  </si>
  <si>
    <t>m</t>
  </si>
  <si>
    <t>Bandeja de proteção secundária</t>
  </si>
  <si>
    <t>Guarda-corpo de vãos, fixado em forma de madeira, em trama de madeira com tela de polipropileno</t>
  </si>
  <si>
    <t xml:space="preserve">Guarda - corpo de laje após desforma - embasamento </t>
  </si>
  <si>
    <t xml:space="preserve">Guarda - corpo de laje após desforma - torre  </t>
  </si>
  <si>
    <t>Fechamento removível de vãos de porta de elevador em madeira</t>
  </si>
  <si>
    <t>m2</t>
  </si>
  <si>
    <t>Fechamento removível de abertura no piso do elevador em madeira</t>
  </si>
  <si>
    <t xml:space="preserve">01.001.002.008 </t>
  </si>
  <si>
    <t>Varal de segurança com cabo de aço</t>
  </si>
  <si>
    <t xml:space="preserve">01.001.002.009 </t>
  </si>
  <si>
    <t>Tela poliéster para fachada</t>
  </si>
  <si>
    <t xml:space="preserve">01.001.002.010 </t>
  </si>
  <si>
    <t>Sinalização geral de obra</t>
  </si>
  <si>
    <t>Meio ambiente</t>
  </si>
  <si>
    <t>Elaboração do Programa de Prevenção dos Riscos Ambientais (PPRA)</t>
  </si>
  <si>
    <t xml:space="preserve">01.001.003.002 </t>
  </si>
  <si>
    <t>Elaboração do Programa de Condições e meio Ambiente de Trabalho na Indústria de Construção (PCMAT)</t>
  </si>
  <si>
    <t>Saúde ocupacional</t>
  </si>
  <si>
    <t>Elaboração do Programa de Controle Médico de Saúde Ocupacional (PCMSO)</t>
  </si>
  <si>
    <t>ADMINISTRAÇÃO E CANTEIRO DE OBRAS</t>
  </si>
  <si>
    <t>Equipe de gestão e apoio</t>
  </si>
  <si>
    <t>Engenheiro civil</t>
  </si>
  <si>
    <t>Mestre de obras</t>
  </si>
  <si>
    <t>Técnico de edificações</t>
  </si>
  <si>
    <t xml:space="preserve">Técnico de qualidade </t>
  </si>
  <si>
    <t>Almoxarife</t>
  </si>
  <si>
    <t xml:space="preserve">01.002.001.006 </t>
  </si>
  <si>
    <t>Auxiliar de Engenharia</t>
  </si>
  <si>
    <t xml:space="preserve">01.002.001.007 </t>
  </si>
  <si>
    <t>Assistente administrativo</t>
  </si>
  <si>
    <t xml:space="preserve">01.002.001.008 </t>
  </si>
  <si>
    <t>Estagiário</t>
  </si>
  <si>
    <t xml:space="preserve">01.002.001.009 </t>
  </si>
  <si>
    <t>Equipe de apoio limpeza de obra</t>
  </si>
  <si>
    <t xml:space="preserve">01.002.001.010 </t>
  </si>
  <si>
    <t>Serviço de vigilância 24h</t>
  </si>
  <si>
    <t>Despesas de consumo e manutenção</t>
  </si>
  <si>
    <t>Fretes e Carretos</t>
  </si>
  <si>
    <t xml:space="preserve">01.002.003.002 </t>
  </si>
  <si>
    <t>Despesas de consumo - Água</t>
  </si>
  <si>
    <t xml:space="preserve">01.002.003.003 </t>
  </si>
  <si>
    <t xml:space="preserve"> Despesas de consumo - Luz     </t>
  </si>
  <si>
    <t xml:space="preserve">01.002.003.004 </t>
  </si>
  <si>
    <t xml:space="preserve"> Despesas de consumo - Material de Expediente     </t>
  </si>
  <si>
    <t xml:space="preserve">01.002.003.005 </t>
  </si>
  <si>
    <t xml:space="preserve"> Despesas de consumo - Material de Limpeza     </t>
  </si>
  <si>
    <t xml:space="preserve">01.002.003.006 </t>
  </si>
  <si>
    <t>Esgotamento de sistema sanitário temporário</t>
  </si>
  <si>
    <t xml:space="preserve">01.002.003.007 </t>
  </si>
  <si>
    <t>Despesas com vizinhos</t>
  </si>
  <si>
    <t xml:space="preserve">01.002.003.008 </t>
  </si>
  <si>
    <t>Manutenção provisória do canteiro</t>
  </si>
  <si>
    <t xml:space="preserve">01.002.004 </t>
  </si>
  <si>
    <t>Instalações provisórias</t>
  </si>
  <si>
    <t xml:space="preserve">01.002.004.001 </t>
  </si>
  <si>
    <t>Instalações provisórias de canteiro</t>
  </si>
  <si>
    <t xml:space="preserve">01.002.004.002 </t>
  </si>
  <si>
    <t>Instalações provisórias: redes de água fria, esgoto e drenagem</t>
  </si>
  <si>
    <t xml:space="preserve">01.002.004.003 </t>
  </si>
  <si>
    <t>Instalações provisórias: redes elétrica, comunicação e dados</t>
  </si>
  <si>
    <t xml:space="preserve">01.002.004.004 </t>
  </si>
  <si>
    <t>Locação de banheiro químico</t>
  </si>
  <si>
    <t xml:space="preserve">01.002.004.005 </t>
  </si>
  <si>
    <t>Tapume com telha metálica</t>
  </si>
  <si>
    <t xml:space="preserve">01.003 </t>
  </si>
  <si>
    <t>EQUIPAMENTOS</t>
  </si>
  <si>
    <t xml:space="preserve">01.003.001 </t>
  </si>
  <si>
    <t>Equipamentos de carga e transporte</t>
  </si>
  <si>
    <t xml:space="preserve">01.003.001.001 </t>
  </si>
  <si>
    <t>Manutenção para veículo de passageiros a serviço da obra</t>
  </si>
  <si>
    <t xml:space="preserve">01.003.001.002 </t>
  </si>
  <si>
    <t>Manutenção para veículo de carga a serviço da obra</t>
  </si>
  <si>
    <t xml:space="preserve">01.003.002 </t>
  </si>
  <si>
    <t>Equipamentos de obra</t>
  </si>
  <si>
    <t xml:space="preserve">01.003.002.001 </t>
  </si>
  <si>
    <t>Equipamentos/ Acessórios de Apoio ao Canteiro de Obra</t>
  </si>
  <si>
    <t xml:space="preserve">01.003.002.002 </t>
  </si>
  <si>
    <t>Locação de condutor vertical de entulho</t>
  </si>
  <si>
    <t xml:space="preserve">01.003.002.003 </t>
  </si>
  <si>
    <t>Elevador de carga - locação</t>
  </si>
  <si>
    <t xml:space="preserve">01.003.002.004 </t>
  </si>
  <si>
    <t xml:space="preserve">Minicarregadeira - locação </t>
  </si>
  <si>
    <t xml:space="preserve">01.003.002.005 </t>
  </si>
  <si>
    <t xml:space="preserve">Carro com caçamba - locação </t>
  </si>
  <si>
    <t xml:space="preserve">01.003.002.006 </t>
  </si>
  <si>
    <t>Elevador cremalheira - locação</t>
  </si>
  <si>
    <t xml:space="preserve">01.003.002.007 </t>
  </si>
  <si>
    <t>Manutenção preventiva de equipamentos</t>
  </si>
  <si>
    <t xml:space="preserve">01.003.002.008 </t>
  </si>
  <si>
    <t>Manutenção corretiva de equipamentos</t>
  </si>
  <si>
    <t>SERVIÇOS PRELIMINARES</t>
  </si>
  <si>
    <t>Demolições</t>
  </si>
  <si>
    <t>Demolição</t>
  </si>
  <si>
    <t>Limpeza de terreno</t>
  </si>
  <si>
    <t>Limpeza mecanizada de camada vegetal</t>
  </si>
  <si>
    <t>Corte e Escavação</t>
  </si>
  <si>
    <t xml:space="preserve">Fragmentação de rochas para sapatas e baldrames, com explosivos (equipamentos e mão de obra) </t>
  </si>
  <si>
    <t>Escavação e Reaterro de Valas</t>
  </si>
  <si>
    <t>Escavação mecanizada para blocos de fundação e vigas baldrame, com previsão de fôrma, com retroescavadeira</t>
  </si>
  <si>
    <t>m3</t>
  </si>
  <si>
    <t xml:space="preserve">01.001.004.002 </t>
  </si>
  <si>
    <t>Reaterro mecanizado de valas para blocos e baldrames, com retroescavadeira</t>
  </si>
  <si>
    <t xml:space="preserve">01.001.005 </t>
  </si>
  <si>
    <t>Regularização e Apiloamento de Fundo de Valas</t>
  </si>
  <si>
    <t xml:space="preserve">01.001.005.001 </t>
  </si>
  <si>
    <t>Lastro de concreto usinado, aplicado em valas, espessura 20cm</t>
  </si>
  <si>
    <t xml:space="preserve">02 </t>
  </si>
  <si>
    <t>CONTENÇÕES</t>
  </si>
  <si>
    <t xml:space="preserve">02.001 </t>
  </si>
  <si>
    <t>MURO DE CONTENÇÃO</t>
  </si>
  <si>
    <t xml:space="preserve">02.001.001 </t>
  </si>
  <si>
    <t>Forma</t>
  </si>
  <si>
    <t xml:space="preserve">02.001.001.001 </t>
  </si>
  <si>
    <t>Fabricação, montagem e desmontagem de fôrma para cortina de contenção, em chapa de madeira compensada plastificada, e = 18mm</t>
  </si>
  <si>
    <t xml:space="preserve">02.001.002 </t>
  </si>
  <si>
    <t>Armadura</t>
  </si>
  <si>
    <t xml:space="preserve">02.001.002.001 </t>
  </si>
  <si>
    <t>Armação aço CA-50, diâmetro 8,0mm para cortina de contenção, corte e dobra em obra</t>
  </si>
  <si>
    <t>kg</t>
  </si>
  <si>
    <t xml:space="preserve">02.001.002.002 </t>
  </si>
  <si>
    <t>Armação aço CA-50, diâmetro 10,0mm para cortina de contenção, corte e dobra em obra</t>
  </si>
  <si>
    <t xml:space="preserve">02.001.002.003 </t>
  </si>
  <si>
    <t>Armação aço CA-50, diâmetro 6,3mm para cortina de contenção, corte e dobra em obra</t>
  </si>
  <si>
    <t xml:space="preserve">02.001.003 </t>
  </si>
  <si>
    <t>Concreto</t>
  </si>
  <si>
    <t xml:space="preserve">02.001.003.001 </t>
  </si>
  <si>
    <t>Concreto usinado bombeável, para sapata e baldrames, FCK 35mpa, com brita 1, SLUMP =12 +/- 2 incluindo serviço de bombeamento</t>
  </si>
  <si>
    <t xml:space="preserve">02.001.004 </t>
  </si>
  <si>
    <t>Mão de Obra</t>
  </si>
  <si>
    <t xml:space="preserve">02.001.004.001 </t>
  </si>
  <si>
    <t xml:space="preserve">Mão de obra para execução de cortina de contenção em concreto armado </t>
  </si>
  <si>
    <t xml:space="preserve">03 </t>
  </si>
  <si>
    <t>INFRAESTRUTURA</t>
  </si>
  <si>
    <t xml:space="preserve">03.001 </t>
  </si>
  <si>
    <t>FUNDAÇÃO RASA</t>
  </si>
  <si>
    <t xml:space="preserve">03.001.001 </t>
  </si>
  <si>
    <t xml:space="preserve">03.001.001.001 </t>
  </si>
  <si>
    <t>Fabricação, montagem e desmontagem de fôrma para baldrames, em chapa de madeira compensada resinada 17mm, 4 utilizações</t>
  </si>
  <si>
    <t xml:space="preserve">03.001.001.002 </t>
  </si>
  <si>
    <t>Fabricação, montagem e desmontagem de fôrma para sapatas, em chapa de madeira compensada resinada 17mm</t>
  </si>
  <si>
    <t xml:space="preserve">03.001.002 </t>
  </si>
  <si>
    <t xml:space="preserve">03.001.002.001 </t>
  </si>
  <si>
    <t>Armação aço CA-60, diâmetro de 5,0mm para blocos e baldrames, corte e dobra em obra</t>
  </si>
  <si>
    <t xml:space="preserve">03.001.002.002 </t>
  </si>
  <si>
    <t>Armação aço CA-50, diâmetro de 6,3mm para blocos e baldrames, corte e dobra em obra</t>
  </si>
  <si>
    <t xml:space="preserve">03.001.002.003 </t>
  </si>
  <si>
    <t>Armação aço CA-50, diâmetro de 8,0mm para blocos e baldrames, corte e dobra em obra</t>
  </si>
  <si>
    <t xml:space="preserve">03.001.002.004 </t>
  </si>
  <si>
    <t>Armação aço CA-50, diâmetro de 10,0mm para blocos e baldrames, corte e dobra em obra</t>
  </si>
  <si>
    <t xml:space="preserve">03.001.002.005 </t>
  </si>
  <si>
    <t>Armação aço CA-50, diâmetro de 12,5mm para blocos e baldrames, corte e dobra em obra</t>
  </si>
  <si>
    <t xml:space="preserve">03.001.002.006 </t>
  </si>
  <si>
    <t>Armação aço CA-50, diâmetro de 16,0mm para blocos e baldrames, corte e dobra em obra</t>
  </si>
  <si>
    <t xml:space="preserve">03.001.002.007 </t>
  </si>
  <si>
    <t>Armação aço CA-50, diâmetro de 20,0mm para blocos e baldrames, corte e dobra em obra</t>
  </si>
  <si>
    <t xml:space="preserve">03.001.003 </t>
  </si>
  <si>
    <t xml:space="preserve">03.001.003.001 </t>
  </si>
  <si>
    <t xml:space="preserve">03.001.004 </t>
  </si>
  <si>
    <t xml:space="preserve">03.001.004.001 </t>
  </si>
  <si>
    <t xml:space="preserve">Mão de obra para execução de infraestrutura - sapatas e baldrames </t>
  </si>
  <si>
    <t xml:space="preserve">04 </t>
  </si>
  <si>
    <t>SUPRAESTRUTURA</t>
  </si>
  <si>
    <t xml:space="preserve">04.001 </t>
  </si>
  <si>
    <t>SUPRAESTRUTURA - SUBSOLO 02 - GARAGEM</t>
  </si>
  <si>
    <t xml:space="preserve">04.001.001 </t>
  </si>
  <si>
    <t xml:space="preserve">04.001.001.001 </t>
  </si>
  <si>
    <t>Fabricação de fôrma para pilares, em chapa de madeira compensada plastificada, e=18mm</t>
  </si>
  <si>
    <t xml:space="preserve">04.001.001.002 </t>
  </si>
  <si>
    <t>Fabricação de fôrma para vigas, em chapas de madeira compensada plastificada, e=18mm</t>
  </si>
  <si>
    <t xml:space="preserve">04.001.001.003 </t>
  </si>
  <si>
    <t>Fabricação de fôrma para lajes maciças, em chapas de madeira compensada plastificada , e=18mm</t>
  </si>
  <si>
    <t xml:space="preserve">04.001.001.004 </t>
  </si>
  <si>
    <t>Montagem e desmontagem de fôrma de pilares, em chapa de madeira compensada plastificada</t>
  </si>
  <si>
    <t xml:space="preserve">04.001.002 </t>
  </si>
  <si>
    <t xml:space="preserve">04.001.002.001 </t>
  </si>
  <si>
    <t>Armação aço CA-60, diâmetro de 5,0mm para supraestrutura, corte e dobra em obra</t>
  </si>
  <si>
    <t xml:space="preserve">04.001.002.002 </t>
  </si>
  <si>
    <t>Armação aço CA-50, diâmetro de 6,3mm para supraestrutura, corte e dobra em obra</t>
  </si>
  <si>
    <t xml:space="preserve">04.001.002.003 </t>
  </si>
  <si>
    <t>Armação aço CA-50, diâmetro de 8,0mm para supraestrutura, corte e dobra em obra</t>
  </si>
  <si>
    <t xml:space="preserve">04.001.002.004 </t>
  </si>
  <si>
    <t>Armação aço CA-50, diâmetro de 10,0mm para supraestrutura, corte e dobra em obra</t>
  </si>
  <si>
    <t xml:space="preserve">04.001.002.005 </t>
  </si>
  <si>
    <t>Armação aço CA-50, diâmetro de 12,5mm para supraestrutura, corte e dobra em obra</t>
  </si>
  <si>
    <t xml:space="preserve">04.001.002.006 </t>
  </si>
  <si>
    <t>Armação aço CA-50, diâmetro de 16,0mm para supraestrutura, corte e dobra em obra</t>
  </si>
  <si>
    <t xml:space="preserve">04.001.002.007 </t>
  </si>
  <si>
    <t>Armação aço CA-50, diâmetro de 20,0mm para supraestrutura, corte e dobra em obra</t>
  </si>
  <si>
    <t xml:space="preserve">04.001.003 </t>
  </si>
  <si>
    <t xml:space="preserve">04.001.003.001 </t>
  </si>
  <si>
    <t>Concreto Usinado Bombeável, para Supraestrutura, FCK 35MPa, SLUMP = 12 +/- 2 B01, Incluindo Serviço de Bombeamento</t>
  </si>
  <si>
    <t xml:space="preserve">04.001.004 </t>
  </si>
  <si>
    <t xml:space="preserve">04.001.004.001 </t>
  </si>
  <si>
    <t>Mão de obra para execução de estrutura de concreto armado em supraestrutura</t>
  </si>
  <si>
    <t xml:space="preserve">04.002 </t>
  </si>
  <si>
    <t>SUPRAESTRUTURA - SUBSOLO 01 - GARAGEM</t>
  </si>
  <si>
    <t xml:space="preserve">04.002.001 </t>
  </si>
  <si>
    <t xml:space="preserve">04.002.001.001 </t>
  </si>
  <si>
    <t>Montagem e desmontagem de fôrma de laje, em chapa de madeira plastificada</t>
  </si>
  <si>
    <t xml:space="preserve">04.002.001.002 </t>
  </si>
  <si>
    <t xml:space="preserve">04.002.001.003 </t>
  </si>
  <si>
    <t>Montagem e desmontagem de fôrma de viga, em chapa de madeira plastificada</t>
  </si>
  <si>
    <t xml:space="preserve">04.002.002 </t>
  </si>
  <si>
    <t xml:space="preserve">04.002.002.001 </t>
  </si>
  <si>
    <t xml:space="preserve">04.002.002.002 </t>
  </si>
  <si>
    <t xml:space="preserve">04.002.002.003 </t>
  </si>
  <si>
    <t xml:space="preserve">04.002.002.004 </t>
  </si>
  <si>
    <t xml:space="preserve">04.002.002.005 </t>
  </si>
  <si>
    <t xml:space="preserve">04.002.002.006 </t>
  </si>
  <si>
    <t xml:space="preserve">04.002.002.007 </t>
  </si>
  <si>
    <t xml:space="preserve">04.002.003 </t>
  </si>
  <si>
    <t xml:space="preserve">04.002.003.001 </t>
  </si>
  <si>
    <t xml:space="preserve">04.002.004 </t>
  </si>
  <si>
    <t>Complementares</t>
  </si>
  <si>
    <t xml:space="preserve">04.002.004.001 </t>
  </si>
  <si>
    <t xml:space="preserve">04.002.005 </t>
  </si>
  <si>
    <t xml:space="preserve">04.002.005.001 </t>
  </si>
  <si>
    <t xml:space="preserve">04.003 </t>
  </si>
  <si>
    <t>SUPRAESTRUTURA - TÉRREO - SALA COMERCIAL</t>
  </si>
  <si>
    <t xml:space="preserve">04.003.001 </t>
  </si>
  <si>
    <t xml:space="preserve">04.003.001.001 </t>
  </si>
  <si>
    <t xml:space="preserve">04.003.001.002 </t>
  </si>
  <si>
    <t xml:space="preserve">04.003.001.003 </t>
  </si>
  <si>
    <t xml:space="preserve">04.003.002 </t>
  </si>
  <si>
    <t xml:space="preserve">04.003.002.001 </t>
  </si>
  <si>
    <t xml:space="preserve">04.003.002.002 </t>
  </si>
  <si>
    <t xml:space="preserve">04.003.002.003 </t>
  </si>
  <si>
    <t xml:space="preserve">04.003.002.004 </t>
  </si>
  <si>
    <t xml:space="preserve">04.003.002.005 </t>
  </si>
  <si>
    <t xml:space="preserve">04.003.002.006 </t>
  </si>
  <si>
    <t xml:space="preserve">04.003.002.007 </t>
  </si>
  <si>
    <t xml:space="preserve">04.003.003 </t>
  </si>
  <si>
    <t xml:space="preserve">04.003.003.001 </t>
  </si>
  <si>
    <t xml:space="preserve">04.003.004 </t>
  </si>
  <si>
    <t xml:space="preserve">04.003.004.001 </t>
  </si>
  <si>
    <t xml:space="preserve">04.003.005 </t>
  </si>
  <si>
    <t xml:space="preserve">04.003.005.001 </t>
  </si>
  <si>
    <t xml:space="preserve">04.004 </t>
  </si>
  <si>
    <t>SUPRAESTRUTURA - PAVIMENTO 01 MEZANINO SALA COMERCIAL</t>
  </si>
  <si>
    <t xml:space="preserve">04.004.001 </t>
  </si>
  <si>
    <t xml:space="preserve">04.004.001.001 </t>
  </si>
  <si>
    <t xml:space="preserve">04.004.001.002 </t>
  </si>
  <si>
    <t xml:space="preserve">04.004.001.003 </t>
  </si>
  <si>
    <t xml:space="preserve">04.004.002 </t>
  </si>
  <si>
    <t xml:space="preserve">04.004.002.001 </t>
  </si>
  <si>
    <t xml:space="preserve">04.004.002.002 </t>
  </si>
  <si>
    <t xml:space="preserve">04.004.002.003 </t>
  </si>
  <si>
    <t xml:space="preserve">04.004.002.004 </t>
  </si>
  <si>
    <t xml:space="preserve">04.004.002.005 </t>
  </si>
  <si>
    <t xml:space="preserve">04.004.002.006 </t>
  </si>
  <si>
    <t xml:space="preserve">04.004.002.007 </t>
  </si>
  <si>
    <t xml:space="preserve">04.004.003 </t>
  </si>
  <si>
    <t xml:space="preserve">04.004.003.001 </t>
  </si>
  <si>
    <t xml:space="preserve">04.004.004 </t>
  </si>
  <si>
    <t xml:space="preserve">04.004.004.001 </t>
  </si>
  <si>
    <t xml:space="preserve">04.004.005 </t>
  </si>
  <si>
    <t xml:space="preserve">04.004.005.001 </t>
  </si>
  <si>
    <t xml:space="preserve">04.005 </t>
  </si>
  <si>
    <t>SUPRAESTRUTURA - PAVIMENTO 02 GARAGEM SUPERIOR</t>
  </si>
  <si>
    <t xml:space="preserve">04.005.001 </t>
  </si>
  <si>
    <t xml:space="preserve">04.005.001.001 </t>
  </si>
  <si>
    <t xml:space="preserve">04.005.001.002 </t>
  </si>
  <si>
    <t xml:space="preserve">04.005.001.003 </t>
  </si>
  <si>
    <t xml:space="preserve">04.005.002 </t>
  </si>
  <si>
    <t xml:space="preserve">04.005.002.001 </t>
  </si>
  <si>
    <t xml:space="preserve">04.005.002.002 </t>
  </si>
  <si>
    <t xml:space="preserve">04.005.002.003 </t>
  </si>
  <si>
    <t xml:space="preserve">04.005.002.004 </t>
  </si>
  <si>
    <t xml:space="preserve">04.005.002.005 </t>
  </si>
  <si>
    <t xml:space="preserve">04.005.002.006 </t>
  </si>
  <si>
    <t xml:space="preserve">04.005.002.007 </t>
  </si>
  <si>
    <t xml:space="preserve">04.005.003 </t>
  </si>
  <si>
    <t xml:space="preserve">04.005.003.001 </t>
  </si>
  <si>
    <t xml:space="preserve">04.005.004 </t>
  </si>
  <si>
    <t xml:space="preserve">04.005.004.001 </t>
  </si>
  <si>
    <t xml:space="preserve">04.005.005 </t>
  </si>
  <si>
    <t xml:space="preserve">04.005.005.001 </t>
  </si>
  <si>
    <t xml:space="preserve">04.006 </t>
  </si>
  <si>
    <t>SUPRAESTRUTURA - PAVIMENTO 03 LAZER</t>
  </si>
  <si>
    <t xml:space="preserve">04.006.001 </t>
  </si>
  <si>
    <t xml:space="preserve">04.006.001.001 </t>
  </si>
  <si>
    <t xml:space="preserve">04.006.001.002 </t>
  </si>
  <si>
    <t xml:space="preserve">04.006.001.003 </t>
  </si>
  <si>
    <t xml:space="preserve">04.006.002 </t>
  </si>
  <si>
    <t xml:space="preserve">04.006.002.001 </t>
  </si>
  <si>
    <t xml:space="preserve">04.006.002.002 </t>
  </si>
  <si>
    <t xml:space="preserve">04.006.002.003 </t>
  </si>
  <si>
    <t xml:space="preserve">04.006.002.004 </t>
  </si>
  <si>
    <t xml:space="preserve">04.006.002.005 </t>
  </si>
  <si>
    <t xml:space="preserve">04.006.002.006 </t>
  </si>
  <si>
    <t xml:space="preserve">04.006.002.007 </t>
  </si>
  <si>
    <t xml:space="preserve">04.006.003 </t>
  </si>
  <si>
    <t xml:space="preserve">04.006.003.001 </t>
  </si>
  <si>
    <t xml:space="preserve">04.006.004 </t>
  </si>
  <si>
    <t xml:space="preserve">04.006.004.001 </t>
  </si>
  <si>
    <t xml:space="preserve">04.006.005 </t>
  </si>
  <si>
    <t xml:space="preserve">04.006.005.001 </t>
  </si>
  <si>
    <t xml:space="preserve">04.007 </t>
  </si>
  <si>
    <t>SUPRAESTRUTURA - PAVIMENTOS TIPO 04 AO 11 (8x)</t>
  </si>
  <si>
    <t xml:space="preserve">04.007.001 </t>
  </si>
  <si>
    <t xml:space="preserve">04.007.001.001 </t>
  </si>
  <si>
    <t xml:space="preserve">04.007.001.002 </t>
  </si>
  <si>
    <t xml:space="preserve">04.007.001.003 </t>
  </si>
  <si>
    <t xml:space="preserve">04.007.001.004 </t>
  </si>
  <si>
    <t xml:space="preserve">04.007.001.005 </t>
  </si>
  <si>
    <t xml:space="preserve">04.007.001.006 </t>
  </si>
  <si>
    <t xml:space="preserve">04.007.002 </t>
  </si>
  <si>
    <t xml:space="preserve">04.007.002.001 </t>
  </si>
  <si>
    <t xml:space="preserve">04.007.002.002 </t>
  </si>
  <si>
    <t xml:space="preserve">04.007.002.003 </t>
  </si>
  <si>
    <t xml:space="preserve">04.007.002.004 </t>
  </si>
  <si>
    <t xml:space="preserve">04.007.002.005 </t>
  </si>
  <si>
    <t xml:space="preserve">04.007.002.006 </t>
  </si>
  <si>
    <t xml:space="preserve">04.007.002.007 </t>
  </si>
  <si>
    <t xml:space="preserve">04.007.003 </t>
  </si>
  <si>
    <t xml:space="preserve">04.007.003.001 </t>
  </si>
  <si>
    <t>Concreto usinado bombeável, para supraestrutura , FCK 30mpa, com brita 0, SLUMP =14 +/- 2 incluindo serviço de bombeamento</t>
  </si>
  <si>
    <t xml:space="preserve">04.007.004 </t>
  </si>
  <si>
    <t xml:space="preserve">04.007.004.001 </t>
  </si>
  <si>
    <t>un</t>
  </si>
  <si>
    <t xml:space="preserve">04.007.004.002 </t>
  </si>
  <si>
    <t xml:space="preserve">04.007.005 </t>
  </si>
  <si>
    <t xml:space="preserve">04.007.005.001 </t>
  </si>
  <si>
    <t xml:space="preserve">04.008 </t>
  </si>
  <si>
    <t>SUPRAESTRUTURA - PAVIMENTO 12 - COBERTURA</t>
  </si>
  <si>
    <t xml:space="preserve">04.008.001 </t>
  </si>
  <si>
    <t xml:space="preserve">04.008.001.001 </t>
  </si>
  <si>
    <t xml:space="preserve">04.008.001.002 </t>
  </si>
  <si>
    <t xml:space="preserve">04.008.001.003 </t>
  </si>
  <si>
    <t xml:space="preserve">04.008.002 </t>
  </si>
  <si>
    <t xml:space="preserve">04.008.002.001 </t>
  </si>
  <si>
    <t xml:space="preserve">04.008.002.002 </t>
  </si>
  <si>
    <t xml:space="preserve">04.008.002.003 </t>
  </si>
  <si>
    <t xml:space="preserve">04.008.002.004 </t>
  </si>
  <si>
    <t xml:space="preserve">04.008.002.005 </t>
  </si>
  <si>
    <t xml:space="preserve">04.008.002.006 </t>
  </si>
  <si>
    <t xml:space="preserve">04.008.002.007 </t>
  </si>
  <si>
    <t xml:space="preserve">04.008.003 </t>
  </si>
  <si>
    <t xml:space="preserve">04.008.003.001 </t>
  </si>
  <si>
    <t xml:space="preserve">04.008.004 </t>
  </si>
  <si>
    <t xml:space="preserve">04.008.004.001 </t>
  </si>
  <si>
    <t xml:space="preserve">04.008.004.002 </t>
  </si>
  <si>
    <t xml:space="preserve">04.008.005 </t>
  </si>
  <si>
    <t xml:space="preserve">04.008.005.001 </t>
  </si>
  <si>
    <t xml:space="preserve">04.009 </t>
  </si>
  <si>
    <t>SUPRAESTRUTURA - ÁTICO - CASA DE MÁQUINAS</t>
  </si>
  <si>
    <t xml:space="preserve">04.009.001 </t>
  </si>
  <si>
    <t xml:space="preserve">04.009.001.001 </t>
  </si>
  <si>
    <t xml:space="preserve">04.009.001.002 </t>
  </si>
  <si>
    <t xml:space="preserve">04.009.001.003 </t>
  </si>
  <si>
    <t xml:space="preserve">04.009.002 </t>
  </si>
  <si>
    <t xml:space="preserve">04.009.002.001 </t>
  </si>
  <si>
    <t xml:space="preserve">04.009.002.002 </t>
  </si>
  <si>
    <t xml:space="preserve">04.009.002.003 </t>
  </si>
  <si>
    <t xml:space="preserve">04.009.002.004 </t>
  </si>
  <si>
    <t xml:space="preserve">04.009.002.005 </t>
  </si>
  <si>
    <t xml:space="preserve">04.009.002.006 </t>
  </si>
  <si>
    <t xml:space="preserve">04.009.002.007 </t>
  </si>
  <si>
    <t xml:space="preserve">04.009.003 </t>
  </si>
  <si>
    <t xml:space="preserve">04.009.003.001 </t>
  </si>
  <si>
    <t xml:space="preserve">04.009.004 </t>
  </si>
  <si>
    <t xml:space="preserve">04.009.004.001 </t>
  </si>
  <si>
    <t xml:space="preserve">04.009.004.002 </t>
  </si>
  <si>
    <t xml:space="preserve">04.009.005 </t>
  </si>
  <si>
    <t xml:space="preserve">04.009.005.001 </t>
  </si>
  <si>
    <t xml:space="preserve">04.010 </t>
  </si>
  <si>
    <t>SUPRAESTRUTURA - RESERVATÓRIO</t>
  </si>
  <si>
    <t xml:space="preserve">04.010.001 </t>
  </si>
  <si>
    <t xml:space="preserve">04.010.001.001 </t>
  </si>
  <si>
    <t xml:space="preserve">04.010.001.002 </t>
  </si>
  <si>
    <t xml:space="preserve">04.010.001.003 </t>
  </si>
  <si>
    <t xml:space="preserve">04.010.002 </t>
  </si>
  <si>
    <t xml:space="preserve">04.010.002.001 </t>
  </si>
  <si>
    <t xml:space="preserve">04.010.002.002 </t>
  </si>
  <si>
    <t xml:space="preserve">04.010.002.003 </t>
  </si>
  <si>
    <t xml:space="preserve">04.010.002.004 </t>
  </si>
  <si>
    <t xml:space="preserve">04.010.002.005 </t>
  </si>
  <si>
    <t xml:space="preserve">04.010.002.006 </t>
  </si>
  <si>
    <t xml:space="preserve">04.010.002.007 </t>
  </si>
  <si>
    <t xml:space="preserve">04.010.003 </t>
  </si>
  <si>
    <t xml:space="preserve">04.010.003.001 </t>
  </si>
  <si>
    <t xml:space="preserve">04.010.004 </t>
  </si>
  <si>
    <t xml:space="preserve">04.010.004.001 </t>
  </si>
  <si>
    <t xml:space="preserve">04.010.005 </t>
  </si>
  <si>
    <t xml:space="preserve">04.010.005.001 </t>
  </si>
  <si>
    <t xml:space="preserve">05 </t>
  </si>
  <si>
    <t>ALVENARIA, VEDAÇÕES E DIVISÓRIAS</t>
  </si>
  <si>
    <t xml:space="preserve">05.001 </t>
  </si>
  <si>
    <t>ALVENARIA, VEDAÇÕES E DIVISÓRIAS - SUBSOLO 02 - GARAGEM</t>
  </si>
  <si>
    <t xml:space="preserve">05.001.001 </t>
  </si>
  <si>
    <t>Alvenaria de Vedação com Blocos Cerâmicos</t>
  </si>
  <si>
    <t xml:space="preserve">05.001.001.001 </t>
  </si>
  <si>
    <t xml:space="preserve">05.001.001.002 </t>
  </si>
  <si>
    <t xml:space="preserve">05.001.001.003 </t>
  </si>
  <si>
    <t xml:space="preserve">05.001.002 </t>
  </si>
  <si>
    <t>Serviços Complementares</t>
  </si>
  <si>
    <t xml:space="preserve">05.001.002.001 </t>
  </si>
  <si>
    <t>Encunhamento de alvenaria de vedação com argamassa expansiva</t>
  </si>
  <si>
    <t xml:space="preserve">05.001.002.002 </t>
  </si>
  <si>
    <t>Tela soldada para ligação alvenaria/estrutura - para blocos de 9 a 14cm</t>
  </si>
  <si>
    <t xml:space="preserve">05.001.002.003 </t>
  </si>
  <si>
    <t>Tela soldada para ligação alvenaria/estrutura - para blocos de 14 a 19cm</t>
  </si>
  <si>
    <t xml:space="preserve">05.001.002.004 </t>
  </si>
  <si>
    <t>Verga/contraverga de concreto, moldada in loco</t>
  </si>
  <si>
    <t xml:space="preserve">05.001.003 </t>
  </si>
  <si>
    <t xml:space="preserve">05.001.003.001 </t>
  </si>
  <si>
    <t>Mão de obra vedações internas e externas - assentamento blocos cerâmicos</t>
  </si>
  <si>
    <t xml:space="preserve">05.002 </t>
  </si>
  <si>
    <t>ALVENARIA, VEDAÇÕES E DIVISÓRIAS - SUBSOLO 01 - GARAGEM</t>
  </si>
  <si>
    <t xml:space="preserve">05.002.001 </t>
  </si>
  <si>
    <t xml:space="preserve">05.002.001.001 </t>
  </si>
  <si>
    <t xml:space="preserve">05.002.001.002 </t>
  </si>
  <si>
    <t xml:space="preserve">05.002.001.003 </t>
  </si>
  <si>
    <t xml:space="preserve">05.002.002 </t>
  </si>
  <si>
    <t xml:space="preserve">05.002.002.001 </t>
  </si>
  <si>
    <t xml:space="preserve">05.002.002.002 </t>
  </si>
  <si>
    <t xml:space="preserve">05.002.002.003 </t>
  </si>
  <si>
    <t xml:space="preserve">05.002.002.004 </t>
  </si>
  <si>
    <t xml:space="preserve">05.002.003 </t>
  </si>
  <si>
    <t xml:space="preserve">05.002.003.001 </t>
  </si>
  <si>
    <t xml:space="preserve">05.003 </t>
  </si>
  <si>
    <t>ALVENARIA, VEDAÇÕES E DIVISÓRIAS - TÉRREO - SALA COMERCIAL</t>
  </si>
  <si>
    <t xml:space="preserve">05.003.001 </t>
  </si>
  <si>
    <t xml:space="preserve">05.003.001.001 </t>
  </si>
  <si>
    <t xml:space="preserve">05.003.001.002 </t>
  </si>
  <si>
    <t xml:space="preserve">05.003.001.003 </t>
  </si>
  <si>
    <t xml:space="preserve">05.003.002 </t>
  </si>
  <si>
    <t>Alvenaria de Vedação com Blocos de Concreto</t>
  </si>
  <si>
    <t xml:space="preserve">05.003.002.001 </t>
  </si>
  <si>
    <t xml:space="preserve">05.003.003 </t>
  </si>
  <si>
    <t xml:space="preserve">05.003.003.001 </t>
  </si>
  <si>
    <t xml:space="preserve">Concretagem de paredes feitas com sistema de fôrmas manuseáveis, com concreto usinado bombeável Fck 25 MPa - lançamento, adensamento e acabamento </t>
  </si>
  <si>
    <t xml:space="preserve">05.003.003.002 </t>
  </si>
  <si>
    <t xml:space="preserve">Fabricação de fôrma para paredes, em chapa de madeira compensada plastificada, e=18mm </t>
  </si>
  <si>
    <t xml:space="preserve">05.003.003.003 </t>
  </si>
  <si>
    <t>Montagem e desmontagem de fôrma para paredes, em chapa de madeira compensada plastificada, e=18mm</t>
  </si>
  <si>
    <t xml:space="preserve">05.003.003.004 </t>
  </si>
  <si>
    <t xml:space="preserve">05.003.004 </t>
  </si>
  <si>
    <t xml:space="preserve">05.003.004.001 </t>
  </si>
  <si>
    <t xml:space="preserve">05.003.004.002 </t>
  </si>
  <si>
    <t>Mão de obra vedações internas e externas, assentamento blocos de concreto</t>
  </si>
  <si>
    <t xml:space="preserve">05.004 </t>
  </si>
  <si>
    <t>ALVENARIA, VEDAÇÕES E DIVISÓRIAS - PAVIMENTO 01 MEZANINO SALA COMERCIAL</t>
  </si>
  <si>
    <t xml:space="preserve">05.004.001 </t>
  </si>
  <si>
    <t xml:space="preserve">05.004.001.001 </t>
  </si>
  <si>
    <t xml:space="preserve">05.004.001.002 </t>
  </si>
  <si>
    <t xml:space="preserve">05.004.001.003 </t>
  </si>
  <si>
    <t xml:space="preserve">05.004.002 </t>
  </si>
  <si>
    <t xml:space="preserve">05.004.002.001 </t>
  </si>
  <si>
    <t xml:space="preserve">05.004.003 </t>
  </si>
  <si>
    <t xml:space="preserve">05.004.003.001 </t>
  </si>
  <si>
    <t xml:space="preserve">05.004.003.002 </t>
  </si>
  <si>
    <t xml:space="preserve">05.004.003.003 </t>
  </si>
  <si>
    <t xml:space="preserve">05.004.003.004 </t>
  </si>
  <si>
    <t xml:space="preserve">05.004.004 </t>
  </si>
  <si>
    <t xml:space="preserve">05.004.004.001 </t>
  </si>
  <si>
    <t xml:space="preserve">05.005 </t>
  </si>
  <si>
    <t>ALVENARIA, VEDAÇÕES E DIVISÓRIAS - PAVIMENTO 02 GARAGEM SUPERIOR</t>
  </si>
  <si>
    <t xml:space="preserve">05.005.001 </t>
  </si>
  <si>
    <t xml:space="preserve">05.005.001.001 </t>
  </si>
  <si>
    <t xml:space="preserve">05.005.001.002 </t>
  </si>
  <si>
    <t xml:space="preserve">05.005.001.003 </t>
  </si>
  <si>
    <t xml:space="preserve">05.005.002 </t>
  </si>
  <si>
    <t xml:space="preserve">05.005.002.001 </t>
  </si>
  <si>
    <t xml:space="preserve">05.005.003 </t>
  </si>
  <si>
    <t xml:space="preserve">05.005.003.001 </t>
  </si>
  <si>
    <t xml:space="preserve">05.005.003.002 </t>
  </si>
  <si>
    <t xml:space="preserve">05.005.003.003 </t>
  </si>
  <si>
    <t xml:space="preserve">05.005.003.004 </t>
  </si>
  <si>
    <t xml:space="preserve">05.005.004 </t>
  </si>
  <si>
    <t xml:space="preserve">05.005.004.001 </t>
  </si>
  <si>
    <t xml:space="preserve">05.006 </t>
  </si>
  <si>
    <t>ALVENARIA, VEDAÇÕES E DIVISÓRIAS - PAVIMENTO 03 LAZER</t>
  </si>
  <si>
    <t xml:space="preserve">05.006.001 </t>
  </si>
  <si>
    <t xml:space="preserve">05.006.001.001 </t>
  </si>
  <si>
    <t xml:space="preserve">05.006.002 </t>
  </si>
  <si>
    <t xml:space="preserve">05.006.002.001 </t>
  </si>
  <si>
    <t xml:space="preserve">05.006.003 </t>
  </si>
  <si>
    <t xml:space="preserve">05.006.003.001 </t>
  </si>
  <si>
    <t xml:space="preserve">05.006.003.002 </t>
  </si>
  <si>
    <t xml:space="preserve">05.006.003.003 </t>
  </si>
  <si>
    <t xml:space="preserve">05.006.004 </t>
  </si>
  <si>
    <t xml:space="preserve">05.006.004.001 </t>
  </si>
  <si>
    <t xml:space="preserve">05.007 </t>
  </si>
  <si>
    <t>ALVENARIA, VEDAÇÕES E DIVISÓRIAS - PAVIMENTOS TIPO 04 AO 11 (8x)</t>
  </si>
  <si>
    <t xml:space="preserve">05.007.001 </t>
  </si>
  <si>
    <t xml:space="preserve">05.007.001.001 </t>
  </si>
  <si>
    <t xml:space="preserve">05.007.001.002 </t>
  </si>
  <si>
    <t xml:space="preserve">05.007.002 </t>
  </si>
  <si>
    <t xml:space="preserve">05.007.002.001 </t>
  </si>
  <si>
    <t xml:space="preserve">05.007.003 </t>
  </si>
  <si>
    <t xml:space="preserve">05.007.003.001 </t>
  </si>
  <si>
    <t xml:space="preserve">05.007.003.002 </t>
  </si>
  <si>
    <t xml:space="preserve">05.007.003.003 </t>
  </si>
  <si>
    <t xml:space="preserve">05.007.003.004 </t>
  </si>
  <si>
    <t xml:space="preserve">05.007.003.005 </t>
  </si>
  <si>
    <t xml:space="preserve">05.007.003.006 </t>
  </si>
  <si>
    <t xml:space="preserve">05.007.003.007 </t>
  </si>
  <si>
    <t xml:space="preserve">05.007.004 </t>
  </si>
  <si>
    <t xml:space="preserve">05.007.004.001 </t>
  </si>
  <si>
    <t xml:space="preserve">05.008 </t>
  </si>
  <si>
    <t>ALVENARIA, VEDAÇÕES E DIVISÓRIAS - PAVIMENTO 12 - COBERTURA</t>
  </si>
  <si>
    <t xml:space="preserve">05.008.001 </t>
  </si>
  <si>
    <t xml:space="preserve">05.008.001.001 </t>
  </si>
  <si>
    <t xml:space="preserve">05.008.001.002 </t>
  </si>
  <si>
    <t xml:space="preserve">05.008.002 </t>
  </si>
  <si>
    <t xml:space="preserve">05.008.002.001 </t>
  </si>
  <si>
    <t xml:space="preserve">05.008.003 </t>
  </si>
  <si>
    <t xml:space="preserve">05.008.003.001 </t>
  </si>
  <si>
    <t xml:space="preserve">05.008.003.002 </t>
  </si>
  <si>
    <t xml:space="preserve">05.008.003.003 </t>
  </si>
  <si>
    <t xml:space="preserve">05.008.003.004 </t>
  </si>
  <si>
    <t xml:space="preserve">05.008.003.005 </t>
  </si>
  <si>
    <t xml:space="preserve">05.008.003.006 </t>
  </si>
  <si>
    <t xml:space="preserve">05.008.004 </t>
  </si>
  <si>
    <t xml:space="preserve">05.008.004.001 </t>
  </si>
  <si>
    <t xml:space="preserve">05.009 </t>
  </si>
  <si>
    <t>ALVENARIA, VEDAÇÕES E DIVISÓRIAS - ÁTICO - CASA DE MÁQUINAS</t>
  </si>
  <si>
    <t xml:space="preserve">05.009.001 </t>
  </si>
  <si>
    <t xml:space="preserve">05.009.001.001 </t>
  </si>
  <si>
    <t xml:space="preserve">05.009.002 </t>
  </si>
  <si>
    <t xml:space="preserve">05.009.002.001 </t>
  </si>
  <si>
    <t xml:space="preserve">05.009.003 </t>
  </si>
  <si>
    <t xml:space="preserve">05.009.003.001 </t>
  </si>
  <si>
    <t xml:space="preserve">05.009.003.002 </t>
  </si>
  <si>
    <t xml:space="preserve">05.009.003.003 </t>
  </si>
  <si>
    <t xml:space="preserve">05.009.004 </t>
  </si>
  <si>
    <t xml:space="preserve">05.009.004.001 </t>
  </si>
  <si>
    <t xml:space="preserve">05.010 </t>
  </si>
  <si>
    <t>ALVENARIA, VEDAÇÕES E DIVISÓRIAS - RESERVATÓRIO</t>
  </si>
  <si>
    <t xml:space="preserve">05.010.001 </t>
  </si>
  <si>
    <t xml:space="preserve">05.010.001.001 </t>
  </si>
  <si>
    <t xml:space="preserve">05.010.002 </t>
  </si>
  <si>
    <t xml:space="preserve">05.010.002.001 </t>
  </si>
  <si>
    <t xml:space="preserve">05.010.003 </t>
  </si>
  <si>
    <t xml:space="preserve">05.010.003.001 </t>
  </si>
  <si>
    <t xml:space="preserve">05.010.003.002 </t>
  </si>
  <si>
    <t xml:space="preserve">05.010.003.003 </t>
  </si>
  <si>
    <t xml:space="preserve">05.010.003.004 </t>
  </si>
  <si>
    <t xml:space="preserve">05.010.004 </t>
  </si>
  <si>
    <t xml:space="preserve">05.010.004.001 </t>
  </si>
  <si>
    <t xml:space="preserve">06 </t>
  </si>
  <si>
    <t>SISTEMAS E INSTALAÇÕES ELÉTRICAS</t>
  </si>
  <si>
    <t xml:space="preserve">06.001 </t>
  </si>
  <si>
    <t>SISTEMAS E INSTALAÇÕES ELÉTRICAS - SUBSOLO 02 - GARAGEM</t>
  </si>
  <si>
    <t xml:space="preserve">06.001.001 </t>
  </si>
  <si>
    <t>Quadros Elétricos e Disjuntores</t>
  </si>
  <si>
    <t xml:space="preserve">06.001.001.001 </t>
  </si>
  <si>
    <t>Quadros elétricos e disjuntores Subsolo 2</t>
  </si>
  <si>
    <t xml:space="preserve">06.001.002 </t>
  </si>
  <si>
    <t>Eletrodutos e Eletrocalhas</t>
  </si>
  <si>
    <t xml:space="preserve">06.001.002.001 </t>
  </si>
  <si>
    <t>Condulete Subsolo 2</t>
  </si>
  <si>
    <t>Caixas de Passagem Subsolo 2</t>
  </si>
  <si>
    <t>Eletrocalhas Subsolo 2</t>
  </si>
  <si>
    <t>Eletrodutos Subsolo 2</t>
  </si>
  <si>
    <t xml:space="preserve">06.001.003 </t>
  </si>
  <si>
    <t>Fios e Cabos Elétricos</t>
  </si>
  <si>
    <t xml:space="preserve">06.001.003.001 </t>
  </si>
  <si>
    <t>Fios e Cabos elétricos Subsolo 2</t>
  </si>
  <si>
    <t xml:space="preserve">06.001.004 </t>
  </si>
  <si>
    <t>Pontos de Tomadas e Interruptores</t>
  </si>
  <si>
    <t xml:space="preserve">06.001.004.001 </t>
  </si>
  <si>
    <t>Pontos  de Tomadas e Interruptores Subsolo 2</t>
  </si>
  <si>
    <t xml:space="preserve">06.001.005 </t>
  </si>
  <si>
    <t>Luminárias, Lâmpadas e Acessórios</t>
  </si>
  <si>
    <t xml:space="preserve">06.001.005.001 </t>
  </si>
  <si>
    <t>Acessórios Subsolo 2</t>
  </si>
  <si>
    <t>Luminárias Subsolo 2</t>
  </si>
  <si>
    <t xml:space="preserve">06.001.006 </t>
  </si>
  <si>
    <t xml:space="preserve">06.001.006.001 </t>
  </si>
  <si>
    <t>Mão de obra para instalações elétricas</t>
  </si>
  <si>
    <t xml:space="preserve">06.002 </t>
  </si>
  <si>
    <t>SISTEMAS E INSTALAÇÕES ELÉTRICAS - SUBSOLO 01 - GARAGEM</t>
  </si>
  <si>
    <t xml:space="preserve">06.002.001 </t>
  </si>
  <si>
    <t xml:space="preserve">06.002.001.001 </t>
  </si>
  <si>
    <t>Quadros Elétricos e Disjuntores Subsolo1</t>
  </si>
  <si>
    <t xml:space="preserve">06.002.002 </t>
  </si>
  <si>
    <t xml:space="preserve">06.002.002.001 </t>
  </si>
  <si>
    <t>Caixas de Passagem Subsolo 1</t>
  </si>
  <si>
    <t xml:space="preserve">06.002.002.002 </t>
  </si>
  <si>
    <t>Condulete Subsolo 1</t>
  </si>
  <si>
    <t xml:space="preserve">06.002.002.003 </t>
  </si>
  <si>
    <t>Eletrodutos Subsolo 1</t>
  </si>
  <si>
    <t xml:space="preserve">06.002.002.004 </t>
  </si>
  <si>
    <t>Eletrocalhas Subsolo1</t>
  </si>
  <si>
    <t xml:space="preserve">06.002.003 </t>
  </si>
  <si>
    <t xml:space="preserve">06.002.003.001 </t>
  </si>
  <si>
    <t>Fios e Cabos Elétricos Subsolo 1</t>
  </si>
  <si>
    <t xml:space="preserve">06.002.004 </t>
  </si>
  <si>
    <t xml:space="preserve">06.002.004.001 </t>
  </si>
  <si>
    <t>Pontos de tomada e Interruptores Subsolo 1</t>
  </si>
  <si>
    <t xml:space="preserve">06.002.005 </t>
  </si>
  <si>
    <t xml:space="preserve">06.002.005.001 </t>
  </si>
  <si>
    <t>Acessórios Subsolo 1</t>
  </si>
  <si>
    <t xml:space="preserve">06.002.005.002 </t>
  </si>
  <si>
    <t>Luminárias Subsolo 1</t>
  </si>
  <si>
    <t xml:space="preserve">06.002.006 </t>
  </si>
  <si>
    <t xml:space="preserve">06.002.006.001 </t>
  </si>
  <si>
    <t xml:space="preserve">06.003 </t>
  </si>
  <si>
    <t>SISTEMAS E INSTALAÇÕES ELÉTRICAS - TÉRREO - SALA COMERCIAL</t>
  </si>
  <si>
    <t xml:space="preserve">06.003.001 </t>
  </si>
  <si>
    <t xml:space="preserve">06.003.002 </t>
  </si>
  <si>
    <t xml:space="preserve">06.003.002.001 </t>
  </si>
  <si>
    <t>Quadros Elétricos e Disjuntores Térreo</t>
  </si>
  <si>
    <t xml:space="preserve">06.003.003 </t>
  </si>
  <si>
    <t xml:space="preserve">06.003.003.001 </t>
  </si>
  <si>
    <t>Caixas de Passagem Térreo</t>
  </si>
  <si>
    <t xml:space="preserve">06.003.003.002 </t>
  </si>
  <si>
    <t>Eletrodutos Térreo</t>
  </si>
  <si>
    <t xml:space="preserve">06.003.004 </t>
  </si>
  <si>
    <t xml:space="preserve">06.003.004.001 </t>
  </si>
  <si>
    <t>Fios e Cabos Elétricos Térreo</t>
  </si>
  <si>
    <t xml:space="preserve">06.003.005 </t>
  </si>
  <si>
    <t xml:space="preserve">06.003.005.001 </t>
  </si>
  <si>
    <t>Pontos de Tomadas e Interruptores Térreo</t>
  </si>
  <si>
    <t xml:space="preserve">06.003.006 </t>
  </si>
  <si>
    <t xml:space="preserve">06.003.006.001 </t>
  </si>
  <si>
    <t>Acessórios Térreo</t>
  </si>
  <si>
    <t xml:space="preserve">06.003.006.002 </t>
  </si>
  <si>
    <t>Luminárias Térreo</t>
  </si>
  <si>
    <t xml:space="preserve">06.003.007.001 </t>
  </si>
  <si>
    <t xml:space="preserve">06.004 </t>
  </si>
  <si>
    <t>SISTEMAS E INSTALAÇÕES ELÉTRICAS - PAVIMENTO 02 GARAGEM SUPERIOR</t>
  </si>
  <si>
    <t xml:space="preserve">06.004.001 </t>
  </si>
  <si>
    <t xml:space="preserve">06.004.001.001 </t>
  </si>
  <si>
    <t>Quadros Elétricos e Disjuntores Garagem Superior</t>
  </si>
  <si>
    <t xml:space="preserve">06.004.002 </t>
  </si>
  <si>
    <t xml:space="preserve">06.004.002.001 </t>
  </si>
  <si>
    <t>Eletrocalhas Garagem Superior</t>
  </si>
  <si>
    <t xml:space="preserve">06.004.002.002 </t>
  </si>
  <si>
    <t>Caixas de Passagem Garagem Superior</t>
  </si>
  <si>
    <t xml:space="preserve">06.004.002.003 </t>
  </si>
  <si>
    <t>Eletrodutos Garagem Superior</t>
  </si>
  <si>
    <t xml:space="preserve">06.004.003 </t>
  </si>
  <si>
    <t xml:space="preserve">06.004.003.001 </t>
  </si>
  <si>
    <t>Fios e Cabos Elétricos Garagem Superior</t>
  </si>
  <si>
    <t xml:space="preserve">06.004.004 </t>
  </si>
  <si>
    <t xml:space="preserve">06.004.004.001 </t>
  </si>
  <si>
    <t>Pontos de Tomadas e Interruptores Garagem Superior</t>
  </si>
  <si>
    <t xml:space="preserve">06.004.005 </t>
  </si>
  <si>
    <t xml:space="preserve">06.004.005.001 </t>
  </si>
  <si>
    <t>Acessórios Garagem Superior</t>
  </si>
  <si>
    <t xml:space="preserve">06.004.005.002 </t>
  </si>
  <si>
    <t>Luminárias Garagem Superior</t>
  </si>
  <si>
    <t xml:space="preserve">06.004.006 </t>
  </si>
  <si>
    <t xml:space="preserve">06.004.006.001 </t>
  </si>
  <si>
    <t xml:space="preserve">06.005 </t>
  </si>
  <si>
    <t>SISTEMAS E INSTALAÇÕES ELÉTRICAS - PAVIMENTO 03 LAZER</t>
  </si>
  <si>
    <t xml:space="preserve">06.005.001 </t>
  </si>
  <si>
    <t xml:space="preserve">06.005.001.001 </t>
  </si>
  <si>
    <t>Quadros Elétricos e Disjuntores Lazer</t>
  </si>
  <si>
    <t xml:space="preserve">06.005.002 </t>
  </si>
  <si>
    <t xml:space="preserve">06.005.002.001 </t>
  </si>
  <si>
    <t>Condulete Lazer</t>
  </si>
  <si>
    <t xml:space="preserve">06.005.002.002 </t>
  </si>
  <si>
    <t>Caixas de Passgem Lazer</t>
  </si>
  <si>
    <t xml:space="preserve">06.005.002.003 </t>
  </si>
  <si>
    <t>Eletrodutos Lazer</t>
  </si>
  <si>
    <t xml:space="preserve">06.005.003 </t>
  </si>
  <si>
    <t xml:space="preserve">06.005.003.001 </t>
  </si>
  <si>
    <t>Fios e Cabos Elétricos Lazer</t>
  </si>
  <si>
    <t xml:space="preserve">06.005.004 </t>
  </si>
  <si>
    <t xml:space="preserve">06.005.004.001 </t>
  </si>
  <si>
    <t>Pontos de Tomadas e Interruptores Lazer</t>
  </si>
  <si>
    <t xml:space="preserve">06.005.005 </t>
  </si>
  <si>
    <t xml:space="preserve">06.005.005.001 </t>
  </si>
  <si>
    <t>Acessórios Lazer</t>
  </si>
  <si>
    <t xml:space="preserve">06.005.005.002 </t>
  </si>
  <si>
    <t>Luminárias Lazer</t>
  </si>
  <si>
    <t xml:space="preserve">06.005.006 </t>
  </si>
  <si>
    <t xml:space="preserve">06.005.006.001 </t>
  </si>
  <si>
    <t xml:space="preserve">06.006 </t>
  </si>
  <si>
    <t>SISTEMAS E INSTALAÇÕES ELÉTRICAS - PAVIMENTOS TIPO 04 AO 11 (8x)</t>
  </si>
  <si>
    <t xml:space="preserve">06.006.001 </t>
  </si>
  <si>
    <t xml:space="preserve">06.006.001.001 </t>
  </si>
  <si>
    <t>Quadros Elétricos e Disjuntores Tipo</t>
  </si>
  <si>
    <t xml:space="preserve">06.006.002 </t>
  </si>
  <si>
    <t xml:space="preserve">06.006.002.001 </t>
  </si>
  <si>
    <t>Caixas de Passagem Tipo</t>
  </si>
  <si>
    <t xml:space="preserve">06.006.002.002 </t>
  </si>
  <si>
    <t>Eletrodutos Tipo</t>
  </si>
  <si>
    <t xml:space="preserve">06.006.003 </t>
  </si>
  <si>
    <t xml:space="preserve">06.006.003.001 </t>
  </si>
  <si>
    <t>Fios e Cabos Elétricos Tipo</t>
  </si>
  <si>
    <t xml:space="preserve">06.006.004 </t>
  </si>
  <si>
    <t xml:space="preserve">06.006.004.001 </t>
  </si>
  <si>
    <t>Pontos de Tomadas e Interruptores Tipo</t>
  </si>
  <si>
    <t xml:space="preserve">06.006.005 </t>
  </si>
  <si>
    <t xml:space="preserve">06.006.005.001 </t>
  </si>
  <si>
    <t>Acessórios Tipo</t>
  </si>
  <si>
    <t xml:space="preserve">06.006.005.002 </t>
  </si>
  <si>
    <t>Luminárias Tipo</t>
  </si>
  <si>
    <t xml:space="preserve">06.006.006 </t>
  </si>
  <si>
    <t xml:space="preserve">06.006.006.001 </t>
  </si>
  <si>
    <t xml:space="preserve">06.007 </t>
  </si>
  <si>
    <t>SISTEMAS E INSTALAÇÕES ELÉTRICAS - PAVIMENTO 12 - COBERTURA</t>
  </si>
  <si>
    <t xml:space="preserve">06.007.001 </t>
  </si>
  <si>
    <t xml:space="preserve">06.007.001.001 </t>
  </si>
  <si>
    <t>Quadros Elétricos e Disjuntores Cobertura/Ático/Reservatório</t>
  </si>
  <si>
    <t xml:space="preserve">06.007.002 </t>
  </si>
  <si>
    <t xml:space="preserve">06.007.002.001 </t>
  </si>
  <si>
    <t>Condulete Cobertura/Ático/Reservatório</t>
  </si>
  <si>
    <t xml:space="preserve">06.007.002.002 </t>
  </si>
  <si>
    <t>Caixas de Passagem Cobertura/Ático/Reservatório</t>
  </si>
  <si>
    <t xml:space="preserve">06.007.002.003 </t>
  </si>
  <si>
    <t>Eletrodutos Cobertura/Ático/Reservatório</t>
  </si>
  <si>
    <t xml:space="preserve">06.007.003 </t>
  </si>
  <si>
    <t xml:space="preserve">06.007.003.001 </t>
  </si>
  <si>
    <t>Fios e Cabos Elétricos Cobertura/Ático/Reservatório</t>
  </si>
  <si>
    <t xml:space="preserve">06.007.004 </t>
  </si>
  <si>
    <t xml:space="preserve">06.007.004.001 </t>
  </si>
  <si>
    <t>Pontos de Tomadas e Interruptores Cobertura/Ático/Reservatório</t>
  </si>
  <si>
    <t xml:space="preserve">06.007.005 </t>
  </si>
  <si>
    <t xml:space="preserve">06.007.005.001 </t>
  </si>
  <si>
    <t>Luminárias Cobertura/Ático/Reservatório</t>
  </si>
  <si>
    <t xml:space="preserve">06.007.005.002 </t>
  </si>
  <si>
    <t>Acessórios Cobertura/Ático/Reservatório</t>
  </si>
  <si>
    <t xml:space="preserve">06.007.006 </t>
  </si>
  <si>
    <t xml:space="preserve">06.007.006.001 </t>
  </si>
  <si>
    <t xml:space="preserve">07 </t>
  </si>
  <si>
    <t>SISTEMAS E INSTALAÇÕES HIDROSSANITÁRIAS E DRENAGEM</t>
  </si>
  <si>
    <t xml:space="preserve">07.001 </t>
  </si>
  <si>
    <t>SISTEMAS E INSTALAÇÕES HIDROSSANITÁRIAS E DRENAGEM - SUBSOLO 02 - GARAGEM</t>
  </si>
  <si>
    <t xml:space="preserve">07.001.001 </t>
  </si>
  <si>
    <t>Sistemas de Alimentação</t>
  </si>
  <si>
    <t xml:space="preserve">07.001.001.001 </t>
  </si>
  <si>
    <t>Sistemas de Alimentação - Subsolo 02</t>
  </si>
  <si>
    <t xml:space="preserve">07.001.002 </t>
  </si>
  <si>
    <t>Instalações de Água Fria</t>
  </si>
  <si>
    <t xml:space="preserve">07.001.002.001 </t>
  </si>
  <si>
    <t>Instalações de Água Fria - Subsolo 02</t>
  </si>
  <si>
    <t xml:space="preserve">07.001.003 </t>
  </si>
  <si>
    <t>Instalações de Água Fria (Reúso)</t>
  </si>
  <si>
    <t xml:space="preserve">07.001.003.001 </t>
  </si>
  <si>
    <t>Instalações de Água Fria (Reúso) - Subsolo 02</t>
  </si>
  <si>
    <t xml:space="preserve">07.001.004 </t>
  </si>
  <si>
    <t>Instalações de Água Pluvial</t>
  </si>
  <si>
    <t xml:space="preserve">07.001.004.001 </t>
  </si>
  <si>
    <t>Instalações de Água Pluvial - Subsolo 02</t>
  </si>
  <si>
    <t xml:space="preserve">07.001.005 </t>
  </si>
  <si>
    <t>Instalações de Esgoto</t>
  </si>
  <si>
    <t xml:space="preserve">07.001.005.001 </t>
  </si>
  <si>
    <t>Instalações de Esgoto - Subsolo 02</t>
  </si>
  <si>
    <t xml:space="preserve">07.001.006 </t>
  </si>
  <si>
    <t xml:space="preserve">07.001.006.001 </t>
  </si>
  <si>
    <t>Mão de obra para instalações hidrossanitárias</t>
  </si>
  <si>
    <t xml:space="preserve">07.002 </t>
  </si>
  <si>
    <t>SISTEMAS E INSTALAÇÕES HIDROSSANITÁRIAS E DRENAGEM - SUBSOLO 01 - GARAGEM</t>
  </si>
  <si>
    <t xml:space="preserve">07.002.001 </t>
  </si>
  <si>
    <t xml:space="preserve">07.002.001.001 </t>
  </si>
  <si>
    <t>Sistemas de Alimentação - Subsolo 01</t>
  </si>
  <si>
    <t xml:space="preserve">07.002.002 </t>
  </si>
  <si>
    <t xml:space="preserve">07.002.002.001 </t>
  </si>
  <si>
    <t>Instalações de Água Fria - Subsolo 01</t>
  </si>
  <si>
    <t xml:space="preserve">07.002.003 </t>
  </si>
  <si>
    <t xml:space="preserve">07.002.003.001 </t>
  </si>
  <si>
    <t>Instalações de Água Fria (Reúso) - Subsolo 01</t>
  </si>
  <si>
    <t xml:space="preserve">07.002.004 </t>
  </si>
  <si>
    <t xml:space="preserve">07.002.004.001 </t>
  </si>
  <si>
    <t>Instalações de Água Pluvial - Subsolo 01</t>
  </si>
  <si>
    <t xml:space="preserve">07.002.005 </t>
  </si>
  <si>
    <t xml:space="preserve">07.002.005.001 </t>
  </si>
  <si>
    <t>Instalações de Esgoto - Subsolo 01</t>
  </si>
  <si>
    <t xml:space="preserve">07.002.006 </t>
  </si>
  <si>
    <t>Instalações de Esgoto (Ar Condicionado)</t>
  </si>
  <si>
    <t xml:space="preserve">07.002.006.001 </t>
  </si>
  <si>
    <t>Instalações de Esgoto (Ar Condicionado) - Subsolo 01</t>
  </si>
  <si>
    <t xml:space="preserve">07.002.007 </t>
  </si>
  <si>
    <t xml:space="preserve">07.002.007.001 </t>
  </si>
  <si>
    <t xml:space="preserve">07.003 </t>
  </si>
  <si>
    <t>SISTEMAS E INSTALAÇÕES HIDROSSANITÁRIAS E DRENAGEM - TÉRREO - SALA COMERCIAL</t>
  </si>
  <si>
    <t xml:space="preserve">07.003.001 </t>
  </si>
  <si>
    <t xml:space="preserve">07.003.001.001 </t>
  </si>
  <si>
    <t>Sistemas de Alimentação - Térreo</t>
  </si>
  <si>
    <t xml:space="preserve">07.003.002 </t>
  </si>
  <si>
    <t xml:space="preserve">07.003.002.001 </t>
  </si>
  <si>
    <t>Instalações de Água Fria - Térreo</t>
  </si>
  <si>
    <t xml:space="preserve">07.003.003 </t>
  </si>
  <si>
    <t xml:space="preserve">07.003.003.001 </t>
  </si>
  <si>
    <t>Instalações de Água fria (Reúso) - Térreo</t>
  </si>
  <si>
    <t xml:space="preserve">07.003.004 </t>
  </si>
  <si>
    <t xml:space="preserve">07.003.004.001 </t>
  </si>
  <si>
    <t>Instalações de Água Pluvial - Térreo</t>
  </si>
  <si>
    <t xml:space="preserve">07.003.005 </t>
  </si>
  <si>
    <t xml:space="preserve">07.003.005.001 </t>
  </si>
  <si>
    <t>Instalações de Esgoto - Térreo</t>
  </si>
  <si>
    <t xml:space="preserve">07.003.006 </t>
  </si>
  <si>
    <t xml:space="preserve">07.003.006.001 </t>
  </si>
  <si>
    <t>Instalações de Esgoto (Ar Condicionado) - Térreo</t>
  </si>
  <si>
    <t xml:space="preserve">07.003.007 </t>
  </si>
  <si>
    <t>Instalações de Ventilação</t>
  </si>
  <si>
    <t xml:space="preserve">07.003.007.001 </t>
  </si>
  <si>
    <t>Instalações de Ventilação - Térreo</t>
  </si>
  <si>
    <t xml:space="preserve">07.003.008 </t>
  </si>
  <si>
    <t xml:space="preserve">07.003.008.001 </t>
  </si>
  <si>
    <t xml:space="preserve">07.004 </t>
  </si>
  <si>
    <t>SISTEMAS E INSTALAÇÕES HIDROSSANITÁRIAS E DRENAGEM - PAVIMENTO 01 MEZANINO SALA COMERCIAL</t>
  </si>
  <si>
    <t xml:space="preserve">07.004.001 </t>
  </si>
  <si>
    <t xml:space="preserve">07.004.001.001 </t>
  </si>
  <si>
    <t>Sistemas de Alimentação - Mezanino</t>
  </si>
  <si>
    <t xml:space="preserve">07.004.002 </t>
  </si>
  <si>
    <t xml:space="preserve">07.004.002.001 </t>
  </si>
  <si>
    <t>Instalações de Água Fria - Mezanino</t>
  </si>
  <si>
    <t xml:space="preserve">07.004.003 </t>
  </si>
  <si>
    <t xml:space="preserve">07.004.003.001 </t>
  </si>
  <si>
    <t xml:space="preserve">07.004.004 </t>
  </si>
  <si>
    <t xml:space="preserve">07.004.004.001 </t>
  </si>
  <si>
    <t>Instalações de Água Pluvial - Mezanino</t>
  </si>
  <si>
    <t xml:space="preserve">07.004.005 </t>
  </si>
  <si>
    <t xml:space="preserve">07.004.005.001 </t>
  </si>
  <si>
    <t>Instalações de Esgoto - Mezanino</t>
  </si>
  <si>
    <t xml:space="preserve">07.004.006 </t>
  </si>
  <si>
    <t xml:space="preserve">07.004.006.001 </t>
  </si>
  <si>
    <t>Instalações de Esgoto (Ar Condicionado) - Mezanino</t>
  </si>
  <si>
    <t xml:space="preserve">07.004.007 </t>
  </si>
  <si>
    <t xml:space="preserve">07.004.007.001 </t>
  </si>
  <si>
    <t>Instalações de Ventilação - Mezanino</t>
  </si>
  <si>
    <t xml:space="preserve">07.004.008 </t>
  </si>
  <si>
    <t xml:space="preserve">07.004.008.001 </t>
  </si>
  <si>
    <t xml:space="preserve">07.005 </t>
  </si>
  <si>
    <t>SISTEMAS E INSTALAÇÕES HIDROSSANITÁRIAS E DRENAGEM - PAVIMENTO 02 GARAGEM SUPERIOR</t>
  </si>
  <si>
    <t xml:space="preserve">07.005.001 </t>
  </si>
  <si>
    <t xml:space="preserve">07.005.001.001 </t>
  </si>
  <si>
    <t>Sistemas de Alimentação - Garagem Superior</t>
  </si>
  <si>
    <t xml:space="preserve">07.005.002 </t>
  </si>
  <si>
    <t xml:space="preserve">07.005.002.001 </t>
  </si>
  <si>
    <t>Instalações de Água Fria - Garagem Superior</t>
  </si>
  <si>
    <t xml:space="preserve">07.005.003 </t>
  </si>
  <si>
    <t xml:space="preserve">07.005.003.001 </t>
  </si>
  <si>
    <t>Instalações de Água Fria (Reúso) - Garagem Superior</t>
  </si>
  <si>
    <t xml:space="preserve">07.005.004 </t>
  </si>
  <si>
    <t xml:space="preserve">07.005.004.001 </t>
  </si>
  <si>
    <t>Instalações de Água Pluvial - Garagem Superior</t>
  </si>
  <si>
    <t xml:space="preserve">07.005.005 </t>
  </si>
  <si>
    <t xml:space="preserve">07.005.005.001 </t>
  </si>
  <si>
    <t>Instalações de Esgoto - Garagem Superior</t>
  </si>
  <si>
    <t xml:space="preserve">07.005.006 </t>
  </si>
  <si>
    <t xml:space="preserve">07.005.006.001 </t>
  </si>
  <si>
    <t>Instalações de Ventilação - Garagem Superior</t>
  </si>
  <si>
    <t xml:space="preserve">07.005.007 </t>
  </si>
  <si>
    <t xml:space="preserve">07.005.007.001 </t>
  </si>
  <si>
    <t xml:space="preserve">07.006 </t>
  </si>
  <si>
    <t>SISTEMAS E INSTALAÇÕES HIDROSSANITÁRIAS E DRENAGEM - PAVIMENTO 03 LAZER</t>
  </si>
  <si>
    <t xml:space="preserve">07.006.001 </t>
  </si>
  <si>
    <t xml:space="preserve">07.006.001.001 </t>
  </si>
  <si>
    <t>Sistemas de Alimentação - Lazer</t>
  </si>
  <si>
    <t xml:space="preserve">07.006.002 </t>
  </si>
  <si>
    <t xml:space="preserve">07.006.002.001 </t>
  </si>
  <si>
    <t>Instalações de Água Fria - Lazer</t>
  </si>
  <si>
    <t xml:space="preserve">07.006.003 </t>
  </si>
  <si>
    <t xml:space="preserve">07.006.004 </t>
  </si>
  <si>
    <t xml:space="preserve">07.006.004.001 </t>
  </si>
  <si>
    <t>Instalações de Água Pluvial - Lazer</t>
  </si>
  <si>
    <t xml:space="preserve">07.006.005 </t>
  </si>
  <si>
    <t xml:space="preserve">07.006.005.001 </t>
  </si>
  <si>
    <t>Instalações de Esgoto - Lazer</t>
  </si>
  <si>
    <t xml:space="preserve">07.006.006 </t>
  </si>
  <si>
    <t xml:space="preserve">07.006.006.001 </t>
  </si>
  <si>
    <t>Instalações de Esgoto (Ar condicionado) - Lazer</t>
  </si>
  <si>
    <t xml:space="preserve">07.006.007 </t>
  </si>
  <si>
    <t xml:space="preserve">07.006.007.001 </t>
  </si>
  <si>
    <t>Instalações de Ventilação - Lazer</t>
  </si>
  <si>
    <t xml:space="preserve">07.006.008.001 </t>
  </si>
  <si>
    <t xml:space="preserve">07.007 </t>
  </si>
  <si>
    <t>SISTEMAS E INSTALAÇÕES HIDROSSANITÁRIAS E DRENAGEM - PAVIMENTOS TIPO 04 AO 11 (8x)</t>
  </si>
  <si>
    <t xml:space="preserve">07.007.001 </t>
  </si>
  <si>
    <t xml:space="preserve">07.007.001.001 </t>
  </si>
  <si>
    <t>Sistemas de Alimentação - Tipos</t>
  </si>
  <si>
    <t xml:space="preserve">07.007.002 </t>
  </si>
  <si>
    <t xml:space="preserve">07.007.002.001 </t>
  </si>
  <si>
    <t>Instalações de Água Fria - Tipos</t>
  </si>
  <si>
    <t xml:space="preserve">07.007.003 </t>
  </si>
  <si>
    <t xml:space="preserve">07.007.003.001 </t>
  </si>
  <si>
    <t>Instalações de Água Quente - Tipos</t>
  </si>
  <si>
    <t xml:space="preserve">07.007.004 </t>
  </si>
  <si>
    <t xml:space="preserve">07.007.004.001 </t>
  </si>
  <si>
    <t>Instalações de Água Pluvial - Tipos</t>
  </si>
  <si>
    <t xml:space="preserve">07.007.005 </t>
  </si>
  <si>
    <t xml:space="preserve">07.007.005.001 </t>
  </si>
  <si>
    <t>Instalações de Esgoto - Tipos</t>
  </si>
  <si>
    <t xml:space="preserve">07.007.006 </t>
  </si>
  <si>
    <t>Instalações de Esgoto (Ar condicionado)</t>
  </si>
  <si>
    <t xml:space="preserve">07.007.006.001 </t>
  </si>
  <si>
    <t>Instalações de Esgoto (Ar condicionado) - Tipos</t>
  </si>
  <si>
    <t xml:space="preserve">07.007.007 </t>
  </si>
  <si>
    <t xml:space="preserve">07.007.007.001 </t>
  </si>
  <si>
    <t>Instalações de Ventilação - Tipos</t>
  </si>
  <si>
    <t xml:space="preserve">07.007.008 </t>
  </si>
  <si>
    <t xml:space="preserve">07.007.008.001 </t>
  </si>
  <si>
    <t xml:space="preserve">07.008 </t>
  </si>
  <si>
    <t>SISTEMAS E INSTALAÇÕES HIDROSSANITÁRIAS E DRENAGEM - PAVIMENTO 12 - COBERTURA</t>
  </si>
  <si>
    <t xml:space="preserve">07.008.001 </t>
  </si>
  <si>
    <t xml:space="preserve">07.008.001.001 </t>
  </si>
  <si>
    <t>Sistemas de Alimentação - Cobertura</t>
  </si>
  <si>
    <t xml:space="preserve">07.008.002 </t>
  </si>
  <si>
    <t xml:space="preserve">07.008.002.001 </t>
  </si>
  <si>
    <t>Instalações de Água Fria - Cobertura</t>
  </si>
  <si>
    <t xml:space="preserve">07.008.003 </t>
  </si>
  <si>
    <t>Instalações de Água Quente</t>
  </si>
  <si>
    <t xml:space="preserve">07.008.003.001 </t>
  </si>
  <si>
    <t>Instalações de Água Quente - Cobertura</t>
  </si>
  <si>
    <t xml:space="preserve">07.008.004 </t>
  </si>
  <si>
    <t xml:space="preserve">07.008.004.001 </t>
  </si>
  <si>
    <t>Instalações de Água Pluvial - Cobertura</t>
  </si>
  <si>
    <t xml:space="preserve">07.008.005 </t>
  </si>
  <si>
    <t xml:space="preserve">07.008.005.001 </t>
  </si>
  <si>
    <t>Instalações de Esgoto - Cobertura</t>
  </si>
  <si>
    <t xml:space="preserve">07.008.006 </t>
  </si>
  <si>
    <t xml:space="preserve">07.008.006.001 </t>
  </si>
  <si>
    <t>Instalações de Esgoto (Ar condicionado) - Cobertura</t>
  </si>
  <si>
    <t xml:space="preserve">07.008.007 </t>
  </si>
  <si>
    <t xml:space="preserve">07.008.007.001 </t>
  </si>
  <si>
    <t>Instalações de Ventilação - Cobertura</t>
  </si>
  <si>
    <t xml:space="preserve">07.008.008 </t>
  </si>
  <si>
    <t xml:space="preserve">07.008.008.001 </t>
  </si>
  <si>
    <t xml:space="preserve">07.008.009 </t>
  </si>
  <si>
    <t>SISTEMAS E INSTALAÇÕES HIDROSSANITÁRIAS E DRENAGEM - RESERVATÓRIO</t>
  </si>
  <si>
    <t xml:space="preserve">07.008.010 </t>
  </si>
  <si>
    <t xml:space="preserve">07.008.010.001 </t>
  </si>
  <si>
    <t>Sistemas de Alimentação - Caixa d'água</t>
  </si>
  <si>
    <t xml:space="preserve">07.008.011 </t>
  </si>
  <si>
    <t xml:space="preserve">07.008.011.001 </t>
  </si>
  <si>
    <t>Instalações de Água Fria - Caixa d'água</t>
  </si>
  <si>
    <t xml:space="preserve">07.008.012 </t>
  </si>
  <si>
    <t xml:space="preserve">07.008.012.001 </t>
  </si>
  <si>
    <t>Instalações de Água Pluvial - Caixa d'água</t>
  </si>
  <si>
    <t xml:space="preserve">07.008.013 </t>
  </si>
  <si>
    <t xml:space="preserve">07.008.013.001 </t>
  </si>
  <si>
    <t xml:space="preserve">08 </t>
  </si>
  <si>
    <t>INSTALAÇÕES PREVENTIVAS E GLP</t>
  </si>
  <si>
    <t xml:space="preserve">08.001 </t>
  </si>
  <si>
    <t>INSTALAÇÕES PREVENTIVAS E GLP - SUBSOLO 02 - GARAGEM</t>
  </si>
  <si>
    <t xml:space="preserve">08.001.001 </t>
  </si>
  <si>
    <t>Instalações Preventivas</t>
  </si>
  <si>
    <t xml:space="preserve">08.001.001.001 </t>
  </si>
  <si>
    <t>Instalações Preventivas - Subsolo 02</t>
  </si>
  <si>
    <t xml:space="preserve">08.001.002 </t>
  </si>
  <si>
    <t xml:space="preserve">08.001.002.001 </t>
  </si>
  <si>
    <t>Mão de obra para instalações de sistema preventivo de incêndio e  gás</t>
  </si>
  <si>
    <t xml:space="preserve">08.002 </t>
  </si>
  <si>
    <t>INSTALAÇÕES PREVENTIVAS E GLP - SUBSOLO 01 - GARAGEM</t>
  </si>
  <si>
    <t xml:space="preserve">08.002.001 </t>
  </si>
  <si>
    <t xml:space="preserve">08.002.001.001 </t>
  </si>
  <si>
    <t>Instalações Preventivas - Subsolo 01</t>
  </si>
  <si>
    <t xml:space="preserve">08.002.002 </t>
  </si>
  <si>
    <t xml:space="preserve">08.002.002.001 </t>
  </si>
  <si>
    <t xml:space="preserve">08.003 </t>
  </si>
  <si>
    <t>INSTALAÇÕES PREVENTIVAS E GLP - TÉRREO - SALA COMERCIAL</t>
  </si>
  <si>
    <t xml:space="preserve">08.003.001 </t>
  </si>
  <si>
    <t>Instalações de Gás</t>
  </si>
  <si>
    <t xml:space="preserve">08.003.001.001 </t>
  </si>
  <si>
    <t>Instalações de Gás - Térreo</t>
  </si>
  <si>
    <t xml:space="preserve">08.003.002 </t>
  </si>
  <si>
    <t xml:space="preserve">08.003.002.001 </t>
  </si>
  <si>
    <t>Instalações Preventivas - Térreo</t>
  </si>
  <si>
    <t xml:space="preserve">08.003.003 </t>
  </si>
  <si>
    <t xml:space="preserve">08.003.003.001 </t>
  </si>
  <si>
    <t xml:space="preserve">08.004 </t>
  </si>
  <si>
    <t>INSTALAÇÕES PREVENTIVAS E GLP - PAVIMENTO 01 MEZANINO SALA COMERCIAL</t>
  </si>
  <si>
    <t xml:space="preserve">08.004.001 </t>
  </si>
  <si>
    <t xml:space="preserve">08.004.001.001 </t>
  </si>
  <si>
    <t>Instalações de Gás - Mezanino</t>
  </si>
  <si>
    <t xml:space="preserve">08.004.002 </t>
  </si>
  <si>
    <t xml:space="preserve">08.004.002.001 </t>
  </si>
  <si>
    <t>Instalações Preventivas - Mezanino</t>
  </si>
  <si>
    <t xml:space="preserve">08.004.003 </t>
  </si>
  <si>
    <t xml:space="preserve">08.004.003.001 </t>
  </si>
  <si>
    <t xml:space="preserve">08.005 </t>
  </si>
  <si>
    <t>INSTALAÇÕES PREVENTIVAS E GLP - PAVIMENTO 02 GARAGEM SUPERIOR</t>
  </si>
  <si>
    <t xml:space="preserve">08.005.001 </t>
  </si>
  <si>
    <t xml:space="preserve">08.005.001.001 </t>
  </si>
  <si>
    <t>Instalações de Gás - Garagem superior</t>
  </si>
  <si>
    <t xml:space="preserve">08.005.002 </t>
  </si>
  <si>
    <t xml:space="preserve">08.005.002.001 </t>
  </si>
  <si>
    <t>Instalações Preventivas - Garagem superior</t>
  </si>
  <si>
    <t xml:space="preserve">08.005.003 </t>
  </si>
  <si>
    <t xml:space="preserve">08.005.003.001 </t>
  </si>
  <si>
    <t xml:space="preserve">08.006 </t>
  </si>
  <si>
    <t>INSTALAÇÕES PREVENTIVAS E GLP - PAVIMENTO 03 LAZER</t>
  </si>
  <si>
    <t xml:space="preserve">08.006.001 </t>
  </si>
  <si>
    <t xml:space="preserve">08.006.001.001 </t>
  </si>
  <si>
    <t>Instalações de Gás - Lazer</t>
  </si>
  <si>
    <t xml:space="preserve">08.006.002 </t>
  </si>
  <si>
    <t xml:space="preserve">08.006.002.001 </t>
  </si>
  <si>
    <t>Instalações Preventivas - Lazer</t>
  </si>
  <si>
    <t xml:space="preserve">08.006.003 </t>
  </si>
  <si>
    <t xml:space="preserve">08.006.003.001 </t>
  </si>
  <si>
    <t xml:space="preserve">08.007 </t>
  </si>
  <si>
    <t>INSTALAÇÕES PREVENTIVAS E GLP - PAVIMENTOS TIPO 04 AO 11 (8x)</t>
  </si>
  <si>
    <t xml:space="preserve">08.007.001 </t>
  </si>
  <si>
    <t xml:space="preserve">08.007.001.001 </t>
  </si>
  <si>
    <t xml:space="preserve">Instalações de Gás - Tipos </t>
  </si>
  <si>
    <t xml:space="preserve">08.007.002 </t>
  </si>
  <si>
    <t xml:space="preserve">08.007.002.001 </t>
  </si>
  <si>
    <t>Instalações Preventivas - Tipos</t>
  </si>
  <si>
    <t xml:space="preserve">08.007.003 </t>
  </si>
  <si>
    <t xml:space="preserve">08.007.003.001 </t>
  </si>
  <si>
    <t xml:space="preserve">08.008 </t>
  </si>
  <si>
    <t>INSTALAÇÕES PREVENTIVAS E GLP - PAVIMENTO 12 - COBERTURA</t>
  </si>
  <si>
    <t xml:space="preserve">08.008.001 </t>
  </si>
  <si>
    <t xml:space="preserve">08.008.001.001 </t>
  </si>
  <si>
    <t>Instalações de Gás - Cobertura</t>
  </si>
  <si>
    <t xml:space="preserve">08.008.002 </t>
  </si>
  <si>
    <t xml:space="preserve">08.008.002.001 </t>
  </si>
  <si>
    <t>Instalações Preventivas - Cobertura</t>
  </si>
  <si>
    <t xml:space="preserve">08.008.003 </t>
  </si>
  <si>
    <t xml:space="preserve">08.008.003.001 </t>
  </si>
  <si>
    <t xml:space="preserve">08.009 </t>
  </si>
  <si>
    <t>INSTALAÇÕES PREVENTIVAS E GLP - ÁTICO - CASA DE MÁQUINAS</t>
  </si>
  <si>
    <t xml:space="preserve">08.009.001 </t>
  </si>
  <si>
    <t xml:space="preserve">08.009.001.001 </t>
  </si>
  <si>
    <t xml:space="preserve">08.009.002 </t>
  </si>
  <si>
    <t>Instalações Preventivas - Ático</t>
  </si>
  <si>
    <t xml:space="preserve">08.009.003 </t>
  </si>
  <si>
    <t>Instalações de Proteção e Aterramento - SPDA</t>
  </si>
  <si>
    <t xml:space="preserve">08.009.003.001 </t>
  </si>
  <si>
    <t>Instalações de proteção e aterramento - SPDA</t>
  </si>
  <si>
    <t>Mão de obra para instalações de proteção e aterramento - SPDA</t>
  </si>
  <si>
    <t xml:space="preserve">08.010 </t>
  </si>
  <si>
    <t>INSTALAÇÕES PREVENTIVAS E GLP - RESERVATÓRIO</t>
  </si>
  <si>
    <t xml:space="preserve">08.010.001 </t>
  </si>
  <si>
    <t xml:space="preserve">08.010.001.001 </t>
  </si>
  <si>
    <t>Instalações Preventivas - Reservatório</t>
  </si>
  <si>
    <t xml:space="preserve">08.010.002 </t>
  </si>
  <si>
    <t xml:space="preserve">08.010.002.001 </t>
  </si>
  <si>
    <t xml:space="preserve">09 </t>
  </si>
  <si>
    <t>EQUIPAMENTOS E SISTEMAS ESPECIAIS</t>
  </si>
  <si>
    <t xml:space="preserve">09.001 </t>
  </si>
  <si>
    <t xml:space="preserve">09.001.001 </t>
  </si>
  <si>
    <t>Automação e Sistemas Lógicos e telecomunicação</t>
  </si>
  <si>
    <t xml:space="preserve">09.001.001.001 </t>
  </si>
  <si>
    <t>Telecomunicação</t>
  </si>
  <si>
    <t xml:space="preserve">09.001.002 </t>
  </si>
  <si>
    <t>Equipamentos</t>
  </si>
  <si>
    <t xml:space="preserve">09.001.002.001 </t>
  </si>
  <si>
    <t>Elevador social</t>
  </si>
  <si>
    <t xml:space="preserve">09.001.003 </t>
  </si>
  <si>
    <t>Sistemas especiais</t>
  </si>
  <si>
    <t xml:space="preserve">09.001.003.001 </t>
  </si>
  <si>
    <t>Sistema de desumidificação para piscina</t>
  </si>
  <si>
    <t xml:space="preserve">09.001.003.002 </t>
  </si>
  <si>
    <t>Equipamentos para piscina (bombas, sistema de tratamento)</t>
  </si>
  <si>
    <t xml:space="preserve">09.001.003.003 </t>
  </si>
  <si>
    <t>Sistema gerador</t>
  </si>
  <si>
    <t xml:space="preserve">09.001.004 </t>
  </si>
  <si>
    <t>Churrasqueiras</t>
  </si>
  <si>
    <t xml:space="preserve">09.001.004.001 </t>
  </si>
  <si>
    <t xml:space="preserve">09.001.004.002 </t>
  </si>
  <si>
    <t>Exaustão das churrasqueiras</t>
  </si>
  <si>
    <t xml:space="preserve">09.001.005 </t>
  </si>
  <si>
    <t>Climatização e Exaustão</t>
  </si>
  <si>
    <t xml:space="preserve">09.001.005.001 </t>
  </si>
  <si>
    <t>Ventokit</t>
  </si>
  <si>
    <t xml:space="preserve">09.001.005.002 </t>
  </si>
  <si>
    <t>Infraestrutura para instalação de ar condicionado</t>
  </si>
  <si>
    <t xml:space="preserve">10 </t>
  </si>
  <si>
    <t>IMPERMEABILIZAÇÃO E TRATAMENTOS</t>
  </si>
  <si>
    <t xml:space="preserve">10.001 </t>
  </si>
  <si>
    <t>IMPERMEABILIZAÇÃO E TRATAMENTOS - SUBSOLO 02 - GARAGEM</t>
  </si>
  <si>
    <t xml:space="preserve">10.001.001 </t>
  </si>
  <si>
    <t>Impermeabilização Flexível com Manta</t>
  </si>
  <si>
    <t xml:space="preserve">10.001.001.001 </t>
  </si>
  <si>
    <t>Impermeabilização com manta asfáltica espessura 4mm, uma camada, aplicação com primer asfáltico</t>
  </si>
  <si>
    <t xml:space="preserve">10.001.002 </t>
  </si>
  <si>
    <t>Regularização e Proteção Mecânica</t>
  </si>
  <si>
    <t xml:space="preserve">10.001.002.001 </t>
  </si>
  <si>
    <t>Regularização de superfície para impermeabilização</t>
  </si>
  <si>
    <t xml:space="preserve">10.001.002.002 </t>
  </si>
  <si>
    <t>Proteção mecânica com argamassa de cimento e areia, traço 1:3, espessura 5 cm, com camada separadora de polietileno</t>
  </si>
  <si>
    <t xml:space="preserve">10.001.003 </t>
  </si>
  <si>
    <t xml:space="preserve">10.001.003.001 </t>
  </si>
  <si>
    <t>Mão de obra para regularização de superfície</t>
  </si>
  <si>
    <t xml:space="preserve">10.001.003.002 </t>
  </si>
  <si>
    <t>Mão de obra para impermeabilização com manta asfáltica</t>
  </si>
  <si>
    <t xml:space="preserve">10.001.003.003 </t>
  </si>
  <si>
    <t>Mão de obra para execução de proteção mecânica em superfície impermeabilizada</t>
  </si>
  <si>
    <t>IMPERMEABILIZAÇÃO E TRATAMENTOS - TÉRREO - SALA COMERCIAL</t>
  </si>
  <si>
    <t>Impermeabilização Flexível com Membrana</t>
  </si>
  <si>
    <t>Impermeabilização com manta líquida em peitoris</t>
  </si>
  <si>
    <t>Mão de obra para impermeabilização com manta líquida em peitoris</t>
  </si>
  <si>
    <t>IMPERMEABILIZAÇÃO E TRATAMENTOS - PAVIMENTO 01 MEZANINO SALA COMERCIAL</t>
  </si>
  <si>
    <t>IMPERMEABILIZAÇÃO E TRATAMENTOS - PAVIMENTO 02 GARAGEM SUPERIOR</t>
  </si>
  <si>
    <t>Impermeabilização Rígida</t>
  </si>
  <si>
    <t xml:space="preserve">Impermeabilização com argamassa polimérica, 4 demãos com véu de poliéster </t>
  </si>
  <si>
    <t>Mão de obra para impermeabilização com argamassa polimérica</t>
  </si>
  <si>
    <t>IMPERMEABILIZAÇÃO E TRATAMENTOS - PAVIMENTO 03 LAZER</t>
  </si>
  <si>
    <t>IMPERMEABILIZAÇÃO E TRATAMENTOS - PAVIMENTOS TIPO 04 AO 11 (8x)</t>
  </si>
  <si>
    <t>IMPERMEABILIZAÇÃO E TRATAMENTOS - PAVIMENTO 12 - COBERTURA</t>
  </si>
  <si>
    <t>IMPERMEABILIZAÇÃO E TRATAMENTOS - RESERVATÓRIO</t>
  </si>
  <si>
    <t xml:space="preserve">11 </t>
  </si>
  <si>
    <t>REVESTIMENTOS INTERNOS EM PISO E PAREDE</t>
  </si>
  <si>
    <t xml:space="preserve">11.001 </t>
  </si>
  <si>
    <t>REVESTIMENTOS INTERNOS EM PISO E PAREDE - SUBSOLO 02 - GARAGEM</t>
  </si>
  <si>
    <t xml:space="preserve">11.001.001 </t>
  </si>
  <si>
    <t>Revestimento Interno Argamassado em Piso</t>
  </si>
  <si>
    <t xml:space="preserve">11.001.001.001 </t>
  </si>
  <si>
    <t>Contrapiso comum, aderido, espessura 5cm, com argamassa cimento e areia (1:4)</t>
  </si>
  <si>
    <t xml:space="preserve">Piso de concreto polido, sobre o solo, espessura 10cm </t>
  </si>
  <si>
    <t>Piso de cimento polido</t>
  </si>
  <si>
    <t xml:space="preserve">11.001.002 </t>
  </si>
  <si>
    <t>Revestimento Interno Argamassado em Parede</t>
  </si>
  <si>
    <t xml:space="preserve">11.001.002.001 </t>
  </si>
  <si>
    <t>Estucamento de estrutura de concreto em pilares e em vigas</t>
  </si>
  <si>
    <t xml:space="preserve">11.001.002.002 </t>
  </si>
  <si>
    <t>Chapisco interno de argamassa pré - fabricadade cimento colante, aplicada em estrutura, com desempenadeira dentada</t>
  </si>
  <si>
    <t xml:space="preserve">11.001.002.003 </t>
  </si>
  <si>
    <t>Chapisco interno argamassa cimento e areia (1:3), aplicado em alvenarias internas, com colher de pedreiro</t>
  </si>
  <si>
    <t xml:space="preserve">11.001.002.004 </t>
  </si>
  <si>
    <t>Massa única para paredes internas em argamassa cimento e areia (1:5), aplicação manual, espessura de 2cm</t>
  </si>
  <si>
    <t xml:space="preserve">11.001.003 </t>
  </si>
  <si>
    <t xml:space="preserve">11.001.003.001 </t>
  </si>
  <si>
    <t>Mão de obra para execução de contrapiso</t>
  </si>
  <si>
    <t xml:space="preserve">11.001.003.002 </t>
  </si>
  <si>
    <t xml:space="preserve">Mão de obra para execução de piso de concreto </t>
  </si>
  <si>
    <t xml:space="preserve">11.001.003.003 </t>
  </si>
  <si>
    <t>Mão de obra para polimento de piso de concreto</t>
  </si>
  <si>
    <t xml:space="preserve">11.001.003.004 </t>
  </si>
  <si>
    <t>Mão de obra para execução de friso em piso de concreto</t>
  </si>
  <si>
    <t xml:space="preserve">11.001.003.005 </t>
  </si>
  <si>
    <t>Mão de obra para execução de piso cimentado</t>
  </si>
  <si>
    <t>Mão de obra para execução de chapisco e reboco interno em paredes</t>
  </si>
  <si>
    <t>Mão de obra estucamento de estrutura de concreto</t>
  </si>
  <si>
    <t xml:space="preserve">11.002 </t>
  </si>
  <si>
    <t>REVESTIMENTOS INTERNOS EM PISO E PAREDE - SUBSOLO 01- GARAGEM</t>
  </si>
  <si>
    <t xml:space="preserve">11.002.001 </t>
  </si>
  <si>
    <t xml:space="preserve">11.002.001.001 </t>
  </si>
  <si>
    <t xml:space="preserve">Piso de concreto polido, acabamento camurçado, espessura 3cm </t>
  </si>
  <si>
    <t xml:space="preserve">11.002.002 </t>
  </si>
  <si>
    <t xml:space="preserve">11.002.002.001 </t>
  </si>
  <si>
    <t xml:space="preserve">11.002.002.002 </t>
  </si>
  <si>
    <t xml:space="preserve">11.002.002.003 </t>
  </si>
  <si>
    <t xml:space="preserve">11.002.002.004 </t>
  </si>
  <si>
    <t xml:space="preserve">11.002.003 </t>
  </si>
  <si>
    <t xml:space="preserve">11.002.003.001 </t>
  </si>
  <si>
    <t xml:space="preserve">11.002.003.002 </t>
  </si>
  <si>
    <t xml:space="preserve">11.002.003.003 </t>
  </si>
  <si>
    <t xml:space="preserve">11.002.003.004 </t>
  </si>
  <si>
    <t xml:space="preserve">11.002.003.005 </t>
  </si>
  <si>
    <t xml:space="preserve">11.003 </t>
  </si>
  <si>
    <t>REVESTIMENTOS INTERNOS EM PISO E PAREDE - TÉRREO - SALA COMERCIAL</t>
  </si>
  <si>
    <t xml:space="preserve">11.003.001 </t>
  </si>
  <si>
    <t xml:space="preserve">11.003.001.001 </t>
  </si>
  <si>
    <t xml:space="preserve">11.003.002 </t>
  </si>
  <si>
    <t xml:space="preserve">11.003.002.001 </t>
  </si>
  <si>
    <t xml:space="preserve">11.003.002.002 </t>
  </si>
  <si>
    <t xml:space="preserve">11.003.002.003 </t>
  </si>
  <si>
    <t xml:space="preserve">11.003.003 </t>
  </si>
  <si>
    <t xml:space="preserve">11.003.003.001 </t>
  </si>
  <si>
    <t xml:space="preserve">11.003.003.002 </t>
  </si>
  <si>
    <t xml:space="preserve">11.004 </t>
  </si>
  <si>
    <t>REVESTIMENTOS INTERNOS EM PISO E PAREDE - PAVIMENTO 01 MEZANINO SALA COMERCIAL</t>
  </si>
  <si>
    <t xml:space="preserve">11.004.001 </t>
  </si>
  <si>
    <t xml:space="preserve">11.004.001.001 </t>
  </si>
  <si>
    <t xml:space="preserve">11.004.002 </t>
  </si>
  <si>
    <t xml:space="preserve">11.004.002.001 </t>
  </si>
  <si>
    <t xml:space="preserve">11.004.002.002 </t>
  </si>
  <si>
    <t xml:space="preserve">11.004.002.003 </t>
  </si>
  <si>
    <t xml:space="preserve">11.004.003 </t>
  </si>
  <si>
    <t xml:space="preserve">11.004.003.001 </t>
  </si>
  <si>
    <t xml:space="preserve">11.004.003.002 </t>
  </si>
  <si>
    <t xml:space="preserve">11.005 </t>
  </si>
  <si>
    <t>REVESTIMENTOS INTERNOS EM PISO E PAREDE - PAVIMENTO 02 GARAGEM SUPERIOR</t>
  </si>
  <si>
    <t xml:space="preserve">11.005.001 </t>
  </si>
  <si>
    <t xml:space="preserve">11.005.001.001 </t>
  </si>
  <si>
    <t xml:space="preserve">11.005.002 </t>
  </si>
  <si>
    <t xml:space="preserve">11.005.002.001 </t>
  </si>
  <si>
    <t xml:space="preserve">11.005.002.002 </t>
  </si>
  <si>
    <t xml:space="preserve">11.005.002.003 </t>
  </si>
  <si>
    <t xml:space="preserve">11.005.002.004 </t>
  </si>
  <si>
    <t xml:space="preserve">11.005.003 </t>
  </si>
  <si>
    <t xml:space="preserve">11.005.003.001 </t>
  </si>
  <si>
    <t xml:space="preserve">11.005.003.002 </t>
  </si>
  <si>
    <t xml:space="preserve">11.005.003.003 </t>
  </si>
  <si>
    <t xml:space="preserve">11.005.003.004 </t>
  </si>
  <si>
    <t xml:space="preserve">11.006 </t>
  </si>
  <si>
    <t>REVESTIMENTOS INTERNOS EM PISO E PAREDE - PAVIMENTO 03 LAZER</t>
  </si>
  <si>
    <t xml:space="preserve">11.006.001 </t>
  </si>
  <si>
    <t xml:space="preserve">11.006.001.001 </t>
  </si>
  <si>
    <t xml:space="preserve">11.006.001.002 </t>
  </si>
  <si>
    <t xml:space="preserve">11.006.002 </t>
  </si>
  <si>
    <t xml:space="preserve">11.006.002.001 </t>
  </si>
  <si>
    <t xml:space="preserve">11.006.002.002 </t>
  </si>
  <si>
    <t xml:space="preserve">11.006.002.003 </t>
  </si>
  <si>
    <t xml:space="preserve">11.006.003 </t>
  </si>
  <si>
    <t xml:space="preserve">11.006.003.001 </t>
  </si>
  <si>
    <t xml:space="preserve">11.006.003.002 </t>
  </si>
  <si>
    <t xml:space="preserve">11.006.003.003 </t>
  </si>
  <si>
    <t xml:space="preserve">11.007 </t>
  </si>
  <si>
    <t>REVESTIMENTOS INTERNOS EM PISO E PAREDE - PAVIMENTOS TIPO 04 AO 11 (8x)</t>
  </si>
  <si>
    <t xml:space="preserve">11.007.001 </t>
  </si>
  <si>
    <t xml:space="preserve">11.007.001.001 </t>
  </si>
  <si>
    <t xml:space="preserve">11.007.001.002 </t>
  </si>
  <si>
    <t xml:space="preserve">11.007.002 </t>
  </si>
  <si>
    <t xml:space="preserve">11.007.002.001 </t>
  </si>
  <si>
    <t xml:space="preserve">11.007.002.002 </t>
  </si>
  <si>
    <t xml:space="preserve">11.007.002.003 </t>
  </si>
  <si>
    <t xml:space="preserve">11.007.003 </t>
  </si>
  <si>
    <t xml:space="preserve">11.007.003.001 </t>
  </si>
  <si>
    <t xml:space="preserve">11.007.003.002 </t>
  </si>
  <si>
    <t xml:space="preserve">11.007.003.003 </t>
  </si>
  <si>
    <t xml:space="preserve">11.008 </t>
  </si>
  <si>
    <t>REVESTIMENTOS INTERNOS EM PISO E PAREDE - PAVIMENTO 12 - COBERTURA</t>
  </si>
  <si>
    <t xml:space="preserve">11.008.001 </t>
  </si>
  <si>
    <t xml:space="preserve">11.008.001.001 </t>
  </si>
  <si>
    <t xml:space="preserve">11.008.001.002 </t>
  </si>
  <si>
    <t xml:space="preserve">11.008.002 </t>
  </si>
  <si>
    <t xml:space="preserve">11.008.002.001 </t>
  </si>
  <si>
    <t xml:space="preserve">11.008.002.002 </t>
  </si>
  <si>
    <t xml:space="preserve">11.008.002.003 </t>
  </si>
  <si>
    <t xml:space="preserve">11.008.003 </t>
  </si>
  <si>
    <t xml:space="preserve">11.008.003.001 </t>
  </si>
  <si>
    <t xml:space="preserve">11.008.003.002 </t>
  </si>
  <si>
    <t xml:space="preserve">11.008.003.003 </t>
  </si>
  <si>
    <t xml:space="preserve">11.009 </t>
  </si>
  <si>
    <t>REVESTIMENTOS INTERNOS EM PISO E PAREDE - ÁTICO - CASA DE MÁQUINAS</t>
  </si>
  <si>
    <t xml:space="preserve">11.009.001 </t>
  </si>
  <si>
    <t xml:space="preserve">11.009.001.001 </t>
  </si>
  <si>
    <t xml:space="preserve">11.009.002 </t>
  </si>
  <si>
    <t xml:space="preserve">11.009.002.001 </t>
  </si>
  <si>
    <t xml:space="preserve">11.009.002.002 </t>
  </si>
  <si>
    <t xml:space="preserve">11.009.002.003 </t>
  </si>
  <si>
    <t xml:space="preserve">11.009.003 </t>
  </si>
  <si>
    <t xml:space="preserve">11.009.003.001 </t>
  </si>
  <si>
    <t xml:space="preserve">11.009.003.002 </t>
  </si>
  <si>
    <t xml:space="preserve">11.010 </t>
  </si>
  <si>
    <t>REVESTIMENTOS INTERNOS EM PISO E PAREDE - RESERVATÓRIO</t>
  </si>
  <si>
    <t xml:space="preserve">11.010.001 </t>
  </si>
  <si>
    <t xml:space="preserve">11.010.001.001 </t>
  </si>
  <si>
    <t xml:space="preserve">11.010.002 </t>
  </si>
  <si>
    <t xml:space="preserve">11.010.002.001 </t>
  </si>
  <si>
    <t xml:space="preserve">11.010.002.002 </t>
  </si>
  <si>
    <t xml:space="preserve">11.010.002.003 </t>
  </si>
  <si>
    <t xml:space="preserve">11.010.003 </t>
  </si>
  <si>
    <t xml:space="preserve">11.010.003.001 </t>
  </si>
  <si>
    <t xml:space="preserve">11.010.003.002 </t>
  </si>
  <si>
    <t xml:space="preserve">12 </t>
  </si>
  <si>
    <t>REVESTIMENTOS E ACABAMENTOS INTERNOS EM TETO</t>
  </si>
  <si>
    <t xml:space="preserve">12.001 </t>
  </si>
  <si>
    <t>REVESTIMENTOS E ACABAMENTOS INTERNOS EM TETO - TÉRREO - SALA COMERCIAL</t>
  </si>
  <si>
    <t xml:space="preserve">12.001.001 </t>
  </si>
  <si>
    <t>Revestimento Interno Argamassado em Teto</t>
  </si>
  <si>
    <t xml:space="preserve">12.001.001.001 </t>
  </si>
  <si>
    <t xml:space="preserve">Chapisco de argamassa pré - fabricada adesiva de cimento colante, aplicado em teto, com desempenadeira dentada </t>
  </si>
  <si>
    <t xml:space="preserve">12.001.001.002 </t>
  </si>
  <si>
    <t>Massa única para teto em argamassa estabilizada, aplicação manual, espessura de 2cm, com execução de taliscas</t>
  </si>
  <si>
    <t xml:space="preserve">12.001.002 </t>
  </si>
  <si>
    <t>Acabamento em Gesso</t>
  </si>
  <si>
    <t xml:space="preserve">12.001.002.001 </t>
  </si>
  <si>
    <t>Forro de gesso acartonado, aplicação em áreas secas - material e mão de obra</t>
  </si>
  <si>
    <t xml:space="preserve">12.001.002.002 </t>
  </si>
  <si>
    <t>Gesso Negativo - material e mão de obra</t>
  </si>
  <si>
    <t xml:space="preserve">12.001.003 </t>
  </si>
  <si>
    <t xml:space="preserve">12.001.003.001 </t>
  </si>
  <si>
    <t>Mão de obra para execução de chapisco e reboco interno em teto</t>
  </si>
  <si>
    <t xml:space="preserve">12.002 </t>
  </si>
  <si>
    <t>REVESTIMENTOS E ACABAMENTOS INTERNOS EM TETO - PAVIMENTO 01 MEZANINO SALA COMERCIAL</t>
  </si>
  <si>
    <t xml:space="preserve">12.002.001 </t>
  </si>
  <si>
    <t xml:space="preserve">12.002.001.001 </t>
  </si>
  <si>
    <t xml:space="preserve">12.002.001.002 </t>
  </si>
  <si>
    <t xml:space="preserve">12.002.002 </t>
  </si>
  <si>
    <t xml:space="preserve">12.002.002.001 </t>
  </si>
  <si>
    <t xml:space="preserve">12.002.002.002 </t>
  </si>
  <si>
    <t xml:space="preserve">12.002.003 </t>
  </si>
  <si>
    <t xml:space="preserve">12.002.003.001 </t>
  </si>
  <si>
    <t xml:space="preserve">12.003 </t>
  </si>
  <si>
    <t>REVESTIMENTOS E ACABAMENTOS INTERNOS EM TETO - PAVIMENTO 03 LAZER</t>
  </si>
  <si>
    <t xml:space="preserve">12.003.001 </t>
  </si>
  <si>
    <t xml:space="preserve">12.003.001.001 </t>
  </si>
  <si>
    <t xml:space="preserve">12.003.001.002 </t>
  </si>
  <si>
    <t xml:space="preserve">12.003.002 </t>
  </si>
  <si>
    <t xml:space="preserve">12.003.002.001 </t>
  </si>
  <si>
    <t xml:space="preserve">12.003.002.002 </t>
  </si>
  <si>
    <t>Forro de gesso acartonado, aplicação em áreas molhadas - material e mão de obra</t>
  </si>
  <si>
    <t xml:space="preserve">12.003.002.003 </t>
  </si>
  <si>
    <t xml:space="preserve">12.003.003 </t>
  </si>
  <si>
    <t xml:space="preserve">12.003.003.001 </t>
  </si>
  <si>
    <t xml:space="preserve">12.004 </t>
  </si>
  <si>
    <t>REVESTIMENTOS E ACABAMENTOS INTERNOS EM TETO - PAVIMENTOS TIPO 04 AO 11 (8x)</t>
  </si>
  <si>
    <t xml:space="preserve">12.004.001 </t>
  </si>
  <si>
    <t xml:space="preserve">12.004.001.001 </t>
  </si>
  <si>
    <t xml:space="preserve">12.004.001.002 </t>
  </si>
  <si>
    <t xml:space="preserve">12.004.002 </t>
  </si>
  <si>
    <t xml:space="preserve">12.004.002.001 </t>
  </si>
  <si>
    <t xml:space="preserve">12.004.002.002 </t>
  </si>
  <si>
    <t xml:space="preserve">12.004.002.003 </t>
  </si>
  <si>
    <t xml:space="preserve">12.004.003 </t>
  </si>
  <si>
    <t xml:space="preserve">12.004.003.001 </t>
  </si>
  <si>
    <t xml:space="preserve">12.005 </t>
  </si>
  <si>
    <t>REVESTIMENTOS E ACABAMENTOS INTERNOS EM TETO - PAVIMENTO 12 - COBERTURA</t>
  </si>
  <si>
    <t xml:space="preserve">12.005.001 </t>
  </si>
  <si>
    <t xml:space="preserve">12.005.001.001 </t>
  </si>
  <si>
    <t xml:space="preserve">12.005.001.002 </t>
  </si>
  <si>
    <t xml:space="preserve">12.005.002 </t>
  </si>
  <si>
    <t xml:space="preserve">12.005.002.001 </t>
  </si>
  <si>
    <t xml:space="preserve">12.005.002.002 </t>
  </si>
  <si>
    <t xml:space="preserve">12.005.002.003 </t>
  </si>
  <si>
    <t xml:space="preserve">12.005.003 </t>
  </si>
  <si>
    <t xml:space="preserve">12.005.003.001 </t>
  </si>
  <si>
    <t xml:space="preserve">12.006 </t>
  </si>
  <si>
    <t>REVESTIMENTOS E ACABAMENTOS INTERNOS EM TETO - ÁTICO - CASA DE MÁQUINAS</t>
  </si>
  <si>
    <t xml:space="preserve">12.006.001 </t>
  </si>
  <si>
    <t xml:space="preserve">12.006.001.001 </t>
  </si>
  <si>
    <t xml:space="preserve">12.006.001.002 </t>
  </si>
  <si>
    <t xml:space="preserve">12.006.002 </t>
  </si>
  <si>
    <t xml:space="preserve">12.006.002.001 </t>
  </si>
  <si>
    <t xml:space="preserve">13 </t>
  </si>
  <si>
    <t>ACABAMENTOS EM PISO E PAREDE</t>
  </si>
  <si>
    <t xml:space="preserve">13.001 </t>
  </si>
  <si>
    <t>ACABAMENTOS EM PISO E PAREDE - SUBSOLO 01- GARAGEM</t>
  </si>
  <si>
    <t>Revestimento interno de piso cerâmico, placa 30x30, aplicação em áreas comuns</t>
  </si>
  <si>
    <t xml:space="preserve">13.001.001 </t>
  </si>
  <si>
    <t>Mão de obra para colocação e rejuntamento de piso cerâmico*</t>
  </si>
  <si>
    <t xml:space="preserve">13.002 </t>
  </si>
  <si>
    <t>ACABAMENTOS EM PISO E PAREDE - TÉRREO - SALA COMERCIAL</t>
  </si>
  <si>
    <t xml:space="preserve">13.002.001 </t>
  </si>
  <si>
    <t>Acabamentos em Piso</t>
  </si>
  <si>
    <t xml:space="preserve">13.002.001.001 </t>
  </si>
  <si>
    <t>Revestimento interno de piso porcelanato, polido, placa 90x90, aplicação em áreas sociais do condomínio</t>
  </si>
  <si>
    <t xml:space="preserve">13.002.001.002 </t>
  </si>
  <si>
    <t xml:space="preserve">13.002.001.003 </t>
  </si>
  <si>
    <t>Revestimento externo de piso porcelanato, polido, placa 90x90, aplicação em áreas sociais do condomínio</t>
  </si>
  <si>
    <t xml:space="preserve">13.002.001.004 </t>
  </si>
  <si>
    <t>Revestimento interno de piso porcelanato, polido, placa 60x60, aplicação em áreas sociais do condomínio</t>
  </si>
  <si>
    <t xml:space="preserve">13.002.001.005 </t>
  </si>
  <si>
    <t xml:space="preserve">Revestimento externo de piso porcelanato, polido, placa 60x60, aplicação em áreas sociais do condomínio </t>
  </si>
  <si>
    <t xml:space="preserve">13.002.001.006 </t>
  </si>
  <si>
    <t>Piso Intertravado, com Bloco Retangular de 20x10cm - Paver, Espessura 6cm</t>
  </si>
  <si>
    <t xml:space="preserve">13.002.002 </t>
  </si>
  <si>
    <t>Rodapés</t>
  </si>
  <si>
    <t xml:space="preserve">13.002.002.001 </t>
  </si>
  <si>
    <t>Rodapé de PVC h=10 cm</t>
  </si>
  <si>
    <t xml:space="preserve">13.002.002.002 </t>
  </si>
  <si>
    <t>Rodapé em revestimento cerâmico h = 10cm, com placa 30x30</t>
  </si>
  <si>
    <t xml:space="preserve">13.002.002.003 </t>
  </si>
  <si>
    <t>Rodapé em revestimento porcelanato externo, h = 10cm, com placa 90x90</t>
  </si>
  <si>
    <t xml:space="preserve">13.002.002.004 </t>
  </si>
  <si>
    <t>Rodapé em revestimento porcelanato externo, h = 10cm, com placa 60x60</t>
  </si>
  <si>
    <t xml:space="preserve">13.002.003 </t>
  </si>
  <si>
    <t>Soleiras</t>
  </si>
  <si>
    <t xml:space="preserve">13.002.003.001 </t>
  </si>
  <si>
    <t>Pingadeira em granito polido, largura 15cm</t>
  </si>
  <si>
    <t xml:space="preserve">13.002.003.002 </t>
  </si>
  <si>
    <t>Soleira de granito, acabamento polido, esp. 2cm</t>
  </si>
  <si>
    <t xml:space="preserve">13.002.004 </t>
  </si>
  <si>
    <t>Peitoris</t>
  </si>
  <si>
    <t xml:space="preserve">13.002.004.001 </t>
  </si>
  <si>
    <t>Peitoril em granito, acabamento polido, esp. 2cm</t>
  </si>
  <si>
    <t xml:space="preserve">13.002.005 </t>
  </si>
  <si>
    <t xml:space="preserve">13.002.005.001 </t>
  </si>
  <si>
    <t>Mão de obra para colocação e rejuntamento porcelanato em parede*</t>
  </si>
  <si>
    <t>Mão de obra para colocação e rejuntamento de piso porcelanato acima de 60x60cm*</t>
  </si>
  <si>
    <t>Mão de obra para colocação e rejuntamento de piso porcelanato até 60x60cm</t>
  </si>
  <si>
    <t>Mão de obra para colocação e rejuntamento de soleira em granito*</t>
  </si>
  <si>
    <t>Mão de obra para colocação e rejuntamento de rodapé em porcelanato*</t>
  </si>
  <si>
    <t>Mão de obra para colocação de rodapé em poliestireno*</t>
  </si>
  <si>
    <t>Mão de obra para colocação e rejuntamento de peitoril em granito*</t>
  </si>
  <si>
    <t>Mão de obra para colocação de piso tipo intertravado</t>
  </si>
  <si>
    <t xml:space="preserve">13.003 </t>
  </si>
  <si>
    <t>ACABAMENTOS EM PISO E PAREDE - PAVIMENTO 01 MEZANINO SALA COMERCIAL</t>
  </si>
  <si>
    <t xml:space="preserve">13.003.001 </t>
  </si>
  <si>
    <t xml:space="preserve">13.003.001.001 </t>
  </si>
  <si>
    <t xml:space="preserve">13.003.002 </t>
  </si>
  <si>
    <t xml:space="preserve">13.003.002.001 </t>
  </si>
  <si>
    <t xml:space="preserve">13.003.003 </t>
  </si>
  <si>
    <t xml:space="preserve">13.003.003.001 </t>
  </si>
  <si>
    <t xml:space="preserve">13.003.004 </t>
  </si>
  <si>
    <t xml:space="preserve">13.003.004.001 </t>
  </si>
  <si>
    <t xml:space="preserve">13.003.005 </t>
  </si>
  <si>
    <t xml:space="preserve">13.003.005.001 </t>
  </si>
  <si>
    <t xml:space="preserve">13.003.005.002 </t>
  </si>
  <si>
    <t xml:space="preserve">13.003.005.003 </t>
  </si>
  <si>
    <t xml:space="preserve">13.003.005.004 </t>
  </si>
  <si>
    <t xml:space="preserve">13.004 </t>
  </si>
  <si>
    <t xml:space="preserve">13.004.001 </t>
  </si>
  <si>
    <t xml:space="preserve">13.004.001.001 </t>
  </si>
  <si>
    <t xml:space="preserve">13.004.002 </t>
  </si>
  <si>
    <t xml:space="preserve">13.004.002.001 </t>
  </si>
  <si>
    <t xml:space="preserve">13.005 </t>
  </si>
  <si>
    <t>ACABAMENTOS EM PISO E PAREDE - PAVIMENTO 03 LAZER</t>
  </si>
  <si>
    <t xml:space="preserve">13.005.001 </t>
  </si>
  <si>
    <t xml:space="preserve">13.005.001.001 </t>
  </si>
  <si>
    <t xml:space="preserve">13.005.001.002 </t>
  </si>
  <si>
    <t xml:space="preserve">13.005.001.003 </t>
  </si>
  <si>
    <t>Pastilha cerâmica, aplicação em piscina</t>
  </si>
  <si>
    <t xml:space="preserve">13.005.001.004 </t>
  </si>
  <si>
    <t xml:space="preserve">13.005.001.005 </t>
  </si>
  <si>
    <t xml:space="preserve">Revestimento externo de piso porcelanato, polido, placa 20x120, aplicação em áreas sociais do condomínio </t>
  </si>
  <si>
    <t xml:space="preserve">13.005.001.006 </t>
  </si>
  <si>
    <t>Revestimento interno de piso vinílico, aplicação em áreas sociais do condomínio</t>
  </si>
  <si>
    <t xml:space="preserve">13.005.001.007 </t>
  </si>
  <si>
    <t>Instalação de piso emborrachado monolítico, espessura 0,50cm</t>
  </si>
  <si>
    <t xml:space="preserve">13.005.002 </t>
  </si>
  <si>
    <t xml:space="preserve">13.005.002.001 </t>
  </si>
  <si>
    <t xml:space="preserve">13.005.002.002 </t>
  </si>
  <si>
    <t>Rodapé em revestimento porcelanato externo, h = 10, com placa 20x120</t>
  </si>
  <si>
    <t xml:space="preserve">13.005.003 </t>
  </si>
  <si>
    <t xml:space="preserve">13.005.003.001 </t>
  </si>
  <si>
    <t xml:space="preserve">13.005.003.002 </t>
  </si>
  <si>
    <t xml:space="preserve">13.005.004 </t>
  </si>
  <si>
    <t>Acabamentos em Parede</t>
  </si>
  <si>
    <t xml:space="preserve">13.005.004.001 </t>
  </si>
  <si>
    <t>Revestimento de parede em porcelanato, placa 30x90cm, aplicação em cozinha, lavanderias e sanitários</t>
  </si>
  <si>
    <t xml:space="preserve">13.005.004.002 </t>
  </si>
  <si>
    <t>Revestimento porcelanato em parede, placa 60x120, aplicação em áreas sociais do condomínio</t>
  </si>
  <si>
    <t xml:space="preserve">13.005.004.003 </t>
  </si>
  <si>
    <t>Revestimento de parede em porcelanato, placa 30x60cm, aplicação em cozinha, lavanderias e sanitários</t>
  </si>
  <si>
    <t xml:space="preserve">13.005.004.004 </t>
  </si>
  <si>
    <t>Revestimento de parede em porcelanato, placa 32x100cm, aplicação em sanitários</t>
  </si>
  <si>
    <t xml:space="preserve">13.005.004.005 </t>
  </si>
  <si>
    <t>Revestimento de parede em porcelanato ripado, placa 30x90cm, aplicação em áreas sociais do condomínio</t>
  </si>
  <si>
    <t xml:space="preserve">13.005.004.006 </t>
  </si>
  <si>
    <t>Revestimento de parede em porcelanato ripado, placa 20x20cm, aplicação em áreas sociais do condomínio</t>
  </si>
  <si>
    <t xml:space="preserve">13.005.004.007 </t>
  </si>
  <si>
    <t>Revestimento de parede em porcelanato ripado, placa 10x20cm, aplicação em áreas sociais do condomínio</t>
  </si>
  <si>
    <t xml:space="preserve">13.005.004.008 </t>
  </si>
  <si>
    <t xml:space="preserve">Revestimento de parede em granito preto </t>
  </si>
  <si>
    <t xml:space="preserve">13.005.004.009 </t>
  </si>
  <si>
    <t xml:space="preserve">13.005.005 </t>
  </si>
  <si>
    <t xml:space="preserve">13.005.005.001 </t>
  </si>
  <si>
    <t xml:space="preserve">13.005.006 </t>
  </si>
  <si>
    <t xml:space="preserve">13.005.006.001 </t>
  </si>
  <si>
    <t xml:space="preserve">13.005.006.002 </t>
  </si>
  <si>
    <t xml:space="preserve">13.005.006.003 </t>
  </si>
  <si>
    <t>Mão de obra para execução piso vinílico, tipo régua</t>
  </si>
  <si>
    <t xml:space="preserve">13.005.006.004 </t>
  </si>
  <si>
    <t xml:space="preserve">13.005.006.005 </t>
  </si>
  <si>
    <t xml:space="preserve">13.005.006.006 </t>
  </si>
  <si>
    <t xml:space="preserve">13.005.006.007 </t>
  </si>
  <si>
    <t xml:space="preserve">13.005.006.008 </t>
  </si>
  <si>
    <t xml:space="preserve">13.006 </t>
  </si>
  <si>
    <t>ACABAMENTOS EM PISO E PAREDE - PAVIMENTOS TIPO 04 AO 11 (8x)</t>
  </si>
  <si>
    <t xml:space="preserve">13.006.001 </t>
  </si>
  <si>
    <t xml:space="preserve">13.006.001.001 </t>
  </si>
  <si>
    <t xml:space="preserve">13.006.001.002 </t>
  </si>
  <si>
    <t xml:space="preserve">13.006.001.003 </t>
  </si>
  <si>
    <t>Revestimento interno de piso porcelanato, polido, placa 80x80, aplicação em áreas íntimas do apartamento</t>
  </si>
  <si>
    <t xml:space="preserve">13.006.002 </t>
  </si>
  <si>
    <t xml:space="preserve">13.006.002.001 </t>
  </si>
  <si>
    <t xml:space="preserve">13.006.002.002 </t>
  </si>
  <si>
    <t xml:space="preserve">13.006.003 </t>
  </si>
  <si>
    <t xml:space="preserve">13.006.003.001 </t>
  </si>
  <si>
    <t xml:space="preserve">13.006.004 </t>
  </si>
  <si>
    <t xml:space="preserve">13.006.004.001 </t>
  </si>
  <si>
    <t xml:space="preserve">13.006.005 </t>
  </si>
  <si>
    <t xml:space="preserve">13.006.005.001 </t>
  </si>
  <si>
    <t xml:space="preserve">13.006.006 </t>
  </si>
  <si>
    <t xml:space="preserve">13.006.006.001 </t>
  </si>
  <si>
    <t xml:space="preserve">13.006.006.002 </t>
  </si>
  <si>
    <t xml:space="preserve">13.006.006.003 </t>
  </si>
  <si>
    <t xml:space="preserve">13.006.006.004 </t>
  </si>
  <si>
    <t xml:space="preserve">13.006.006.005 </t>
  </si>
  <si>
    <t xml:space="preserve">13.006.006.006 </t>
  </si>
  <si>
    <t xml:space="preserve">13.006.006.007 </t>
  </si>
  <si>
    <t xml:space="preserve">13.007 </t>
  </si>
  <si>
    <t>ACABAMENTOS EM PISO E PAREDE - PAVIMENTO 12 - COBERTURA</t>
  </si>
  <si>
    <t xml:space="preserve">13.007.001 </t>
  </si>
  <si>
    <t xml:space="preserve">13.007.001.001 </t>
  </si>
  <si>
    <t xml:space="preserve">13.007.001.002 </t>
  </si>
  <si>
    <t>Revestimento externo de piso porcelanato, polido, placa 80x80, aplicação em áreas do apartamento</t>
  </si>
  <si>
    <t xml:space="preserve">13.007.001.003 </t>
  </si>
  <si>
    <t xml:space="preserve">13.007.002 </t>
  </si>
  <si>
    <t xml:space="preserve">13.007.002.001 </t>
  </si>
  <si>
    <t xml:space="preserve">13.007.002.002 </t>
  </si>
  <si>
    <t>Rodapé em porcelanato h=10cm, com placa 10x80cm</t>
  </si>
  <si>
    <t xml:space="preserve">13.007.003 </t>
  </si>
  <si>
    <t xml:space="preserve">13.007.003.001 </t>
  </si>
  <si>
    <t xml:space="preserve">13.007.003.002 </t>
  </si>
  <si>
    <t xml:space="preserve">13.007.004 </t>
  </si>
  <si>
    <t xml:space="preserve">13.007.004.001 </t>
  </si>
  <si>
    <t xml:space="preserve">13.007.004.002 </t>
  </si>
  <si>
    <t xml:space="preserve">13.007.005 </t>
  </si>
  <si>
    <t xml:space="preserve">13.007.005.001 </t>
  </si>
  <si>
    <t xml:space="preserve">13.007.006 </t>
  </si>
  <si>
    <t xml:space="preserve">13.007.006.001 </t>
  </si>
  <si>
    <t xml:space="preserve">13.007.006.002 </t>
  </si>
  <si>
    <t xml:space="preserve">13.007.006.003 </t>
  </si>
  <si>
    <t xml:space="preserve">13.007.006.004 </t>
  </si>
  <si>
    <t xml:space="preserve">13.007.006.005 </t>
  </si>
  <si>
    <t xml:space="preserve">13.007.006.006 </t>
  </si>
  <si>
    <t xml:space="preserve">14 </t>
  </si>
  <si>
    <t>SISTEMAS DE PINTURA INTERNA</t>
  </si>
  <si>
    <t xml:space="preserve">14.001 </t>
  </si>
  <si>
    <t>SISTEMAS DE PINTURA INTERNA - SUBSOLO 02 - GARAGEM</t>
  </si>
  <si>
    <t xml:space="preserve">14.001.001 </t>
  </si>
  <si>
    <t>Sistema de Pintura Interna em Piso</t>
  </si>
  <si>
    <t xml:space="preserve">14.001.001.001 </t>
  </si>
  <si>
    <t xml:space="preserve">Pintura epóxi em piso, aplicação manual, 3 demãos </t>
  </si>
  <si>
    <t xml:space="preserve">14.001.001.002 </t>
  </si>
  <si>
    <t>Pintura com de resina acrílica em piso, 2 demãos</t>
  </si>
  <si>
    <t xml:space="preserve">14.001.001.003 </t>
  </si>
  <si>
    <t>Pintura para faixas de demarcação, aplicação manual, 2 demãos</t>
  </si>
  <si>
    <t xml:space="preserve">14.001.002 </t>
  </si>
  <si>
    <t>Sistema de Pintura Interna em Parede</t>
  </si>
  <si>
    <t xml:space="preserve">14.001.002.001 </t>
  </si>
  <si>
    <t>Selador acrílico, aplicação em paredes internas, 1 demão</t>
  </si>
  <si>
    <t xml:space="preserve">14.001.002.002 </t>
  </si>
  <si>
    <t>Textura acrílica, aplicação em parede interna, 1 demão</t>
  </si>
  <si>
    <t xml:space="preserve">14.001.002.003 </t>
  </si>
  <si>
    <t>Pintura com tinta látex acrílica em fosso do elevador, 1 demão</t>
  </si>
  <si>
    <t xml:space="preserve">14.001.003 </t>
  </si>
  <si>
    <t>Sistema de Pintura Interna em Teto</t>
  </si>
  <si>
    <t xml:space="preserve">14.001.003.001 </t>
  </si>
  <si>
    <t xml:space="preserve">Fundo selador, aplicado em teto, 1 demão </t>
  </si>
  <si>
    <t xml:space="preserve">14.001.003.002 </t>
  </si>
  <si>
    <t>Textura acrílica, aplicação em teto, 1 demão</t>
  </si>
  <si>
    <t xml:space="preserve">14.001.004 </t>
  </si>
  <si>
    <t xml:space="preserve">14.001.004.001 </t>
  </si>
  <si>
    <t xml:space="preserve">Mão de obra para aplicação de pintura epóxi em piso, 3 demãos </t>
  </si>
  <si>
    <t xml:space="preserve">14.001.004.002 </t>
  </si>
  <si>
    <t>Mão de obra para pintura de piso com resina acrílica</t>
  </si>
  <si>
    <t xml:space="preserve">14.001.004.003 </t>
  </si>
  <si>
    <t>Mão de obra para faixas de demarcação em piso</t>
  </si>
  <si>
    <t xml:space="preserve">14.001.004.004 </t>
  </si>
  <si>
    <t>Mão de obra para aplicação de selador em paredes internas, 1 demão</t>
  </si>
  <si>
    <t xml:space="preserve">14.001.004.005 </t>
  </si>
  <si>
    <t>Mão de obra para aplicação de textura acrílica em paredes internas, 1 demão</t>
  </si>
  <si>
    <t xml:space="preserve">14.001.004.006 </t>
  </si>
  <si>
    <t>Mão de obra regularização e pintura do fosso do elevador</t>
  </si>
  <si>
    <t xml:space="preserve">14.001.004.007 </t>
  </si>
  <si>
    <t>Mão de obra para aplicação de selador em teto, 1 demão</t>
  </si>
  <si>
    <t xml:space="preserve">14.001.004.008 </t>
  </si>
  <si>
    <t>Mão de obra para aplicação de textura acrílica em teto, 1 demão</t>
  </si>
  <si>
    <t xml:space="preserve">14.002 </t>
  </si>
  <si>
    <t>SISTEMAS DE PINTURA INTERNA - SUBSOLO 01- GARAGEM</t>
  </si>
  <si>
    <t xml:space="preserve">14.002.001 </t>
  </si>
  <si>
    <t xml:space="preserve">14.002.001.001 </t>
  </si>
  <si>
    <t xml:space="preserve">14.002.001.002 </t>
  </si>
  <si>
    <t xml:space="preserve">14.002.001.003 </t>
  </si>
  <si>
    <t xml:space="preserve">14.002.002 </t>
  </si>
  <si>
    <t xml:space="preserve">14.002.002.001 </t>
  </si>
  <si>
    <t xml:space="preserve">14.002.002.002 </t>
  </si>
  <si>
    <t xml:space="preserve">14.002.002.003 </t>
  </si>
  <si>
    <t xml:space="preserve">14.002.003 </t>
  </si>
  <si>
    <t xml:space="preserve">14.002.003.001 </t>
  </si>
  <si>
    <t xml:space="preserve">14.002.003.002 </t>
  </si>
  <si>
    <t xml:space="preserve">14.002.004 </t>
  </si>
  <si>
    <t xml:space="preserve">14.002.004.001 </t>
  </si>
  <si>
    <t xml:space="preserve">14.002.004.002 </t>
  </si>
  <si>
    <t xml:space="preserve">14.002.004.003 </t>
  </si>
  <si>
    <t xml:space="preserve">14.002.004.004 </t>
  </si>
  <si>
    <t xml:space="preserve">14.002.004.005 </t>
  </si>
  <si>
    <t xml:space="preserve">14.002.004.006 </t>
  </si>
  <si>
    <t xml:space="preserve">14.002.004.007 </t>
  </si>
  <si>
    <t xml:space="preserve">14.002.004.008 </t>
  </si>
  <si>
    <t xml:space="preserve">14.003 </t>
  </si>
  <si>
    <t>SISTEMAS DE PINTURA INTERNA - TÉRREO - SALA COMERCIAL</t>
  </si>
  <si>
    <t xml:space="preserve">14.003.001 </t>
  </si>
  <si>
    <t xml:space="preserve">14.003.001.001 </t>
  </si>
  <si>
    <t xml:space="preserve">14.003.001.002 </t>
  </si>
  <si>
    <t xml:space="preserve">14.003.001.003 </t>
  </si>
  <si>
    <t xml:space="preserve">14.003.002 </t>
  </si>
  <si>
    <t xml:space="preserve">14.003.002.001 </t>
  </si>
  <si>
    <t xml:space="preserve">14.003.002.002 </t>
  </si>
  <si>
    <t xml:space="preserve">Aplicação e lixamento de massa acrílica em paredes, 2 demãos </t>
  </si>
  <si>
    <t xml:space="preserve">14.003.002.003 </t>
  </si>
  <si>
    <t xml:space="preserve">Pintura com tinta látex acrílica em paredes internas, acabamento fosco, 3 demãos </t>
  </si>
  <si>
    <t xml:space="preserve">14.003.002.004 </t>
  </si>
  <si>
    <t xml:space="preserve">14.003.002.005 </t>
  </si>
  <si>
    <t xml:space="preserve">14.003.003 </t>
  </si>
  <si>
    <t xml:space="preserve">14.003.003.001 </t>
  </si>
  <si>
    <t xml:space="preserve">14.003.003.002 </t>
  </si>
  <si>
    <t xml:space="preserve">Aplicação e lixamento de massa acrílica em teto, 2 demãos </t>
  </si>
  <si>
    <t xml:space="preserve">14.003.003.003 </t>
  </si>
  <si>
    <t>Pintura com tinta látex acrílica em teto, acabamento fosco, 3 demãos</t>
  </si>
  <si>
    <t xml:space="preserve">14.003.003.004 </t>
  </si>
  <si>
    <t xml:space="preserve">14.003.004 </t>
  </si>
  <si>
    <t xml:space="preserve">14.003.004.001 </t>
  </si>
  <si>
    <t xml:space="preserve">14.003.004.002 </t>
  </si>
  <si>
    <t xml:space="preserve">14.003.004.003 </t>
  </si>
  <si>
    <t xml:space="preserve">14.003.004.004 </t>
  </si>
  <si>
    <t xml:space="preserve">14.003.004.005 </t>
  </si>
  <si>
    <t>Mão de obra para aplicação e lixamento de massa em paredes</t>
  </si>
  <si>
    <t xml:space="preserve">14.003.004.006 </t>
  </si>
  <si>
    <t xml:space="preserve">Mão de obra para pintura acrílica em parede interna 3 demãos </t>
  </si>
  <si>
    <t xml:space="preserve">14.003.004.007 </t>
  </si>
  <si>
    <t xml:space="preserve">14.003.004.008 </t>
  </si>
  <si>
    <t xml:space="preserve">14.003.004.009 </t>
  </si>
  <si>
    <t xml:space="preserve">14.003.004.010 </t>
  </si>
  <si>
    <t>Mão de obra para aplicação e lixamento de massa em teto</t>
  </si>
  <si>
    <t xml:space="preserve">14.003.004.011 </t>
  </si>
  <si>
    <t xml:space="preserve">14.003.004.012 </t>
  </si>
  <si>
    <t xml:space="preserve">14.004 </t>
  </si>
  <si>
    <t>SISTEMAS DE PINTURA INTERNA - PAVIMENTO 01 MEZANINO SALA COMERCIAL</t>
  </si>
  <si>
    <t xml:space="preserve">14.004.001 </t>
  </si>
  <si>
    <t xml:space="preserve">14.004.001.001 </t>
  </si>
  <si>
    <t xml:space="preserve">14.004.002 </t>
  </si>
  <si>
    <t xml:space="preserve">14.004.002.001 </t>
  </si>
  <si>
    <t xml:space="preserve">14.004.002.002 </t>
  </si>
  <si>
    <t xml:space="preserve">14.004.002.003 </t>
  </si>
  <si>
    <t xml:space="preserve">14.004.002.004 </t>
  </si>
  <si>
    <t xml:space="preserve">14.004.002.005 </t>
  </si>
  <si>
    <t xml:space="preserve">14.004.003 </t>
  </si>
  <si>
    <t xml:space="preserve">14.004.003.001 </t>
  </si>
  <si>
    <t xml:space="preserve">14.004.003.002 </t>
  </si>
  <si>
    <t xml:space="preserve">14.004.003.003 </t>
  </si>
  <si>
    <t xml:space="preserve">14.004.003.004 </t>
  </si>
  <si>
    <t xml:space="preserve">14.004.004 </t>
  </si>
  <si>
    <t xml:space="preserve">14.004.004.001 </t>
  </si>
  <si>
    <t xml:space="preserve">14.004.004.002 </t>
  </si>
  <si>
    <t xml:space="preserve">14.004.004.003 </t>
  </si>
  <si>
    <t xml:space="preserve">14.004.004.004 </t>
  </si>
  <si>
    <t xml:space="preserve">14.004.004.005 </t>
  </si>
  <si>
    <t xml:space="preserve">14.004.004.006 </t>
  </si>
  <si>
    <t xml:space="preserve">14.004.004.007 </t>
  </si>
  <si>
    <t xml:space="preserve">14.004.004.008 </t>
  </si>
  <si>
    <t xml:space="preserve">14.004.004.009 </t>
  </si>
  <si>
    <t xml:space="preserve">14.004.004.010 </t>
  </si>
  <si>
    <t xml:space="preserve">14.005 </t>
  </si>
  <si>
    <t>SISTEMAS DE PINTURA INTERNA - PAVIMENTO 02 GARAGEM SUPERIOR</t>
  </si>
  <si>
    <t xml:space="preserve">14.005.001 </t>
  </si>
  <si>
    <t xml:space="preserve">14.005.001.001 </t>
  </si>
  <si>
    <t xml:space="preserve">14.005.001.002 </t>
  </si>
  <si>
    <t xml:space="preserve">14.005.001.003 </t>
  </si>
  <si>
    <t xml:space="preserve">14.005.002 </t>
  </si>
  <si>
    <t xml:space="preserve">14.005.002.001 </t>
  </si>
  <si>
    <t xml:space="preserve">14.005.002.002 </t>
  </si>
  <si>
    <t xml:space="preserve">14.005.002.003 </t>
  </si>
  <si>
    <t xml:space="preserve">14.005.002.004 </t>
  </si>
  <si>
    <t xml:space="preserve">14.005.002.005 </t>
  </si>
  <si>
    <t xml:space="preserve">14.005.003 </t>
  </si>
  <si>
    <t xml:space="preserve">14.005.003.001 </t>
  </si>
  <si>
    <t xml:space="preserve">14.005.003.002 </t>
  </si>
  <si>
    <t xml:space="preserve">14.005.004 </t>
  </si>
  <si>
    <t xml:space="preserve">14.005.004.001 </t>
  </si>
  <si>
    <t xml:space="preserve">14.005.004.002 </t>
  </si>
  <si>
    <t xml:space="preserve">14.005.004.003 </t>
  </si>
  <si>
    <t xml:space="preserve">14.005.004.004 </t>
  </si>
  <si>
    <t xml:space="preserve">14.005.004.005 </t>
  </si>
  <si>
    <t xml:space="preserve">14.005.004.006 </t>
  </si>
  <si>
    <t xml:space="preserve">14.005.004.007 </t>
  </si>
  <si>
    <t xml:space="preserve">14.005.004.008 </t>
  </si>
  <si>
    <t xml:space="preserve">14.005.004.009 </t>
  </si>
  <si>
    <t xml:space="preserve">14.005.004.010 </t>
  </si>
  <si>
    <t xml:space="preserve">14.006 </t>
  </si>
  <si>
    <t>SISTEMAS DE PINTURA INTERNA - PAVIMENTO 03 LAZER</t>
  </si>
  <si>
    <t xml:space="preserve">14.006.001 </t>
  </si>
  <si>
    <t xml:space="preserve">14.006.001.001 </t>
  </si>
  <si>
    <t xml:space="preserve">14.006.002 </t>
  </si>
  <si>
    <t xml:space="preserve">14.006.002.001 </t>
  </si>
  <si>
    <t xml:space="preserve">14.006.002.002 </t>
  </si>
  <si>
    <t xml:space="preserve">14.006.002.003 </t>
  </si>
  <si>
    <t xml:space="preserve">14.006.002.004 </t>
  </si>
  <si>
    <t xml:space="preserve">14.006.002.005 </t>
  </si>
  <si>
    <t>Pintura com tinta epóxi, base água, aplicação áreas úmidas, 2 demãos*</t>
  </si>
  <si>
    <t xml:space="preserve">14.006.002.006 </t>
  </si>
  <si>
    <t xml:space="preserve">14.006.003 </t>
  </si>
  <si>
    <t xml:space="preserve">14.006.003.001 </t>
  </si>
  <si>
    <t xml:space="preserve">14.006.003.002 </t>
  </si>
  <si>
    <t xml:space="preserve">14.006.003.003 </t>
  </si>
  <si>
    <t xml:space="preserve">14.006.003.004 </t>
  </si>
  <si>
    <t xml:space="preserve">14.006.004 </t>
  </si>
  <si>
    <t xml:space="preserve">14.006.004.001 </t>
  </si>
  <si>
    <t xml:space="preserve">14.006.004.002 </t>
  </si>
  <si>
    <t xml:space="preserve">14.006.004.003 </t>
  </si>
  <si>
    <t xml:space="preserve">14.006.004.004 </t>
  </si>
  <si>
    <t xml:space="preserve">14.006.004.005 </t>
  </si>
  <si>
    <t xml:space="preserve">14.006.004.006 </t>
  </si>
  <si>
    <t xml:space="preserve">14.006.004.007 </t>
  </si>
  <si>
    <t xml:space="preserve">14.006.004.008 </t>
  </si>
  <si>
    <t xml:space="preserve">14.006.004.009 </t>
  </si>
  <si>
    <t xml:space="preserve">14.006.004.010 </t>
  </si>
  <si>
    <t xml:space="preserve">14.007 </t>
  </si>
  <si>
    <t>SISTEMAS DE PINTURA INTERNA - PAVIMENTOS TIPO 04 AO 11 (8x)</t>
  </si>
  <si>
    <t xml:space="preserve">14.007.001 </t>
  </si>
  <si>
    <t xml:space="preserve">14.007.001.001 </t>
  </si>
  <si>
    <t xml:space="preserve">14.007.002 </t>
  </si>
  <si>
    <t xml:space="preserve">14.007.002.001 </t>
  </si>
  <si>
    <t xml:space="preserve">14.007.002.002 </t>
  </si>
  <si>
    <t xml:space="preserve">14.007.002.003 </t>
  </si>
  <si>
    <t xml:space="preserve">14.007.002.004 </t>
  </si>
  <si>
    <t xml:space="preserve">14.007.002.005 </t>
  </si>
  <si>
    <t xml:space="preserve">14.007.003 </t>
  </si>
  <si>
    <t xml:space="preserve">14.007.003.001 </t>
  </si>
  <si>
    <t xml:space="preserve">14.007.003.002 </t>
  </si>
  <si>
    <t xml:space="preserve">14.007.003.003 </t>
  </si>
  <si>
    <t xml:space="preserve">14.007.003.004 </t>
  </si>
  <si>
    <t xml:space="preserve">14.007.004 </t>
  </si>
  <si>
    <t xml:space="preserve">14.007.004.001 </t>
  </si>
  <si>
    <t xml:space="preserve">14.007.004.002 </t>
  </si>
  <si>
    <t xml:space="preserve">14.007.004.003 </t>
  </si>
  <si>
    <t xml:space="preserve">14.007.004.004 </t>
  </si>
  <si>
    <t xml:space="preserve">14.007.004.005 </t>
  </si>
  <si>
    <t xml:space="preserve">14.007.004.006 </t>
  </si>
  <si>
    <t xml:space="preserve">14.007.004.007 </t>
  </si>
  <si>
    <t xml:space="preserve">14.007.004.008 </t>
  </si>
  <si>
    <t xml:space="preserve">14.007.004.009 </t>
  </si>
  <si>
    <t>Mão de obra para pintura acrílica em teto, 3 demãos</t>
  </si>
  <si>
    <t xml:space="preserve">14.007.004.010 </t>
  </si>
  <si>
    <t xml:space="preserve">14.008 </t>
  </si>
  <si>
    <t>SISTEMAS DE PINTURA INTERNA - PAVIMENTO 12 - COBERTURA</t>
  </si>
  <si>
    <t xml:space="preserve">14.008.001 </t>
  </si>
  <si>
    <t xml:space="preserve">14.008.001.001 </t>
  </si>
  <si>
    <t xml:space="preserve">14.008.002 </t>
  </si>
  <si>
    <t xml:space="preserve">14.008.002.001 </t>
  </si>
  <si>
    <t xml:space="preserve">14.008.002.002 </t>
  </si>
  <si>
    <t xml:space="preserve">14.008.002.003 </t>
  </si>
  <si>
    <t xml:space="preserve">14.008.002.004 </t>
  </si>
  <si>
    <t xml:space="preserve">14.008.002.005 </t>
  </si>
  <si>
    <t xml:space="preserve">14.008.003 </t>
  </si>
  <si>
    <t xml:space="preserve">14.008.003.001 </t>
  </si>
  <si>
    <t xml:space="preserve">14.008.003.002 </t>
  </si>
  <si>
    <t xml:space="preserve">14.008.003.003 </t>
  </si>
  <si>
    <t xml:space="preserve">14.008.003.004 </t>
  </si>
  <si>
    <t xml:space="preserve">14.008.004 </t>
  </si>
  <si>
    <t xml:space="preserve">14.008.004.001 </t>
  </si>
  <si>
    <t xml:space="preserve">14.008.004.002 </t>
  </si>
  <si>
    <t xml:space="preserve">14.008.004.003 </t>
  </si>
  <si>
    <t xml:space="preserve">14.008.004.004 </t>
  </si>
  <si>
    <t xml:space="preserve">14.008.004.005 </t>
  </si>
  <si>
    <t xml:space="preserve">14.008.004.006 </t>
  </si>
  <si>
    <t xml:space="preserve">14.008.004.007 </t>
  </si>
  <si>
    <t xml:space="preserve">14.008.004.008 </t>
  </si>
  <si>
    <t xml:space="preserve">14.008.004.009 </t>
  </si>
  <si>
    <t xml:space="preserve">14.008.004.010 </t>
  </si>
  <si>
    <t xml:space="preserve">14.009 </t>
  </si>
  <si>
    <t>SISTEMAS DE PINTURA INTERNA - ÁTICO - CASA DE MÁQUINAS</t>
  </si>
  <si>
    <t xml:space="preserve">14.009.001 </t>
  </si>
  <si>
    <t xml:space="preserve">14.009.001.001 </t>
  </si>
  <si>
    <t xml:space="preserve">14.009.001.002 </t>
  </si>
  <si>
    <t xml:space="preserve">14.009.001.003 </t>
  </si>
  <si>
    <t xml:space="preserve">14.009.002 </t>
  </si>
  <si>
    <t xml:space="preserve">14.009.002.001 </t>
  </si>
  <si>
    <t xml:space="preserve">14.009.002.002 </t>
  </si>
  <si>
    <t xml:space="preserve">14.009.003 </t>
  </si>
  <si>
    <t xml:space="preserve">14.009.003.001 </t>
  </si>
  <si>
    <t xml:space="preserve">14.009.003.002 </t>
  </si>
  <si>
    <t xml:space="preserve">14.009.003.003 </t>
  </si>
  <si>
    <t xml:space="preserve">14.009.003.004 </t>
  </si>
  <si>
    <t xml:space="preserve">14.009.003.005 </t>
  </si>
  <si>
    <t xml:space="preserve">14.010 </t>
  </si>
  <si>
    <t>SISTEMAS DE PINTURA INTERNA - RESERVATÓRIO</t>
  </si>
  <si>
    <t xml:space="preserve">14.010.001 </t>
  </si>
  <si>
    <t xml:space="preserve">14.010.001.001 </t>
  </si>
  <si>
    <t xml:space="preserve">14.010.001.002 </t>
  </si>
  <si>
    <t xml:space="preserve">14.010.002 </t>
  </si>
  <si>
    <t xml:space="preserve">14.010.002.001 </t>
  </si>
  <si>
    <t xml:space="preserve">14.010.002.002 </t>
  </si>
  <si>
    <t xml:space="preserve">15 </t>
  </si>
  <si>
    <t>ESQUADRIAS, VIDROS E FERRAGENS</t>
  </si>
  <si>
    <t xml:space="preserve">15.001 </t>
  </si>
  <si>
    <t>ESQUADRIAS, VIDROS E FERRAGENS - SUBSOLO 02 - GARAGEM</t>
  </si>
  <si>
    <t xml:space="preserve">15.001.001 </t>
  </si>
  <si>
    <t>Contramarco</t>
  </si>
  <si>
    <t xml:space="preserve">15.001.001.001 </t>
  </si>
  <si>
    <t>Contramarco de alumínio</t>
  </si>
  <si>
    <t xml:space="preserve">15.001.001.002 </t>
  </si>
  <si>
    <t>Fixação de contramarco com argamassa</t>
  </si>
  <si>
    <t xml:space="preserve">15.001.002 </t>
  </si>
  <si>
    <t>Esquadrias de Alumínio</t>
  </si>
  <si>
    <t xml:space="preserve">15.001.002.001 </t>
  </si>
  <si>
    <t>Esquadrias de alumínio - subsolo 02</t>
  </si>
  <si>
    <t xml:space="preserve">15.001.003 </t>
  </si>
  <si>
    <t>Esquadrias de Madeira</t>
  </si>
  <si>
    <t xml:space="preserve">15.001.003.001 </t>
  </si>
  <si>
    <t>Porta corta-fogo 90x210cm em madeira maciça - Fornecimento e Instalação</t>
  </si>
  <si>
    <t xml:space="preserve">15.001.004 </t>
  </si>
  <si>
    <t>Corrimão</t>
  </si>
  <si>
    <t xml:space="preserve">15.001.004.001 </t>
  </si>
  <si>
    <t>Corrimão metálico para escadas</t>
  </si>
  <si>
    <t xml:space="preserve">15.001.005 </t>
  </si>
  <si>
    <t xml:space="preserve">15.001.005.001 </t>
  </si>
  <si>
    <t>Mão de obra para fixação de contramarco</t>
  </si>
  <si>
    <t xml:space="preserve">15.001.005.002 </t>
  </si>
  <si>
    <t>Mão de obra para instalação de portas de madeira</t>
  </si>
  <si>
    <t xml:space="preserve">15.002 </t>
  </si>
  <si>
    <t>ESQUADRIAS, VIDROS E FERRAGENS - SUBSOLO 01 - GARAGEM</t>
  </si>
  <si>
    <t xml:space="preserve">15.002.001 </t>
  </si>
  <si>
    <t xml:space="preserve">15.002.001.001 </t>
  </si>
  <si>
    <t xml:space="preserve">15.002.001.002 </t>
  </si>
  <si>
    <t xml:space="preserve">15.002.002 </t>
  </si>
  <si>
    <t xml:space="preserve">15.002.002.001 </t>
  </si>
  <si>
    <t>Esquadrias de alumínio - subsolo 01</t>
  </si>
  <si>
    <t xml:space="preserve">15.002.003 </t>
  </si>
  <si>
    <t xml:space="preserve">15.002.003.001 </t>
  </si>
  <si>
    <t xml:space="preserve">15.002.004 </t>
  </si>
  <si>
    <t xml:space="preserve">15.002.004.001 </t>
  </si>
  <si>
    <t xml:space="preserve">15.002.005 </t>
  </si>
  <si>
    <t xml:space="preserve">15.002.005.001 </t>
  </si>
  <si>
    <t xml:space="preserve">15.002.005.002 </t>
  </si>
  <si>
    <t xml:space="preserve">15.003 </t>
  </si>
  <si>
    <t>ESQUADRIAS, VIDROS E FERRAGENS - TÉRREO - SALA COMERCIAL</t>
  </si>
  <si>
    <t xml:space="preserve">15.003.001 </t>
  </si>
  <si>
    <t xml:space="preserve">15.003.001.001 </t>
  </si>
  <si>
    <t xml:space="preserve">15.003.001.002 </t>
  </si>
  <si>
    <t>Contramarco para porta corta fogo</t>
  </si>
  <si>
    <t xml:space="preserve">15.003.001.003 </t>
  </si>
  <si>
    <t xml:space="preserve">15.003.002 </t>
  </si>
  <si>
    <t xml:space="preserve">15.003.002.001 </t>
  </si>
  <si>
    <t>Esquadrias de alumínio - térreo</t>
  </si>
  <si>
    <t xml:space="preserve">15.003.003 </t>
  </si>
  <si>
    <t xml:space="preserve">15.003.003.001 </t>
  </si>
  <si>
    <t>Porta de madeira, folha leve/média de abrir 90x210cm, fixação com espuma expansiva</t>
  </si>
  <si>
    <t xml:space="preserve">15.003.004 </t>
  </si>
  <si>
    <t>Esquadrias Metálicas e Serralheria</t>
  </si>
  <si>
    <t xml:space="preserve">15.003.004.001 </t>
  </si>
  <si>
    <t>Porta corta fogo em aço galvanizado, 90x210 - fornecimento e instalação, incluindo pintura, dobradiças e maçaneta</t>
  </si>
  <si>
    <t xml:space="preserve">15.003.005 </t>
  </si>
  <si>
    <t xml:space="preserve">15.003.005.001 </t>
  </si>
  <si>
    <t xml:space="preserve">15.003.006 </t>
  </si>
  <si>
    <t xml:space="preserve">15.003.006.001 </t>
  </si>
  <si>
    <t xml:space="preserve">15.004 </t>
  </si>
  <si>
    <t>ESQUADRIAS, VIDROS E FERRAGENS - PAVIMENTO 01 MEZANINO SALA COMERCIAL</t>
  </si>
  <si>
    <t xml:space="preserve">15.004.001 </t>
  </si>
  <si>
    <t xml:space="preserve">15.004.001.001 </t>
  </si>
  <si>
    <t xml:space="preserve">15.004.001.002 </t>
  </si>
  <si>
    <t xml:space="preserve">15.004.001.003 </t>
  </si>
  <si>
    <t xml:space="preserve">15.004.002 </t>
  </si>
  <si>
    <t xml:space="preserve">15.004.002.001 </t>
  </si>
  <si>
    <t>Esquadrias de alumínio - mezanino</t>
  </si>
  <si>
    <t xml:space="preserve">15.004.003 </t>
  </si>
  <si>
    <t xml:space="preserve">15.004.003.001 </t>
  </si>
  <si>
    <t xml:space="preserve">15.004.004 </t>
  </si>
  <si>
    <t xml:space="preserve">15.004.004.001 </t>
  </si>
  <si>
    <t xml:space="preserve">15.004.005 </t>
  </si>
  <si>
    <t xml:space="preserve">15.004.005.001 </t>
  </si>
  <si>
    <t xml:space="preserve">15.004.006 </t>
  </si>
  <si>
    <t xml:space="preserve">15.004.006.001 </t>
  </si>
  <si>
    <t xml:space="preserve">15.004.006.002 </t>
  </si>
  <si>
    <t xml:space="preserve">15.005 </t>
  </si>
  <si>
    <t>ESQUADRIAS, VIDROS E FERRAGENS - PAVIMENTO 02 GARAGEM SUPERIOR</t>
  </si>
  <si>
    <t xml:space="preserve">15.005.001 </t>
  </si>
  <si>
    <t xml:space="preserve">15.005.001.001 </t>
  </si>
  <si>
    <t xml:space="preserve">15.005.001.002 </t>
  </si>
  <si>
    <t xml:space="preserve">15.005.001.003 </t>
  </si>
  <si>
    <t xml:space="preserve">15.005.002 </t>
  </si>
  <si>
    <t xml:space="preserve">15.005.002.001 </t>
  </si>
  <si>
    <t>Esquadrias de alumínio - garagem superior</t>
  </si>
  <si>
    <t xml:space="preserve">15.005.003 </t>
  </si>
  <si>
    <t xml:space="preserve">15.005.003.001 </t>
  </si>
  <si>
    <t xml:space="preserve">15.005.004 </t>
  </si>
  <si>
    <t xml:space="preserve">15.005.004.001 </t>
  </si>
  <si>
    <t xml:space="preserve">15.005.005 </t>
  </si>
  <si>
    <t xml:space="preserve">15.005.005.001 </t>
  </si>
  <si>
    <t xml:space="preserve">15.006 </t>
  </si>
  <si>
    <t>ESQUADRIAS, VIDROS E FERRAGENS - PAVIMENTO 03 LAZER</t>
  </si>
  <si>
    <t xml:space="preserve">15.006.001 </t>
  </si>
  <si>
    <t xml:space="preserve">15.006.001.001 </t>
  </si>
  <si>
    <t xml:space="preserve">15.006.001.002 </t>
  </si>
  <si>
    <t xml:space="preserve">15.006.001.003 </t>
  </si>
  <si>
    <t xml:space="preserve">15.006.002 </t>
  </si>
  <si>
    <t xml:space="preserve">15.006.002.001 </t>
  </si>
  <si>
    <t>Esquadrias de alumínio - lazer</t>
  </si>
  <si>
    <t xml:space="preserve">15.006.003 </t>
  </si>
  <si>
    <t xml:space="preserve">15.006.003.001 </t>
  </si>
  <si>
    <t>Porta de madeira, folha leve/média de abrir 80x210cm, fixação com espuma expansiva</t>
  </si>
  <si>
    <t xml:space="preserve">15.006.003.002 </t>
  </si>
  <si>
    <t xml:space="preserve">15.006.003.003 </t>
  </si>
  <si>
    <t xml:space="preserve">Porta de madeira, folha leve/média de abrir 180x250cm, fixação com espuma expansiva </t>
  </si>
  <si>
    <t xml:space="preserve">15.006.003.004 </t>
  </si>
  <si>
    <t xml:space="preserve">Porta de madeira, folha leve/média de abrir 200x250cm, fixação com espuma expansiva </t>
  </si>
  <si>
    <t xml:space="preserve">15.006.004 </t>
  </si>
  <si>
    <t xml:space="preserve">15.006.004.001 </t>
  </si>
  <si>
    <t xml:space="preserve">15.006.005 </t>
  </si>
  <si>
    <t xml:space="preserve">15.006.005.001 </t>
  </si>
  <si>
    <t xml:space="preserve">15.006.006 </t>
  </si>
  <si>
    <t>Guarda corpo</t>
  </si>
  <si>
    <t xml:space="preserve">15.006.006.001 </t>
  </si>
  <si>
    <t>Guarda corpo em alumínio, fixado com chumbador mecânico, incluso corrimão</t>
  </si>
  <si>
    <t xml:space="preserve">15.006.007 </t>
  </si>
  <si>
    <t xml:space="preserve">15.006.007.001 </t>
  </si>
  <si>
    <t xml:space="preserve">15.006.007.002 </t>
  </si>
  <si>
    <t xml:space="preserve">15.007 </t>
  </si>
  <si>
    <t>ESQUADRIAS, VIDROS E FERRAGENS - PAVIMENTOS TIPO 04 AO 11 (8x)</t>
  </si>
  <si>
    <t xml:space="preserve">15.007.001 </t>
  </si>
  <si>
    <t xml:space="preserve">15.007.001.001 </t>
  </si>
  <si>
    <t xml:space="preserve">15.007.001.002 </t>
  </si>
  <si>
    <t xml:space="preserve">15.007.001.003 </t>
  </si>
  <si>
    <t xml:space="preserve">15.007.002 </t>
  </si>
  <si>
    <t xml:space="preserve">15.007.002.001 </t>
  </si>
  <si>
    <t>Esquadrias de alumínio - tipo</t>
  </si>
  <si>
    <t xml:space="preserve">15.007.003 </t>
  </si>
  <si>
    <t xml:space="preserve">15.007.003.001 </t>
  </si>
  <si>
    <t>Porta de madeira, folha leve/média de abrir 70x210cm, fixação com espuma expansiva</t>
  </si>
  <si>
    <t xml:space="preserve">15.007.003.002 </t>
  </si>
  <si>
    <t xml:space="preserve">15.007.003.003 </t>
  </si>
  <si>
    <t>Porta de madeira, folha leve/média de correr 80x210cm, fixação com espuma expansiva</t>
  </si>
  <si>
    <t xml:space="preserve">15.007.003.004 </t>
  </si>
  <si>
    <t>Porta de madeira, folha leve/média de correr 90x210cm, fixação com espuma expansiva</t>
  </si>
  <si>
    <t xml:space="preserve">15.007.003.005 </t>
  </si>
  <si>
    <t xml:space="preserve">Porta de madeira, folha leve/média de abrir, 100x210cm, fixação com espuma expansiva </t>
  </si>
  <si>
    <t xml:space="preserve">15.007.004 </t>
  </si>
  <si>
    <t xml:space="preserve">15.007.004.001 </t>
  </si>
  <si>
    <t xml:space="preserve">15.007.005 </t>
  </si>
  <si>
    <t xml:space="preserve">15.007.005.001 </t>
  </si>
  <si>
    <t xml:space="preserve">15.007.006 </t>
  </si>
  <si>
    <t xml:space="preserve">15.007.006.001 </t>
  </si>
  <si>
    <t xml:space="preserve">15.007.006.002 </t>
  </si>
  <si>
    <t xml:space="preserve">15.008 </t>
  </si>
  <si>
    <t>ESQUADRIAS, VIDROS E FERRAGENS - PAVIMENTO 12 - COBERTURA</t>
  </si>
  <si>
    <t xml:space="preserve">15.008.001 </t>
  </si>
  <si>
    <t xml:space="preserve">15.008.001.001 </t>
  </si>
  <si>
    <t xml:space="preserve">15.008.001.002 </t>
  </si>
  <si>
    <t xml:space="preserve">15.008.001.003 </t>
  </si>
  <si>
    <t xml:space="preserve">15.008.002 </t>
  </si>
  <si>
    <t xml:space="preserve">15.008.002.001 </t>
  </si>
  <si>
    <t>Esquadrias de alumínio - cobertura</t>
  </si>
  <si>
    <t xml:space="preserve">15.008.003 </t>
  </si>
  <si>
    <t xml:space="preserve">15.008.003.001 </t>
  </si>
  <si>
    <t xml:space="preserve">15.008.003.002 </t>
  </si>
  <si>
    <t xml:space="preserve">15.008.003.003 </t>
  </si>
  <si>
    <t xml:space="preserve">15.008.003.004 </t>
  </si>
  <si>
    <t>Porta de madeira, folha leve/média de correr 70x210cm, fixação com espuma expansiva</t>
  </si>
  <si>
    <t xml:space="preserve">15.008.003.005 </t>
  </si>
  <si>
    <t xml:space="preserve">15.008.003.006 </t>
  </si>
  <si>
    <t xml:space="preserve">15.008.004 </t>
  </si>
  <si>
    <t xml:space="preserve">15.008.004.001 </t>
  </si>
  <si>
    <t xml:space="preserve">15.008.005 </t>
  </si>
  <si>
    <t xml:space="preserve">15.008.005.001 </t>
  </si>
  <si>
    <t xml:space="preserve">15.008.006 </t>
  </si>
  <si>
    <t xml:space="preserve">15.008.006.001 </t>
  </si>
  <si>
    <t xml:space="preserve">15.008.007 </t>
  </si>
  <si>
    <t xml:space="preserve">15.008.007.001 </t>
  </si>
  <si>
    <t xml:space="preserve">15.008.007.002 </t>
  </si>
  <si>
    <t xml:space="preserve">15.009 </t>
  </si>
  <si>
    <t>ESQUADRIAS, VIDROS E FERRAGENS - ÁTICO - CASA DE MÁQUINAS</t>
  </si>
  <si>
    <t xml:space="preserve">15.009.001 </t>
  </si>
  <si>
    <t xml:space="preserve">15.009.001.001 </t>
  </si>
  <si>
    <t xml:space="preserve">15.009.001.002 </t>
  </si>
  <si>
    <t xml:space="preserve">15.009.002 </t>
  </si>
  <si>
    <t xml:space="preserve">15.009.002.001 </t>
  </si>
  <si>
    <t>Esquadrias de alumínio - ático</t>
  </si>
  <si>
    <t xml:space="preserve">15.009.003 </t>
  </si>
  <si>
    <t xml:space="preserve">15.009.003.001 </t>
  </si>
  <si>
    <t xml:space="preserve">15.009.003.002 </t>
  </si>
  <si>
    <t xml:space="preserve">15.009.003.003 </t>
  </si>
  <si>
    <t xml:space="preserve">15.009.003.004 </t>
  </si>
  <si>
    <t xml:space="preserve">15.009.003.005 </t>
  </si>
  <si>
    <t xml:space="preserve">15.009.004 </t>
  </si>
  <si>
    <t xml:space="preserve">15.009.004.001 </t>
  </si>
  <si>
    <t xml:space="preserve">15.010 </t>
  </si>
  <si>
    <t>ESQUADRIAS, VIDROS E FERRAGENS - RESERVATÓRIO</t>
  </si>
  <si>
    <t xml:space="preserve">15.010.001 </t>
  </si>
  <si>
    <t xml:space="preserve">15.010.001.001 </t>
  </si>
  <si>
    <t xml:space="preserve">15.010.001.002 </t>
  </si>
  <si>
    <t xml:space="preserve">15.010.002 </t>
  </si>
  <si>
    <t xml:space="preserve">15.010.002.001 </t>
  </si>
  <si>
    <t>Esquadrias de alumínio - reservatório</t>
  </si>
  <si>
    <t xml:space="preserve">15.010.003 </t>
  </si>
  <si>
    <t xml:space="preserve">15.010.003.001 </t>
  </si>
  <si>
    <t xml:space="preserve">16 </t>
  </si>
  <si>
    <t>COBERTURA</t>
  </si>
  <si>
    <t xml:space="preserve">16.001 </t>
  </si>
  <si>
    <t>COBERTURA - ÁTICO - CASA DE MÁQUINAS - RESERVATÓRIO</t>
  </si>
  <si>
    <t xml:space="preserve">16.001.001 </t>
  </si>
  <si>
    <t>Estrutura e Trama para Cobertura</t>
  </si>
  <si>
    <t xml:space="preserve">16.001.001.001 </t>
  </si>
  <si>
    <t>Trama de madeira para cobertura</t>
  </si>
  <si>
    <t xml:space="preserve">16.001.002 </t>
  </si>
  <si>
    <t>Telhamento para Cobertura</t>
  </si>
  <si>
    <t xml:space="preserve">16.001.002.001 </t>
  </si>
  <si>
    <t xml:space="preserve">Cobertura com telha termoacústica, perfil trapezoidal </t>
  </si>
  <si>
    <t xml:space="preserve">16.001.003 </t>
  </si>
  <si>
    <t>Serviços Complementares para Cobertura</t>
  </si>
  <si>
    <t xml:space="preserve">16.001.003.001 </t>
  </si>
  <si>
    <t xml:space="preserve">Manta de alumínio para cobertura </t>
  </si>
  <si>
    <t xml:space="preserve">16.001.003.002 </t>
  </si>
  <si>
    <t>Calhas em aço galvanizado - material e mão de obra</t>
  </si>
  <si>
    <t xml:space="preserve">16.001.003.003 </t>
  </si>
  <si>
    <t>Rufos em aço galvanizado - material e mão de obra</t>
  </si>
  <si>
    <t xml:space="preserve">16.001.004 </t>
  </si>
  <si>
    <t xml:space="preserve">16.001.004.001 </t>
  </si>
  <si>
    <t>Mão de obra para cobertura</t>
  </si>
  <si>
    <t xml:space="preserve">17 </t>
  </si>
  <si>
    <t>REVESTIMENTOS E ACABAMENTOS EM FACHADA</t>
  </si>
  <si>
    <t xml:space="preserve">17.001 </t>
  </si>
  <si>
    <t>REVESTIMENTOS E ACABAMENTOS EM FACHADA - EMBASAMENTO</t>
  </si>
  <si>
    <t xml:space="preserve">17.001.001 </t>
  </si>
  <si>
    <t>Revestimento Argamassado em Fachada</t>
  </si>
  <si>
    <t xml:space="preserve">17.001.001.001 </t>
  </si>
  <si>
    <t>Chapisco externo de argamassa pré - fabricada de cimento colante, aplicada em estrutura, com desempenadeira dentada</t>
  </si>
  <si>
    <t xml:space="preserve">17.001.001.002 </t>
  </si>
  <si>
    <t>Chapisco em alvenarias externas com argamassa cimento e areia (1:3)</t>
  </si>
  <si>
    <t xml:space="preserve">17.001.001.003 </t>
  </si>
  <si>
    <t>Massa única para paredes externas em argamassa cimento e areia (1:5), aplicação manual, espessura de 3cm</t>
  </si>
  <si>
    <t xml:space="preserve">17.001.002 </t>
  </si>
  <si>
    <t>Pintura e Textura em Fachada</t>
  </si>
  <si>
    <t xml:space="preserve">17.001.002.001 </t>
  </si>
  <si>
    <t>Selador acrílico, aplicação em paredes externas, 1 demão</t>
  </si>
  <si>
    <t xml:space="preserve">17.001.002.002 </t>
  </si>
  <si>
    <t xml:space="preserve">Textura acrílica, acabamento suave, tonalidade branca, em paredes externas, 1 demão </t>
  </si>
  <si>
    <t xml:space="preserve">17.001.002.003 </t>
  </si>
  <si>
    <t xml:space="preserve">Textura acrílica, acabamento suave, tonalidade cinza, em paredes externas, 1 demão </t>
  </si>
  <si>
    <t xml:space="preserve">17.001.003 </t>
  </si>
  <si>
    <t>Acabamentos Especiais em Fachada</t>
  </si>
  <si>
    <t xml:space="preserve">17.001.003.001 </t>
  </si>
  <si>
    <t>Revestimento porcelanato externo em parede, placa 60x120</t>
  </si>
  <si>
    <t xml:space="preserve">17.001.003.002 </t>
  </si>
  <si>
    <t>Revestimento de fachada em chapa de ACM - material e mão de obra</t>
  </si>
  <si>
    <t xml:space="preserve">17.001.004 </t>
  </si>
  <si>
    <t>Tratamentos em Fachadas</t>
  </si>
  <si>
    <t xml:space="preserve">17.001.004.001 </t>
  </si>
  <si>
    <t xml:space="preserve">Tratamento em juntas de dilatação com tarugo de polietileno, selante e membrana </t>
  </si>
  <si>
    <t xml:space="preserve">17.001.005 </t>
  </si>
  <si>
    <t xml:space="preserve">17.001.005.001 </t>
  </si>
  <si>
    <t>Mão de obra para execução de reboco externo, incluso chapisco</t>
  </si>
  <si>
    <t xml:space="preserve">17.001.005.002 </t>
  </si>
  <si>
    <t>Mão de obra para aplicação de selador em paredes externas, 1 demão</t>
  </si>
  <si>
    <t xml:space="preserve">17.001.005.003 </t>
  </si>
  <si>
    <t>Mão de obra para aplicação de textura acrílica em paredes externas, 1 demão</t>
  </si>
  <si>
    <t xml:space="preserve">17.002 </t>
  </si>
  <si>
    <t>REVESTIMENTOS E ACABAMENTOS EM FACHADA - NORTE</t>
  </si>
  <si>
    <t xml:space="preserve">17.002.001 </t>
  </si>
  <si>
    <t xml:space="preserve">17.002.001.001 </t>
  </si>
  <si>
    <t xml:space="preserve">17.002.001.002 </t>
  </si>
  <si>
    <t xml:space="preserve">17.002.001.003 </t>
  </si>
  <si>
    <t xml:space="preserve">17.002.002 </t>
  </si>
  <si>
    <t xml:space="preserve">17.002.002.001 </t>
  </si>
  <si>
    <t xml:space="preserve">17.002.002.002 </t>
  </si>
  <si>
    <t xml:space="preserve">17.002.002.003 </t>
  </si>
  <si>
    <t xml:space="preserve">17.002.003 </t>
  </si>
  <si>
    <t xml:space="preserve">17.002.003.001 </t>
  </si>
  <si>
    <t xml:space="preserve">17.002.004 </t>
  </si>
  <si>
    <t xml:space="preserve">17.002.004.001 </t>
  </si>
  <si>
    <t xml:space="preserve">17.002.004.002 </t>
  </si>
  <si>
    <t xml:space="preserve">17.002.004.003 </t>
  </si>
  <si>
    <t xml:space="preserve">17.003 </t>
  </si>
  <si>
    <t>REVESTIMENTOS E ACABAMENTOS EM FACHADA - SUL</t>
  </si>
  <si>
    <t xml:space="preserve">17.003.001 </t>
  </si>
  <si>
    <t xml:space="preserve">17.003.001.001 </t>
  </si>
  <si>
    <t xml:space="preserve">17.003.001.002 </t>
  </si>
  <si>
    <t xml:space="preserve">17.003.001.003 </t>
  </si>
  <si>
    <t xml:space="preserve">17.003.002 </t>
  </si>
  <si>
    <t xml:space="preserve">17.003.002.001 </t>
  </si>
  <si>
    <t xml:space="preserve">17.003.002.002 </t>
  </si>
  <si>
    <t xml:space="preserve">17.003.002.003 </t>
  </si>
  <si>
    <t xml:space="preserve">17.003.003 </t>
  </si>
  <si>
    <t xml:space="preserve">17.003.003.001 </t>
  </si>
  <si>
    <t>Revestimento de fachada em moldura de ACM - material e mão de obra</t>
  </si>
  <si>
    <t xml:space="preserve">17.003.004 </t>
  </si>
  <si>
    <t xml:space="preserve">17.003.004.001 </t>
  </si>
  <si>
    <t xml:space="preserve">17.003.005 </t>
  </si>
  <si>
    <t xml:space="preserve">17.003.005.001 </t>
  </si>
  <si>
    <t xml:space="preserve">17.003.005.002 </t>
  </si>
  <si>
    <t xml:space="preserve">17.003.005.003 </t>
  </si>
  <si>
    <t xml:space="preserve">17.004 </t>
  </si>
  <si>
    <t>REVESTIMENTOS E ACABAMENTOS EM FACHADA - LESTE</t>
  </si>
  <si>
    <t xml:space="preserve">17.004.001 </t>
  </si>
  <si>
    <t xml:space="preserve">17.004.001.001 </t>
  </si>
  <si>
    <t xml:space="preserve">17.004.001.002 </t>
  </si>
  <si>
    <t xml:space="preserve">17.004.001.003 </t>
  </si>
  <si>
    <t xml:space="preserve">17.004.002 </t>
  </si>
  <si>
    <t xml:space="preserve">17.004.002.001 </t>
  </si>
  <si>
    <t xml:space="preserve">17.004.002.002 </t>
  </si>
  <si>
    <t xml:space="preserve">17.004.002.003 </t>
  </si>
  <si>
    <t xml:space="preserve">17.004.003 </t>
  </si>
  <si>
    <t xml:space="preserve">17.004.003.001 </t>
  </si>
  <si>
    <t>Brise em alumínio - material e mão de obra</t>
  </si>
  <si>
    <t xml:space="preserve">17.004.004 </t>
  </si>
  <si>
    <t xml:space="preserve">17.004.004.001 </t>
  </si>
  <si>
    <t xml:space="preserve">17.004.005 </t>
  </si>
  <si>
    <t xml:space="preserve">17.004.005.001 </t>
  </si>
  <si>
    <t xml:space="preserve">17.004.005.002 </t>
  </si>
  <si>
    <t xml:space="preserve">17.004.005.003 </t>
  </si>
  <si>
    <t xml:space="preserve">17.005 </t>
  </si>
  <si>
    <t>REVESTIMENTOS E ACABAMENTOS EM FACHADA - OESTE</t>
  </si>
  <si>
    <t xml:space="preserve">17.005.001 </t>
  </si>
  <si>
    <t xml:space="preserve">17.005.001.001 </t>
  </si>
  <si>
    <t xml:space="preserve">17.005.001.002 </t>
  </si>
  <si>
    <t xml:space="preserve">17.005.001.003 </t>
  </si>
  <si>
    <t xml:space="preserve">17.005.002 </t>
  </si>
  <si>
    <t xml:space="preserve">17.005.002.001 </t>
  </si>
  <si>
    <t xml:space="preserve">17.005.002.002 </t>
  </si>
  <si>
    <t xml:space="preserve">17.005.002.003 </t>
  </si>
  <si>
    <t xml:space="preserve">17.005.003 </t>
  </si>
  <si>
    <t xml:space="preserve">17.005.003.001 </t>
  </si>
  <si>
    <t xml:space="preserve">17.005.004 </t>
  </si>
  <si>
    <t xml:space="preserve">17.005.004.001 </t>
  </si>
  <si>
    <t xml:space="preserve">17.005.005 </t>
  </si>
  <si>
    <t xml:space="preserve">17.005.005.001 </t>
  </si>
  <si>
    <t xml:space="preserve">17.005.005.002 </t>
  </si>
  <si>
    <t xml:space="preserve">17.005.005.003 </t>
  </si>
  <si>
    <t xml:space="preserve">18 </t>
  </si>
  <si>
    <t>SERVIÇOS COMPLEMENTARES E FINAIS</t>
  </si>
  <si>
    <t xml:space="preserve">18.001 </t>
  </si>
  <si>
    <t xml:space="preserve">18.001.001 </t>
  </si>
  <si>
    <t>Ambientação</t>
  </si>
  <si>
    <t xml:space="preserve">18.001.001.001 </t>
  </si>
  <si>
    <t xml:space="preserve">18.001.002 </t>
  </si>
  <si>
    <t>Comunicação Visual</t>
  </si>
  <si>
    <t xml:space="preserve">18.001.002.001 </t>
  </si>
  <si>
    <t>Comunicação visual</t>
  </si>
  <si>
    <t xml:space="preserve">18.001.003 </t>
  </si>
  <si>
    <t>Paisagismo</t>
  </si>
  <si>
    <t xml:space="preserve">18.001.003.001 </t>
  </si>
  <si>
    <t xml:space="preserve">18.001.004 </t>
  </si>
  <si>
    <t>Serviços Finais</t>
  </si>
  <si>
    <t xml:space="preserve">18.001.004.001 </t>
  </si>
  <si>
    <t>Limpeza final</t>
  </si>
  <si>
    <t xml:space="preserve">18.001.004.002 </t>
  </si>
  <si>
    <t>Desmobilização de pessoal, máquinas e equipamentos</t>
  </si>
  <si>
    <t xml:space="preserve">18.001.005 </t>
  </si>
  <si>
    <t>Imprevistos e Contingências</t>
  </si>
  <si>
    <t xml:space="preserve">18.001.005.001 </t>
  </si>
  <si>
    <t>Total da obra</t>
  </si>
  <si>
    <t>ORÇAMENTO EXECUTIVO</t>
  </si>
  <si>
    <t>Cliente</t>
  </si>
  <si>
    <t>Data</t>
  </si>
  <si>
    <t>Versão</t>
  </si>
  <si>
    <t>Central Park</t>
  </si>
  <si>
    <t>GERENCIAMENTO  EXECUTIVO</t>
  </si>
  <si>
    <t>01.002.003</t>
  </si>
  <si>
    <t xml:space="preserve">Escoramento com pontalete de madeira de eucalipto </t>
  </si>
  <si>
    <t>Alvenaria de vedação de blocos cerâmicos furados na horizontal de 11,5x19x29cm (espessura 11,5cm) com argamassa produzida em obra, traço 1:5</t>
  </si>
  <si>
    <t>Alvenaria de vedação de blocos cerâmicos furados na horizontal de 14x19x29cm (espessura 4 cm) com argamassa produzida em obra, traço 1:5</t>
  </si>
  <si>
    <t>Alvenaria de vedação de blocos cerâmicos furados na horizontal de 19x19x29cm (espessura 19 cm) com argamassa produzida em obra, traço 1:5</t>
  </si>
  <si>
    <t>Alvenaria de vedação com bloco de concreto celular autoclavado de 10x30x60cm, com argamassa dosada em obra traço 1:5</t>
  </si>
  <si>
    <t xml:space="preserve">05.004.004.002 </t>
  </si>
  <si>
    <t xml:space="preserve">05.005.004.002 </t>
  </si>
  <si>
    <t xml:space="preserve">05.006.004.002 </t>
  </si>
  <si>
    <t xml:space="preserve">Concretagem de paredes feitas com sistema de fôrmas manuseáveis, com concreto Fck 15 MPa, traço 1:3,4:3,4, preparo mecânico </t>
  </si>
  <si>
    <t xml:space="preserve">05.007.003.008 </t>
  </si>
  <si>
    <t xml:space="preserve">05.007.004.002 </t>
  </si>
  <si>
    <t xml:space="preserve">05.008.003.007 </t>
  </si>
  <si>
    <t xml:space="preserve">05.008.004.002 </t>
  </si>
  <si>
    <t xml:space="preserve">05.009.004.002 </t>
  </si>
  <si>
    <t xml:space="preserve">05.010.004.002 </t>
  </si>
  <si>
    <t>Entrada de Energia</t>
  </si>
  <si>
    <t xml:space="preserve">06.001.003.002 </t>
  </si>
  <si>
    <t xml:space="preserve">06.001.003.003 </t>
  </si>
  <si>
    <t xml:space="preserve">06.001.003.004 </t>
  </si>
  <si>
    <t xml:space="preserve">06.001.006.002 </t>
  </si>
  <si>
    <t xml:space="preserve">06.001.007 </t>
  </si>
  <si>
    <t xml:space="preserve">06.001.007.001 </t>
  </si>
  <si>
    <t xml:space="preserve">Alvenaria em tijolo refratário de 6,3x11,4x22,9 com argamassa refratária </t>
  </si>
  <si>
    <t xml:space="preserve">Mão de obra para assentamento de tijolos refratários </t>
  </si>
  <si>
    <t xml:space="preserve">09.001.004.003 </t>
  </si>
  <si>
    <t xml:space="preserve">13.001.001.001 </t>
  </si>
  <si>
    <t xml:space="preserve">13.001.002 </t>
  </si>
  <si>
    <t xml:space="preserve">13.001.002.001 </t>
  </si>
  <si>
    <t xml:space="preserve">13.001.003 </t>
  </si>
  <si>
    <t xml:space="preserve">13.001.003.001 </t>
  </si>
  <si>
    <t xml:space="preserve">13.001.003.002 </t>
  </si>
  <si>
    <t xml:space="preserve">13.002.006.001 </t>
  </si>
  <si>
    <t xml:space="preserve">13.002.006.002 </t>
  </si>
  <si>
    <t xml:space="preserve">13.002.006.003 </t>
  </si>
  <si>
    <t xml:space="preserve">13.002.006.004 </t>
  </si>
  <si>
    <t xml:space="preserve">13.002.006.005 </t>
  </si>
  <si>
    <t xml:space="preserve">13.002.006.006 </t>
  </si>
  <si>
    <t xml:space="preserve">13.002.006.007 </t>
  </si>
  <si>
    <t xml:space="preserve">13.002.006.008 </t>
  </si>
  <si>
    <t xml:space="preserve">13.002.006 </t>
  </si>
  <si>
    <t xml:space="preserve">13.005.006.009 </t>
  </si>
  <si>
    <t>Mão de obra para colocação e rejuntamento porcelanato em pastilha*</t>
  </si>
  <si>
    <t>Mão de obra para pintura epóxi em paredes internas 2 demãos</t>
  </si>
  <si>
    <t xml:space="preserve">14.006.004.011 </t>
  </si>
  <si>
    <t xml:space="preserve">15.003.006.002 </t>
  </si>
  <si>
    <t>Bloco EPS para laje nervurada - 12 x 30 x 100 cm</t>
  </si>
  <si>
    <t>Bloco EPS para laje nervurada - 20 x 30 x 100 cm</t>
  </si>
  <si>
    <t>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</si>
</sst>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0"/>
    <numFmt numFmtId="165" formatCode="##,##0.0000"/>
    <numFmt numFmtId="166" formatCode="#,##0.0000"/>
    <numFmt numFmtId="167" formatCode="###,##0.0000"/>
    <numFmt numFmtId="168" formatCode="#0.0000"/>
    <numFmt numFmtId="169" formatCode="##0.0000"/>
  </numFmts>
  <fonts count="13" x14ac:knownFonts="1">
    <font>
      <sz val="10"/>
      <name val="Arial"/>
      <family val="2"/>
    </font>
    <font>
      <sz val="10"/>
      <name val="Arial"/>
      <family val="2"/>
    </font>
    <font>
      <sz val="10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sz val="10"/>
      <name val="Poppins"/>
    </font>
    <font>
      <b/>
      <sz val="10"/>
      <color rgb="FF010000"/>
      <name val="Poppins"/>
    </font>
    <font>
      <sz val="10"/>
      <color rgb="FF010000"/>
      <name val="Poppins"/>
    </font>
    <font>
      <sz val="8"/>
      <color rgb="FF010000"/>
      <name val="Poppins"/>
    </font>
    <font>
      <sz val="1"/>
      <color rgb="FF010000"/>
      <name val="Poppins"/>
    </font>
    <font>
      <sz val="6"/>
      <color rgb="FF010000"/>
      <name val="Poppins"/>
    </font>
    <font>
      <b/>
      <sz val="14"/>
      <color rgb="FF121212"/>
      <name val="Poppins"/>
    </font>
  </fonts>
  <fills count="10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21212"/>
        <bgColor rgb="FFFFFFFF"/>
      </patternFill>
    </fill>
    <fill>
      <patternFill patternType="solid">
        <fgColor rgb="FFFE3400"/>
        <bgColor indexed="64"/>
      </patternFill>
    </fill>
    <fill>
      <patternFill patternType="solid">
        <fgColor rgb="FF12121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hair">
        <color rgb="FF010000"/>
      </bottom>
      <diagonal/>
    </border>
    <border>
      <left/>
      <right/>
      <top style="hair">
        <color rgb="FF01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rgb="FF010000"/>
      </bottom>
      <diagonal/>
    </border>
    <border>
      <left style="thin">
        <color indexed="64"/>
      </left>
      <right style="thin">
        <color indexed="64"/>
      </right>
      <top/>
      <bottom style="hair">
        <color rgb="FF010000"/>
      </bottom>
      <diagonal/>
    </border>
    <border>
      <left style="thin">
        <color indexed="64"/>
      </left>
      <right style="medium">
        <color indexed="64"/>
      </right>
      <top/>
      <bottom style="hair">
        <color rgb="FF010000"/>
      </bottom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hair">
        <color rgb="FF010000"/>
      </bottom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rgb="FF010000"/>
      </top>
      <bottom/>
      <diagonal/>
    </border>
    <border>
      <left style="thin">
        <color indexed="64"/>
      </left>
      <right style="thin">
        <color indexed="64"/>
      </right>
      <top style="hair">
        <color rgb="FF010000"/>
      </top>
      <bottom/>
      <diagonal/>
    </border>
    <border>
      <left style="thin">
        <color indexed="64"/>
      </left>
      <right style="medium">
        <color indexed="64"/>
      </right>
      <top style="hair">
        <color rgb="FF010000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 applyAlignment="1">
      <alignment vertical="center"/>
    </xf>
    <xf numFmtId="43" fontId="2" fillId="0" borderId="0" xfId="6" applyFont="1" applyAlignment="1">
      <alignment vertical="center"/>
    </xf>
    <xf numFmtId="0" fontId="2" fillId="0" borderId="0" xfId="0" applyFont="1" applyAlignment="1">
      <alignment horizontal="center" vertical="center"/>
    </xf>
    <xf numFmtId="43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43" fontId="3" fillId="3" borderId="0" xfId="6" applyFont="1" applyFill="1" applyAlignment="1">
      <alignment vertical="center"/>
    </xf>
    <xf numFmtId="43" fontId="3" fillId="3" borderId="0" xfId="6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6" applyFont="1" applyAlignment="1">
      <alignment vertical="center"/>
    </xf>
    <xf numFmtId="49" fontId="4" fillId="7" borderId="4" xfId="0" applyNumberFormat="1" applyFont="1" applyFill="1" applyBorder="1" applyAlignment="1">
      <alignment vertical="center"/>
    </xf>
    <xf numFmtId="49" fontId="4" fillId="7" borderId="7" xfId="0" applyNumberFormat="1" applyFont="1" applyFill="1" applyBorder="1" applyAlignment="1">
      <alignment vertical="center"/>
    </xf>
    <xf numFmtId="49" fontId="4" fillId="7" borderId="9" xfId="0" applyNumberFormat="1" applyFont="1" applyFill="1" applyBorder="1" applyAlignment="1">
      <alignment horizontal="left" vertical="center"/>
    </xf>
    <xf numFmtId="0" fontId="7" fillId="4" borderId="15" xfId="0" applyNumberFormat="1" applyFont="1" applyFill="1" applyBorder="1" applyAlignment="1" applyProtection="1">
      <alignment horizontal="left" vertical="center" wrapText="1"/>
    </xf>
    <xf numFmtId="0" fontId="7" fillId="4" borderId="16" xfId="0" applyNumberFormat="1" applyFont="1" applyFill="1" applyBorder="1" applyAlignment="1" applyProtection="1">
      <alignment horizontal="left" vertical="center" wrapText="1"/>
    </xf>
    <xf numFmtId="0" fontId="7" fillId="4" borderId="16" xfId="0" applyNumberFormat="1" applyFont="1" applyFill="1" applyBorder="1" applyAlignment="1" applyProtection="1">
      <alignment horizontal="right" vertical="center" wrapText="1"/>
    </xf>
    <xf numFmtId="43" fontId="7" fillId="4" borderId="17" xfId="6" applyFont="1" applyFill="1" applyBorder="1" applyAlignment="1" applyProtection="1">
      <alignment horizontal="right" vertical="center" wrapText="1"/>
    </xf>
    <xf numFmtId="3" fontId="7" fillId="5" borderId="15" xfId="0" applyNumberFormat="1" applyFont="1" applyFill="1" applyBorder="1" applyAlignment="1" applyProtection="1">
      <alignment horizontal="left" vertical="center" wrapText="1"/>
    </xf>
    <xf numFmtId="0" fontId="7" fillId="5" borderId="16" xfId="0" applyNumberFormat="1" applyFont="1" applyFill="1" applyBorder="1" applyAlignment="1" applyProtection="1">
      <alignment horizontal="left" vertical="center" wrapText="1"/>
    </xf>
    <xf numFmtId="0" fontId="7" fillId="5" borderId="16" xfId="0" applyNumberFormat="1" applyFont="1" applyFill="1" applyBorder="1" applyAlignment="1" applyProtection="1">
      <alignment horizontal="right" vertical="center" wrapText="1"/>
    </xf>
    <xf numFmtId="43" fontId="7" fillId="5" borderId="17" xfId="6" applyFont="1" applyFill="1" applyBorder="1" applyAlignment="1" applyProtection="1">
      <alignment horizontal="right" vertical="center" wrapText="1"/>
    </xf>
    <xf numFmtId="0" fontId="7" fillId="6" borderId="15" xfId="0" applyNumberFormat="1" applyFont="1" applyFill="1" applyBorder="1" applyAlignment="1" applyProtection="1">
      <alignment horizontal="left" vertical="center" wrapText="1"/>
    </xf>
    <xf numFmtId="0" fontId="7" fillId="6" borderId="16" xfId="0" applyNumberFormat="1" applyFont="1" applyFill="1" applyBorder="1" applyAlignment="1" applyProtection="1">
      <alignment horizontal="left" vertical="center" wrapText="1"/>
    </xf>
    <xf numFmtId="0" fontId="7" fillId="6" borderId="16" xfId="0" applyNumberFormat="1" applyFont="1" applyFill="1" applyBorder="1" applyAlignment="1" applyProtection="1">
      <alignment horizontal="right" vertical="center" wrapText="1"/>
    </xf>
    <xf numFmtId="43" fontId="7" fillId="6" borderId="17" xfId="6" applyFont="1" applyFill="1" applyBorder="1" applyAlignment="1" applyProtection="1">
      <alignment horizontal="right" vertical="center" wrapText="1"/>
    </xf>
    <xf numFmtId="0" fontId="8" fillId="0" borderId="15" xfId="0" applyNumberFormat="1" applyFont="1" applyFill="1" applyBorder="1" applyAlignment="1" applyProtection="1">
      <alignment horizontal="left" vertical="center" wrapText="1"/>
    </xf>
    <xf numFmtId="0" fontId="8" fillId="0" borderId="16" xfId="0" applyNumberFormat="1" applyFont="1" applyFill="1" applyBorder="1" applyAlignment="1" applyProtection="1">
      <alignment horizontal="left" vertical="center" wrapText="1"/>
    </xf>
    <xf numFmtId="164" fontId="8" fillId="0" borderId="16" xfId="0" applyNumberFormat="1" applyFont="1" applyFill="1" applyBorder="1" applyAlignment="1" applyProtection="1">
      <alignment horizontal="right" vertical="center" wrapText="1"/>
    </xf>
    <xf numFmtId="165" fontId="8" fillId="0" borderId="16" xfId="0" applyNumberFormat="1" applyFont="1" applyFill="1" applyBorder="1" applyAlignment="1" applyProtection="1">
      <alignment horizontal="right" vertical="center" wrapText="1"/>
    </xf>
    <xf numFmtId="43" fontId="8" fillId="0" borderId="17" xfId="6" applyFont="1" applyFill="1" applyBorder="1" applyAlignment="1" applyProtection="1">
      <alignment horizontal="right" vertical="center" wrapText="1"/>
    </xf>
    <xf numFmtId="166" fontId="8" fillId="0" borderId="16" xfId="0" applyNumberFormat="1" applyFont="1" applyFill="1" applyBorder="1" applyAlignment="1" applyProtection="1">
      <alignment horizontal="right" vertical="center" wrapText="1"/>
    </xf>
    <xf numFmtId="167" fontId="8" fillId="0" borderId="16" xfId="0" applyNumberFormat="1" applyFont="1" applyFill="1" applyBorder="1" applyAlignment="1" applyProtection="1">
      <alignment horizontal="right" vertical="center" wrapText="1"/>
    </xf>
    <xf numFmtId="43" fontId="7" fillId="2" borderId="20" xfId="6" applyFont="1" applyFill="1" applyBorder="1" applyAlignment="1" applyProtection="1">
      <alignment horizontal="right" vertical="center" wrapText="1"/>
    </xf>
    <xf numFmtId="0" fontId="7" fillId="4" borderId="12" xfId="0" applyNumberFormat="1" applyFont="1" applyFill="1" applyBorder="1" applyAlignment="1" applyProtection="1">
      <alignment horizontal="left" vertical="center" wrapText="1"/>
    </xf>
    <xf numFmtId="0" fontId="7" fillId="4" borderId="13" xfId="0" applyNumberFormat="1" applyFont="1" applyFill="1" applyBorder="1" applyAlignment="1" applyProtection="1">
      <alignment horizontal="left" vertical="center" wrapText="1"/>
    </xf>
    <xf numFmtId="0" fontId="7" fillId="4" borderId="13" xfId="0" applyNumberFormat="1" applyFont="1" applyFill="1" applyBorder="1" applyAlignment="1" applyProtection="1">
      <alignment horizontal="right" vertical="center" wrapText="1"/>
    </xf>
    <xf numFmtId="43" fontId="7" fillId="4" borderId="14" xfId="6" applyFont="1" applyFill="1" applyBorder="1" applyAlignment="1" applyProtection="1">
      <alignment horizontal="right" vertical="center" wrapText="1"/>
    </xf>
    <xf numFmtId="0" fontId="4" fillId="9" borderId="21" xfId="0" applyNumberFormat="1" applyFont="1" applyFill="1" applyBorder="1" applyAlignment="1" applyProtection="1">
      <alignment horizontal="center" vertical="center" wrapText="1"/>
    </xf>
    <xf numFmtId="43" fontId="4" fillId="9" borderId="21" xfId="6" applyFont="1" applyFill="1" applyBorder="1" applyAlignment="1" applyProtection="1">
      <alignment horizontal="center" vertical="center" wrapText="1"/>
    </xf>
    <xf numFmtId="0" fontId="4" fillId="9" borderId="25" xfId="0" applyNumberFormat="1" applyFont="1" applyFill="1" applyBorder="1" applyAlignment="1" applyProtection="1">
      <alignment horizontal="center" vertical="center" wrapText="1"/>
    </xf>
    <xf numFmtId="43" fontId="4" fillId="9" borderId="26" xfId="6" applyFont="1" applyFill="1" applyBorder="1" applyAlignment="1" applyProtection="1">
      <alignment horizontal="center" vertical="center" wrapText="1"/>
    </xf>
    <xf numFmtId="168" fontId="8" fillId="0" borderId="16" xfId="0" applyNumberFormat="1" applyFont="1" applyFill="1" applyBorder="1" applyAlignment="1" applyProtection="1">
      <alignment horizontal="right" vertical="center" wrapText="1"/>
    </xf>
    <xf numFmtId="169" fontId="8" fillId="0" borderId="16" xfId="0" applyNumberFormat="1" applyFont="1" applyFill="1" applyBorder="1" applyAlignment="1" applyProtection="1">
      <alignment horizontal="right" vertical="center" wrapText="1"/>
    </xf>
    <xf numFmtId="0" fontId="7" fillId="6" borderId="15" xfId="0" quotePrefix="1" applyNumberFormat="1" applyFont="1" applyFill="1" applyBorder="1" applyAlignment="1" applyProtection="1">
      <alignment horizontal="left" vertical="center" wrapText="1"/>
    </xf>
    <xf numFmtId="3" fontId="8" fillId="0" borderId="15" xfId="0" applyNumberFormat="1" applyFont="1" applyFill="1" applyBorder="1" applyAlignment="1" applyProtection="1">
      <alignment horizontal="left" vertical="center" wrapText="1"/>
    </xf>
    <xf numFmtId="3" fontId="7" fillId="6" borderId="15" xfId="0" applyNumberFormat="1" applyFont="1" applyFill="1" applyBorder="1" applyAlignment="1" applyProtection="1">
      <alignment horizontal="left" vertical="center" wrapText="1"/>
    </xf>
    <xf numFmtId="0" fontId="8" fillId="0" borderId="27" xfId="0" applyNumberFormat="1" applyFont="1" applyFill="1" applyBorder="1" applyAlignment="1" applyProtection="1">
      <alignment horizontal="left" vertical="center" wrapText="1"/>
    </xf>
    <xf numFmtId="0" fontId="8" fillId="0" borderId="28" xfId="0" applyNumberFormat="1" applyFont="1" applyFill="1" applyBorder="1" applyAlignment="1" applyProtection="1">
      <alignment horizontal="left" vertical="center" wrapText="1"/>
    </xf>
    <xf numFmtId="164" fontId="8" fillId="0" borderId="28" xfId="0" applyNumberFormat="1" applyFont="1" applyFill="1" applyBorder="1" applyAlignment="1" applyProtection="1">
      <alignment horizontal="right" vertical="center" wrapText="1"/>
    </xf>
    <xf numFmtId="167" fontId="8" fillId="0" borderId="28" xfId="0" applyNumberFormat="1" applyFont="1" applyFill="1" applyBorder="1" applyAlignment="1" applyProtection="1">
      <alignment horizontal="right" vertical="center" wrapText="1"/>
    </xf>
    <xf numFmtId="43" fontId="8" fillId="0" borderId="29" xfId="6" applyFont="1" applyFill="1" applyBorder="1" applyAlignment="1" applyProtection="1">
      <alignment horizontal="right" vertical="center" wrapText="1"/>
    </xf>
    <xf numFmtId="43" fontId="4" fillId="8" borderId="6" xfId="6" applyFont="1" applyFill="1" applyBorder="1" applyAlignment="1" applyProtection="1">
      <alignment horizontal="right" vertical="center" wrapText="1"/>
    </xf>
    <xf numFmtId="43" fontId="4" fillId="8" borderId="11" xfId="6" applyFont="1" applyFill="1" applyBorder="1" applyAlignment="1" applyProtection="1">
      <alignment horizontal="right" vertical="center" wrapText="1"/>
    </xf>
    <xf numFmtId="0" fontId="4" fillId="8" borderId="9" xfId="0" applyNumberFormat="1" applyFont="1" applyFill="1" applyBorder="1" applyAlignment="1" applyProtection="1">
      <alignment horizontal="right" vertical="center" wrapText="1"/>
    </xf>
    <xf numFmtId="0" fontId="4" fillId="8" borderId="10" xfId="0" applyNumberFormat="1" applyFont="1" applyFill="1" applyBorder="1" applyAlignment="1" applyProtection="1">
      <alignment horizontal="right" vertical="center" wrapText="1"/>
    </xf>
    <xf numFmtId="0" fontId="10" fillId="0" borderId="1" xfId="0" applyNumberFormat="1" applyFont="1" applyFill="1" applyBorder="1" applyAlignment="1" applyProtection="1">
      <alignment horizontal="left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right" vertical="center" wrapText="1"/>
    </xf>
    <xf numFmtId="0" fontId="11" fillId="0" borderId="2" xfId="0" applyNumberFormat="1" applyFont="1" applyFill="1" applyBorder="1" applyAlignment="1" applyProtection="1">
      <alignment horizontal="left" vertical="center" wrapText="1"/>
    </xf>
    <xf numFmtId="0" fontId="11" fillId="0" borderId="2" xfId="0" applyNumberFormat="1" applyFont="1" applyFill="1" applyBorder="1" applyAlignment="1" applyProtection="1">
      <alignment horizontal="center" vertical="center" wrapText="1"/>
    </xf>
    <xf numFmtId="0" fontId="11" fillId="0" borderId="2" xfId="0" applyNumberFormat="1" applyFont="1" applyFill="1" applyBorder="1" applyAlignment="1" applyProtection="1">
      <alignment horizontal="right" vertical="center" wrapText="1"/>
    </xf>
    <xf numFmtId="0" fontId="12" fillId="0" borderId="3" xfId="0" applyFont="1" applyBorder="1" applyAlignment="1">
      <alignment horizontal="left" vertical="center" wrapText="1"/>
    </xf>
    <xf numFmtId="43" fontId="12" fillId="0" borderId="3" xfId="6" applyFont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/>
    </xf>
    <xf numFmtId="43" fontId="5" fillId="0" borderId="5" xfId="6" applyFont="1" applyFill="1" applyBorder="1" applyAlignment="1">
      <alignment horizontal="left" vertical="center"/>
    </xf>
    <xf numFmtId="43" fontId="5" fillId="0" borderId="6" xfId="6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43" fontId="5" fillId="0" borderId="3" xfId="6" applyFont="1" applyFill="1" applyBorder="1" applyAlignment="1">
      <alignment horizontal="left" vertical="center"/>
    </xf>
    <xf numFmtId="43" fontId="5" fillId="0" borderId="8" xfId="6" applyFont="1" applyFill="1" applyBorder="1" applyAlignment="1">
      <alignment horizontal="left" vertical="center"/>
    </xf>
    <xf numFmtId="14" fontId="5" fillId="0" borderId="3" xfId="0" applyNumberFormat="1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43" fontId="5" fillId="0" borderId="10" xfId="6" applyFont="1" applyFill="1" applyBorder="1" applyAlignment="1">
      <alignment horizontal="left" vertical="center"/>
    </xf>
    <xf numFmtId="43" fontId="5" fillId="0" borderId="11" xfId="6" applyFont="1" applyFill="1" applyBorder="1" applyAlignment="1">
      <alignment horizontal="left" vertical="center"/>
    </xf>
    <xf numFmtId="0" fontId="4" fillId="8" borderId="4" xfId="0" applyNumberFormat="1" applyFont="1" applyFill="1" applyBorder="1" applyAlignment="1" applyProtection="1">
      <alignment horizontal="right" vertical="center" wrapText="1"/>
    </xf>
    <xf numFmtId="0" fontId="4" fillId="8" borderId="5" xfId="0" applyNumberFormat="1" applyFont="1" applyFill="1" applyBorder="1" applyAlignment="1" applyProtection="1">
      <alignment horizontal="right" vertical="center" wrapText="1"/>
    </xf>
    <xf numFmtId="0" fontId="4" fillId="8" borderId="22" xfId="0" applyFont="1" applyFill="1" applyBorder="1" applyAlignment="1">
      <alignment horizontal="center" vertical="center" wrapText="1"/>
    </xf>
    <xf numFmtId="0" fontId="4" fillId="8" borderId="23" xfId="0" applyFont="1" applyFill="1" applyBorder="1" applyAlignment="1">
      <alignment horizontal="center" vertical="center" wrapText="1"/>
    </xf>
    <xf numFmtId="43" fontId="4" fillId="8" borderId="23" xfId="6" applyFont="1" applyFill="1" applyBorder="1" applyAlignment="1">
      <alignment horizontal="center" vertical="center" wrapText="1"/>
    </xf>
    <xf numFmtId="43" fontId="4" fillId="8" borderId="24" xfId="6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left" vertical="center" wrapText="1"/>
    </xf>
    <xf numFmtId="0" fontId="7" fillId="2" borderId="18" xfId="0" applyNumberFormat="1" applyFont="1" applyFill="1" applyBorder="1" applyAlignment="1" applyProtection="1">
      <alignment horizontal="right" vertical="center" wrapText="1"/>
    </xf>
    <xf numFmtId="0" fontId="7" fillId="2" borderId="19" xfId="0" applyNumberFormat="1" applyFont="1" applyFill="1" applyBorder="1" applyAlignment="1" applyProtection="1">
      <alignment horizontal="right" vertical="center" wrapTex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  <cellStyle name="Vírgula" xfId="6" builtinId="3"/>
  </cellStyles>
  <dxfs count="0"/>
  <tableStyles count="0" defaultTableStyle="TableStyleMedium2" defaultPivotStyle="PivotStyleLight16"/>
  <colors>
    <mruColors>
      <color rgb="FFFE3400"/>
      <color rgb="FF121212"/>
      <color rgb="FF95B3D7"/>
      <color rgb="FF98B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472440</xdr:colOff>
      <xdr:row>1</xdr:row>
      <xdr:rowOff>53339</xdr:rowOff>
    </xdr:from>
    <xdr:to>
      <xdr:col>5</xdr:col>
      <xdr:colOff>341267</xdr:colOff>
      <xdr:row>3</xdr:row>
      <xdr:rowOff>90516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EF9AACE-4B71-4306-B4EB-E35591342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3333" y="216625"/>
          <a:ext cx="2250077" cy="3637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7"/>
  <sheetViews>
    <sheetView showGridLines="0" tabSelected="1" topLeftCell="A10" zoomScale="106" zoomScaleNormal="106" workbookViewId="0">
      <selection activeCell="B10" sqref="B10:F10"/>
    </sheetView>
  </sheetViews>
  <sheetFormatPr defaultColWidth="9.140625" defaultRowHeight="19.5" x14ac:dyDescent="0.2"/>
  <cols>
    <col min="1" max="1" width="14.85546875" style="9" customWidth="1"/>
    <col min="2" max="2" width="60.5703125" style="9" customWidth="1"/>
    <col min="3" max="3" width="4.85546875" style="9" customWidth="1"/>
    <col min="4" max="4" width="15.7109375" style="9" customWidth="1"/>
    <col min="5" max="5" width="19.28515625" style="9" bestFit="1" customWidth="1"/>
    <col min="6" max="6" width="13.85546875" style="10" bestFit="1" customWidth="1"/>
    <col min="7" max="7" width="9.140625" style="1"/>
    <col min="8" max="8" width="14.140625" style="1" bestFit="1" customWidth="1"/>
    <col min="9" max="16384" width="9.140625" style="1"/>
  </cols>
  <sheetData>
    <row r="1" spans="1:6" ht="12.75" customHeight="1" x14ac:dyDescent="0.2">
      <c r="A1" s="62" t="s">
        <v>2170</v>
      </c>
      <c r="B1" s="62"/>
      <c r="C1" s="62"/>
      <c r="D1" s="63"/>
      <c r="E1" s="63"/>
      <c r="F1" s="63"/>
    </row>
    <row r="2" spans="1:6" ht="12.75" customHeight="1" x14ac:dyDescent="0.2">
      <c r="A2" s="62"/>
      <c r="B2" s="62"/>
      <c r="C2" s="62"/>
      <c r="D2" s="63"/>
      <c r="E2" s="63"/>
      <c r="F2" s="63"/>
    </row>
    <row r="3" spans="1:6" ht="12.75" customHeight="1" x14ac:dyDescent="0.2">
      <c r="A3" s="62"/>
      <c r="B3" s="62"/>
      <c r="C3" s="62"/>
      <c r="D3" s="63"/>
      <c r="E3" s="63"/>
      <c r="F3" s="63"/>
    </row>
    <row r="4" spans="1:6" ht="12.75" customHeight="1" x14ac:dyDescent="0.2">
      <c r="A4" s="62"/>
      <c r="B4" s="62"/>
      <c r="C4" s="62"/>
      <c r="D4" s="63"/>
      <c r="E4" s="63"/>
      <c r="F4" s="63"/>
    </row>
    <row r="5" spans="1:6" ht="13.5" customHeight="1" x14ac:dyDescent="0.2">
      <c r="A5" s="62"/>
      <c r="B5" s="62"/>
      <c r="C5" s="62"/>
      <c r="D5" s="63"/>
      <c r="E5" s="63"/>
      <c r="F5" s="63"/>
    </row>
    <row r="6" spans="1:6" ht="20.25" thickBot="1" x14ac:dyDescent="0.25">
      <c r="A6" s="5"/>
      <c r="B6" s="6"/>
      <c r="C6" s="6"/>
      <c r="D6" s="7"/>
      <c r="E6" s="7"/>
      <c r="F6" s="8"/>
    </row>
    <row r="7" spans="1:6" x14ac:dyDescent="0.2">
      <c r="A7" s="11" t="s">
        <v>2171</v>
      </c>
      <c r="B7" s="64" t="s">
        <v>2174</v>
      </c>
      <c r="C7" s="64"/>
      <c r="D7" s="65"/>
      <c r="E7" s="65"/>
      <c r="F7" s="66"/>
    </row>
    <row r="8" spans="1:6" x14ac:dyDescent="0.2">
      <c r="A8" s="12" t="s">
        <v>0</v>
      </c>
      <c r="B8" s="67" t="s">
        <v>2174</v>
      </c>
      <c r="C8" s="67"/>
      <c r="D8" s="68"/>
      <c r="E8" s="68"/>
      <c r="F8" s="69"/>
    </row>
    <row r="9" spans="1:6" x14ac:dyDescent="0.2">
      <c r="A9" s="12" t="s">
        <v>2172</v>
      </c>
      <c r="B9" s="70">
        <v>44476</v>
      </c>
      <c r="C9" s="70"/>
      <c r="D9" s="68"/>
      <c r="E9" s="68"/>
      <c r="F9" s="69"/>
    </row>
    <row r="10" spans="1:6" ht="20.25" thickBot="1" x14ac:dyDescent="0.25">
      <c r="A10" s="13" t="s">
        <v>2173</v>
      </c>
      <c r="B10" s="71" t="s">
        <v>2224</v>
      </c>
      <c r="C10" s="71"/>
      <c r="D10" s="72"/>
      <c r="E10" s="72"/>
      <c r="F10" s="73"/>
    </row>
    <row r="11" spans="1:6" ht="20.25" thickBot="1" x14ac:dyDescent="0.25">
      <c r="D11" s="10"/>
      <c r="E11" s="10"/>
    </row>
    <row r="12" spans="1:6" ht="21" customHeight="1" thickBot="1" x14ac:dyDescent="0.25">
      <c r="A12" s="76" t="s">
        <v>8</v>
      </c>
      <c r="B12" s="77"/>
      <c r="C12" s="77"/>
      <c r="D12" s="78"/>
      <c r="E12" s="78"/>
      <c r="F12" s="79"/>
    </row>
    <row r="13" spans="1:6" s="3" customFormat="1" ht="39" x14ac:dyDescent="0.2">
      <c r="A13" s="38" t="s">
        <v>1</v>
      </c>
      <c r="B13" s="38" t="s">
        <v>2</v>
      </c>
      <c r="C13" s="38" t="s">
        <v>3</v>
      </c>
      <c r="D13" s="38" t="s">
        <v>4</v>
      </c>
      <c r="E13" s="38" t="s">
        <v>5</v>
      </c>
      <c r="F13" s="39" t="s">
        <v>6</v>
      </c>
    </row>
    <row r="14" spans="1:6" x14ac:dyDescent="0.2">
      <c r="A14" s="34" t="s">
        <v>7</v>
      </c>
      <c r="B14" s="35" t="s">
        <v>8</v>
      </c>
      <c r="C14" s="35"/>
      <c r="D14" s="36"/>
      <c r="E14" s="36"/>
      <c r="F14" s="37">
        <f>+F15+F31</f>
        <v>482000</v>
      </c>
    </row>
    <row r="15" spans="1:6" x14ac:dyDescent="0.2">
      <c r="A15" s="18" t="s">
        <v>9</v>
      </c>
      <c r="B15" s="19" t="s">
        <v>10</v>
      </c>
      <c r="C15" s="19"/>
      <c r="D15" s="20"/>
      <c r="E15" s="20"/>
      <c r="F15" s="21">
        <f>+F16+F19+F27+F29</f>
        <v>394500</v>
      </c>
    </row>
    <row r="16" spans="1:6" x14ac:dyDescent="0.2">
      <c r="A16" s="22" t="s">
        <v>11</v>
      </c>
      <c r="B16" s="23" t="s">
        <v>12</v>
      </c>
      <c r="C16" s="23"/>
      <c r="D16" s="24"/>
      <c r="E16" s="24"/>
      <c r="F16" s="25">
        <f>+F17+F18</f>
        <v>26500</v>
      </c>
    </row>
    <row r="17" spans="1:6" x14ac:dyDescent="0.2">
      <c r="A17" s="26" t="s">
        <v>13</v>
      </c>
      <c r="B17" s="27" t="s">
        <v>14</v>
      </c>
      <c r="C17" s="27" t="s">
        <v>15</v>
      </c>
      <c r="D17" s="28">
        <v>1</v>
      </c>
      <c r="E17" s="29">
        <v>18000</v>
      </c>
      <c r="F17" s="30">
        <f>+D17*E17</f>
        <v>18000</v>
      </c>
    </row>
    <row r="18" spans="1:6" x14ac:dyDescent="0.2">
      <c r="A18" s="26" t="s">
        <v>16</v>
      </c>
      <c r="B18" s="27" t="s">
        <v>17</v>
      </c>
      <c r="C18" s="27" t="s">
        <v>15</v>
      </c>
      <c r="D18" s="28">
        <v>1</v>
      </c>
      <c r="E18" s="31">
        <v>8500</v>
      </c>
      <c r="F18" s="30">
        <f>+D18*E18</f>
        <v>8500</v>
      </c>
    </row>
    <row r="19" spans="1:6" x14ac:dyDescent="0.2">
      <c r="A19" s="22" t="s">
        <v>18</v>
      </c>
      <c r="B19" s="23" t="s">
        <v>19</v>
      </c>
      <c r="C19" s="23"/>
      <c r="D19" s="24"/>
      <c r="E19" s="24"/>
      <c r="F19" s="25">
        <f>SUM(F20:F26)</f>
        <v>331500</v>
      </c>
    </row>
    <row r="20" spans="1:6" x14ac:dyDescent="0.2">
      <c r="A20" s="26" t="s">
        <v>20</v>
      </c>
      <c r="B20" s="27" t="s">
        <v>21</v>
      </c>
      <c r="C20" s="27" t="s">
        <v>15</v>
      </c>
      <c r="D20" s="28">
        <v>1</v>
      </c>
      <c r="E20" s="32">
        <v>214500</v>
      </c>
      <c r="F20" s="30">
        <f t="shared" ref="F20:F26" si="0">+D20*E20</f>
        <v>214500</v>
      </c>
    </row>
    <row r="21" spans="1:6" x14ac:dyDescent="0.2">
      <c r="A21" s="26" t="s">
        <v>22</v>
      </c>
      <c r="B21" s="27" t="s">
        <v>23</v>
      </c>
      <c r="C21" s="27" t="s">
        <v>15</v>
      </c>
      <c r="D21" s="28">
        <v>1</v>
      </c>
      <c r="E21" s="29">
        <v>30000</v>
      </c>
      <c r="F21" s="30">
        <f t="shared" si="0"/>
        <v>30000</v>
      </c>
    </row>
    <row r="22" spans="1:6" x14ac:dyDescent="0.2">
      <c r="A22" s="26" t="s">
        <v>24</v>
      </c>
      <c r="B22" s="27" t="s">
        <v>25</v>
      </c>
      <c r="C22" s="27" t="s">
        <v>15</v>
      </c>
      <c r="D22" s="28">
        <v>1</v>
      </c>
      <c r="E22" s="31">
        <v>7000</v>
      </c>
      <c r="F22" s="30">
        <f t="shared" si="0"/>
        <v>7000</v>
      </c>
    </row>
    <row r="23" spans="1:6" x14ac:dyDescent="0.2">
      <c r="A23" s="26" t="s">
        <v>26</v>
      </c>
      <c r="B23" s="27" t="s">
        <v>27</v>
      </c>
      <c r="C23" s="27" t="s">
        <v>15</v>
      </c>
      <c r="D23" s="28">
        <v>1</v>
      </c>
      <c r="E23" s="29">
        <v>15500</v>
      </c>
      <c r="F23" s="30">
        <f t="shared" si="0"/>
        <v>15500</v>
      </c>
    </row>
    <row r="24" spans="1:6" x14ac:dyDescent="0.2">
      <c r="A24" s="26" t="s">
        <v>28</v>
      </c>
      <c r="B24" s="27" t="s">
        <v>29</v>
      </c>
      <c r="C24" s="27" t="s">
        <v>15</v>
      </c>
      <c r="D24" s="28">
        <v>1</v>
      </c>
      <c r="E24" s="29">
        <v>40000</v>
      </c>
      <c r="F24" s="30">
        <f t="shared" si="0"/>
        <v>40000</v>
      </c>
    </row>
    <row r="25" spans="1:6" x14ac:dyDescent="0.2">
      <c r="A25" s="26" t="s">
        <v>30</v>
      </c>
      <c r="B25" s="27" t="s">
        <v>31</v>
      </c>
      <c r="C25" s="27" t="s">
        <v>15</v>
      </c>
      <c r="D25" s="28">
        <v>1</v>
      </c>
      <c r="E25" s="29">
        <v>11000</v>
      </c>
      <c r="F25" s="30">
        <f t="shared" si="0"/>
        <v>11000</v>
      </c>
    </row>
    <row r="26" spans="1:6" x14ac:dyDescent="0.2">
      <c r="A26" s="26" t="s">
        <v>32</v>
      </c>
      <c r="B26" s="27" t="s">
        <v>33</v>
      </c>
      <c r="C26" s="27" t="s">
        <v>15</v>
      </c>
      <c r="D26" s="28">
        <v>1</v>
      </c>
      <c r="E26" s="29">
        <v>13500</v>
      </c>
      <c r="F26" s="30">
        <f t="shared" si="0"/>
        <v>13500</v>
      </c>
    </row>
    <row r="27" spans="1:6" x14ac:dyDescent="0.2">
      <c r="A27" s="22" t="s">
        <v>34</v>
      </c>
      <c r="B27" s="23" t="s">
        <v>35</v>
      </c>
      <c r="C27" s="23"/>
      <c r="D27" s="24"/>
      <c r="E27" s="24"/>
      <c r="F27" s="25">
        <f>+F28</f>
        <v>24000</v>
      </c>
    </row>
    <row r="28" spans="1:6" x14ac:dyDescent="0.2">
      <c r="A28" s="26" t="s">
        <v>36</v>
      </c>
      <c r="B28" s="27" t="s">
        <v>37</v>
      </c>
      <c r="C28" s="27" t="s">
        <v>15</v>
      </c>
      <c r="D28" s="28">
        <v>1</v>
      </c>
      <c r="E28" s="29">
        <v>24000</v>
      </c>
      <c r="F28" s="30">
        <f>+D28*E28</f>
        <v>24000</v>
      </c>
    </row>
    <row r="29" spans="1:6" x14ac:dyDescent="0.2">
      <c r="A29" s="22" t="s">
        <v>38</v>
      </c>
      <c r="B29" s="23" t="s">
        <v>39</v>
      </c>
      <c r="C29" s="23"/>
      <c r="D29" s="24"/>
      <c r="E29" s="24"/>
      <c r="F29" s="25">
        <f>+F30</f>
        <v>12500</v>
      </c>
    </row>
    <row r="30" spans="1:6" x14ac:dyDescent="0.2">
      <c r="A30" s="26" t="s">
        <v>40</v>
      </c>
      <c r="B30" s="27" t="s">
        <v>41</v>
      </c>
      <c r="C30" s="27" t="s">
        <v>15</v>
      </c>
      <c r="D30" s="28">
        <v>1</v>
      </c>
      <c r="E30" s="31">
        <v>12500</v>
      </c>
      <c r="F30" s="30">
        <f>+D30*E30</f>
        <v>12500</v>
      </c>
    </row>
    <row r="31" spans="1:6" x14ac:dyDescent="0.2">
      <c r="A31" s="18" t="s">
        <v>42</v>
      </c>
      <c r="B31" s="19" t="s">
        <v>43</v>
      </c>
      <c r="C31" s="19"/>
      <c r="D31" s="20"/>
      <c r="E31" s="20"/>
      <c r="F31" s="21">
        <f>+F32+F38+F41</f>
        <v>87500</v>
      </c>
    </row>
    <row r="32" spans="1:6" x14ac:dyDescent="0.2">
      <c r="A32" s="22" t="s">
        <v>44</v>
      </c>
      <c r="B32" s="23" t="s">
        <v>45</v>
      </c>
      <c r="C32" s="23"/>
      <c r="D32" s="24"/>
      <c r="E32" s="24"/>
      <c r="F32" s="25">
        <f>SUM(F33:F37)</f>
        <v>59000</v>
      </c>
    </row>
    <row r="33" spans="1:6" x14ac:dyDescent="0.2">
      <c r="A33" s="26" t="s">
        <v>46</v>
      </c>
      <c r="B33" s="27" t="s">
        <v>47</v>
      </c>
      <c r="C33" s="27" t="s">
        <v>15</v>
      </c>
      <c r="D33" s="28">
        <v>1</v>
      </c>
      <c r="E33" s="29">
        <v>15500</v>
      </c>
      <c r="F33" s="30">
        <f t="shared" ref="F33:F37" si="1">+D33*E33</f>
        <v>15500</v>
      </c>
    </row>
    <row r="34" spans="1:6" x14ac:dyDescent="0.2">
      <c r="A34" s="26" t="s">
        <v>48</v>
      </c>
      <c r="B34" s="27" t="s">
        <v>49</v>
      </c>
      <c r="C34" s="27" t="s">
        <v>15</v>
      </c>
      <c r="D34" s="28">
        <v>1</v>
      </c>
      <c r="E34" s="29">
        <v>14500</v>
      </c>
      <c r="F34" s="30">
        <f t="shared" si="1"/>
        <v>14500</v>
      </c>
    </row>
    <row r="35" spans="1:6" x14ac:dyDescent="0.2">
      <c r="A35" s="26" t="s">
        <v>50</v>
      </c>
      <c r="B35" s="27" t="s">
        <v>51</v>
      </c>
      <c r="C35" s="27" t="s">
        <v>15</v>
      </c>
      <c r="D35" s="28">
        <v>1</v>
      </c>
      <c r="E35" s="31">
        <v>5000</v>
      </c>
      <c r="F35" s="30">
        <f t="shared" si="1"/>
        <v>5000</v>
      </c>
    </row>
    <row r="36" spans="1:6" x14ac:dyDescent="0.2">
      <c r="A36" s="26" t="s">
        <v>52</v>
      </c>
      <c r="B36" s="27" t="s">
        <v>53</v>
      </c>
      <c r="C36" s="27" t="s">
        <v>15</v>
      </c>
      <c r="D36" s="28">
        <v>1</v>
      </c>
      <c r="E36" s="31">
        <v>9000</v>
      </c>
      <c r="F36" s="30">
        <f t="shared" si="1"/>
        <v>9000</v>
      </c>
    </row>
    <row r="37" spans="1:6" x14ac:dyDescent="0.2">
      <c r="A37" s="26" t="s">
        <v>54</v>
      </c>
      <c r="B37" s="27" t="s">
        <v>55</v>
      </c>
      <c r="C37" s="27" t="s">
        <v>15</v>
      </c>
      <c r="D37" s="28">
        <v>1</v>
      </c>
      <c r="E37" s="29">
        <v>15000</v>
      </c>
      <c r="F37" s="30">
        <f t="shared" si="1"/>
        <v>15000</v>
      </c>
    </row>
    <row r="38" spans="1:6" x14ac:dyDescent="0.2">
      <c r="A38" s="22" t="s">
        <v>56</v>
      </c>
      <c r="B38" s="23" t="s">
        <v>57</v>
      </c>
      <c r="C38" s="23"/>
      <c r="D38" s="24"/>
      <c r="E38" s="24"/>
      <c r="F38" s="25">
        <f>+F39+F40</f>
        <v>22000</v>
      </c>
    </row>
    <row r="39" spans="1:6" x14ac:dyDescent="0.2">
      <c r="A39" s="26" t="s">
        <v>58</v>
      </c>
      <c r="B39" s="27" t="s">
        <v>59</v>
      </c>
      <c r="C39" s="27" t="s">
        <v>15</v>
      </c>
      <c r="D39" s="28">
        <v>1</v>
      </c>
      <c r="E39" s="31">
        <v>5500</v>
      </c>
      <c r="F39" s="30">
        <f t="shared" ref="F39:F40" si="2">+D39*E39</f>
        <v>5500</v>
      </c>
    </row>
    <row r="40" spans="1:6" x14ac:dyDescent="0.2">
      <c r="A40" s="26" t="s">
        <v>60</v>
      </c>
      <c r="B40" s="27" t="s">
        <v>61</v>
      </c>
      <c r="C40" s="27" t="s">
        <v>15</v>
      </c>
      <c r="D40" s="28">
        <v>1</v>
      </c>
      <c r="E40" s="29">
        <v>16500</v>
      </c>
      <c r="F40" s="30">
        <f t="shared" si="2"/>
        <v>16500</v>
      </c>
    </row>
    <row r="41" spans="1:6" x14ac:dyDescent="0.2">
      <c r="A41" s="22" t="s">
        <v>62</v>
      </c>
      <c r="B41" s="23" t="s">
        <v>63</v>
      </c>
      <c r="C41" s="23"/>
      <c r="D41" s="24"/>
      <c r="E41" s="24"/>
      <c r="F41" s="25">
        <f>+F42</f>
        <v>6500</v>
      </c>
    </row>
    <row r="42" spans="1:6" x14ac:dyDescent="0.2">
      <c r="A42" s="26" t="s">
        <v>64</v>
      </c>
      <c r="B42" s="27" t="s">
        <v>65</v>
      </c>
      <c r="C42" s="27" t="s">
        <v>15</v>
      </c>
      <c r="D42" s="28">
        <v>1</v>
      </c>
      <c r="E42" s="31">
        <v>6500</v>
      </c>
      <c r="F42" s="30">
        <f>+D42*E42</f>
        <v>6500</v>
      </c>
    </row>
    <row r="43" spans="1:6" ht="20.25" thickBot="1" x14ac:dyDescent="0.25">
      <c r="A43" s="81" t="s">
        <v>66</v>
      </c>
      <c r="B43" s="82"/>
      <c r="C43" s="82"/>
      <c r="D43" s="82"/>
      <c r="E43" s="82"/>
      <c r="F43" s="33">
        <f>+F14</f>
        <v>482000</v>
      </c>
    </row>
    <row r="44" spans="1:6" ht="10.9" customHeight="1" thickBot="1" x14ac:dyDescent="0.25">
      <c r="A44" s="80"/>
      <c r="B44" s="80"/>
      <c r="C44" s="80"/>
      <c r="D44" s="80"/>
      <c r="E44" s="80"/>
      <c r="F44" s="80"/>
    </row>
    <row r="45" spans="1:6" ht="21" customHeight="1" thickBot="1" x14ac:dyDescent="0.25">
      <c r="A45" s="76" t="s">
        <v>67</v>
      </c>
      <c r="B45" s="77"/>
      <c r="C45" s="77"/>
      <c r="D45" s="78"/>
      <c r="E45" s="78"/>
      <c r="F45" s="79"/>
    </row>
    <row r="46" spans="1:6" ht="39" x14ac:dyDescent="0.2">
      <c r="A46" s="40" t="s">
        <v>1</v>
      </c>
      <c r="B46" s="38" t="s">
        <v>2</v>
      </c>
      <c r="C46" s="38" t="s">
        <v>3</v>
      </c>
      <c r="D46" s="38" t="s">
        <v>4</v>
      </c>
      <c r="E46" s="38" t="s">
        <v>5</v>
      </c>
      <c r="F46" s="41" t="s">
        <v>6</v>
      </c>
    </row>
    <row r="47" spans="1:6" x14ac:dyDescent="0.2">
      <c r="A47" s="14" t="s">
        <v>7</v>
      </c>
      <c r="B47" s="15" t="s">
        <v>67</v>
      </c>
      <c r="C47" s="15"/>
      <c r="D47" s="16"/>
      <c r="E47" s="16"/>
      <c r="F47" s="17">
        <f>F48+F67+F94</f>
        <v>2879698.6383870002</v>
      </c>
    </row>
    <row r="48" spans="1:6" x14ac:dyDescent="0.2">
      <c r="A48" s="18" t="s">
        <v>9</v>
      </c>
      <c r="B48" s="19" t="s">
        <v>68</v>
      </c>
      <c r="C48" s="19"/>
      <c r="D48" s="20"/>
      <c r="E48" s="20"/>
      <c r="F48" s="21">
        <f>F49+F51+F62+F65</f>
        <v>173175.21755000003</v>
      </c>
    </row>
    <row r="49" spans="1:6" x14ac:dyDescent="0.2">
      <c r="A49" s="22" t="s">
        <v>11</v>
      </c>
      <c r="B49" s="23" t="s">
        <v>69</v>
      </c>
      <c r="C49" s="23"/>
      <c r="D49" s="24"/>
      <c r="E49" s="24"/>
      <c r="F49" s="25">
        <f>F50</f>
        <v>12500</v>
      </c>
    </row>
    <row r="50" spans="1:6" ht="39" x14ac:dyDescent="0.2">
      <c r="A50" s="26" t="s">
        <v>13</v>
      </c>
      <c r="B50" s="27" t="s">
        <v>70</v>
      </c>
      <c r="C50" s="27" t="s">
        <v>71</v>
      </c>
      <c r="D50" s="42">
        <v>50</v>
      </c>
      <c r="E50" s="43">
        <v>250</v>
      </c>
      <c r="F50" s="30">
        <f t="shared" ref="F50:F66" si="3">+D50*E50</f>
        <v>12500</v>
      </c>
    </row>
    <row r="51" spans="1:6" x14ac:dyDescent="0.2">
      <c r="A51" s="22" t="s">
        <v>18</v>
      </c>
      <c r="B51" s="23" t="s">
        <v>72</v>
      </c>
      <c r="C51" s="23"/>
      <c r="D51" s="24"/>
      <c r="E51" s="24"/>
      <c r="F51" s="25">
        <f>SUM(F52:F61)</f>
        <v>153675.21755000003</v>
      </c>
    </row>
    <row r="52" spans="1:6" x14ac:dyDescent="0.2">
      <c r="A52" s="26" t="s">
        <v>20</v>
      </c>
      <c r="B52" s="27" t="s">
        <v>73</v>
      </c>
      <c r="C52" s="27" t="s">
        <v>74</v>
      </c>
      <c r="D52" s="42">
        <v>99.3</v>
      </c>
      <c r="E52" s="43">
        <v>368.7851</v>
      </c>
      <c r="F52" s="30">
        <f t="shared" si="3"/>
        <v>36620.360430000001</v>
      </c>
    </row>
    <row r="53" spans="1:6" x14ac:dyDescent="0.2">
      <c r="A53" s="26" t="s">
        <v>22</v>
      </c>
      <c r="B53" s="27" t="s">
        <v>75</v>
      </c>
      <c r="C53" s="27" t="s">
        <v>74</v>
      </c>
      <c r="D53" s="43">
        <v>198.6</v>
      </c>
      <c r="E53" s="43">
        <v>279.13260000000002</v>
      </c>
      <c r="F53" s="30">
        <f t="shared" si="3"/>
        <v>55435.734360000002</v>
      </c>
    </row>
    <row r="54" spans="1:6" ht="39" x14ac:dyDescent="0.2">
      <c r="A54" s="26" t="s">
        <v>24</v>
      </c>
      <c r="B54" s="27" t="s">
        <v>76</v>
      </c>
      <c r="C54" s="27" t="s">
        <v>74</v>
      </c>
      <c r="D54" s="42">
        <v>89.06</v>
      </c>
      <c r="E54" s="42">
        <v>39.960799999999999</v>
      </c>
      <c r="F54" s="30">
        <f t="shared" si="3"/>
        <v>3558.908848</v>
      </c>
    </row>
    <row r="55" spans="1:6" x14ac:dyDescent="0.2">
      <c r="A55" s="26" t="s">
        <v>26</v>
      </c>
      <c r="B55" s="27" t="s">
        <v>77</v>
      </c>
      <c r="C55" s="27" t="s">
        <v>74</v>
      </c>
      <c r="D55" s="43">
        <v>114.91</v>
      </c>
      <c r="E55" s="42">
        <v>14.216799999999999</v>
      </c>
      <c r="F55" s="30">
        <f t="shared" si="3"/>
        <v>1633.6524879999999</v>
      </c>
    </row>
    <row r="56" spans="1:6" x14ac:dyDescent="0.2">
      <c r="A56" s="26" t="s">
        <v>28</v>
      </c>
      <c r="B56" s="27" t="s">
        <v>78</v>
      </c>
      <c r="C56" s="27" t="s">
        <v>74</v>
      </c>
      <c r="D56" s="42">
        <v>99.51</v>
      </c>
      <c r="E56" s="42">
        <v>14.216799999999999</v>
      </c>
      <c r="F56" s="30">
        <f t="shared" si="3"/>
        <v>1414.7137680000001</v>
      </c>
    </row>
    <row r="57" spans="1:6" ht="39" x14ac:dyDescent="0.2">
      <c r="A57" s="26" t="s">
        <v>30</v>
      </c>
      <c r="B57" s="27" t="s">
        <v>79</v>
      </c>
      <c r="C57" s="27" t="s">
        <v>80</v>
      </c>
      <c r="D57" s="42">
        <v>96</v>
      </c>
      <c r="E57" s="42">
        <v>32.359499999999997</v>
      </c>
      <c r="F57" s="30">
        <f t="shared" si="3"/>
        <v>3106.5119999999997</v>
      </c>
    </row>
    <row r="58" spans="1:6" ht="39" x14ac:dyDescent="0.2">
      <c r="A58" s="26" t="s">
        <v>32</v>
      </c>
      <c r="B58" s="27" t="s">
        <v>81</v>
      </c>
      <c r="C58" s="27" t="s">
        <v>80</v>
      </c>
      <c r="D58" s="42">
        <v>58.24</v>
      </c>
      <c r="E58" s="42">
        <v>56.766100000000002</v>
      </c>
      <c r="F58" s="30">
        <f t="shared" si="3"/>
        <v>3306.0576640000004</v>
      </c>
    </row>
    <row r="59" spans="1:6" x14ac:dyDescent="0.2">
      <c r="A59" s="26" t="s">
        <v>82</v>
      </c>
      <c r="B59" s="27" t="s">
        <v>83</v>
      </c>
      <c r="C59" s="27" t="s">
        <v>15</v>
      </c>
      <c r="D59" s="28">
        <v>1</v>
      </c>
      <c r="E59" s="31">
        <v>4500</v>
      </c>
      <c r="F59" s="30">
        <f t="shared" si="3"/>
        <v>4500</v>
      </c>
    </row>
    <row r="60" spans="1:6" x14ac:dyDescent="0.2">
      <c r="A60" s="26" t="s">
        <v>84</v>
      </c>
      <c r="B60" s="27" t="s">
        <v>85</v>
      </c>
      <c r="C60" s="27" t="s">
        <v>80</v>
      </c>
      <c r="D60" s="31">
        <v>4446.16</v>
      </c>
      <c r="E60" s="28">
        <v>9.4237000000000002</v>
      </c>
      <c r="F60" s="30">
        <f t="shared" si="3"/>
        <v>41899.277992000003</v>
      </c>
    </row>
    <row r="61" spans="1:6" x14ac:dyDescent="0.2">
      <c r="A61" s="26" t="s">
        <v>86</v>
      </c>
      <c r="B61" s="27" t="s">
        <v>87</v>
      </c>
      <c r="C61" s="27" t="s">
        <v>15</v>
      </c>
      <c r="D61" s="28">
        <v>1</v>
      </c>
      <c r="E61" s="31">
        <v>2200</v>
      </c>
      <c r="F61" s="30">
        <f t="shared" si="3"/>
        <v>2200</v>
      </c>
    </row>
    <row r="62" spans="1:6" x14ac:dyDescent="0.2">
      <c r="A62" s="22" t="s">
        <v>34</v>
      </c>
      <c r="B62" s="23" t="s">
        <v>88</v>
      </c>
      <c r="C62" s="23"/>
      <c r="D62" s="24"/>
      <c r="E62" s="24"/>
      <c r="F62" s="25">
        <f>SUM(F63:F64)</f>
        <v>5500</v>
      </c>
    </row>
    <row r="63" spans="1:6" ht="39" x14ac:dyDescent="0.2">
      <c r="A63" s="26" t="s">
        <v>36</v>
      </c>
      <c r="B63" s="27" t="s">
        <v>89</v>
      </c>
      <c r="C63" s="27" t="s">
        <v>15</v>
      </c>
      <c r="D63" s="28">
        <v>1</v>
      </c>
      <c r="E63" s="31">
        <v>1500</v>
      </c>
      <c r="F63" s="30">
        <f t="shared" si="3"/>
        <v>1500</v>
      </c>
    </row>
    <row r="64" spans="1:6" ht="39" x14ac:dyDescent="0.2">
      <c r="A64" s="26" t="s">
        <v>90</v>
      </c>
      <c r="B64" s="27" t="s">
        <v>91</v>
      </c>
      <c r="C64" s="27" t="s">
        <v>15</v>
      </c>
      <c r="D64" s="28">
        <v>1</v>
      </c>
      <c r="E64" s="31">
        <v>4000</v>
      </c>
      <c r="F64" s="30">
        <f t="shared" si="3"/>
        <v>4000</v>
      </c>
    </row>
    <row r="65" spans="1:6" x14ac:dyDescent="0.2">
      <c r="A65" s="22" t="s">
        <v>38</v>
      </c>
      <c r="B65" s="23" t="s">
        <v>92</v>
      </c>
      <c r="C65" s="23"/>
      <c r="D65" s="24"/>
      <c r="E65" s="24"/>
      <c r="F65" s="25">
        <f>F66</f>
        <v>1500</v>
      </c>
    </row>
    <row r="66" spans="1:6" ht="39" x14ac:dyDescent="0.2">
      <c r="A66" s="26" t="s">
        <v>40</v>
      </c>
      <c r="B66" s="27" t="s">
        <v>93</v>
      </c>
      <c r="C66" s="27" t="s">
        <v>15</v>
      </c>
      <c r="D66" s="28">
        <v>1</v>
      </c>
      <c r="E66" s="31">
        <v>1500</v>
      </c>
      <c r="F66" s="30">
        <f t="shared" si="3"/>
        <v>1500</v>
      </c>
    </row>
    <row r="67" spans="1:6" x14ac:dyDescent="0.2">
      <c r="A67" s="18" t="s">
        <v>42</v>
      </c>
      <c r="B67" s="19" t="s">
        <v>94</v>
      </c>
      <c r="C67" s="19"/>
      <c r="D67" s="20"/>
      <c r="E67" s="20"/>
      <c r="F67" s="21">
        <f>F68+F79+F88</f>
        <v>2101623.420837</v>
      </c>
    </row>
    <row r="68" spans="1:6" x14ac:dyDescent="0.2">
      <c r="A68" s="22" t="s">
        <v>44</v>
      </c>
      <c r="B68" s="23" t="s">
        <v>95</v>
      </c>
      <c r="C68" s="23"/>
      <c r="D68" s="24"/>
      <c r="E68" s="24"/>
      <c r="F68" s="25">
        <f>SUM(F69:F78)</f>
        <v>1862500</v>
      </c>
    </row>
    <row r="69" spans="1:6" ht="39" x14ac:dyDescent="0.2">
      <c r="A69" s="26" t="s">
        <v>46</v>
      </c>
      <c r="B69" s="27" t="s">
        <v>96</v>
      </c>
      <c r="C69" s="27" t="s">
        <v>71</v>
      </c>
      <c r="D69" s="42">
        <v>50</v>
      </c>
      <c r="E69" s="31">
        <v>8000</v>
      </c>
      <c r="F69" s="30">
        <f t="shared" ref="F69:F93" si="4">+D69*E69</f>
        <v>400000</v>
      </c>
    </row>
    <row r="70" spans="1:6" ht="39" x14ac:dyDescent="0.2">
      <c r="A70" s="26" t="s">
        <v>48</v>
      </c>
      <c r="B70" s="27" t="s">
        <v>97</v>
      </c>
      <c r="C70" s="27" t="s">
        <v>71</v>
      </c>
      <c r="D70" s="42">
        <v>50</v>
      </c>
      <c r="E70" s="31">
        <v>6000</v>
      </c>
      <c r="F70" s="30">
        <f t="shared" si="4"/>
        <v>300000</v>
      </c>
    </row>
    <row r="71" spans="1:6" ht="39" x14ac:dyDescent="0.2">
      <c r="A71" s="26" t="s">
        <v>50</v>
      </c>
      <c r="B71" s="27" t="s">
        <v>98</v>
      </c>
      <c r="C71" s="27" t="s">
        <v>71</v>
      </c>
      <c r="D71" s="42">
        <v>50</v>
      </c>
      <c r="E71" s="31">
        <v>3500</v>
      </c>
      <c r="F71" s="30">
        <f t="shared" si="4"/>
        <v>175000</v>
      </c>
    </row>
    <row r="72" spans="1:6" ht="39" x14ac:dyDescent="0.2">
      <c r="A72" s="26" t="s">
        <v>52</v>
      </c>
      <c r="B72" s="27" t="s">
        <v>99</v>
      </c>
      <c r="C72" s="27" t="s">
        <v>71</v>
      </c>
      <c r="D72" s="42">
        <v>50</v>
      </c>
      <c r="E72" s="31">
        <v>3500</v>
      </c>
      <c r="F72" s="30">
        <f t="shared" si="4"/>
        <v>175000</v>
      </c>
    </row>
    <row r="73" spans="1:6" ht="39" x14ac:dyDescent="0.2">
      <c r="A73" s="26" t="s">
        <v>54</v>
      </c>
      <c r="B73" s="27" t="s">
        <v>100</v>
      </c>
      <c r="C73" s="27" t="s">
        <v>71</v>
      </c>
      <c r="D73" s="42">
        <v>50</v>
      </c>
      <c r="E73" s="31">
        <v>4500</v>
      </c>
      <c r="F73" s="30">
        <f t="shared" si="4"/>
        <v>225000</v>
      </c>
    </row>
    <row r="74" spans="1:6" ht="39" x14ac:dyDescent="0.2">
      <c r="A74" s="26" t="s">
        <v>101</v>
      </c>
      <c r="B74" s="27" t="s">
        <v>102</v>
      </c>
      <c r="C74" s="27" t="s">
        <v>71</v>
      </c>
      <c r="D74" s="42">
        <v>50</v>
      </c>
      <c r="E74" s="31">
        <v>4000</v>
      </c>
      <c r="F74" s="30">
        <f t="shared" si="4"/>
        <v>200000</v>
      </c>
    </row>
    <row r="75" spans="1:6" ht="39" x14ac:dyDescent="0.2">
      <c r="A75" s="26" t="s">
        <v>103</v>
      </c>
      <c r="B75" s="27" t="s">
        <v>104</v>
      </c>
      <c r="C75" s="27" t="s">
        <v>71</v>
      </c>
      <c r="D75" s="42">
        <v>50</v>
      </c>
      <c r="E75" s="31">
        <v>4000</v>
      </c>
      <c r="F75" s="30">
        <f t="shared" si="4"/>
        <v>200000</v>
      </c>
    </row>
    <row r="76" spans="1:6" ht="39" x14ac:dyDescent="0.2">
      <c r="A76" s="26" t="s">
        <v>105</v>
      </c>
      <c r="B76" s="27" t="s">
        <v>106</v>
      </c>
      <c r="C76" s="27" t="s">
        <v>71</v>
      </c>
      <c r="D76" s="42">
        <v>50</v>
      </c>
      <c r="E76" s="31">
        <v>1200</v>
      </c>
      <c r="F76" s="30">
        <f t="shared" si="4"/>
        <v>60000</v>
      </c>
    </row>
    <row r="77" spans="1:6" ht="39" x14ac:dyDescent="0.2">
      <c r="A77" s="26" t="s">
        <v>107</v>
      </c>
      <c r="B77" s="27" t="s">
        <v>108</v>
      </c>
      <c r="C77" s="27" t="s">
        <v>71</v>
      </c>
      <c r="D77" s="42">
        <v>50</v>
      </c>
      <c r="E77" s="31">
        <v>2300</v>
      </c>
      <c r="F77" s="30">
        <f t="shared" si="4"/>
        <v>115000</v>
      </c>
    </row>
    <row r="78" spans="1:6" ht="39" x14ac:dyDescent="0.2">
      <c r="A78" s="26" t="s">
        <v>109</v>
      </c>
      <c r="B78" s="27" t="s">
        <v>110</v>
      </c>
      <c r="C78" s="27" t="s">
        <v>71</v>
      </c>
      <c r="D78" s="42">
        <v>50</v>
      </c>
      <c r="E78" s="43">
        <v>250</v>
      </c>
      <c r="F78" s="30">
        <f t="shared" si="4"/>
        <v>12500</v>
      </c>
    </row>
    <row r="79" spans="1:6" x14ac:dyDescent="0.2">
      <c r="A79" s="44" t="s">
        <v>2176</v>
      </c>
      <c r="B79" s="23" t="s">
        <v>111</v>
      </c>
      <c r="C79" s="23"/>
      <c r="D79" s="24"/>
      <c r="E79" s="24"/>
      <c r="F79" s="25">
        <f>SUM(F80:F87)</f>
        <v>167250</v>
      </c>
    </row>
    <row r="80" spans="1:6" x14ac:dyDescent="0.2">
      <c r="A80" s="26" t="s">
        <v>64</v>
      </c>
      <c r="B80" s="27" t="s">
        <v>112</v>
      </c>
      <c r="C80" s="27" t="s">
        <v>15</v>
      </c>
      <c r="D80" s="28">
        <v>1</v>
      </c>
      <c r="E80" s="29">
        <v>30000</v>
      </c>
      <c r="F80" s="30">
        <f t="shared" si="4"/>
        <v>30000</v>
      </c>
    </row>
    <row r="81" spans="1:6" ht="39" x14ac:dyDescent="0.2">
      <c r="A81" s="26" t="s">
        <v>113</v>
      </c>
      <c r="B81" s="27" t="s">
        <v>114</v>
      </c>
      <c r="C81" s="27" t="s">
        <v>71</v>
      </c>
      <c r="D81" s="42">
        <v>50</v>
      </c>
      <c r="E81" s="43">
        <v>750</v>
      </c>
      <c r="F81" s="30">
        <f t="shared" si="4"/>
        <v>37500</v>
      </c>
    </row>
    <row r="82" spans="1:6" ht="39" x14ac:dyDescent="0.2">
      <c r="A82" s="26" t="s">
        <v>115</v>
      </c>
      <c r="B82" s="27" t="s">
        <v>116</v>
      </c>
      <c r="C82" s="27" t="s">
        <v>71</v>
      </c>
      <c r="D82" s="42">
        <v>50</v>
      </c>
      <c r="E82" s="31">
        <v>1050</v>
      </c>
      <c r="F82" s="30">
        <f t="shared" si="4"/>
        <v>52500</v>
      </c>
    </row>
    <row r="83" spans="1:6" ht="39" x14ac:dyDescent="0.2">
      <c r="A83" s="26" t="s">
        <v>117</v>
      </c>
      <c r="B83" s="27" t="s">
        <v>118</v>
      </c>
      <c r="C83" s="27" t="s">
        <v>71</v>
      </c>
      <c r="D83" s="42">
        <v>50</v>
      </c>
      <c r="E83" s="43">
        <v>125</v>
      </c>
      <c r="F83" s="30">
        <f t="shared" si="4"/>
        <v>6250</v>
      </c>
    </row>
    <row r="84" spans="1:6" ht="39" x14ac:dyDescent="0.2">
      <c r="A84" s="26" t="s">
        <v>119</v>
      </c>
      <c r="B84" s="27" t="s">
        <v>120</v>
      </c>
      <c r="C84" s="27" t="s">
        <v>71</v>
      </c>
      <c r="D84" s="42">
        <v>50</v>
      </c>
      <c r="E84" s="43">
        <v>200</v>
      </c>
      <c r="F84" s="30">
        <f t="shared" si="4"/>
        <v>10000</v>
      </c>
    </row>
    <row r="85" spans="1:6" x14ac:dyDescent="0.2">
      <c r="A85" s="26" t="s">
        <v>121</v>
      </c>
      <c r="B85" s="27" t="s">
        <v>122</v>
      </c>
      <c r="C85" s="27" t="s">
        <v>15</v>
      </c>
      <c r="D85" s="42">
        <v>50</v>
      </c>
      <c r="E85" s="43">
        <v>350</v>
      </c>
      <c r="F85" s="30">
        <f t="shared" si="4"/>
        <v>17500</v>
      </c>
    </row>
    <row r="86" spans="1:6" x14ac:dyDescent="0.2">
      <c r="A86" s="26" t="s">
        <v>123</v>
      </c>
      <c r="B86" s="27" t="s">
        <v>124</v>
      </c>
      <c r="C86" s="27" t="s">
        <v>15</v>
      </c>
      <c r="D86" s="28">
        <v>1</v>
      </c>
      <c r="E86" s="31">
        <v>3500</v>
      </c>
      <c r="F86" s="30">
        <f t="shared" si="4"/>
        <v>3500</v>
      </c>
    </row>
    <row r="87" spans="1:6" x14ac:dyDescent="0.2">
      <c r="A87" s="26" t="s">
        <v>125</v>
      </c>
      <c r="B87" s="27" t="s">
        <v>126</v>
      </c>
      <c r="C87" s="27" t="s">
        <v>15</v>
      </c>
      <c r="D87" s="28">
        <v>1</v>
      </c>
      <c r="E87" s="29">
        <v>10000</v>
      </c>
      <c r="F87" s="30">
        <f t="shared" si="4"/>
        <v>10000</v>
      </c>
    </row>
    <row r="88" spans="1:6" x14ac:dyDescent="0.2">
      <c r="A88" s="22" t="s">
        <v>127</v>
      </c>
      <c r="B88" s="23" t="s">
        <v>128</v>
      </c>
      <c r="C88" s="23"/>
      <c r="D88" s="24"/>
      <c r="E88" s="24"/>
      <c r="F88" s="25">
        <f>SUM(F89:F93)</f>
        <v>71873.420836999998</v>
      </c>
    </row>
    <row r="89" spans="1:6" x14ac:dyDescent="0.2">
      <c r="A89" s="26" t="s">
        <v>129</v>
      </c>
      <c r="B89" s="27" t="s">
        <v>130</v>
      </c>
      <c r="C89" s="27" t="s">
        <v>15</v>
      </c>
      <c r="D89" s="28">
        <v>1</v>
      </c>
      <c r="E89" s="29">
        <v>25000</v>
      </c>
      <c r="F89" s="30">
        <f t="shared" si="4"/>
        <v>25000</v>
      </c>
    </row>
    <row r="90" spans="1:6" ht="39" x14ac:dyDescent="0.2">
      <c r="A90" s="26" t="s">
        <v>131</v>
      </c>
      <c r="B90" s="27" t="s">
        <v>132</v>
      </c>
      <c r="C90" s="27" t="s">
        <v>15</v>
      </c>
      <c r="D90" s="28">
        <v>1</v>
      </c>
      <c r="E90" s="29">
        <v>10100</v>
      </c>
      <c r="F90" s="30">
        <f t="shared" si="4"/>
        <v>10100</v>
      </c>
    </row>
    <row r="91" spans="1:6" x14ac:dyDescent="0.2">
      <c r="A91" s="26" t="s">
        <v>133</v>
      </c>
      <c r="B91" s="27" t="s">
        <v>134</v>
      </c>
      <c r="C91" s="27" t="s">
        <v>15</v>
      </c>
      <c r="D91" s="28">
        <v>1</v>
      </c>
      <c r="E91" s="29">
        <v>12000</v>
      </c>
      <c r="F91" s="30">
        <f t="shared" si="4"/>
        <v>12000</v>
      </c>
    </row>
    <row r="92" spans="1:6" ht="39" x14ac:dyDescent="0.2">
      <c r="A92" s="26" t="s">
        <v>135</v>
      </c>
      <c r="B92" s="27" t="s">
        <v>136</v>
      </c>
      <c r="C92" s="27" t="s">
        <v>71</v>
      </c>
      <c r="D92" s="42">
        <v>36</v>
      </c>
      <c r="E92" s="43">
        <v>550</v>
      </c>
      <c r="F92" s="30">
        <f t="shared" si="4"/>
        <v>19800</v>
      </c>
    </row>
    <row r="93" spans="1:6" x14ac:dyDescent="0.2">
      <c r="A93" s="26" t="s">
        <v>137</v>
      </c>
      <c r="B93" s="27" t="s">
        <v>138</v>
      </c>
      <c r="C93" s="27" t="s">
        <v>80</v>
      </c>
      <c r="D93" s="42">
        <v>68.53</v>
      </c>
      <c r="E93" s="42">
        <v>72.572900000000004</v>
      </c>
      <c r="F93" s="30">
        <f t="shared" si="4"/>
        <v>4973.4208370000006</v>
      </c>
    </row>
    <row r="94" spans="1:6" x14ac:dyDescent="0.2">
      <c r="A94" s="18" t="s">
        <v>139</v>
      </c>
      <c r="B94" s="19" t="s">
        <v>140</v>
      </c>
      <c r="C94" s="19"/>
      <c r="D94" s="20"/>
      <c r="E94" s="20"/>
      <c r="F94" s="21">
        <f>F95+F98</f>
        <v>604900</v>
      </c>
    </row>
    <row r="95" spans="1:6" x14ac:dyDescent="0.2">
      <c r="A95" s="22" t="s">
        <v>141</v>
      </c>
      <c r="B95" s="23" t="s">
        <v>142</v>
      </c>
      <c r="C95" s="23"/>
      <c r="D95" s="24"/>
      <c r="E95" s="24"/>
      <c r="F95" s="25">
        <f>SUM(F96:F97)</f>
        <v>25000</v>
      </c>
    </row>
    <row r="96" spans="1:6" x14ac:dyDescent="0.2">
      <c r="A96" s="26" t="s">
        <v>143</v>
      </c>
      <c r="B96" s="27" t="s">
        <v>144</v>
      </c>
      <c r="C96" s="27" t="s">
        <v>15</v>
      </c>
      <c r="D96" s="28">
        <v>1</v>
      </c>
      <c r="E96" s="29">
        <v>10000</v>
      </c>
      <c r="F96" s="30">
        <f t="shared" ref="F96:F106" si="5">+D96*E96</f>
        <v>10000</v>
      </c>
    </row>
    <row r="97" spans="1:8" x14ac:dyDescent="0.2">
      <c r="A97" s="26" t="s">
        <v>145</v>
      </c>
      <c r="B97" s="27" t="s">
        <v>146</v>
      </c>
      <c r="C97" s="27" t="s">
        <v>15</v>
      </c>
      <c r="D97" s="28">
        <v>1</v>
      </c>
      <c r="E97" s="29">
        <v>15000</v>
      </c>
      <c r="F97" s="30">
        <f t="shared" si="5"/>
        <v>15000</v>
      </c>
    </row>
    <row r="98" spans="1:8" x14ac:dyDescent="0.2">
      <c r="A98" s="22" t="s">
        <v>147</v>
      </c>
      <c r="B98" s="23" t="s">
        <v>148</v>
      </c>
      <c r="C98" s="23"/>
      <c r="D98" s="24"/>
      <c r="E98" s="24"/>
      <c r="F98" s="25">
        <f>SUM(F99:F106)</f>
        <v>579900</v>
      </c>
    </row>
    <row r="99" spans="1:8" x14ac:dyDescent="0.2">
      <c r="A99" s="26" t="s">
        <v>149</v>
      </c>
      <c r="B99" s="27" t="s">
        <v>150</v>
      </c>
      <c r="C99" s="27" t="s">
        <v>15</v>
      </c>
      <c r="D99" s="28">
        <v>1</v>
      </c>
      <c r="E99" s="29">
        <v>10000</v>
      </c>
      <c r="F99" s="30">
        <f t="shared" si="5"/>
        <v>10000</v>
      </c>
    </row>
    <row r="100" spans="1:8" ht="39" x14ac:dyDescent="0.2">
      <c r="A100" s="26" t="s">
        <v>151</v>
      </c>
      <c r="B100" s="27" t="s">
        <v>152</v>
      </c>
      <c r="C100" s="27" t="s">
        <v>71</v>
      </c>
      <c r="D100" s="42">
        <v>30</v>
      </c>
      <c r="E100" s="43">
        <v>650</v>
      </c>
      <c r="F100" s="30">
        <f t="shared" si="5"/>
        <v>19500</v>
      </c>
    </row>
    <row r="101" spans="1:8" ht="39" x14ac:dyDescent="0.2">
      <c r="A101" s="26" t="s">
        <v>153</v>
      </c>
      <c r="B101" s="27" t="s">
        <v>154</v>
      </c>
      <c r="C101" s="27" t="s">
        <v>71</v>
      </c>
      <c r="D101" s="42">
        <v>22</v>
      </c>
      <c r="E101" s="31">
        <v>1500</v>
      </c>
      <c r="F101" s="30">
        <f t="shared" si="5"/>
        <v>33000</v>
      </c>
    </row>
    <row r="102" spans="1:8" ht="39" x14ac:dyDescent="0.2">
      <c r="A102" s="26" t="s">
        <v>155</v>
      </c>
      <c r="B102" s="27" t="s">
        <v>156</v>
      </c>
      <c r="C102" s="27" t="s">
        <v>71</v>
      </c>
      <c r="D102" s="42">
        <v>24</v>
      </c>
      <c r="E102" s="31">
        <v>4500</v>
      </c>
      <c r="F102" s="30">
        <f t="shared" si="5"/>
        <v>108000</v>
      </c>
    </row>
    <row r="103" spans="1:8" ht="39" x14ac:dyDescent="0.2">
      <c r="A103" s="26" t="s">
        <v>157</v>
      </c>
      <c r="B103" s="27" t="s">
        <v>158</v>
      </c>
      <c r="C103" s="27" t="s">
        <v>71</v>
      </c>
      <c r="D103" s="42">
        <v>36</v>
      </c>
      <c r="E103" s="31">
        <v>2400</v>
      </c>
      <c r="F103" s="30">
        <f t="shared" si="5"/>
        <v>86400</v>
      </c>
    </row>
    <row r="104" spans="1:8" ht="39" x14ac:dyDescent="0.2">
      <c r="A104" s="26" t="s">
        <v>159</v>
      </c>
      <c r="B104" s="27" t="s">
        <v>160</v>
      </c>
      <c r="C104" s="27" t="s">
        <v>71</v>
      </c>
      <c r="D104" s="42">
        <v>33</v>
      </c>
      <c r="E104" s="31">
        <v>6000</v>
      </c>
      <c r="F104" s="30">
        <f t="shared" si="5"/>
        <v>198000</v>
      </c>
    </row>
    <row r="105" spans="1:8" ht="39" x14ac:dyDescent="0.2">
      <c r="A105" s="26" t="s">
        <v>161</v>
      </c>
      <c r="B105" s="27" t="s">
        <v>162</v>
      </c>
      <c r="C105" s="27" t="s">
        <v>71</v>
      </c>
      <c r="D105" s="42">
        <v>50</v>
      </c>
      <c r="E105" s="31">
        <v>1500</v>
      </c>
      <c r="F105" s="30">
        <f t="shared" si="5"/>
        <v>75000</v>
      </c>
    </row>
    <row r="106" spans="1:8" x14ac:dyDescent="0.2">
      <c r="A106" s="26" t="s">
        <v>163</v>
      </c>
      <c r="B106" s="27" t="s">
        <v>164</v>
      </c>
      <c r="C106" s="27" t="s">
        <v>15</v>
      </c>
      <c r="D106" s="28">
        <v>1</v>
      </c>
      <c r="E106" s="29">
        <v>50000</v>
      </c>
      <c r="F106" s="30">
        <f t="shared" si="5"/>
        <v>50000</v>
      </c>
    </row>
    <row r="107" spans="1:8" ht="20.25" thickBot="1" x14ac:dyDescent="0.25">
      <c r="A107" s="81" t="s">
        <v>66</v>
      </c>
      <c r="B107" s="82"/>
      <c r="C107" s="82"/>
      <c r="D107" s="82"/>
      <c r="E107" s="82"/>
      <c r="F107" s="33">
        <f>F47</f>
        <v>2879698.6383870002</v>
      </c>
      <c r="H107" s="4"/>
    </row>
    <row r="108" spans="1:8" ht="10.9" customHeight="1" thickBot="1" x14ac:dyDescent="0.25">
      <c r="A108" s="80"/>
      <c r="B108" s="80"/>
      <c r="C108" s="80"/>
      <c r="D108" s="80"/>
      <c r="E108" s="80"/>
      <c r="F108" s="80"/>
    </row>
    <row r="109" spans="1:8" ht="21" customHeight="1" thickBot="1" x14ac:dyDescent="0.25">
      <c r="A109" s="76" t="s">
        <v>2175</v>
      </c>
      <c r="B109" s="77"/>
      <c r="C109" s="77"/>
      <c r="D109" s="78"/>
      <c r="E109" s="78"/>
      <c r="F109" s="79"/>
    </row>
    <row r="110" spans="1:8" ht="39" x14ac:dyDescent="0.2">
      <c r="A110" s="40" t="s">
        <v>1</v>
      </c>
      <c r="B110" s="38" t="s">
        <v>2</v>
      </c>
      <c r="C110" s="38" t="s">
        <v>3</v>
      </c>
      <c r="D110" s="38" t="s">
        <v>4</v>
      </c>
      <c r="E110" s="38" t="s">
        <v>5</v>
      </c>
      <c r="F110" s="41" t="s">
        <v>6</v>
      </c>
    </row>
    <row r="111" spans="1:8" x14ac:dyDescent="0.2">
      <c r="A111" s="14" t="s">
        <v>7</v>
      </c>
      <c r="B111" s="15" t="s">
        <v>165</v>
      </c>
      <c r="C111" s="15"/>
      <c r="D111" s="16"/>
      <c r="E111" s="16"/>
      <c r="F111" s="17">
        <f>F112</f>
        <v>95203.638600000006</v>
      </c>
    </row>
    <row r="112" spans="1:8" x14ac:dyDescent="0.2">
      <c r="A112" s="18" t="s">
        <v>9</v>
      </c>
      <c r="B112" s="19" t="s">
        <v>165</v>
      </c>
      <c r="C112" s="19"/>
      <c r="D112" s="20"/>
      <c r="E112" s="20"/>
      <c r="F112" s="21">
        <f>F113+F115+F117+F119+F122</f>
        <v>95203.638600000006</v>
      </c>
    </row>
    <row r="113" spans="1:6" x14ac:dyDescent="0.2">
      <c r="A113" s="22" t="s">
        <v>11</v>
      </c>
      <c r="B113" s="23" t="s">
        <v>166</v>
      </c>
      <c r="C113" s="23"/>
      <c r="D113" s="24"/>
      <c r="E113" s="24"/>
      <c r="F113" s="25">
        <f>F114</f>
        <v>15000</v>
      </c>
    </row>
    <row r="114" spans="1:6" x14ac:dyDescent="0.2">
      <c r="A114" s="26" t="s">
        <v>13</v>
      </c>
      <c r="B114" s="27" t="s">
        <v>167</v>
      </c>
      <c r="C114" s="27" t="s">
        <v>15</v>
      </c>
      <c r="D114" s="28">
        <v>1</v>
      </c>
      <c r="E114" s="29">
        <v>15000</v>
      </c>
      <c r="F114" s="30">
        <f t="shared" ref="F114:F123" si="6">+D114*E114</f>
        <v>15000</v>
      </c>
    </row>
    <row r="115" spans="1:6" x14ac:dyDescent="0.2">
      <c r="A115" s="22" t="s">
        <v>18</v>
      </c>
      <c r="B115" s="23" t="s">
        <v>168</v>
      </c>
      <c r="C115" s="23"/>
      <c r="D115" s="24"/>
      <c r="E115" s="24"/>
      <c r="F115" s="25">
        <f>F116</f>
        <v>3325.18</v>
      </c>
    </row>
    <row r="116" spans="1:6" x14ac:dyDescent="0.2">
      <c r="A116" s="26" t="s">
        <v>20</v>
      </c>
      <c r="B116" s="27" t="s">
        <v>169</v>
      </c>
      <c r="C116" s="27" t="s">
        <v>15</v>
      </c>
      <c r="D116" s="28">
        <v>1</v>
      </c>
      <c r="E116" s="31">
        <v>3325.18</v>
      </c>
      <c r="F116" s="30">
        <f t="shared" si="6"/>
        <v>3325.18</v>
      </c>
    </row>
    <row r="117" spans="1:6" x14ac:dyDescent="0.2">
      <c r="A117" s="22" t="s">
        <v>34</v>
      </c>
      <c r="B117" s="23" t="s">
        <v>170</v>
      </c>
      <c r="C117" s="23"/>
      <c r="D117" s="24"/>
      <c r="E117" s="24"/>
      <c r="F117" s="25">
        <f>F118</f>
        <v>42752.25</v>
      </c>
    </row>
    <row r="118" spans="1:6" ht="39" x14ac:dyDescent="0.2">
      <c r="A118" s="26" t="s">
        <v>36</v>
      </c>
      <c r="B118" s="27" t="s">
        <v>171</v>
      </c>
      <c r="C118" s="27" t="s">
        <v>15</v>
      </c>
      <c r="D118" s="28">
        <v>1</v>
      </c>
      <c r="E118" s="29">
        <v>42752.25</v>
      </c>
      <c r="F118" s="30">
        <f t="shared" si="6"/>
        <v>42752.25</v>
      </c>
    </row>
    <row r="119" spans="1:6" x14ac:dyDescent="0.2">
      <c r="A119" s="22" t="s">
        <v>38</v>
      </c>
      <c r="B119" s="23" t="s">
        <v>172</v>
      </c>
      <c r="C119" s="23"/>
      <c r="D119" s="24"/>
      <c r="E119" s="24"/>
      <c r="F119" s="25">
        <f>SUM(F120:F121)</f>
        <v>16690.713600000003</v>
      </c>
    </row>
    <row r="120" spans="1:6" ht="39" x14ac:dyDescent="0.2">
      <c r="A120" s="26" t="s">
        <v>40</v>
      </c>
      <c r="B120" s="27" t="s">
        <v>173</v>
      </c>
      <c r="C120" s="27" t="s">
        <v>174</v>
      </c>
      <c r="D120" s="43">
        <v>429.49</v>
      </c>
      <c r="E120" s="42">
        <v>34.32</v>
      </c>
      <c r="F120" s="30">
        <f t="shared" si="6"/>
        <v>14740.096800000001</v>
      </c>
    </row>
    <row r="121" spans="1:6" ht="39" x14ac:dyDescent="0.2">
      <c r="A121" s="26" t="s">
        <v>175</v>
      </c>
      <c r="B121" s="27" t="s">
        <v>176</v>
      </c>
      <c r="C121" s="27" t="s">
        <v>174</v>
      </c>
      <c r="D121" s="43">
        <v>246.29</v>
      </c>
      <c r="E121" s="28">
        <v>7.92</v>
      </c>
      <c r="F121" s="30">
        <f t="shared" si="6"/>
        <v>1950.6168</v>
      </c>
    </row>
    <row r="122" spans="1:6" x14ac:dyDescent="0.2">
      <c r="A122" s="22" t="s">
        <v>177</v>
      </c>
      <c r="B122" s="23" t="s">
        <v>178</v>
      </c>
      <c r="C122" s="23"/>
      <c r="D122" s="24"/>
      <c r="E122" s="24"/>
      <c r="F122" s="25">
        <f>F123</f>
        <v>17435.494999999999</v>
      </c>
    </row>
    <row r="123" spans="1:6" ht="39" x14ac:dyDescent="0.2">
      <c r="A123" s="26" t="s">
        <v>179</v>
      </c>
      <c r="B123" s="27" t="s">
        <v>180</v>
      </c>
      <c r="C123" s="27" t="s">
        <v>80</v>
      </c>
      <c r="D123" s="43">
        <v>205.85</v>
      </c>
      <c r="E123" s="42">
        <v>84.7</v>
      </c>
      <c r="F123" s="30">
        <f t="shared" si="6"/>
        <v>17435.494999999999</v>
      </c>
    </row>
    <row r="124" spans="1:6" x14ac:dyDescent="0.2">
      <c r="A124" s="14" t="s">
        <v>181</v>
      </c>
      <c r="B124" s="15" t="s">
        <v>182</v>
      </c>
      <c r="C124" s="15"/>
      <c r="D124" s="16"/>
      <c r="E124" s="16"/>
      <c r="F124" s="17">
        <f>F125</f>
        <v>169044.49466000003</v>
      </c>
    </row>
    <row r="125" spans="1:6" x14ac:dyDescent="0.2">
      <c r="A125" s="18" t="s">
        <v>183</v>
      </c>
      <c r="B125" s="19" t="s">
        <v>184</v>
      </c>
      <c r="C125" s="19"/>
      <c r="D125" s="20"/>
      <c r="E125" s="20"/>
      <c r="F125" s="21">
        <f>F126+F128+F132+F134</f>
        <v>169044.49466000003</v>
      </c>
    </row>
    <row r="126" spans="1:6" x14ac:dyDescent="0.2">
      <c r="A126" s="22" t="s">
        <v>185</v>
      </c>
      <c r="B126" s="23" t="s">
        <v>186</v>
      </c>
      <c r="C126" s="23"/>
      <c r="D126" s="24"/>
      <c r="E126" s="24"/>
      <c r="F126" s="25">
        <f>F127</f>
        <v>51412.406560000003</v>
      </c>
    </row>
    <row r="127" spans="1:6" ht="58.5" x14ac:dyDescent="0.2">
      <c r="A127" s="26" t="s">
        <v>187</v>
      </c>
      <c r="B127" s="27" t="s">
        <v>188</v>
      </c>
      <c r="C127" s="27" t="s">
        <v>80</v>
      </c>
      <c r="D127" s="43">
        <v>579.52</v>
      </c>
      <c r="E127" s="42">
        <v>88.715500000000006</v>
      </c>
      <c r="F127" s="30">
        <f t="shared" ref="F127" si="7">+D127*E127</f>
        <v>51412.406560000003</v>
      </c>
    </row>
    <row r="128" spans="1:6" x14ac:dyDescent="0.2">
      <c r="A128" s="22" t="s">
        <v>189</v>
      </c>
      <c r="B128" s="23" t="s">
        <v>190</v>
      </c>
      <c r="C128" s="23"/>
      <c r="D128" s="24"/>
      <c r="E128" s="24"/>
      <c r="F128" s="25">
        <f>SUM(F129:F131)</f>
        <v>40383.038100000005</v>
      </c>
    </row>
    <row r="129" spans="1:6" ht="39" x14ac:dyDescent="0.2">
      <c r="A129" s="26" t="s">
        <v>191</v>
      </c>
      <c r="B129" s="27" t="s">
        <v>192</v>
      </c>
      <c r="C129" s="27" t="s">
        <v>193</v>
      </c>
      <c r="D129" s="43">
        <v>503</v>
      </c>
      <c r="E129" s="28">
        <v>8.0502000000000002</v>
      </c>
      <c r="F129" s="30">
        <f t="shared" ref="F129:F131" si="8">+D129*E129</f>
        <v>4049.2506000000003</v>
      </c>
    </row>
    <row r="130" spans="1:6" ht="39" x14ac:dyDescent="0.2">
      <c r="A130" s="26" t="s">
        <v>194</v>
      </c>
      <c r="B130" s="27" t="s">
        <v>195</v>
      </c>
      <c r="C130" s="27" t="s">
        <v>193</v>
      </c>
      <c r="D130" s="31">
        <v>3507</v>
      </c>
      <c r="E130" s="28">
        <v>8.0225000000000009</v>
      </c>
      <c r="F130" s="30">
        <f t="shared" si="8"/>
        <v>28134.907500000005</v>
      </c>
    </row>
    <row r="131" spans="1:6" ht="39" x14ac:dyDescent="0.2">
      <c r="A131" s="26" t="s">
        <v>196</v>
      </c>
      <c r="B131" s="27" t="s">
        <v>197</v>
      </c>
      <c r="C131" s="27" t="s">
        <v>193</v>
      </c>
      <c r="D131" s="43">
        <v>760</v>
      </c>
      <c r="E131" s="42">
        <v>10.788</v>
      </c>
      <c r="F131" s="30">
        <f t="shared" si="8"/>
        <v>8198.880000000001</v>
      </c>
    </row>
    <row r="132" spans="1:6" x14ac:dyDescent="0.2">
      <c r="A132" s="22" t="s">
        <v>198</v>
      </c>
      <c r="B132" s="23" t="s">
        <v>199</v>
      </c>
      <c r="C132" s="23"/>
      <c r="D132" s="24"/>
      <c r="E132" s="24"/>
      <c r="F132" s="25">
        <f>F133</f>
        <v>27989.850000000002</v>
      </c>
    </row>
    <row r="133" spans="1:6" ht="58.5" x14ac:dyDescent="0.2">
      <c r="A133" s="26" t="s">
        <v>200</v>
      </c>
      <c r="B133" s="27" t="s">
        <v>201</v>
      </c>
      <c r="C133" s="27" t="s">
        <v>174</v>
      </c>
      <c r="D133" s="42">
        <v>57.95</v>
      </c>
      <c r="E133" s="43">
        <v>483</v>
      </c>
      <c r="F133" s="30">
        <f t="shared" ref="F133" si="9">+D133*E133</f>
        <v>27989.850000000002</v>
      </c>
    </row>
    <row r="134" spans="1:6" x14ac:dyDescent="0.2">
      <c r="A134" s="22" t="s">
        <v>202</v>
      </c>
      <c r="B134" s="23" t="s">
        <v>203</v>
      </c>
      <c r="C134" s="23"/>
      <c r="D134" s="24"/>
      <c r="E134" s="24"/>
      <c r="F134" s="25">
        <f>F135</f>
        <v>49259.199999999997</v>
      </c>
    </row>
    <row r="135" spans="1:6" ht="39" x14ac:dyDescent="0.2">
      <c r="A135" s="26" t="s">
        <v>204</v>
      </c>
      <c r="B135" s="27" t="s">
        <v>205</v>
      </c>
      <c r="C135" s="27" t="s">
        <v>80</v>
      </c>
      <c r="D135" s="43">
        <v>289.76</v>
      </c>
      <c r="E135" s="43">
        <v>170</v>
      </c>
      <c r="F135" s="30">
        <f t="shared" ref="F135" si="10">+D135*E135</f>
        <v>49259.199999999997</v>
      </c>
    </row>
    <row r="136" spans="1:6" x14ac:dyDescent="0.2">
      <c r="A136" s="14" t="s">
        <v>206</v>
      </c>
      <c r="B136" s="15" t="s">
        <v>207</v>
      </c>
      <c r="C136" s="15"/>
      <c r="D136" s="16"/>
      <c r="E136" s="16"/>
      <c r="F136" s="17">
        <f>F137</f>
        <v>583100.43409999995</v>
      </c>
    </row>
    <row r="137" spans="1:6" x14ac:dyDescent="0.2">
      <c r="A137" s="18" t="s">
        <v>208</v>
      </c>
      <c r="B137" s="19" t="s">
        <v>209</v>
      </c>
      <c r="C137" s="19"/>
      <c r="D137" s="20"/>
      <c r="E137" s="20"/>
      <c r="F137" s="21">
        <f>F138+F141+F149+F151</f>
        <v>583100.43409999995</v>
      </c>
    </row>
    <row r="138" spans="1:6" x14ac:dyDescent="0.2">
      <c r="A138" s="22" t="s">
        <v>210</v>
      </c>
      <c r="B138" s="23" t="s">
        <v>186</v>
      </c>
      <c r="C138" s="23"/>
      <c r="D138" s="24"/>
      <c r="E138" s="24"/>
      <c r="F138" s="25">
        <f>SUM(F139:F140)</f>
        <v>20845.3734</v>
      </c>
    </row>
    <row r="139" spans="1:6" ht="58.5" x14ac:dyDescent="0.2">
      <c r="A139" s="26" t="s">
        <v>211</v>
      </c>
      <c r="B139" s="27" t="s">
        <v>212</v>
      </c>
      <c r="C139" s="27" t="s">
        <v>80</v>
      </c>
      <c r="D139" s="43">
        <v>651</v>
      </c>
      <c r="E139" s="42">
        <v>23.944500000000001</v>
      </c>
      <c r="F139" s="30">
        <f t="shared" ref="F139:F140" si="11">+D139*E139</f>
        <v>15587.869500000001</v>
      </c>
    </row>
    <row r="140" spans="1:6" ht="39" x14ac:dyDescent="0.2">
      <c r="A140" s="26" t="s">
        <v>213</v>
      </c>
      <c r="B140" s="27" t="s">
        <v>214</v>
      </c>
      <c r="C140" s="27" t="s">
        <v>80</v>
      </c>
      <c r="D140" s="42">
        <v>99</v>
      </c>
      <c r="E140" s="42">
        <v>53.106099999999998</v>
      </c>
      <c r="F140" s="30">
        <f t="shared" si="11"/>
        <v>5257.5038999999997</v>
      </c>
    </row>
    <row r="141" spans="1:6" x14ac:dyDescent="0.2">
      <c r="A141" s="22" t="s">
        <v>215</v>
      </c>
      <c r="B141" s="23" t="s">
        <v>190</v>
      </c>
      <c r="C141" s="23"/>
      <c r="D141" s="24"/>
      <c r="E141" s="24"/>
      <c r="F141" s="25">
        <f>SUM(F142:F148)</f>
        <v>231506.7107</v>
      </c>
    </row>
    <row r="142" spans="1:6" ht="39" x14ac:dyDescent="0.2">
      <c r="A142" s="26" t="s">
        <v>216</v>
      </c>
      <c r="B142" s="27" t="s">
        <v>217</v>
      </c>
      <c r="C142" s="27" t="s">
        <v>193</v>
      </c>
      <c r="D142" s="43">
        <v>717</v>
      </c>
      <c r="E142" s="42">
        <v>12.3812</v>
      </c>
      <c r="F142" s="30">
        <f t="shared" ref="F142:F148" si="12">+D142*E142</f>
        <v>8877.3204000000005</v>
      </c>
    </row>
    <row r="143" spans="1:6" ht="39" x14ac:dyDescent="0.2">
      <c r="A143" s="26" t="s">
        <v>218</v>
      </c>
      <c r="B143" s="27" t="s">
        <v>219</v>
      </c>
      <c r="C143" s="27" t="s">
        <v>193</v>
      </c>
      <c r="D143" s="31">
        <v>1609</v>
      </c>
      <c r="E143" s="42">
        <v>10.788</v>
      </c>
      <c r="F143" s="30">
        <f t="shared" si="12"/>
        <v>17357.892</v>
      </c>
    </row>
    <row r="144" spans="1:6" ht="39" x14ac:dyDescent="0.2">
      <c r="A144" s="26" t="s">
        <v>220</v>
      </c>
      <c r="B144" s="27" t="s">
        <v>221</v>
      </c>
      <c r="C144" s="27" t="s">
        <v>193</v>
      </c>
      <c r="D144" s="31">
        <v>1067</v>
      </c>
      <c r="E144" s="28">
        <v>8.0502000000000002</v>
      </c>
      <c r="F144" s="30">
        <f t="shared" si="12"/>
        <v>8589.5634000000009</v>
      </c>
    </row>
    <row r="145" spans="1:6" ht="39" x14ac:dyDescent="0.2">
      <c r="A145" s="26" t="s">
        <v>222</v>
      </c>
      <c r="B145" s="27" t="s">
        <v>223</v>
      </c>
      <c r="C145" s="27" t="s">
        <v>193</v>
      </c>
      <c r="D145" s="31">
        <v>7562</v>
      </c>
      <c r="E145" s="28">
        <v>8.0225000000000009</v>
      </c>
      <c r="F145" s="30">
        <f t="shared" si="12"/>
        <v>60666.145000000004</v>
      </c>
    </row>
    <row r="146" spans="1:6" ht="39" x14ac:dyDescent="0.2">
      <c r="A146" s="26" t="s">
        <v>224</v>
      </c>
      <c r="B146" s="27" t="s">
        <v>225</v>
      </c>
      <c r="C146" s="27" t="s">
        <v>193</v>
      </c>
      <c r="D146" s="31">
        <v>5288</v>
      </c>
      <c r="E146" s="28">
        <v>8.6066000000000003</v>
      </c>
      <c r="F146" s="30">
        <f t="shared" si="12"/>
        <v>45511.700799999999</v>
      </c>
    </row>
    <row r="147" spans="1:6" ht="39" x14ac:dyDescent="0.2">
      <c r="A147" s="26" t="s">
        <v>226</v>
      </c>
      <c r="B147" s="27" t="s">
        <v>227</v>
      </c>
      <c r="C147" s="27" t="s">
        <v>193</v>
      </c>
      <c r="D147" s="31">
        <v>4652</v>
      </c>
      <c r="E147" s="28">
        <v>8.7498000000000005</v>
      </c>
      <c r="F147" s="30">
        <f t="shared" si="12"/>
        <v>40704.069600000003</v>
      </c>
    </row>
    <row r="148" spans="1:6" ht="39" x14ac:dyDescent="0.2">
      <c r="A148" s="26" t="s">
        <v>228</v>
      </c>
      <c r="B148" s="27" t="s">
        <v>229</v>
      </c>
      <c r="C148" s="27" t="s">
        <v>193</v>
      </c>
      <c r="D148" s="31">
        <v>5555</v>
      </c>
      <c r="E148" s="28">
        <v>8.9649000000000001</v>
      </c>
      <c r="F148" s="30">
        <f t="shared" si="12"/>
        <v>49800.019500000002</v>
      </c>
    </row>
    <row r="149" spans="1:6" x14ac:dyDescent="0.2">
      <c r="A149" s="22" t="s">
        <v>230</v>
      </c>
      <c r="B149" s="23" t="s">
        <v>199</v>
      </c>
      <c r="C149" s="23"/>
      <c r="D149" s="24"/>
      <c r="E149" s="24"/>
      <c r="F149" s="25">
        <f>F150</f>
        <v>88485.599999999991</v>
      </c>
    </row>
    <row r="150" spans="1:6" ht="58.5" x14ac:dyDescent="0.2">
      <c r="A150" s="26" t="s">
        <v>231</v>
      </c>
      <c r="B150" s="27" t="s">
        <v>201</v>
      </c>
      <c r="C150" s="27" t="s">
        <v>174</v>
      </c>
      <c r="D150" s="43">
        <v>183.2</v>
      </c>
      <c r="E150" s="43">
        <v>483</v>
      </c>
      <c r="F150" s="30">
        <f t="shared" ref="F150" si="13">+D150*E150</f>
        <v>88485.599999999991</v>
      </c>
    </row>
    <row r="151" spans="1:6" x14ac:dyDescent="0.2">
      <c r="A151" s="22" t="s">
        <v>232</v>
      </c>
      <c r="B151" s="23" t="s">
        <v>203</v>
      </c>
      <c r="C151" s="23"/>
      <c r="D151" s="24"/>
      <c r="E151" s="24"/>
      <c r="F151" s="25">
        <f>F152</f>
        <v>242262.75</v>
      </c>
    </row>
    <row r="152" spans="1:6" ht="39" x14ac:dyDescent="0.2">
      <c r="A152" s="26" t="s">
        <v>233</v>
      </c>
      <c r="B152" s="27" t="s">
        <v>234</v>
      </c>
      <c r="C152" s="27" t="s">
        <v>80</v>
      </c>
      <c r="D152" s="43">
        <v>950.05</v>
      </c>
      <c r="E152" s="43">
        <v>255</v>
      </c>
      <c r="F152" s="30">
        <f t="shared" ref="F152" si="14">+D152*E152</f>
        <v>242262.75</v>
      </c>
    </row>
    <row r="153" spans="1:6" x14ac:dyDescent="0.2">
      <c r="A153" s="14" t="s">
        <v>235</v>
      </c>
      <c r="B153" s="15" t="s">
        <v>236</v>
      </c>
      <c r="C153" s="15"/>
      <c r="D153" s="16"/>
      <c r="E153" s="16"/>
      <c r="F153" s="17">
        <f>F154+F172+F191+F210+F229+F248+F267+F291+F312+F333</f>
        <v>4556478.7246670006</v>
      </c>
    </row>
    <row r="154" spans="1:6" x14ac:dyDescent="0.2">
      <c r="A154" s="18" t="s">
        <v>237</v>
      </c>
      <c r="B154" s="19" t="s">
        <v>238</v>
      </c>
      <c r="C154" s="19"/>
      <c r="D154" s="20"/>
      <c r="E154" s="20"/>
      <c r="F154" s="21">
        <f>F155+F160+F168+F170</f>
        <v>630554.97719999996</v>
      </c>
    </row>
    <row r="155" spans="1:6" x14ac:dyDescent="0.2">
      <c r="A155" s="22" t="s">
        <v>239</v>
      </c>
      <c r="B155" s="23" t="s">
        <v>186</v>
      </c>
      <c r="C155" s="23"/>
      <c r="D155" s="24"/>
      <c r="E155" s="24"/>
      <c r="F155" s="25">
        <f>SUM(F156:F159)</f>
        <v>129922.6099</v>
      </c>
    </row>
    <row r="156" spans="1:6" ht="39" x14ac:dyDescent="0.2">
      <c r="A156" s="26" t="s">
        <v>240</v>
      </c>
      <c r="B156" s="27" t="s">
        <v>241</v>
      </c>
      <c r="C156" s="27" t="s">
        <v>80</v>
      </c>
      <c r="D156" s="43">
        <v>338</v>
      </c>
      <c r="E156" s="43">
        <v>103.7928</v>
      </c>
      <c r="F156" s="30">
        <f t="shared" ref="F156:F159" si="15">+D156*E156</f>
        <v>35081.966399999998</v>
      </c>
    </row>
    <row r="157" spans="1:6" ht="39" x14ac:dyDescent="0.2">
      <c r="A157" s="26" t="s">
        <v>242</v>
      </c>
      <c r="B157" s="27" t="s">
        <v>243</v>
      </c>
      <c r="C157" s="27" t="s">
        <v>80</v>
      </c>
      <c r="D157" s="43">
        <v>659</v>
      </c>
      <c r="E157" s="42">
        <v>78.444299999999998</v>
      </c>
      <c r="F157" s="30">
        <f t="shared" si="15"/>
        <v>51694.793700000002</v>
      </c>
    </row>
    <row r="158" spans="1:6" ht="39" x14ac:dyDescent="0.2">
      <c r="A158" s="26" t="s">
        <v>244</v>
      </c>
      <c r="B158" s="27" t="s">
        <v>245</v>
      </c>
      <c r="C158" s="27" t="s">
        <v>80</v>
      </c>
      <c r="D158" s="43">
        <v>711</v>
      </c>
      <c r="E158" s="42">
        <v>58.728400000000001</v>
      </c>
      <c r="F158" s="30">
        <f t="shared" si="15"/>
        <v>41755.892399999997</v>
      </c>
    </row>
    <row r="159" spans="1:6" ht="39" x14ac:dyDescent="0.2">
      <c r="A159" s="26" t="s">
        <v>246</v>
      </c>
      <c r="B159" s="27" t="s">
        <v>247</v>
      </c>
      <c r="C159" s="27" t="s">
        <v>80</v>
      </c>
      <c r="D159" s="43">
        <v>338</v>
      </c>
      <c r="E159" s="28">
        <v>4.1123000000000003</v>
      </c>
      <c r="F159" s="30">
        <f t="shared" si="15"/>
        <v>1389.9574</v>
      </c>
    </row>
    <row r="160" spans="1:6" x14ac:dyDescent="0.2">
      <c r="A160" s="22" t="s">
        <v>248</v>
      </c>
      <c r="B160" s="23" t="s">
        <v>190</v>
      </c>
      <c r="C160" s="23"/>
      <c r="D160" s="24"/>
      <c r="E160" s="24"/>
      <c r="F160" s="25">
        <f>SUM(F161:F167)</f>
        <v>262424.66730000003</v>
      </c>
    </row>
    <row r="161" spans="1:6" ht="39" x14ac:dyDescent="0.2">
      <c r="A161" s="26" t="s">
        <v>249</v>
      </c>
      <c r="B161" s="27" t="s">
        <v>250</v>
      </c>
      <c r="C161" s="27" t="s">
        <v>193</v>
      </c>
      <c r="D161" s="43">
        <v>717</v>
      </c>
      <c r="E161" s="42">
        <v>12.3812</v>
      </c>
      <c r="F161" s="30">
        <f t="shared" ref="F161:F167" si="16">+D161*E161</f>
        <v>8877.3204000000005</v>
      </c>
    </row>
    <row r="162" spans="1:6" ht="39" x14ac:dyDescent="0.2">
      <c r="A162" s="26" t="s">
        <v>251</v>
      </c>
      <c r="B162" s="27" t="s">
        <v>252</v>
      </c>
      <c r="C162" s="27" t="s">
        <v>193</v>
      </c>
      <c r="D162" s="31">
        <v>1876</v>
      </c>
      <c r="E162" s="42">
        <v>10.788</v>
      </c>
      <c r="F162" s="30">
        <f t="shared" si="16"/>
        <v>20238.288</v>
      </c>
    </row>
    <row r="163" spans="1:6" ht="39" x14ac:dyDescent="0.2">
      <c r="A163" s="26" t="s">
        <v>253</v>
      </c>
      <c r="B163" s="27" t="s">
        <v>254</v>
      </c>
      <c r="C163" s="27" t="s">
        <v>193</v>
      </c>
      <c r="D163" s="31">
        <v>1622</v>
      </c>
      <c r="E163" s="28">
        <v>8.0502000000000002</v>
      </c>
      <c r="F163" s="30">
        <f t="shared" si="16"/>
        <v>13057.4244</v>
      </c>
    </row>
    <row r="164" spans="1:6" ht="39" x14ac:dyDescent="0.2">
      <c r="A164" s="26" t="s">
        <v>255</v>
      </c>
      <c r="B164" s="27" t="s">
        <v>256</v>
      </c>
      <c r="C164" s="27" t="s">
        <v>193</v>
      </c>
      <c r="D164" s="29">
        <v>10779</v>
      </c>
      <c r="E164" s="28">
        <v>8.0225000000000009</v>
      </c>
      <c r="F164" s="30">
        <f t="shared" si="16"/>
        <v>86474.527500000011</v>
      </c>
    </row>
    <row r="165" spans="1:6" ht="39" x14ac:dyDescent="0.2">
      <c r="A165" s="26" t="s">
        <v>257</v>
      </c>
      <c r="B165" s="27" t="s">
        <v>258</v>
      </c>
      <c r="C165" s="27" t="s">
        <v>193</v>
      </c>
      <c r="D165" s="31">
        <v>5369</v>
      </c>
      <c r="E165" s="28">
        <v>8.6066000000000003</v>
      </c>
      <c r="F165" s="30">
        <f t="shared" si="16"/>
        <v>46208.835400000004</v>
      </c>
    </row>
    <row r="166" spans="1:6" ht="39" x14ac:dyDescent="0.2">
      <c r="A166" s="26" t="s">
        <v>259</v>
      </c>
      <c r="B166" s="27" t="s">
        <v>260</v>
      </c>
      <c r="C166" s="27" t="s">
        <v>193</v>
      </c>
      <c r="D166" s="31">
        <v>4652</v>
      </c>
      <c r="E166" s="28">
        <v>8.7498000000000005</v>
      </c>
      <c r="F166" s="30">
        <f t="shared" si="16"/>
        <v>40704.069600000003</v>
      </c>
    </row>
    <row r="167" spans="1:6" ht="39" x14ac:dyDescent="0.2">
      <c r="A167" s="26" t="s">
        <v>261</v>
      </c>
      <c r="B167" s="27" t="s">
        <v>262</v>
      </c>
      <c r="C167" s="27" t="s">
        <v>193</v>
      </c>
      <c r="D167" s="31">
        <v>5555</v>
      </c>
      <c r="E167" s="28">
        <v>8.4364000000000008</v>
      </c>
      <c r="F167" s="30">
        <f t="shared" si="16"/>
        <v>46864.202000000005</v>
      </c>
    </row>
    <row r="168" spans="1:6" x14ac:dyDescent="0.2">
      <c r="A168" s="22" t="s">
        <v>263</v>
      </c>
      <c r="B168" s="23" t="s">
        <v>199</v>
      </c>
      <c r="C168" s="23"/>
      <c r="D168" s="24"/>
      <c r="E168" s="24"/>
      <c r="F168" s="25">
        <f>F169</f>
        <v>102576.59999999999</v>
      </c>
    </row>
    <row r="169" spans="1:6" ht="58.5" x14ac:dyDescent="0.2">
      <c r="A169" s="26" t="s">
        <v>264</v>
      </c>
      <c r="B169" s="27" t="s">
        <v>265</v>
      </c>
      <c r="C169" s="27" t="s">
        <v>174</v>
      </c>
      <c r="D169" s="43">
        <v>232.6</v>
      </c>
      <c r="E169" s="43">
        <v>441</v>
      </c>
      <c r="F169" s="30">
        <f t="shared" ref="F169" si="17">+D169*E169</f>
        <v>102576.59999999999</v>
      </c>
    </row>
    <row r="170" spans="1:6" x14ac:dyDescent="0.2">
      <c r="A170" s="22" t="s">
        <v>266</v>
      </c>
      <c r="B170" s="23" t="s">
        <v>203</v>
      </c>
      <c r="C170" s="23"/>
      <c r="D170" s="24"/>
      <c r="E170" s="24"/>
      <c r="F170" s="25">
        <f>F171</f>
        <v>135631.1</v>
      </c>
    </row>
    <row r="171" spans="1:6" ht="39" x14ac:dyDescent="0.2">
      <c r="A171" s="26" t="s">
        <v>267</v>
      </c>
      <c r="B171" s="27" t="s">
        <v>268</v>
      </c>
      <c r="C171" s="27" t="s">
        <v>80</v>
      </c>
      <c r="D171" s="43">
        <v>797.83</v>
      </c>
      <c r="E171" s="43">
        <v>170</v>
      </c>
      <c r="F171" s="30">
        <f t="shared" ref="F171" si="18">+D171*E171</f>
        <v>135631.1</v>
      </c>
    </row>
    <row r="172" spans="1:6" x14ac:dyDescent="0.2">
      <c r="A172" s="18" t="s">
        <v>269</v>
      </c>
      <c r="B172" s="19" t="s">
        <v>270</v>
      </c>
      <c r="C172" s="19"/>
      <c r="D172" s="20"/>
      <c r="E172" s="20"/>
      <c r="F172" s="21">
        <f>F173+F177+F185+F187+F189</f>
        <v>405269.26565100002</v>
      </c>
    </row>
    <row r="173" spans="1:6" x14ac:dyDescent="0.2">
      <c r="A173" s="22" t="s">
        <v>271</v>
      </c>
      <c r="B173" s="23" t="s">
        <v>186</v>
      </c>
      <c r="C173" s="23"/>
      <c r="D173" s="24"/>
      <c r="E173" s="24"/>
      <c r="F173" s="25">
        <f>SUM(F174:F176)</f>
        <v>4184.1549999999997</v>
      </c>
    </row>
    <row r="174" spans="1:6" ht="39" x14ac:dyDescent="0.2">
      <c r="A174" s="26" t="s">
        <v>272</v>
      </c>
      <c r="B174" s="27" t="s">
        <v>273</v>
      </c>
      <c r="C174" s="27" t="s">
        <v>80</v>
      </c>
      <c r="D174" s="43">
        <v>711</v>
      </c>
      <c r="E174" s="28">
        <v>3.13</v>
      </c>
      <c r="F174" s="30">
        <f t="shared" ref="F174:F176" si="19">+D174*E174</f>
        <v>2225.4299999999998</v>
      </c>
    </row>
    <row r="175" spans="1:6" ht="39" x14ac:dyDescent="0.2">
      <c r="A175" s="26" t="s">
        <v>274</v>
      </c>
      <c r="B175" s="27" t="s">
        <v>247</v>
      </c>
      <c r="C175" s="27" t="s">
        <v>80</v>
      </c>
      <c r="D175" s="43">
        <v>284</v>
      </c>
      <c r="E175" s="28">
        <v>4.1123000000000003</v>
      </c>
      <c r="F175" s="30">
        <f t="shared" si="19"/>
        <v>1167.8932</v>
      </c>
    </row>
    <row r="176" spans="1:6" ht="39" x14ac:dyDescent="0.2">
      <c r="A176" s="26" t="s">
        <v>275</v>
      </c>
      <c r="B176" s="27" t="s">
        <v>276</v>
      </c>
      <c r="C176" s="27" t="s">
        <v>80</v>
      </c>
      <c r="D176" s="43">
        <v>198</v>
      </c>
      <c r="E176" s="28">
        <v>3.9941</v>
      </c>
      <c r="F176" s="30">
        <f t="shared" si="19"/>
        <v>790.83180000000004</v>
      </c>
    </row>
    <row r="177" spans="1:6" x14ac:dyDescent="0.2">
      <c r="A177" s="22" t="s">
        <v>277</v>
      </c>
      <c r="B177" s="23" t="s">
        <v>190</v>
      </c>
      <c r="C177" s="23"/>
      <c r="D177" s="24"/>
      <c r="E177" s="24"/>
      <c r="F177" s="25">
        <f>SUM(F178:F184)</f>
        <v>171517.62659999999</v>
      </c>
    </row>
    <row r="178" spans="1:6" ht="39" x14ac:dyDescent="0.2">
      <c r="A178" s="26" t="s">
        <v>278</v>
      </c>
      <c r="B178" s="27" t="s">
        <v>250</v>
      </c>
      <c r="C178" s="27" t="s">
        <v>193</v>
      </c>
      <c r="D178" s="43">
        <v>234</v>
      </c>
      <c r="E178" s="42">
        <v>12.3812</v>
      </c>
      <c r="F178" s="30">
        <f t="shared" ref="F178:F184" si="20">+D178*E178</f>
        <v>2897.2008000000001</v>
      </c>
    </row>
    <row r="179" spans="1:6" ht="39" x14ac:dyDescent="0.2">
      <c r="A179" s="26" t="s">
        <v>279</v>
      </c>
      <c r="B179" s="27" t="s">
        <v>252</v>
      </c>
      <c r="C179" s="27" t="s">
        <v>193</v>
      </c>
      <c r="D179" s="31">
        <v>2346</v>
      </c>
      <c r="E179" s="42">
        <v>10.788</v>
      </c>
      <c r="F179" s="30">
        <f t="shared" si="20"/>
        <v>25308.648000000001</v>
      </c>
    </row>
    <row r="180" spans="1:6" ht="39" x14ac:dyDescent="0.2">
      <c r="A180" s="26" t="s">
        <v>280</v>
      </c>
      <c r="B180" s="27" t="s">
        <v>254</v>
      </c>
      <c r="C180" s="27" t="s">
        <v>193</v>
      </c>
      <c r="D180" s="31">
        <v>2851</v>
      </c>
      <c r="E180" s="28">
        <v>8.0502000000000002</v>
      </c>
      <c r="F180" s="30">
        <f t="shared" si="20"/>
        <v>22951.120200000001</v>
      </c>
    </row>
    <row r="181" spans="1:6" ht="39" x14ac:dyDescent="0.2">
      <c r="A181" s="26" t="s">
        <v>281</v>
      </c>
      <c r="B181" s="27" t="s">
        <v>256</v>
      </c>
      <c r="C181" s="27" t="s">
        <v>193</v>
      </c>
      <c r="D181" s="31">
        <v>7114</v>
      </c>
      <c r="E181" s="28">
        <v>8.0225000000000009</v>
      </c>
      <c r="F181" s="30">
        <f t="shared" si="20"/>
        <v>57072.06500000001</v>
      </c>
    </row>
    <row r="182" spans="1:6" ht="39" x14ac:dyDescent="0.2">
      <c r="A182" s="26" t="s">
        <v>282</v>
      </c>
      <c r="B182" s="27" t="s">
        <v>258</v>
      </c>
      <c r="C182" s="27" t="s">
        <v>193</v>
      </c>
      <c r="D182" s="31">
        <v>2761</v>
      </c>
      <c r="E182" s="28">
        <v>8.6066000000000003</v>
      </c>
      <c r="F182" s="30">
        <f t="shared" si="20"/>
        <v>23762.8226</v>
      </c>
    </row>
    <row r="183" spans="1:6" ht="39" x14ac:dyDescent="0.2">
      <c r="A183" s="26" t="s">
        <v>283</v>
      </c>
      <c r="B183" s="27" t="s">
        <v>260</v>
      </c>
      <c r="C183" s="27" t="s">
        <v>193</v>
      </c>
      <c r="D183" s="31">
        <v>1646</v>
      </c>
      <c r="E183" s="28">
        <v>8.7498000000000005</v>
      </c>
      <c r="F183" s="30">
        <f t="shared" si="20"/>
        <v>14402.1708</v>
      </c>
    </row>
    <row r="184" spans="1:6" ht="39" x14ac:dyDescent="0.2">
      <c r="A184" s="26" t="s">
        <v>284</v>
      </c>
      <c r="B184" s="27" t="s">
        <v>262</v>
      </c>
      <c r="C184" s="27" t="s">
        <v>193</v>
      </c>
      <c r="D184" s="31">
        <v>2978</v>
      </c>
      <c r="E184" s="28">
        <v>8.4364000000000008</v>
      </c>
      <c r="F184" s="30">
        <f t="shared" si="20"/>
        <v>25123.599200000001</v>
      </c>
    </row>
    <row r="185" spans="1:6" x14ac:dyDescent="0.2">
      <c r="A185" s="22" t="s">
        <v>285</v>
      </c>
      <c r="B185" s="23" t="s">
        <v>199</v>
      </c>
      <c r="C185" s="23"/>
      <c r="D185" s="24"/>
      <c r="E185" s="24"/>
      <c r="F185" s="25">
        <f>F186</f>
        <v>90801.900000000009</v>
      </c>
    </row>
    <row r="186" spans="1:6" ht="58.5" x14ac:dyDescent="0.2">
      <c r="A186" s="26" t="s">
        <v>286</v>
      </c>
      <c r="B186" s="27" t="s">
        <v>265</v>
      </c>
      <c r="C186" s="27" t="s">
        <v>174</v>
      </c>
      <c r="D186" s="43">
        <v>205.9</v>
      </c>
      <c r="E186" s="43">
        <v>441</v>
      </c>
      <c r="F186" s="30">
        <f t="shared" ref="F186" si="21">+D186*E186</f>
        <v>90801.900000000009</v>
      </c>
    </row>
    <row r="187" spans="1:6" x14ac:dyDescent="0.2">
      <c r="A187" s="22" t="s">
        <v>287</v>
      </c>
      <c r="B187" s="23" t="s">
        <v>288</v>
      </c>
      <c r="C187" s="23"/>
      <c r="D187" s="24"/>
      <c r="E187" s="24"/>
      <c r="F187" s="25">
        <f>F188</f>
        <v>10570.284051000001</v>
      </c>
    </row>
    <row r="188" spans="1:6" x14ac:dyDescent="0.2">
      <c r="A188" s="26" t="s">
        <v>289</v>
      </c>
      <c r="B188" s="27" t="s">
        <v>2177</v>
      </c>
      <c r="C188" s="27" t="s">
        <v>80</v>
      </c>
      <c r="D188" s="28">
        <v>793.69</v>
      </c>
      <c r="E188" s="29">
        <v>13.3179</v>
      </c>
      <c r="F188" s="30">
        <f t="shared" ref="F188" si="22">+D188*E188</f>
        <v>10570.284051000001</v>
      </c>
    </row>
    <row r="189" spans="1:6" x14ac:dyDescent="0.2">
      <c r="A189" s="22" t="s">
        <v>290</v>
      </c>
      <c r="B189" s="23" t="s">
        <v>203</v>
      </c>
      <c r="C189" s="23"/>
      <c r="D189" s="24"/>
      <c r="E189" s="24"/>
      <c r="F189" s="25">
        <f>F190</f>
        <v>128195.3</v>
      </c>
    </row>
    <row r="190" spans="1:6" ht="39" x14ac:dyDescent="0.2">
      <c r="A190" s="26" t="s">
        <v>291</v>
      </c>
      <c r="B190" s="27" t="s">
        <v>268</v>
      </c>
      <c r="C190" s="27" t="s">
        <v>80</v>
      </c>
      <c r="D190" s="43">
        <v>754.09</v>
      </c>
      <c r="E190" s="43">
        <v>170</v>
      </c>
      <c r="F190" s="30">
        <f t="shared" ref="F190" si="23">+D190*E190</f>
        <v>128195.3</v>
      </c>
    </row>
    <row r="191" spans="1:6" x14ac:dyDescent="0.2">
      <c r="A191" s="18" t="s">
        <v>292</v>
      </c>
      <c r="B191" s="19" t="s">
        <v>293</v>
      </c>
      <c r="C191" s="19"/>
      <c r="D191" s="20"/>
      <c r="E191" s="20"/>
      <c r="F191" s="21">
        <f>F192+F196+F204+F206+F208</f>
        <v>476742.75062800001</v>
      </c>
    </row>
    <row r="192" spans="1:6" x14ac:dyDescent="0.2">
      <c r="A192" s="22" t="s">
        <v>294</v>
      </c>
      <c r="B192" s="23" t="s">
        <v>186</v>
      </c>
      <c r="C192" s="23"/>
      <c r="D192" s="24"/>
      <c r="E192" s="24"/>
      <c r="F192" s="25">
        <f>SUM(F193:F195)</f>
        <v>4068.1147999999998</v>
      </c>
    </row>
    <row r="193" spans="1:6" ht="39" x14ac:dyDescent="0.2">
      <c r="A193" s="26" t="s">
        <v>295</v>
      </c>
      <c r="B193" s="27" t="s">
        <v>273</v>
      </c>
      <c r="C193" s="27" t="s">
        <v>80</v>
      </c>
      <c r="D193" s="43">
        <v>702</v>
      </c>
      <c r="E193" s="28">
        <v>3.13</v>
      </c>
      <c r="F193" s="30">
        <f t="shared" ref="F193:F195" si="24">+D193*E193</f>
        <v>2197.2599999999998</v>
      </c>
    </row>
    <row r="194" spans="1:6" ht="39" x14ac:dyDescent="0.2">
      <c r="A194" s="26" t="s">
        <v>296</v>
      </c>
      <c r="B194" s="27" t="s">
        <v>247</v>
      </c>
      <c r="C194" s="27" t="s">
        <v>80</v>
      </c>
      <c r="D194" s="43">
        <v>284</v>
      </c>
      <c r="E194" s="28">
        <v>4.1123000000000003</v>
      </c>
      <c r="F194" s="30">
        <f t="shared" si="24"/>
        <v>1167.8932</v>
      </c>
    </row>
    <row r="195" spans="1:6" ht="39" x14ac:dyDescent="0.2">
      <c r="A195" s="26" t="s">
        <v>297</v>
      </c>
      <c r="B195" s="27" t="s">
        <v>276</v>
      </c>
      <c r="C195" s="27" t="s">
        <v>80</v>
      </c>
      <c r="D195" s="43">
        <v>176</v>
      </c>
      <c r="E195" s="28">
        <v>3.9941</v>
      </c>
      <c r="F195" s="30">
        <f t="shared" si="24"/>
        <v>702.96159999999998</v>
      </c>
    </row>
    <row r="196" spans="1:6" x14ac:dyDescent="0.2">
      <c r="A196" s="22" t="s">
        <v>298</v>
      </c>
      <c r="B196" s="23" t="s">
        <v>190</v>
      </c>
      <c r="C196" s="23"/>
      <c r="D196" s="24"/>
      <c r="E196" s="24"/>
      <c r="F196" s="25">
        <f>SUM(F197:F203)</f>
        <v>156767.47820000001</v>
      </c>
    </row>
    <row r="197" spans="1:6" ht="39" x14ac:dyDescent="0.2">
      <c r="A197" s="26" t="s">
        <v>299</v>
      </c>
      <c r="B197" s="27" t="s">
        <v>250</v>
      </c>
      <c r="C197" s="27" t="s">
        <v>193</v>
      </c>
      <c r="D197" s="43">
        <v>223</v>
      </c>
      <c r="E197" s="42">
        <v>12.3812</v>
      </c>
      <c r="F197" s="30">
        <f t="shared" ref="F197:F203" si="25">+D197*E197</f>
        <v>2761.0075999999999</v>
      </c>
    </row>
    <row r="198" spans="1:6" ht="39" x14ac:dyDescent="0.2">
      <c r="A198" s="26" t="s">
        <v>300</v>
      </c>
      <c r="B198" s="27" t="s">
        <v>252</v>
      </c>
      <c r="C198" s="27" t="s">
        <v>193</v>
      </c>
      <c r="D198" s="31">
        <v>1651</v>
      </c>
      <c r="E198" s="42">
        <v>10.788</v>
      </c>
      <c r="F198" s="30">
        <f t="shared" si="25"/>
        <v>17810.988000000001</v>
      </c>
    </row>
    <row r="199" spans="1:6" ht="39" x14ac:dyDescent="0.2">
      <c r="A199" s="26" t="s">
        <v>301</v>
      </c>
      <c r="B199" s="27" t="s">
        <v>254</v>
      </c>
      <c r="C199" s="27" t="s">
        <v>193</v>
      </c>
      <c r="D199" s="31">
        <v>4780</v>
      </c>
      <c r="E199" s="28">
        <v>8.0502000000000002</v>
      </c>
      <c r="F199" s="30">
        <f t="shared" si="25"/>
        <v>38479.955999999998</v>
      </c>
    </row>
    <row r="200" spans="1:6" ht="39" x14ac:dyDescent="0.2">
      <c r="A200" s="26" t="s">
        <v>302</v>
      </c>
      <c r="B200" s="27" t="s">
        <v>256</v>
      </c>
      <c r="C200" s="27" t="s">
        <v>193</v>
      </c>
      <c r="D200" s="31">
        <v>4682</v>
      </c>
      <c r="E200" s="28">
        <v>8.0225000000000009</v>
      </c>
      <c r="F200" s="30">
        <f t="shared" si="25"/>
        <v>37561.345000000001</v>
      </c>
    </row>
    <row r="201" spans="1:6" ht="39" x14ac:dyDescent="0.2">
      <c r="A201" s="26" t="s">
        <v>303</v>
      </c>
      <c r="B201" s="27" t="s">
        <v>258</v>
      </c>
      <c r="C201" s="27" t="s">
        <v>193</v>
      </c>
      <c r="D201" s="31">
        <v>2910</v>
      </c>
      <c r="E201" s="28">
        <v>8.6066000000000003</v>
      </c>
      <c r="F201" s="30">
        <f t="shared" si="25"/>
        <v>25045.206000000002</v>
      </c>
    </row>
    <row r="202" spans="1:6" ht="39" x14ac:dyDescent="0.2">
      <c r="A202" s="26" t="s">
        <v>304</v>
      </c>
      <c r="B202" s="27" t="s">
        <v>260</v>
      </c>
      <c r="C202" s="27" t="s">
        <v>193</v>
      </c>
      <c r="D202" s="31">
        <v>2116</v>
      </c>
      <c r="E202" s="28">
        <v>8.7498000000000005</v>
      </c>
      <c r="F202" s="30">
        <f t="shared" si="25"/>
        <v>18514.576800000003</v>
      </c>
    </row>
    <row r="203" spans="1:6" ht="39" x14ac:dyDescent="0.2">
      <c r="A203" s="26" t="s">
        <v>305</v>
      </c>
      <c r="B203" s="27" t="s">
        <v>262</v>
      </c>
      <c r="C203" s="27" t="s">
        <v>193</v>
      </c>
      <c r="D203" s="31">
        <v>1967</v>
      </c>
      <c r="E203" s="28">
        <v>8.4364000000000008</v>
      </c>
      <c r="F203" s="30">
        <f t="shared" si="25"/>
        <v>16594.398800000003</v>
      </c>
    </row>
    <row r="204" spans="1:6" x14ac:dyDescent="0.2">
      <c r="A204" s="22" t="s">
        <v>306</v>
      </c>
      <c r="B204" s="23" t="s">
        <v>199</v>
      </c>
      <c r="C204" s="23"/>
      <c r="D204" s="24"/>
      <c r="E204" s="24"/>
      <c r="F204" s="25">
        <f>F205</f>
        <v>171328.5</v>
      </c>
    </row>
    <row r="205" spans="1:6" ht="58.5" x14ac:dyDescent="0.2">
      <c r="A205" s="26" t="s">
        <v>307</v>
      </c>
      <c r="B205" s="27" t="s">
        <v>265</v>
      </c>
      <c r="C205" s="27" t="s">
        <v>174</v>
      </c>
      <c r="D205" s="43">
        <v>388.5</v>
      </c>
      <c r="E205" s="43">
        <v>441</v>
      </c>
      <c r="F205" s="30">
        <f t="shared" ref="F205" si="26">+D205*E205</f>
        <v>171328.5</v>
      </c>
    </row>
    <row r="206" spans="1:6" x14ac:dyDescent="0.2">
      <c r="A206" s="22" t="s">
        <v>308</v>
      </c>
      <c r="B206" s="23" t="s">
        <v>288</v>
      </c>
      <c r="C206" s="23"/>
      <c r="D206" s="24"/>
      <c r="E206" s="24"/>
      <c r="F206" s="25">
        <f>F207</f>
        <v>10938.257628000001</v>
      </c>
    </row>
    <row r="207" spans="1:6" x14ac:dyDescent="0.2">
      <c r="A207" s="26" t="s">
        <v>309</v>
      </c>
      <c r="B207" s="27" t="s">
        <v>2177</v>
      </c>
      <c r="C207" s="27" t="s">
        <v>80</v>
      </c>
      <c r="D207" s="28">
        <v>821.32</v>
      </c>
      <c r="E207" s="29">
        <v>13.3179</v>
      </c>
      <c r="F207" s="30">
        <f t="shared" ref="F207" si="27">+D207*E207</f>
        <v>10938.257628000001</v>
      </c>
    </row>
    <row r="208" spans="1:6" x14ac:dyDescent="0.2">
      <c r="A208" s="22" t="s">
        <v>310</v>
      </c>
      <c r="B208" s="23" t="s">
        <v>203</v>
      </c>
      <c r="C208" s="23"/>
      <c r="D208" s="24"/>
      <c r="E208" s="24"/>
      <c r="F208" s="25">
        <f>F209</f>
        <v>133640.4</v>
      </c>
    </row>
    <row r="209" spans="1:6" ht="39" x14ac:dyDescent="0.2">
      <c r="A209" s="26" t="s">
        <v>311</v>
      </c>
      <c r="B209" s="27" t="s">
        <v>268</v>
      </c>
      <c r="C209" s="27" t="s">
        <v>80</v>
      </c>
      <c r="D209" s="43">
        <v>786.12</v>
      </c>
      <c r="E209" s="43">
        <v>170</v>
      </c>
      <c r="F209" s="30">
        <f t="shared" ref="F209" si="28">+D209*E209</f>
        <v>133640.4</v>
      </c>
    </row>
    <row r="210" spans="1:6" ht="39" x14ac:dyDescent="0.2">
      <c r="A210" s="18" t="s">
        <v>312</v>
      </c>
      <c r="B210" s="19" t="s">
        <v>313</v>
      </c>
      <c r="C210" s="19"/>
      <c r="D210" s="20"/>
      <c r="E210" s="20"/>
      <c r="F210" s="21">
        <f>F211+F215+F223+F225+F227</f>
        <v>215456.57102899998</v>
      </c>
    </row>
    <row r="211" spans="1:6" x14ac:dyDescent="0.2">
      <c r="A211" s="22" t="s">
        <v>314</v>
      </c>
      <c r="B211" s="23" t="s">
        <v>186</v>
      </c>
      <c r="C211" s="23"/>
      <c r="D211" s="24"/>
      <c r="E211" s="24"/>
      <c r="F211" s="25">
        <f>SUM(F212:F214)</f>
        <v>3451.7194</v>
      </c>
    </row>
    <row r="212" spans="1:6" ht="39" x14ac:dyDescent="0.2">
      <c r="A212" s="26" t="s">
        <v>315</v>
      </c>
      <c r="B212" s="27" t="s">
        <v>273</v>
      </c>
      <c r="C212" s="27" t="s">
        <v>80</v>
      </c>
      <c r="D212" s="43">
        <v>295</v>
      </c>
      <c r="E212" s="28">
        <v>3.13</v>
      </c>
      <c r="F212" s="30">
        <f t="shared" ref="F212:F214" si="29">+D212*E212</f>
        <v>923.35</v>
      </c>
    </row>
    <row r="213" spans="1:6" ht="39" x14ac:dyDescent="0.2">
      <c r="A213" s="26" t="s">
        <v>316</v>
      </c>
      <c r="B213" s="27" t="s">
        <v>247</v>
      </c>
      <c r="C213" s="27" t="s">
        <v>80</v>
      </c>
      <c r="D213" s="43">
        <v>305</v>
      </c>
      <c r="E213" s="28">
        <v>4.1123000000000003</v>
      </c>
      <c r="F213" s="30">
        <f t="shared" si="29"/>
        <v>1254.2515000000001</v>
      </c>
    </row>
    <row r="214" spans="1:6" ht="39" x14ac:dyDescent="0.2">
      <c r="A214" s="26" t="s">
        <v>317</v>
      </c>
      <c r="B214" s="27" t="s">
        <v>276</v>
      </c>
      <c r="C214" s="27" t="s">
        <v>80</v>
      </c>
      <c r="D214" s="43">
        <v>319</v>
      </c>
      <c r="E214" s="28">
        <v>3.9941</v>
      </c>
      <c r="F214" s="30">
        <f t="shared" si="29"/>
        <v>1274.1179</v>
      </c>
    </row>
    <row r="215" spans="1:6" x14ac:dyDescent="0.2">
      <c r="A215" s="22" t="s">
        <v>318</v>
      </c>
      <c r="B215" s="23" t="s">
        <v>190</v>
      </c>
      <c r="C215" s="23"/>
      <c r="D215" s="24"/>
      <c r="E215" s="24"/>
      <c r="F215" s="25">
        <f>SUM(F216:F222)</f>
        <v>100410.88039999999</v>
      </c>
    </row>
    <row r="216" spans="1:6" ht="39" x14ac:dyDescent="0.2">
      <c r="A216" s="26" t="s">
        <v>319</v>
      </c>
      <c r="B216" s="27" t="s">
        <v>250</v>
      </c>
      <c r="C216" s="27" t="s">
        <v>193</v>
      </c>
      <c r="D216" s="43">
        <v>363</v>
      </c>
      <c r="E216" s="42">
        <v>12.3812</v>
      </c>
      <c r="F216" s="30">
        <f t="shared" ref="F216:F222" si="30">+D216*E216</f>
        <v>4494.3756000000003</v>
      </c>
    </row>
    <row r="217" spans="1:6" ht="39" x14ac:dyDescent="0.2">
      <c r="A217" s="26" t="s">
        <v>320</v>
      </c>
      <c r="B217" s="27" t="s">
        <v>252</v>
      </c>
      <c r="C217" s="27" t="s">
        <v>193</v>
      </c>
      <c r="D217" s="31">
        <v>3355</v>
      </c>
      <c r="E217" s="42">
        <v>10.788</v>
      </c>
      <c r="F217" s="30">
        <f t="shared" si="30"/>
        <v>36193.74</v>
      </c>
    </row>
    <row r="218" spans="1:6" ht="39" x14ac:dyDescent="0.2">
      <c r="A218" s="26" t="s">
        <v>321</v>
      </c>
      <c r="B218" s="27" t="s">
        <v>254</v>
      </c>
      <c r="C218" s="27" t="s">
        <v>193</v>
      </c>
      <c r="D218" s="43">
        <v>241</v>
      </c>
      <c r="E218" s="28">
        <v>8.0502000000000002</v>
      </c>
      <c r="F218" s="30">
        <f t="shared" si="30"/>
        <v>1940.0982000000001</v>
      </c>
    </row>
    <row r="219" spans="1:6" ht="39" x14ac:dyDescent="0.2">
      <c r="A219" s="26" t="s">
        <v>322</v>
      </c>
      <c r="B219" s="27" t="s">
        <v>256</v>
      </c>
      <c r="C219" s="27" t="s">
        <v>193</v>
      </c>
      <c r="D219" s="43">
        <v>440</v>
      </c>
      <c r="E219" s="28">
        <v>8.0225000000000009</v>
      </c>
      <c r="F219" s="30">
        <f t="shared" si="30"/>
        <v>3529.9000000000005</v>
      </c>
    </row>
    <row r="220" spans="1:6" ht="39" x14ac:dyDescent="0.2">
      <c r="A220" s="26" t="s">
        <v>323</v>
      </c>
      <c r="B220" s="27" t="s">
        <v>258</v>
      </c>
      <c r="C220" s="27" t="s">
        <v>193</v>
      </c>
      <c r="D220" s="31">
        <v>1086</v>
      </c>
      <c r="E220" s="28">
        <v>8.6066000000000003</v>
      </c>
      <c r="F220" s="30">
        <f t="shared" si="30"/>
        <v>9346.767600000001</v>
      </c>
    </row>
    <row r="221" spans="1:6" ht="39" x14ac:dyDescent="0.2">
      <c r="A221" s="26" t="s">
        <v>324</v>
      </c>
      <c r="B221" s="27" t="s">
        <v>260</v>
      </c>
      <c r="C221" s="27" t="s">
        <v>193</v>
      </c>
      <c r="D221" s="31">
        <v>2635</v>
      </c>
      <c r="E221" s="28">
        <v>8.7498000000000005</v>
      </c>
      <c r="F221" s="30">
        <f t="shared" si="30"/>
        <v>23055.723000000002</v>
      </c>
    </row>
    <row r="222" spans="1:6" ht="39" x14ac:dyDescent="0.2">
      <c r="A222" s="26" t="s">
        <v>325</v>
      </c>
      <c r="B222" s="27" t="s">
        <v>262</v>
      </c>
      <c r="C222" s="27" t="s">
        <v>193</v>
      </c>
      <c r="D222" s="31">
        <v>2590</v>
      </c>
      <c r="E222" s="28">
        <v>8.4364000000000008</v>
      </c>
      <c r="F222" s="30">
        <f t="shared" si="30"/>
        <v>21850.276000000002</v>
      </c>
    </row>
    <row r="223" spans="1:6" x14ac:dyDescent="0.2">
      <c r="A223" s="22" t="s">
        <v>326</v>
      </c>
      <c r="B223" s="23" t="s">
        <v>199</v>
      </c>
      <c r="C223" s="23"/>
      <c r="D223" s="24"/>
      <c r="E223" s="24"/>
      <c r="F223" s="25">
        <f>F224</f>
        <v>43703.1</v>
      </c>
    </row>
    <row r="224" spans="1:6" ht="58.5" x14ac:dyDescent="0.2">
      <c r="A224" s="26" t="s">
        <v>327</v>
      </c>
      <c r="B224" s="27" t="s">
        <v>265</v>
      </c>
      <c r="C224" s="27" t="s">
        <v>174</v>
      </c>
      <c r="D224" s="42">
        <v>99.1</v>
      </c>
      <c r="E224" s="43">
        <v>441</v>
      </c>
      <c r="F224" s="30">
        <f t="shared" ref="F224" si="31">+D224*E224</f>
        <v>43703.1</v>
      </c>
    </row>
    <row r="225" spans="1:6" x14ac:dyDescent="0.2">
      <c r="A225" s="22" t="s">
        <v>328</v>
      </c>
      <c r="B225" s="23" t="s">
        <v>288</v>
      </c>
      <c r="C225" s="23"/>
      <c r="D225" s="24"/>
      <c r="E225" s="24"/>
      <c r="F225" s="25">
        <f>F226</f>
        <v>5720.1712289999996</v>
      </c>
    </row>
    <row r="226" spans="1:6" x14ac:dyDescent="0.2">
      <c r="A226" s="26" t="s">
        <v>329</v>
      </c>
      <c r="B226" s="27" t="s">
        <v>2177</v>
      </c>
      <c r="C226" s="27" t="s">
        <v>80</v>
      </c>
      <c r="D226" s="28">
        <v>429.51</v>
      </c>
      <c r="E226" s="29">
        <v>13.3179</v>
      </c>
      <c r="F226" s="30">
        <f t="shared" ref="F226" si="32">+D226*E226</f>
        <v>5720.1712289999996</v>
      </c>
    </row>
    <row r="227" spans="1:6" x14ac:dyDescent="0.2">
      <c r="A227" s="22" t="s">
        <v>330</v>
      </c>
      <c r="B227" s="23" t="s">
        <v>203</v>
      </c>
      <c r="C227" s="23"/>
      <c r="D227" s="24"/>
      <c r="E227" s="24"/>
      <c r="F227" s="25">
        <f>F228</f>
        <v>62170.7</v>
      </c>
    </row>
    <row r="228" spans="1:6" ht="39" x14ac:dyDescent="0.2">
      <c r="A228" s="26" t="s">
        <v>331</v>
      </c>
      <c r="B228" s="27" t="s">
        <v>268</v>
      </c>
      <c r="C228" s="27" t="s">
        <v>80</v>
      </c>
      <c r="D228" s="43">
        <v>365.71</v>
      </c>
      <c r="E228" s="43">
        <v>170</v>
      </c>
      <c r="F228" s="30">
        <f t="shared" ref="F228" si="33">+D228*E228</f>
        <v>62170.7</v>
      </c>
    </row>
    <row r="229" spans="1:6" x14ac:dyDescent="0.2">
      <c r="A229" s="18" t="s">
        <v>332</v>
      </c>
      <c r="B229" s="19" t="s">
        <v>333</v>
      </c>
      <c r="C229" s="19"/>
      <c r="D229" s="20"/>
      <c r="E229" s="20"/>
      <c r="F229" s="21">
        <f>F230+F234+F242+F244+F246</f>
        <v>372756.868999</v>
      </c>
    </row>
    <row r="230" spans="1:6" x14ac:dyDescent="0.2">
      <c r="A230" s="22" t="s">
        <v>334</v>
      </c>
      <c r="B230" s="23" t="s">
        <v>186</v>
      </c>
      <c r="C230" s="23"/>
      <c r="D230" s="24"/>
      <c r="E230" s="24"/>
      <c r="F230" s="25">
        <f>SUM(F231:F233)</f>
        <v>4901.5637000000006</v>
      </c>
    </row>
    <row r="231" spans="1:6" ht="39" x14ac:dyDescent="0.2">
      <c r="A231" s="26" t="s">
        <v>335</v>
      </c>
      <c r="B231" s="27" t="s">
        <v>273</v>
      </c>
      <c r="C231" s="27" t="s">
        <v>80</v>
      </c>
      <c r="D231" s="43">
        <v>666</v>
      </c>
      <c r="E231" s="28">
        <v>3.13</v>
      </c>
      <c r="F231" s="30">
        <f t="shared" ref="F231:F233" si="34">+D231*E231</f>
        <v>2084.58</v>
      </c>
    </row>
    <row r="232" spans="1:6" ht="39" x14ac:dyDescent="0.2">
      <c r="A232" s="26" t="s">
        <v>336</v>
      </c>
      <c r="B232" s="27" t="s">
        <v>247</v>
      </c>
      <c r="C232" s="27" t="s">
        <v>80</v>
      </c>
      <c r="D232" s="43">
        <v>280</v>
      </c>
      <c r="E232" s="28">
        <v>4.1123000000000003</v>
      </c>
      <c r="F232" s="30">
        <f t="shared" si="34"/>
        <v>1151.4440000000002</v>
      </c>
    </row>
    <row r="233" spans="1:6" ht="39" x14ac:dyDescent="0.2">
      <c r="A233" s="26" t="s">
        <v>337</v>
      </c>
      <c r="B233" s="27" t="s">
        <v>276</v>
      </c>
      <c r="C233" s="27" t="s">
        <v>80</v>
      </c>
      <c r="D233" s="43">
        <v>417</v>
      </c>
      <c r="E233" s="28">
        <v>3.9941</v>
      </c>
      <c r="F233" s="30">
        <f t="shared" si="34"/>
        <v>1665.5397</v>
      </c>
    </row>
    <row r="234" spans="1:6" x14ac:dyDescent="0.2">
      <c r="A234" s="22" t="s">
        <v>338</v>
      </c>
      <c r="B234" s="23" t="s">
        <v>190</v>
      </c>
      <c r="C234" s="23"/>
      <c r="D234" s="24"/>
      <c r="E234" s="24"/>
      <c r="F234" s="25">
        <f>SUM(F235:F241)</f>
        <v>150776.39230000001</v>
      </c>
    </row>
    <row r="235" spans="1:6" ht="39" x14ac:dyDescent="0.2">
      <c r="A235" s="26" t="s">
        <v>339</v>
      </c>
      <c r="B235" s="27" t="s">
        <v>250</v>
      </c>
      <c r="C235" s="27" t="s">
        <v>193</v>
      </c>
      <c r="D235" s="43">
        <v>528</v>
      </c>
      <c r="E235" s="42">
        <v>12.3812</v>
      </c>
      <c r="F235" s="30">
        <f t="shared" ref="F235:F241" si="35">+D235*E235</f>
        <v>6537.2735999999995</v>
      </c>
    </row>
    <row r="236" spans="1:6" ht="39" x14ac:dyDescent="0.2">
      <c r="A236" s="26" t="s">
        <v>340</v>
      </c>
      <c r="B236" s="27" t="s">
        <v>252</v>
      </c>
      <c r="C236" s="27" t="s">
        <v>193</v>
      </c>
      <c r="D236" s="31">
        <v>5538</v>
      </c>
      <c r="E236" s="42">
        <v>10.788</v>
      </c>
      <c r="F236" s="30">
        <f t="shared" si="35"/>
        <v>59743.944000000003</v>
      </c>
    </row>
    <row r="237" spans="1:6" ht="39" x14ac:dyDescent="0.2">
      <c r="A237" s="26" t="s">
        <v>341</v>
      </c>
      <c r="B237" s="27" t="s">
        <v>254</v>
      </c>
      <c r="C237" s="27" t="s">
        <v>193</v>
      </c>
      <c r="D237" s="31">
        <v>2108</v>
      </c>
      <c r="E237" s="28">
        <v>8.0502000000000002</v>
      </c>
      <c r="F237" s="30">
        <f t="shared" si="35"/>
        <v>16969.821599999999</v>
      </c>
    </row>
    <row r="238" spans="1:6" ht="39" x14ac:dyDescent="0.2">
      <c r="A238" s="26" t="s">
        <v>342</v>
      </c>
      <c r="B238" s="27" t="s">
        <v>256</v>
      </c>
      <c r="C238" s="27" t="s">
        <v>193</v>
      </c>
      <c r="D238" s="43">
        <v>703</v>
      </c>
      <c r="E238" s="28">
        <v>8.0225000000000009</v>
      </c>
      <c r="F238" s="30">
        <f t="shared" si="35"/>
        <v>5639.817500000001</v>
      </c>
    </row>
    <row r="239" spans="1:6" ht="39" x14ac:dyDescent="0.2">
      <c r="A239" s="26" t="s">
        <v>343</v>
      </c>
      <c r="B239" s="27" t="s">
        <v>258</v>
      </c>
      <c r="C239" s="27" t="s">
        <v>193</v>
      </c>
      <c r="D239" s="31">
        <v>1816</v>
      </c>
      <c r="E239" s="28">
        <v>8.6066000000000003</v>
      </c>
      <c r="F239" s="30">
        <f t="shared" si="35"/>
        <v>15629.5856</v>
      </c>
    </row>
    <row r="240" spans="1:6" ht="39" x14ac:dyDescent="0.2">
      <c r="A240" s="26" t="s">
        <v>344</v>
      </c>
      <c r="B240" s="27" t="s">
        <v>260</v>
      </c>
      <c r="C240" s="27" t="s">
        <v>193</v>
      </c>
      <c r="D240" s="31">
        <v>2770</v>
      </c>
      <c r="E240" s="28">
        <v>8.7498000000000005</v>
      </c>
      <c r="F240" s="30">
        <f t="shared" si="35"/>
        <v>24236.946</v>
      </c>
    </row>
    <row r="241" spans="1:6" ht="39" x14ac:dyDescent="0.2">
      <c r="A241" s="26" t="s">
        <v>345</v>
      </c>
      <c r="B241" s="27" t="s">
        <v>262</v>
      </c>
      <c r="C241" s="27" t="s">
        <v>193</v>
      </c>
      <c r="D241" s="31">
        <v>2610</v>
      </c>
      <c r="E241" s="28">
        <v>8.4364000000000008</v>
      </c>
      <c r="F241" s="30">
        <f t="shared" si="35"/>
        <v>22019.004000000001</v>
      </c>
    </row>
    <row r="242" spans="1:6" x14ac:dyDescent="0.2">
      <c r="A242" s="22" t="s">
        <v>346</v>
      </c>
      <c r="B242" s="23" t="s">
        <v>199</v>
      </c>
      <c r="C242" s="23"/>
      <c r="D242" s="24"/>
      <c r="E242" s="24"/>
      <c r="F242" s="25">
        <f>F243</f>
        <v>76204.800000000003</v>
      </c>
    </row>
    <row r="243" spans="1:6" ht="58.5" x14ac:dyDescent="0.2">
      <c r="A243" s="26" t="s">
        <v>347</v>
      </c>
      <c r="B243" s="27" t="s">
        <v>265</v>
      </c>
      <c r="C243" s="27" t="s">
        <v>174</v>
      </c>
      <c r="D243" s="43">
        <v>172.8</v>
      </c>
      <c r="E243" s="43">
        <v>441</v>
      </c>
      <c r="F243" s="30">
        <f t="shared" ref="F243" si="36">+D243*E243</f>
        <v>76204.800000000003</v>
      </c>
    </row>
    <row r="244" spans="1:6" x14ac:dyDescent="0.2">
      <c r="A244" s="22" t="s">
        <v>348</v>
      </c>
      <c r="B244" s="23" t="s">
        <v>288</v>
      </c>
      <c r="C244" s="23"/>
      <c r="D244" s="24"/>
      <c r="E244" s="24"/>
      <c r="F244" s="25">
        <f>F245</f>
        <v>11264.412998999998</v>
      </c>
    </row>
    <row r="245" spans="1:6" x14ac:dyDescent="0.2">
      <c r="A245" s="26" t="s">
        <v>349</v>
      </c>
      <c r="B245" s="27" t="s">
        <v>2177</v>
      </c>
      <c r="C245" s="27" t="s">
        <v>80</v>
      </c>
      <c r="D245" s="28">
        <v>845.81</v>
      </c>
      <c r="E245" s="29">
        <v>13.3179</v>
      </c>
      <c r="F245" s="30">
        <f t="shared" ref="F245" si="37">+D245*E245</f>
        <v>11264.412998999998</v>
      </c>
    </row>
    <row r="246" spans="1:6" x14ac:dyDescent="0.2">
      <c r="A246" s="22" t="s">
        <v>350</v>
      </c>
      <c r="B246" s="23" t="s">
        <v>203</v>
      </c>
      <c r="C246" s="23"/>
      <c r="D246" s="24"/>
      <c r="E246" s="24"/>
      <c r="F246" s="25">
        <f>F247</f>
        <v>129609.7</v>
      </c>
    </row>
    <row r="247" spans="1:6" ht="39" x14ac:dyDescent="0.2">
      <c r="A247" s="26" t="s">
        <v>351</v>
      </c>
      <c r="B247" s="27" t="s">
        <v>268</v>
      </c>
      <c r="C247" s="27" t="s">
        <v>80</v>
      </c>
      <c r="D247" s="43">
        <v>762.41</v>
      </c>
      <c r="E247" s="43">
        <v>170</v>
      </c>
      <c r="F247" s="30">
        <f t="shared" ref="F247" si="38">+D247*E247</f>
        <v>129609.7</v>
      </c>
    </row>
    <row r="248" spans="1:6" x14ac:dyDescent="0.2">
      <c r="A248" s="18" t="s">
        <v>352</v>
      </c>
      <c r="B248" s="19" t="s">
        <v>353</v>
      </c>
      <c r="C248" s="19"/>
      <c r="D248" s="20"/>
      <c r="E248" s="20"/>
      <c r="F248" s="21">
        <f>F249+F253+F261+F263+F265</f>
        <v>451884.22537100001</v>
      </c>
    </row>
    <row r="249" spans="1:6" x14ac:dyDescent="0.2">
      <c r="A249" s="22" t="s">
        <v>354</v>
      </c>
      <c r="B249" s="23" t="s">
        <v>186</v>
      </c>
      <c r="C249" s="23"/>
      <c r="D249" s="24"/>
      <c r="E249" s="24"/>
      <c r="F249" s="25">
        <f>SUM(F250:F252)</f>
        <v>6078.4793</v>
      </c>
    </row>
    <row r="250" spans="1:6" ht="39" x14ac:dyDescent="0.2">
      <c r="A250" s="26" t="s">
        <v>355</v>
      </c>
      <c r="B250" s="27" t="s">
        <v>273</v>
      </c>
      <c r="C250" s="27" t="s">
        <v>80</v>
      </c>
      <c r="D250" s="43">
        <v>657</v>
      </c>
      <c r="E250" s="28">
        <v>3.13</v>
      </c>
      <c r="F250" s="30">
        <f t="shared" ref="F250:F252" si="39">+D250*E250</f>
        <v>2056.41</v>
      </c>
    </row>
    <row r="251" spans="1:6" ht="39" x14ac:dyDescent="0.2">
      <c r="A251" s="26" t="s">
        <v>356</v>
      </c>
      <c r="B251" s="27" t="s">
        <v>247</v>
      </c>
      <c r="C251" s="27" t="s">
        <v>80</v>
      </c>
      <c r="D251" s="43">
        <v>338</v>
      </c>
      <c r="E251" s="28">
        <v>4.1123000000000003</v>
      </c>
      <c r="F251" s="30">
        <f t="shared" si="39"/>
        <v>1389.9574</v>
      </c>
    </row>
    <row r="252" spans="1:6" ht="39" x14ac:dyDescent="0.2">
      <c r="A252" s="26" t="s">
        <v>357</v>
      </c>
      <c r="B252" s="27" t="s">
        <v>276</v>
      </c>
      <c r="C252" s="27" t="s">
        <v>80</v>
      </c>
      <c r="D252" s="43">
        <v>659</v>
      </c>
      <c r="E252" s="28">
        <v>3.9941</v>
      </c>
      <c r="F252" s="30">
        <f t="shared" si="39"/>
        <v>2632.1118999999999</v>
      </c>
    </row>
    <row r="253" spans="1:6" x14ac:dyDescent="0.2">
      <c r="A253" s="22" t="s">
        <v>358</v>
      </c>
      <c r="B253" s="23" t="s">
        <v>190</v>
      </c>
      <c r="C253" s="23"/>
      <c r="D253" s="24"/>
      <c r="E253" s="24"/>
      <c r="F253" s="25">
        <f>SUM(F254:F260)</f>
        <v>208216.1819</v>
      </c>
    </row>
    <row r="254" spans="1:6" ht="39" x14ac:dyDescent="0.2">
      <c r="A254" s="26" t="s">
        <v>359</v>
      </c>
      <c r="B254" s="27" t="s">
        <v>250</v>
      </c>
      <c r="C254" s="27" t="s">
        <v>193</v>
      </c>
      <c r="D254" s="43">
        <v>413</v>
      </c>
      <c r="E254" s="42">
        <v>12.3812</v>
      </c>
      <c r="F254" s="30">
        <f t="shared" ref="F254:F260" si="40">+D254*E254</f>
        <v>5113.4355999999998</v>
      </c>
    </row>
    <row r="255" spans="1:6" ht="39" x14ac:dyDescent="0.2">
      <c r="A255" s="26" t="s">
        <v>360</v>
      </c>
      <c r="B255" s="27" t="s">
        <v>252</v>
      </c>
      <c r="C255" s="27" t="s">
        <v>193</v>
      </c>
      <c r="D255" s="31">
        <v>5867</v>
      </c>
      <c r="E255" s="42">
        <v>10.788</v>
      </c>
      <c r="F255" s="30">
        <f t="shared" si="40"/>
        <v>63293.196000000004</v>
      </c>
    </row>
    <row r="256" spans="1:6" ht="39" x14ac:dyDescent="0.2">
      <c r="A256" s="26" t="s">
        <v>361</v>
      </c>
      <c r="B256" s="27" t="s">
        <v>254</v>
      </c>
      <c r="C256" s="27" t="s">
        <v>193</v>
      </c>
      <c r="D256" s="31">
        <v>2790</v>
      </c>
      <c r="E256" s="28">
        <v>8.0502000000000002</v>
      </c>
      <c r="F256" s="30">
        <f t="shared" si="40"/>
        <v>22460.058000000001</v>
      </c>
    </row>
    <row r="257" spans="1:6" ht="39" x14ac:dyDescent="0.2">
      <c r="A257" s="26" t="s">
        <v>362</v>
      </c>
      <c r="B257" s="27" t="s">
        <v>256</v>
      </c>
      <c r="C257" s="27" t="s">
        <v>193</v>
      </c>
      <c r="D257" s="31">
        <v>1303</v>
      </c>
      <c r="E257" s="28">
        <v>8.0225000000000009</v>
      </c>
      <c r="F257" s="30">
        <f t="shared" si="40"/>
        <v>10453.317500000001</v>
      </c>
    </row>
    <row r="258" spans="1:6" ht="39" x14ac:dyDescent="0.2">
      <c r="A258" s="26" t="s">
        <v>363</v>
      </c>
      <c r="B258" s="27" t="s">
        <v>258</v>
      </c>
      <c r="C258" s="27" t="s">
        <v>193</v>
      </c>
      <c r="D258" s="31">
        <v>2453</v>
      </c>
      <c r="E258" s="28">
        <v>8.6066000000000003</v>
      </c>
      <c r="F258" s="30">
        <f t="shared" si="40"/>
        <v>21111.989799999999</v>
      </c>
    </row>
    <row r="259" spans="1:6" ht="39" x14ac:dyDescent="0.2">
      <c r="A259" s="26" t="s">
        <v>364</v>
      </c>
      <c r="B259" s="27" t="s">
        <v>260</v>
      </c>
      <c r="C259" s="27" t="s">
        <v>193</v>
      </c>
      <c r="D259" s="31">
        <v>4047</v>
      </c>
      <c r="E259" s="28">
        <v>8.7498000000000005</v>
      </c>
      <c r="F259" s="30">
        <f t="shared" si="40"/>
        <v>35410.440600000002</v>
      </c>
    </row>
    <row r="260" spans="1:6" ht="39" x14ac:dyDescent="0.2">
      <c r="A260" s="26" t="s">
        <v>365</v>
      </c>
      <c r="B260" s="27" t="s">
        <v>262</v>
      </c>
      <c r="C260" s="27" t="s">
        <v>193</v>
      </c>
      <c r="D260" s="31">
        <v>5971</v>
      </c>
      <c r="E260" s="28">
        <v>8.4364000000000008</v>
      </c>
      <c r="F260" s="30">
        <f t="shared" si="40"/>
        <v>50373.744400000003</v>
      </c>
    </row>
    <row r="261" spans="1:6" x14ac:dyDescent="0.2">
      <c r="A261" s="22" t="s">
        <v>366</v>
      </c>
      <c r="B261" s="23" t="s">
        <v>199</v>
      </c>
      <c r="C261" s="23"/>
      <c r="D261" s="24"/>
      <c r="E261" s="24"/>
      <c r="F261" s="25">
        <f>F262</f>
        <v>95652.900000000009</v>
      </c>
    </row>
    <row r="262" spans="1:6" ht="58.5" x14ac:dyDescent="0.2">
      <c r="A262" s="26" t="s">
        <v>367</v>
      </c>
      <c r="B262" s="27" t="s">
        <v>265</v>
      </c>
      <c r="C262" s="27" t="s">
        <v>174</v>
      </c>
      <c r="D262" s="43">
        <v>216.9</v>
      </c>
      <c r="E262" s="43">
        <v>441</v>
      </c>
      <c r="F262" s="30">
        <f t="shared" ref="F262" si="41">+D262*E262</f>
        <v>95652.900000000009</v>
      </c>
    </row>
    <row r="263" spans="1:6" x14ac:dyDescent="0.2">
      <c r="A263" s="22" t="s">
        <v>368</v>
      </c>
      <c r="B263" s="23" t="s">
        <v>288</v>
      </c>
      <c r="C263" s="23"/>
      <c r="D263" s="24"/>
      <c r="E263" s="24"/>
      <c r="F263" s="25">
        <f>F264</f>
        <v>11939.364170999999</v>
      </c>
    </row>
    <row r="264" spans="1:6" x14ac:dyDescent="0.2">
      <c r="A264" s="26" t="s">
        <v>369</v>
      </c>
      <c r="B264" s="27" t="s">
        <v>2177</v>
      </c>
      <c r="C264" s="27" t="s">
        <v>80</v>
      </c>
      <c r="D264" s="28">
        <v>896.49</v>
      </c>
      <c r="E264" s="29">
        <v>13.3179</v>
      </c>
      <c r="F264" s="30">
        <f t="shared" ref="F264" si="42">+D264*E264</f>
        <v>11939.364170999999</v>
      </c>
    </row>
    <row r="265" spans="1:6" x14ac:dyDescent="0.2">
      <c r="A265" s="22" t="s">
        <v>370</v>
      </c>
      <c r="B265" s="23" t="s">
        <v>203</v>
      </c>
      <c r="C265" s="23"/>
      <c r="D265" s="24"/>
      <c r="E265" s="24"/>
      <c r="F265" s="25">
        <f>F266</f>
        <v>129997.3</v>
      </c>
    </row>
    <row r="266" spans="1:6" ht="39" x14ac:dyDescent="0.2">
      <c r="A266" s="26" t="s">
        <v>371</v>
      </c>
      <c r="B266" s="27" t="s">
        <v>268</v>
      </c>
      <c r="C266" s="27" t="s">
        <v>80</v>
      </c>
      <c r="D266" s="43">
        <v>764.69</v>
      </c>
      <c r="E266" s="43">
        <v>170</v>
      </c>
      <c r="F266" s="30">
        <f t="shared" ref="F266" si="43">+D266*E266</f>
        <v>129997.3</v>
      </c>
    </row>
    <row r="267" spans="1:6" x14ac:dyDescent="0.2">
      <c r="A267" s="18" t="s">
        <v>372</v>
      </c>
      <c r="B267" s="19" t="s">
        <v>373</v>
      </c>
      <c r="C267" s="19"/>
      <c r="D267" s="20"/>
      <c r="E267" s="20"/>
      <c r="F267" s="21">
        <f>F268+F275+F283+F285+F289</f>
        <v>1628780.8209800001</v>
      </c>
    </row>
    <row r="268" spans="1:6" x14ac:dyDescent="0.2">
      <c r="A268" s="22" t="s">
        <v>374</v>
      </c>
      <c r="B268" s="23" t="s">
        <v>186</v>
      </c>
      <c r="C268" s="23"/>
      <c r="D268" s="24"/>
      <c r="E268" s="24"/>
      <c r="F268" s="25">
        <f>SUM(F269:F274)</f>
        <v>123319.46139999999</v>
      </c>
    </row>
    <row r="269" spans="1:6" ht="39" x14ac:dyDescent="0.2">
      <c r="A269" s="26" t="s">
        <v>375</v>
      </c>
      <c r="B269" s="27" t="s">
        <v>241</v>
      </c>
      <c r="C269" s="27" t="s">
        <v>80</v>
      </c>
      <c r="D269" s="43">
        <v>468</v>
      </c>
      <c r="E269" s="43">
        <v>103.7928</v>
      </c>
      <c r="F269" s="30">
        <f t="shared" ref="F269:F274" si="44">+D269*E269</f>
        <v>48575.030400000003</v>
      </c>
    </row>
    <row r="270" spans="1:6" ht="39" x14ac:dyDescent="0.2">
      <c r="A270" s="26" t="s">
        <v>376</v>
      </c>
      <c r="B270" s="27" t="s">
        <v>243</v>
      </c>
      <c r="C270" s="27" t="s">
        <v>80</v>
      </c>
      <c r="D270" s="43">
        <v>700</v>
      </c>
      <c r="E270" s="42">
        <v>78.444299999999998</v>
      </c>
      <c r="F270" s="30">
        <f t="shared" si="44"/>
        <v>54911.01</v>
      </c>
    </row>
    <row r="271" spans="1:6" ht="39" x14ac:dyDescent="0.2">
      <c r="A271" s="26" t="s">
        <v>377</v>
      </c>
      <c r="B271" s="27" t="s">
        <v>245</v>
      </c>
      <c r="C271" s="27" t="s">
        <v>80</v>
      </c>
      <c r="D271" s="42">
        <v>82</v>
      </c>
      <c r="E271" s="42">
        <v>58.728400000000001</v>
      </c>
      <c r="F271" s="30">
        <f t="shared" si="44"/>
        <v>4815.7287999999999</v>
      </c>
    </row>
    <row r="272" spans="1:6" ht="39" x14ac:dyDescent="0.2">
      <c r="A272" s="26" t="s">
        <v>378</v>
      </c>
      <c r="B272" s="27" t="s">
        <v>273</v>
      </c>
      <c r="C272" s="27" t="s">
        <v>80</v>
      </c>
      <c r="D272" s="43">
        <v>136</v>
      </c>
      <c r="E272" s="28">
        <v>3.13</v>
      </c>
      <c r="F272" s="30">
        <f t="shared" si="44"/>
        <v>425.68</v>
      </c>
    </row>
    <row r="273" spans="1:6" ht="39" x14ac:dyDescent="0.2">
      <c r="A273" s="26" t="s">
        <v>379</v>
      </c>
      <c r="B273" s="27" t="s">
        <v>247</v>
      </c>
      <c r="C273" s="27" t="s">
        <v>80</v>
      </c>
      <c r="D273" s="31">
        <v>1669</v>
      </c>
      <c r="E273" s="28">
        <v>4.1123000000000003</v>
      </c>
      <c r="F273" s="30">
        <f t="shared" si="44"/>
        <v>6863.4287000000004</v>
      </c>
    </row>
    <row r="274" spans="1:6" ht="39" x14ac:dyDescent="0.2">
      <c r="A274" s="26" t="s">
        <v>380</v>
      </c>
      <c r="B274" s="27" t="s">
        <v>276</v>
      </c>
      <c r="C274" s="27" t="s">
        <v>80</v>
      </c>
      <c r="D274" s="31">
        <v>1935</v>
      </c>
      <c r="E274" s="28">
        <v>3.9941</v>
      </c>
      <c r="F274" s="30">
        <f t="shared" si="44"/>
        <v>7728.5834999999997</v>
      </c>
    </row>
    <row r="275" spans="1:6" x14ac:dyDescent="0.2">
      <c r="A275" s="22" t="s">
        <v>381</v>
      </c>
      <c r="B275" s="23" t="s">
        <v>190</v>
      </c>
      <c r="C275" s="23"/>
      <c r="D275" s="24"/>
      <c r="E275" s="24"/>
      <c r="F275" s="25">
        <f>SUM(F276:F282)</f>
        <v>507638.60440000007</v>
      </c>
    </row>
    <row r="276" spans="1:6" ht="39" x14ac:dyDescent="0.2">
      <c r="A276" s="26" t="s">
        <v>382</v>
      </c>
      <c r="B276" s="27" t="s">
        <v>250</v>
      </c>
      <c r="C276" s="27" t="s">
        <v>193</v>
      </c>
      <c r="D276" s="31">
        <v>2263</v>
      </c>
      <c r="E276" s="42">
        <v>12.3812</v>
      </c>
      <c r="F276" s="30">
        <f t="shared" ref="F276:F282" si="45">+D276*E276</f>
        <v>28018.655599999998</v>
      </c>
    </row>
    <row r="277" spans="1:6" ht="39" x14ac:dyDescent="0.2">
      <c r="A277" s="26" t="s">
        <v>383</v>
      </c>
      <c r="B277" s="27" t="s">
        <v>252</v>
      </c>
      <c r="C277" s="27" t="s">
        <v>193</v>
      </c>
      <c r="D277" s="31">
        <v>7759</v>
      </c>
      <c r="E277" s="42">
        <v>10.788</v>
      </c>
      <c r="F277" s="30">
        <f t="shared" si="45"/>
        <v>83704.092000000004</v>
      </c>
    </row>
    <row r="278" spans="1:6" ht="39" x14ac:dyDescent="0.2">
      <c r="A278" s="26" t="s">
        <v>384</v>
      </c>
      <c r="B278" s="27" t="s">
        <v>254</v>
      </c>
      <c r="C278" s="27" t="s">
        <v>193</v>
      </c>
      <c r="D278" s="31">
        <v>7503</v>
      </c>
      <c r="E278" s="28">
        <v>8.0502000000000002</v>
      </c>
      <c r="F278" s="30">
        <f t="shared" si="45"/>
        <v>60400.650600000001</v>
      </c>
    </row>
    <row r="279" spans="1:6" ht="39" x14ac:dyDescent="0.2">
      <c r="A279" s="26" t="s">
        <v>385</v>
      </c>
      <c r="B279" s="27" t="s">
        <v>256</v>
      </c>
      <c r="C279" s="27" t="s">
        <v>193</v>
      </c>
      <c r="D279" s="29">
        <v>12340</v>
      </c>
      <c r="E279" s="28">
        <v>8.0225000000000009</v>
      </c>
      <c r="F279" s="30">
        <f t="shared" si="45"/>
        <v>98997.650000000009</v>
      </c>
    </row>
    <row r="280" spans="1:6" ht="39" x14ac:dyDescent="0.2">
      <c r="A280" s="26" t="s">
        <v>386</v>
      </c>
      <c r="B280" s="27" t="s">
        <v>258</v>
      </c>
      <c r="C280" s="27" t="s">
        <v>193</v>
      </c>
      <c r="D280" s="29">
        <v>10208</v>
      </c>
      <c r="E280" s="28">
        <v>8.6066000000000003</v>
      </c>
      <c r="F280" s="30">
        <f t="shared" si="45"/>
        <v>87856.1728</v>
      </c>
    </row>
    <row r="281" spans="1:6" ht="39" x14ac:dyDescent="0.2">
      <c r="A281" s="26" t="s">
        <v>387</v>
      </c>
      <c r="B281" s="27" t="s">
        <v>260</v>
      </c>
      <c r="C281" s="27" t="s">
        <v>193</v>
      </c>
      <c r="D281" s="31">
        <v>9783</v>
      </c>
      <c r="E281" s="28">
        <v>8.7498000000000005</v>
      </c>
      <c r="F281" s="30">
        <f t="shared" si="45"/>
        <v>85599.29340000001</v>
      </c>
    </row>
    <row r="282" spans="1:6" ht="39" x14ac:dyDescent="0.2">
      <c r="A282" s="26" t="s">
        <v>388</v>
      </c>
      <c r="B282" s="27" t="s">
        <v>262</v>
      </c>
      <c r="C282" s="27" t="s">
        <v>193</v>
      </c>
      <c r="D282" s="31">
        <v>7475</v>
      </c>
      <c r="E282" s="28">
        <v>8.4364000000000008</v>
      </c>
      <c r="F282" s="30">
        <f t="shared" si="45"/>
        <v>63062.090000000004</v>
      </c>
    </row>
    <row r="283" spans="1:6" x14ac:dyDescent="0.2">
      <c r="A283" s="22" t="s">
        <v>389</v>
      </c>
      <c r="B283" s="23" t="s">
        <v>199</v>
      </c>
      <c r="C283" s="23"/>
      <c r="D283" s="24"/>
      <c r="E283" s="24"/>
      <c r="F283" s="25">
        <f>F284</f>
        <v>236183.84999999998</v>
      </c>
    </row>
    <row r="284" spans="1:6" ht="58.5" x14ac:dyDescent="0.2">
      <c r="A284" s="26" t="s">
        <v>390</v>
      </c>
      <c r="B284" s="27" t="s">
        <v>391</v>
      </c>
      <c r="C284" s="27" t="s">
        <v>174</v>
      </c>
      <c r="D284" s="43">
        <v>555.4</v>
      </c>
      <c r="E284" s="43">
        <v>425.25</v>
      </c>
      <c r="F284" s="30">
        <f t="shared" ref="F284" si="46">+D284*E284</f>
        <v>236183.84999999998</v>
      </c>
    </row>
    <row r="285" spans="1:6" x14ac:dyDescent="0.2">
      <c r="A285" s="22" t="s">
        <v>392</v>
      </c>
      <c r="B285" s="23" t="s">
        <v>288</v>
      </c>
      <c r="C285" s="23"/>
      <c r="D285" s="24"/>
      <c r="E285" s="24"/>
      <c r="F285" s="25">
        <f>SUM(F286:F288)</f>
        <v>95714.905180000002</v>
      </c>
    </row>
    <row r="286" spans="1:6" x14ac:dyDescent="0.2">
      <c r="A286" s="26" t="s">
        <v>393</v>
      </c>
      <c r="B286" s="27" t="s">
        <v>2222</v>
      </c>
      <c r="C286" s="27" t="s">
        <v>394</v>
      </c>
      <c r="D286" s="29">
        <v>10968</v>
      </c>
      <c r="E286" s="28">
        <v>2.5</v>
      </c>
      <c r="F286" s="30">
        <f t="shared" ref="F286" si="47">+D286*E286</f>
        <v>27420</v>
      </c>
    </row>
    <row r="287" spans="1:6" x14ac:dyDescent="0.2">
      <c r="A287" s="26" t="s">
        <v>395</v>
      </c>
      <c r="B287" s="27" t="s">
        <v>2223</v>
      </c>
      <c r="C287" s="27" t="s">
        <v>394</v>
      </c>
      <c r="D287" s="29">
        <v>2743</v>
      </c>
      <c r="E287" s="28">
        <v>4</v>
      </c>
      <c r="F287" s="30">
        <f t="shared" ref="F287:F288" si="48">+D287*E287</f>
        <v>10972</v>
      </c>
    </row>
    <row r="288" spans="1:6" x14ac:dyDescent="0.2">
      <c r="A288" s="45">
        <v>4007004003</v>
      </c>
      <c r="B288" s="27" t="s">
        <v>2177</v>
      </c>
      <c r="C288" s="27" t="s">
        <v>80</v>
      </c>
      <c r="D288" s="28">
        <v>4304.2</v>
      </c>
      <c r="E288" s="29">
        <v>13.3179</v>
      </c>
      <c r="F288" s="30">
        <f t="shared" si="48"/>
        <v>57322.905179999994</v>
      </c>
    </row>
    <row r="289" spans="1:6" x14ac:dyDescent="0.2">
      <c r="A289" s="22" t="s">
        <v>396</v>
      </c>
      <c r="B289" s="23" t="s">
        <v>203</v>
      </c>
      <c r="C289" s="23"/>
      <c r="D289" s="24"/>
      <c r="E289" s="24"/>
      <c r="F289" s="25">
        <f>F290</f>
        <v>665924</v>
      </c>
    </row>
    <row r="290" spans="1:6" ht="39" x14ac:dyDescent="0.2">
      <c r="A290" s="26" t="s">
        <v>397</v>
      </c>
      <c r="B290" s="27" t="s">
        <v>268</v>
      </c>
      <c r="C290" s="27" t="s">
        <v>80</v>
      </c>
      <c r="D290" s="31">
        <v>3917.2</v>
      </c>
      <c r="E290" s="43">
        <v>170</v>
      </c>
      <c r="F290" s="30">
        <f t="shared" ref="F290" si="49">+D290*E290</f>
        <v>665924</v>
      </c>
    </row>
    <row r="291" spans="1:6" x14ac:dyDescent="0.2">
      <c r="A291" s="18" t="s">
        <v>398</v>
      </c>
      <c r="B291" s="19" t="s">
        <v>399</v>
      </c>
      <c r="C291" s="19"/>
      <c r="D291" s="20"/>
      <c r="E291" s="20"/>
      <c r="F291" s="21">
        <f>F292+F296+F304+F306+F310</f>
        <v>203566.40973800002</v>
      </c>
    </row>
    <row r="292" spans="1:6" x14ac:dyDescent="0.2">
      <c r="A292" s="22" t="s">
        <v>400</v>
      </c>
      <c r="B292" s="23" t="s">
        <v>186</v>
      </c>
      <c r="C292" s="23"/>
      <c r="D292" s="24"/>
      <c r="E292" s="24"/>
      <c r="F292" s="25">
        <f>SUM(F293:F295)</f>
        <v>2300.4265</v>
      </c>
    </row>
    <row r="293" spans="1:6" ht="39" x14ac:dyDescent="0.2">
      <c r="A293" s="26" t="s">
        <v>401</v>
      </c>
      <c r="B293" s="27" t="s">
        <v>273</v>
      </c>
      <c r="C293" s="27" t="s">
        <v>80</v>
      </c>
      <c r="D293" s="42">
        <v>19</v>
      </c>
      <c r="E293" s="28">
        <v>3.13</v>
      </c>
      <c r="F293" s="30">
        <f t="shared" ref="F293:F295" si="50">+D293*E293</f>
        <v>59.47</v>
      </c>
    </row>
    <row r="294" spans="1:6" ht="39" x14ac:dyDescent="0.2">
      <c r="A294" s="26" t="s">
        <v>402</v>
      </c>
      <c r="B294" s="27" t="s">
        <v>247</v>
      </c>
      <c r="C294" s="27" t="s">
        <v>80</v>
      </c>
      <c r="D294" s="43">
        <v>205</v>
      </c>
      <c r="E294" s="28">
        <v>4.1123000000000003</v>
      </c>
      <c r="F294" s="30">
        <f t="shared" si="50"/>
        <v>843.02150000000006</v>
      </c>
    </row>
    <row r="295" spans="1:6" ht="39" x14ac:dyDescent="0.2">
      <c r="A295" s="26" t="s">
        <v>403</v>
      </c>
      <c r="B295" s="27" t="s">
        <v>276</v>
      </c>
      <c r="C295" s="27" t="s">
        <v>80</v>
      </c>
      <c r="D295" s="43">
        <v>350</v>
      </c>
      <c r="E295" s="28">
        <v>3.9941</v>
      </c>
      <c r="F295" s="30">
        <f t="shared" si="50"/>
        <v>1397.9349999999999</v>
      </c>
    </row>
    <row r="296" spans="1:6" x14ac:dyDescent="0.2">
      <c r="A296" s="22" t="s">
        <v>404</v>
      </c>
      <c r="B296" s="23" t="s">
        <v>190</v>
      </c>
      <c r="C296" s="23"/>
      <c r="D296" s="24"/>
      <c r="E296" s="24"/>
      <c r="F296" s="25">
        <f>SUM(F297:F303)</f>
        <v>67322.910500000013</v>
      </c>
    </row>
    <row r="297" spans="1:6" ht="39" x14ac:dyDescent="0.2">
      <c r="A297" s="26" t="s">
        <v>405</v>
      </c>
      <c r="B297" s="27" t="s">
        <v>250</v>
      </c>
      <c r="C297" s="27" t="s">
        <v>193</v>
      </c>
      <c r="D297" s="43">
        <v>416</v>
      </c>
      <c r="E297" s="42">
        <v>12.3812</v>
      </c>
      <c r="F297" s="30">
        <f t="shared" ref="F297:F303" si="51">+D297*E297</f>
        <v>5150.5792000000001</v>
      </c>
    </row>
    <row r="298" spans="1:6" ht="39" x14ac:dyDescent="0.2">
      <c r="A298" s="26" t="s">
        <v>406</v>
      </c>
      <c r="B298" s="27" t="s">
        <v>252</v>
      </c>
      <c r="C298" s="27" t="s">
        <v>193</v>
      </c>
      <c r="D298" s="43">
        <v>933</v>
      </c>
      <c r="E298" s="42">
        <v>10.788</v>
      </c>
      <c r="F298" s="30">
        <f t="shared" si="51"/>
        <v>10065.204</v>
      </c>
    </row>
    <row r="299" spans="1:6" ht="39" x14ac:dyDescent="0.2">
      <c r="A299" s="26" t="s">
        <v>407</v>
      </c>
      <c r="B299" s="27" t="s">
        <v>254</v>
      </c>
      <c r="C299" s="27" t="s">
        <v>193</v>
      </c>
      <c r="D299" s="31">
        <v>1022</v>
      </c>
      <c r="E299" s="28">
        <v>8.0502000000000002</v>
      </c>
      <c r="F299" s="30">
        <f t="shared" si="51"/>
        <v>8227.3044000000009</v>
      </c>
    </row>
    <row r="300" spans="1:6" ht="39" x14ac:dyDescent="0.2">
      <c r="A300" s="26" t="s">
        <v>408</v>
      </c>
      <c r="B300" s="27" t="s">
        <v>256</v>
      </c>
      <c r="C300" s="27" t="s">
        <v>193</v>
      </c>
      <c r="D300" s="31">
        <v>1931</v>
      </c>
      <c r="E300" s="28">
        <v>8.0225000000000009</v>
      </c>
      <c r="F300" s="30">
        <f t="shared" si="51"/>
        <v>15491.447500000002</v>
      </c>
    </row>
    <row r="301" spans="1:6" ht="39" x14ac:dyDescent="0.2">
      <c r="A301" s="26" t="s">
        <v>409</v>
      </c>
      <c r="B301" s="27" t="s">
        <v>258</v>
      </c>
      <c r="C301" s="27" t="s">
        <v>193</v>
      </c>
      <c r="D301" s="31">
        <v>1386</v>
      </c>
      <c r="E301" s="28">
        <v>8.6066000000000003</v>
      </c>
      <c r="F301" s="30">
        <f t="shared" si="51"/>
        <v>11928.747600000001</v>
      </c>
    </row>
    <row r="302" spans="1:6" ht="39" x14ac:dyDescent="0.2">
      <c r="A302" s="26" t="s">
        <v>410</v>
      </c>
      <c r="B302" s="27" t="s">
        <v>260</v>
      </c>
      <c r="C302" s="27" t="s">
        <v>193</v>
      </c>
      <c r="D302" s="43">
        <v>889</v>
      </c>
      <c r="E302" s="28">
        <v>8.7498000000000005</v>
      </c>
      <c r="F302" s="30">
        <f t="shared" si="51"/>
        <v>7778.5722000000005</v>
      </c>
    </row>
    <row r="303" spans="1:6" ht="39" x14ac:dyDescent="0.2">
      <c r="A303" s="26" t="s">
        <v>411</v>
      </c>
      <c r="B303" s="27" t="s">
        <v>262</v>
      </c>
      <c r="C303" s="27" t="s">
        <v>193</v>
      </c>
      <c r="D303" s="31">
        <v>1029</v>
      </c>
      <c r="E303" s="28">
        <v>8.4364000000000008</v>
      </c>
      <c r="F303" s="30">
        <f t="shared" si="51"/>
        <v>8681.0556000000015</v>
      </c>
    </row>
    <row r="304" spans="1:6" x14ac:dyDescent="0.2">
      <c r="A304" s="22" t="s">
        <v>412</v>
      </c>
      <c r="B304" s="23" t="s">
        <v>199</v>
      </c>
      <c r="C304" s="23"/>
      <c r="D304" s="24"/>
      <c r="E304" s="24"/>
      <c r="F304" s="25">
        <f>F305</f>
        <v>33552.225000000006</v>
      </c>
    </row>
    <row r="305" spans="1:6" ht="58.5" x14ac:dyDescent="0.2">
      <c r="A305" s="26" t="s">
        <v>413</v>
      </c>
      <c r="B305" s="27" t="s">
        <v>391</v>
      </c>
      <c r="C305" s="27" t="s">
        <v>174</v>
      </c>
      <c r="D305" s="42">
        <v>78.900000000000006</v>
      </c>
      <c r="E305" s="43">
        <v>425.25</v>
      </c>
      <c r="F305" s="30">
        <f t="shared" ref="F305" si="52">+D305*E305</f>
        <v>33552.225000000006</v>
      </c>
    </row>
    <row r="306" spans="1:6" x14ac:dyDescent="0.2">
      <c r="A306" s="22" t="s">
        <v>414</v>
      </c>
      <c r="B306" s="23" t="s">
        <v>288</v>
      </c>
      <c r="C306" s="23"/>
      <c r="D306" s="24"/>
      <c r="E306" s="24"/>
      <c r="F306" s="25">
        <f>SUM(F307:F309)</f>
        <v>13313.447737999999</v>
      </c>
    </row>
    <row r="307" spans="1:6" x14ac:dyDescent="0.2">
      <c r="A307" s="26" t="s">
        <v>415</v>
      </c>
      <c r="B307" s="27" t="s">
        <v>2222</v>
      </c>
      <c r="C307" s="27" t="s">
        <v>394</v>
      </c>
      <c r="D307" s="31">
        <v>1075</v>
      </c>
      <c r="E307" s="28">
        <v>2.5</v>
      </c>
      <c r="F307" s="30">
        <f t="shared" ref="F307" si="53">+D307*E307</f>
        <v>2687.5</v>
      </c>
    </row>
    <row r="308" spans="1:6" ht="39" x14ac:dyDescent="0.2">
      <c r="A308" s="26" t="s">
        <v>416</v>
      </c>
      <c r="B308" s="27" t="s">
        <v>2223</v>
      </c>
      <c r="C308" s="27" t="s">
        <v>394</v>
      </c>
      <c r="D308" s="31">
        <v>718</v>
      </c>
      <c r="E308" s="28">
        <v>4</v>
      </c>
      <c r="F308" s="30">
        <f t="shared" ref="F308:F309" si="54">+D308*E308</f>
        <v>2872</v>
      </c>
    </row>
    <row r="309" spans="1:6" x14ac:dyDescent="0.2">
      <c r="A309" s="45">
        <v>4008004003</v>
      </c>
      <c r="B309" s="27" t="s">
        <v>2177</v>
      </c>
      <c r="C309" s="27" t="s">
        <v>80</v>
      </c>
      <c r="D309" s="28">
        <v>582.22</v>
      </c>
      <c r="E309" s="29">
        <v>13.3179</v>
      </c>
      <c r="F309" s="30">
        <f t="shared" si="54"/>
        <v>7753.9477379999998</v>
      </c>
    </row>
    <row r="310" spans="1:6" x14ac:dyDescent="0.2">
      <c r="A310" s="22" t="s">
        <v>417</v>
      </c>
      <c r="B310" s="23" t="s">
        <v>203</v>
      </c>
      <c r="C310" s="23"/>
      <c r="D310" s="24"/>
      <c r="E310" s="24"/>
      <c r="F310" s="25">
        <f>F311</f>
        <v>87077.400000000009</v>
      </c>
    </row>
    <row r="311" spans="1:6" ht="39" x14ac:dyDescent="0.2">
      <c r="A311" s="26" t="s">
        <v>418</v>
      </c>
      <c r="B311" s="27" t="s">
        <v>268</v>
      </c>
      <c r="C311" s="27" t="s">
        <v>80</v>
      </c>
      <c r="D311" s="43">
        <v>512.22</v>
      </c>
      <c r="E311" s="43">
        <v>170</v>
      </c>
      <c r="F311" s="30">
        <f t="shared" ref="F311" si="55">+D311*E311</f>
        <v>87077.400000000009</v>
      </c>
    </row>
    <row r="312" spans="1:6" x14ac:dyDescent="0.2">
      <c r="A312" s="18" t="s">
        <v>419</v>
      </c>
      <c r="B312" s="19" t="s">
        <v>420</v>
      </c>
      <c r="C312" s="19"/>
      <c r="D312" s="20"/>
      <c r="E312" s="20"/>
      <c r="F312" s="21">
        <f>F313+F317+F325+F327+F331</f>
        <v>121342.26351500001</v>
      </c>
    </row>
    <row r="313" spans="1:6" x14ac:dyDescent="0.2">
      <c r="A313" s="22" t="s">
        <v>421</v>
      </c>
      <c r="B313" s="23" t="s">
        <v>186</v>
      </c>
      <c r="C313" s="23"/>
      <c r="D313" s="24"/>
      <c r="E313" s="24"/>
      <c r="F313" s="25">
        <f>SUM(F314:F316)</f>
        <v>2156.8429000000001</v>
      </c>
    </row>
    <row r="314" spans="1:6" ht="39" x14ac:dyDescent="0.2">
      <c r="A314" s="26" t="s">
        <v>422</v>
      </c>
      <c r="B314" s="27" t="s">
        <v>273</v>
      </c>
      <c r="C314" s="27" t="s">
        <v>80</v>
      </c>
      <c r="D314" s="43">
        <v>205</v>
      </c>
      <c r="E314" s="28">
        <v>3.13</v>
      </c>
      <c r="F314" s="30">
        <f t="shared" ref="F314:F316" si="56">+D314*E314</f>
        <v>641.65</v>
      </c>
    </row>
    <row r="315" spans="1:6" ht="39" x14ac:dyDescent="0.2">
      <c r="A315" s="26" t="s">
        <v>423</v>
      </c>
      <c r="B315" s="27" t="s">
        <v>247</v>
      </c>
      <c r="C315" s="27" t="s">
        <v>80</v>
      </c>
      <c r="D315" s="43">
        <v>350</v>
      </c>
      <c r="E315" s="28">
        <v>4.1123000000000003</v>
      </c>
      <c r="F315" s="30">
        <f t="shared" si="56"/>
        <v>1439.3050000000001</v>
      </c>
    </row>
    <row r="316" spans="1:6" ht="39" x14ac:dyDescent="0.2">
      <c r="A316" s="26" t="s">
        <v>424</v>
      </c>
      <c r="B316" s="27" t="s">
        <v>276</v>
      </c>
      <c r="C316" s="27" t="s">
        <v>80</v>
      </c>
      <c r="D316" s="42">
        <v>19</v>
      </c>
      <c r="E316" s="28">
        <v>3.9941</v>
      </c>
      <c r="F316" s="30">
        <f t="shared" si="56"/>
        <v>75.887900000000002</v>
      </c>
    </row>
    <row r="317" spans="1:6" x14ac:dyDescent="0.2">
      <c r="A317" s="22" t="s">
        <v>425</v>
      </c>
      <c r="B317" s="23" t="s">
        <v>190</v>
      </c>
      <c r="C317" s="23"/>
      <c r="D317" s="24"/>
      <c r="E317" s="24"/>
      <c r="F317" s="25">
        <f>SUM(F318:F324)</f>
        <v>74046.227299999999</v>
      </c>
    </row>
    <row r="318" spans="1:6" ht="39" x14ac:dyDescent="0.2">
      <c r="A318" s="26" t="s">
        <v>426</v>
      </c>
      <c r="B318" s="27" t="s">
        <v>250</v>
      </c>
      <c r="C318" s="27" t="s">
        <v>193</v>
      </c>
      <c r="D318" s="43">
        <v>472</v>
      </c>
      <c r="E318" s="42">
        <v>12.3812</v>
      </c>
      <c r="F318" s="30">
        <f t="shared" ref="F318:F324" si="57">+D318*E318</f>
        <v>5843.9264000000003</v>
      </c>
    </row>
    <row r="319" spans="1:6" ht="39" x14ac:dyDescent="0.2">
      <c r="A319" s="26" t="s">
        <v>427</v>
      </c>
      <c r="B319" s="27" t="s">
        <v>252</v>
      </c>
      <c r="C319" s="27" t="s">
        <v>193</v>
      </c>
      <c r="D319" s="31">
        <v>1139</v>
      </c>
      <c r="E319" s="42">
        <v>10.788</v>
      </c>
      <c r="F319" s="30">
        <f t="shared" si="57"/>
        <v>12287.532000000001</v>
      </c>
    </row>
    <row r="320" spans="1:6" ht="39" x14ac:dyDescent="0.2">
      <c r="A320" s="26" t="s">
        <v>428</v>
      </c>
      <c r="B320" s="27" t="s">
        <v>254</v>
      </c>
      <c r="C320" s="27" t="s">
        <v>193</v>
      </c>
      <c r="D320" s="31">
        <v>1613</v>
      </c>
      <c r="E320" s="28">
        <v>8.0502000000000002</v>
      </c>
      <c r="F320" s="30">
        <f t="shared" si="57"/>
        <v>12984.972600000001</v>
      </c>
    </row>
    <row r="321" spans="1:6" ht="39" x14ac:dyDescent="0.2">
      <c r="A321" s="26" t="s">
        <v>429</v>
      </c>
      <c r="B321" s="27" t="s">
        <v>256</v>
      </c>
      <c r="C321" s="27" t="s">
        <v>193</v>
      </c>
      <c r="D321" s="31">
        <v>1983</v>
      </c>
      <c r="E321" s="28">
        <v>8.0225000000000009</v>
      </c>
      <c r="F321" s="30">
        <f t="shared" si="57"/>
        <v>15908.617500000002</v>
      </c>
    </row>
    <row r="322" spans="1:6" ht="39" x14ac:dyDescent="0.2">
      <c r="A322" s="26" t="s">
        <v>430</v>
      </c>
      <c r="B322" s="27" t="s">
        <v>258</v>
      </c>
      <c r="C322" s="27" t="s">
        <v>193</v>
      </c>
      <c r="D322" s="31">
        <v>1386</v>
      </c>
      <c r="E322" s="28">
        <v>8.6066000000000003</v>
      </c>
      <c r="F322" s="30">
        <f t="shared" si="57"/>
        <v>11928.747600000001</v>
      </c>
    </row>
    <row r="323" spans="1:6" ht="39" x14ac:dyDescent="0.2">
      <c r="A323" s="26" t="s">
        <v>431</v>
      </c>
      <c r="B323" s="27" t="s">
        <v>260</v>
      </c>
      <c r="C323" s="27" t="s">
        <v>193</v>
      </c>
      <c r="D323" s="31">
        <v>1022</v>
      </c>
      <c r="E323" s="28">
        <v>8.7498000000000005</v>
      </c>
      <c r="F323" s="30">
        <f t="shared" si="57"/>
        <v>8942.2956000000013</v>
      </c>
    </row>
    <row r="324" spans="1:6" ht="39" x14ac:dyDescent="0.2">
      <c r="A324" s="26" t="s">
        <v>432</v>
      </c>
      <c r="B324" s="27" t="s">
        <v>262</v>
      </c>
      <c r="C324" s="27" t="s">
        <v>193</v>
      </c>
      <c r="D324" s="43">
        <v>729</v>
      </c>
      <c r="E324" s="28">
        <v>8.4364000000000008</v>
      </c>
      <c r="F324" s="30">
        <f t="shared" si="57"/>
        <v>6150.1356000000005</v>
      </c>
    </row>
    <row r="325" spans="1:6" x14ac:dyDescent="0.2">
      <c r="A325" s="22" t="s">
        <v>433</v>
      </c>
      <c r="B325" s="23" t="s">
        <v>199</v>
      </c>
      <c r="C325" s="23"/>
      <c r="D325" s="24"/>
      <c r="E325" s="24"/>
      <c r="F325" s="25">
        <f>F326</f>
        <v>34827.975000000006</v>
      </c>
    </row>
    <row r="326" spans="1:6" ht="58.5" x14ac:dyDescent="0.2">
      <c r="A326" s="26" t="s">
        <v>434</v>
      </c>
      <c r="B326" s="27" t="s">
        <v>391</v>
      </c>
      <c r="C326" s="27" t="s">
        <v>174</v>
      </c>
      <c r="D326" s="42">
        <v>81.900000000000006</v>
      </c>
      <c r="E326" s="43">
        <v>425.25</v>
      </c>
      <c r="F326" s="30">
        <f t="shared" ref="F326" si="58">+D326*E326</f>
        <v>34827.975000000006</v>
      </c>
    </row>
    <row r="327" spans="1:6" x14ac:dyDescent="0.2">
      <c r="A327" s="22" t="s">
        <v>435</v>
      </c>
      <c r="B327" s="23" t="s">
        <v>288</v>
      </c>
      <c r="C327" s="23"/>
      <c r="D327" s="24"/>
      <c r="E327" s="24"/>
      <c r="F327" s="25">
        <f>SUM(F328:F330)</f>
        <v>4182.7183150000001</v>
      </c>
    </row>
    <row r="328" spans="1:6" x14ac:dyDescent="0.2">
      <c r="A328" s="26" t="s">
        <v>436</v>
      </c>
      <c r="B328" s="27" t="s">
        <v>2222</v>
      </c>
      <c r="C328" s="27" t="s">
        <v>394</v>
      </c>
      <c r="D328" s="43">
        <v>952</v>
      </c>
      <c r="E328" s="28">
        <v>2.5</v>
      </c>
      <c r="F328" s="30">
        <f t="shared" ref="F328:F330" si="59">+D328*E328</f>
        <v>2380</v>
      </c>
    </row>
    <row r="329" spans="1:6" ht="39" x14ac:dyDescent="0.2">
      <c r="A329" s="26" t="s">
        <v>437</v>
      </c>
      <c r="B329" s="27" t="s">
        <v>2223</v>
      </c>
      <c r="C329" s="27" t="s">
        <v>394</v>
      </c>
      <c r="D329" s="28">
        <v>318</v>
      </c>
      <c r="E329" s="43">
        <v>4</v>
      </c>
      <c r="F329" s="30">
        <f t="shared" ref="F329" si="60">+D329*E329</f>
        <v>1272</v>
      </c>
    </row>
    <row r="330" spans="1:6" x14ac:dyDescent="0.2">
      <c r="A330" s="45">
        <v>4009004003</v>
      </c>
      <c r="B330" s="27" t="s">
        <v>2177</v>
      </c>
      <c r="C330" s="27" t="s">
        <v>80</v>
      </c>
      <c r="D330" s="28">
        <v>39.85</v>
      </c>
      <c r="E330" s="43">
        <v>13.3179</v>
      </c>
      <c r="F330" s="30">
        <f t="shared" si="59"/>
        <v>530.71831499999996</v>
      </c>
    </row>
    <row r="331" spans="1:6" x14ac:dyDescent="0.2">
      <c r="A331" s="22" t="s">
        <v>438</v>
      </c>
      <c r="B331" s="23" t="s">
        <v>203</v>
      </c>
      <c r="C331" s="23"/>
      <c r="D331" s="24"/>
      <c r="E331" s="24"/>
      <c r="F331" s="25">
        <f>SUM(F332)</f>
        <v>6128.4999999999991</v>
      </c>
    </row>
    <row r="332" spans="1:6" ht="39" x14ac:dyDescent="0.2">
      <c r="A332" s="26" t="s">
        <v>439</v>
      </c>
      <c r="B332" s="27" t="s">
        <v>268</v>
      </c>
      <c r="C332" s="27" t="s">
        <v>80</v>
      </c>
      <c r="D332" s="42">
        <v>36.049999999999997</v>
      </c>
      <c r="E332" s="43">
        <v>170</v>
      </c>
      <c r="F332" s="30">
        <f t="shared" ref="F332" si="61">+D332*E332</f>
        <v>6128.4999999999991</v>
      </c>
    </row>
    <row r="333" spans="1:6" x14ac:dyDescent="0.2">
      <c r="A333" s="18" t="s">
        <v>440</v>
      </c>
      <c r="B333" s="19" t="s">
        <v>441</v>
      </c>
      <c r="C333" s="19"/>
      <c r="D333" s="20"/>
      <c r="E333" s="20"/>
      <c r="F333" s="21">
        <f>F334+F338+F346+F348+F350</f>
        <v>50124.571556000003</v>
      </c>
    </row>
    <row r="334" spans="1:6" x14ac:dyDescent="0.2">
      <c r="A334" s="22" t="s">
        <v>442</v>
      </c>
      <c r="B334" s="23" t="s">
        <v>186</v>
      </c>
      <c r="C334" s="23"/>
      <c r="D334" s="24"/>
      <c r="E334" s="24"/>
      <c r="F334" s="25">
        <f>SUM(F335:F337)</f>
        <v>1225.7918999999999</v>
      </c>
    </row>
    <row r="335" spans="1:6" ht="39" x14ac:dyDescent="0.2">
      <c r="A335" s="26" t="s">
        <v>443</v>
      </c>
      <c r="B335" s="27" t="s">
        <v>273</v>
      </c>
      <c r="C335" s="27" t="s">
        <v>80</v>
      </c>
      <c r="D335" s="42">
        <v>41</v>
      </c>
      <c r="E335" s="28">
        <v>3.13</v>
      </c>
      <c r="F335" s="30">
        <f t="shared" ref="F335:F337" si="62">+D335*E335</f>
        <v>128.32999999999998</v>
      </c>
    </row>
    <row r="336" spans="1:6" ht="39" x14ac:dyDescent="0.2">
      <c r="A336" s="26" t="s">
        <v>444</v>
      </c>
      <c r="B336" s="27" t="s">
        <v>247</v>
      </c>
      <c r="C336" s="27" t="s">
        <v>80</v>
      </c>
      <c r="D336" s="43">
        <v>195</v>
      </c>
      <c r="E336" s="28">
        <v>4.1123000000000003</v>
      </c>
      <c r="F336" s="30">
        <f t="shared" si="62"/>
        <v>801.89850000000001</v>
      </c>
    </row>
    <row r="337" spans="1:6" ht="39" x14ac:dyDescent="0.2">
      <c r="A337" s="26" t="s">
        <v>445</v>
      </c>
      <c r="B337" s="27" t="s">
        <v>276</v>
      </c>
      <c r="C337" s="27" t="s">
        <v>80</v>
      </c>
      <c r="D337" s="42">
        <v>74</v>
      </c>
      <c r="E337" s="28">
        <v>3.9941</v>
      </c>
      <c r="F337" s="30">
        <f t="shared" si="62"/>
        <v>295.5634</v>
      </c>
    </row>
    <row r="338" spans="1:6" x14ac:dyDescent="0.2">
      <c r="A338" s="22" t="s">
        <v>446</v>
      </c>
      <c r="B338" s="23" t="s">
        <v>190</v>
      </c>
      <c r="C338" s="23"/>
      <c r="D338" s="24"/>
      <c r="E338" s="24"/>
      <c r="F338" s="25">
        <f>SUM(F339:F345)</f>
        <v>30065.946400000001</v>
      </c>
    </row>
    <row r="339" spans="1:6" ht="39" x14ac:dyDescent="0.2">
      <c r="A339" s="26" t="s">
        <v>447</v>
      </c>
      <c r="B339" s="27" t="s">
        <v>250</v>
      </c>
      <c r="C339" s="27" t="s">
        <v>193</v>
      </c>
      <c r="D339" s="43">
        <v>195</v>
      </c>
      <c r="E339" s="42">
        <v>12.3812</v>
      </c>
      <c r="F339" s="30">
        <f t="shared" ref="F339:F345" si="63">+D339*E339</f>
        <v>2414.3339999999998</v>
      </c>
    </row>
    <row r="340" spans="1:6" ht="39" x14ac:dyDescent="0.2">
      <c r="A340" s="26" t="s">
        <v>448</v>
      </c>
      <c r="B340" s="27" t="s">
        <v>252</v>
      </c>
      <c r="C340" s="27" t="s">
        <v>193</v>
      </c>
      <c r="D340" s="43">
        <v>551</v>
      </c>
      <c r="E340" s="42">
        <v>10.788</v>
      </c>
      <c r="F340" s="30">
        <f t="shared" si="63"/>
        <v>5944.1880000000001</v>
      </c>
    </row>
    <row r="341" spans="1:6" ht="39" x14ac:dyDescent="0.2">
      <c r="A341" s="26" t="s">
        <v>449</v>
      </c>
      <c r="B341" s="27" t="s">
        <v>254</v>
      </c>
      <c r="C341" s="27" t="s">
        <v>193</v>
      </c>
      <c r="D341" s="43">
        <v>377</v>
      </c>
      <c r="E341" s="28">
        <v>8.0502000000000002</v>
      </c>
      <c r="F341" s="30">
        <f t="shared" si="63"/>
        <v>3034.9254000000001</v>
      </c>
    </row>
    <row r="342" spans="1:6" ht="39" x14ac:dyDescent="0.2">
      <c r="A342" s="26" t="s">
        <v>450</v>
      </c>
      <c r="B342" s="27" t="s">
        <v>256</v>
      </c>
      <c r="C342" s="27" t="s">
        <v>193</v>
      </c>
      <c r="D342" s="43">
        <v>450</v>
      </c>
      <c r="E342" s="28">
        <v>8.0225000000000009</v>
      </c>
      <c r="F342" s="30">
        <f t="shared" si="63"/>
        <v>3610.1250000000005</v>
      </c>
    </row>
    <row r="343" spans="1:6" ht="39" x14ac:dyDescent="0.2">
      <c r="A343" s="26" t="s">
        <v>451</v>
      </c>
      <c r="B343" s="27" t="s">
        <v>258</v>
      </c>
      <c r="C343" s="27" t="s">
        <v>193</v>
      </c>
      <c r="D343" s="31">
        <v>1316</v>
      </c>
      <c r="E343" s="28">
        <v>8.6066000000000003</v>
      </c>
      <c r="F343" s="30">
        <f t="shared" si="63"/>
        <v>11326.285600000001</v>
      </c>
    </row>
    <row r="344" spans="1:6" ht="39" x14ac:dyDescent="0.2">
      <c r="A344" s="26" t="s">
        <v>452</v>
      </c>
      <c r="B344" s="27" t="s">
        <v>260</v>
      </c>
      <c r="C344" s="27" t="s">
        <v>193</v>
      </c>
      <c r="D344" s="43">
        <v>346</v>
      </c>
      <c r="E344" s="28">
        <v>8.7498000000000005</v>
      </c>
      <c r="F344" s="30">
        <f t="shared" si="63"/>
        <v>3027.4308000000001</v>
      </c>
    </row>
    <row r="345" spans="1:6" ht="39" x14ac:dyDescent="0.2">
      <c r="A345" s="26" t="s">
        <v>453</v>
      </c>
      <c r="B345" s="27" t="s">
        <v>262</v>
      </c>
      <c r="C345" s="27" t="s">
        <v>193</v>
      </c>
      <c r="D345" s="42">
        <v>84</v>
      </c>
      <c r="E345" s="28">
        <v>8.4364000000000008</v>
      </c>
      <c r="F345" s="30">
        <f t="shared" si="63"/>
        <v>708.65760000000012</v>
      </c>
    </row>
    <row r="346" spans="1:6" x14ac:dyDescent="0.2">
      <c r="A346" s="22" t="s">
        <v>454</v>
      </c>
      <c r="B346" s="23" t="s">
        <v>199</v>
      </c>
      <c r="C346" s="23"/>
      <c r="D346" s="24"/>
      <c r="E346" s="24"/>
      <c r="F346" s="25">
        <f>F347</f>
        <v>9865.7999999999993</v>
      </c>
    </row>
    <row r="347" spans="1:6" ht="58.5" x14ac:dyDescent="0.2">
      <c r="A347" s="26" t="s">
        <v>455</v>
      </c>
      <c r="B347" s="27" t="s">
        <v>391</v>
      </c>
      <c r="C347" s="27" t="s">
        <v>174</v>
      </c>
      <c r="D347" s="42">
        <v>23.2</v>
      </c>
      <c r="E347" s="43">
        <v>425.25</v>
      </c>
      <c r="F347" s="30">
        <f t="shared" ref="F347" si="64">+D347*E347</f>
        <v>9865.7999999999993</v>
      </c>
    </row>
    <row r="348" spans="1:6" x14ac:dyDescent="0.2">
      <c r="A348" s="22" t="s">
        <v>456</v>
      </c>
      <c r="B348" s="23" t="s">
        <v>288</v>
      </c>
      <c r="C348" s="23"/>
      <c r="D348" s="24"/>
      <c r="E348" s="24"/>
      <c r="F348" s="25">
        <f>F349</f>
        <v>834.23325599999998</v>
      </c>
    </row>
    <row r="349" spans="1:6" x14ac:dyDescent="0.2">
      <c r="A349" s="26" t="s">
        <v>457</v>
      </c>
      <c r="B349" s="27" t="s">
        <v>2177</v>
      </c>
      <c r="C349" s="27" t="s">
        <v>80</v>
      </c>
      <c r="D349" s="28">
        <v>62.64</v>
      </c>
      <c r="E349" s="43">
        <v>13.3179</v>
      </c>
      <c r="F349" s="30">
        <f t="shared" ref="F349" si="65">+D349*E349</f>
        <v>834.23325599999998</v>
      </c>
    </row>
    <row r="350" spans="1:6" x14ac:dyDescent="0.2">
      <c r="A350" s="22" t="s">
        <v>458</v>
      </c>
      <c r="B350" s="23" t="s">
        <v>203</v>
      </c>
      <c r="C350" s="23"/>
      <c r="D350" s="24"/>
      <c r="E350" s="24"/>
      <c r="F350" s="25">
        <f>F351</f>
        <v>8132.8</v>
      </c>
    </row>
    <row r="351" spans="1:6" ht="39" x14ac:dyDescent="0.2">
      <c r="A351" s="26" t="s">
        <v>459</v>
      </c>
      <c r="B351" s="27" t="s">
        <v>268</v>
      </c>
      <c r="C351" s="27" t="s">
        <v>80</v>
      </c>
      <c r="D351" s="42">
        <v>47.84</v>
      </c>
      <c r="E351" s="43">
        <v>170</v>
      </c>
      <c r="F351" s="30">
        <f t="shared" ref="F351" si="66">+D351*E351</f>
        <v>8132.8</v>
      </c>
    </row>
    <row r="352" spans="1:6" x14ac:dyDescent="0.2">
      <c r="A352" s="14" t="s">
        <v>460</v>
      </c>
      <c r="B352" s="15" t="s">
        <v>461</v>
      </c>
      <c r="C352" s="15"/>
      <c r="D352" s="16"/>
      <c r="E352" s="16"/>
      <c r="F352" s="17">
        <f>F353+F365+F377+F392+F407+F422+F434+F452+F469+F481</f>
        <v>897319.42014517006</v>
      </c>
    </row>
    <row r="353" spans="1:6" ht="39" x14ac:dyDescent="0.2">
      <c r="A353" s="18" t="s">
        <v>462</v>
      </c>
      <c r="B353" s="19" t="s">
        <v>463</v>
      </c>
      <c r="C353" s="19"/>
      <c r="D353" s="20"/>
      <c r="E353" s="20"/>
      <c r="F353" s="21">
        <f>F354+F358+F363</f>
        <v>12490.580773</v>
      </c>
    </row>
    <row r="354" spans="1:6" x14ac:dyDescent="0.2">
      <c r="A354" s="22" t="s">
        <v>464</v>
      </c>
      <c r="B354" s="23" t="s">
        <v>465</v>
      </c>
      <c r="C354" s="23"/>
      <c r="D354" s="24"/>
      <c r="E354" s="24"/>
      <c r="F354" s="25">
        <f>SUM(F355:F357)</f>
        <v>6794.3398480000005</v>
      </c>
    </row>
    <row r="355" spans="1:6" ht="58.5" x14ac:dyDescent="0.2">
      <c r="A355" s="26" t="s">
        <v>466</v>
      </c>
      <c r="B355" s="27" t="s">
        <v>2178</v>
      </c>
      <c r="C355" s="27" t="s">
        <v>80</v>
      </c>
      <c r="D355" s="43">
        <v>111.8</v>
      </c>
      <c r="E355" s="42">
        <v>34.030900000000003</v>
      </c>
      <c r="F355" s="30">
        <f t="shared" ref="F355:F357" si="67">+D355*E355</f>
        <v>3804.6546200000003</v>
      </c>
    </row>
    <row r="356" spans="1:6" ht="58.5" x14ac:dyDescent="0.2">
      <c r="A356" s="26" t="s">
        <v>467</v>
      </c>
      <c r="B356" s="27" t="s">
        <v>2179</v>
      </c>
      <c r="C356" s="27" t="s">
        <v>80</v>
      </c>
      <c r="D356" s="42">
        <v>19.920000000000002</v>
      </c>
      <c r="E356" s="42">
        <v>37.021500000000003</v>
      </c>
      <c r="F356" s="30">
        <f t="shared" si="67"/>
        <v>737.46828000000016</v>
      </c>
    </row>
    <row r="357" spans="1:6" ht="58.5" x14ac:dyDescent="0.2">
      <c r="A357" s="26" t="s">
        <v>468</v>
      </c>
      <c r="B357" s="27" t="s">
        <v>2180</v>
      </c>
      <c r="C357" s="27" t="s">
        <v>80</v>
      </c>
      <c r="D357" s="42">
        <v>46.04</v>
      </c>
      <c r="E357" s="42">
        <v>48.918700000000001</v>
      </c>
      <c r="F357" s="30">
        <f t="shared" si="67"/>
        <v>2252.2169480000002</v>
      </c>
    </row>
    <row r="358" spans="1:6" x14ac:dyDescent="0.2">
      <c r="A358" s="22" t="s">
        <v>469</v>
      </c>
      <c r="B358" s="23" t="s">
        <v>470</v>
      </c>
      <c r="C358" s="23"/>
      <c r="D358" s="24"/>
      <c r="E358" s="24"/>
      <c r="F358" s="25">
        <f>SUM(F359:F362)</f>
        <v>807.84092499999997</v>
      </c>
    </row>
    <row r="359" spans="1:6" ht="39" x14ac:dyDescent="0.2">
      <c r="A359" s="26" t="s">
        <v>471</v>
      </c>
      <c r="B359" s="27" t="s">
        <v>472</v>
      </c>
      <c r="C359" s="27" t="s">
        <v>74</v>
      </c>
      <c r="D359" s="42">
        <v>91.25</v>
      </c>
      <c r="E359" s="28">
        <v>2.3479000000000001</v>
      </c>
      <c r="F359" s="30">
        <f t="shared" ref="F359:F362" si="68">+D359*E359</f>
        <v>214.24587500000001</v>
      </c>
    </row>
    <row r="360" spans="1:6" ht="39" x14ac:dyDescent="0.2">
      <c r="A360" s="26" t="s">
        <v>473</v>
      </c>
      <c r="B360" s="27" t="s">
        <v>474</v>
      </c>
      <c r="C360" s="27" t="s">
        <v>394</v>
      </c>
      <c r="D360" s="42">
        <v>56</v>
      </c>
      <c r="E360" s="28">
        <v>2.2799999999999998</v>
      </c>
      <c r="F360" s="30">
        <f t="shared" si="68"/>
        <v>127.67999999999999</v>
      </c>
    </row>
    <row r="361" spans="1:6" ht="39" x14ac:dyDescent="0.2">
      <c r="A361" s="26" t="s">
        <v>475</v>
      </c>
      <c r="B361" s="27" t="s">
        <v>476</v>
      </c>
      <c r="C361" s="27" t="s">
        <v>394</v>
      </c>
      <c r="D361" s="42">
        <v>33</v>
      </c>
      <c r="E361" s="28">
        <v>3.56</v>
      </c>
      <c r="F361" s="30">
        <f t="shared" si="68"/>
        <v>117.48</v>
      </c>
    </row>
    <row r="362" spans="1:6" x14ac:dyDescent="0.2">
      <c r="A362" s="26" t="s">
        <v>477</v>
      </c>
      <c r="B362" s="27" t="s">
        <v>478</v>
      </c>
      <c r="C362" s="27" t="s">
        <v>74</v>
      </c>
      <c r="D362" s="42">
        <v>11.5</v>
      </c>
      <c r="E362" s="42">
        <v>30.2987</v>
      </c>
      <c r="F362" s="30">
        <f t="shared" si="68"/>
        <v>348.43504999999999</v>
      </c>
    </row>
    <row r="363" spans="1:6" x14ac:dyDescent="0.2">
      <c r="A363" s="22" t="s">
        <v>479</v>
      </c>
      <c r="B363" s="23" t="s">
        <v>203</v>
      </c>
      <c r="C363" s="23"/>
      <c r="D363" s="24"/>
      <c r="E363" s="24"/>
      <c r="F363" s="25">
        <f>F364</f>
        <v>4888.3999999999996</v>
      </c>
    </row>
    <row r="364" spans="1:6" ht="39" x14ac:dyDescent="0.2">
      <c r="A364" s="26" t="s">
        <v>480</v>
      </c>
      <c r="B364" s="27" t="s">
        <v>481</v>
      </c>
      <c r="C364" s="27" t="s">
        <v>80</v>
      </c>
      <c r="D364" s="43">
        <v>177.76</v>
      </c>
      <c r="E364" s="42">
        <v>27.5</v>
      </c>
      <c r="F364" s="30">
        <f t="shared" ref="F364" si="69">+D364*E364</f>
        <v>4888.3999999999996</v>
      </c>
    </row>
    <row r="365" spans="1:6" ht="39" x14ac:dyDescent="0.2">
      <c r="A365" s="18" t="s">
        <v>482</v>
      </c>
      <c r="B365" s="19" t="s">
        <v>483</v>
      </c>
      <c r="C365" s="19"/>
      <c r="D365" s="20"/>
      <c r="E365" s="20"/>
      <c r="F365" s="21">
        <f>F366+F370+F375</f>
        <v>22400.467631470001</v>
      </c>
    </row>
    <row r="366" spans="1:6" x14ac:dyDescent="0.2">
      <c r="A366" s="22" t="s">
        <v>484</v>
      </c>
      <c r="B366" s="23" t="s">
        <v>465</v>
      </c>
      <c r="C366" s="23"/>
      <c r="D366" s="24"/>
      <c r="E366" s="24"/>
      <c r="F366" s="25">
        <f>SUM(F367:F369)</f>
        <v>12200.840204</v>
      </c>
    </row>
    <row r="367" spans="1:6" ht="58.5" x14ac:dyDescent="0.2">
      <c r="A367" s="26" t="s">
        <v>485</v>
      </c>
      <c r="B367" s="27" t="s">
        <v>2178</v>
      </c>
      <c r="C367" s="27" t="s">
        <v>80</v>
      </c>
      <c r="D367" s="43">
        <v>208.14</v>
      </c>
      <c r="E367" s="42">
        <v>34.030900000000003</v>
      </c>
      <c r="F367" s="30">
        <f t="shared" ref="F367:F369" si="70">+D367*E367</f>
        <v>7083.1915260000005</v>
      </c>
    </row>
    <row r="368" spans="1:6" ht="58.5" x14ac:dyDescent="0.2">
      <c r="A368" s="26" t="s">
        <v>486</v>
      </c>
      <c r="B368" s="27" t="s">
        <v>2179</v>
      </c>
      <c r="C368" s="27" t="s">
        <v>80</v>
      </c>
      <c r="D368" s="42">
        <v>19.920000000000002</v>
      </c>
      <c r="E368" s="42">
        <v>37.021500000000003</v>
      </c>
      <c r="F368" s="30">
        <f t="shared" si="70"/>
        <v>737.46828000000016</v>
      </c>
    </row>
    <row r="369" spans="1:6" ht="58.5" x14ac:dyDescent="0.2">
      <c r="A369" s="26" t="s">
        <v>487</v>
      </c>
      <c r="B369" s="27" t="s">
        <v>2180</v>
      </c>
      <c r="C369" s="27" t="s">
        <v>80</v>
      </c>
      <c r="D369" s="42">
        <v>89.54</v>
      </c>
      <c r="E369" s="42">
        <v>48.918700000000001</v>
      </c>
      <c r="F369" s="30">
        <f t="shared" si="70"/>
        <v>4380.1803980000004</v>
      </c>
    </row>
    <row r="370" spans="1:6" x14ac:dyDescent="0.2">
      <c r="A370" s="22" t="s">
        <v>488</v>
      </c>
      <c r="B370" s="23" t="s">
        <v>470</v>
      </c>
      <c r="C370" s="23"/>
      <c r="D370" s="24"/>
      <c r="E370" s="24"/>
      <c r="F370" s="25">
        <f>SUM(F371:F374)</f>
        <v>1465.6274274699999</v>
      </c>
    </row>
    <row r="371" spans="1:6" ht="39" x14ac:dyDescent="0.2">
      <c r="A371" s="26" t="s">
        <v>489</v>
      </c>
      <c r="B371" s="27" t="s">
        <v>472</v>
      </c>
      <c r="C371" s="27" t="s">
        <v>74</v>
      </c>
      <c r="D371" s="43">
        <v>151.38929999999999</v>
      </c>
      <c r="E371" s="28">
        <v>2.3479000000000001</v>
      </c>
      <c r="F371" s="30">
        <f t="shared" ref="F371:F374" si="71">+D371*E371</f>
        <v>355.44693747000002</v>
      </c>
    </row>
    <row r="372" spans="1:6" ht="39" x14ac:dyDescent="0.2">
      <c r="A372" s="26" t="s">
        <v>490</v>
      </c>
      <c r="B372" s="27" t="s">
        <v>474</v>
      </c>
      <c r="C372" s="27" t="s">
        <v>394</v>
      </c>
      <c r="D372" s="42">
        <v>115</v>
      </c>
      <c r="E372" s="28">
        <v>2.2799999999999998</v>
      </c>
      <c r="F372" s="30">
        <f t="shared" si="71"/>
        <v>262.2</v>
      </c>
    </row>
    <row r="373" spans="1:6" ht="39" x14ac:dyDescent="0.2">
      <c r="A373" s="26" t="s">
        <v>491</v>
      </c>
      <c r="B373" s="27" t="s">
        <v>476</v>
      </c>
      <c r="C373" s="27" t="s">
        <v>394</v>
      </c>
      <c r="D373" s="42">
        <v>45</v>
      </c>
      <c r="E373" s="28">
        <v>3.56</v>
      </c>
      <c r="F373" s="30">
        <f t="shared" si="71"/>
        <v>160.19999999999999</v>
      </c>
    </row>
    <row r="374" spans="1:6" x14ac:dyDescent="0.2">
      <c r="A374" s="26" t="s">
        <v>492</v>
      </c>
      <c r="B374" s="27" t="s">
        <v>478</v>
      </c>
      <c r="C374" s="27" t="s">
        <v>74</v>
      </c>
      <c r="D374" s="42">
        <v>22.7</v>
      </c>
      <c r="E374" s="42">
        <v>30.2987</v>
      </c>
      <c r="F374" s="30">
        <f t="shared" si="71"/>
        <v>687.78048999999999</v>
      </c>
    </row>
    <row r="375" spans="1:6" x14ac:dyDescent="0.2">
      <c r="A375" s="22" t="s">
        <v>493</v>
      </c>
      <c r="B375" s="23" t="s">
        <v>203</v>
      </c>
      <c r="C375" s="23"/>
      <c r="D375" s="24"/>
      <c r="E375" s="24"/>
      <c r="F375" s="25">
        <f>F376</f>
        <v>8734</v>
      </c>
    </row>
    <row r="376" spans="1:6" ht="39" x14ac:dyDescent="0.2">
      <c r="A376" s="26" t="s">
        <v>494</v>
      </c>
      <c r="B376" s="27" t="s">
        <v>481</v>
      </c>
      <c r="C376" s="27" t="s">
        <v>80</v>
      </c>
      <c r="D376" s="43">
        <v>317.60000000000002</v>
      </c>
      <c r="E376" s="42">
        <v>27.5</v>
      </c>
      <c r="F376" s="30">
        <f t="shared" ref="F376" si="72">+D376*E376</f>
        <v>8734</v>
      </c>
    </row>
    <row r="377" spans="1:6" ht="39" x14ac:dyDescent="0.2">
      <c r="A377" s="18" t="s">
        <v>495</v>
      </c>
      <c r="B377" s="19" t="s">
        <v>496</v>
      </c>
      <c r="C377" s="19"/>
      <c r="D377" s="20"/>
      <c r="E377" s="20"/>
      <c r="F377" s="21">
        <f>F378+F382+F384+F389</f>
        <v>34200.414456999999</v>
      </c>
    </row>
    <row r="378" spans="1:6" x14ac:dyDescent="0.2">
      <c r="A378" s="22" t="s">
        <v>497</v>
      </c>
      <c r="B378" s="23" t="s">
        <v>465</v>
      </c>
      <c r="C378" s="23"/>
      <c r="D378" s="24"/>
      <c r="E378" s="24"/>
      <c r="F378" s="25">
        <f>SUM(F379:F381)</f>
        <v>18801.075659000002</v>
      </c>
    </row>
    <row r="379" spans="1:6" ht="58.5" x14ac:dyDescent="0.2">
      <c r="A379" s="26" t="s">
        <v>498</v>
      </c>
      <c r="B379" s="27" t="s">
        <v>2178</v>
      </c>
      <c r="C379" s="27" t="s">
        <v>80</v>
      </c>
      <c r="D379" s="43">
        <v>161.05000000000001</v>
      </c>
      <c r="E379" s="42">
        <v>34.030900000000003</v>
      </c>
      <c r="F379" s="30">
        <f t="shared" ref="F379:F381" si="73">+D379*E379</f>
        <v>5480.676445000001</v>
      </c>
    </row>
    <row r="380" spans="1:6" ht="58.5" x14ac:dyDescent="0.2">
      <c r="A380" s="26" t="s">
        <v>499</v>
      </c>
      <c r="B380" s="27" t="s">
        <v>2179</v>
      </c>
      <c r="C380" s="27" t="s">
        <v>80</v>
      </c>
      <c r="D380" s="42">
        <v>72.709999999999994</v>
      </c>
      <c r="E380" s="42">
        <v>37.021500000000003</v>
      </c>
      <c r="F380" s="30">
        <f t="shared" si="73"/>
        <v>2691.8332650000002</v>
      </c>
    </row>
    <row r="381" spans="1:6" ht="58.5" x14ac:dyDescent="0.2">
      <c r="A381" s="26" t="s">
        <v>500</v>
      </c>
      <c r="B381" s="27" t="s">
        <v>2180</v>
      </c>
      <c r="C381" s="27" t="s">
        <v>80</v>
      </c>
      <c r="D381" s="43">
        <v>217.27</v>
      </c>
      <c r="E381" s="42">
        <v>48.918700000000001</v>
      </c>
      <c r="F381" s="30">
        <f t="shared" si="73"/>
        <v>10628.565949000002</v>
      </c>
    </row>
    <row r="382" spans="1:6" x14ac:dyDescent="0.2">
      <c r="A382" s="22" t="s">
        <v>501</v>
      </c>
      <c r="B382" s="23" t="s">
        <v>502</v>
      </c>
      <c r="C382" s="23"/>
      <c r="D382" s="24"/>
      <c r="E382" s="24"/>
      <c r="F382" s="25">
        <f>F383</f>
        <v>5539.1303879999996</v>
      </c>
    </row>
    <row r="383" spans="1:6" ht="58.5" x14ac:dyDescent="0.2">
      <c r="A383" s="26" t="s">
        <v>503</v>
      </c>
      <c r="B383" s="27" t="s">
        <v>2181</v>
      </c>
      <c r="C383" s="27" t="s">
        <v>80</v>
      </c>
      <c r="D383" s="43">
        <v>91.08</v>
      </c>
      <c r="E383" s="42">
        <v>60.816099999999999</v>
      </c>
      <c r="F383" s="30">
        <f t="shared" ref="F383" si="74">+D383*E383</f>
        <v>5539.1303879999996</v>
      </c>
    </row>
    <row r="384" spans="1:6" x14ac:dyDescent="0.2">
      <c r="A384" s="22" t="s">
        <v>504</v>
      </c>
      <c r="B384" s="23" t="s">
        <v>470</v>
      </c>
      <c r="C384" s="23"/>
      <c r="D384" s="24"/>
      <c r="E384" s="24"/>
      <c r="F384" s="25">
        <f>SUM(F385:F388)</f>
        <v>2360.6559099999999</v>
      </c>
    </row>
    <row r="385" spans="1:6" ht="39" x14ac:dyDescent="0.2">
      <c r="A385" s="26" t="s">
        <v>505</v>
      </c>
      <c r="B385" s="27" t="s">
        <v>472</v>
      </c>
      <c r="C385" s="27" t="s">
        <v>74</v>
      </c>
      <c r="D385" s="28">
        <v>272.8</v>
      </c>
      <c r="E385" s="43">
        <v>2.3479000000000001</v>
      </c>
      <c r="F385" s="30">
        <f t="shared" ref="F385:F388" si="75">+D385*E385</f>
        <v>640.5071200000001</v>
      </c>
    </row>
    <row r="386" spans="1:6" ht="39" x14ac:dyDescent="0.2">
      <c r="A386" s="26" t="s">
        <v>507</v>
      </c>
      <c r="B386" s="27" t="s">
        <v>474</v>
      </c>
      <c r="C386" s="27" t="s">
        <v>394</v>
      </c>
      <c r="D386" s="42">
        <v>163</v>
      </c>
      <c r="E386" s="43">
        <v>2.2799999999999998</v>
      </c>
      <c r="F386" s="30">
        <f t="shared" si="75"/>
        <v>371.64</v>
      </c>
    </row>
    <row r="387" spans="1:6" ht="39" x14ac:dyDescent="0.2">
      <c r="A387" s="26" t="s">
        <v>509</v>
      </c>
      <c r="B387" s="27" t="s">
        <v>476</v>
      </c>
      <c r="C387" s="27" t="s">
        <v>394</v>
      </c>
      <c r="D387" s="42">
        <v>109</v>
      </c>
      <c r="E387" s="28">
        <v>3.56</v>
      </c>
      <c r="F387" s="30">
        <f t="shared" si="75"/>
        <v>388.04</v>
      </c>
    </row>
    <row r="388" spans="1:6" ht="39" x14ac:dyDescent="0.2">
      <c r="A388" s="26" t="s">
        <v>511</v>
      </c>
      <c r="B388" s="27" t="s">
        <v>478</v>
      </c>
      <c r="C388" s="27" t="s">
        <v>74</v>
      </c>
      <c r="D388" s="43">
        <v>31.7</v>
      </c>
      <c r="E388" s="28">
        <v>30.2987</v>
      </c>
      <c r="F388" s="30">
        <f t="shared" si="75"/>
        <v>960.46879000000001</v>
      </c>
    </row>
    <row r="389" spans="1:6" x14ac:dyDescent="0.2">
      <c r="A389" s="22" t="s">
        <v>512</v>
      </c>
      <c r="B389" s="23" t="s">
        <v>203</v>
      </c>
      <c r="C389" s="23"/>
      <c r="D389" s="24"/>
      <c r="E389" s="24"/>
      <c r="F389" s="25">
        <f>SUM(F390:F391)</f>
        <v>7499.5524999999998</v>
      </c>
    </row>
    <row r="390" spans="1:6" ht="39" x14ac:dyDescent="0.2">
      <c r="A390" s="26" t="s">
        <v>513</v>
      </c>
      <c r="B390" s="27" t="s">
        <v>481</v>
      </c>
      <c r="C390" s="27" t="s">
        <v>80</v>
      </c>
      <c r="D390" s="43">
        <v>225.51499999999999</v>
      </c>
      <c r="E390" s="42">
        <v>27.5</v>
      </c>
      <c r="F390" s="30">
        <f t="shared" ref="F390:F391" si="76">+D390*E390</f>
        <v>6201.6624999999995</v>
      </c>
    </row>
    <row r="391" spans="1:6" ht="39" x14ac:dyDescent="0.2">
      <c r="A391" s="26" t="s">
        <v>514</v>
      </c>
      <c r="B391" s="27" t="s">
        <v>515</v>
      </c>
      <c r="C391" s="27" t="s">
        <v>80</v>
      </c>
      <c r="D391" s="42">
        <v>45.54</v>
      </c>
      <c r="E391" s="42">
        <v>28.5</v>
      </c>
      <c r="F391" s="30">
        <f t="shared" si="76"/>
        <v>1297.8899999999999</v>
      </c>
    </row>
    <row r="392" spans="1:6" ht="39" x14ac:dyDescent="0.2">
      <c r="A392" s="18" t="s">
        <v>516</v>
      </c>
      <c r="B392" s="19" t="s">
        <v>517</v>
      </c>
      <c r="C392" s="19"/>
      <c r="D392" s="20"/>
      <c r="E392" s="20"/>
      <c r="F392" s="21">
        <f>F393+F397+F399+F404</f>
        <v>33146.526190999997</v>
      </c>
    </row>
    <row r="393" spans="1:6" x14ac:dyDescent="0.2">
      <c r="A393" s="22" t="s">
        <v>518</v>
      </c>
      <c r="B393" s="23" t="s">
        <v>465</v>
      </c>
      <c r="C393" s="23"/>
      <c r="D393" s="24"/>
      <c r="E393" s="24"/>
      <c r="F393" s="25">
        <f>SUM(F394:F396)</f>
        <v>15425.055863</v>
      </c>
    </row>
    <row r="394" spans="1:6" ht="58.5" x14ac:dyDescent="0.2">
      <c r="A394" s="26" t="s">
        <v>519</v>
      </c>
      <c r="B394" s="27" t="s">
        <v>2178</v>
      </c>
      <c r="C394" s="27" t="s">
        <v>80</v>
      </c>
      <c r="D394" s="42">
        <v>94.38</v>
      </c>
      <c r="E394" s="42">
        <v>34.030900000000003</v>
      </c>
      <c r="F394" s="30">
        <f t="shared" ref="F394:F396" si="77">+D394*E394</f>
        <v>3211.8363420000001</v>
      </c>
    </row>
    <row r="395" spans="1:6" ht="58.5" x14ac:dyDescent="0.2">
      <c r="A395" s="26" t="s">
        <v>520</v>
      </c>
      <c r="B395" s="27" t="s">
        <v>2179</v>
      </c>
      <c r="C395" s="27" t="s">
        <v>80</v>
      </c>
      <c r="D395" s="43">
        <v>104.63</v>
      </c>
      <c r="E395" s="42">
        <v>37.021500000000003</v>
      </c>
      <c r="F395" s="30">
        <f t="shared" si="77"/>
        <v>3873.5595450000001</v>
      </c>
    </row>
    <row r="396" spans="1:6" ht="58.5" x14ac:dyDescent="0.2">
      <c r="A396" s="26" t="s">
        <v>521</v>
      </c>
      <c r="B396" s="27" t="s">
        <v>2180</v>
      </c>
      <c r="C396" s="27" t="s">
        <v>80</v>
      </c>
      <c r="D396" s="43">
        <v>170.48</v>
      </c>
      <c r="E396" s="42">
        <v>48.918700000000001</v>
      </c>
      <c r="F396" s="30">
        <f t="shared" si="77"/>
        <v>8339.659975999999</v>
      </c>
    </row>
    <row r="397" spans="1:6" x14ac:dyDescent="0.2">
      <c r="A397" s="22" t="s">
        <v>522</v>
      </c>
      <c r="B397" s="23" t="s">
        <v>502</v>
      </c>
      <c r="C397" s="23"/>
      <c r="D397" s="24"/>
      <c r="E397" s="24"/>
      <c r="F397" s="25">
        <f>F398</f>
        <v>3721.9453200000003</v>
      </c>
    </row>
    <row r="398" spans="1:6" ht="58.5" x14ac:dyDescent="0.2">
      <c r="A398" s="26" t="s">
        <v>523</v>
      </c>
      <c r="B398" s="27" t="s">
        <v>2181</v>
      </c>
      <c r="C398" s="27" t="s">
        <v>80</v>
      </c>
      <c r="D398" s="42">
        <v>61.2</v>
      </c>
      <c r="E398" s="42">
        <v>60.816099999999999</v>
      </c>
      <c r="F398" s="30">
        <f t="shared" ref="F398" si="78">+D398*E398</f>
        <v>3721.9453200000003</v>
      </c>
    </row>
    <row r="399" spans="1:6" x14ac:dyDescent="0.2">
      <c r="A399" s="22" t="s">
        <v>524</v>
      </c>
      <c r="B399" s="23" t="s">
        <v>470</v>
      </c>
      <c r="C399" s="23"/>
      <c r="D399" s="24"/>
      <c r="E399" s="24"/>
      <c r="F399" s="25">
        <f>SUM(F400:F403)</f>
        <v>2540.6600079999998</v>
      </c>
    </row>
    <row r="400" spans="1:6" ht="39" x14ac:dyDescent="0.2">
      <c r="A400" s="26" t="s">
        <v>525</v>
      </c>
      <c r="B400" s="27" t="s">
        <v>472</v>
      </c>
      <c r="C400" s="27" t="s">
        <v>74</v>
      </c>
      <c r="D400" s="43">
        <v>200.92</v>
      </c>
      <c r="E400" s="28">
        <v>2.3479000000000001</v>
      </c>
      <c r="F400" s="30">
        <f t="shared" ref="F400:F403" si="79">+D400*E400</f>
        <v>471.74006800000001</v>
      </c>
    </row>
    <row r="401" spans="1:6" ht="39" x14ac:dyDescent="0.2">
      <c r="A401" s="26" t="s">
        <v>526</v>
      </c>
      <c r="B401" s="27" t="s">
        <v>474</v>
      </c>
      <c r="C401" s="27" t="s">
        <v>394</v>
      </c>
      <c r="D401" s="42">
        <v>78</v>
      </c>
      <c r="E401" s="28">
        <v>2.2799999999999998</v>
      </c>
      <c r="F401" s="30">
        <f t="shared" si="79"/>
        <v>177.83999999999997</v>
      </c>
    </row>
    <row r="402" spans="1:6" ht="39" x14ac:dyDescent="0.2">
      <c r="A402" s="26" t="s">
        <v>527</v>
      </c>
      <c r="B402" s="27" t="s">
        <v>476</v>
      </c>
      <c r="C402" s="27" t="s">
        <v>394</v>
      </c>
      <c r="D402" s="43">
        <v>138</v>
      </c>
      <c r="E402" s="28">
        <v>3.56</v>
      </c>
      <c r="F402" s="30">
        <f t="shared" si="79"/>
        <v>491.28000000000003</v>
      </c>
    </row>
    <row r="403" spans="1:6" ht="39" x14ac:dyDescent="0.2">
      <c r="A403" s="26" t="s">
        <v>528</v>
      </c>
      <c r="B403" s="27" t="s">
        <v>478</v>
      </c>
      <c r="C403" s="27" t="s">
        <v>74</v>
      </c>
      <c r="D403" s="42">
        <v>46.2</v>
      </c>
      <c r="E403" s="42">
        <v>30.2987</v>
      </c>
      <c r="F403" s="30">
        <f t="shared" si="79"/>
        <v>1399.7999400000001</v>
      </c>
    </row>
    <row r="404" spans="1:6" x14ac:dyDescent="0.2">
      <c r="A404" s="22" t="s">
        <v>529</v>
      </c>
      <c r="B404" s="23" t="s">
        <v>203</v>
      </c>
      <c r="C404" s="23"/>
      <c r="D404" s="24"/>
      <c r="E404" s="24"/>
      <c r="F404" s="25">
        <f>SUM(F405:F406)</f>
        <v>11458.865</v>
      </c>
    </row>
    <row r="405" spans="1:6" ht="39" x14ac:dyDescent="0.2">
      <c r="A405" s="26" t="s">
        <v>530</v>
      </c>
      <c r="B405" s="27" t="s">
        <v>481</v>
      </c>
      <c r="C405" s="27" t="s">
        <v>80</v>
      </c>
      <c r="D405" s="43">
        <v>369.49</v>
      </c>
      <c r="E405" s="42">
        <v>27.5</v>
      </c>
      <c r="F405" s="30">
        <f t="shared" ref="F405" si="80">+D405*E405</f>
        <v>10160.975</v>
      </c>
    </row>
    <row r="406" spans="1:6" ht="39" x14ac:dyDescent="0.2">
      <c r="A406" s="26" t="s">
        <v>2182</v>
      </c>
      <c r="B406" s="27" t="s">
        <v>515</v>
      </c>
      <c r="C406" s="27" t="s">
        <v>80</v>
      </c>
      <c r="D406" s="43">
        <v>45.54</v>
      </c>
      <c r="E406" s="42">
        <v>28.5</v>
      </c>
      <c r="F406" s="30">
        <f t="shared" ref="F406" si="81">+D406*E406</f>
        <v>1297.8899999999999</v>
      </c>
    </row>
    <row r="407" spans="1:6" ht="39" x14ac:dyDescent="0.2">
      <c r="A407" s="18" t="s">
        <v>531</v>
      </c>
      <c r="B407" s="19" t="s">
        <v>532</v>
      </c>
      <c r="C407" s="19"/>
      <c r="D407" s="20"/>
      <c r="E407" s="20"/>
      <c r="F407" s="21">
        <f>F408+F412+F414+F419</f>
        <v>41245.100734000007</v>
      </c>
    </row>
    <row r="408" spans="1:6" x14ac:dyDescent="0.2">
      <c r="A408" s="22" t="s">
        <v>533</v>
      </c>
      <c r="B408" s="23" t="s">
        <v>465</v>
      </c>
      <c r="C408" s="23"/>
      <c r="D408" s="24"/>
      <c r="E408" s="24"/>
      <c r="F408" s="25">
        <f>SUM(F409:F411)</f>
        <v>19371.073965000003</v>
      </c>
    </row>
    <row r="409" spans="1:6" ht="58.5" x14ac:dyDescent="0.2">
      <c r="A409" s="26" t="s">
        <v>534</v>
      </c>
      <c r="B409" s="27" t="s">
        <v>2178</v>
      </c>
      <c r="C409" s="27" t="s">
        <v>80</v>
      </c>
      <c r="D409" s="43">
        <v>222.6</v>
      </c>
      <c r="E409" s="42">
        <v>34.030900000000003</v>
      </c>
      <c r="F409" s="30">
        <f t="shared" ref="F409:F411" si="82">+D409*E409</f>
        <v>7575.2783400000008</v>
      </c>
    </row>
    <row r="410" spans="1:6" ht="58.5" x14ac:dyDescent="0.2">
      <c r="A410" s="26" t="s">
        <v>535</v>
      </c>
      <c r="B410" s="27" t="s">
        <v>2179</v>
      </c>
      <c r="C410" s="27" t="s">
        <v>80</v>
      </c>
      <c r="D410" s="42">
        <v>56</v>
      </c>
      <c r="E410" s="42">
        <v>37.021500000000003</v>
      </c>
      <c r="F410" s="30">
        <f t="shared" si="82"/>
        <v>2073.2040000000002</v>
      </c>
    </row>
    <row r="411" spans="1:6" ht="58.5" x14ac:dyDescent="0.2">
      <c r="A411" s="26" t="s">
        <v>536</v>
      </c>
      <c r="B411" s="27" t="s">
        <v>2180</v>
      </c>
      <c r="C411" s="27" t="s">
        <v>80</v>
      </c>
      <c r="D411" s="43">
        <v>198.75</v>
      </c>
      <c r="E411" s="42">
        <v>48.918700000000001</v>
      </c>
      <c r="F411" s="30">
        <f t="shared" si="82"/>
        <v>9722.5916250000009</v>
      </c>
    </row>
    <row r="412" spans="1:6" x14ac:dyDescent="0.2">
      <c r="A412" s="22" t="s">
        <v>537</v>
      </c>
      <c r="B412" s="23" t="s">
        <v>502</v>
      </c>
      <c r="C412" s="23"/>
      <c r="D412" s="24"/>
      <c r="E412" s="24"/>
      <c r="F412" s="25">
        <f>F413</f>
        <v>4402.4774790000001</v>
      </c>
    </row>
    <row r="413" spans="1:6" ht="58.5" x14ac:dyDescent="0.2">
      <c r="A413" s="26" t="s">
        <v>538</v>
      </c>
      <c r="B413" s="27" t="s">
        <v>2181</v>
      </c>
      <c r="C413" s="27" t="s">
        <v>80</v>
      </c>
      <c r="D413" s="42">
        <v>72.39</v>
      </c>
      <c r="E413" s="42">
        <v>60.816099999999999</v>
      </c>
      <c r="F413" s="30">
        <f t="shared" ref="F413" si="83">+D413*E413</f>
        <v>4402.4774790000001</v>
      </c>
    </row>
    <row r="414" spans="1:6" x14ac:dyDescent="0.2">
      <c r="A414" s="22" t="s">
        <v>539</v>
      </c>
      <c r="B414" s="23" t="s">
        <v>470</v>
      </c>
      <c r="C414" s="23"/>
      <c r="D414" s="24"/>
      <c r="E414" s="24"/>
      <c r="F414" s="25">
        <f>SUM(F415:F418)</f>
        <v>3046.5342900000001</v>
      </c>
    </row>
    <row r="415" spans="1:6" ht="39" x14ac:dyDescent="0.2">
      <c r="A415" s="26" t="s">
        <v>540</v>
      </c>
      <c r="B415" s="27" t="s">
        <v>472</v>
      </c>
      <c r="C415" s="27" t="s">
        <v>74</v>
      </c>
      <c r="D415" s="43">
        <v>237.1</v>
      </c>
      <c r="E415" s="28">
        <v>2.3479000000000001</v>
      </c>
      <c r="F415" s="30">
        <f t="shared" ref="F415:F418" si="84">+D415*E415</f>
        <v>556.68709000000001</v>
      </c>
    </row>
    <row r="416" spans="1:6" ht="39" x14ac:dyDescent="0.2">
      <c r="A416" s="26" t="s">
        <v>541</v>
      </c>
      <c r="B416" s="27" t="s">
        <v>474</v>
      </c>
      <c r="C416" s="27" t="s">
        <v>394</v>
      </c>
      <c r="D416" s="43">
        <v>148</v>
      </c>
      <c r="E416" s="28">
        <v>2.2799999999999998</v>
      </c>
      <c r="F416" s="30">
        <f t="shared" si="84"/>
        <v>337.44</v>
      </c>
    </row>
    <row r="417" spans="1:6" ht="39" x14ac:dyDescent="0.2">
      <c r="A417" s="26" t="s">
        <v>542</v>
      </c>
      <c r="B417" s="27" t="s">
        <v>476</v>
      </c>
      <c r="C417" s="27" t="s">
        <v>394</v>
      </c>
      <c r="D417" s="43">
        <v>128</v>
      </c>
      <c r="E417" s="28">
        <v>3.56</v>
      </c>
      <c r="F417" s="30">
        <f t="shared" si="84"/>
        <v>455.68</v>
      </c>
    </row>
    <row r="418" spans="1:6" ht="39" x14ac:dyDescent="0.2">
      <c r="A418" s="26" t="s">
        <v>543</v>
      </c>
      <c r="B418" s="27" t="s">
        <v>478</v>
      </c>
      <c r="C418" s="27" t="s">
        <v>74</v>
      </c>
      <c r="D418" s="42">
        <v>56</v>
      </c>
      <c r="E418" s="42">
        <v>30.2987</v>
      </c>
      <c r="F418" s="30">
        <f t="shared" si="84"/>
        <v>1696.7272</v>
      </c>
    </row>
    <row r="419" spans="1:6" x14ac:dyDescent="0.2">
      <c r="A419" s="22" t="s">
        <v>544</v>
      </c>
      <c r="B419" s="23" t="s">
        <v>203</v>
      </c>
      <c r="C419" s="23"/>
      <c r="D419" s="24"/>
      <c r="E419" s="24"/>
      <c r="F419" s="25">
        <f>F421+F420</f>
        <v>14425.014999999999</v>
      </c>
    </row>
    <row r="420" spans="1:6" ht="39" x14ac:dyDescent="0.2">
      <c r="A420" s="26" t="s">
        <v>545</v>
      </c>
      <c r="B420" s="27" t="s">
        <v>481</v>
      </c>
      <c r="C420" s="27" t="s">
        <v>80</v>
      </c>
      <c r="D420" s="43">
        <v>477.35</v>
      </c>
      <c r="E420" s="42">
        <v>27.5</v>
      </c>
      <c r="F420" s="30">
        <f t="shared" ref="F420" si="85">+D420*E420</f>
        <v>13127.125</v>
      </c>
    </row>
    <row r="421" spans="1:6" ht="39" x14ac:dyDescent="0.2">
      <c r="A421" s="26" t="s">
        <v>2183</v>
      </c>
      <c r="B421" s="27" t="s">
        <v>515</v>
      </c>
      <c r="C421" s="27" t="s">
        <v>80</v>
      </c>
      <c r="D421" s="43">
        <v>45.54</v>
      </c>
      <c r="E421" s="42">
        <v>28.5</v>
      </c>
      <c r="F421" s="30">
        <f t="shared" ref="F421" si="86">+D421*E421</f>
        <v>1297.8899999999999</v>
      </c>
    </row>
    <row r="422" spans="1:6" x14ac:dyDescent="0.2">
      <c r="A422" s="18" t="s">
        <v>546</v>
      </c>
      <c r="B422" s="19" t="s">
        <v>547</v>
      </c>
      <c r="C422" s="19"/>
      <c r="D422" s="20"/>
      <c r="E422" s="20"/>
      <c r="F422" s="21">
        <f>F423+F425+F427+F431</f>
        <v>50457.88768</v>
      </c>
    </row>
    <row r="423" spans="1:6" x14ac:dyDescent="0.2">
      <c r="A423" s="22" t="s">
        <v>548</v>
      </c>
      <c r="B423" s="23" t="s">
        <v>465</v>
      </c>
      <c r="C423" s="23"/>
      <c r="D423" s="24"/>
      <c r="E423" s="24"/>
      <c r="F423" s="25">
        <f>F424</f>
        <v>22279.908915</v>
      </c>
    </row>
    <row r="424" spans="1:6" ht="58.5" x14ac:dyDescent="0.2">
      <c r="A424" s="26" t="s">
        <v>549</v>
      </c>
      <c r="B424" s="27" t="s">
        <v>2179</v>
      </c>
      <c r="C424" s="27" t="s">
        <v>80</v>
      </c>
      <c r="D424" s="43">
        <v>601.80999999999995</v>
      </c>
      <c r="E424" s="42">
        <v>37.021500000000003</v>
      </c>
      <c r="F424" s="30">
        <f t="shared" ref="F424" si="87">+D424*E424</f>
        <v>22279.908915</v>
      </c>
    </row>
    <row r="425" spans="1:6" x14ac:dyDescent="0.2">
      <c r="A425" s="22" t="s">
        <v>550</v>
      </c>
      <c r="B425" s="23" t="s">
        <v>502</v>
      </c>
      <c r="C425" s="23"/>
      <c r="D425" s="24"/>
      <c r="E425" s="24"/>
      <c r="F425" s="25">
        <f>F426</f>
        <v>4145.2253759999994</v>
      </c>
    </row>
    <row r="426" spans="1:6" ht="58.5" x14ac:dyDescent="0.2">
      <c r="A426" s="26" t="s">
        <v>551</v>
      </c>
      <c r="B426" s="27" t="s">
        <v>2181</v>
      </c>
      <c r="C426" s="27" t="s">
        <v>80</v>
      </c>
      <c r="D426" s="42">
        <v>68.16</v>
      </c>
      <c r="E426" s="42">
        <v>60.816099999999999</v>
      </c>
      <c r="F426" s="30">
        <f t="shared" ref="F426" si="88">+D426*E426</f>
        <v>4145.2253759999994</v>
      </c>
    </row>
    <row r="427" spans="1:6" x14ac:dyDescent="0.2">
      <c r="A427" s="22" t="s">
        <v>552</v>
      </c>
      <c r="B427" s="23" t="s">
        <v>470</v>
      </c>
      <c r="C427" s="23"/>
      <c r="D427" s="24"/>
      <c r="E427" s="24"/>
      <c r="F427" s="25">
        <f>SUM(F428:F430)</f>
        <v>5540.4183890000004</v>
      </c>
    </row>
    <row r="428" spans="1:6" ht="39" x14ac:dyDescent="0.2">
      <c r="A428" s="26" t="s">
        <v>553</v>
      </c>
      <c r="B428" s="27" t="s">
        <v>472</v>
      </c>
      <c r="C428" s="27" t="s">
        <v>74</v>
      </c>
      <c r="D428" s="43">
        <v>345.21</v>
      </c>
      <c r="E428" s="28">
        <v>2.3479000000000001</v>
      </c>
      <c r="F428" s="30">
        <f t="shared" ref="F428:F430" si="89">+D428*E428</f>
        <v>810.51855899999998</v>
      </c>
    </row>
    <row r="429" spans="1:6" ht="39" x14ac:dyDescent="0.2">
      <c r="A429" s="26" t="s">
        <v>554</v>
      </c>
      <c r="B429" s="27" t="s">
        <v>474</v>
      </c>
      <c r="C429" s="27" t="s">
        <v>394</v>
      </c>
      <c r="D429" s="42">
        <v>335</v>
      </c>
      <c r="E429" s="28">
        <v>2.2799999999999998</v>
      </c>
      <c r="F429" s="30">
        <f t="shared" si="89"/>
        <v>763.8</v>
      </c>
    </row>
    <row r="430" spans="1:6" ht="39" x14ac:dyDescent="0.2">
      <c r="A430" s="26" t="s">
        <v>555</v>
      </c>
      <c r="B430" s="27" t="s">
        <v>478</v>
      </c>
      <c r="C430" s="27" t="s">
        <v>74</v>
      </c>
      <c r="D430" s="43">
        <v>130.9</v>
      </c>
      <c r="E430" s="28">
        <v>30.2987</v>
      </c>
      <c r="F430" s="30">
        <f t="shared" si="89"/>
        <v>3966.0998300000001</v>
      </c>
    </row>
    <row r="431" spans="1:6" x14ac:dyDescent="0.2">
      <c r="A431" s="22" t="s">
        <v>556</v>
      </c>
      <c r="B431" s="23" t="s">
        <v>203</v>
      </c>
      <c r="C431" s="23"/>
      <c r="D431" s="24"/>
      <c r="E431" s="24"/>
      <c r="F431" s="25">
        <f>F433+F432</f>
        <v>18492.334999999999</v>
      </c>
    </row>
    <row r="432" spans="1:6" ht="39" x14ac:dyDescent="0.2">
      <c r="A432" s="26" t="s">
        <v>557</v>
      </c>
      <c r="B432" s="27" t="s">
        <v>481</v>
      </c>
      <c r="C432" s="27" t="s">
        <v>80</v>
      </c>
      <c r="D432" s="43">
        <v>601.80999999999995</v>
      </c>
      <c r="E432" s="42">
        <v>27.5</v>
      </c>
      <c r="F432" s="30">
        <f t="shared" ref="F432" si="90">+D432*E432</f>
        <v>16549.774999999998</v>
      </c>
    </row>
    <row r="433" spans="1:6" ht="39" x14ac:dyDescent="0.2">
      <c r="A433" s="26" t="s">
        <v>2184</v>
      </c>
      <c r="B433" s="27" t="s">
        <v>515</v>
      </c>
      <c r="C433" s="27" t="s">
        <v>80</v>
      </c>
      <c r="D433" s="43">
        <v>68.16</v>
      </c>
      <c r="E433" s="42">
        <v>28.5</v>
      </c>
      <c r="F433" s="30">
        <f t="shared" ref="F433" si="91">+D433*E433</f>
        <v>1942.56</v>
      </c>
    </row>
    <row r="434" spans="1:6" ht="39" x14ac:dyDescent="0.2">
      <c r="A434" s="18" t="s">
        <v>558</v>
      </c>
      <c r="B434" s="19" t="s">
        <v>559</v>
      </c>
      <c r="C434" s="19"/>
      <c r="D434" s="20"/>
      <c r="E434" s="20"/>
      <c r="F434" s="21">
        <f>F435+F438+F449+F440</f>
        <v>617411.38117279997</v>
      </c>
    </row>
    <row r="435" spans="1:6" x14ac:dyDescent="0.2">
      <c r="A435" s="22" t="s">
        <v>560</v>
      </c>
      <c r="B435" s="23" t="s">
        <v>465</v>
      </c>
      <c r="C435" s="23"/>
      <c r="D435" s="24"/>
      <c r="E435" s="24"/>
      <c r="F435" s="25">
        <f>SUM(F436:F437)</f>
        <v>214001.06529600002</v>
      </c>
    </row>
    <row r="436" spans="1:6" ht="58.5" x14ac:dyDescent="0.2">
      <c r="A436" s="26" t="s">
        <v>561</v>
      </c>
      <c r="B436" s="27" t="s">
        <v>2179</v>
      </c>
      <c r="C436" s="27" t="s">
        <v>80</v>
      </c>
      <c r="D436" s="31">
        <v>5115.4399999999996</v>
      </c>
      <c r="E436" s="42">
        <v>37.021500000000003</v>
      </c>
      <c r="F436" s="30">
        <f t="shared" ref="F436:F437" si="92">+D436*E436</f>
        <v>189381.26196</v>
      </c>
    </row>
    <row r="437" spans="1:6" ht="58.5" x14ac:dyDescent="0.2">
      <c r="A437" s="26" t="s">
        <v>562</v>
      </c>
      <c r="B437" s="27" t="s">
        <v>2180</v>
      </c>
      <c r="C437" s="27" t="s">
        <v>80</v>
      </c>
      <c r="D437" s="43">
        <v>503.28</v>
      </c>
      <c r="E437" s="42">
        <v>48.918700000000001</v>
      </c>
      <c r="F437" s="30">
        <f t="shared" si="92"/>
        <v>24619.803336000001</v>
      </c>
    </row>
    <row r="438" spans="1:6" x14ac:dyDescent="0.2">
      <c r="A438" s="22" t="s">
        <v>563</v>
      </c>
      <c r="B438" s="23" t="s">
        <v>502</v>
      </c>
      <c r="C438" s="23"/>
      <c r="D438" s="24"/>
      <c r="E438" s="24"/>
      <c r="F438" s="25">
        <f>F439</f>
        <v>27654.296992</v>
      </c>
    </row>
    <row r="439" spans="1:6" ht="58.5" x14ac:dyDescent="0.2">
      <c r="A439" s="26" t="s">
        <v>564</v>
      </c>
      <c r="B439" s="27" t="s">
        <v>2181</v>
      </c>
      <c r="C439" s="27" t="s">
        <v>80</v>
      </c>
      <c r="D439" s="43">
        <v>454.72</v>
      </c>
      <c r="E439" s="42">
        <v>60.816099999999999</v>
      </c>
      <c r="F439" s="30">
        <f t="shared" ref="F439" si="93">+D439*E439</f>
        <v>27654.296992</v>
      </c>
    </row>
    <row r="440" spans="1:6" x14ac:dyDescent="0.2">
      <c r="A440" s="22" t="s">
        <v>565</v>
      </c>
      <c r="B440" s="23" t="s">
        <v>470</v>
      </c>
      <c r="C440" s="23"/>
      <c r="D440" s="24"/>
      <c r="E440" s="24"/>
      <c r="F440" s="25">
        <f>SUM(F441:F448)</f>
        <v>208281.69888480002</v>
      </c>
    </row>
    <row r="441" spans="1:6" ht="58.5" x14ac:dyDescent="0.2">
      <c r="A441" s="26" t="s">
        <v>566</v>
      </c>
      <c r="B441" s="27" t="s">
        <v>2185</v>
      </c>
      <c r="C441" s="27" t="s">
        <v>174</v>
      </c>
      <c r="D441" s="42">
        <v>19.611999999999998</v>
      </c>
      <c r="E441" s="43">
        <v>251.5359</v>
      </c>
      <c r="F441" s="30">
        <f t="shared" ref="F441:F448" si="94">+D441*E441</f>
        <v>4933.1220707999992</v>
      </c>
    </row>
    <row r="442" spans="1:6" ht="58.5" x14ac:dyDescent="0.2">
      <c r="A442" s="26" t="s">
        <v>567</v>
      </c>
      <c r="B442" s="27" t="s">
        <v>506</v>
      </c>
      <c r="C442" s="27" t="s">
        <v>174</v>
      </c>
      <c r="D442" s="43">
        <v>19.611999999999998</v>
      </c>
      <c r="E442" s="43">
        <v>436</v>
      </c>
      <c r="F442" s="30">
        <f t="shared" si="94"/>
        <v>8550.8319999999985</v>
      </c>
    </row>
    <row r="443" spans="1:6" ht="39" x14ac:dyDescent="0.2">
      <c r="A443" s="26" t="s">
        <v>568</v>
      </c>
      <c r="B443" s="27" t="s">
        <v>508</v>
      </c>
      <c r="C443" s="27" t="s">
        <v>80</v>
      </c>
      <c r="D443" s="43">
        <v>196.12</v>
      </c>
      <c r="E443" s="28">
        <v>102.6433</v>
      </c>
      <c r="F443" s="30">
        <f t="shared" si="94"/>
        <v>20130.403996000001</v>
      </c>
    </row>
    <row r="444" spans="1:6" ht="39" x14ac:dyDescent="0.2">
      <c r="A444" s="26" t="s">
        <v>569</v>
      </c>
      <c r="B444" s="27" t="s">
        <v>510</v>
      </c>
      <c r="C444" s="27" t="s">
        <v>80</v>
      </c>
      <c r="D444" s="31">
        <v>784.48</v>
      </c>
      <c r="E444" s="28">
        <v>4.1123000000000003</v>
      </c>
      <c r="F444" s="30">
        <f t="shared" si="94"/>
        <v>3226.0171040000005</v>
      </c>
    </row>
    <row r="445" spans="1:6" ht="39" x14ac:dyDescent="0.2">
      <c r="A445" s="26" t="s">
        <v>570</v>
      </c>
      <c r="B445" s="27" t="s">
        <v>472</v>
      </c>
      <c r="C445" s="27" t="s">
        <v>74</v>
      </c>
      <c r="D445" s="43">
        <v>2817.26</v>
      </c>
      <c r="E445" s="28">
        <v>2.3479000000000001</v>
      </c>
      <c r="F445" s="30">
        <f t="shared" si="94"/>
        <v>6614.6447540000008</v>
      </c>
    </row>
    <row r="446" spans="1:6" ht="39" x14ac:dyDescent="0.2">
      <c r="A446" s="26" t="s">
        <v>571</v>
      </c>
      <c r="B446" s="27" t="s">
        <v>474</v>
      </c>
      <c r="C446" s="27" t="s">
        <v>394</v>
      </c>
      <c r="D446" s="31">
        <v>2786</v>
      </c>
      <c r="E446" s="28">
        <v>2.2799999999999998</v>
      </c>
      <c r="F446" s="30">
        <f t="shared" ref="F446" si="95">+D446*E446</f>
        <v>6352.079999999999</v>
      </c>
    </row>
    <row r="447" spans="1:6" ht="39" x14ac:dyDescent="0.2">
      <c r="A447" s="26" t="s">
        <v>572</v>
      </c>
      <c r="B447" s="27" t="s">
        <v>476</v>
      </c>
      <c r="C447" s="27" t="s">
        <v>394</v>
      </c>
      <c r="D447" s="31">
        <v>252</v>
      </c>
      <c r="E447" s="28">
        <v>3.56</v>
      </c>
      <c r="F447" s="30">
        <f t="shared" si="94"/>
        <v>897.12</v>
      </c>
    </row>
    <row r="448" spans="1:6" ht="39" x14ac:dyDescent="0.2">
      <c r="A448" s="26" t="s">
        <v>2186</v>
      </c>
      <c r="B448" s="27" t="s">
        <v>478</v>
      </c>
      <c r="C448" s="27" t="s">
        <v>74</v>
      </c>
      <c r="D448" s="31">
        <v>5200.8</v>
      </c>
      <c r="E448" s="42">
        <v>30.2987</v>
      </c>
      <c r="F448" s="30">
        <f t="shared" si="94"/>
        <v>157577.47896000001</v>
      </c>
    </row>
    <row r="449" spans="1:6" x14ac:dyDescent="0.2">
      <c r="A449" s="22" t="s">
        <v>573</v>
      </c>
      <c r="B449" s="23" t="s">
        <v>203</v>
      </c>
      <c r="C449" s="23"/>
      <c r="D449" s="24"/>
      <c r="E449" s="24"/>
      <c r="F449" s="25">
        <f>F451+F450</f>
        <v>167474.32</v>
      </c>
    </row>
    <row r="450" spans="1:6" ht="39" x14ac:dyDescent="0.2">
      <c r="A450" s="26" t="s">
        <v>574</v>
      </c>
      <c r="B450" s="27" t="s">
        <v>481</v>
      </c>
      <c r="C450" s="27" t="s">
        <v>80</v>
      </c>
      <c r="D450" s="31">
        <v>5618.72</v>
      </c>
      <c r="E450" s="42">
        <v>27.5</v>
      </c>
      <c r="F450" s="30">
        <f t="shared" ref="F450" si="96">+D450*E450</f>
        <v>154514.80000000002</v>
      </c>
    </row>
    <row r="451" spans="1:6" ht="39" x14ac:dyDescent="0.2">
      <c r="A451" s="26" t="s">
        <v>2187</v>
      </c>
      <c r="B451" s="27" t="s">
        <v>515</v>
      </c>
      <c r="C451" s="27" t="s">
        <v>80</v>
      </c>
      <c r="D451" s="31">
        <v>454.72</v>
      </c>
      <c r="E451" s="42">
        <v>28.5</v>
      </c>
      <c r="F451" s="30">
        <f t="shared" ref="F451" si="97">+D451*E451</f>
        <v>12959.52</v>
      </c>
    </row>
    <row r="452" spans="1:6" ht="39" x14ac:dyDescent="0.2">
      <c r="A452" s="18" t="s">
        <v>575</v>
      </c>
      <c r="B452" s="19" t="s">
        <v>576</v>
      </c>
      <c r="C452" s="19"/>
      <c r="D452" s="20"/>
      <c r="E452" s="20"/>
      <c r="F452" s="21">
        <f>F453+F456+F458+F466</f>
        <v>50828.185271800001</v>
      </c>
    </row>
    <row r="453" spans="1:6" x14ac:dyDescent="0.2">
      <c r="A453" s="22" t="s">
        <v>577</v>
      </c>
      <c r="B453" s="23" t="s">
        <v>465</v>
      </c>
      <c r="C453" s="23"/>
      <c r="D453" s="24"/>
      <c r="E453" s="24"/>
      <c r="F453" s="25">
        <f>SUM(F454:F455)</f>
        <v>22845.369879000002</v>
      </c>
    </row>
    <row r="454" spans="1:6" ht="58.5" x14ac:dyDescent="0.2">
      <c r="A454" s="26" t="s">
        <v>578</v>
      </c>
      <c r="B454" s="27" t="s">
        <v>2179</v>
      </c>
      <c r="C454" s="27" t="s">
        <v>80</v>
      </c>
      <c r="D454" s="43">
        <v>520.4</v>
      </c>
      <c r="E454" s="42">
        <v>37.021500000000003</v>
      </c>
      <c r="F454" s="30">
        <f t="shared" ref="F454:F455" si="98">+D454*E454</f>
        <v>19265.988600000001</v>
      </c>
    </row>
    <row r="455" spans="1:6" ht="58.5" x14ac:dyDescent="0.2">
      <c r="A455" s="26" t="s">
        <v>579</v>
      </c>
      <c r="B455" s="27" t="s">
        <v>2180</v>
      </c>
      <c r="C455" s="27" t="s">
        <v>80</v>
      </c>
      <c r="D455" s="42">
        <v>73.17</v>
      </c>
      <c r="E455" s="42">
        <v>48.918700000000001</v>
      </c>
      <c r="F455" s="30">
        <f t="shared" si="98"/>
        <v>3579.3812790000002</v>
      </c>
    </row>
    <row r="456" spans="1:6" x14ac:dyDescent="0.2">
      <c r="A456" s="22" t="s">
        <v>580</v>
      </c>
      <c r="B456" s="23" t="s">
        <v>502</v>
      </c>
      <c r="C456" s="23"/>
      <c r="D456" s="24"/>
      <c r="E456" s="24"/>
      <c r="F456" s="25">
        <f>F457</f>
        <v>4249.2209069999999</v>
      </c>
    </row>
    <row r="457" spans="1:6" ht="58.5" x14ac:dyDescent="0.2">
      <c r="A457" s="26" t="s">
        <v>581</v>
      </c>
      <c r="B457" s="27" t="s">
        <v>2181</v>
      </c>
      <c r="C457" s="27" t="s">
        <v>80</v>
      </c>
      <c r="D457" s="42">
        <v>69.87</v>
      </c>
      <c r="E457" s="42">
        <v>60.816099999999999</v>
      </c>
      <c r="F457" s="30">
        <f t="shared" ref="F457" si="99">+D457*E457</f>
        <v>4249.2209069999999</v>
      </c>
    </row>
    <row r="458" spans="1:6" x14ac:dyDescent="0.2">
      <c r="A458" s="22" t="s">
        <v>582</v>
      </c>
      <c r="B458" s="23" t="s">
        <v>470</v>
      </c>
      <c r="C458" s="23"/>
      <c r="D458" s="24"/>
      <c r="E458" s="24"/>
      <c r="F458" s="25">
        <f>SUM(F459:F465)</f>
        <v>5419.1244858</v>
      </c>
    </row>
    <row r="459" spans="1:6" ht="58.5" x14ac:dyDescent="0.2">
      <c r="A459" s="26" t="s">
        <v>583</v>
      </c>
      <c r="B459" s="27" t="s">
        <v>2185</v>
      </c>
      <c r="C459" s="27" t="s">
        <v>174</v>
      </c>
      <c r="D459" s="28">
        <v>1.012</v>
      </c>
      <c r="E459" s="43">
        <v>251.5359</v>
      </c>
      <c r="F459" s="30">
        <f t="shared" ref="F459:F465" si="100">+D459*E459</f>
        <v>254.5543308</v>
      </c>
    </row>
    <row r="460" spans="1:6" ht="58.5" x14ac:dyDescent="0.2">
      <c r="A460" s="26" t="s">
        <v>584</v>
      </c>
      <c r="B460" s="27" t="s">
        <v>506</v>
      </c>
      <c r="C460" s="27" t="s">
        <v>174</v>
      </c>
      <c r="D460" s="42">
        <v>1.012</v>
      </c>
      <c r="E460" s="28">
        <v>436</v>
      </c>
      <c r="F460" s="30">
        <f t="shared" si="100"/>
        <v>441.23200000000003</v>
      </c>
    </row>
    <row r="461" spans="1:6" ht="39" x14ac:dyDescent="0.2">
      <c r="A461" s="26" t="s">
        <v>585</v>
      </c>
      <c r="B461" s="27" t="s">
        <v>510</v>
      </c>
      <c r="C461" s="27" t="s">
        <v>80</v>
      </c>
      <c r="D461" s="43">
        <v>40.479999999999997</v>
      </c>
      <c r="E461" s="28">
        <v>4.1123000000000003</v>
      </c>
      <c r="F461" s="30">
        <f t="shared" si="100"/>
        <v>166.46590399999999</v>
      </c>
    </row>
    <row r="462" spans="1:6" ht="39" x14ac:dyDescent="0.2">
      <c r="A462" s="26" t="s">
        <v>586</v>
      </c>
      <c r="B462" s="27" t="s">
        <v>472</v>
      </c>
      <c r="C462" s="27" t="s">
        <v>74</v>
      </c>
      <c r="D462" s="42">
        <v>325.54000000000002</v>
      </c>
      <c r="E462" s="28">
        <v>2.3479000000000001</v>
      </c>
      <c r="F462" s="30">
        <f t="shared" si="100"/>
        <v>764.33536600000014</v>
      </c>
    </row>
    <row r="463" spans="1:6" ht="39" x14ac:dyDescent="0.2">
      <c r="A463" s="26" t="s">
        <v>587</v>
      </c>
      <c r="B463" s="27" t="s">
        <v>474</v>
      </c>
      <c r="C463" s="27" t="s">
        <v>394</v>
      </c>
      <c r="D463" s="43">
        <v>296</v>
      </c>
      <c r="E463" s="28">
        <v>2.2799999999999998</v>
      </c>
      <c r="F463" s="30">
        <f t="shared" si="100"/>
        <v>674.88</v>
      </c>
    </row>
    <row r="464" spans="1:6" ht="39" x14ac:dyDescent="0.2">
      <c r="A464" s="26" t="s">
        <v>588</v>
      </c>
      <c r="B464" s="27" t="s">
        <v>476</v>
      </c>
      <c r="C464" s="27" t="s">
        <v>394</v>
      </c>
      <c r="D464" s="42">
        <v>37</v>
      </c>
      <c r="E464" s="42">
        <v>3.56</v>
      </c>
      <c r="F464" s="30">
        <f t="shared" ref="F464" si="101">+D464*E464</f>
        <v>131.72</v>
      </c>
    </row>
    <row r="465" spans="1:6" ht="39" x14ac:dyDescent="0.2">
      <c r="A465" s="26" t="s">
        <v>2188</v>
      </c>
      <c r="B465" s="27" t="s">
        <v>478</v>
      </c>
      <c r="C465" s="27" t="s">
        <v>74</v>
      </c>
      <c r="D465" s="42">
        <v>98.55</v>
      </c>
      <c r="E465" s="42">
        <v>30.2987</v>
      </c>
      <c r="F465" s="30">
        <f t="shared" si="100"/>
        <v>2985.9368850000001</v>
      </c>
    </row>
    <row r="466" spans="1:6" x14ac:dyDescent="0.2">
      <c r="A466" s="22" t="s">
        <v>589</v>
      </c>
      <c r="B466" s="23" t="s">
        <v>203</v>
      </c>
      <c r="C466" s="23"/>
      <c r="D466" s="24"/>
      <c r="E466" s="24"/>
      <c r="F466" s="25">
        <f>F468+F467</f>
        <v>18314.47</v>
      </c>
    </row>
    <row r="467" spans="1:6" ht="39" x14ac:dyDescent="0.2">
      <c r="A467" s="26" t="s">
        <v>590</v>
      </c>
      <c r="B467" s="27" t="s">
        <v>481</v>
      </c>
      <c r="C467" s="27" t="s">
        <v>80</v>
      </c>
      <c r="D467" s="43">
        <v>593.57000000000005</v>
      </c>
      <c r="E467" s="42">
        <v>27.5</v>
      </c>
      <c r="F467" s="30">
        <f t="shared" ref="F467" si="102">+D467*E467</f>
        <v>16323.175000000001</v>
      </c>
    </row>
    <row r="468" spans="1:6" ht="39" x14ac:dyDescent="0.2">
      <c r="A468" s="26" t="s">
        <v>2189</v>
      </c>
      <c r="B468" s="27" t="s">
        <v>515</v>
      </c>
      <c r="C468" s="27" t="s">
        <v>80</v>
      </c>
      <c r="D468" s="43">
        <v>69.87</v>
      </c>
      <c r="E468" s="42">
        <v>28.5</v>
      </c>
      <c r="F468" s="30">
        <f t="shared" ref="F468" si="103">+D468*E468</f>
        <v>1991.2950000000001</v>
      </c>
    </row>
    <row r="469" spans="1:6" ht="39" x14ac:dyDescent="0.2">
      <c r="A469" s="18" t="s">
        <v>591</v>
      </c>
      <c r="B469" s="19" t="s">
        <v>592</v>
      </c>
      <c r="C469" s="19"/>
      <c r="D469" s="20"/>
      <c r="E469" s="20"/>
      <c r="F469" s="21">
        <f>F470+F472+F474+F478</f>
        <v>22937.854825000002</v>
      </c>
    </row>
    <row r="470" spans="1:6" x14ac:dyDescent="0.2">
      <c r="A470" s="22" t="s">
        <v>593</v>
      </c>
      <c r="B470" s="23" t="s">
        <v>465</v>
      </c>
      <c r="C470" s="23"/>
      <c r="D470" s="24"/>
      <c r="E470" s="24"/>
      <c r="F470" s="25">
        <f>F471</f>
        <v>11360.787705000001</v>
      </c>
    </row>
    <row r="471" spans="1:6" ht="58.5" x14ac:dyDescent="0.2">
      <c r="A471" s="26" t="s">
        <v>594</v>
      </c>
      <c r="B471" s="27" t="s">
        <v>2179</v>
      </c>
      <c r="C471" s="27" t="s">
        <v>80</v>
      </c>
      <c r="D471" s="43">
        <v>306.87</v>
      </c>
      <c r="E471" s="42">
        <v>37.021500000000003</v>
      </c>
      <c r="F471" s="30">
        <f t="shared" ref="F471" si="104">+D471*E471</f>
        <v>11360.787705000001</v>
      </c>
    </row>
    <row r="472" spans="1:6" x14ac:dyDescent="0.2">
      <c r="A472" s="22" t="s">
        <v>595</v>
      </c>
      <c r="B472" s="23" t="s">
        <v>502</v>
      </c>
      <c r="C472" s="23"/>
      <c r="D472" s="24"/>
      <c r="E472" s="24"/>
      <c r="F472" s="25">
        <f>F473</f>
        <v>1590.9491760000001</v>
      </c>
    </row>
    <row r="473" spans="1:6" ht="58.5" x14ac:dyDescent="0.2">
      <c r="A473" s="26" t="s">
        <v>596</v>
      </c>
      <c r="B473" s="27" t="s">
        <v>2181</v>
      </c>
      <c r="C473" s="27" t="s">
        <v>80</v>
      </c>
      <c r="D473" s="42">
        <v>26.16</v>
      </c>
      <c r="E473" s="42">
        <v>60.816099999999999</v>
      </c>
      <c r="F473" s="30">
        <f t="shared" ref="F473" si="105">+D473*E473</f>
        <v>1590.9491760000001</v>
      </c>
    </row>
    <row r="474" spans="1:6" x14ac:dyDescent="0.2">
      <c r="A474" s="22" t="s">
        <v>597</v>
      </c>
      <c r="B474" s="23" t="s">
        <v>470</v>
      </c>
      <c r="C474" s="23"/>
      <c r="D474" s="24"/>
      <c r="E474" s="24"/>
      <c r="F474" s="25">
        <f>SUM(F475:F477)</f>
        <v>801.63294400000007</v>
      </c>
    </row>
    <row r="475" spans="1:6" ht="39" x14ac:dyDescent="0.2">
      <c r="A475" s="26" t="s">
        <v>598</v>
      </c>
      <c r="B475" s="27" t="s">
        <v>472</v>
      </c>
      <c r="C475" s="27" t="s">
        <v>74</v>
      </c>
      <c r="D475" s="43">
        <v>165.06</v>
      </c>
      <c r="E475" s="28">
        <v>2.3479000000000001</v>
      </c>
      <c r="F475" s="30">
        <f t="shared" ref="F475:F477" si="106">+D475*E475</f>
        <v>387.544374</v>
      </c>
    </row>
    <row r="476" spans="1:6" ht="39" x14ac:dyDescent="0.2">
      <c r="A476" s="26" t="s">
        <v>599</v>
      </c>
      <c r="B476" s="27" t="s">
        <v>474</v>
      </c>
      <c r="C476" s="27" t="s">
        <v>394</v>
      </c>
      <c r="D476" s="42">
        <v>167</v>
      </c>
      <c r="E476" s="28">
        <v>2.2799999999999998</v>
      </c>
      <c r="F476" s="30">
        <f t="shared" si="106"/>
        <v>380.76</v>
      </c>
    </row>
    <row r="477" spans="1:6" ht="39" x14ac:dyDescent="0.2">
      <c r="A477" s="26" t="s">
        <v>600</v>
      </c>
      <c r="B477" s="27" t="s">
        <v>478</v>
      </c>
      <c r="C477" s="27" t="s">
        <v>74</v>
      </c>
      <c r="D477" s="43">
        <v>1.1000000000000001</v>
      </c>
      <c r="E477" s="28">
        <v>30.2987</v>
      </c>
      <c r="F477" s="30">
        <f t="shared" si="106"/>
        <v>33.328570000000006</v>
      </c>
    </row>
    <row r="478" spans="1:6" x14ac:dyDescent="0.2">
      <c r="A478" s="22" t="s">
        <v>601</v>
      </c>
      <c r="B478" s="23" t="s">
        <v>203</v>
      </c>
      <c r="C478" s="23"/>
      <c r="D478" s="24"/>
      <c r="E478" s="24"/>
      <c r="F478" s="25">
        <f>F480+F479</f>
        <v>9184.4849999999988</v>
      </c>
    </row>
    <row r="479" spans="1:6" ht="39" x14ac:dyDescent="0.2">
      <c r="A479" s="26" t="s">
        <v>602</v>
      </c>
      <c r="B479" s="27" t="s">
        <v>481</v>
      </c>
      <c r="C479" s="27" t="s">
        <v>80</v>
      </c>
      <c r="D479" s="43">
        <v>306.87</v>
      </c>
      <c r="E479" s="42">
        <v>27.5</v>
      </c>
      <c r="F479" s="30">
        <f t="shared" ref="F479" si="107">+D479*E479</f>
        <v>8438.9249999999993</v>
      </c>
    </row>
    <row r="480" spans="1:6" ht="39" x14ac:dyDescent="0.2">
      <c r="A480" s="26" t="s">
        <v>2190</v>
      </c>
      <c r="B480" s="27" t="s">
        <v>515</v>
      </c>
      <c r="C480" s="27" t="s">
        <v>80</v>
      </c>
      <c r="D480" s="43">
        <v>26.16</v>
      </c>
      <c r="E480" s="42">
        <v>28.5</v>
      </c>
      <c r="F480" s="30">
        <f t="shared" ref="F480" si="108">+D480*E480</f>
        <v>745.56000000000006</v>
      </c>
    </row>
    <row r="481" spans="1:6" x14ac:dyDescent="0.2">
      <c r="A481" s="18" t="s">
        <v>603</v>
      </c>
      <c r="B481" s="19" t="s">
        <v>604</v>
      </c>
      <c r="C481" s="19"/>
      <c r="D481" s="20"/>
      <c r="E481" s="20"/>
      <c r="F481" s="21">
        <f>F482+F484+F486+F491</f>
        <v>12201.021409100002</v>
      </c>
    </row>
    <row r="482" spans="1:6" x14ac:dyDescent="0.2">
      <c r="A482" s="22" t="s">
        <v>605</v>
      </c>
      <c r="B482" s="23" t="s">
        <v>465</v>
      </c>
      <c r="C482" s="23"/>
      <c r="D482" s="24"/>
      <c r="E482" s="24"/>
      <c r="F482" s="25">
        <f>F483</f>
        <v>4310.0430300000007</v>
      </c>
    </row>
    <row r="483" spans="1:6" ht="58.5" x14ac:dyDescent="0.2">
      <c r="A483" s="26" t="s">
        <v>606</v>
      </c>
      <c r="B483" s="27" t="s">
        <v>2179</v>
      </c>
      <c r="C483" s="27" t="s">
        <v>80</v>
      </c>
      <c r="D483" s="43">
        <v>116.42</v>
      </c>
      <c r="E483" s="42">
        <v>37.021500000000003</v>
      </c>
      <c r="F483" s="30">
        <f t="shared" ref="F483" si="109">+D483*E483</f>
        <v>4310.0430300000007</v>
      </c>
    </row>
    <row r="484" spans="1:6" x14ac:dyDescent="0.2">
      <c r="A484" s="22" t="s">
        <v>607</v>
      </c>
      <c r="B484" s="23" t="s">
        <v>502</v>
      </c>
      <c r="C484" s="23"/>
      <c r="D484" s="24"/>
      <c r="E484" s="24"/>
      <c r="F484" s="25">
        <f>F485</f>
        <v>3026.8172970000001</v>
      </c>
    </row>
    <row r="485" spans="1:6" ht="58.5" x14ac:dyDescent="0.2">
      <c r="A485" s="26" t="s">
        <v>608</v>
      </c>
      <c r="B485" s="27" t="s">
        <v>2181</v>
      </c>
      <c r="C485" s="27" t="s">
        <v>80</v>
      </c>
      <c r="D485" s="42">
        <v>49.77</v>
      </c>
      <c r="E485" s="42">
        <v>60.816099999999999</v>
      </c>
      <c r="F485" s="30">
        <f t="shared" ref="F485" si="110">+D485*E485</f>
        <v>3026.8172970000001</v>
      </c>
    </row>
    <row r="486" spans="1:6" x14ac:dyDescent="0.2">
      <c r="A486" s="22" t="s">
        <v>609</v>
      </c>
      <c r="B486" s="23" t="s">
        <v>470</v>
      </c>
      <c r="C486" s="23"/>
      <c r="D486" s="24"/>
      <c r="E486" s="24"/>
      <c r="F486" s="25">
        <f>SUM(F487:F490)</f>
        <v>364.72108209999999</v>
      </c>
    </row>
    <row r="487" spans="1:6" ht="39" x14ac:dyDescent="0.2">
      <c r="A487" s="26" t="s">
        <v>610</v>
      </c>
      <c r="B487" s="27" t="s">
        <v>472</v>
      </c>
      <c r="C487" s="27" t="s">
        <v>74</v>
      </c>
      <c r="D487" s="42">
        <v>28.699000000000002</v>
      </c>
      <c r="E487" s="28">
        <v>2.3479000000000001</v>
      </c>
      <c r="F487" s="30">
        <f t="shared" ref="F487:F490" si="111">+D487*E487</f>
        <v>67.382382100000001</v>
      </c>
    </row>
    <row r="488" spans="1:6" ht="39" x14ac:dyDescent="0.2">
      <c r="A488" s="26" t="s">
        <v>611</v>
      </c>
      <c r="B488" s="27" t="s">
        <v>474</v>
      </c>
      <c r="C488" s="27" t="s">
        <v>394</v>
      </c>
      <c r="D488" s="42">
        <v>25</v>
      </c>
      <c r="E488" s="28">
        <v>2.2799999999999998</v>
      </c>
      <c r="F488" s="30">
        <f t="shared" si="111"/>
        <v>56.999999999999993</v>
      </c>
    </row>
    <row r="489" spans="1:6" ht="39" x14ac:dyDescent="0.2">
      <c r="A489" s="26" t="s">
        <v>612</v>
      </c>
      <c r="B489" s="27" t="s">
        <v>476</v>
      </c>
      <c r="C489" s="27" t="s">
        <v>394</v>
      </c>
      <c r="D489" s="42">
        <v>59</v>
      </c>
      <c r="E489" s="28">
        <v>3.56</v>
      </c>
      <c r="F489" s="30">
        <f t="shared" si="111"/>
        <v>210.04</v>
      </c>
    </row>
    <row r="490" spans="1:6" x14ac:dyDescent="0.2">
      <c r="A490" s="26" t="s">
        <v>613</v>
      </c>
      <c r="B490" s="27" t="s">
        <v>478</v>
      </c>
      <c r="C490" s="27" t="s">
        <v>74</v>
      </c>
      <c r="D490" s="28">
        <v>1</v>
      </c>
      <c r="E490" s="42">
        <v>30.2987</v>
      </c>
      <c r="F490" s="30">
        <f t="shared" si="111"/>
        <v>30.2987</v>
      </c>
    </row>
    <row r="491" spans="1:6" x14ac:dyDescent="0.2">
      <c r="A491" s="22" t="s">
        <v>614</v>
      </c>
      <c r="B491" s="23" t="s">
        <v>203</v>
      </c>
      <c r="C491" s="23"/>
      <c r="D491" s="24"/>
      <c r="E491" s="24"/>
      <c r="F491" s="25">
        <f>F493+F492</f>
        <v>4499.4400000000005</v>
      </c>
    </row>
    <row r="492" spans="1:6" ht="39" x14ac:dyDescent="0.2">
      <c r="A492" s="26" t="s">
        <v>615</v>
      </c>
      <c r="B492" s="27" t="s">
        <v>481</v>
      </c>
      <c r="C492" s="27" t="s">
        <v>80</v>
      </c>
      <c r="D492" s="43">
        <v>116.42</v>
      </c>
      <c r="E492" s="42">
        <v>27.5</v>
      </c>
      <c r="F492" s="30">
        <f t="shared" ref="F492" si="112">+D492*E492</f>
        <v>3201.55</v>
      </c>
    </row>
    <row r="493" spans="1:6" ht="39" x14ac:dyDescent="0.2">
      <c r="A493" s="26" t="s">
        <v>2191</v>
      </c>
      <c r="B493" s="27" t="s">
        <v>515</v>
      </c>
      <c r="C493" s="27" t="s">
        <v>80</v>
      </c>
      <c r="D493" s="43">
        <v>45.54</v>
      </c>
      <c r="E493" s="42">
        <v>28.5</v>
      </c>
      <c r="F493" s="30">
        <f t="shared" ref="F493" si="113">+D493*E493</f>
        <v>1297.8899999999999</v>
      </c>
    </row>
    <row r="494" spans="1:6" x14ac:dyDescent="0.2">
      <c r="A494" s="14" t="s">
        <v>616</v>
      </c>
      <c r="B494" s="15" t="s">
        <v>617</v>
      </c>
      <c r="C494" s="15"/>
      <c r="D494" s="16"/>
      <c r="E494" s="16"/>
      <c r="F494" s="17">
        <f>F495+F514+F531+F546+F562+F578+F593</f>
        <v>832181.13199999998</v>
      </c>
    </row>
    <row r="495" spans="1:6" ht="39" x14ac:dyDescent="0.2">
      <c r="A495" s="18" t="s">
        <v>618</v>
      </c>
      <c r="B495" s="19" t="s">
        <v>619</v>
      </c>
      <c r="C495" s="19"/>
      <c r="D495" s="20"/>
      <c r="E495" s="20"/>
      <c r="F495" s="21">
        <f>F498+F500+F505+F507+F509+F512+F496</f>
        <v>77882.046000000002</v>
      </c>
    </row>
    <row r="496" spans="1:6" x14ac:dyDescent="0.2">
      <c r="A496" s="22" t="s">
        <v>620</v>
      </c>
      <c r="B496" s="23" t="s">
        <v>2192</v>
      </c>
      <c r="C496" s="23"/>
      <c r="D496" s="24"/>
      <c r="E496" s="24"/>
      <c r="F496" s="25">
        <f>F497</f>
        <v>30000</v>
      </c>
    </row>
    <row r="497" spans="1:6" x14ac:dyDescent="0.2">
      <c r="A497" s="26" t="s">
        <v>622</v>
      </c>
      <c r="B497" s="27" t="s">
        <v>2192</v>
      </c>
      <c r="C497" s="27" t="s">
        <v>15</v>
      </c>
      <c r="D497" s="28">
        <v>1</v>
      </c>
      <c r="E497" s="43">
        <v>30000</v>
      </c>
      <c r="F497" s="30">
        <f t="shared" ref="F497" si="114">+D497*E497</f>
        <v>30000</v>
      </c>
    </row>
    <row r="498" spans="1:6" x14ac:dyDescent="0.2">
      <c r="A498" s="22" t="s">
        <v>624</v>
      </c>
      <c r="B498" s="23" t="s">
        <v>621</v>
      </c>
      <c r="C498" s="23"/>
      <c r="D498" s="24"/>
      <c r="E498" s="24"/>
      <c r="F498" s="25">
        <f>F499</f>
        <v>783.55</v>
      </c>
    </row>
    <row r="499" spans="1:6" x14ac:dyDescent="0.2">
      <c r="A499" s="26" t="s">
        <v>626</v>
      </c>
      <c r="B499" s="27" t="s">
        <v>623</v>
      </c>
      <c r="C499" s="27" t="s">
        <v>15</v>
      </c>
      <c r="D499" s="28">
        <v>1</v>
      </c>
      <c r="E499" s="43">
        <v>783.55</v>
      </c>
      <c r="F499" s="30">
        <f t="shared" ref="F499" si="115">+D499*E499</f>
        <v>783.55</v>
      </c>
    </row>
    <row r="500" spans="1:6" x14ac:dyDescent="0.2">
      <c r="A500" s="22" t="s">
        <v>631</v>
      </c>
      <c r="B500" s="23" t="s">
        <v>625</v>
      </c>
      <c r="C500" s="23"/>
      <c r="D500" s="24"/>
      <c r="E500" s="24"/>
      <c r="F500" s="25">
        <f>SUM(F501:F504)</f>
        <v>3962.1499999999996</v>
      </c>
    </row>
    <row r="501" spans="1:6" x14ac:dyDescent="0.2">
      <c r="A501" s="26" t="s">
        <v>633</v>
      </c>
      <c r="B501" s="27" t="s">
        <v>627</v>
      </c>
      <c r="C501" s="27" t="s">
        <v>15</v>
      </c>
      <c r="D501" s="28">
        <v>1</v>
      </c>
      <c r="E501" s="43">
        <v>145.35</v>
      </c>
      <c r="F501" s="30">
        <f t="shared" ref="F501:F504" si="116">+D501*E501</f>
        <v>145.35</v>
      </c>
    </row>
    <row r="502" spans="1:6" x14ac:dyDescent="0.2">
      <c r="A502" s="26" t="s">
        <v>2193</v>
      </c>
      <c r="B502" s="27" t="s">
        <v>628</v>
      </c>
      <c r="C502" s="27" t="s">
        <v>15</v>
      </c>
      <c r="D502" s="28">
        <v>1</v>
      </c>
      <c r="E502" s="43">
        <v>698.25</v>
      </c>
      <c r="F502" s="30">
        <f t="shared" si="116"/>
        <v>698.25</v>
      </c>
    </row>
    <row r="503" spans="1:6" x14ac:dyDescent="0.2">
      <c r="A503" s="26" t="s">
        <v>2194</v>
      </c>
      <c r="B503" s="27" t="s">
        <v>629</v>
      </c>
      <c r="C503" s="27" t="s">
        <v>15</v>
      </c>
      <c r="D503" s="28">
        <v>1</v>
      </c>
      <c r="E503" s="31">
        <v>2183.4499999999998</v>
      </c>
      <c r="F503" s="30">
        <f t="shared" si="116"/>
        <v>2183.4499999999998</v>
      </c>
    </row>
    <row r="504" spans="1:6" x14ac:dyDescent="0.2">
      <c r="A504" s="26" t="s">
        <v>2195</v>
      </c>
      <c r="B504" s="27" t="s">
        <v>630</v>
      </c>
      <c r="C504" s="27" t="s">
        <v>15</v>
      </c>
      <c r="D504" s="28">
        <v>1</v>
      </c>
      <c r="E504" s="43">
        <v>935.1</v>
      </c>
      <c r="F504" s="30">
        <f t="shared" si="116"/>
        <v>935.1</v>
      </c>
    </row>
    <row r="505" spans="1:6" x14ac:dyDescent="0.2">
      <c r="A505" s="22" t="s">
        <v>635</v>
      </c>
      <c r="B505" s="23" t="s">
        <v>632</v>
      </c>
      <c r="C505" s="23"/>
      <c r="D505" s="24"/>
      <c r="E505" s="24"/>
      <c r="F505" s="25">
        <f>F506</f>
        <v>3416.7959999999998</v>
      </c>
    </row>
    <row r="506" spans="1:6" x14ac:dyDescent="0.2">
      <c r="A506" s="26" t="s">
        <v>637</v>
      </c>
      <c r="B506" s="27" t="s">
        <v>634</v>
      </c>
      <c r="C506" s="27" t="s">
        <v>15</v>
      </c>
      <c r="D506" s="28">
        <v>1</v>
      </c>
      <c r="E506" s="31">
        <v>3416.7959999999998</v>
      </c>
      <c r="F506" s="30">
        <f t="shared" ref="F506" si="117">+D506*E506</f>
        <v>3416.7959999999998</v>
      </c>
    </row>
    <row r="507" spans="1:6" x14ac:dyDescent="0.2">
      <c r="A507" s="22" t="s">
        <v>639</v>
      </c>
      <c r="B507" s="23" t="s">
        <v>636</v>
      </c>
      <c r="C507" s="23"/>
      <c r="D507" s="24"/>
      <c r="E507" s="24"/>
      <c r="F507" s="25">
        <f>F508</f>
        <v>233.1</v>
      </c>
    </row>
    <row r="508" spans="1:6" x14ac:dyDescent="0.2">
      <c r="A508" s="26" t="s">
        <v>641</v>
      </c>
      <c r="B508" s="27" t="s">
        <v>638</v>
      </c>
      <c r="C508" s="27" t="s">
        <v>15</v>
      </c>
      <c r="D508" s="28">
        <v>1</v>
      </c>
      <c r="E508" s="43">
        <v>233.1</v>
      </c>
      <c r="F508" s="30">
        <f t="shared" ref="F508" si="118">+D508*E508</f>
        <v>233.1</v>
      </c>
    </row>
    <row r="509" spans="1:6" x14ac:dyDescent="0.2">
      <c r="A509" s="22" t="s">
        <v>644</v>
      </c>
      <c r="B509" s="23" t="s">
        <v>640</v>
      </c>
      <c r="C509" s="23"/>
      <c r="D509" s="24"/>
      <c r="E509" s="24"/>
      <c r="F509" s="25">
        <f>SUM(F510:F511)</f>
        <v>3584.1</v>
      </c>
    </row>
    <row r="510" spans="1:6" x14ac:dyDescent="0.2">
      <c r="A510" s="26" t="s">
        <v>645</v>
      </c>
      <c r="B510" s="27" t="s">
        <v>642</v>
      </c>
      <c r="C510" s="27" t="s">
        <v>15</v>
      </c>
      <c r="D510" s="28">
        <v>1</v>
      </c>
      <c r="E510" s="31">
        <v>1965.6</v>
      </c>
      <c r="F510" s="30">
        <f t="shared" ref="F510:F511" si="119">+D510*E510</f>
        <v>1965.6</v>
      </c>
    </row>
    <row r="511" spans="1:6" x14ac:dyDescent="0.2">
      <c r="A511" s="26" t="s">
        <v>2196</v>
      </c>
      <c r="B511" s="27" t="s">
        <v>643</v>
      </c>
      <c r="C511" s="27" t="s">
        <v>15</v>
      </c>
      <c r="D511" s="28">
        <v>1</v>
      </c>
      <c r="E511" s="31">
        <v>1618.5</v>
      </c>
      <c r="F511" s="30">
        <f t="shared" si="119"/>
        <v>1618.5</v>
      </c>
    </row>
    <row r="512" spans="1:6" x14ac:dyDescent="0.2">
      <c r="A512" s="22" t="s">
        <v>2197</v>
      </c>
      <c r="B512" s="23" t="s">
        <v>203</v>
      </c>
      <c r="C512" s="23"/>
      <c r="D512" s="24"/>
      <c r="E512" s="24"/>
      <c r="F512" s="25">
        <f>F513</f>
        <v>35902.35</v>
      </c>
    </row>
    <row r="513" spans="1:6" x14ac:dyDescent="0.2">
      <c r="A513" s="26" t="s">
        <v>2198</v>
      </c>
      <c r="B513" s="27" t="s">
        <v>646</v>
      </c>
      <c r="C513" s="27" t="s">
        <v>80</v>
      </c>
      <c r="D513" s="43">
        <v>797.83</v>
      </c>
      <c r="E513" s="42">
        <v>45</v>
      </c>
      <c r="F513" s="30">
        <f t="shared" ref="F513" si="120">+D513*E513</f>
        <v>35902.35</v>
      </c>
    </row>
    <row r="514" spans="1:6" ht="39" x14ac:dyDescent="0.2">
      <c r="A514" s="18" t="s">
        <v>647</v>
      </c>
      <c r="B514" s="19" t="s">
        <v>648</v>
      </c>
      <c r="C514" s="19"/>
      <c r="D514" s="20"/>
      <c r="E514" s="20"/>
      <c r="F514" s="21">
        <f>F515+F517+F522+F524+F526+F529</f>
        <v>54639.960000000006</v>
      </c>
    </row>
    <row r="515" spans="1:6" x14ac:dyDescent="0.2">
      <c r="A515" s="22" t="s">
        <v>649</v>
      </c>
      <c r="B515" s="23" t="s">
        <v>621</v>
      </c>
      <c r="C515" s="23"/>
      <c r="D515" s="24"/>
      <c r="E515" s="24"/>
      <c r="F515" s="25">
        <f>F516</f>
        <v>890.2</v>
      </c>
    </row>
    <row r="516" spans="1:6" x14ac:dyDescent="0.2">
      <c r="A516" s="26" t="s">
        <v>650</v>
      </c>
      <c r="B516" s="27" t="s">
        <v>651</v>
      </c>
      <c r="C516" s="27" t="s">
        <v>15</v>
      </c>
      <c r="D516" s="28">
        <v>1</v>
      </c>
      <c r="E516" s="43">
        <v>890.2</v>
      </c>
      <c r="F516" s="30">
        <f t="shared" ref="F516" si="121">+D516*E516</f>
        <v>890.2</v>
      </c>
    </row>
    <row r="517" spans="1:6" x14ac:dyDescent="0.2">
      <c r="A517" s="22" t="s">
        <v>652</v>
      </c>
      <c r="B517" s="23" t="s">
        <v>625</v>
      </c>
      <c r="C517" s="23"/>
      <c r="D517" s="24"/>
      <c r="E517" s="24"/>
      <c r="F517" s="25">
        <f>SUM(F518:F521)</f>
        <v>9804.4499999999989</v>
      </c>
    </row>
    <row r="518" spans="1:6" x14ac:dyDescent="0.2">
      <c r="A518" s="26" t="s">
        <v>653</v>
      </c>
      <c r="B518" s="27" t="s">
        <v>654</v>
      </c>
      <c r="C518" s="27" t="s">
        <v>15</v>
      </c>
      <c r="D518" s="28">
        <v>1</v>
      </c>
      <c r="E518" s="31">
        <v>1387.2</v>
      </c>
      <c r="F518" s="30">
        <f t="shared" ref="F518:F521" si="122">+D518*E518</f>
        <v>1387.2</v>
      </c>
    </row>
    <row r="519" spans="1:6" x14ac:dyDescent="0.2">
      <c r="A519" s="26" t="s">
        <v>655</v>
      </c>
      <c r="B519" s="27" t="s">
        <v>656</v>
      </c>
      <c r="C519" s="27" t="s">
        <v>15</v>
      </c>
      <c r="D519" s="28">
        <v>1</v>
      </c>
      <c r="E519" s="43">
        <v>258.39999999999998</v>
      </c>
      <c r="F519" s="30">
        <f t="shared" si="122"/>
        <v>258.39999999999998</v>
      </c>
    </row>
    <row r="520" spans="1:6" x14ac:dyDescent="0.2">
      <c r="A520" s="26" t="s">
        <v>657</v>
      </c>
      <c r="B520" s="27" t="s">
        <v>658</v>
      </c>
      <c r="C520" s="27" t="s">
        <v>15</v>
      </c>
      <c r="D520" s="28">
        <v>1</v>
      </c>
      <c r="E520" s="31">
        <v>2541.4499999999998</v>
      </c>
      <c r="F520" s="30">
        <f t="shared" si="122"/>
        <v>2541.4499999999998</v>
      </c>
    </row>
    <row r="521" spans="1:6" x14ac:dyDescent="0.2">
      <c r="A521" s="26" t="s">
        <v>659</v>
      </c>
      <c r="B521" s="27" t="s">
        <v>660</v>
      </c>
      <c r="C521" s="27" t="s">
        <v>15</v>
      </c>
      <c r="D521" s="28">
        <v>1</v>
      </c>
      <c r="E521" s="31">
        <v>5617.4</v>
      </c>
      <c r="F521" s="30">
        <f t="shared" si="122"/>
        <v>5617.4</v>
      </c>
    </row>
    <row r="522" spans="1:6" x14ac:dyDescent="0.2">
      <c r="A522" s="22" t="s">
        <v>661</v>
      </c>
      <c r="B522" s="23" t="s">
        <v>632</v>
      </c>
      <c r="C522" s="23"/>
      <c r="D522" s="24"/>
      <c r="E522" s="24"/>
      <c r="F522" s="25">
        <f>F523</f>
        <v>5714.01</v>
      </c>
    </row>
    <row r="523" spans="1:6" x14ac:dyDescent="0.2">
      <c r="A523" s="26" t="s">
        <v>662</v>
      </c>
      <c r="B523" s="27" t="s">
        <v>663</v>
      </c>
      <c r="C523" s="27" t="s">
        <v>15</v>
      </c>
      <c r="D523" s="28">
        <v>1</v>
      </c>
      <c r="E523" s="31">
        <v>5714.01</v>
      </c>
      <c r="F523" s="30">
        <f t="shared" ref="F523" si="123">+D523*E523</f>
        <v>5714.01</v>
      </c>
    </row>
    <row r="524" spans="1:6" x14ac:dyDescent="0.2">
      <c r="A524" s="22" t="s">
        <v>664</v>
      </c>
      <c r="B524" s="23" t="s">
        <v>636</v>
      </c>
      <c r="C524" s="23"/>
      <c r="D524" s="24"/>
      <c r="E524" s="24"/>
      <c r="F524" s="25">
        <f>F525</f>
        <v>297.64999999999998</v>
      </c>
    </row>
    <row r="525" spans="1:6" x14ac:dyDescent="0.2">
      <c r="A525" s="26" t="s">
        <v>665</v>
      </c>
      <c r="B525" s="27" t="s">
        <v>666</v>
      </c>
      <c r="C525" s="27" t="s">
        <v>15</v>
      </c>
      <c r="D525" s="28">
        <v>1</v>
      </c>
      <c r="E525" s="43">
        <v>297.64999999999998</v>
      </c>
      <c r="F525" s="30">
        <f t="shared" ref="F525" si="124">+D525*E525</f>
        <v>297.64999999999998</v>
      </c>
    </row>
    <row r="526" spans="1:6" x14ac:dyDescent="0.2">
      <c r="A526" s="22" t="s">
        <v>667</v>
      </c>
      <c r="B526" s="23" t="s">
        <v>640</v>
      </c>
      <c r="C526" s="23"/>
      <c r="D526" s="24"/>
      <c r="E526" s="24"/>
      <c r="F526" s="25">
        <f>SUM(F527:F528)</f>
        <v>3999.6</v>
      </c>
    </row>
    <row r="527" spans="1:6" x14ac:dyDescent="0.2">
      <c r="A527" s="26" t="s">
        <v>668</v>
      </c>
      <c r="B527" s="27" t="s">
        <v>669</v>
      </c>
      <c r="C527" s="27" t="s">
        <v>15</v>
      </c>
      <c r="D527" s="28">
        <v>1</v>
      </c>
      <c r="E527" s="31">
        <v>2001.1</v>
      </c>
      <c r="F527" s="30">
        <f t="shared" ref="F527:F528" si="125">+D527*E527</f>
        <v>2001.1</v>
      </c>
    </row>
    <row r="528" spans="1:6" x14ac:dyDescent="0.2">
      <c r="A528" s="26" t="s">
        <v>670</v>
      </c>
      <c r="B528" s="27" t="s">
        <v>671</v>
      </c>
      <c r="C528" s="27" t="s">
        <v>15</v>
      </c>
      <c r="D528" s="28">
        <v>1</v>
      </c>
      <c r="E528" s="31">
        <v>1998.5</v>
      </c>
      <c r="F528" s="30">
        <f t="shared" si="125"/>
        <v>1998.5</v>
      </c>
    </row>
    <row r="529" spans="1:6" x14ac:dyDescent="0.2">
      <c r="A529" s="22" t="s">
        <v>672</v>
      </c>
      <c r="B529" s="23" t="s">
        <v>203</v>
      </c>
      <c r="C529" s="23"/>
      <c r="D529" s="24"/>
      <c r="E529" s="24"/>
      <c r="F529" s="25">
        <f>F530</f>
        <v>33934.050000000003</v>
      </c>
    </row>
    <row r="530" spans="1:6" x14ac:dyDescent="0.2">
      <c r="A530" s="26" t="s">
        <v>673</v>
      </c>
      <c r="B530" s="27" t="s">
        <v>646</v>
      </c>
      <c r="C530" s="27" t="s">
        <v>80</v>
      </c>
      <c r="D530" s="43">
        <v>754.09</v>
      </c>
      <c r="E530" s="42">
        <v>45</v>
      </c>
      <c r="F530" s="30">
        <f t="shared" ref="F530" si="126">+D530*E530</f>
        <v>33934.050000000003</v>
      </c>
    </row>
    <row r="531" spans="1:6" ht="39" x14ac:dyDescent="0.2">
      <c r="A531" s="18" t="s">
        <v>674</v>
      </c>
      <c r="B531" s="19" t="s">
        <v>675</v>
      </c>
      <c r="C531" s="19"/>
      <c r="D531" s="20"/>
      <c r="E531" s="20"/>
      <c r="F531" s="21">
        <f>F532+F534+F537+F539+F541+F544</f>
        <v>79989.86</v>
      </c>
    </row>
    <row r="532" spans="1:6" x14ac:dyDescent="0.2">
      <c r="A532" s="22" t="s">
        <v>676</v>
      </c>
      <c r="B532" s="23" t="s">
        <v>621</v>
      </c>
      <c r="C532" s="23"/>
      <c r="D532" s="24"/>
      <c r="E532" s="24"/>
      <c r="F532" s="25">
        <f>F533</f>
        <v>2574.9</v>
      </c>
    </row>
    <row r="533" spans="1:6" x14ac:dyDescent="0.2">
      <c r="A533" s="26" t="s">
        <v>678</v>
      </c>
      <c r="B533" s="27" t="s">
        <v>679</v>
      </c>
      <c r="C533" s="27" t="s">
        <v>15</v>
      </c>
      <c r="D533" s="28">
        <v>1</v>
      </c>
      <c r="E533" s="31">
        <v>2574.9</v>
      </c>
      <c r="F533" s="30">
        <f t="shared" ref="F533" si="127">+D533*E533</f>
        <v>2574.9</v>
      </c>
    </row>
    <row r="534" spans="1:6" x14ac:dyDescent="0.2">
      <c r="A534" s="22" t="s">
        <v>677</v>
      </c>
      <c r="B534" s="23" t="s">
        <v>625</v>
      </c>
      <c r="C534" s="23"/>
      <c r="D534" s="24"/>
      <c r="E534" s="24"/>
      <c r="F534" s="25">
        <f>SUM(F535:F536)</f>
        <v>4983.04</v>
      </c>
    </row>
    <row r="535" spans="1:6" x14ac:dyDescent="0.2">
      <c r="A535" s="26" t="s">
        <v>681</v>
      </c>
      <c r="B535" s="27" t="s">
        <v>682</v>
      </c>
      <c r="C535" s="27" t="s">
        <v>15</v>
      </c>
      <c r="D535" s="28">
        <v>1</v>
      </c>
      <c r="E535" s="31">
        <v>1606.34</v>
      </c>
      <c r="F535" s="30">
        <f t="shared" ref="F535:F536" si="128">+D535*E535</f>
        <v>1606.34</v>
      </c>
    </row>
    <row r="536" spans="1:6" ht="39" x14ac:dyDescent="0.2">
      <c r="A536" s="26" t="s">
        <v>683</v>
      </c>
      <c r="B536" s="27" t="s">
        <v>684</v>
      </c>
      <c r="C536" s="27" t="s">
        <v>15</v>
      </c>
      <c r="D536" s="28">
        <v>1</v>
      </c>
      <c r="E536" s="31">
        <v>3376.7</v>
      </c>
      <c r="F536" s="30">
        <f t="shared" si="128"/>
        <v>3376.7</v>
      </c>
    </row>
    <row r="537" spans="1:6" x14ac:dyDescent="0.2">
      <c r="A537" s="22" t="s">
        <v>680</v>
      </c>
      <c r="B537" s="23" t="s">
        <v>632</v>
      </c>
      <c r="C537" s="23"/>
      <c r="D537" s="24"/>
      <c r="E537" s="24"/>
      <c r="F537" s="25">
        <f>F538</f>
        <v>13355.28</v>
      </c>
    </row>
    <row r="538" spans="1:6" x14ac:dyDescent="0.2">
      <c r="A538" s="26" t="s">
        <v>686</v>
      </c>
      <c r="B538" s="27" t="s">
        <v>687</v>
      </c>
      <c r="C538" s="27" t="s">
        <v>15</v>
      </c>
      <c r="D538" s="28">
        <v>1</v>
      </c>
      <c r="E538" s="29">
        <v>13355.28</v>
      </c>
      <c r="F538" s="30">
        <f t="shared" ref="F538" si="129">+D538*E538</f>
        <v>13355.28</v>
      </c>
    </row>
    <row r="539" spans="1:6" x14ac:dyDescent="0.2">
      <c r="A539" s="22" t="s">
        <v>685</v>
      </c>
      <c r="B539" s="23" t="s">
        <v>636</v>
      </c>
      <c r="C539" s="23"/>
      <c r="D539" s="24"/>
      <c r="E539" s="24"/>
      <c r="F539" s="25">
        <f>F540</f>
        <v>2948.89</v>
      </c>
    </row>
    <row r="540" spans="1:6" x14ac:dyDescent="0.2">
      <c r="A540" s="26" t="s">
        <v>689</v>
      </c>
      <c r="B540" s="27" t="s">
        <v>690</v>
      </c>
      <c r="C540" s="27" t="s">
        <v>15</v>
      </c>
      <c r="D540" s="28">
        <v>1</v>
      </c>
      <c r="E540" s="31">
        <v>2948.89</v>
      </c>
      <c r="F540" s="30">
        <f t="shared" ref="F540" si="130">+D540*E540</f>
        <v>2948.89</v>
      </c>
    </row>
    <row r="541" spans="1:6" x14ac:dyDescent="0.2">
      <c r="A541" s="22" t="s">
        <v>688</v>
      </c>
      <c r="B541" s="23" t="s">
        <v>640</v>
      </c>
      <c r="C541" s="23"/>
      <c r="D541" s="24"/>
      <c r="E541" s="24"/>
      <c r="F541" s="25">
        <f>SUM(F542:F543)</f>
        <v>4295.3999999999996</v>
      </c>
    </row>
    <row r="542" spans="1:6" x14ac:dyDescent="0.2">
      <c r="A542" s="26" t="s">
        <v>692</v>
      </c>
      <c r="B542" s="27" t="s">
        <v>693</v>
      </c>
      <c r="C542" s="27" t="s">
        <v>15</v>
      </c>
      <c r="D542" s="28">
        <v>1</v>
      </c>
      <c r="E542" s="43">
        <v>491.4</v>
      </c>
      <c r="F542" s="30">
        <f t="shared" ref="F542:F543" si="131">+D542*E542</f>
        <v>491.4</v>
      </c>
    </row>
    <row r="543" spans="1:6" ht="39" x14ac:dyDescent="0.2">
      <c r="A543" s="26" t="s">
        <v>694</v>
      </c>
      <c r="B543" s="27" t="s">
        <v>695</v>
      </c>
      <c r="C543" s="27" t="s">
        <v>15</v>
      </c>
      <c r="D543" s="28">
        <v>1</v>
      </c>
      <c r="E543" s="31">
        <v>3804</v>
      </c>
      <c r="F543" s="30">
        <f t="shared" si="131"/>
        <v>3804</v>
      </c>
    </row>
    <row r="544" spans="1:6" x14ac:dyDescent="0.2">
      <c r="A544" s="22" t="s">
        <v>691</v>
      </c>
      <c r="B544" s="23" t="s">
        <v>203</v>
      </c>
      <c r="C544" s="23"/>
      <c r="D544" s="24"/>
      <c r="E544" s="24"/>
      <c r="F544" s="25">
        <f>F545</f>
        <v>51832.35</v>
      </c>
    </row>
    <row r="545" spans="1:6" x14ac:dyDescent="0.2">
      <c r="A545" s="26" t="s">
        <v>696</v>
      </c>
      <c r="B545" s="27" t="s">
        <v>646</v>
      </c>
      <c r="C545" s="27" t="s">
        <v>80</v>
      </c>
      <c r="D545" s="31">
        <v>1151.83</v>
      </c>
      <c r="E545" s="42">
        <v>45</v>
      </c>
      <c r="F545" s="30">
        <f t="shared" ref="F545" si="132">+D545*E545</f>
        <v>51832.35</v>
      </c>
    </row>
    <row r="546" spans="1:6" ht="39" x14ac:dyDescent="0.2">
      <c r="A546" s="18" t="s">
        <v>697</v>
      </c>
      <c r="B546" s="19" t="s">
        <v>698</v>
      </c>
      <c r="C546" s="19"/>
      <c r="D546" s="20"/>
      <c r="E546" s="20"/>
      <c r="F546" s="21">
        <f>F547+F549+F553+F555+F557+F560</f>
        <v>49851.709999999992</v>
      </c>
    </row>
    <row r="547" spans="1:6" x14ac:dyDescent="0.2">
      <c r="A547" s="22" t="s">
        <v>699</v>
      </c>
      <c r="B547" s="23" t="s">
        <v>621</v>
      </c>
      <c r="C547" s="23"/>
      <c r="D547" s="24"/>
      <c r="E547" s="24"/>
      <c r="F547" s="25">
        <f>F548</f>
        <v>2057.9</v>
      </c>
    </row>
    <row r="548" spans="1:6" x14ac:dyDescent="0.2">
      <c r="A548" s="26" t="s">
        <v>700</v>
      </c>
      <c r="B548" s="27" t="s">
        <v>701</v>
      </c>
      <c r="C548" s="27" t="s">
        <v>15</v>
      </c>
      <c r="D548" s="28">
        <v>1</v>
      </c>
      <c r="E548" s="31">
        <v>2057.9</v>
      </c>
      <c r="F548" s="30">
        <f t="shared" ref="F548" si="133">+D548*E548</f>
        <v>2057.9</v>
      </c>
    </row>
    <row r="549" spans="1:6" x14ac:dyDescent="0.2">
      <c r="A549" s="22" t="s">
        <v>702</v>
      </c>
      <c r="B549" s="23" t="s">
        <v>625</v>
      </c>
      <c r="C549" s="23"/>
      <c r="D549" s="24"/>
      <c r="E549" s="24"/>
      <c r="F549" s="25">
        <f>SUM(F550:F552)</f>
        <v>5004.2999999999993</v>
      </c>
    </row>
    <row r="550" spans="1:6" x14ac:dyDescent="0.2">
      <c r="A550" s="26" t="s">
        <v>703</v>
      </c>
      <c r="B550" s="27" t="s">
        <v>704</v>
      </c>
      <c r="C550" s="27" t="s">
        <v>15</v>
      </c>
      <c r="D550" s="28">
        <v>1</v>
      </c>
      <c r="E550" s="31">
        <v>2479.83</v>
      </c>
      <c r="F550" s="30">
        <f t="shared" ref="F550:F552" si="134">+D550*E550</f>
        <v>2479.83</v>
      </c>
    </row>
    <row r="551" spans="1:6" x14ac:dyDescent="0.2">
      <c r="A551" s="26" t="s">
        <v>705</v>
      </c>
      <c r="B551" s="27" t="s">
        <v>706</v>
      </c>
      <c r="C551" s="27" t="s">
        <v>15</v>
      </c>
      <c r="D551" s="28">
        <v>1</v>
      </c>
      <c r="E551" s="31">
        <v>1155.07</v>
      </c>
      <c r="F551" s="30">
        <f t="shared" si="134"/>
        <v>1155.07</v>
      </c>
    </row>
    <row r="552" spans="1:6" ht="39" x14ac:dyDescent="0.2">
      <c r="A552" s="26" t="s">
        <v>707</v>
      </c>
      <c r="B552" s="27" t="s">
        <v>708</v>
      </c>
      <c r="C552" s="27" t="s">
        <v>15</v>
      </c>
      <c r="D552" s="28">
        <v>1</v>
      </c>
      <c r="E552" s="31">
        <v>1369.4</v>
      </c>
      <c r="F552" s="30">
        <f t="shared" si="134"/>
        <v>1369.4</v>
      </c>
    </row>
    <row r="553" spans="1:6" x14ac:dyDescent="0.2">
      <c r="A553" s="22" t="s">
        <v>709</v>
      </c>
      <c r="B553" s="23" t="s">
        <v>632</v>
      </c>
      <c r="C553" s="23"/>
      <c r="D553" s="24"/>
      <c r="E553" s="24"/>
      <c r="F553" s="25">
        <f>F554</f>
        <v>3119.31</v>
      </c>
    </row>
    <row r="554" spans="1:6" x14ac:dyDescent="0.2">
      <c r="A554" s="26" t="s">
        <v>710</v>
      </c>
      <c r="B554" s="27" t="s">
        <v>711</v>
      </c>
      <c r="C554" s="27" t="s">
        <v>15</v>
      </c>
      <c r="D554" s="28">
        <v>1</v>
      </c>
      <c r="E554" s="31">
        <v>3119.31</v>
      </c>
      <c r="F554" s="30">
        <f t="shared" ref="F554" si="135">+D554*E554</f>
        <v>3119.31</v>
      </c>
    </row>
    <row r="555" spans="1:6" x14ac:dyDescent="0.2">
      <c r="A555" s="22" t="s">
        <v>712</v>
      </c>
      <c r="B555" s="23" t="s">
        <v>636</v>
      </c>
      <c r="C555" s="23"/>
      <c r="D555" s="24"/>
      <c r="E555" s="24"/>
      <c r="F555" s="25">
        <f>F556</f>
        <v>206.55</v>
      </c>
    </row>
    <row r="556" spans="1:6" x14ac:dyDescent="0.2">
      <c r="A556" s="26" t="s">
        <v>713</v>
      </c>
      <c r="B556" s="27" t="s">
        <v>714</v>
      </c>
      <c r="C556" s="27" t="s">
        <v>15</v>
      </c>
      <c r="D556" s="28">
        <v>1</v>
      </c>
      <c r="E556" s="43">
        <v>206.55</v>
      </c>
      <c r="F556" s="30">
        <f t="shared" ref="F556" si="136">+D556*E556</f>
        <v>206.55</v>
      </c>
    </row>
    <row r="557" spans="1:6" x14ac:dyDescent="0.2">
      <c r="A557" s="22" t="s">
        <v>715</v>
      </c>
      <c r="B557" s="23" t="s">
        <v>640</v>
      </c>
      <c r="C557" s="23"/>
      <c r="D557" s="24"/>
      <c r="E557" s="24"/>
      <c r="F557" s="25">
        <f>SUM(F558:F559)</f>
        <v>5155.2</v>
      </c>
    </row>
    <row r="558" spans="1:6" x14ac:dyDescent="0.2">
      <c r="A558" s="26" t="s">
        <v>716</v>
      </c>
      <c r="B558" s="27" t="s">
        <v>717</v>
      </c>
      <c r="C558" s="27" t="s">
        <v>15</v>
      </c>
      <c r="D558" s="28">
        <v>1</v>
      </c>
      <c r="E558" s="31">
        <v>3112.2</v>
      </c>
      <c r="F558" s="30">
        <f t="shared" ref="F558:F559" si="137">+D558*E558</f>
        <v>3112.2</v>
      </c>
    </row>
    <row r="559" spans="1:6" ht="39" x14ac:dyDescent="0.2">
      <c r="A559" s="26" t="s">
        <v>718</v>
      </c>
      <c r="B559" s="27" t="s">
        <v>719</v>
      </c>
      <c r="C559" s="27" t="s">
        <v>15</v>
      </c>
      <c r="D559" s="28">
        <v>1</v>
      </c>
      <c r="E559" s="31">
        <v>2043</v>
      </c>
      <c r="F559" s="30">
        <f t="shared" si="137"/>
        <v>2043</v>
      </c>
    </row>
    <row r="560" spans="1:6" x14ac:dyDescent="0.2">
      <c r="A560" s="22" t="s">
        <v>720</v>
      </c>
      <c r="B560" s="23" t="s">
        <v>203</v>
      </c>
      <c r="C560" s="23"/>
      <c r="D560" s="24"/>
      <c r="E560" s="24"/>
      <c r="F560" s="25">
        <f>F561</f>
        <v>34308.449999999997</v>
      </c>
    </row>
    <row r="561" spans="1:6" x14ac:dyDescent="0.2">
      <c r="A561" s="26" t="s">
        <v>721</v>
      </c>
      <c r="B561" s="27" t="s">
        <v>646</v>
      </c>
      <c r="C561" s="27" t="s">
        <v>80</v>
      </c>
      <c r="D561" s="43">
        <v>762.41</v>
      </c>
      <c r="E561" s="42">
        <v>45</v>
      </c>
      <c r="F561" s="30">
        <f t="shared" ref="F561" si="138">+D561*E561</f>
        <v>34308.449999999997</v>
      </c>
    </row>
    <row r="562" spans="1:6" x14ac:dyDescent="0.2">
      <c r="A562" s="18" t="s">
        <v>722</v>
      </c>
      <c r="B562" s="19" t="s">
        <v>723</v>
      </c>
      <c r="C562" s="19"/>
      <c r="D562" s="20"/>
      <c r="E562" s="20"/>
      <c r="F562" s="21">
        <f>F563+F565+F569+F571+F573+F576</f>
        <v>56384.678</v>
      </c>
    </row>
    <row r="563" spans="1:6" x14ac:dyDescent="0.2">
      <c r="A563" s="22" t="s">
        <v>724</v>
      </c>
      <c r="B563" s="23" t="s">
        <v>621</v>
      </c>
      <c r="C563" s="23"/>
      <c r="D563" s="24"/>
      <c r="E563" s="24"/>
      <c r="F563" s="25">
        <f>F564</f>
        <v>3880.05</v>
      </c>
    </row>
    <row r="564" spans="1:6" x14ac:dyDescent="0.2">
      <c r="A564" s="26" t="s">
        <v>725</v>
      </c>
      <c r="B564" s="27" t="s">
        <v>726</v>
      </c>
      <c r="C564" s="27" t="s">
        <v>15</v>
      </c>
      <c r="D564" s="28">
        <v>1</v>
      </c>
      <c r="E564" s="31">
        <v>3880.05</v>
      </c>
      <c r="F564" s="30">
        <f t="shared" ref="F564" si="139">+D564*E564</f>
        <v>3880.05</v>
      </c>
    </row>
    <row r="565" spans="1:6" x14ac:dyDescent="0.2">
      <c r="A565" s="22" t="s">
        <v>727</v>
      </c>
      <c r="B565" s="23" t="s">
        <v>625</v>
      </c>
      <c r="C565" s="23"/>
      <c r="D565" s="24"/>
      <c r="E565" s="24"/>
      <c r="F565" s="25">
        <f>SUM(F566:F568)</f>
        <v>3759.35</v>
      </c>
    </row>
    <row r="566" spans="1:6" x14ac:dyDescent="0.2">
      <c r="A566" s="26" t="s">
        <v>728</v>
      </c>
      <c r="B566" s="27" t="s">
        <v>729</v>
      </c>
      <c r="C566" s="27" t="s">
        <v>15</v>
      </c>
      <c r="D566" s="28">
        <v>1</v>
      </c>
      <c r="E566" s="42">
        <v>64.599999999999994</v>
      </c>
      <c r="F566" s="30">
        <f t="shared" ref="F566:F568" si="140">+D566*E566</f>
        <v>64.599999999999994</v>
      </c>
    </row>
    <row r="567" spans="1:6" x14ac:dyDescent="0.2">
      <c r="A567" s="26" t="s">
        <v>730</v>
      </c>
      <c r="B567" s="27" t="s">
        <v>731</v>
      </c>
      <c r="C567" s="27" t="s">
        <v>15</v>
      </c>
      <c r="D567" s="28">
        <v>1</v>
      </c>
      <c r="E567" s="31">
        <v>1281.75</v>
      </c>
      <c r="F567" s="30">
        <f t="shared" si="140"/>
        <v>1281.75</v>
      </c>
    </row>
    <row r="568" spans="1:6" ht="39" x14ac:dyDescent="0.2">
      <c r="A568" s="26" t="s">
        <v>732</v>
      </c>
      <c r="B568" s="27" t="s">
        <v>733</v>
      </c>
      <c r="C568" s="27" t="s">
        <v>15</v>
      </c>
      <c r="D568" s="28">
        <v>1</v>
      </c>
      <c r="E568" s="31">
        <v>2413</v>
      </c>
      <c r="F568" s="30">
        <f t="shared" si="140"/>
        <v>2413</v>
      </c>
    </row>
    <row r="569" spans="1:6" x14ac:dyDescent="0.2">
      <c r="A569" s="22" t="s">
        <v>734</v>
      </c>
      <c r="B569" s="23" t="s">
        <v>632</v>
      </c>
      <c r="C569" s="23"/>
      <c r="D569" s="24"/>
      <c r="E569" s="24"/>
      <c r="F569" s="25">
        <f>F570</f>
        <v>11154.348</v>
      </c>
    </row>
    <row r="570" spans="1:6" x14ac:dyDescent="0.2">
      <c r="A570" s="26" t="s">
        <v>735</v>
      </c>
      <c r="B570" s="27" t="s">
        <v>736</v>
      </c>
      <c r="C570" s="27" t="s">
        <v>15</v>
      </c>
      <c r="D570" s="28">
        <v>1</v>
      </c>
      <c r="E570" s="29">
        <v>11154.348</v>
      </c>
      <c r="F570" s="30">
        <f t="shared" ref="F570" si="141">+D570*E570</f>
        <v>11154.348</v>
      </c>
    </row>
    <row r="571" spans="1:6" x14ac:dyDescent="0.2">
      <c r="A571" s="22" t="s">
        <v>737</v>
      </c>
      <c r="B571" s="23" t="s">
        <v>636</v>
      </c>
      <c r="C571" s="23"/>
      <c r="D571" s="24"/>
      <c r="E571" s="24"/>
      <c r="F571" s="25">
        <f>F572</f>
        <v>1085.3800000000001</v>
      </c>
    </row>
    <row r="572" spans="1:6" x14ac:dyDescent="0.2">
      <c r="A572" s="26" t="s">
        <v>738</v>
      </c>
      <c r="B572" s="27" t="s">
        <v>739</v>
      </c>
      <c r="C572" s="27" t="s">
        <v>15</v>
      </c>
      <c r="D572" s="28">
        <v>1</v>
      </c>
      <c r="E572" s="31">
        <v>1085.3800000000001</v>
      </c>
      <c r="F572" s="30">
        <f t="shared" ref="F572" si="142">+D572*E572</f>
        <v>1085.3800000000001</v>
      </c>
    </row>
    <row r="573" spans="1:6" x14ac:dyDescent="0.2">
      <c r="A573" s="22" t="s">
        <v>740</v>
      </c>
      <c r="B573" s="23" t="s">
        <v>640</v>
      </c>
      <c r="C573" s="23"/>
      <c r="D573" s="24"/>
      <c r="E573" s="24"/>
      <c r="F573" s="25">
        <f>SUM(F574:F575)</f>
        <v>2094.5</v>
      </c>
    </row>
    <row r="574" spans="1:6" x14ac:dyDescent="0.2">
      <c r="A574" s="26" t="s">
        <v>741</v>
      </c>
      <c r="B574" s="27" t="s">
        <v>742</v>
      </c>
      <c r="C574" s="27" t="s">
        <v>15</v>
      </c>
      <c r="D574" s="28">
        <v>1</v>
      </c>
      <c r="E574" s="43">
        <v>308.5</v>
      </c>
      <c r="F574" s="30">
        <f t="shared" ref="F574:F575" si="143">+D574*E574</f>
        <v>308.5</v>
      </c>
    </row>
    <row r="575" spans="1:6" ht="39" x14ac:dyDescent="0.2">
      <c r="A575" s="26" t="s">
        <v>743</v>
      </c>
      <c r="B575" s="27" t="s">
        <v>744</v>
      </c>
      <c r="C575" s="27" t="s">
        <v>15</v>
      </c>
      <c r="D575" s="28">
        <v>1</v>
      </c>
      <c r="E575" s="31">
        <v>1786</v>
      </c>
      <c r="F575" s="30">
        <f t="shared" si="143"/>
        <v>1786</v>
      </c>
    </row>
    <row r="576" spans="1:6" x14ac:dyDescent="0.2">
      <c r="A576" s="22" t="s">
        <v>745</v>
      </c>
      <c r="B576" s="23" t="s">
        <v>203</v>
      </c>
      <c r="C576" s="23"/>
      <c r="D576" s="24"/>
      <c r="E576" s="24"/>
      <c r="F576" s="25">
        <f>F577</f>
        <v>34411.050000000003</v>
      </c>
    </row>
    <row r="577" spans="1:6" x14ac:dyDescent="0.2">
      <c r="A577" s="26" t="s">
        <v>746</v>
      </c>
      <c r="B577" s="27" t="s">
        <v>646</v>
      </c>
      <c r="C577" s="27" t="s">
        <v>80</v>
      </c>
      <c r="D577" s="43">
        <v>764.69</v>
      </c>
      <c r="E577" s="42">
        <v>45</v>
      </c>
      <c r="F577" s="30">
        <f t="shared" ref="F577" si="144">+D577*E577</f>
        <v>34411.050000000003</v>
      </c>
    </row>
    <row r="578" spans="1:6" ht="39" x14ac:dyDescent="0.2">
      <c r="A578" s="18" t="s">
        <v>747</v>
      </c>
      <c r="B578" s="19" t="s">
        <v>748</v>
      </c>
      <c r="C578" s="19"/>
      <c r="D578" s="20"/>
      <c r="E578" s="20"/>
      <c r="F578" s="21">
        <f>F579+F581+F584+F586+F588+F591</f>
        <v>461384.098</v>
      </c>
    </row>
    <row r="579" spans="1:6" x14ac:dyDescent="0.2">
      <c r="A579" s="22" t="s">
        <v>749</v>
      </c>
      <c r="B579" s="23" t="s">
        <v>621</v>
      </c>
      <c r="C579" s="23"/>
      <c r="D579" s="24"/>
      <c r="E579" s="24"/>
      <c r="F579" s="25">
        <f>F580</f>
        <v>29258.799999999999</v>
      </c>
    </row>
    <row r="580" spans="1:6" x14ac:dyDescent="0.2">
      <c r="A580" s="26" t="s">
        <v>750</v>
      </c>
      <c r="B580" s="27" t="s">
        <v>751</v>
      </c>
      <c r="C580" s="27" t="s">
        <v>15</v>
      </c>
      <c r="D580" s="28">
        <v>1</v>
      </c>
      <c r="E580" s="29">
        <v>29258.799999999999</v>
      </c>
      <c r="F580" s="30">
        <f t="shared" ref="F580" si="145">+D580*E580</f>
        <v>29258.799999999999</v>
      </c>
    </row>
    <row r="581" spans="1:6" x14ac:dyDescent="0.2">
      <c r="A581" s="22" t="s">
        <v>752</v>
      </c>
      <c r="B581" s="23" t="s">
        <v>625</v>
      </c>
      <c r="C581" s="23"/>
      <c r="D581" s="24"/>
      <c r="E581" s="24"/>
      <c r="F581" s="25">
        <f>SUM(F582:F583)</f>
        <v>50795.199999999997</v>
      </c>
    </row>
    <row r="582" spans="1:6" x14ac:dyDescent="0.2">
      <c r="A582" s="26" t="s">
        <v>753</v>
      </c>
      <c r="B582" s="27" t="s">
        <v>754</v>
      </c>
      <c r="C582" s="27" t="s">
        <v>15</v>
      </c>
      <c r="D582" s="28">
        <v>1</v>
      </c>
      <c r="E582" s="29">
        <v>14977.2</v>
      </c>
      <c r="F582" s="30">
        <f t="shared" ref="F582:F583" si="146">+D582*E582</f>
        <v>14977.2</v>
      </c>
    </row>
    <row r="583" spans="1:6" x14ac:dyDescent="0.2">
      <c r="A583" s="26" t="s">
        <v>755</v>
      </c>
      <c r="B583" s="27" t="s">
        <v>756</v>
      </c>
      <c r="C583" s="27" t="s">
        <v>15</v>
      </c>
      <c r="D583" s="28">
        <v>1</v>
      </c>
      <c r="E583" s="29">
        <v>35818</v>
      </c>
      <c r="F583" s="30">
        <f t="shared" si="146"/>
        <v>35818</v>
      </c>
    </row>
    <row r="584" spans="1:6" x14ac:dyDescent="0.2">
      <c r="A584" s="22" t="s">
        <v>757</v>
      </c>
      <c r="B584" s="23" t="s">
        <v>632</v>
      </c>
      <c r="C584" s="23"/>
      <c r="D584" s="24"/>
      <c r="E584" s="24"/>
      <c r="F584" s="25">
        <f>F585</f>
        <v>159202.098</v>
      </c>
    </row>
    <row r="585" spans="1:6" x14ac:dyDescent="0.2">
      <c r="A585" s="26" t="s">
        <v>758</v>
      </c>
      <c r="B585" s="27" t="s">
        <v>759</v>
      </c>
      <c r="C585" s="27" t="s">
        <v>15</v>
      </c>
      <c r="D585" s="28">
        <v>1</v>
      </c>
      <c r="E585" s="32">
        <v>159202.098</v>
      </c>
      <c r="F585" s="30">
        <f t="shared" ref="F585" si="147">+D585*E585</f>
        <v>159202.098</v>
      </c>
    </row>
    <row r="586" spans="1:6" x14ac:dyDescent="0.2">
      <c r="A586" s="22" t="s">
        <v>760</v>
      </c>
      <c r="B586" s="23" t="s">
        <v>636</v>
      </c>
      <c r="C586" s="23"/>
      <c r="D586" s="24"/>
      <c r="E586" s="24"/>
      <c r="F586" s="25">
        <f>F587</f>
        <v>22190</v>
      </c>
    </row>
    <row r="587" spans="1:6" x14ac:dyDescent="0.2">
      <c r="A587" s="26" t="s">
        <v>761</v>
      </c>
      <c r="B587" s="27" t="s">
        <v>762</v>
      </c>
      <c r="C587" s="27" t="s">
        <v>15</v>
      </c>
      <c r="D587" s="28">
        <v>1</v>
      </c>
      <c r="E587" s="29">
        <v>22190</v>
      </c>
      <c r="F587" s="30">
        <f t="shared" ref="F587" si="148">+D587*E587</f>
        <v>22190</v>
      </c>
    </row>
    <row r="588" spans="1:6" x14ac:dyDescent="0.2">
      <c r="A588" s="22" t="s">
        <v>763</v>
      </c>
      <c r="B588" s="23" t="s">
        <v>640</v>
      </c>
      <c r="C588" s="23"/>
      <c r="D588" s="24"/>
      <c r="E588" s="24"/>
      <c r="F588" s="25">
        <f>SUM(F589:F590)</f>
        <v>23664</v>
      </c>
    </row>
    <row r="589" spans="1:6" x14ac:dyDescent="0.2">
      <c r="A589" s="26" t="s">
        <v>764</v>
      </c>
      <c r="B589" s="27" t="s">
        <v>765</v>
      </c>
      <c r="C589" s="27" t="s">
        <v>15</v>
      </c>
      <c r="D589" s="28">
        <v>1</v>
      </c>
      <c r="E589" s="31">
        <v>2184</v>
      </c>
      <c r="F589" s="30">
        <f t="shared" ref="F589:F590" si="149">+D589*E589</f>
        <v>2184</v>
      </c>
    </row>
    <row r="590" spans="1:6" ht="39" x14ac:dyDescent="0.2">
      <c r="A590" s="26" t="s">
        <v>766</v>
      </c>
      <c r="B590" s="27" t="s">
        <v>767</v>
      </c>
      <c r="C590" s="27" t="s">
        <v>15</v>
      </c>
      <c r="D590" s="28">
        <v>1</v>
      </c>
      <c r="E590" s="29">
        <v>21480</v>
      </c>
      <c r="F590" s="30">
        <f t="shared" si="149"/>
        <v>21480</v>
      </c>
    </row>
    <row r="591" spans="1:6" x14ac:dyDescent="0.2">
      <c r="A591" s="22" t="s">
        <v>768</v>
      </c>
      <c r="B591" s="23" t="s">
        <v>203</v>
      </c>
      <c r="C591" s="23"/>
      <c r="D591" s="24"/>
      <c r="E591" s="24"/>
      <c r="F591" s="25">
        <f>F592</f>
        <v>176274</v>
      </c>
    </row>
    <row r="592" spans="1:6" x14ac:dyDescent="0.2">
      <c r="A592" s="26" t="s">
        <v>769</v>
      </c>
      <c r="B592" s="27" t="s">
        <v>646</v>
      </c>
      <c r="C592" s="27" t="s">
        <v>80</v>
      </c>
      <c r="D592" s="31">
        <v>3917.2</v>
      </c>
      <c r="E592" s="42">
        <v>45</v>
      </c>
      <c r="F592" s="30">
        <f t="shared" ref="F592" si="150">+D592*E592</f>
        <v>176274</v>
      </c>
    </row>
    <row r="593" spans="1:6" ht="39" x14ac:dyDescent="0.2">
      <c r="A593" s="18" t="s">
        <v>770</v>
      </c>
      <c r="B593" s="19" t="s">
        <v>771</v>
      </c>
      <c r="C593" s="19"/>
      <c r="D593" s="20"/>
      <c r="E593" s="20"/>
      <c r="F593" s="21">
        <f>F594+F596+F600+F602+F604+F607</f>
        <v>52048.78</v>
      </c>
    </row>
    <row r="594" spans="1:6" x14ac:dyDescent="0.2">
      <c r="A594" s="22" t="s">
        <v>772</v>
      </c>
      <c r="B594" s="23" t="s">
        <v>621</v>
      </c>
      <c r="C594" s="23"/>
      <c r="D594" s="24"/>
      <c r="E594" s="24"/>
      <c r="F594" s="25">
        <f>F595</f>
        <v>2665.65</v>
      </c>
    </row>
    <row r="595" spans="1:6" x14ac:dyDescent="0.2">
      <c r="A595" s="26" t="s">
        <v>773</v>
      </c>
      <c r="B595" s="27" t="s">
        <v>774</v>
      </c>
      <c r="C595" s="27" t="s">
        <v>15</v>
      </c>
      <c r="D595" s="28">
        <v>1</v>
      </c>
      <c r="E595" s="31">
        <v>2665.65</v>
      </c>
      <c r="F595" s="30">
        <f t="shared" ref="F595" si="151">+D595*E595</f>
        <v>2665.65</v>
      </c>
    </row>
    <row r="596" spans="1:6" x14ac:dyDescent="0.2">
      <c r="A596" s="22" t="s">
        <v>775</v>
      </c>
      <c r="B596" s="23" t="s">
        <v>625</v>
      </c>
      <c r="C596" s="23"/>
      <c r="D596" s="24"/>
      <c r="E596" s="24"/>
      <c r="F596" s="25">
        <f>SUM(F597:F599)</f>
        <v>4590.3500000000004</v>
      </c>
    </row>
    <row r="597" spans="1:6" x14ac:dyDescent="0.2">
      <c r="A597" s="26" t="s">
        <v>776</v>
      </c>
      <c r="B597" s="27" t="s">
        <v>777</v>
      </c>
      <c r="C597" s="27" t="s">
        <v>15</v>
      </c>
      <c r="D597" s="28">
        <v>1</v>
      </c>
      <c r="E597" s="42">
        <v>48.45</v>
      </c>
      <c r="F597" s="30">
        <f t="shared" ref="F597:F599" si="152">+D597*E597</f>
        <v>48.45</v>
      </c>
    </row>
    <row r="598" spans="1:6" x14ac:dyDescent="0.2">
      <c r="A598" s="26" t="s">
        <v>778</v>
      </c>
      <c r="B598" s="27" t="s">
        <v>779</v>
      </c>
      <c r="C598" s="27" t="s">
        <v>15</v>
      </c>
      <c r="D598" s="28">
        <v>1</v>
      </c>
      <c r="E598" s="31">
        <v>2044.2</v>
      </c>
      <c r="F598" s="30">
        <f t="shared" si="152"/>
        <v>2044.2</v>
      </c>
    </row>
    <row r="599" spans="1:6" x14ac:dyDescent="0.2">
      <c r="A599" s="26" t="s">
        <v>780</v>
      </c>
      <c r="B599" s="27" t="s">
        <v>781</v>
      </c>
      <c r="C599" s="27" t="s">
        <v>15</v>
      </c>
      <c r="D599" s="28">
        <v>1</v>
      </c>
      <c r="E599" s="31">
        <v>2497.6999999999998</v>
      </c>
      <c r="F599" s="30">
        <f t="shared" si="152"/>
        <v>2497.6999999999998</v>
      </c>
    </row>
    <row r="600" spans="1:6" x14ac:dyDescent="0.2">
      <c r="A600" s="22" t="s">
        <v>782</v>
      </c>
      <c r="B600" s="23" t="s">
        <v>632</v>
      </c>
      <c r="C600" s="23"/>
      <c r="D600" s="24"/>
      <c r="E600" s="24"/>
      <c r="F600" s="25">
        <f>F601</f>
        <v>13436.82</v>
      </c>
    </row>
    <row r="601" spans="1:6" x14ac:dyDescent="0.2">
      <c r="A601" s="26" t="s">
        <v>783</v>
      </c>
      <c r="B601" s="27" t="s">
        <v>784</v>
      </c>
      <c r="C601" s="27" t="s">
        <v>15</v>
      </c>
      <c r="D601" s="28">
        <v>1</v>
      </c>
      <c r="E601" s="29">
        <v>13436.82</v>
      </c>
      <c r="F601" s="30">
        <f t="shared" ref="F601" si="153">+D601*E601</f>
        <v>13436.82</v>
      </c>
    </row>
    <row r="602" spans="1:6" x14ac:dyDescent="0.2">
      <c r="A602" s="22" t="s">
        <v>785</v>
      </c>
      <c r="B602" s="23" t="s">
        <v>636</v>
      </c>
      <c r="C602" s="23"/>
      <c r="D602" s="24"/>
      <c r="E602" s="24"/>
      <c r="F602" s="25">
        <f>F603</f>
        <v>1424.41</v>
      </c>
    </row>
    <row r="603" spans="1:6" ht="39" x14ac:dyDescent="0.2">
      <c r="A603" s="26" t="s">
        <v>786</v>
      </c>
      <c r="B603" s="27" t="s">
        <v>787</v>
      </c>
      <c r="C603" s="27" t="s">
        <v>15</v>
      </c>
      <c r="D603" s="28">
        <v>1</v>
      </c>
      <c r="E603" s="31">
        <v>1424.41</v>
      </c>
      <c r="F603" s="30">
        <f t="shared" ref="F603" si="154">+D603*E603</f>
        <v>1424.41</v>
      </c>
    </row>
    <row r="604" spans="1:6" x14ac:dyDescent="0.2">
      <c r="A604" s="22" t="s">
        <v>788</v>
      </c>
      <c r="B604" s="23" t="s">
        <v>640</v>
      </c>
      <c r="C604" s="23"/>
      <c r="D604" s="24"/>
      <c r="E604" s="24"/>
      <c r="F604" s="25">
        <f>SUM(F605:F606)</f>
        <v>3106.6</v>
      </c>
    </row>
    <row r="605" spans="1:6" x14ac:dyDescent="0.2">
      <c r="A605" s="26" t="s">
        <v>789</v>
      </c>
      <c r="B605" s="27" t="s">
        <v>790</v>
      </c>
      <c r="C605" s="27" t="s">
        <v>15</v>
      </c>
      <c r="D605" s="28">
        <v>1</v>
      </c>
      <c r="E605" s="31">
        <v>2779</v>
      </c>
      <c r="F605" s="30">
        <f t="shared" ref="F605:F606" si="155">+D605*E605</f>
        <v>2779</v>
      </c>
    </row>
    <row r="606" spans="1:6" x14ac:dyDescent="0.2">
      <c r="A606" s="26" t="s">
        <v>791</v>
      </c>
      <c r="B606" s="27" t="s">
        <v>792</v>
      </c>
      <c r="C606" s="27" t="s">
        <v>15</v>
      </c>
      <c r="D606" s="28">
        <v>1</v>
      </c>
      <c r="E606" s="43">
        <v>327.60000000000002</v>
      </c>
      <c r="F606" s="30">
        <f t="shared" si="155"/>
        <v>327.60000000000002</v>
      </c>
    </row>
    <row r="607" spans="1:6" x14ac:dyDescent="0.2">
      <c r="A607" s="22" t="s">
        <v>793</v>
      </c>
      <c r="B607" s="23" t="s">
        <v>203</v>
      </c>
      <c r="C607" s="23"/>
      <c r="D607" s="24"/>
      <c r="E607" s="24"/>
      <c r="F607" s="25">
        <f>F608</f>
        <v>26824.95</v>
      </c>
    </row>
    <row r="608" spans="1:6" x14ac:dyDescent="0.2">
      <c r="A608" s="26" t="s">
        <v>794</v>
      </c>
      <c r="B608" s="27" t="s">
        <v>646</v>
      </c>
      <c r="C608" s="27" t="s">
        <v>80</v>
      </c>
      <c r="D608" s="43">
        <v>596.11</v>
      </c>
      <c r="E608" s="42">
        <v>45</v>
      </c>
      <c r="F608" s="30">
        <f t="shared" ref="F608" si="156">+D608*E608</f>
        <v>26824.95</v>
      </c>
    </row>
    <row r="609" spans="1:6" x14ac:dyDescent="0.2">
      <c r="A609" s="14" t="s">
        <v>795</v>
      </c>
      <c r="B609" s="15" t="s">
        <v>796</v>
      </c>
      <c r="C609" s="15"/>
      <c r="D609" s="16"/>
      <c r="E609" s="16"/>
      <c r="F609" s="17">
        <f>F610+F623+F638+F655+F672+F687+F702+F736+F719</f>
        <v>785829.35169999988</v>
      </c>
    </row>
    <row r="610" spans="1:6" ht="39" x14ac:dyDescent="0.2">
      <c r="A610" s="18" t="s">
        <v>797</v>
      </c>
      <c r="B610" s="19" t="s">
        <v>798</v>
      </c>
      <c r="C610" s="19"/>
      <c r="D610" s="20"/>
      <c r="E610" s="20"/>
      <c r="F610" s="21">
        <f>F611+F613+F615+F617+F621+F619</f>
        <v>52907.035399999993</v>
      </c>
    </row>
    <row r="611" spans="1:6" x14ac:dyDescent="0.2">
      <c r="A611" s="22" t="s">
        <v>799</v>
      </c>
      <c r="B611" s="23" t="s">
        <v>800</v>
      </c>
      <c r="C611" s="23"/>
      <c r="D611" s="24"/>
      <c r="E611" s="24"/>
      <c r="F611" s="25">
        <f>F612</f>
        <v>17128.6001</v>
      </c>
    </row>
    <row r="612" spans="1:6" x14ac:dyDescent="0.2">
      <c r="A612" s="26" t="s">
        <v>801</v>
      </c>
      <c r="B612" s="27" t="s">
        <v>802</v>
      </c>
      <c r="C612" s="27" t="s">
        <v>15</v>
      </c>
      <c r="D612" s="28">
        <v>1</v>
      </c>
      <c r="E612" s="29">
        <v>17128.6001</v>
      </c>
      <c r="F612" s="30">
        <f t="shared" ref="F612" si="157">+D612*E612</f>
        <v>17128.6001</v>
      </c>
    </row>
    <row r="613" spans="1:6" x14ac:dyDescent="0.2">
      <c r="A613" s="22" t="s">
        <v>803</v>
      </c>
      <c r="B613" s="23" t="s">
        <v>804</v>
      </c>
      <c r="C613" s="23"/>
      <c r="D613" s="24"/>
      <c r="E613" s="24"/>
      <c r="F613" s="25">
        <f>F614</f>
        <v>110.1203</v>
      </c>
    </row>
    <row r="614" spans="1:6" x14ac:dyDescent="0.2">
      <c r="A614" s="26" t="s">
        <v>805</v>
      </c>
      <c r="B614" s="27" t="s">
        <v>806</v>
      </c>
      <c r="C614" s="27" t="s">
        <v>15</v>
      </c>
      <c r="D614" s="28">
        <v>1</v>
      </c>
      <c r="E614" s="43">
        <v>110.1203</v>
      </c>
      <c r="F614" s="30">
        <f t="shared" ref="F614" si="158">+D614*E614</f>
        <v>110.1203</v>
      </c>
    </row>
    <row r="615" spans="1:6" x14ac:dyDescent="0.2">
      <c r="A615" s="22" t="s">
        <v>807</v>
      </c>
      <c r="B615" s="23" t="s">
        <v>808</v>
      </c>
      <c r="C615" s="23"/>
      <c r="D615" s="24"/>
      <c r="E615" s="24"/>
      <c r="F615" s="25">
        <f>F616</f>
        <v>24.167200000000001</v>
      </c>
    </row>
    <row r="616" spans="1:6" x14ac:dyDescent="0.2">
      <c r="A616" s="26" t="s">
        <v>809</v>
      </c>
      <c r="B616" s="27" t="s">
        <v>810</v>
      </c>
      <c r="C616" s="27" t="s">
        <v>15</v>
      </c>
      <c r="D616" s="28">
        <v>1</v>
      </c>
      <c r="E616" s="42">
        <v>24.167200000000001</v>
      </c>
      <c r="F616" s="30">
        <f t="shared" ref="F616" si="159">+D616*E616</f>
        <v>24.167200000000001</v>
      </c>
    </row>
    <row r="617" spans="1:6" x14ac:dyDescent="0.2">
      <c r="A617" s="22" t="s">
        <v>811</v>
      </c>
      <c r="B617" s="23" t="s">
        <v>812</v>
      </c>
      <c r="C617" s="23"/>
      <c r="D617" s="24"/>
      <c r="E617" s="24"/>
      <c r="F617" s="25">
        <f>F618</f>
        <v>3642.6626000000001</v>
      </c>
    </row>
    <row r="618" spans="1:6" x14ac:dyDescent="0.2">
      <c r="A618" s="26" t="s">
        <v>813</v>
      </c>
      <c r="B618" s="27" t="s">
        <v>814</v>
      </c>
      <c r="C618" s="27" t="s">
        <v>15</v>
      </c>
      <c r="D618" s="28">
        <v>1</v>
      </c>
      <c r="E618" s="31">
        <v>3642.6626000000001</v>
      </c>
      <c r="F618" s="30">
        <f t="shared" ref="F618" si="160">+D618*E618</f>
        <v>3642.6626000000001</v>
      </c>
    </row>
    <row r="619" spans="1:6" x14ac:dyDescent="0.2">
      <c r="A619" s="22" t="s">
        <v>815</v>
      </c>
      <c r="B619" s="23" t="s">
        <v>816</v>
      </c>
      <c r="C619" s="23"/>
      <c r="D619" s="24"/>
      <c r="E619" s="24"/>
      <c r="F619" s="25">
        <f>F620</f>
        <v>88.285200000000003</v>
      </c>
    </row>
    <row r="620" spans="1:6" x14ac:dyDescent="0.2">
      <c r="A620" s="26" t="s">
        <v>817</v>
      </c>
      <c r="B620" s="27" t="s">
        <v>818</v>
      </c>
      <c r="C620" s="27" t="s">
        <v>15</v>
      </c>
      <c r="D620" s="28">
        <v>1</v>
      </c>
      <c r="E620" s="42">
        <v>88.285200000000003</v>
      </c>
      <c r="F620" s="30">
        <f t="shared" ref="F620" si="161">+D620*E620</f>
        <v>88.285200000000003</v>
      </c>
    </row>
    <row r="621" spans="1:6" x14ac:dyDescent="0.2">
      <c r="A621" s="22" t="s">
        <v>819</v>
      </c>
      <c r="B621" s="23" t="s">
        <v>203</v>
      </c>
      <c r="C621" s="23"/>
      <c r="D621" s="24"/>
      <c r="E621" s="24"/>
      <c r="F621" s="25">
        <f>F622</f>
        <v>31913.200000000001</v>
      </c>
    </row>
    <row r="622" spans="1:6" x14ac:dyDescent="0.2">
      <c r="A622" s="26" t="s">
        <v>820</v>
      </c>
      <c r="B622" s="27" t="s">
        <v>821</v>
      </c>
      <c r="C622" s="27" t="s">
        <v>80</v>
      </c>
      <c r="D622" s="43">
        <v>797.83</v>
      </c>
      <c r="E622" s="42">
        <v>40</v>
      </c>
      <c r="F622" s="30">
        <f t="shared" ref="F622" si="162">+D622*E622</f>
        <v>31913.200000000001</v>
      </c>
    </row>
    <row r="623" spans="1:6" ht="39" x14ac:dyDescent="0.2">
      <c r="A623" s="18" t="s">
        <v>822</v>
      </c>
      <c r="B623" s="19" t="s">
        <v>823</v>
      </c>
      <c r="C623" s="19"/>
      <c r="D623" s="20"/>
      <c r="E623" s="20"/>
      <c r="F623" s="21">
        <f>F624+F626+F628+F630+F632+F634+F636</f>
        <v>31827.055</v>
      </c>
    </row>
    <row r="624" spans="1:6" x14ac:dyDescent="0.2">
      <c r="A624" s="22" t="s">
        <v>824</v>
      </c>
      <c r="B624" s="23" t="s">
        <v>800</v>
      </c>
      <c r="C624" s="23"/>
      <c r="D624" s="24"/>
      <c r="E624" s="24"/>
      <c r="F624" s="25">
        <f>F625</f>
        <v>155.26730000000001</v>
      </c>
    </row>
    <row r="625" spans="1:6" x14ac:dyDescent="0.2">
      <c r="A625" s="26" t="s">
        <v>825</v>
      </c>
      <c r="B625" s="27" t="s">
        <v>826</v>
      </c>
      <c r="C625" s="27" t="s">
        <v>15</v>
      </c>
      <c r="D625" s="28">
        <v>1</v>
      </c>
      <c r="E625" s="43">
        <v>155.26730000000001</v>
      </c>
      <c r="F625" s="30">
        <f t="shared" ref="F625" si="163">+D625*E625</f>
        <v>155.26730000000001</v>
      </c>
    </row>
    <row r="626" spans="1:6" x14ac:dyDescent="0.2">
      <c r="A626" s="22" t="s">
        <v>827</v>
      </c>
      <c r="B626" s="23" t="s">
        <v>804</v>
      </c>
      <c r="C626" s="23"/>
      <c r="D626" s="24"/>
      <c r="E626" s="24"/>
      <c r="F626" s="25">
        <f>F627</f>
        <v>301.25009999999997</v>
      </c>
    </row>
    <row r="627" spans="1:6" x14ac:dyDescent="0.2">
      <c r="A627" s="26" t="s">
        <v>828</v>
      </c>
      <c r="B627" s="27" t="s">
        <v>829</v>
      </c>
      <c r="C627" s="27" t="s">
        <v>15</v>
      </c>
      <c r="D627" s="28">
        <v>1</v>
      </c>
      <c r="E627" s="43">
        <v>301.25009999999997</v>
      </c>
      <c r="F627" s="30">
        <f t="shared" ref="F627" si="164">+D627*E627</f>
        <v>301.25009999999997</v>
      </c>
    </row>
    <row r="628" spans="1:6" x14ac:dyDescent="0.2">
      <c r="A628" s="22" t="s">
        <v>830</v>
      </c>
      <c r="B628" s="23" t="s">
        <v>808</v>
      </c>
      <c r="C628" s="23"/>
      <c r="D628" s="24"/>
      <c r="E628" s="24"/>
      <c r="F628" s="25">
        <f>F629</f>
        <v>243.9871</v>
      </c>
    </row>
    <row r="629" spans="1:6" x14ac:dyDescent="0.2">
      <c r="A629" s="26" t="s">
        <v>831</v>
      </c>
      <c r="B629" s="27" t="s">
        <v>832</v>
      </c>
      <c r="C629" s="27" t="s">
        <v>15</v>
      </c>
      <c r="D629" s="28">
        <v>1</v>
      </c>
      <c r="E629" s="43">
        <v>243.9871</v>
      </c>
      <c r="F629" s="30">
        <f t="shared" ref="F629" si="165">+D629*E629</f>
        <v>243.9871</v>
      </c>
    </row>
    <row r="630" spans="1:6" x14ac:dyDescent="0.2">
      <c r="A630" s="22" t="s">
        <v>833</v>
      </c>
      <c r="B630" s="23" t="s">
        <v>812</v>
      </c>
      <c r="C630" s="23"/>
      <c r="D630" s="24"/>
      <c r="E630" s="24"/>
      <c r="F630" s="25">
        <f>F631</f>
        <v>737.60799999999995</v>
      </c>
    </row>
    <row r="631" spans="1:6" x14ac:dyDescent="0.2">
      <c r="A631" s="26" t="s">
        <v>834</v>
      </c>
      <c r="B631" s="27" t="s">
        <v>835</v>
      </c>
      <c r="C631" s="27" t="s">
        <v>15</v>
      </c>
      <c r="D631" s="28">
        <v>1</v>
      </c>
      <c r="E631" s="43">
        <v>737.60799999999995</v>
      </c>
      <c r="F631" s="30">
        <f t="shared" ref="F631" si="166">+D631*E631</f>
        <v>737.60799999999995</v>
      </c>
    </row>
    <row r="632" spans="1:6" x14ac:dyDescent="0.2">
      <c r="A632" s="22" t="s">
        <v>836</v>
      </c>
      <c r="B632" s="23" t="s">
        <v>816</v>
      </c>
      <c r="C632" s="23"/>
      <c r="D632" s="24"/>
      <c r="E632" s="24"/>
      <c r="F632" s="25">
        <f>F633</f>
        <v>184.85339999999999</v>
      </c>
    </row>
    <row r="633" spans="1:6" x14ac:dyDescent="0.2">
      <c r="A633" s="26" t="s">
        <v>837</v>
      </c>
      <c r="B633" s="27" t="s">
        <v>838</v>
      </c>
      <c r="C633" s="27" t="s">
        <v>15</v>
      </c>
      <c r="D633" s="28">
        <v>1</v>
      </c>
      <c r="E633" s="43">
        <v>184.85339999999999</v>
      </c>
      <c r="F633" s="30">
        <f t="shared" ref="F633" si="167">+D633*E633</f>
        <v>184.85339999999999</v>
      </c>
    </row>
    <row r="634" spans="1:6" x14ac:dyDescent="0.2">
      <c r="A634" s="22" t="s">
        <v>839</v>
      </c>
      <c r="B634" s="23" t="s">
        <v>840</v>
      </c>
      <c r="C634" s="23"/>
      <c r="D634" s="24"/>
      <c r="E634" s="24"/>
      <c r="F634" s="25">
        <f>F635</f>
        <v>40.489100000000001</v>
      </c>
    </row>
    <row r="635" spans="1:6" x14ac:dyDescent="0.2">
      <c r="A635" s="26" t="s">
        <v>841</v>
      </c>
      <c r="B635" s="27" t="s">
        <v>842</v>
      </c>
      <c r="C635" s="27" t="s">
        <v>15</v>
      </c>
      <c r="D635" s="28">
        <v>1</v>
      </c>
      <c r="E635" s="42">
        <v>40.489100000000001</v>
      </c>
      <c r="F635" s="30">
        <f t="shared" ref="F635" si="168">+D635*E635</f>
        <v>40.489100000000001</v>
      </c>
    </row>
    <row r="636" spans="1:6" x14ac:dyDescent="0.2">
      <c r="A636" s="22" t="s">
        <v>843</v>
      </c>
      <c r="B636" s="23" t="s">
        <v>203</v>
      </c>
      <c r="C636" s="23"/>
      <c r="D636" s="24"/>
      <c r="E636" s="24"/>
      <c r="F636" s="25">
        <f>F637</f>
        <v>30163.600000000002</v>
      </c>
    </row>
    <row r="637" spans="1:6" x14ac:dyDescent="0.2">
      <c r="A637" s="26" t="s">
        <v>844</v>
      </c>
      <c r="B637" s="27" t="s">
        <v>821</v>
      </c>
      <c r="C637" s="27" t="s">
        <v>80</v>
      </c>
      <c r="D637" s="43">
        <v>754.09</v>
      </c>
      <c r="E637" s="42">
        <v>40</v>
      </c>
      <c r="F637" s="30">
        <f t="shared" ref="F637" si="169">+D637*E637</f>
        <v>30163.600000000002</v>
      </c>
    </row>
    <row r="638" spans="1:6" ht="39" x14ac:dyDescent="0.2">
      <c r="A638" s="18" t="s">
        <v>845</v>
      </c>
      <c r="B638" s="19" t="s">
        <v>846</v>
      </c>
      <c r="C638" s="19"/>
      <c r="D638" s="20"/>
      <c r="E638" s="20"/>
      <c r="F638" s="21">
        <f>F639+F641+F643+F645+F647+F649+F651+F653</f>
        <v>50305.337100000004</v>
      </c>
    </row>
    <row r="639" spans="1:6" x14ac:dyDescent="0.2">
      <c r="A639" s="22" t="s">
        <v>847</v>
      </c>
      <c r="B639" s="23" t="s">
        <v>800</v>
      </c>
      <c r="C639" s="23"/>
      <c r="D639" s="24"/>
      <c r="E639" s="24"/>
      <c r="F639" s="25">
        <f>F640</f>
        <v>149.78200000000001</v>
      </c>
    </row>
    <row r="640" spans="1:6" x14ac:dyDescent="0.2">
      <c r="A640" s="26" t="s">
        <v>848</v>
      </c>
      <c r="B640" s="27" t="s">
        <v>849</v>
      </c>
      <c r="C640" s="27" t="s">
        <v>15</v>
      </c>
      <c r="D640" s="28">
        <v>1</v>
      </c>
      <c r="E640" s="43">
        <v>149.78200000000001</v>
      </c>
      <c r="F640" s="30">
        <f t="shared" ref="F640" si="170">+D640*E640</f>
        <v>149.78200000000001</v>
      </c>
    </row>
    <row r="641" spans="1:6" x14ac:dyDescent="0.2">
      <c r="A641" s="22" t="s">
        <v>850</v>
      </c>
      <c r="B641" s="23" t="s">
        <v>804</v>
      </c>
      <c r="C641" s="23"/>
      <c r="D641" s="24"/>
      <c r="E641" s="24"/>
      <c r="F641" s="25">
        <f>F642</f>
        <v>4212.5312000000004</v>
      </c>
    </row>
    <row r="642" spans="1:6" x14ac:dyDescent="0.2">
      <c r="A642" s="26" t="s">
        <v>851</v>
      </c>
      <c r="B642" s="27" t="s">
        <v>852</v>
      </c>
      <c r="C642" s="27" t="s">
        <v>15</v>
      </c>
      <c r="D642" s="28">
        <v>1</v>
      </c>
      <c r="E642" s="31">
        <v>4212.5312000000004</v>
      </c>
      <c r="F642" s="30">
        <f t="shared" ref="F642" si="171">+D642*E642</f>
        <v>4212.5312000000004</v>
      </c>
    </row>
    <row r="643" spans="1:6" x14ac:dyDescent="0.2">
      <c r="A643" s="22" t="s">
        <v>853</v>
      </c>
      <c r="B643" s="23" t="s">
        <v>808</v>
      </c>
      <c r="C643" s="23"/>
      <c r="D643" s="24"/>
      <c r="E643" s="24"/>
      <c r="F643" s="25">
        <f>F644</f>
        <v>16.469799999999999</v>
      </c>
    </row>
    <row r="644" spans="1:6" x14ac:dyDescent="0.2">
      <c r="A644" s="26" t="s">
        <v>854</v>
      </c>
      <c r="B644" s="27" t="s">
        <v>855</v>
      </c>
      <c r="C644" s="27" t="s">
        <v>15</v>
      </c>
      <c r="D644" s="28">
        <v>1</v>
      </c>
      <c r="E644" s="42">
        <v>16.469799999999999</v>
      </c>
      <c r="F644" s="30">
        <f t="shared" ref="F644" si="172">+D644*E644</f>
        <v>16.469799999999999</v>
      </c>
    </row>
    <row r="645" spans="1:6" x14ac:dyDescent="0.2">
      <c r="A645" s="22" t="s">
        <v>856</v>
      </c>
      <c r="B645" s="23" t="s">
        <v>812</v>
      </c>
      <c r="C645" s="23"/>
      <c r="D645" s="24"/>
      <c r="E645" s="24"/>
      <c r="F645" s="25">
        <f>F646</f>
        <v>2503.6334999999999</v>
      </c>
    </row>
    <row r="646" spans="1:6" x14ac:dyDescent="0.2">
      <c r="A646" s="26" t="s">
        <v>857</v>
      </c>
      <c r="B646" s="27" t="s">
        <v>858</v>
      </c>
      <c r="C646" s="27" t="s">
        <v>15</v>
      </c>
      <c r="D646" s="28">
        <v>1</v>
      </c>
      <c r="E646" s="31">
        <v>2503.6334999999999</v>
      </c>
      <c r="F646" s="30">
        <f t="shared" ref="F646" si="173">+D646*E646</f>
        <v>2503.6334999999999</v>
      </c>
    </row>
    <row r="647" spans="1:6" x14ac:dyDescent="0.2">
      <c r="A647" s="22" t="s">
        <v>859</v>
      </c>
      <c r="B647" s="23" t="s">
        <v>816</v>
      </c>
      <c r="C647" s="23"/>
      <c r="D647" s="24"/>
      <c r="E647" s="24"/>
      <c r="F647" s="25">
        <f>F648</f>
        <v>10833.754800000001</v>
      </c>
    </row>
    <row r="648" spans="1:6" x14ac:dyDescent="0.2">
      <c r="A648" s="26" t="s">
        <v>860</v>
      </c>
      <c r="B648" s="27" t="s">
        <v>861</v>
      </c>
      <c r="C648" s="27" t="s">
        <v>15</v>
      </c>
      <c r="D648" s="28">
        <v>1</v>
      </c>
      <c r="E648" s="29">
        <v>10833.754800000001</v>
      </c>
      <c r="F648" s="30">
        <f t="shared" ref="F648" si="174">+D648*E648</f>
        <v>10833.754800000001</v>
      </c>
    </row>
    <row r="649" spans="1:6" x14ac:dyDescent="0.2">
      <c r="A649" s="22" t="s">
        <v>862</v>
      </c>
      <c r="B649" s="23" t="s">
        <v>840</v>
      </c>
      <c r="C649" s="23"/>
      <c r="D649" s="24"/>
      <c r="E649" s="24"/>
      <c r="F649" s="25">
        <f>F650</f>
        <v>1130.7876000000001</v>
      </c>
    </row>
    <row r="650" spans="1:6" x14ac:dyDescent="0.2">
      <c r="A650" s="26" t="s">
        <v>863</v>
      </c>
      <c r="B650" s="27" t="s">
        <v>864</v>
      </c>
      <c r="C650" s="27" t="s">
        <v>15</v>
      </c>
      <c r="D650" s="28">
        <v>1</v>
      </c>
      <c r="E650" s="31">
        <v>1130.7876000000001</v>
      </c>
      <c r="F650" s="30">
        <f t="shared" ref="F650" si="175">+D650*E650</f>
        <v>1130.7876000000001</v>
      </c>
    </row>
    <row r="651" spans="1:6" x14ac:dyDescent="0.2">
      <c r="A651" s="22" t="s">
        <v>865</v>
      </c>
      <c r="B651" s="23" t="s">
        <v>866</v>
      </c>
      <c r="C651" s="23"/>
      <c r="D651" s="24"/>
      <c r="E651" s="24"/>
      <c r="F651" s="25">
        <f>F652</f>
        <v>13.578200000000001</v>
      </c>
    </row>
    <row r="652" spans="1:6" x14ac:dyDescent="0.2">
      <c r="A652" s="26" t="s">
        <v>867</v>
      </c>
      <c r="B652" s="27" t="s">
        <v>868</v>
      </c>
      <c r="C652" s="27" t="s">
        <v>15</v>
      </c>
      <c r="D652" s="28">
        <v>1</v>
      </c>
      <c r="E652" s="42">
        <v>13.578200000000001</v>
      </c>
      <c r="F652" s="30">
        <f t="shared" ref="F652" si="176">+D652*E652</f>
        <v>13.578200000000001</v>
      </c>
    </row>
    <row r="653" spans="1:6" x14ac:dyDescent="0.2">
      <c r="A653" s="22" t="s">
        <v>869</v>
      </c>
      <c r="B653" s="23" t="s">
        <v>203</v>
      </c>
      <c r="C653" s="23"/>
      <c r="D653" s="24"/>
      <c r="E653" s="24"/>
      <c r="F653" s="25">
        <f>F654</f>
        <v>31444.799999999999</v>
      </c>
    </row>
    <row r="654" spans="1:6" x14ac:dyDescent="0.2">
      <c r="A654" s="26" t="s">
        <v>870</v>
      </c>
      <c r="B654" s="27" t="s">
        <v>821</v>
      </c>
      <c r="C654" s="27" t="s">
        <v>80</v>
      </c>
      <c r="D654" s="43">
        <v>786.12</v>
      </c>
      <c r="E654" s="42">
        <v>40</v>
      </c>
      <c r="F654" s="30">
        <f t="shared" ref="F654" si="177">+D654*E654</f>
        <v>31444.799999999999</v>
      </c>
    </row>
    <row r="655" spans="1:6" ht="39" x14ac:dyDescent="0.2">
      <c r="A655" s="18" t="s">
        <v>871</v>
      </c>
      <c r="B655" s="19" t="s">
        <v>872</v>
      </c>
      <c r="C655" s="19"/>
      <c r="D655" s="20"/>
      <c r="E655" s="20"/>
      <c r="F655" s="21">
        <f>F656+F658+F660+F662+F664+F666+F668+F670</f>
        <v>18554.182099999998</v>
      </c>
    </row>
    <row r="656" spans="1:6" x14ac:dyDescent="0.2">
      <c r="A656" s="22" t="s">
        <v>873</v>
      </c>
      <c r="B656" s="23" t="s">
        <v>800</v>
      </c>
      <c r="C656" s="23"/>
      <c r="D656" s="24"/>
      <c r="E656" s="24"/>
      <c r="F656" s="25">
        <f>F657</f>
        <v>141.18379999999999</v>
      </c>
    </row>
    <row r="657" spans="1:6" x14ac:dyDescent="0.2">
      <c r="A657" s="26" t="s">
        <v>874</v>
      </c>
      <c r="B657" s="27" t="s">
        <v>875</v>
      </c>
      <c r="C657" s="27" t="s">
        <v>15</v>
      </c>
      <c r="D657" s="28">
        <v>1</v>
      </c>
      <c r="E657" s="43">
        <v>141.18379999999999</v>
      </c>
      <c r="F657" s="30">
        <f t="shared" ref="F657" si="178">+D657*E657</f>
        <v>141.18379999999999</v>
      </c>
    </row>
    <row r="658" spans="1:6" x14ac:dyDescent="0.2">
      <c r="A658" s="22" t="s">
        <v>876</v>
      </c>
      <c r="B658" s="23" t="s">
        <v>804</v>
      </c>
      <c r="C658" s="23"/>
      <c r="D658" s="24"/>
      <c r="E658" s="24"/>
      <c r="F658" s="25">
        <f>F659</f>
        <v>1654.2221999999999</v>
      </c>
    </row>
    <row r="659" spans="1:6" x14ac:dyDescent="0.2">
      <c r="A659" s="26" t="s">
        <v>877</v>
      </c>
      <c r="B659" s="27" t="s">
        <v>878</v>
      </c>
      <c r="C659" s="27" t="s">
        <v>15</v>
      </c>
      <c r="D659" s="28">
        <v>1</v>
      </c>
      <c r="E659" s="31">
        <v>1654.2221999999999</v>
      </c>
      <c r="F659" s="30">
        <f t="shared" ref="F659" si="179">+D659*E659</f>
        <v>1654.2221999999999</v>
      </c>
    </row>
    <row r="660" spans="1:6" x14ac:dyDescent="0.2">
      <c r="A660" s="22" t="s">
        <v>879</v>
      </c>
      <c r="B660" s="23" t="s">
        <v>808</v>
      </c>
      <c r="C660" s="23"/>
      <c r="D660" s="24"/>
      <c r="E660" s="24"/>
      <c r="F660" s="25">
        <f>F661</f>
        <v>14.8506</v>
      </c>
    </row>
    <row r="661" spans="1:6" x14ac:dyDescent="0.2">
      <c r="A661" s="26" t="s">
        <v>880</v>
      </c>
      <c r="B661" s="27" t="s">
        <v>808</v>
      </c>
      <c r="C661" s="27" t="s">
        <v>15</v>
      </c>
      <c r="D661" s="28">
        <v>1</v>
      </c>
      <c r="E661" s="42">
        <v>14.8506</v>
      </c>
      <c r="F661" s="30">
        <f t="shared" ref="F661" si="180">+D661*E661</f>
        <v>14.8506</v>
      </c>
    </row>
    <row r="662" spans="1:6" x14ac:dyDescent="0.2">
      <c r="A662" s="22" t="s">
        <v>881</v>
      </c>
      <c r="B662" s="23" t="s">
        <v>812</v>
      </c>
      <c r="C662" s="23"/>
      <c r="D662" s="24"/>
      <c r="E662" s="24"/>
      <c r="F662" s="25">
        <f>F663</f>
        <v>276.5428</v>
      </c>
    </row>
    <row r="663" spans="1:6" x14ac:dyDescent="0.2">
      <c r="A663" s="26" t="s">
        <v>882</v>
      </c>
      <c r="B663" s="27" t="s">
        <v>883</v>
      </c>
      <c r="C663" s="27" t="s">
        <v>15</v>
      </c>
      <c r="D663" s="28">
        <v>1</v>
      </c>
      <c r="E663" s="43">
        <v>276.5428</v>
      </c>
      <c r="F663" s="30">
        <f t="shared" ref="F663" si="181">+D663*E663</f>
        <v>276.5428</v>
      </c>
    </row>
    <row r="664" spans="1:6" x14ac:dyDescent="0.2">
      <c r="A664" s="22" t="s">
        <v>884</v>
      </c>
      <c r="B664" s="23" t="s">
        <v>816</v>
      </c>
      <c r="C664" s="23"/>
      <c r="D664" s="24"/>
      <c r="E664" s="24"/>
      <c r="F664" s="25">
        <f>F665</f>
        <v>1547.9074000000001</v>
      </c>
    </row>
    <row r="665" spans="1:6" x14ac:dyDescent="0.2">
      <c r="A665" s="26" t="s">
        <v>885</v>
      </c>
      <c r="B665" s="27" t="s">
        <v>886</v>
      </c>
      <c r="C665" s="27" t="s">
        <v>15</v>
      </c>
      <c r="D665" s="28">
        <v>1</v>
      </c>
      <c r="E665" s="31">
        <v>1547.9074000000001</v>
      </c>
      <c r="F665" s="30">
        <f t="shared" ref="F665" si="182">+D665*E665</f>
        <v>1547.9074000000001</v>
      </c>
    </row>
    <row r="666" spans="1:6" x14ac:dyDescent="0.2">
      <c r="A666" s="22" t="s">
        <v>887</v>
      </c>
      <c r="B666" s="23" t="s">
        <v>840</v>
      </c>
      <c r="C666" s="23"/>
      <c r="D666" s="24"/>
      <c r="E666" s="24"/>
      <c r="F666" s="25">
        <f>F667</f>
        <v>189.77459999999999</v>
      </c>
    </row>
    <row r="667" spans="1:6" x14ac:dyDescent="0.2">
      <c r="A667" s="26" t="s">
        <v>888</v>
      </c>
      <c r="B667" s="27" t="s">
        <v>889</v>
      </c>
      <c r="C667" s="27" t="s">
        <v>15</v>
      </c>
      <c r="D667" s="28">
        <v>1</v>
      </c>
      <c r="E667" s="43">
        <v>189.77459999999999</v>
      </c>
      <c r="F667" s="30">
        <f t="shared" ref="F667" si="183">+D667*E667</f>
        <v>189.77459999999999</v>
      </c>
    </row>
    <row r="668" spans="1:6" x14ac:dyDescent="0.2">
      <c r="A668" s="22" t="s">
        <v>890</v>
      </c>
      <c r="B668" s="23" t="s">
        <v>866</v>
      </c>
      <c r="C668" s="23"/>
      <c r="D668" s="24"/>
      <c r="E668" s="24"/>
      <c r="F668" s="25">
        <f>F669</f>
        <v>101.30070000000001</v>
      </c>
    </row>
    <row r="669" spans="1:6" x14ac:dyDescent="0.2">
      <c r="A669" s="26" t="s">
        <v>891</v>
      </c>
      <c r="B669" s="27" t="s">
        <v>892</v>
      </c>
      <c r="C669" s="27" t="s">
        <v>15</v>
      </c>
      <c r="D669" s="28">
        <v>1</v>
      </c>
      <c r="E669" s="43">
        <v>101.30070000000001</v>
      </c>
      <c r="F669" s="30">
        <f t="shared" ref="F669" si="184">+D669*E669</f>
        <v>101.30070000000001</v>
      </c>
    </row>
    <row r="670" spans="1:6" x14ac:dyDescent="0.2">
      <c r="A670" s="22" t="s">
        <v>893</v>
      </c>
      <c r="B670" s="23" t="s">
        <v>203</v>
      </c>
      <c r="C670" s="23"/>
      <c r="D670" s="24"/>
      <c r="E670" s="24"/>
      <c r="F670" s="25">
        <f>F671</f>
        <v>14628.4</v>
      </c>
    </row>
    <row r="671" spans="1:6" x14ac:dyDescent="0.2">
      <c r="A671" s="26" t="s">
        <v>894</v>
      </c>
      <c r="B671" s="27" t="s">
        <v>821</v>
      </c>
      <c r="C671" s="27" t="s">
        <v>80</v>
      </c>
      <c r="D671" s="43">
        <v>365.71</v>
      </c>
      <c r="E671" s="42">
        <v>40</v>
      </c>
      <c r="F671" s="30">
        <f t="shared" ref="F671" si="185">+D671*E671</f>
        <v>14628.4</v>
      </c>
    </row>
    <row r="672" spans="1:6" ht="39" x14ac:dyDescent="0.2">
      <c r="A672" s="18" t="s">
        <v>895</v>
      </c>
      <c r="B672" s="19" t="s">
        <v>896</v>
      </c>
      <c r="C672" s="19"/>
      <c r="D672" s="20"/>
      <c r="E672" s="20"/>
      <c r="F672" s="21">
        <f>F673+F675+F677+F679+F681+F683+F685</f>
        <v>35354.267500000002</v>
      </c>
    </row>
    <row r="673" spans="1:6" x14ac:dyDescent="0.2">
      <c r="A673" s="22" t="s">
        <v>897</v>
      </c>
      <c r="B673" s="23" t="s">
        <v>800</v>
      </c>
      <c r="C673" s="23"/>
      <c r="D673" s="24"/>
      <c r="E673" s="24"/>
      <c r="F673" s="25">
        <f>F674</f>
        <v>149.78200000000001</v>
      </c>
    </row>
    <row r="674" spans="1:6" x14ac:dyDescent="0.2">
      <c r="A674" s="26" t="s">
        <v>898</v>
      </c>
      <c r="B674" s="27" t="s">
        <v>899</v>
      </c>
      <c r="C674" s="27" t="s">
        <v>15</v>
      </c>
      <c r="D674" s="28">
        <v>1</v>
      </c>
      <c r="E674" s="43">
        <v>149.78200000000001</v>
      </c>
      <c r="F674" s="30">
        <f t="shared" ref="F674" si="186">+D674*E674</f>
        <v>149.78200000000001</v>
      </c>
    </row>
    <row r="675" spans="1:6" x14ac:dyDescent="0.2">
      <c r="A675" s="22" t="s">
        <v>900</v>
      </c>
      <c r="B675" s="23" t="s">
        <v>804</v>
      </c>
      <c r="C675" s="23"/>
      <c r="D675" s="24"/>
      <c r="E675" s="24"/>
      <c r="F675" s="25">
        <f>F676</f>
        <v>203.6841</v>
      </c>
    </row>
    <row r="676" spans="1:6" x14ac:dyDescent="0.2">
      <c r="A676" s="26" t="s">
        <v>901</v>
      </c>
      <c r="B676" s="27" t="s">
        <v>902</v>
      </c>
      <c r="C676" s="27" t="s">
        <v>15</v>
      </c>
      <c r="D676" s="28">
        <v>1</v>
      </c>
      <c r="E676" s="43">
        <v>203.6841</v>
      </c>
      <c r="F676" s="30">
        <f t="shared" ref="F676" si="187">+D676*E676</f>
        <v>203.6841</v>
      </c>
    </row>
    <row r="677" spans="1:6" x14ac:dyDescent="0.2">
      <c r="A677" s="22" t="s">
        <v>903</v>
      </c>
      <c r="B677" s="23" t="s">
        <v>808</v>
      </c>
      <c r="C677" s="23"/>
      <c r="D677" s="24"/>
      <c r="E677" s="24"/>
      <c r="F677" s="25">
        <f>F678</f>
        <v>2470.9133000000002</v>
      </c>
    </row>
    <row r="678" spans="1:6" x14ac:dyDescent="0.2">
      <c r="A678" s="26" t="s">
        <v>904</v>
      </c>
      <c r="B678" s="27" t="s">
        <v>905</v>
      </c>
      <c r="C678" s="27" t="s">
        <v>15</v>
      </c>
      <c r="D678" s="28">
        <v>1</v>
      </c>
      <c r="E678" s="31">
        <v>2470.9133000000002</v>
      </c>
      <c r="F678" s="30">
        <f t="shared" ref="F678" si="188">+D678*E678</f>
        <v>2470.9133000000002</v>
      </c>
    </row>
    <row r="679" spans="1:6" x14ac:dyDescent="0.2">
      <c r="A679" s="22" t="s">
        <v>906</v>
      </c>
      <c r="B679" s="23" t="s">
        <v>812</v>
      </c>
      <c r="C679" s="23"/>
      <c r="D679" s="24"/>
      <c r="E679" s="24"/>
      <c r="F679" s="25">
        <f>F680</f>
        <v>93.671499999999995</v>
      </c>
    </row>
    <row r="680" spans="1:6" x14ac:dyDescent="0.2">
      <c r="A680" s="26" t="s">
        <v>907</v>
      </c>
      <c r="B680" s="27" t="s">
        <v>908</v>
      </c>
      <c r="C680" s="27" t="s">
        <v>15</v>
      </c>
      <c r="D680" s="28">
        <v>1</v>
      </c>
      <c r="E680" s="42">
        <v>93.671499999999995</v>
      </c>
      <c r="F680" s="30">
        <f t="shared" ref="F680" si="189">+D680*E680</f>
        <v>93.671499999999995</v>
      </c>
    </row>
    <row r="681" spans="1:6" x14ac:dyDescent="0.2">
      <c r="A681" s="22" t="s">
        <v>909</v>
      </c>
      <c r="B681" s="23" t="s">
        <v>816</v>
      </c>
      <c r="C681" s="23"/>
      <c r="D681" s="24"/>
      <c r="E681" s="24"/>
      <c r="F681" s="25">
        <f>F682</f>
        <v>1856.6367</v>
      </c>
    </row>
    <row r="682" spans="1:6" x14ac:dyDescent="0.2">
      <c r="A682" s="26" t="s">
        <v>910</v>
      </c>
      <c r="B682" s="27" t="s">
        <v>911</v>
      </c>
      <c r="C682" s="27" t="s">
        <v>15</v>
      </c>
      <c r="D682" s="28">
        <v>1</v>
      </c>
      <c r="E682" s="31">
        <v>1856.6367</v>
      </c>
      <c r="F682" s="30">
        <f t="shared" ref="F682" si="190">+D682*E682</f>
        <v>1856.6367</v>
      </c>
    </row>
    <row r="683" spans="1:6" x14ac:dyDescent="0.2">
      <c r="A683" s="22" t="s">
        <v>912</v>
      </c>
      <c r="B683" s="23" t="s">
        <v>866</v>
      </c>
      <c r="C683" s="23"/>
      <c r="D683" s="24"/>
      <c r="E683" s="24"/>
      <c r="F683" s="25">
        <f>F684</f>
        <v>83.179900000000004</v>
      </c>
    </row>
    <row r="684" spans="1:6" x14ac:dyDescent="0.2">
      <c r="A684" s="26" t="s">
        <v>913</v>
      </c>
      <c r="B684" s="27" t="s">
        <v>914</v>
      </c>
      <c r="C684" s="27" t="s">
        <v>15</v>
      </c>
      <c r="D684" s="28">
        <v>1</v>
      </c>
      <c r="E684" s="42">
        <v>83.179900000000004</v>
      </c>
      <c r="F684" s="30">
        <f t="shared" ref="F684" si="191">+D684*E684</f>
        <v>83.179900000000004</v>
      </c>
    </row>
    <row r="685" spans="1:6" x14ac:dyDescent="0.2">
      <c r="A685" s="22" t="s">
        <v>915</v>
      </c>
      <c r="B685" s="23" t="s">
        <v>203</v>
      </c>
      <c r="C685" s="23"/>
      <c r="D685" s="24"/>
      <c r="E685" s="24"/>
      <c r="F685" s="25">
        <f>F686</f>
        <v>30496.399999999998</v>
      </c>
    </row>
    <row r="686" spans="1:6" x14ac:dyDescent="0.2">
      <c r="A686" s="26" t="s">
        <v>916</v>
      </c>
      <c r="B686" s="27" t="s">
        <v>821</v>
      </c>
      <c r="C686" s="27" t="s">
        <v>80</v>
      </c>
      <c r="D686" s="43">
        <v>762.41</v>
      </c>
      <c r="E686" s="42">
        <v>40</v>
      </c>
      <c r="F686" s="30">
        <f t="shared" ref="F686" si="192">+D686*E686</f>
        <v>30496.399999999998</v>
      </c>
    </row>
    <row r="687" spans="1:6" ht="39" x14ac:dyDescent="0.2">
      <c r="A687" s="18" t="s">
        <v>917</v>
      </c>
      <c r="B687" s="19" t="s">
        <v>918</v>
      </c>
      <c r="C687" s="19"/>
      <c r="D687" s="20"/>
      <c r="E687" s="20"/>
      <c r="F687" s="21">
        <f>F688+F690+F692+F694+F696+F698+F700</f>
        <v>48706.359900000003</v>
      </c>
    </row>
    <row r="688" spans="1:6" x14ac:dyDescent="0.2">
      <c r="A688" s="22" t="s">
        <v>919</v>
      </c>
      <c r="B688" s="23" t="s">
        <v>800</v>
      </c>
      <c r="C688" s="23"/>
      <c r="D688" s="24"/>
      <c r="E688" s="24"/>
      <c r="F688" s="25">
        <f>F689</f>
        <v>175.23990000000001</v>
      </c>
    </row>
    <row r="689" spans="1:6" x14ac:dyDescent="0.2">
      <c r="A689" s="26" t="s">
        <v>920</v>
      </c>
      <c r="B689" s="27" t="s">
        <v>921</v>
      </c>
      <c r="C689" s="27" t="s">
        <v>15</v>
      </c>
      <c r="D689" s="28">
        <v>1</v>
      </c>
      <c r="E689" s="43">
        <v>175.23990000000001</v>
      </c>
      <c r="F689" s="30">
        <f t="shared" ref="F689" si="193">+D689*E689</f>
        <v>175.23990000000001</v>
      </c>
    </row>
    <row r="690" spans="1:6" x14ac:dyDescent="0.2">
      <c r="A690" s="22" t="s">
        <v>922</v>
      </c>
      <c r="B690" s="23" t="s">
        <v>804</v>
      </c>
      <c r="C690" s="23"/>
      <c r="D690" s="24"/>
      <c r="E690" s="24"/>
      <c r="F690" s="25">
        <f>F691</f>
        <v>8184.0501000000004</v>
      </c>
    </row>
    <row r="691" spans="1:6" x14ac:dyDescent="0.2">
      <c r="A691" s="26" t="s">
        <v>923</v>
      </c>
      <c r="B691" s="27" t="s">
        <v>924</v>
      </c>
      <c r="C691" s="27" t="s">
        <v>15</v>
      </c>
      <c r="D691" s="28">
        <v>1</v>
      </c>
      <c r="E691" s="31">
        <v>8184.0501000000004</v>
      </c>
      <c r="F691" s="30">
        <f t="shared" ref="F691" si="194">+D691*E691</f>
        <v>8184.0501000000004</v>
      </c>
    </row>
    <row r="692" spans="1:6" x14ac:dyDescent="0.2">
      <c r="A692" s="22" t="s">
        <v>925</v>
      </c>
      <c r="B692" s="23" t="s">
        <v>812</v>
      </c>
      <c r="C692" s="23"/>
      <c r="D692" s="24"/>
      <c r="E692" s="24"/>
      <c r="F692" s="25">
        <f>F693</f>
        <v>2841.0246000000002</v>
      </c>
    </row>
    <row r="693" spans="1:6" x14ac:dyDescent="0.2">
      <c r="A693" s="26" t="s">
        <v>927</v>
      </c>
      <c r="B693" s="27" t="s">
        <v>928</v>
      </c>
      <c r="C693" s="27" t="s">
        <v>15</v>
      </c>
      <c r="D693" s="28">
        <v>1</v>
      </c>
      <c r="E693" s="31">
        <v>2841.0246000000002</v>
      </c>
      <c r="F693" s="30">
        <f t="shared" ref="F693" si="195">+D693*E693</f>
        <v>2841.0246000000002</v>
      </c>
    </row>
    <row r="694" spans="1:6" x14ac:dyDescent="0.2">
      <c r="A694" s="22" t="s">
        <v>926</v>
      </c>
      <c r="B694" s="23" t="s">
        <v>816</v>
      </c>
      <c r="C694" s="23"/>
      <c r="D694" s="24"/>
      <c r="E694" s="24"/>
      <c r="F694" s="25">
        <f>F695</f>
        <v>6373.6693999999998</v>
      </c>
    </row>
    <row r="695" spans="1:6" x14ac:dyDescent="0.2">
      <c r="A695" s="26" t="s">
        <v>930</v>
      </c>
      <c r="B695" s="27" t="s">
        <v>931</v>
      </c>
      <c r="C695" s="27" t="s">
        <v>15</v>
      </c>
      <c r="D695" s="28">
        <v>1</v>
      </c>
      <c r="E695" s="31">
        <v>6373.6693999999998</v>
      </c>
      <c r="F695" s="30">
        <f t="shared" ref="F695" si="196">+D695*E695</f>
        <v>6373.6693999999998</v>
      </c>
    </row>
    <row r="696" spans="1:6" x14ac:dyDescent="0.2">
      <c r="A696" s="22" t="s">
        <v>929</v>
      </c>
      <c r="B696" s="23" t="s">
        <v>840</v>
      </c>
      <c r="C696" s="23"/>
      <c r="D696" s="24"/>
      <c r="E696" s="24"/>
      <c r="F696" s="25">
        <f>F697</f>
        <v>183.29509999999999</v>
      </c>
    </row>
    <row r="697" spans="1:6" x14ac:dyDescent="0.2">
      <c r="A697" s="26" t="s">
        <v>933</v>
      </c>
      <c r="B697" s="27" t="s">
        <v>934</v>
      </c>
      <c r="C697" s="27" t="s">
        <v>15</v>
      </c>
      <c r="D697" s="28">
        <v>1</v>
      </c>
      <c r="E697" s="43">
        <v>183.29509999999999</v>
      </c>
      <c r="F697" s="30">
        <f t="shared" ref="F697" si="197">+D697*E697</f>
        <v>183.29509999999999</v>
      </c>
    </row>
    <row r="698" spans="1:6" x14ac:dyDescent="0.2">
      <c r="A698" s="22" t="s">
        <v>932</v>
      </c>
      <c r="B698" s="23" t="s">
        <v>866</v>
      </c>
      <c r="C698" s="23"/>
      <c r="D698" s="24"/>
      <c r="E698" s="24"/>
      <c r="F698" s="25">
        <f>F699</f>
        <v>361.48079999999999</v>
      </c>
    </row>
    <row r="699" spans="1:6" x14ac:dyDescent="0.2">
      <c r="A699" s="26" t="s">
        <v>936</v>
      </c>
      <c r="B699" s="27" t="s">
        <v>937</v>
      </c>
      <c r="C699" s="27" t="s">
        <v>15</v>
      </c>
      <c r="D699" s="28">
        <v>1</v>
      </c>
      <c r="E699" s="43">
        <v>361.48079999999999</v>
      </c>
      <c r="F699" s="30">
        <f t="shared" ref="F699" si="198">+D699*E699</f>
        <v>361.48079999999999</v>
      </c>
    </row>
    <row r="700" spans="1:6" x14ac:dyDescent="0.2">
      <c r="A700" s="22" t="s">
        <v>935</v>
      </c>
      <c r="B700" s="23" t="s">
        <v>203</v>
      </c>
      <c r="C700" s="23"/>
      <c r="D700" s="24"/>
      <c r="E700" s="24"/>
      <c r="F700" s="25">
        <f>F701</f>
        <v>30587.600000000002</v>
      </c>
    </row>
    <row r="701" spans="1:6" x14ac:dyDescent="0.2">
      <c r="A701" s="26" t="s">
        <v>938</v>
      </c>
      <c r="B701" s="27" t="s">
        <v>821</v>
      </c>
      <c r="C701" s="27" t="s">
        <v>80</v>
      </c>
      <c r="D701" s="43">
        <v>764.69</v>
      </c>
      <c r="E701" s="42">
        <v>40</v>
      </c>
      <c r="F701" s="30">
        <f t="shared" ref="F701" si="199">+D701*E701</f>
        <v>30587.600000000002</v>
      </c>
    </row>
    <row r="702" spans="1:6" ht="39" x14ac:dyDescent="0.2">
      <c r="A702" s="18" t="s">
        <v>939</v>
      </c>
      <c r="B702" s="19" t="s">
        <v>940</v>
      </c>
      <c r="C702" s="19"/>
      <c r="D702" s="20"/>
      <c r="E702" s="20"/>
      <c r="F702" s="21">
        <f>F703+F705+F707+F709+F711+F713+F715+F717</f>
        <v>475973.31929999992</v>
      </c>
    </row>
    <row r="703" spans="1:6" x14ac:dyDescent="0.2">
      <c r="A703" s="22" t="s">
        <v>941</v>
      </c>
      <c r="B703" s="23" t="s">
        <v>800</v>
      </c>
      <c r="C703" s="23"/>
      <c r="D703" s="24"/>
      <c r="E703" s="24"/>
      <c r="F703" s="25">
        <f>F704</f>
        <v>1266.1437000000001</v>
      </c>
    </row>
    <row r="704" spans="1:6" x14ac:dyDescent="0.2">
      <c r="A704" s="26" t="s">
        <v>942</v>
      </c>
      <c r="B704" s="27" t="s">
        <v>943</v>
      </c>
      <c r="C704" s="27" t="s">
        <v>15</v>
      </c>
      <c r="D704" s="28">
        <v>1</v>
      </c>
      <c r="E704" s="31">
        <v>1266.1437000000001</v>
      </c>
      <c r="F704" s="30">
        <f t="shared" ref="F704" si="200">+D704*E704</f>
        <v>1266.1437000000001</v>
      </c>
    </row>
    <row r="705" spans="1:6" x14ac:dyDescent="0.2">
      <c r="A705" s="22" t="s">
        <v>944</v>
      </c>
      <c r="B705" s="23" t="s">
        <v>804</v>
      </c>
      <c r="C705" s="23"/>
      <c r="D705" s="24"/>
      <c r="E705" s="24"/>
      <c r="F705" s="25">
        <f>F706</f>
        <v>145134.04569999999</v>
      </c>
    </row>
    <row r="706" spans="1:6" x14ac:dyDescent="0.2">
      <c r="A706" s="26" t="s">
        <v>945</v>
      </c>
      <c r="B706" s="27" t="s">
        <v>946</v>
      </c>
      <c r="C706" s="27" t="s">
        <v>15</v>
      </c>
      <c r="D706" s="28">
        <v>1</v>
      </c>
      <c r="E706" s="32">
        <v>145134.04569999999</v>
      </c>
      <c r="F706" s="30">
        <f t="shared" ref="F706" si="201">+D706*E706</f>
        <v>145134.04569999999</v>
      </c>
    </row>
    <row r="707" spans="1:6" x14ac:dyDescent="0.2">
      <c r="A707" s="22" t="s">
        <v>947</v>
      </c>
      <c r="B707" s="23" t="s">
        <v>808</v>
      </c>
      <c r="C707" s="23"/>
      <c r="D707" s="24"/>
      <c r="E707" s="24"/>
      <c r="F707" s="25">
        <f>F708</f>
        <v>114082.2556</v>
      </c>
    </row>
    <row r="708" spans="1:6" x14ac:dyDescent="0.2">
      <c r="A708" s="26" t="s">
        <v>948</v>
      </c>
      <c r="B708" s="27" t="s">
        <v>949</v>
      </c>
      <c r="C708" s="27" t="s">
        <v>15</v>
      </c>
      <c r="D708" s="28">
        <v>1</v>
      </c>
      <c r="E708" s="32">
        <v>114082.2556</v>
      </c>
      <c r="F708" s="30">
        <f t="shared" ref="F708" si="202">+D708*E708</f>
        <v>114082.2556</v>
      </c>
    </row>
    <row r="709" spans="1:6" x14ac:dyDescent="0.2">
      <c r="A709" s="22" t="s">
        <v>950</v>
      </c>
      <c r="B709" s="23" t="s">
        <v>812</v>
      </c>
      <c r="C709" s="23"/>
      <c r="D709" s="24"/>
      <c r="E709" s="24"/>
      <c r="F709" s="25">
        <f>F710</f>
        <v>1687.0454</v>
      </c>
    </row>
    <row r="710" spans="1:6" x14ac:dyDescent="0.2">
      <c r="A710" s="26" t="s">
        <v>951</v>
      </c>
      <c r="B710" s="27" t="s">
        <v>952</v>
      </c>
      <c r="C710" s="27" t="s">
        <v>15</v>
      </c>
      <c r="D710" s="28">
        <v>1</v>
      </c>
      <c r="E710" s="31">
        <v>1687.0454</v>
      </c>
      <c r="F710" s="30">
        <f t="shared" ref="F710" si="203">+D710*E710</f>
        <v>1687.0454</v>
      </c>
    </row>
    <row r="711" spans="1:6" x14ac:dyDescent="0.2">
      <c r="A711" s="22" t="s">
        <v>953</v>
      </c>
      <c r="B711" s="23" t="s">
        <v>816</v>
      </c>
      <c r="C711" s="23"/>
      <c r="D711" s="24"/>
      <c r="E711" s="24"/>
      <c r="F711" s="25">
        <f>F712</f>
        <v>45132.677600000003</v>
      </c>
    </row>
    <row r="712" spans="1:6" x14ac:dyDescent="0.2">
      <c r="A712" s="26" t="s">
        <v>954</v>
      </c>
      <c r="B712" s="27" t="s">
        <v>955</v>
      </c>
      <c r="C712" s="27" t="s">
        <v>15</v>
      </c>
      <c r="D712" s="28">
        <v>1</v>
      </c>
      <c r="E712" s="29">
        <v>45132.677600000003</v>
      </c>
      <c r="F712" s="30">
        <f t="shared" ref="F712" si="204">+D712*E712</f>
        <v>45132.677600000003</v>
      </c>
    </row>
    <row r="713" spans="1:6" x14ac:dyDescent="0.2">
      <c r="A713" s="22" t="s">
        <v>956</v>
      </c>
      <c r="B713" s="23" t="s">
        <v>957</v>
      </c>
      <c r="C713" s="23"/>
      <c r="D713" s="24"/>
      <c r="E713" s="24"/>
      <c r="F713" s="25">
        <f>F714</f>
        <v>2938.3144000000002</v>
      </c>
    </row>
    <row r="714" spans="1:6" x14ac:dyDescent="0.2">
      <c r="A714" s="26" t="s">
        <v>958</v>
      </c>
      <c r="B714" s="27" t="s">
        <v>959</v>
      </c>
      <c r="C714" s="27" t="s">
        <v>15</v>
      </c>
      <c r="D714" s="28">
        <v>1</v>
      </c>
      <c r="E714" s="31">
        <v>2938.3144000000002</v>
      </c>
      <c r="F714" s="30">
        <f t="shared" ref="F714" si="205">+D714*E714</f>
        <v>2938.3144000000002</v>
      </c>
    </row>
    <row r="715" spans="1:6" x14ac:dyDescent="0.2">
      <c r="A715" s="22" t="s">
        <v>960</v>
      </c>
      <c r="B715" s="23" t="s">
        <v>866</v>
      </c>
      <c r="C715" s="23"/>
      <c r="D715" s="24"/>
      <c r="E715" s="24"/>
      <c r="F715" s="25">
        <f>F716</f>
        <v>9044.8369000000002</v>
      </c>
    </row>
    <row r="716" spans="1:6" x14ac:dyDescent="0.2">
      <c r="A716" s="26" t="s">
        <v>961</v>
      </c>
      <c r="B716" s="27" t="s">
        <v>962</v>
      </c>
      <c r="C716" s="27" t="s">
        <v>15</v>
      </c>
      <c r="D716" s="28">
        <v>1</v>
      </c>
      <c r="E716" s="31">
        <v>9044.8369000000002</v>
      </c>
      <c r="F716" s="30">
        <f t="shared" ref="F716" si="206">+D716*E716</f>
        <v>9044.8369000000002</v>
      </c>
    </row>
    <row r="717" spans="1:6" x14ac:dyDescent="0.2">
      <c r="A717" s="22" t="s">
        <v>963</v>
      </c>
      <c r="B717" s="23" t="s">
        <v>203</v>
      </c>
      <c r="C717" s="23"/>
      <c r="D717" s="24"/>
      <c r="E717" s="24"/>
      <c r="F717" s="25">
        <f>F718</f>
        <v>156688</v>
      </c>
    </row>
    <row r="718" spans="1:6" x14ac:dyDescent="0.2">
      <c r="A718" s="26" t="s">
        <v>964</v>
      </c>
      <c r="B718" s="27" t="s">
        <v>821</v>
      </c>
      <c r="C718" s="27" t="s">
        <v>80</v>
      </c>
      <c r="D718" s="31">
        <v>3917.2</v>
      </c>
      <c r="E718" s="42">
        <v>40</v>
      </c>
      <c r="F718" s="30">
        <f t="shared" ref="F718" si="207">+D718*E718</f>
        <v>156688</v>
      </c>
    </row>
    <row r="719" spans="1:6" ht="39" x14ac:dyDescent="0.2">
      <c r="A719" s="18" t="s">
        <v>965</v>
      </c>
      <c r="B719" s="19" t="s">
        <v>966</v>
      </c>
      <c r="C719" s="19"/>
      <c r="D719" s="20"/>
      <c r="E719" s="20"/>
      <c r="F719" s="21">
        <f>F720+F722+F724+F726+F728+F730+F732+F734</f>
        <v>43627.798400000007</v>
      </c>
    </row>
    <row r="720" spans="1:6" x14ac:dyDescent="0.2">
      <c r="A720" s="22" t="s">
        <v>967</v>
      </c>
      <c r="B720" s="23" t="s">
        <v>800</v>
      </c>
      <c r="C720" s="23"/>
      <c r="D720" s="24"/>
      <c r="E720" s="24"/>
      <c r="F720" s="25">
        <f>F721</f>
        <v>158.268</v>
      </c>
    </row>
    <row r="721" spans="1:6" x14ac:dyDescent="0.2">
      <c r="A721" s="26" t="s">
        <v>968</v>
      </c>
      <c r="B721" s="27" t="s">
        <v>969</v>
      </c>
      <c r="C721" s="27" t="s">
        <v>15</v>
      </c>
      <c r="D721" s="28">
        <v>1</v>
      </c>
      <c r="E721" s="43">
        <v>158.268</v>
      </c>
      <c r="F721" s="30">
        <f t="shared" ref="F721" si="208">+D721*E721</f>
        <v>158.268</v>
      </c>
    </row>
    <row r="722" spans="1:6" x14ac:dyDescent="0.2">
      <c r="A722" s="22" t="s">
        <v>970</v>
      </c>
      <c r="B722" s="23" t="s">
        <v>804</v>
      </c>
      <c r="C722" s="23"/>
      <c r="D722" s="24"/>
      <c r="E722" s="24"/>
      <c r="F722" s="25">
        <f>F723</f>
        <v>9607.3906000000006</v>
      </c>
    </row>
    <row r="723" spans="1:6" x14ac:dyDescent="0.2">
      <c r="A723" s="26" t="s">
        <v>971</v>
      </c>
      <c r="B723" s="27" t="s">
        <v>972</v>
      </c>
      <c r="C723" s="27" t="s">
        <v>15</v>
      </c>
      <c r="D723" s="28">
        <v>1</v>
      </c>
      <c r="E723" s="31">
        <v>9607.3906000000006</v>
      </c>
      <c r="F723" s="30">
        <f t="shared" ref="F723" si="209">+D723*E723</f>
        <v>9607.3906000000006</v>
      </c>
    </row>
    <row r="724" spans="1:6" x14ac:dyDescent="0.2">
      <c r="A724" s="22" t="s">
        <v>973</v>
      </c>
      <c r="B724" s="23" t="s">
        <v>974</v>
      </c>
      <c r="C724" s="23"/>
      <c r="D724" s="24"/>
      <c r="E724" s="24"/>
      <c r="F724" s="25">
        <f>F725</f>
        <v>7861.6659</v>
      </c>
    </row>
    <row r="725" spans="1:6" x14ac:dyDescent="0.2">
      <c r="A725" s="26" t="s">
        <v>975</v>
      </c>
      <c r="B725" s="27" t="s">
        <v>976</v>
      </c>
      <c r="C725" s="27" t="s">
        <v>15</v>
      </c>
      <c r="D725" s="28">
        <v>1</v>
      </c>
      <c r="E725" s="31">
        <v>7861.6659</v>
      </c>
      <c r="F725" s="30">
        <f t="shared" ref="F725" si="210">+D725*E725</f>
        <v>7861.6659</v>
      </c>
    </row>
    <row r="726" spans="1:6" x14ac:dyDescent="0.2">
      <c r="A726" s="22" t="s">
        <v>977</v>
      </c>
      <c r="B726" s="23" t="s">
        <v>812</v>
      </c>
      <c r="C726" s="23"/>
      <c r="D726" s="24"/>
      <c r="E726" s="24"/>
      <c r="F726" s="25">
        <f>F727</f>
        <v>305.71010000000001</v>
      </c>
    </row>
    <row r="727" spans="1:6" x14ac:dyDescent="0.2">
      <c r="A727" s="26" t="s">
        <v>978</v>
      </c>
      <c r="B727" s="27" t="s">
        <v>979</v>
      </c>
      <c r="C727" s="27" t="s">
        <v>15</v>
      </c>
      <c r="D727" s="28">
        <v>1</v>
      </c>
      <c r="E727" s="43">
        <v>305.71010000000001</v>
      </c>
      <c r="F727" s="30">
        <f t="shared" ref="F727" si="211">+D727*E727</f>
        <v>305.71010000000001</v>
      </c>
    </row>
    <row r="728" spans="1:6" x14ac:dyDescent="0.2">
      <c r="A728" s="22" t="s">
        <v>980</v>
      </c>
      <c r="B728" s="23" t="s">
        <v>816</v>
      </c>
      <c r="C728" s="23"/>
      <c r="D728" s="24"/>
      <c r="E728" s="24"/>
      <c r="F728" s="25">
        <f>F729</f>
        <v>3730.3787000000002</v>
      </c>
    </row>
    <row r="729" spans="1:6" x14ac:dyDescent="0.2">
      <c r="A729" s="26" t="s">
        <v>981</v>
      </c>
      <c r="B729" s="27" t="s">
        <v>982</v>
      </c>
      <c r="C729" s="27" t="s">
        <v>15</v>
      </c>
      <c r="D729" s="28">
        <v>1</v>
      </c>
      <c r="E729" s="31">
        <v>3730.3787000000002</v>
      </c>
      <c r="F729" s="30">
        <f t="shared" ref="F729" si="212">+D729*E729</f>
        <v>3730.3787000000002</v>
      </c>
    </row>
    <row r="730" spans="1:6" x14ac:dyDescent="0.2">
      <c r="A730" s="22" t="s">
        <v>983</v>
      </c>
      <c r="B730" s="23" t="s">
        <v>957</v>
      </c>
      <c r="C730" s="23"/>
      <c r="D730" s="24"/>
      <c r="E730" s="24"/>
      <c r="F730" s="25">
        <f>F731</f>
        <v>392.31380000000001</v>
      </c>
    </row>
    <row r="731" spans="1:6" x14ac:dyDescent="0.2">
      <c r="A731" s="26" t="s">
        <v>984</v>
      </c>
      <c r="B731" s="27" t="s">
        <v>985</v>
      </c>
      <c r="C731" s="27" t="s">
        <v>15</v>
      </c>
      <c r="D731" s="28">
        <v>1</v>
      </c>
      <c r="E731" s="43">
        <v>392.31380000000001</v>
      </c>
      <c r="F731" s="30">
        <f t="shared" ref="F731" si="213">+D731*E731</f>
        <v>392.31380000000001</v>
      </c>
    </row>
    <row r="732" spans="1:6" x14ac:dyDescent="0.2">
      <c r="A732" s="22" t="s">
        <v>986</v>
      </c>
      <c r="B732" s="23" t="s">
        <v>866</v>
      </c>
      <c r="C732" s="23"/>
      <c r="D732" s="24"/>
      <c r="E732" s="24"/>
      <c r="F732" s="25">
        <f>F733</f>
        <v>1083.2713000000001</v>
      </c>
    </row>
    <row r="733" spans="1:6" x14ac:dyDescent="0.2">
      <c r="A733" s="26" t="s">
        <v>987</v>
      </c>
      <c r="B733" s="27" t="s">
        <v>988</v>
      </c>
      <c r="C733" s="27" t="s">
        <v>15</v>
      </c>
      <c r="D733" s="28">
        <v>1</v>
      </c>
      <c r="E733" s="31">
        <v>1083.2713000000001</v>
      </c>
      <c r="F733" s="30">
        <f t="shared" ref="F733" si="214">+D733*E733</f>
        <v>1083.2713000000001</v>
      </c>
    </row>
    <row r="734" spans="1:6" x14ac:dyDescent="0.2">
      <c r="A734" s="22" t="s">
        <v>989</v>
      </c>
      <c r="B734" s="23" t="s">
        <v>203</v>
      </c>
      <c r="C734" s="23"/>
      <c r="D734" s="24"/>
      <c r="E734" s="24"/>
      <c r="F734" s="25">
        <f>F735</f>
        <v>20488.800000000003</v>
      </c>
    </row>
    <row r="735" spans="1:6" x14ac:dyDescent="0.2">
      <c r="A735" s="26" t="s">
        <v>990</v>
      </c>
      <c r="B735" s="27" t="s">
        <v>821</v>
      </c>
      <c r="C735" s="27" t="s">
        <v>80</v>
      </c>
      <c r="D735" s="43">
        <v>512.22</v>
      </c>
      <c r="E735" s="42">
        <v>40</v>
      </c>
      <c r="F735" s="30">
        <f t="shared" ref="F735" si="215">+D735*E735</f>
        <v>20488.800000000003</v>
      </c>
    </row>
    <row r="736" spans="1:6" ht="39" x14ac:dyDescent="0.2">
      <c r="A736" s="18" t="s">
        <v>991</v>
      </c>
      <c r="B736" s="19" t="s">
        <v>992</v>
      </c>
      <c r="C736" s="19"/>
      <c r="D736" s="20"/>
      <c r="E736" s="20"/>
      <c r="F736" s="21">
        <f>F737+F739+F741+F743</f>
        <v>28573.996999999999</v>
      </c>
    </row>
    <row r="737" spans="1:6" x14ac:dyDescent="0.2">
      <c r="A737" s="22" t="s">
        <v>993</v>
      </c>
      <c r="B737" s="23" t="s">
        <v>800</v>
      </c>
      <c r="C737" s="23"/>
      <c r="D737" s="24"/>
      <c r="E737" s="24"/>
      <c r="F737" s="25">
        <f>F738</f>
        <v>1275.3633</v>
      </c>
    </row>
    <row r="738" spans="1:6" x14ac:dyDescent="0.2">
      <c r="A738" s="26" t="s">
        <v>994</v>
      </c>
      <c r="B738" s="27" t="s">
        <v>995</v>
      </c>
      <c r="C738" s="27" t="s">
        <v>15</v>
      </c>
      <c r="D738" s="28">
        <v>1</v>
      </c>
      <c r="E738" s="31">
        <v>1275.3633</v>
      </c>
      <c r="F738" s="30">
        <f t="shared" ref="F738" si="216">+D738*E738</f>
        <v>1275.3633</v>
      </c>
    </row>
    <row r="739" spans="1:6" x14ac:dyDescent="0.2">
      <c r="A739" s="22" t="s">
        <v>996</v>
      </c>
      <c r="B739" s="23" t="s">
        <v>804</v>
      </c>
      <c r="C739" s="23"/>
      <c r="D739" s="24"/>
      <c r="E739" s="24"/>
      <c r="F739" s="25">
        <f>F740</f>
        <v>22178.657299999999</v>
      </c>
    </row>
    <row r="740" spans="1:6" x14ac:dyDescent="0.2">
      <c r="A740" s="26" t="s">
        <v>997</v>
      </c>
      <c r="B740" s="27" t="s">
        <v>998</v>
      </c>
      <c r="C740" s="27" t="s">
        <v>15</v>
      </c>
      <c r="D740" s="28">
        <v>1</v>
      </c>
      <c r="E740" s="29">
        <v>22178.657299999999</v>
      </c>
      <c r="F740" s="30">
        <f t="shared" ref="F740" si="217">+D740*E740</f>
        <v>22178.657299999999</v>
      </c>
    </row>
    <row r="741" spans="1:6" x14ac:dyDescent="0.2">
      <c r="A741" s="22" t="s">
        <v>999</v>
      </c>
      <c r="B741" s="23" t="s">
        <v>812</v>
      </c>
      <c r="C741" s="23"/>
      <c r="D741" s="24"/>
      <c r="E741" s="24"/>
      <c r="F741" s="25">
        <f>F742</f>
        <v>1764.3764000000001</v>
      </c>
    </row>
    <row r="742" spans="1:6" x14ac:dyDescent="0.2">
      <c r="A742" s="26" t="s">
        <v>1000</v>
      </c>
      <c r="B742" s="27" t="s">
        <v>1001</v>
      </c>
      <c r="C742" s="27" t="s">
        <v>15</v>
      </c>
      <c r="D742" s="28">
        <v>1</v>
      </c>
      <c r="E742" s="31">
        <v>1764.3764000000001</v>
      </c>
      <c r="F742" s="30">
        <f t="shared" ref="F742" si="218">+D742*E742</f>
        <v>1764.3764000000001</v>
      </c>
    </row>
    <row r="743" spans="1:6" x14ac:dyDescent="0.2">
      <c r="A743" s="22" t="s">
        <v>1002</v>
      </c>
      <c r="B743" s="23" t="s">
        <v>203</v>
      </c>
      <c r="C743" s="23"/>
      <c r="D743" s="24"/>
      <c r="E743" s="24"/>
      <c r="F743" s="25">
        <f>F744</f>
        <v>3355.6</v>
      </c>
    </row>
    <row r="744" spans="1:6" x14ac:dyDescent="0.2">
      <c r="A744" s="26" t="s">
        <v>1003</v>
      </c>
      <c r="B744" s="27" t="s">
        <v>821</v>
      </c>
      <c r="C744" s="27" t="s">
        <v>80</v>
      </c>
      <c r="D744" s="42">
        <v>83.89</v>
      </c>
      <c r="E744" s="42">
        <v>40</v>
      </c>
      <c r="F744" s="30">
        <f t="shared" ref="F744" si="219">+D744*E744</f>
        <v>3355.6</v>
      </c>
    </row>
    <row r="745" spans="1:6" x14ac:dyDescent="0.2">
      <c r="A745" s="14" t="s">
        <v>1004</v>
      </c>
      <c r="B745" s="15" t="s">
        <v>1005</v>
      </c>
      <c r="C745" s="15"/>
      <c r="D745" s="16"/>
      <c r="E745" s="16"/>
      <c r="F745" s="17">
        <f>F746+F751+F756+F763+F770+F777+F784+F791+F798+F806</f>
        <v>325291.24630000006</v>
      </c>
    </row>
    <row r="746" spans="1:6" x14ac:dyDescent="0.2">
      <c r="A746" s="18" t="s">
        <v>1006</v>
      </c>
      <c r="B746" s="19" t="s">
        <v>1007</v>
      </c>
      <c r="C746" s="19"/>
      <c r="D746" s="20"/>
      <c r="E746" s="20"/>
      <c r="F746" s="21">
        <f>F747+F749</f>
        <v>7792.3389999999999</v>
      </c>
    </row>
    <row r="747" spans="1:6" x14ac:dyDescent="0.2">
      <c r="A747" s="22" t="s">
        <v>1008</v>
      </c>
      <c r="B747" s="23" t="s">
        <v>1009</v>
      </c>
      <c r="C747" s="23"/>
      <c r="D747" s="24"/>
      <c r="E747" s="24"/>
      <c r="F747" s="25">
        <f>F748</f>
        <v>1010.784</v>
      </c>
    </row>
    <row r="748" spans="1:6" x14ac:dyDescent="0.2">
      <c r="A748" s="26" t="s">
        <v>1010</v>
      </c>
      <c r="B748" s="27" t="s">
        <v>1011</v>
      </c>
      <c r="C748" s="27" t="s">
        <v>15</v>
      </c>
      <c r="D748" s="28">
        <v>1</v>
      </c>
      <c r="E748" s="31">
        <v>1010.784</v>
      </c>
      <c r="F748" s="30">
        <f t="shared" ref="F748" si="220">+D748*E748</f>
        <v>1010.784</v>
      </c>
    </row>
    <row r="749" spans="1:6" x14ac:dyDescent="0.2">
      <c r="A749" s="22" t="s">
        <v>1012</v>
      </c>
      <c r="B749" s="23" t="s">
        <v>203</v>
      </c>
      <c r="C749" s="23"/>
      <c r="D749" s="24"/>
      <c r="E749" s="24"/>
      <c r="F749" s="25">
        <f>F750</f>
        <v>6781.5550000000003</v>
      </c>
    </row>
    <row r="750" spans="1:6" ht="39" x14ac:dyDescent="0.2">
      <c r="A750" s="26" t="s">
        <v>1013</v>
      </c>
      <c r="B750" s="27" t="s">
        <v>1014</v>
      </c>
      <c r="C750" s="27" t="s">
        <v>80</v>
      </c>
      <c r="D750" s="43">
        <v>797.83</v>
      </c>
      <c r="E750" s="28">
        <v>8.5</v>
      </c>
      <c r="F750" s="30">
        <f t="shared" ref="F750" si="221">+D750*E750</f>
        <v>6781.5550000000003</v>
      </c>
    </row>
    <row r="751" spans="1:6" x14ac:dyDescent="0.2">
      <c r="A751" s="18" t="s">
        <v>1015</v>
      </c>
      <c r="B751" s="19" t="s">
        <v>1016</v>
      </c>
      <c r="C751" s="19"/>
      <c r="D751" s="20"/>
      <c r="E751" s="20"/>
      <c r="F751" s="21">
        <f>F752+F754</f>
        <v>12438.337</v>
      </c>
    </row>
    <row r="752" spans="1:6" x14ac:dyDescent="0.2">
      <c r="A752" s="22" t="s">
        <v>1017</v>
      </c>
      <c r="B752" s="23" t="s">
        <v>1009</v>
      </c>
      <c r="C752" s="23"/>
      <c r="D752" s="24"/>
      <c r="E752" s="24"/>
      <c r="F752" s="25">
        <f>F753</f>
        <v>6028.5720000000001</v>
      </c>
    </row>
    <row r="753" spans="1:6" x14ac:dyDescent="0.2">
      <c r="A753" s="26" t="s">
        <v>1018</v>
      </c>
      <c r="B753" s="27" t="s">
        <v>1019</v>
      </c>
      <c r="C753" s="27" t="s">
        <v>15</v>
      </c>
      <c r="D753" s="28">
        <v>1</v>
      </c>
      <c r="E753" s="31">
        <v>6028.5720000000001</v>
      </c>
      <c r="F753" s="30">
        <f t="shared" ref="F753" si="222">+D753*E753</f>
        <v>6028.5720000000001</v>
      </c>
    </row>
    <row r="754" spans="1:6" x14ac:dyDescent="0.2">
      <c r="A754" s="22" t="s">
        <v>1020</v>
      </c>
      <c r="B754" s="23" t="s">
        <v>203</v>
      </c>
      <c r="C754" s="23"/>
      <c r="D754" s="24"/>
      <c r="E754" s="24"/>
      <c r="F754" s="25">
        <f>F755</f>
        <v>6409.7650000000003</v>
      </c>
    </row>
    <row r="755" spans="1:6" ht="39" x14ac:dyDescent="0.2">
      <c r="A755" s="26" t="s">
        <v>1021</v>
      </c>
      <c r="B755" s="27" t="s">
        <v>1014</v>
      </c>
      <c r="C755" s="27" t="s">
        <v>80</v>
      </c>
      <c r="D755" s="43">
        <v>754.09</v>
      </c>
      <c r="E755" s="28">
        <v>8.5</v>
      </c>
      <c r="F755" s="30">
        <f t="shared" ref="F755" si="223">+D755*E755</f>
        <v>6409.7650000000003</v>
      </c>
    </row>
    <row r="756" spans="1:6" ht="39" x14ac:dyDescent="0.2">
      <c r="A756" s="18" t="s">
        <v>1022</v>
      </c>
      <c r="B756" s="19" t="s">
        <v>1023</v>
      </c>
      <c r="C756" s="19"/>
      <c r="D756" s="20"/>
      <c r="E756" s="20"/>
      <c r="F756" s="21">
        <f>F757+F759+F761</f>
        <v>21217.995800000001</v>
      </c>
    </row>
    <row r="757" spans="1:6" x14ac:dyDescent="0.2">
      <c r="A757" s="22" t="s">
        <v>1024</v>
      </c>
      <c r="B757" s="23" t="s">
        <v>1025</v>
      </c>
      <c r="C757" s="23"/>
      <c r="D757" s="24"/>
      <c r="E757" s="24"/>
      <c r="F757" s="25">
        <f>F758</f>
        <v>5131.5897999999997</v>
      </c>
    </row>
    <row r="758" spans="1:6" x14ac:dyDescent="0.2">
      <c r="A758" s="26" t="s">
        <v>1026</v>
      </c>
      <c r="B758" s="27" t="s">
        <v>1027</v>
      </c>
      <c r="C758" s="27" t="s">
        <v>15</v>
      </c>
      <c r="D758" s="28">
        <v>1</v>
      </c>
      <c r="E758" s="31">
        <v>5131.5897999999997</v>
      </c>
      <c r="F758" s="30">
        <f t="shared" ref="F758" si="224">+D758*E758</f>
        <v>5131.5897999999997</v>
      </c>
    </row>
    <row r="759" spans="1:6" x14ac:dyDescent="0.2">
      <c r="A759" s="22" t="s">
        <v>1028</v>
      </c>
      <c r="B759" s="23" t="s">
        <v>1009</v>
      </c>
      <c r="C759" s="23"/>
      <c r="D759" s="24"/>
      <c r="E759" s="24"/>
      <c r="F759" s="25">
        <f>F760</f>
        <v>9404.3860000000004</v>
      </c>
    </row>
    <row r="760" spans="1:6" x14ac:dyDescent="0.2">
      <c r="A760" s="26" t="s">
        <v>1029</v>
      </c>
      <c r="B760" s="27" t="s">
        <v>1030</v>
      </c>
      <c r="C760" s="27" t="s">
        <v>15</v>
      </c>
      <c r="D760" s="28">
        <v>1</v>
      </c>
      <c r="E760" s="31">
        <v>9404.3860000000004</v>
      </c>
      <c r="F760" s="30">
        <f t="shared" ref="F760" si="225">+D760*E760</f>
        <v>9404.3860000000004</v>
      </c>
    </row>
    <row r="761" spans="1:6" x14ac:dyDescent="0.2">
      <c r="A761" s="22" t="s">
        <v>1031</v>
      </c>
      <c r="B761" s="23" t="s">
        <v>203</v>
      </c>
      <c r="C761" s="23"/>
      <c r="D761" s="24"/>
      <c r="E761" s="24"/>
      <c r="F761" s="25">
        <f>F762</f>
        <v>6682.02</v>
      </c>
    </row>
    <row r="762" spans="1:6" ht="39" x14ac:dyDescent="0.2">
      <c r="A762" s="26" t="s">
        <v>1032</v>
      </c>
      <c r="B762" s="27" t="s">
        <v>1014</v>
      </c>
      <c r="C762" s="27" t="s">
        <v>80</v>
      </c>
      <c r="D762" s="43">
        <v>786.12</v>
      </c>
      <c r="E762" s="28">
        <v>8.5</v>
      </c>
      <c r="F762" s="30">
        <f t="shared" ref="F762" si="226">+D762*E762</f>
        <v>6682.02</v>
      </c>
    </row>
    <row r="763" spans="1:6" ht="39" x14ac:dyDescent="0.2">
      <c r="A763" s="18" t="s">
        <v>1033</v>
      </c>
      <c r="B763" s="19" t="s">
        <v>1034</v>
      </c>
      <c r="C763" s="19"/>
      <c r="D763" s="20"/>
      <c r="E763" s="20"/>
      <c r="F763" s="21">
        <f>F764+F768+F766</f>
        <v>11083.055</v>
      </c>
    </row>
    <row r="764" spans="1:6" x14ac:dyDescent="0.2">
      <c r="A764" s="22" t="s">
        <v>1035</v>
      </c>
      <c r="B764" s="23" t="s">
        <v>1025</v>
      </c>
      <c r="C764" s="23"/>
      <c r="D764" s="24"/>
      <c r="E764" s="24"/>
      <c r="F764" s="25">
        <f>F765</f>
        <v>463.63799999999998</v>
      </c>
    </row>
    <row r="765" spans="1:6" x14ac:dyDescent="0.2">
      <c r="A765" s="26" t="s">
        <v>1036</v>
      </c>
      <c r="B765" s="27" t="s">
        <v>1037</v>
      </c>
      <c r="C765" s="27" t="s">
        <v>15</v>
      </c>
      <c r="D765" s="28">
        <v>1</v>
      </c>
      <c r="E765" s="43">
        <v>463.63799999999998</v>
      </c>
      <c r="F765" s="30">
        <f t="shared" ref="F765" si="227">+D765*E765</f>
        <v>463.63799999999998</v>
      </c>
    </row>
    <row r="766" spans="1:6" x14ac:dyDescent="0.2">
      <c r="A766" s="22" t="s">
        <v>1038</v>
      </c>
      <c r="B766" s="23" t="s">
        <v>1009</v>
      </c>
      <c r="C766" s="23"/>
      <c r="D766" s="24"/>
      <c r="E766" s="24"/>
      <c r="F766" s="25">
        <f>F767</f>
        <v>7510.8819999999996</v>
      </c>
    </row>
    <row r="767" spans="1:6" x14ac:dyDescent="0.2">
      <c r="A767" s="26" t="s">
        <v>1039</v>
      </c>
      <c r="B767" s="27" t="s">
        <v>1040</v>
      </c>
      <c r="C767" s="27" t="s">
        <v>15</v>
      </c>
      <c r="D767" s="28">
        <v>1</v>
      </c>
      <c r="E767" s="31">
        <v>7510.8819999999996</v>
      </c>
      <c r="F767" s="30">
        <f t="shared" ref="F767" si="228">+D767*E767</f>
        <v>7510.8819999999996</v>
      </c>
    </row>
    <row r="768" spans="1:6" x14ac:dyDescent="0.2">
      <c r="A768" s="22" t="s">
        <v>1041</v>
      </c>
      <c r="B768" s="23" t="s">
        <v>203</v>
      </c>
      <c r="C768" s="23"/>
      <c r="D768" s="24"/>
      <c r="E768" s="24"/>
      <c r="F768" s="25">
        <f>F769</f>
        <v>3108.5349999999999</v>
      </c>
    </row>
    <row r="769" spans="1:6" ht="39" x14ac:dyDescent="0.2">
      <c r="A769" s="26" t="s">
        <v>1042</v>
      </c>
      <c r="B769" s="27" t="s">
        <v>1014</v>
      </c>
      <c r="C769" s="27" t="s">
        <v>80</v>
      </c>
      <c r="D769" s="43">
        <v>365.71</v>
      </c>
      <c r="E769" s="28">
        <v>8.5</v>
      </c>
      <c r="F769" s="30">
        <f t="shared" ref="F769" si="229">+D769*E769</f>
        <v>3108.5349999999999</v>
      </c>
    </row>
    <row r="770" spans="1:6" ht="39" x14ac:dyDescent="0.2">
      <c r="A770" s="18" t="s">
        <v>1043</v>
      </c>
      <c r="B770" s="19" t="s">
        <v>1044</v>
      </c>
      <c r="C770" s="19"/>
      <c r="D770" s="20"/>
      <c r="E770" s="20"/>
      <c r="F770" s="21">
        <f>F771+F773+F775</f>
        <v>10110.722399999999</v>
      </c>
    </row>
    <row r="771" spans="1:6" x14ac:dyDescent="0.2">
      <c r="A771" s="22" t="s">
        <v>1045</v>
      </c>
      <c r="B771" s="23" t="s">
        <v>1025</v>
      </c>
      <c r="C771" s="23"/>
      <c r="D771" s="24"/>
      <c r="E771" s="24"/>
      <c r="F771" s="25">
        <f>F772</f>
        <v>341.34140000000002</v>
      </c>
    </row>
    <row r="772" spans="1:6" x14ac:dyDescent="0.2">
      <c r="A772" s="26" t="s">
        <v>1046</v>
      </c>
      <c r="B772" s="27" t="s">
        <v>1047</v>
      </c>
      <c r="C772" s="27" t="s">
        <v>15</v>
      </c>
      <c r="D772" s="28">
        <v>1</v>
      </c>
      <c r="E772" s="43">
        <v>341.34140000000002</v>
      </c>
      <c r="F772" s="30">
        <f t="shared" ref="F772" si="230">+D772*E772</f>
        <v>341.34140000000002</v>
      </c>
    </row>
    <row r="773" spans="1:6" x14ac:dyDescent="0.2">
      <c r="A773" s="22" t="s">
        <v>1048</v>
      </c>
      <c r="B773" s="23" t="s">
        <v>1009</v>
      </c>
      <c r="C773" s="23"/>
      <c r="D773" s="24"/>
      <c r="E773" s="24"/>
      <c r="F773" s="25">
        <f>F774</f>
        <v>3288.8960000000002</v>
      </c>
    </row>
    <row r="774" spans="1:6" x14ac:dyDescent="0.2">
      <c r="A774" s="26" t="s">
        <v>1049</v>
      </c>
      <c r="B774" s="27" t="s">
        <v>1050</v>
      </c>
      <c r="C774" s="27" t="s">
        <v>15</v>
      </c>
      <c r="D774" s="28">
        <v>1</v>
      </c>
      <c r="E774" s="31">
        <v>3288.8960000000002</v>
      </c>
      <c r="F774" s="30">
        <f t="shared" ref="F774" si="231">+D774*E774</f>
        <v>3288.8960000000002</v>
      </c>
    </row>
    <row r="775" spans="1:6" x14ac:dyDescent="0.2">
      <c r="A775" s="22" t="s">
        <v>1051</v>
      </c>
      <c r="B775" s="23" t="s">
        <v>203</v>
      </c>
      <c r="C775" s="23"/>
      <c r="D775" s="24"/>
      <c r="E775" s="24"/>
      <c r="F775" s="25">
        <f>F776</f>
        <v>6480.4849999999997</v>
      </c>
    </row>
    <row r="776" spans="1:6" ht="39" x14ac:dyDescent="0.2">
      <c r="A776" s="26" t="s">
        <v>1052</v>
      </c>
      <c r="B776" s="27" t="s">
        <v>1014</v>
      </c>
      <c r="C776" s="27" t="s">
        <v>80</v>
      </c>
      <c r="D776" s="43">
        <v>762.41</v>
      </c>
      <c r="E776" s="28">
        <v>8.5</v>
      </c>
      <c r="F776" s="30">
        <f t="shared" ref="F776" si="232">+D776*E776</f>
        <v>6480.4849999999997</v>
      </c>
    </row>
    <row r="777" spans="1:6" x14ac:dyDescent="0.2">
      <c r="A777" s="18" t="s">
        <v>1053</v>
      </c>
      <c r="B777" s="19" t="s">
        <v>1054</v>
      </c>
      <c r="C777" s="19"/>
      <c r="D777" s="20"/>
      <c r="E777" s="20"/>
      <c r="F777" s="21">
        <f>F778+F780+F782</f>
        <v>17009.707699999999</v>
      </c>
    </row>
    <row r="778" spans="1:6" x14ac:dyDescent="0.2">
      <c r="A778" s="22" t="s">
        <v>1055</v>
      </c>
      <c r="B778" s="23" t="s">
        <v>1025</v>
      </c>
      <c r="C778" s="23"/>
      <c r="D778" s="24"/>
      <c r="E778" s="24"/>
      <c r="F778" s="25">
        <f>F779</f>
        <v>6663.5686999999998</v>
      </c>
    </row>
    <row r="779" spans="1:6" x14ac:dyDescent="0.2">
      <c r="A779" s="26" t="s">
        <v>1056</v>
      </c>
      <c r="B779" s="27" t="s">
        <v>1057</v>
      </c>
      <c r="C779" s="27" t="s">
        <v>15</v>
      </c>
      <c r="D779" s="28">
        <v>1</v>
      </c>
      <c r="E779" s="31">
        <v>6663.5686999999998</v>
      </c>
      <c r="F779" s="30">
        <f t="shared" ref="F779" si="233">+D779*E779</f>
        <v>6663.5686999999998</v>
      </c>
    </row>
    <row r="780" spans="1:6" x14ac:dyDescent="0.2">
      <c r="A780" s="22" t="s">
        <v>1058</v>
      </c>
      <c r="B780" s="23" t="s">
        <v>1009</v>
      </c>
      <c r="C780" s="23"/>
      <c r="D780" s="24"/>
      <c r="E780" s="24"/>
      <c r="F780" s="25">
        <f>F781</f>
        <v>3846.2739999999999</v>
      </c>
    </row>
    <row r="781" spans="1:6" x14ac:dyDescent="0.2">
      <c r="A781" s="26" t="s">
        <v>1059</v>
      </c>
      <c r="B781" s="27" t="s">
        <v>1060</v>
      </c>
      <c r="C781" s="27" t="s">
        <v>15</v>
      </c>
      <c r="D781" s="28">
        <v>1</v>
      </c>
      <c r="E781" s="31">
        <v>3846.2739999999999</v>
      </c>
      <c r="F781" s="30">
        <f t="shared" ref="F781" si="234">+D781*E781</f>
        <v>3846.2739999999999</v>
      </c>
    </row>
    <row r="782" spans="1:6" x14ac:dyDescent="0.2">
      <c r="A782" s="22" t="s">
        <v>1061</v>
      </c>
      <c r="B782" s="23" t="s">
        <v>203</v>
      </c>
      <c r="C782" s="23"/>
      <c r="D782" s="24"/>
      <c r="E782" s="24"/>
      <c r="F782" s="25">
        <f>F783</f>
        <v>6499.8650000000007</v>
      </c>
    </row>
    <row r="783" spans="1:6" ht="39" x14ac:dyDescent="0.2">
      <c r="A783" s="26" t="s">
        <v>1062</v>
      </c>
      <c r="B783" s="27" t="s">
        <v>1014</v>
      </c>
      <c r="C783" s="27" t="s">
        <v>80</v>
      </c>
      <c r="D783" s="43">
        <v>764.69</v>
      </c>
      <c r="E783" s="28">
        <v>8.5</v>
      </c>
      <c r="F783" s="30">
        <f t="shared" ref="F783" si="235">+D783*E783</f>
        <v>6499.8650000000007</v>
      </c>
    </row>
    <row r="784" spans="1:6" ht="39" x14ac:dyDescent="0.2">
      <c r="A784" s="18" t="s">
        <v>1063</v>
      </c>
      <c r="B784" s="19" t="s">
        <v>1064</v>
      </c>
      <c r="C784" s="19"/>
      <c r="D784" s="20"/>
      <c r="E784" s="20"/>
      <c r="F784" s="21">
        <f>F785+F787+F789</f>
        <v>168609.3443</v>
      </c>
    </row>
    <row r="785" spans="1:6" x14ac:dyDescent="0.2">
      <c r="A785" s="22" t="s">
        <v>1065</v>
      </c>
      <c r="B785" s="23" t="s">
        <v>1025</v>
      </c>
      <c r="C785" s="23"/>
      <c r="D785" s="24"/>
      <c r="E785" s="24"/>
      <c r="F785" s="25">
        <f>F786</f>
        <v>99129.352299999999</v>
      </c>
    </row>
    <row r="786" spans="1:6" x14ac:dyDescent="0.2">
      <c r="A786" s="26" t="s">
        <v>1066</v>
      </c>
      <c r="B786" s="27" t="s">
        <v>1067</v>
      </c>
      <c r="C786" s="27" t="s">
        <v>15</v>
      </c>
      <c r="D786" s="28">
        <v>1</v>
      </c>
      <c r="E786" s="29">
        <v>99129.352299999999</v>
      </c>
      <c r="F786" s="30">
        <f t="shared" ref="F786" si="236">+D786*E786</f>
        <v>99129.352299999999</v>
      </c>
    </row>
    <row r="787" spans="1:6" x14ac:dyDescent="0.2">
      <c r="A787" s="22" t="s">
        <v>1068</v>
      </c>
      <c r="B787" s="23" t="s">
        <v>1009</v>
      </c>
      <c r="C787" s="23"/>
      <c r="D787" s="24"/>
      <c r="E787" s="24"/>
      <c r="F787" s="25">
        <f>F788</f>
        <v>36183.792000000001</v>
      </c>
    </row>
    <row r="788" spans="1:6" x14ac:dyDescent="0.2">
      <c r="A788" s="26" t="s">
        <v>1069</v>
      </c>
      <c r="B788" s="27" t="s">
        <v>1070</v>
      </c>
      <c r="C788" s="27" t="s">
        <v>15</v>
      </c>
      <c r="D788" s="28">
        <v>1</v>
      </c>
      <c r="E788" s="29">
        <v>36183.792000000001</v>
      </c>
      <c r="F788" s="30">
        <f t="shared" ref="F788" si="237">+D788*E788</f>
        <v>36183.792000000001</v>
      </c>
    </row>
    <row r="789" spans="1:6" x14ac:dyDescent="0.2">
      <c r="A789" s="22" t="s">
        <v>1071</v>
      </c>
      <c r="B789" s="23" t="s">
        <v>203</v>
      </c>
      <c r="C789" s="23"/>
      <c r="D789" s="24"/>
      <c r="E789" s="24"/>
      <c r="F789" s="25">
        <f>F790</f>
        <v>33296.199999999997</v>
      </c>
    </row>
    <row r="790" spans="1:6" ht="39" x14ac:dyDescent="0.2">
      <c r="A790" s="26" t="s">
        <v>1072</v>
      </c>
      <c r="B790" s="27" t="s">
        <v>1014</v>
      </c>
      <c r="C790" s="27" t="s">
        <v>80</v>
      </c>
      <c r="D790" s="31">
        <v>3917.2</v>
      </c>
      <c r="E790" s="28">
        <v>8.5</v>
      </c>
      <c r="F790" s="30">
        <f t="shared" ref="F790" si="238">+D790*E790</f>
        <v>33296.199999999997</v>
      </c>
    </row>
    <row r="791" spans="1:6" ht="39" x14ac:dyDescent="0.2">
      <c r="A791" s="18" t="s">
        <v>1073</v>
      </c>
      <c r="B791" s="19" t="s">
        <v>1074</v>
      </c>
      <c r="C791" s="19"/>
      <c r="D791" s="20"/>
      <c r="E791" s="20"/>
      <c r="F791" s="21">
        <f>F792+F794+F796</f>
        <v>14498.0101</v>
      </c>
    </row>
    <row r="792" spans="1:6" x14ac:dyDescent="0.2">
      <c r="A792" s="22" t="s">
        <v>1075</v>
      </c>
      <c r="B792" s="23" t="s">
        <v>1025</v>
      </c>
      <c r="C792" s="23"/>
      <c r="D792" s="24"/>
      <c r="E792" s="24"/>
      <c r="F792" s="25">
        <f>F793</f>
        <v>6118.2660999999998</v>
      </c>
    </row>
    <row r="793" spans="1:6" x14ac:dyDescent="0.2">
      <c r="A793" s="26" t="s">
        <v>1076</v>
      </c>
      <c r="B793" s="27" t="s">
        <v>1077</v>
      </c>
      <c r="C793" s="27" t="s">
        <v>15</v>
      </c>
      <c r="D793" s="28">
        <v>1</v>
      </c>
      <c r="E793" s="31">
        <v>6118.2660999999998</v>
      </c>
      <c r="F793" s="30">
        <f t="shared" ref="F793" si="239">+D793*E793</f>
        <v>6118.2660999999998</v>
      </c>
    </row>
    <row r="794" spans="1:6" x14ac:dyDescent="0.2">
      <c r="A794" s="22" t="s">
        <v>1078</v>
      </c>
      <c r="B794" s="23" t="s">
        <v>1009</v>
      </c>
      <c r="C794" s="23"/>
      <c r="D794" s="24"/>
      <c r="E794" s="24"/>
      <c r="F794" s="25">
        <f>F795</f>
        <v>4025.8739999999998</v>
      </c>
    </row>
    <row r="795" spans="1:6" x14ac:dyDescent="0.2">
      <c r="A795" s="26" t="s">
        <v>1079</v>
      </c>
      <c r="B795" s="27" t="s">
        <v>1080</v>
      </c>
      <c r="C795" s="27" t="s">
        <v>15</v>
      </c>
      <c r="D795" s="28">
        <v>1</v>
      </c>
      <c r="E795" s="31">
        <v>4025.8739999999998</v>
      </c>
      <c r="F795" s="30">
        <f t="shared" ref="F795" si="240">+D795*E795</f>
        <v>4025.8739999999998</v>
      </c>
    </row>
    <row r="796" spans="1:6" x14ac:dyDescent="0.2">
      <c r="A796" s="22" t="s">
        <v>1081</v>
      </c>
      <c r="B796" s="23" t="s">
        <v>203</v>
      </c>
      <c r="C796" s="23"/>
      <c r="D796" s="24"/>
      <c r="E796" s="24"/>
      <c r="F796" s="25">
        <f>F797</f>
        <v>4353.87</v>
      </c>
    </row>
    <row r="797" spans="1:6" ht="39" x14ac:dyDescent="0.2">
      <c r="A797" s="26" t="s">
        <v>1082</v>
      </c>
      <c r="B797" s="27" t="s">
        <v>1014</v>
      </c>
      <c r="C797" s="27" t="s">
        <v>80</v>
      </c>
      <c r="D797" s="43">
        <v>512.22</v>
      </c>
      <c r="E797" s="28">
        <v>8.5</v>
      </c>
      <c r="F797" s="30">
        <f t="shared" ref="F797" si="241">+D797*E797</f>
        <v>4353.87</v>
      </c>
    </row>
    <row r="798" spans="1:6" ht="39" x14ac:dyDescent="0.2">
      <c r="A798" s="18" t="s">
        <v>1083</v>
      </c>
      <c r="B798" s="19" t="s">
        <v>1084</v>
      </c>
      <c r="C798" s="19"/>
      <c r="D798" s="20"/>
      <c r="E798" s="20"/>
      <c r="F798" s="21">
        <f>F799+F801+F803</f>
        <v>61398.940300000002</v>
      </c>
    </row>
    <row r="799" spans="1:6" x14ac:dyDescent="0.2">
      <c r="A799" s="22" t="s">
        <v>1085</v>
      </c>
      <c r="B799" s="23" t="s">
        <v>1009</v>
      </c>
      <c r="C799" s="23"/>
      <c r="D799" s="24"/>
      <c r="E799" s="24"/>
      <c r="F799" s="25">
        <f>F800</f>
        <v>1092.5153</v>
      </c>
    </row>
    <row r="800" spans="1:6" x14ac:dyDescent="0.2">
      <c r="A800" s="26" t="s">
        <v>1086</v>
      </c>
      <c r="B800" s="27" t="s">
        <v>1088</v>
      </c>
      <c r="C800" s="27" t="s">
        <v>15</v>
      </c>
      <c r="D800" s="28">
        <v>1</v>
      </c>
      <c r="E800" s="31">
        <v>1092.5153</v>
      </c>
      <c r="F800" s="30">
        <f t="shared" ref="F800" si="242">+D800*E800</f>
        <v>1092.5153</v>
      </c>
    </row>
    <row r="801" spans="1:6" x14ac:dyDescent="0.2">
      <c r="A801" s="22" t="s">
        <v>1087</v>
      </c>
      <c r="B801" s="23" t="s">
        <v>1090</v>
      </c>
      <c r="C801" s="23"/>
      <c r="D801" s="24"/>
      <c r="E801" s="24"/>
      <c r="F801" s="25">
        <f>F802</f>
        <v>40000</v>
      </c>
    </row>
    <row r="802" spans="1:6" x14ac:dyDescent="0.2">
      <c r="A802" s="45">
        <v>8009002001</v>
      </c>
      <c r="B802" s="27" t="s">
        <v>1092</v>
      </c>
      <c r="C802" s="27" t="s">
        <v>15</v>
      </c>
      <c r="D802" s="28">
        <v>1</v>
      </c>
      <c r="E802" s="29">
        <v>40000</v>
      </c>
      <c r="F802" s="30">
        <f t="shared" ref="F802" si="243">+D802*E802</f>
        <v>40000</v>
      </c>
    </row>
    <row r="803" spans="1:6" x14ac:dyDescent="0.2">
      <c r="A803" s="22" t="s">
        <v>1089</v>
      </c>
      <c r="B803" s="23" t="s">
        <v>203</v>
      </c>
      <c r="C803" s="23"/>
      <c r="D803" s="24"/>
      <c r="E803" s="24"/>
      <c r="F803" s="25">
        <f>SUM(F804:F805)</f>
        <v>20306.424999999999</v>
      </c>
    </row>
    <row r="804" spans="1:6" ht="39" x14ac:dyDescent="0.2">
      <c r="A804" s="26" t="s">
        <v>1091</v>
      </c>
      <c r="B804" s="27" t="s">
        <v>1014</v>
      </c>
      <c r="C804" s="27" t="s">
        <v>80</v>
      </c>
      <c r="D804" s="42">
        <v>36.049999999999997</v>
      </c>
      <c r="E804" s="28">
        <v>8.5</v>
      </c>
      <c r="F804" s="30">
        <f t="shared" ref="F804:F805" si="244">+D804*E804</f>
        <v>306.42499999999995</v>
      </c>
    </row>
    <row r="805" spans="1:6" ht="39" x14ac:dyDescent="0.2">
      <c r="A805" s="45">
        <v>8009003002</v>
      </c>
      <c r="B805" s="27" t="s">
        <v>1093</v>
      </c>
      <c r="C805" s="27" t="s">
        <v>15</v>
      </c>
      <c r="D805" s="28">
        <v>1</v>
      </c>
      <c r="E805" s="29">
        <v>20000</v>
      </c>
      <c r="F805" s="30">
        <f t="shared" si="244"/>
        <v>20000</v>
      </c>
    </row>
    <row r="806" spans="1:6" x14ac:dyDescent="0.2">
      <c r="A806" s="18" t="s">
        <v>1094</v>
      </c>
      <c r="B806" s="19" t="s">
        <v>1095</v>
      </c>
      <c r="C806" s="19"/>
      <c r="D806" s="20"/>
      <c r="E806" s="20"/>
      <c r="F806" s="21">
        <f>F809+F807</f>
        <v>1132.7947000000001</v>
      </c>
    </row>
    <row r="807" spans="1:6" x14ac:dyDescent="0.2">
      <c r="A807" s="22" t="s">
        <v>1096</v>
      </c>
      <c r="B807" s="23" t="s">
        <v>1009</v>
      </c>
      <c r="C807" s="23"/>
      <c r="D807" s="24"/>
      <c r="E807" s="24"/>
      <c r="F807" s="25">
        <f>F808</f>
        <v>726.15470000000005</v>
      </c>
    </row>
    <row r="808" spans="1:6" x14ac:dyDescent="0.2">
      <c r="A808" s="26" t="s">
        <v>1097</v>
      </c>
      <c r="B808" s="27" t="s">
        <v>1098</v>
      </c>
      <c r="C808" s="27" t="s">
        <v>15</v>
      </c>
      <c r="D808" s="28">
        <v>1</v>
      </c>
      <c r="E808" s="43">
        <v>726.15470000000005</v>
      </c>
      <c r="F808" s="30">
        <f t="shared" ref="F808" si="245">+D808*E808</f>
        <v>726.15470000000005</v>
      </c>
    </row>
    <row r="809" spans="1:6" x14ac:dyDescent="0.2">
      <c r="A809" s="22" t="s">
        <v>1099</v>
      </c>
      <c r="B809" s="23" t="s">
        <v>203</v>
      </c>
      <c r="C809" s="23"/>
      <c r="D809" s="24"/>
      <c r="E809" s="24"/>
      <c r="F809" s="25">
        <f>F810</f>
        <v>406.64000000000004</v>
      </c>
    </row>
    <row r="810" spans="1:6" ht="39" x14ac:dyDescent="0.2">
      <c r="A810" s="26" t="s">
        <v>1100</v>
      </c>
      <c r="B810" s="27" t="s">
        <v>1014</v>
      </c>
      <c r="C810" s="27" t="s">
        <v>80</v>
      </c>
      <c r="D810" s="42">
        <v>47.84</v>
      </c>
      <c r="E810" s="28">
        <v>8.5</v>
      </c>
      <c r="F810" s="30">
        <f t="shared" ref="F810" si="246">+D810*E810</f>
        <v>406.64000000000004</v>
      </c>
    </row>
    <row r="811" spans="1:6" x14ac:dyDescent="0.2">
      <c r="A811" s="14" t="s">
        <v>1101</v>
      </c>
      <c r="B811" s="15" t="s">
        <v>1102</v>
      </c>
      <c r="C811" s="15"/>
      <c r="D811" s="16"/>
      <c r="E811" s="16"/>
      <c r="F811" s="17">
        <f>F812</f>
        <v>1031174.5449999999</v>
      </c>
    </row>
    <row r="812" spans="1:6" x14ac:dyDescent="0.2">
      <c r="A812" s="18" t="s">
        <v>1103</v>
      </c>
      <c r="B812" s="19" t="s">
        <v>1102</v>
      </c>
      <c r="C812" s="19"/>
      <c r="D812" s="20"/>
      <c r="E812" s="20"/>
      <c r="F812" s="21">
        <f>F813+F815+F821+F817+F825</f>
        <v>1031174.5449999999</v>
      </c>
    </row>
    <row r="813" spans="1:6" x14ac:dyDescent="0.2">
      <c r="A813" s="22" t="s">
        <v>1104</v>
      </c>
      <c r="B813" s="23" t="s">
        <v>1105</v>
      </c>
      <c r="C813" s="23"/>
      <c r="D813" s="24"/>
      <c r="E813" s="24"/>
      <c r="F813" s="25">
        <f>F814</f>
        <v>45000</v>
      </c>
    </row>
    <row r="814" spans="1:6" x14ac:dyDescent="0.2">
      <c r="A814" s="26" t="s">
        <v>1106</v>
      </c>
      <c r="B814" s="27" t="s">
        <v>1107</v>
      </c>
      <c r="C814" s="27" t="s">
        <v>15</v>
      </c>
      <c r="D814" s="28">
        <v>1</v>
      </c>
      <c r="E814" s="29">
        <v>45000</v>
      </c>
      <c r="F814" s="30">
        <f t="shared" ref="F814" si="247">+D814*E814</f>
        <v>45000</v>
      </c>
    </row>
    <row r="815" spans="1:6" x14ac:dyDescent="0.2">
      <c r="A815" s="22" t="s">
        <v>1108</v>
      </c>
      <c r="B815" s="23" t="s">
        <v>1109</v>
      </c>
      <c r="C815" s="23"/>
      <c r="D815" s="24"/>
      <c r="E815" s="24"/>
      <c r="F815" s="25">
        <f>F816</f>
        <v>459000</v>
      </c>
    </row>
    <row r="816" spans="1:6" x14ac:dyDescent="0.2">
      <c r="A816" s="26" t="s">
        <v>1110</v>
      </c>
      <c r="B816" s="27" t="s">
        <v>1111</v>
      </c>
      <c r="C816" s="27" t="s">
        <v>394</v>
      </c>
      <c r="D816" s="28">
        <v>2</v>
      </c>
      <c r="E816" s="32">
        <v>229500</v>
      </c>
      <c r="F816" s="30">
        <f t="shared" ref="F816" si="248">+D816*E816</f>
        <v>459000</v>
      </c>
    </row>
    <row r="817" spans="1:6" x14ac:dyDescent="0.2">
      <c r="A817" s="22" t="s">
        <v>1112</v>
      </c>
      <c r="B817" s="23" t="s">
        <v>1113</v>
      </c>
      <c r="C817" s="23"/>
      <c r="D817" s="24"/>
      <c r="E817" s="24"/>
      <c r="F817" s="25">
        <f>SUM(F818:F820)</f>
        <v>182652.46979999999</v>
      </c>
    </row>
    <row r="818" spans="1:6" x14ac:dyDescent="0.2">
      <c r="A818" s="26" t="s">
        <v>1114</v>
      </c>
      <c r="B818" s="27" t="s">
        <v>1115</v>
      </c>
      <c r="C818" s="27" t="s">
        <v>15</v>
      </c>
      <c r="D818" s="28">
        <v>1</v>
      </c>
      <c r="E818" s="29">
        <v>65000</v>
      </c>
      <c r="F818" s="30">
        <f t="shared" ref="F818:F820" si="249">+D818*E818</f>
        <v>65000</v>
      </c>
    </row>
    <row r="819" spans="1:6" ht="39" x14ac:dyDescent="0.2">
      <c r="A819" s="26" t="s">
        <v>1116</v>
      </c>
      <c r="B819" s="27" t="s">
        <v>1117</v>
      </c>
      <c r="C819" s="27" t="s">
        <v>15</v>
      </c>
      <c r="D819" s="28">
        <v>1</v>
      </c>
      <c r="E819" s="29">
        <v>62652.469799999999</v>
      </c>
      <c r="F819" s="30">
        <f t="shared" si="249"/>
        <v>62652.469799999999</v>
      </c>
    </row>
    <row r="820" spans="1:6" x14ac:dyDescent="0.2">
      <c r="A820" s="26" t="s">
        <v>1118</v>
      </c>
      <c r="B820" s="27" t="s">
        <v>1119</v>
      </c>
      <c r="C820" s="27" t="s">
        <v>15</v>
      </c>
      <c r="D820" s="28">
        <v>1</v>
      </c>
      <c r="E820" s="29">
        <v>55000</v>
      </c>
      <c r="F820" s="30">
        <f t="shared" si="249"/>
        <v>55000</v>
      </c>
    </row>
    <row r="821" spans="1:6" x14ac:dyDescent="0.2">
      <c r="A821" s="22" t="s">
        <v>1120</v>
      </c>
      <c r="B821" s="23" t="s">
        <v>1121</v>
      </c>
      <c r="C821" s="23"/>
      <c r="D821" s="24"/>
      <c r="E821" s="24"/>
      <c r="F821" s="25">
        <f>SUM(F822:F824)</f>
        <v>137322.07519999999</v>
      </c>
    </row>
    <row r="822" spans="1:6" ht="39" x14ac:dyDescent="0.2">
      <c r="A822" s="26" t="s">
        <v>1122</v>
      </c>
      <c r="B822" s="27" t="s">
        <v>2199</v>
      </c>
      <c r="C822" s="27" t="s">
        <v>80</v>
      </c>
      <c r="D822" s="28">
        <v>100.32</v>
      </c>
      <c r="E822" s="29">
        <v>319.11</v>
      </c>
      <c r="F822" s="30">
        <f t="shared" ref="F822:F824" si="250">+D822*E822</f>
        <v>32013.1152</v>
      </c>
    </row>
    <row r="823" spans="1:6" x14ac:dyDescent="0.2">
      <c r="A823" s="26" t="s">
        <v>1123</v>
      </c>
      <c r="B823" s="27" t="s">
        <v>2200</v>
      </c>
      <c r="C823" s="27" t="s">
        <v>80</v>
      </c>
      <c r="D823" s="28">
        <v>100.32</v>
      </c>
      <c r="E823" s="32">
        <v>28</v>
      </c>
      <c r="F823" s="30">
        <f t="shared" ref="F823" si="251">+D823*E823</f>
        <v>2808.96</v>
      </c>
    </row>
    <row r="824" spans="1:6" x14ac:dyDescent="0.2">
      <c r="A824" s="26" t="s">
        <v>2201</v>
      </c>
      <c r="B824" s="27" t="s">
        <v>1124</v>
      </c>
      <c r="C824" s="27" t="s">
        <v>15</v>
      </c>
      <c r="D824" s="28">
        <v>1</v>
      </c>
      <c r="E824" s="32">
        <v>102500</v>
      </c>
      <c r="F824" s="30">
        <f t="shared" si="250"/>
        <v>102500</v>
      </c>
    </row>
    <row r="825" spans="1:6" x14ac:dyDescent="0.2">
      <c r="A825" s="22" t="s">
        <v>1125</v>
      </c>
      <c r="B825" s="23" t="s">
        <v>1126</v>
      </c>
      <c r="C825" s="23"/>
      <c r="D825" s="24"/>
      <c r="E825" s="24"/>
      <c r="F825" s="25">
        <f>SUM(F826:F827)</f>
        <v>207200</v>
      </c>
    </row>
    <row r="826" spans="1:6" x14ac:dyDescent="0.2">
      <c r="A826" s="26" t="s">
        <v>1127</v>
      </c>
      <c r="B826" s="27" t="s">
        <v>1128</v>
      </c>
      <c r="C826" s="27" t="s">
        <v>394</v>
      </c>
      <c r="D826" s="28">
        <v>36</v>
      </c>
      <c r="E826" s="31">
        <v>200</v>
      </c>
      <c r="F826" s="30">
        <f t="shared" ref="F826:F827" si="252">+D826*E826</f>
        <v>7200</v>
      </c>
    </row>
    <row r="827" spans="1:6" x14ac:dyDescent="0.2">
      <c r="A827" s="26" t="s">
        <v>1129</v>
      </c>
      <c r="B827" s="27" t="s">
        <v>1130</v>
      </c>
      <c r="C827" s="27" t="s">
        <v>15</v>
      </c>
      <c r="D827" s="28">
        <v>1</v>
      </c>
      <c r="E827" s="32">
        <v>200000</v>
      </c>
      <c r="F827" s="30">
        <f t="shared" si="252"/>
        <v>200000</v>
      </c>
    </row>
    <row r="828" spans="1:6" x14ac:dyDescent="0.2">
      <c r="A828" s="14" t="s">
        <v>1131</v>
      </c>
      <c r="B828" s="15" t="s">
        <v>1132</v>
      </c>
      <c r="C828" s="15"/>
      <c r="D828" s="16"/>
      <c r="E828" s="16"/>
      <c r="F828" s="17">
        <f>F829+F839+F844+F849+F859+F875+F888+F904</f>
        <v>295931.891328</v>
      </c>
    </row>
    <row r="829" spans="1:6" ht="39" x14ac:dyDescent="0.2">
      <c r="A829" s="18" t="s">
        <v>1133</v>
      </c>
      <c r="B829" s="19" t="s">
        <v>1134</v>
      </c>
      <c r="C829" s="19"/>
      <c r="D829" s="20"/>
      <c r="E829" s="20"/>
      <c r="F829" s="21">
        <f>F830+F832+F835</f>
        <v>16381.030232999999</v>
      </c>
    </row>
    <row r="830" spans="1:6" x14ac:dyDescent="0.2">
      <c r="A830" s="22" t="s">
        <v>1135</v>
      </c>
      <c r="B830" s="23" t="s">
        <v>1136</v>
      </c>
      <c r="C830" s="23"/>
      <c r="D830" s="24"/>
      <c r="E830" s="24"/>
      <c r="F830" s="25">
        <f>F831</f>
        <v>6436.9382279999991</v>
      </c>
    </row>
    <row r="831" spans="1:6" ht="39" x14ac:dyDescent="0.2">
      <c r="A831" s="26" t="s">
        <v>1137</v>
      </c>
      <c r="B831" s="27" t="s">
        <v>1138</v>
      </c>
      <c r="C831" s="27" t="s">
        <v>80</v>
      </c>
      <c r="D831" s="42">
        <v>68.91</v>
      </c>
      <c r="E831" s="42">
        <v>93.410799999999995</v>
      </c>
      <c r="F831" s="30">
        <f t="shared" ref="F831" si="253">+D831*E831</f>
        <v>6436.9382279999991</v>
      </c>
    </row>
    <row r="832" spans="1:6" x14ac:dyDescent="0.2">
      <c r="A832" s="22" t="s">
        <v>1139</v>
      </c>
      <c r="B832" s="23" t="s">
        <v>1140</v>
      </c>
      <c r="C832" s="23"/>
      <c r="D832" s="24"/>
      <c r="E832" s="24"/>
      <c r="F832" s="25">
        <f>SUM(F833:F834)</f>
        <v>2260.6270049999998</v>
      </c>
    </row>
    <row r="833" spans="1:6" x14ac:dyDescent="0.2">
      <c r="A833" s="26" t="s">
        <v>1141</v>
      </c>
      <c r="B833" s="27" t="s">
        <v>1142</v>
      </c>
      <c r="C833" s="27" t="s">
        <v>80</v>
      </c>
      <c r="D833" s="42">
        <v>68.91</v>
      </c>
      <c r="E833" s="28">
        <v>5.4249000000000001</v>
      </c>
      <c r="F833" s="30">
        <f t="shared" ref="F833:F834" si="254">+D833*E833</f>
        <v>373.829859</v>
      </c>
    </row>
    <row r="834" spans="1:6" ht="58.5" x14ac:dyDescent="0.2">
      <c r="A834" s="26" t="s">
        <v>1143</v>
      </c>
      <c r="B834" s="27" t="s">
        <v>1144</v>
      </c>
      <c r="C834" s="27" t="s">
        <v>80</v>
      </c>
      <c r="D834" s="42">
        <v>68.91</v>
      </c>
      <c r="E834" s="42">
        <v>27.380600000000001</v>
      </c>
      <c r="F834" s="30">
        <f t="shared" si="254"/>
        <v>1886.7971459999999</v>
      </c>
    </row>
    <row r="835" spans="1:6" x14ac:dyDescent="0.2">
      <c r="A835" s="22" t="s">
        <v>1145</v>
      </c>
      <c r="B835" s="23" t="s">
        <v>203</v>
      </c>
      <c r="C835" s="23"/>
      <c r="D835" s="24"/>
      <c r="E835" s="24"/>
      <c r="F835" s="25">
        <f>SUM(F836:F838)</f>
        <v>7683.4650000000001</v>
      </c>
    </row>
    <row r="836" spans="1:6" x14ac:dyDescent="0.2">
      <c r="A836" s="26" t="s">
        <v>1146</v>
      </c>
      <c r="B836" s="27" t="s">
        <v>1147</v>
      </c>
      <c r="C836" s="27" t="s">
        <v>80</v>
      </c>
      <c r="D836" s="42">
        <v>68.91</v>
      </c>
      <c r="E836" s="42">
        <v>11.75</v>
      </c>
      <c r="F836" s="30">
        <f t="shared" ref="F836:F838" si="255">+D836*E836</f>
        <v>809.6925</v>
      </c>
    </row>
    <row r="837" spans="1:6" x14ac:dyDescent="0.2">
      <c r="A837" s="26" t="s">
        <v>1148</v>
      </c>
      <c r="B837" s="27" t="s">
        <v>1149</v>
      </c>
      <c r="C837" s="27" t="s">
        <v>80</v>
      </c>
      <c r="D837" s="42">
        <v>68.91</v>
      </c>
      <c r="E837" s="42">
        <v>68</v>
      </c>
      <c r="F837" s="30">
        <f t="shared" si="255"/>
        <v>4685.88</v>
      </c>
    </row>
    <row r="838" spans="1:6" ht="39" x14ac:dyDescent="0.2">
      <c r="A838" s="26" t="s">
        <v>1150</v>
      </c>
      <c r="B838" s="27" t="s">
        <v>1151</v>
      </c>
      <c r="C838" s="27" t="s">
        <v>80</v>
      </c>
      <c r="D838" s="42">
        <v>68.91</v>
      </c>
      <c r="E838" s="42">
        <v>31.75</v>
      </c>
      <c r="F838" s="30">
        <f t="shared" si="255"/>
        <v>2187.8924999999999</v>
      </c>
    </row>
    <row r="839" spans="1:6" ht="39" x14ac:dyDescent="0.2">
      <c r="A839" s="18">
        <v>10002</v>
      </c>
      <c r="B839" s="19" t="s">
        <v>1152</v>
      </c>
      <c r="C839" s="19"/>
      <c r="D839" s="20"/>
      <c r="E839" s="20"/>
      <c r="F839" s="21">
        <f>F840+F842</f>
        <v>30.604320000000001</v>
      </c>
    </row>
    <row r="840" spans="1:6" x14ac:dyDescent="0.2">
      <c r="A840" s="46">
        <v>10002001</v>
      </c>
      <c r="B840" s="23" t="s">
        <v>1153</v>
      </c>
      <c r="C840" s="23"/>
      <c r="D840" s="24"/>
      <c r="E840" s="24"/>
      <c r="F840" s="25">
        <f>F841</f>
        <v>14.152319999999998</v>
      </c>
    </row>
    <row r="841" spans="1:6" x14ac:dyDescent="0.2">
      <c r="A841" s="45">
        <v>10002001001</v>
      </c>
      <c r="B841" s="27" t="s">
        <v>1154</v>
      </c>
      <c r="C841" s="27" t="s">
        <v>80</v>
      </c>
      <c r="D841" s="28">
        <v>0.72</v>
      </c>
      <c r="E841" s="42">
        <v>19.655999999999999</v>
      </c>
      <c r="F841" s="30">
        <f t="shared" ref="F841" si="256">+D841*E841</f>
        <v>14.152319999999998</v>
      </c>
    </row>
    <row r="842" spans="1:6" x14ac:dyDescent="0.2">
      <c r="A842" s="46">
        <v>10002002</v>
      </c>
      <c r="B842" s="23" t="s">
        <v>203</v>
      </c>
      <c r="C842" s="23"/>
      <c r="D842" s="24"/>
      <c r="E842" s="24"/>
      <c r="F842" s="25">
        <f>F843</f>
        <v>16.452000000000002</v>
      </c>
    </row>
    <row r="843" spans="1:6" ht="39" x14ac:dyDescent="0.2">
      <c r="A843" s="45">
        <v>10002002001</v>
      </c>
      <c r="B843" s="27" t="s">
        <v>1155</v>
      </c>
      <c r="C843" s="27" t="s">
        <v>80</v>
      </c>
      <c r="D843" s="28">
        <v>0.72</v>
      </c>
      <c r="E843" s="42">
        <v>22.85</v>
      </c>
      <c r="F843" s="30">
        <f t="shared" ref="F843" si="257">+D843*E843</f>
        <v>16.452000000000002</v>
      </c>
    </row>
    <row r="844" spans="1:6" ht="39" x14ac:dyDescent="0.2">
      <c r="A844" s="18">
        <v>10003</v>
      </c>
      <c r="B844" s="19" t="s">
        <v>1156</v>
      </c>
      <c r="C844" s="19"/>
      <c r="D844" s="20"/>
      <c r="E844" s="20"/>
      <c r="F844" s="21">
        <f>F845+F847</f>
        <v>287.34055999999998</v>
      </c>
    </row>
    <row r="845" spans="1:6" x14ac:dyDescent="0.2">
      <c r="A845" s="46">
        <v>10003001</v>
      </c>
      <c r="B845" s="23" t="s">
        <v>1153</v>
      </c>
      <c r="C845" s="23"/>
      <c r="D845" s="24"/>
      <c r="E845" s="24"/>
      <c r="F845" s="25">
        <f>F846</f>
        <v>132.87455999999997</v>
      </c>
    </row>
    <row r="846" spans="1:6" x14ac:dyDescent="0.2">
      <c r="A846" s="45">
        <v>10003001001</v>
      </c>
      <c r="B846" s="27" t="s">
        <v>1154</v>
      </c>
      <c r="C846" s="27" t="s">
        <v>80</v>
      </c>
      <c r="D846" s="28">
        <v>6.76</v>
      </c>
      <c r="E846" s="42">
        <v>19.655999999999999</v>
      </c>
      <c r="F846" s="30">
        <f t="shared" ref="F846" si="258">+D846*E846</f>
        <v>132.87455999999997</v>
      </c>
    </row>
    <row r="847" spans="1:6" x14ac:dyDescent="0.2">
      <c r="A847" s="46">
        <v>10003002</v>
      </c>
      <c r="B847" s="23" t="s">
        <v>203</v>
      </c>
      <c r="C847" s="23"/>
      <c r="D847" s="24"/>
      <c r="E847" s="24"/>
      <c r="F847" s="25">
        <f>F848</f>
        <v>154.46600000000001</v>
      </c>
    </row>
    <row r="848" spans="1:6" ht="39" x14ac:dyDescent="0.2">
      <c r="A848" s="45">
        <v>10003002001</v>
      </c>
      <c r="B848" s="27" t="s">
        <v>1155</v>
      </c>
      <c r="C848" s="27" t="s">
        <v>80</v>
      </c>
      <c r="D848" s="28">
        <v>6.76</v>
      </c>
      <c r="E848" s="42">
        <v>22.85</v>
      </c>
      <c r="F848" s="30">
        <f t="shared" ref="F848" si="259">+D848*E848</f>
        <v>154.46600000000001</v>
      </c>
    </row>
    <row r="849" spans="1:6" ht="39" x14ac:dyDescent="0.2">
      <c r="A849" s="18">
        <v>10004</v>
      </c>
      <c r="B849" s="19" t="s">
        <v>1157</v>
      </c>
      <c r="C849" s="19"/>
      <c r="D849" s="20"/>
      <c r="E849" s="20"/>
      <c r="F849" s="21">
        <f>F850+F852+F855</f>
        <v>197.74245400000001</v>
      </c>
    </row>
    <row r="850" spans="1:6" x14ac:dyDescent="0.2">
      <c r="A850" s="46">
        <v>10004001</v>
      </c>
      <c r="B850" s="23" t="s">
        <v>1158</v>
      </c>
      <c r="C850" s="23"/>
      <c r="D850" s="24"/>
      <c r="E850" s="24"/>
      <c r="F850" s="25">
        <f>F851</f>
        <v>30.201444000000002</v>
      </c>
    </row>
    <row r="851" spans="1:6" ht="39" x14ac:dyDescent="0.2">
      <c r="A851" s="45">
        <v>10004001001</v>
      </c>
      <c r="B851" s="27" t="s">
        <v>1159</v>
      </c>
      <c r="C851" s="27" t="s">
        <v>80</v>
      </c>
      <c r="D851" s="28">
        <v>1.82</v>
      </c>
      <c r="E851" s="42">
        <v>16.594200000000001</v>
      </c>
      <c r="F851" s="30">
        <f t="shared" ref="F851" si="260">+D851*E851</f>
        <v>30.201444000000002</v>
      </c>
    </row>
    <row r="852" spans="1:6" x14ac:dyDescent="0.2">
      <c r="A852" s="46">
        <v>10004002</v>
      </c>
      <c r="B852" s="23" t="s">
        <v>1140</v>
      </c>
      <c r="C852" s="23"/>
      <c r="D852" s="24"/>
      <c r="E852" s="24"/>
      <c r="F852" s="25">
        <f>SUM(F853:F854)</f>
        <v>59.706010000000006</v>
      </c>
    </row>
    <row r="853" spans="1:6" x14ac:dyDescent="0.2">
      <c r="A853" s="45">
        <v>10004002001</v>
      </c>
      <c r="B853" s="27" t="s">
        <v>1142</v>
      </c>
      <c r="C853" s="27" t="s">
        <v>80</v>
      </c>
      <c r="D853" s="28">
        <v>1.82</v>
      </c>
      <c r="E853" s="28">
        <v>5.4249000000000001</v>
      </c>
      <c r="F853" s="30">
        <f t="shared" ref="F853:F854" si="261">+D853*E853</f>
        <v>9.8733180000000011</v>
      </c>
    </row>
    <row r="854" spans="1:6" ht="58.5" x14ac:dyDescent="0.2">
      <c r="A854" s="45">
        <v>10004002002</v>
      </c>
      <c r="B854" s="27" t="s">
        <v>1144</v>
      </c>
      <c r="C854" s="27" t="s">
        <v>80</v>
      </c>
      <c r="D854" s="28">
        <v>1.82</v>
      </c>
      <c r="E854" s="42">
        <v>27.380600000000001</v>
      </c>
      <c r="F854" s="30">
        <f t="shared" si="261"/>
        <v>49.832692000000002</v>
      </c>
    </row>
    <row r="855" spans="1:6" x14ac:dyDescent="0.2">
      <c r="A855" s="46">
        <v>10004003</v>
      </c>
      <c r="B855" s="23" t="s">
        <v>203</v>
      </c>
      <c r="C855" s="23"/>
      <c r="D855" s="24"/>
      <c r="E855" s="24"/>
      <c r="F855" s="25">
        <f>SUM(F856:F858)</f>
        <v>107.83500000000001</v>
      </c>
    </row>
    <row r="856" spans="1:6" x14ac:dyDescent="0.2">
      <c r="A856" s="45">
        <v>10004003001</v>
      </c>
      <c r="B856" s="27" t="s">
        <v>1147</v>
      </c>
      <c r="C856" s="27" t="s">
        <v>80</v>
      </c>
      <c r="D856" s="28">
        <v>1.82</v>
      </c>
      <c r="E856" s="42">
        <v>11.75</v>
      </c>
      <c r="F856" s="30">
        <f t="shared" ref="F856:F858" si="262">+D856*E856</f>
        <v>21.385000000000002</v>
      </c>
    </row>
    <row r="857" spans="1:6" ht="39" x14ac:dyDescent="0.2">
      <c r="A857" s="45">
        <v>10004003002</v>
      </c>
      <c r="B857" s="27" t="s">
        <v>1160</v>
      </c>
      <c r="C857" s="27" t="s">
        <v>80</v>
      </c>
      <c r="D857" s="28">
        <v>1.82</v>
      </c>
      <c r="E857" s="42">
        <v>15.75</v>
      </c>
      <c r="F857" s="30">
        <f t="shared" si="262"/>
        <v>28.665000000000003</v>
      </c>
    </row>
    <row r="858" spans="1:6" ht="39" x14ac:dyDescent="0.2">
      <c r="A858" s="45">
        <v>10004003003</v>
      </c>
      <c r="B858" s="27" t="s">
        <v>1151</v>
      </c>
      <c r="C858" s="27" t="s">
        <v>80</v>
      </c>
      <c r="D858" s="28">
        <v>1.82</v>
      </c>
      <c r="E858" s="42">
        <v>31.75</v>
      </c>
      <c r="F858" s="30">
        <f t="shared" si="262"/>
        <v>57.785000000000004</v>
      </c>
    </row>
    <row r="859" spans="1:6" ht="39" x14ac:dyDescent="0.2">
      <c r="A859" s="18">
        <v>10005</v>
      </c>
      <c r="B859" s="19" t="s">
        <v>1161</v>
      </c>
      <c r="C859" s="19"/>
      <c r="D859" s="20"/>
      <c r="E859" s="20"/>
      <c r="F859" s="21">
        <f>F860+F862+F864+F866+F869</f>
        <v>88088.87987199999</v>
      </c>
    </row>
    <row r="860" spans="1:6" x14ac:dyDescent="0.2">
      <c r="A860" s="46">
        <v>10005001</v>
      </c>
      <c r="B860" s="23" t="s">
        <v>1136</v>
      </c>
      <c r="C860" s="23"/>
      <c r="D860" s="24"/>
      <c r="E860" s="24"/>
      <c r="F860" s="25">
        <f>F861</f>
        <v>34091.205567999998</v>
      </c>
    </row>
    <row r="861" spans="1:6" ht="39" x14ac:dyDescent="0.2">
      <c r="A861" s="45">
        <v>10005001001</v>
      </c>
      <c r="B861" s="27" t="s">
        <v>1138</v>
      </c>
      <c r="C861" s="27" t="s">
        <v>80</v>
      </c>
      <c r="D861" s="43">
        <v>364.96</v>
      </c>
      <c r="E861" s="42">
        <v>93.410799999999995</v>
      </c>
      <c r="F861" s="30">
        <f t="shared" ref="F861" si="263">+D861*E861</f>
        <v>34091.205567999998</v>
      </c>
    </row>
    <row r="862" spans="1:6" x14ac:dyDescent="0.2">
      <c r="A862" s="46">
        <v>10005002</v>
      </c>
      <c r="B862" s="23" t="s">
        <v>1153</v>
      </c>
      <c r="C862" s="23"/>
      <c r="D862" s="24"/>
      <c r="E862" s="24"/>
      <c r="F862" s="25">
        <f>F863</f>
        <v>127.56743999999999</v>
      </c>
    </row>
    <row r="863" spans="1:6" x14ac:dyDescent="0.2">
      <c r="A863" s="45">
        <v>10005002001</v>
      </c>
      <c r="B863" s="27" t="s">
        <v>1154</v>
      </c>
      <c r="C863" s="27" t="s">
        <v>80</v>
      </c>
      <c r="D863" s="28">
        <v>6.49</v>
      </c>
      <c r="E863" s="42">
        <v>19.655999999999999</v>
      </c>
      <c r="F863" s="30">
        <f t="shared" ref="F863" si="264">+D863*E863</f>
        <v>127.56743999999999</v>
      </c>
    </row>
    <row r="864" spans="1:6" x14ac:dyDescent="0.2">
      <c r="A864" s="46">
        <v>10005003</v>
      </c>
      <c r="B864" s="23" t="s">
        <v>1158</v>
      </c>
      <c r="C864" s="23"/>
      <c r="D864" s="24"/>
      <c r="E864" s="24"/>
      <c r="F864" s="25">
        <f>F865</f>
        <v>161.295624</v>
      </c>
    </row>
    <row r="865" spans="1:6" ht="39" x14ac:dyDescent="0.2">
      <c r="A865" s="45">
        <v>10005003001</v>
      </c>
      <c r="B865" s="27" t="s">
        <v>1159</v>
      </c>
      <c r="C865" s="27" t="s">
        <v>80</v>
      </c>
      <c r="D865" s="28">
        <v>9.7200000000000006</v>
      </c>
      <c r="E865" s="42">
        <v>16.594200000000001</v>
      </c>
      <c r="F865" s="30">
        <f t="shared" ref="F865" si="265">+D865*E865</f>
        <v>161.295624</v>
      </c>
    </row>
    <row r="866" spans="1:6" x14ac:dyDescent="0.2">
      <c r="A866" s="46">
        <v>10005004</v>
      </c>
      <c r="B866" s="23" t="s">
        <v>1140</v>
      </c>
      <c r="C866" s="23"/>
      <c r="D866" s="24"/>
      <c r="E866" s="24"/>
      <c r="F866" s="25">
        <f>SUM(F867:F868)</f>
        <v>12291.564740000002</v>
      </c>
    </row>
    <row r="867" spans="1:6" x14ac:dyDescent="0.2">
      <c r="A867" s="45">
        <v>10005004001</v>
      </c>
      <c r="B867" s="27" t="s">
        <v>1142</v>
      </c>
      <c r="C867" s="27" t="s">
        <v>80</v>
      </c>
      <c r="D867" s="43">
        <v>374.68</v>
      </c>
      <c r="E867" s="28">
        <v>5.4249000000000001</v>
      </c>
      <c r="F867" s="30">
        <f t="shared" ref="F867:F868" si="266">+D867*E867</f>
        <v>2032.6015320000001</v>
      </c>
    </row>
    <row r="868" spans="1:6" ht="58.5" x14ac:dyDescent="0.2">
      <c r="A868" s="45">
        <v>10005004002</v>
      </c>
      <c r="B868" s="27" t="s">
        <v>1144</v>
      </c>
      <c r="C868" s="27" t="s">
        <v>80</v>
      </c>
      <c r="D868" s="43">
        <v>374.68</v>
      </c>
      <c r="E868" s="42">
        <v>27.380600000000001</v>
      </c>
      <c r="F868" s="30">
        <f t="shared" si="266"/>
        <v>10258.963208000001</v>
      </c>
    </row>
    <row r="869" spans="1:6" x14ac:dyDescent="0.2">
      <c r="A869" s="46">
        <v>10005005</v>
      </c>
      <c r="B869" s="23" t="s">
        <v>203</v>
      </c>
      <c r="C869" s="23"/>
      <c r="D869" s="24"/>
      <c r="E869" s="24"/>
      <c r="F869" s="25">
        <f>SUM(F870:F874)</f>
        <v>41417.246499999994</v>
      </c>
    </row>
    <row r="870" spans="1:6" x14ac:dyDescent="0.2">
      <c r="A870" s="45">
        <v>10005005001</v>
      </c>
      <c r="B870" s="27" t="s">
        <v>1147</v>
      </c>
      <c r="C870" s="27" t="s">
        <v>80</v>
      </c>
      <c r="D870" s="43">
        <v>374.68</v>
      </c>
      <c r="E870" s="42">
        <v>11.75</v>
      </c>
      <c r="F870" s="30">
        <f t="shared" ref="F870:F874" si="267">+D870*E870</f>
        <v>4402.49</v>
      </c>
    </row>
    <row r="871" spans="1:6" x14ac:dyDescent="0.2">
      <c r="A871" s="45">
        <v>10005005002</v>
      </c>
      <c r="B871" s="27" t="s">
        <v>1149</v>
      </c>
      <c r="C871" s="27" t="s">
        <v>80</v>
      </c>
      <c r="D871" s="43">
        <v>364.96</v>
      </c>
      <c r="E871" s="42">
        <v>68</v>
      </c>
      <c r="F871" s="30">
        <f t="shared" si="267"/>
        <v>24817.279999999999</v>
      </c>
    </row>
    <row r="872" spans="1:6" ht="39" x14ac:dyDescent="0.2">
      <c r="A872" s="45">
        <v>10005005003</v>
      </c>
      <c r="B872" s="27" t="s">
        <v>1160</v>
      </c>
      <c r="C872" s="27" t="s">
        <v>80</v>
      </c>
      <c r="D872" s="28">
        <v>9.7200000000000006</v>
      </c>
      <c r="E872" s="42">
        <v>15.75</v>
      </c>
      <c r="F872" s="30">
        <f t="shared" si="267"/>
        <v>153.09</v>
      </c>
    </row>
    <row r="873" spans="1:6" ht="39" x14ac:dyDescent="0.2">
      <c r="A873" s="45">
        <v>10005005004</v>
      </c>
      <c r="B873" s="27" t="s">
        <v>1155</v>
      </c>
      <c r="C873" s="27" t="s">
        <v>80</v>
      </c>
      <c r="D873" s="28">
        <v>6.49</v>
      </c>
      <c r="E873" s="42">
        <v>22.85</v>
      </c>
      <c r="F873" s="30">
        <f t="shared" si="267"/>
        <v>148.29650000000001</v>
      </c>
    </row>
    <row r="874" spans="1:6" ht="39" x14ac:dyDescent="0.2">
      <c r="A874" s="45">
        <v>10005005005</v>
      </c>
      <c r="B874" s="27" t="s">
        <v>1151</v>
      </c>
      <c r="C874" s="27" t="s">
        <v>80</v>
      </c>
      <c r="D874" s="43">
        <v>374.68</v>
      </c>
      <c r="E874" s="42">
        <v>31.75</v>
      </c>
      <c r="F874" s="30">
        <f t="shared" si="267"/>
        <v>11896.09</v>
      </c>
    </row>
    <row r="875" spans="1:6" ht="39" x14ac:dyDescent="0.2">
      <c r="A875" s="18">
        <v>10006</v>
      </c>
      <c r="B875" s="19" t="s">
        <v>1162</v>
      </c>
      <c r="C875" s="19"/>
      <c r="D875" s="20"/>
      <c r="E875" s="20"/>
      <c r="F875" s="21">
        <f>F876+F878+F880+F883</f>
        <v>104551.41123200001</v>
      </c>
    </row>
    <row r="876" spans="1:6" x14ac:dyDescent="0.2">
      <c r="A876" s="46">
        <v>10006001</v>
      </c>
      <c r="B876" s="23" t="s">
        <v>1153</v>
      </c>
      <c r="C876" s="23"/>
      <c r="D876" s="24"/>
      <c r="E876" s="24"/>
      <c r="F876" s="25">
        <f>F877</f>
        <v>1272.1363199999998</v>
      </c>
    </row>
    <row r="877" spans="1:6" x14ac:dyDescent="0.2">
      <c r="A877" s="45">
        <v>10006001001</v>
      </c>
      <c r="B877" s="27" t="s">
        <v>1154</v>
      </c>
      <c r="C877" s="27" t="s">
        <v>80</v>
      </c>
      <c r="D877" s="42">
        <v>64.72</v>
      </c>
      <c r="E877" s="42">
        <v>19.655999999999999</v>
      </c>
      <c r="F877" s="30">
        <f t="shared" ref="F877" si="268">+D877*E877</f>
        <v>1272.1363199999998</v>
      </c>
    </row>
    <row r="878" spans="1:6" x14ac:dyDescent="0.2">
      <c r="A878" s="46">
        <v>10006002</v>
      </c>
      <c r="B878" s="23" t="s">
        <v>1158</v>
      </c>
      <c r="C878" s="23"/>
      <c r="D878" s="24"/>
      <c r="E878" s="24"/>
      <c r="F878" s="25">
        <f>F879</f>
        <v>15548.101632000002</v>
      </c>
    </row>
    <row r="879" spans="1:6" ht="39" x14ac:dyDescent="0.2">
      <c r="A879" s="45">
        <v>10006002001</v>
      </c>
      <c r="B879" s="27" t="s">
        <v>1159</v>
      </c>
      <c r="C879" s="27" t="s">
        <v>80</v>
      </c>
      <c r="D879" s="43">
        <v>936.96</v>
      </c>
      <c r="E879" s="42">
        <v>16.594200000000001</v>
      </c>
      <c r="F879" s="30">
        <f t="shared" ref="F879" si="269">+D879*E879</f>
        <v>15548.101632000002</v>
      </c>
    </row>
    <row r="880" spans="1:6" x14ac:dyDescent="0.2">
      <c r="A880" s="46">
        <v>10006003</v>
      </c>
      <c r="B880" s="23" t="s">
        <v>1140</v>
      </c>
      <c r="C880" s="23"/>
      <c r="D880" s="24"/>
      <c r="E880" s="24"/>
      <c r="F880" s="25">
        <f>SUM(F881:F882)</f>
        <v>30737.441279999999</v>
      </c>
    </row>
    <row r="881" spans="1:6" x14ac:dyDescent="0.2">
      <c r="A881" s="45">
        <v>10006003001</v>
      </c>
      <c r="B881" s="27" t="s">
        <v>1142</v>
      </c>
      <c r="C881" s="27" t="s">
        <v>80</v>
      </c>
      <c r="D881" s="43">
        <v>936.96</v>
      </c>
      <c r="E881" s="28">
        <v>5.4249000000000001</v>
      </c>
      <c r="F881" s="30">
        <f t="shared" ref="F881:F882" si="270">+D881*E881</f>
        <v>5082.9143039999999</v>
      </c>
    </row>
    <row r="882" spans="1:6" ht="58.5" x14ac:dyDescent="0.2">
      <c r="A882" s="45">
        <v>10006003002</v>
      </c>
      <c r="B882" s="27" t="s">
        <v>1144</v>
      </c>
      <c r="C882" s="27" t="s">
        <v>80</v>
      </c>
      <c r="D882" s="43">
        <v>936.96</v>
      </c>
      <c r="E882" s="42">
        <v>27.380600000000001</v>
      </c>
      <c r="F882" s="30">
        <f t="shared" si="270"/>
        <v>25654.526976000001</v>
      </c>
    </row>
    <row r="883" spans="1:6" x14ac:dyDescent="0.2">
      <c r="A883" s="46">
        <v>10006004</v>
      </c>
      <c r="B883" s="23" t="s">
        <v>203</v>
      </c>
      <c r="C883" s="23"/>
      <c r="D883" s="24"/>
      <c r="E883" s="24"/>
      <c r="F883" s="25">
        <f>SUM(F884:F887)</f>
        <v>56993.732000000004</v>
      </c>
    </row>
    <row r="884" spans="1:6" x14ac:dyDescent="0.2">
      <c r="A884" s="45">
        <v>10006004001</v>
      </c>
      <c r="B884" s="27" t="s">
        <v>1147</v>
      </c>
      <c r="C884" s="27" t="s">
        <v>80</v>
      </c>
      <c r="D884" s="43">
        <v>936.96</v>
      </c>
      <c r="E884" s="42">
        <v>11.75</v>
      </c>
      <c r="F884" s="30">
        <f t="shared" ref="F884:F887" si="271">+D884*E884</f>
        <v>11009.28</v>
      </c>
    </row>
    <row r="885" spans="1:6" ht="39" x14ac:dyDescent="0.2">
      <c r="A885" s="45">
        <v>10006004002</v>
      </c>
      <c r="B885" s="27" t="s">
        <v>1160</v>
      </c>
      <c r="C885" s="27" t="s">
        <v>80</v>
      </c>
      <c r="D885" s="43">
        <v>936.96</v>
      </c>
      <c r="E885" s="42">
        <v>15.75</v>
      </c>
      <c r="F885" s="30">
        <f t="shared" si="271"/>
        <v>14757.12</v>
      </c>
    </row>
    <row r="886" spans="1:6" ht="39" x14ac:dyDescent="0.2">
      <c r="A886" s="45">
        <v>10006004003</v>
      </c>
      <c r="B886" s="27" t="s">
        <v>1155</v>
      </c>
      <c r="C886" s="27" t="s">
        <v>80</v>
      </c>
      <c r="D886" s="42">
        <v>64.72</v>
      </c>
      <c r="E886" s="42">
        <v>22.85</v>
      </c>
      <c r="F886" s="30">
        <f t="shared" si="271"/>
        <v>1478.8520000000001</v>
      </c>
    </row>
    <row r="887" spans="1:6" ht="39" x14ac:dyDescent="0.2">
      <c r="A887" s="45">
        <v>10006004004</v>
      </c>
      <c r="B887" s="27" t="s">
        <v>1151</v>
      </c>
      <c r="C887" s="27" t="s">
        <v>80</v>
      </c>
      <c r="D887" s="43">
        <v>936.96</v>
      </c>
      <c r="E887" s="42">
        <v>31.75</v>
      </c>
      <c r="F887" s="30">
        <f t="shared" si="271"/>
        <v>29748.48</v>
      </c>
    </row>
    <row r="888" spans="1:6" ht="39" x14ac:dyDescent="0.2">
      <c r="A888" s="18">
        <v>10007</v>
      </c>
      <c r="B888" s="19" t="s">
        <v>1163</v>
      </c>
      <c r="C888" s="19"/>
      <c r="D888" s="20"/>
      <c r="E888" s="20"/>
      <c r="F888" s="21">
        <f>F889+F891+F893+F895+F898</f>
        <v>20989.619875000004</v>
      </c>
    </row>
    <row r="889" spans="1:6" x14ac:dyDescent="0.2">
      <c r="A889" s="46">
        <v>10007001</v>
      </c>
      <c r="B889" s="23" t="s">
        <v>1136</v>
      </c>
      <c r="C889" s="23"/>
      <c r="D889" s="24"/>
      <c r="E889" s="24"/>
      <c r="F889" s="25">
        <f>F890</f>
        <v>3878.416416</v>
      </c>
    </row>
    <row r="890" spans="1:6" ht="39" x14ac:dyDescent="0.2">
      <c r="A890" s="45">
        <v>10007001001</v>
      </c>
      <c r="B890" s="27" t="s">
        <v>1138</v>
      </c>
      <c r="C890" s="27" t="s">
        <v>80</v>
      </c>
      <c r="D890" s="42">
        <v>41.52</v>
      </c>
      <c r="E890" s="42">
        <v>93.410799999999995</v>
      </c>
      <c r="F890" s="30">
        <f t="shared" ref="F890" si="272">+D890*E890</f>
        <v>3878.416416</v>
      </c>
    </row>
    <row r="891" spans="1:6" x14ac:dyDescent="0.2">
      <c r="A891" s="46">
        <v>10007002</v>
      </c>
      <c r="B891" s="23" t="s">
        <v>1153</v>
      </c>
      <c r="C891" s="23"/>
      <c r="D891" s="24"/>
      <c r="E891" s="24"/>
      <c r="F891" s="25">
        <f>F892</f>
        <v>94.152239999999992</v>
      </c>
    </row>
    <row r="892" spans="1:6" x14ac:dyDescent="0.2">
      <c r="A892" s="45">
        <v>10007002001</v>
      </c>
      <c r="B892" s="27" t="s">
        <v>1154</v>
      </c>
      <c r="C892" s="27" t="s">
        <v>80</v>
      </c>
      <c r="D892" s="28">
        <v>4.79</v>
      </c>
      <c r="E892" s="42">
        <v>19.655999999999999</v>
      </c>
      <c r="F892" s="30">
        <f t="shared" ref="F892" si="273">+D892*E892</f>
        <v>94.152239999999992</v>
      </c>
    </row>
    <row r="893" spans="1:6" x14ac:dyDescent="0.2">
      <c r="A893" s="46">
        <v>10007003</v>
      </c>
      <c r="B893" s="23" t="s">
        <v>1158</v>
      </c>
      <c r="C893" s="23"/>
      <c r="D893" s="24"/>
      <c r="E893" s="24"/>
      <c r="F893" s="25">
        <f>F894</f>
        <v>1667.219274</v>
      </c>
    </row>
    <row r="894" spans="1:6" ht="39" x14ac:dyDescent="0.2">
      <c r="A894" s="45">
        <v>10007003001</v>
      </c>
      <c r="B894" s="27" t="s">
        <v>1159</v>
      </c>
      <c r="C894" s="27" t="s">
        <v>80</v>
      </c>
      <c r="D894" s="43">
        <v>100.47</v>
      </c>
      <c r="E894" s="42">
        <v>16.594200000000001</v>
      </c>
      <c r="F894" s="30">
        <f t="shared" ref="F894" si="274">+D894*E894</f>
        <v>1667.219274</v>
      </c>
    </row>
    <row r="895" spans="1:6" x14ac:dyDescent="0.2">
      <c r="A895" s="46">
        <v>10007004</v>
      </c>
      <c r="B895" s="23" t="s">
        <v>1140</v>
      </c>
      <c r="C895" s="23"/>
      <c r="D895" s="24"/>
      <c r="E895" s="24"/>
      <c r="F895" s="25">
        <f>SUM(F896:F897)</f>
        <v>4658.0529450000004</v>
      </c>
    </row>
    <row r="896" spans="1:6" x14ac:dyDescent="0.2">
      <c r="A896" s="45">
        <v>10007004001</v>
      </c>
      <c r="B896" s="27" t="s">
        <v>1142</v>
      </c>
      <c r="C896" s="27" t="s">
        <v>80</v>
      </c>
      <c r="D896" s="43">
        <v>141.99</v>
      </c>
      <c r="E896" s="28">
        <v>5.4249000000000001</v>
      </c>
      <c r="F896" s="30">
        <f t="shared" ref="F896:F897" si="275">+D896*E896</f>
        <v>770.28155100000004</v>
      </c>
    </row>
    <row r="897" spans="1:6" ht="58.5" x14ac:dyDescent="0.2">
      <c r="A897" s="45">
        <v>10007004002</v>
      </c>
      <c r="B897" s="27" t="s">
        <v>1144</v>
      </c>
      <c r="C897" s="27" t="s">
        <v>80</v>
      </c>
      <c r="D897" s="43">
        <v>141.99</v>
      </c>
      <c r="E897" s="42">
        <v>27.380600000000001</v>
      </c>
      <c r="F897" s="30">
        <f t="shared" si="275"/>
        <v>3887.7713940000003</v>
      </c>
    </row>
    <row r="898" spans="1:6" x14ac:dyDescent="0.2">
      <c r="A898" s="46">
        <v>10007005</v>
      </c>
      <c r="B898" s="23" t="s">
        <v>203</v>
      </c>
      <c r="C898" s="23"/>
      <c r="D898" s="24"/>
      <c r="E898" s="24"/>
      <c r="F898" s="25">
        <f>SUM(F899:F903)</f>
        <v>10691.779</v>
      </c>
    </row>
    <row r="899" spans="1:6" x14ac:dyDescent="0.2">
      <c r="A899" s="45">
        <v>10007005001</v>
      </c>
      <c r="B899" s="27" t="s">
        <v>1147</v>
      </c>
      <c r="C899" s="27" t="s">
        <v>80</v>
      </c>
      <c r="D899" s="43">
        <v>141.99</v>
      </c>
      <c r="E899" s="42">
        <v>11.75</v>
      </c>
      <c r="F899" s="30">
        <f t="shared" ref="F899:F903" si="276">+D899*E899</f>
        <v>1668.3825000000002</v>
      </c>
    </row>
    <row r="900" spans="1:6" x14ac:dyDescent="0.2">
      <c r="A900" s="45">
        <v>10007005002</v>
      </c>
      <c r="B900" s="27" t="s">
        <v>1149</v>
      </c>
      <c r="C900" s="27" t="s">
        <v>80</v>
      </c>
      <c r="D900" s="42">
        <v>41.52</v>
      </c>
      <c r="E900" s="42">
        <v>68</v>
      </c>
      <c r="F900" s="30">
        <f t="shared" si="276"/>
        <v>2823.36</v>
      </c>
    </row>
    <row r="901" spans="1:6" ht="39" x14ac:dyDescent="0.2">
      <c r="A901" s="45">
        <v>10007005003</v>
      </c>
      <c r="B901" s="27" t="s">
        <v>1160</v>
      </c>
      <c r="C901" s="27" t="s">
        <v>80</v>
      </c>
      <c r="D901" s="43">
        <v>100.47</v>
      </c>
      <c r="E901" s="42">
        <v>15.75</v>
      </c>
      <c r="F901" s="30">
        <f t="shared" si="276"/>
        <v>1582.4024999999999</v>
      </c>
    </row>
    <row r="902" spans="1:6" ht="39" x14ac:dyDescent="0.2">
      <c r="A902" s="45">
        <v>10007005004</v>
      </c>
      <c r="B902" s="27" t="s">
        <v>1155</v>
      </c>
      <c r="C902" s="27" t="s">
        <v>80</v>
      </c>
      <c r="D902" s="28">
        <v>4.79</v>
      </c>
      <c r="E902" s="42">
        <v>22.85</v>
      </c>
      <c r="F902" s="30">
        <f t="shared" si="276"/>
        <v>109.45150000000001</v>
      </c>
    </row>
    <row r="903" spans="1:6" ht="39" x14ac:dyDescent="0.2">
      <c r="A903" s="45">
        <v>10007005005</v>
      </c>
      <c r="B903" s="27" t="s">
        <v>1151</v>
      </c>
      <c r="C903" s="27" t="s">
        <v>80</v>
      </c>
      <c r="D903" s="43">
        <v>141.99</v>
      </c>
      <c r="E903" s="42">
        <v>31.75</v>
      </c>
      <c r="F903" s="30">
        <f t="shared" si="276"/>
        <v>4508.1824999999999</v>
      </c>
    </row>
    <row r="904" spans="1:6" x14ac:dyDescent="0.2">
      <c r="A904" s="18">
        <v>10008</v>
      </c>
      <c r="B904" s="19" t="s">
        <v>1164</v>
      </c>
      <c r="C904" s="19"/>
      <c r="D904" s="20"/>
      <c r="E904" s="20"/>
      <c r="F904" s="21">
        <f>F905+F907+F910</f>
        <v>65405.262781999998</v>
      </c>
    </row>
    <row r="905" spans="1:6" x14ac:dyDescent="0.2">
      <c r="A905" s="46">
        <v>10008001</v>
      </c>
      <c r="B905" s="23" t="s">
        <v>1136</v>
      </c>
      <c r="C905" s="23"/>
      <c r="D905" s="24"/>
      <c r="E905" s="24"/>
      <c r="F905" s="25">
        <f>F906</f>
        <v>25701.047511999997</v>
      </c>
    </row>
    <row r="906" spans="1:6" ht="39" x14ac:dyDescent="0.2">
      <c r="A906" s="45">
        <v>10008001001</v>
      </c>
      <c r="B906" s="27" t="s">
        <v>1138</v>
      </c>
      <c r="C906" s="27" t="s">
        <v>80</v>
      </c>
      <c r="D906" s="43">
        <v>275.14</v>
      </c>
      <c r="E906" s="42">
        <v>93.410799999999995</v>
      </c>
      <c r="F906" s="30">
        <f t="shared" ref="F906" si="277">+D906*E906</f>
        <v>25701.047511999997</v>
      </c>
    </row>
    <row r="907" spans="1:6" x14ac:dyDescent="0.2">
      <c r="A907" s="46">
        <v>10008002</v>
      </c>
      <c r="B907" s="23" t="s">
        <v>1140</v>
      </c>
      <c r="C907" s="23"/>
      <c r="D907" s="24"/>
      <c r="E907" s="24"/>
      <c r="F907" s="25">
        <f>SUM(F908:F909)</f>
        <v>9026.10527</v>
      </c>
    </row>
    <row r="908" spans="1:6" x14ac:dyDescent="0.2">
      <c r="A908" s="45">
        <v>10008002001</v>
      </c>
      <c r="B908" s="27" t="s">
        <v>1142</v>
      </c>
      <c r="C908" s="27" t="s">
        <v>80</v>
      </c>
      <c r="D908" s="43">
        <v>275.14</v>
      </c>
      <c r="E908" s="28">
        <v>5.4249000000000001</v>
      </c>
      <c r="F908" s="30">
        <f t="shared" ref="F908:F909" si="278">+D908*E908</f>
        <v>1492.606986</v>
      </c>
    </row>
    <row r="909" spans="1:6" ht="58.5" x14ac:dyDescent="0.2">
      <c r="A909" s="45">
        <v>10008002002</v>
      </c>
      <c r="B909" s="27" t="s">
        <v>1144</v>
      </c>
      <c r="C909" s="27" t="s">
        <v>80</v>
      </c>
      <c r="D909" s="43">
        <v>275.14</v>
      </c>
      <c r="E909" s="42">
        <v>27.380600000000001</v>
      </c>
      <c r="F909" s="30">
        <f t="shared" si="278"/>
        <v>7533.4982840000002</v>
      </c>
    </row>
    <row r="910" spans="1:6" x14ac:dyDescent="0.2">
      <c r="A910" s="46">
        <v>10008003</v>
      </c>
      <c r="B910" s="23" t="s">
        <v>203</v>
      </c>
      <c r="C910" s="23"/>
      <c r="D910" s="24"/>
      <c r="E910" s="24"/>
      <c r="F910" s="25">
        <f>SUM(F911:F913)</f>
        <v>30678.11</v>
      </c>
    </row>
    <row r="911" spans="1:6" x14ac:dyDescent="0.2">
      <c r="A911" s="45">
        <v>10008003001</v>
      </c>
      <c r="B911" s="27" t="s">
        <v>1147</v>
      </c>
      <c r="C911" s="27" t="s">
        <v>80</v>
      </c>
      <c r="D911" s="43">
        <v>275.14</v>
      </c>
      <c r="E911" s="42">
        <v>11.75</v>
      </c>
      <c r="F911" s="30">
        <f t="shared" ref="F911:F913" si="279">+D911*E911</f>
        <v>3232.895</v>
      </c>
    </row>
    <row r="912" spans="1:6" x14ac:dyDescent="0.2">
      <c r="A912" s="45">
        <v>10008003002</v>
      </c>
      <c r="B912" s="27" t="s">
        <v>1149</v>
      </c>
      <c r="C912" s="27" t="s">
        <v>80</v>
      </c>
      <c r="D912" s="43">
        <v>275.14</v>
      </c>
      <c r="E912" s="42">
        <v>68</v>
      </c>
      <c r="F912" s="30">
        <f t="shared" si="279"/>
        <v>18709.52</v>
      </c>
    </row>
    <row r="913" spans="1:6" ht="39" x14ac:dyDescent="0.2">
      <c r="A913" s="45">
        <v>10008003003</v>
      </c>
      <c r="B913" s="27" t="s">
        <v>1151</v>
      </c>
      <c r="C913" s="27" t="s">
        <v>80</v>
      </c>
      <c r="D913" s="43">
        <v>275.14</v>
      </c>
      <c r="E913" s="42">
        <v>31.75</v>
      </c>
      <c r="F913" s="30">
        <f t="shared" si="279"/>
        <v>8735.6949999999997</v>
      </c>
    </row>
    <row r="914" spans="1:6" x14ac:dyDescent="0.2">
      <c r="A914" s="14" t="s">
        <v>1165</v>
      </c>
      <c r="B914" s="15" t="s">
        <v>1166</v>
      </c>
      <c r="C914" s="15"/>
      <c r="D914" s="16"/>
      <c r="E914" s="16"/>
      <c r="F914" s="17">
        <f>F915+F929+F943+F953+F963+F976+F988+F1000+F1012+F1022</f>
        <v>1179716.8790460001</v>
      </c>
    </row>
    <row r="915" spans="1:6" ht="39" x14ac:dyDescent="0.2">
      <c r="A915" s="18" t="s">
        <v>1167</v>
      </c>
      <c r="B915" s="19" t="s">
        <v>1168</v>
      </c>
      <c r="C915" s="19"/>
      <c r="D915" s="20"/>
      <c r="E915" s="20"/>
      <c r="F915" s="21">
        <f>F916+F918+F923</f>
        <v>145639.317732</v>
      </c>
    </row>
    <row r="916" spans="1:6" x14ac:dyDescent="0.2">
      <c r="A916" s="22" t="s">
        <v>1169</v>
      </c>
      <c r="B916" s="23" t="s">
        <v>1170</v>
      </c>
      <c r="C916" s="23"/>
      <c r="D916" s="24"/>
      <c r="E916" s="24"/>
      <c r="F916" s="25">
        <f>SUM(F917:F917)</f>
        <v>105398.487077</v>
      </c>
    </row>
    <row r="917" spans="1:6" x14ac:dyDescent="0.2">
      <c r="A917" s="26" t="s">
        <v>1171</v>
      </c>
      <c r="B917" s="27" t="s">
        <v>1173</v>
      </c>
      <c r="C917" s="27" t="s">
        <v>80</v>
      </c>
      <c r="D917" s="43">
        <v>740.33</v>
      </c>
      <c r="E917" s="43">
        <v>142.36689999999999</v>
      </c>
      <c r="F917" s="30">
        <f t="shared" ref="F917" si="280">+D917*E917</f>
        <v>105398.487077</v>
      </c>
    </row>
    <row r="918" spans="1:6" x14ac:dyDescent="0.2">
      <c r="A918" s="22" t="s">
        <v>1175</v>
      </c>
      <c r="B918" s="23" t="s">
        <v>1176</v>
      </c>
      <c r="C918" s="23"/>
      <c r="D918" s="24"/>
      <c r="E918" s="24"/>
      <c r="F918" s="25">
        <f>SUM(F919:F922)</f>
        <v>8930.2773550000002</v>
      </c>
    </row>
    <row r="919" spans="1:6" x14ac:dyDescent="0.2">
      <c r="A919" s="26" t="s">
        <v>1177</v>
      </c>
      <c r="B919" s="27" t="s">
        <v>1178</v>
      </c>
      <c r="C919" s="27" t="s">
        <v>80</v>
      </c>
      <c r="D919" s="43">
        <v>159.32</v>
      </c>
      <c r="E919" s="28">
        <v>2.6779999999999999</v>
      </c>
      <c r="F919" s="30">
        <f t="shared" ref="F919:F922" si="281">+D919*E919</f>
        <v>426.65895999999998</v>
      </c>
    </row>
    <row r="920" spans="1:6" ht="58.5" x14ac:dyDescent="0.2">
      <c r="A920" s="26" t="s">
        <v>1179</v>
      </c>
      <c r="B920" s="27" t="s">
        <v>1180</v>
      </c>
      <c r="C920" s="27" t="s">
        <v>80</v>
      </c>
      <c r="D920" s="43">
        <v>212.62</v>
      </c>
      <c r="E920" s="28">
        <v>7.2910000000000004</v>
      </c>
      <c r="F920" s="30">
        <f t="shared" si="281"/>
        <v>1550.2124200000001</v>
      </c>
    </row>
    <row r="921" spans="1:6" ht="39" x14ac:dyDescent="0.2">
      <c r="A921" s="26" t="s">
        <v>1181</v>
      </c>
      <c r="B921" s="27" t="s">
        <v>1182</v>
      </c>
      <c r="C921" s="27" t="s">
        <v>80</v>
      </c>
      <c r="D921" s="43">
        <v>402.44</v>
      </c>
      <c r="E921" s="28">
        <v>1.5194000000000001</v>
      </c>
      <c r="F921" s="30">
        <f t="shared" si="281"/>
        <v>611.46733600000005</v>
      </c>
    </row>
    <row r="922" spans="1:6" ht="39" x14ac:dyDescent="0.2">
      <c r="A922" s="26" t="s">
        <v>1183</v>
      </c>
      <c r="B922" s="27" t="s">
        <v>1184</v>
      </c>
      <c r="C922" s="27" t="s">
        <v>80</v>
      </c>
      <c r="D922" s="43">
        <v>615.30999999999995</v>
      </c>
      <c r="E922" s="42">
        <v>10.306900000000001</v>
      </c>
      <c r="F922" s="30">
        <f t="shared" si="281"/>
        <v>6341.938639</v>
      </c>
    </row>
    <row r="923" spans="1:6" x14ac:dyDescent="0.2">
      <c r="A923" s="22" t="s">
        <v>1185</v>
      </c>
      <c r="B923" s="23" t="s">
        <v>203</v>
      </c>
      <c r="C923" s="23"/>
      <c r="D923" s="24"/>
      <c r="E923" s="24"/>
      <c r="F923" s="25">
        <f>SUM(F924:F928)</f>
        <v>31310.5533</v>
      </c>
    </row>
    <row r="924" spans="1:6" x14ac:dyDescent="0.2">
      <c r="A924" s="26" t="s">
        <v>1186</v>
      </c>
      <c r="B924" s="27" t="s">
        <v>1189</v>
      </c>
      <c r="C924" s="27" t="s">
        <v>80</v>
      </c>
      <c r="D924" s="28">
        <v>740.33</v>
      </c>
      <c r="E924" s="42">
        <v>9.5</v>
      </c>
      <c r="F924" s="30">
        <f t="shared" ref="F924:F928" si="282">+D924*E924</f>
        <v>7033.1350000000002</v>
      </c>
    </row>
    <row r="925" spans="1:6" x14ac:dyDescent="0.2">
      <c r="A925" s="26" t="s">
        <v>1188</v>
      </c>
      <c r="B925" s="27" t="s">
        <v>1191</v>
      </c>
      <c r="C925" s="27" t="s">
        <v>80</v>
      </c>
      <c r="D925" s="43">
        <v>740.33</v>
      </c>
      <c r="E925" s="28">
        <v>9.5</v>
      </c>
      <c r="F925" s="30">
        <f t="shared" si="282"/>
        <v>7033.1350000000002</v>
      </c>
    </row>
    <row r="926" spans="1:6" x14ac:dyDescent="0.2">
      <c r="A926" s="26" t="s">
        <v>1190</v>
      </c>
      <c r="B926" s="27" t="s">
        <v>1193</v>
      </c>
      <c r="C926" s="27" t="s">
        <v>80</v>
      </c>
      <c r="D926" s="43">
        <v>16.760000000000002</v>
      </c>
      <c r="E926" s="28">
        <v>11.5</v>
      </c>
      <c r="F926" s="30">
        <f t="shared" si="282"/>
        <v>192.74</v>
      </c>
    </row>
    <row r="927" spans="1:6" ht="39" x14ac:dyDescent="0.2">
      <c r="A927" s="26" t="s">
        <v>1192</v>
      </c>
      <c r="B927" s="27" t="s">
        <v>1196</v>
      </c>
      <c r="C927" s="27" t="s">
        <v>80</v>
      </c>
      <c r="D927" s="42">
        <v>615.30999999999995</v>
      </c>
      <c r="E927" s="42">
        <v>24.75</v>
      </c>
      <c r="F927" s="30">
        <f t="shared" si="282"/>
        <v>15228.922499999999</v>
      </c>
    </row>
    <row r="928" spans="1:6" x14ac:dyDescent="0.2">
      <c r="A928" s="26" t="s">
        <v>1194</v>
      </c>
      <c r="B928" s="27" t="s">
        <v>1197</v>
      </c>
      <c r="C928" s="27" t="s">
        <v>80</v>
      </c>
      <c r="D928" s="28">
        <v>159.32</v>
      </c>
      <c r="E928" s="28">
        <v>11.44</v>
      </c>
      <c r="F928" s="30">
        <f t="shared" si="282"/>
        <v>1822.6207999999999</v>
      </c>
    </row>
    <row r="929" spans="1:6" ht="39" x14ac:dyDescent="0.2">
      <c r="A929" s="18" t="s">
        <v>1198</v>
      </c>
      <c r="B929" s="19" t="s">
        <v>1199</v>
      </c>
      <c r="C929" s="19"/>
      <c r="D929" s="20"/>
      <c r="E929" s="20"/>
      <c r="F929" s="21">
        <f>F930+F932+F937</f>
        <v>58252.669453000002</v>
      </c>
    </row>
    <row r="930" spans="1:6" x14ac:dyDescent="0.2">
      <c r="A930" s="22" t="s">
        <v>1200</v>
      </c>
      <c r="B930" s="23" t="s">
        <v>1170</v>
      </c>
      <c r="C930" s="23"/>
      <c r="D930" s="24"/>
      <c r="E930" s="24"/>
      <c r="F930" s="25">
        <f>SUM(F931:F931)</f>
        <v>12287.335059999999</v>
      </c>
    </row>
    <row r="931" spans="1:6" ht="39" x14ac:dyDescent="0.2">
      <c r="A931" s="26" t="s">
        <v>1201</v>
      </c>
      <c r="B931" s="27" t="s">
        <v>1202</v>
      </c>
      <c r="C931" s="27" t="s">
        <v>80</v>
      </c>
      <c r="D931" s="43">
        <v>876.79</v>
      </c>
      <c r="E931" s="42">
        <v>14.013999999999999</v>
      </c>
      <c r="F931" s="30">
        <f t="shared" ref="F931" si="283">+D931*E931</f>
        <v>12287.335059999999</v>
      </c>
    </row>
    <row r="932" spans="1:6" x14ac:dyDescent="0.2">
      <c r="A932" s="22" t="s">
        <v>1203</v>
      </c>
      <c r="B932" s="23" t="s">
        <v>1176</v>
      </c>
      <c r="C932" s="23"/>
      <c r="D932" s="24"/>
      <c r="E932" s="24"/>
      <c r="F932" s="25">
        <f>SUM(F933:F936)</f>
        <v>9474.4596930000007</v>
      </c>
    </row>
    <row r="933" spans="1:6" x14ac:dyDescent="0.2">
      <c r="A933" s="26" t="s">
        <v>1204</v>
      </c>
      <c r="B933" s="27" t="s">
        <v>1178</v>
      </c>
      <c r="C933" s="27" t="s">
        <v>80</v>
      </c>
      <c r="D933" s="43">
        <v>168.13</v>
      </c>
      <c r="E933" s="28">
        <v>2.6779999999999999</v>
      </c>
      <c r="F933" s="30">
        <f t="shared" ref="F933:F936" si="284">+D933*E933</f>
        <v>450.25214</v>
      </c>
    </row>
    <row r="934" spans="1:6" ht="58.5" x14ac:dyDescent="0.2">
      <c r="A934" s="26" t="s">
        <v>1205</v>
      </c>
      <c r="B934" s="27" t="s">
        <v>1180</v>
      </c>
      <c r="C934" s="27" t="s">
        <v>80</v>
      </c>
      <c r="D934" s="43">
        <v>129.33000000000001</v>
      </c>
      <c r="E934" s="28">
        <v>7.2910000000000004</v>
      </c>
      <c r="F934" s="30">
        <f t="shared" si="284"/>
        <v>942.94503000000009</v>
      </c>
    </row>
    <row r="935" spans="1:6" ht="39" x14ac:dyDescent="0.2">
      <c r="A935" s="26" t="s">
        <v>1206</v>
      </c>
      <c r="B935" s="27" t="s">
        <v>1182</v>
      </c>
      <c r="C935" s="27" t="s">
        <v>80</v>
      </c>
      <c r="D935" s="43">
        <v>570.45000000000005</v>
      </c>
      <c r="E935" s="28">
        <v>1.5194000000000001</v>
      </c>
      <c r="F935" s="30">
        <f t="shared" si="284"/>
        <v>866.74173000000008</v>
      </c>
    </row>
    <row r="936" spans="1:6" ht="39" x14ac:dyDescent="0.2">
      <c r="A936" s="26" t="s">
        <v>1207</v>
      </c>
      <c r="B936" s="27" t="s">
        <v>1184</v>
      </c>
      <c r="C936" s="27" t="s">
        <v>80</v>
      </c>
      <c r="D936" s="43">
        <v>699.97</v>
      </c>
      <c r="E936" s="42">
        <v>10.306900000000001</v>
      </c>
      <c r="F936" s="30">
        <f t="shared" si="284"/>
        <v>7214.5207930000006</v>
      </c>
    </row>
    <row r="937" spans="1:6" x14ac:dyDescent="0.2">
      <c r="A937" s="22" t="s">
        <v>1208</v>
      </c>
      <c r="B937" s="23" t="s">
        <v>203</v>
      </c>
      <c r="C937" s="23"/>
      <c r="D937" s="24"/>
      <c r="E937" s="24"/>
      <c r="F937" s="25">
        <f>SUM(F938:F942)</f>
        <v>36490.8747</v>
      </c>
    </row>
    <row r="938" spans="1:6" x14ac:dyDescent="0.2">
      <c r="A938" s="26" t="s">
        <v>1209</v>
      </c>
      <c r="B938" s="27" t="s">
        <v>1189</v>
      </c>
      <c r="C938" s="27" t="s">
        <v>80</v>
      </c>
      <c r="D938" s="28">
        <v>876.79</v>
      </c>
      <c r="E938" s="42">
        <v>9.5</v>
      </c>
      <c r="F938" s="30">
        <f t="shared" ref="F938:F942" si="285">+D938*E938</f>
        <v>8329.5049999999992</v>
      </c>
    </row>
    <row r="939" spans="1:6" x14ac:dyDescent="0.2">
      <c r="A939" s="26" t="s">
        <v>1210</v>
      </c>
      <c r="B939" s="27" t="s">
        <v>1191</v>
      </c>
      <c r="C939" s="27" t="s">
        <v>80</v>
      </c>
      <c r="D939" s="43">
        <v>876.79</v>
      </c>
      <c r="E939" s="28">
        <v>9.5</v>
      </c>
      <c r="F939" s="30">
        <f t="shared" si="285"/>
        <v>8329.5049999999992</v>
      </c>
    </row>
    <row r="940" spans="1:6" x14ac:dyDescent="0.2">
      <c r="A940" s="26" t="s">
        <v>1211</v>
      </c>
      <c r="B940" s="27" t="s">
        <v>1193</v>
      </c>
      <c r="C940" s="27" t="s">
        <v>80</v>
      </c>
      <c r="D940" s="43">
        <v>50.8</v>
      </c>
      <c r="E940" s="28">
        <v>11.5</v>
      </c>
      <c r="F940" s="30">
        <f t="shared" si="285"/>
        <v>584.19999999999993</v>
      </c>
    </row>
    <row r="941" spans="1:6" ht="39" x14ac:dyDescent="0.2">
      <c r="A941" s="26" t="s">
        <v>1212</v>
      </c>
      <c r="B941" s="27" t="s">
        <v>1196</v>
      </c>
      <c r="C941" s="27" t="s">
        <v>80</v>
      </c>
      <c r="D941" s="42">
        <v>699.97</v>
      </c>
      <c r="E941" s="42">
        <v>24.75</v>
      </c>
      <c r="F941" s="30">
        <f t="shared" si="285"/>
        <v>17324.2575</v>
      </c>
    </row>
    <row r="942" spans="1:6" x14ac:dyDescent="0.2">
      <c r="A942" s="26" t="s">
        <v>1213</v>
      </c>
      <c r="B942" s="27" t="s">
        <v>1197</v>
      </c>
      <c r="C942" s="27" t="s">
        <v>80</v>
      </c>
      <c r="D942" s="28">
        <v>168.13</v>
      </c>
      <c r="E942" s="28">
        <v>11.44</v>
      </c>
      <c r="F942" s="30">
        <f t="shared" si="285"/>
        <v>1923.4071999999999</v>
      </c>
    </row>
    <row r="943" spans="1:6" ht="39" x14ac:dyDescent="0.2">
      <c r="A943" s="18" t="s">
        <v>1214</v>
      </c>
      <c r="B943" s="19" t="s">
        <v>1215</v>
      </c>
      <c r="C943" s="19"/>
      <c r="D943" s="20"/>
      <c r="E943" s="20"/>
      <c r="F943" s="21">
        <f>F944+F946+F950</f>
        <v>80485.624548000007</v>
      </c>
    </row>
    <row r="944" spans="1:6" x14ac:dyDescent="0.2">
      <c r="A944" s="22" t="s">
        <v>1216</v>
      </c>
      <c r="B944" s="23" t="s">
        <v>1170</v>
      </c>
      <c r="C944" s="23"/>
      <c r="D944" s="24"/>
      <c r="E944" s="24"/>
      <c r="F944" s="25">
        <f>SUM(F945:F945)</f>
        <v>21116.851615</v>
      </c>
    </row>
    <row r="945" spans="1:6" ht="39" x14ac:dyDescent="0.2">
      <c r="A945" s="26" t="s">
        <v>1217</v>
      </c>
      <c r="B945" s="27" t="s">
        <v>1172</v>
      </c>
      <c r="C945" s="27" t="s">
        <v>80</v>
      </c>
      <c r="D945" s="43">
        <v>671.41</v>
      </c>
      <c r="E945" s="42">
        <v>31.451499999999999</v>
      </c>
      <c r="F945" s="30">
        <f t="shared" ref="F945" si="286">+D945*E945</f>
        <v>21116.851615</v>
      </c>
    </row>
    <row r="946" spans="1:6" x14ac:dyDescent="0.2">
      <c r="A946" s="22" t="s">
        <v>1218</v>
      </c>
      <c r="B946" s="23" t="s">
        <v>1176</v>
      </c>
      <c r="C946" s="23"/>
      <c r="D946" s="24"/>
      <c r="E946" s="24"/>
      <c r="F946" s="25">
        <f>SUM(F947:F949)</f>
        <v>15654.391433000003</v>
      </c>
    </row>
    <row r="947" spans="1:6" ht="58.5" x14ac:dyDescent="0.2">
      <c r="A947" s="26" t="s">
        <v>1219</v>
      </c>
      <c r="B947" s="27" t="s">
        <v>1180</v>
      </c>
      <c r="C947" s="27" t="s">
        <v>80</v>
      </c>
      <c r="D947" s="43">
        <v>393.95</v>
      </c>
      <c r="E947" s="28">
        <v>7.2910000000000004</v>
      </c>
      <c r="F947" s="30">
        <f t="shared" ref="F947:F949" si="287">+D947*E947</f>
        <v>2872.2894500000002</v>
      </c>
    </row>
    <row r="948" spans="1:6" ht="39" x14ac:dyDescent="0.2">
      <c r="A948" s="26" t="s">
        <v>1220</v>
      </c>
      <c r="B948" s="27" t="s">
        <v>1182</v>
      </c>
      <c r="C948" s="27" t="s">
        <v>80</v>
      </c>
      <c r="D948" s="43">
        <v>737.37</v>
      </c>
      <c r="E948" s="28">
        <v>1.5194000000000001</v>
      </c>
      <c r="F948" s="30">
        <f t="shared" si="287"/>
        <v>1120.359978</v>
      </c>
    </row>
    <row r="949" spans="1:6" ht="39" x14ac:dyDescent="0.2">
      <c r="A949" s="26" t="s">
        <v>1221</v>
      </c>
      <c r="B949" s="27" t="s">
        <v>1184</v>
      </c>
      <c r="C949" s="27" t="s">
        <v>80</v>
      </c>
      <c r="D949" s="31">
        <v>1131.45</v>
      </c>
      <c r="E949" s="42">
        <v>10.306900000000001</v>
      </c>
      <c r="F949" s="30">
        <f t="shared" si="287"/>
        <v>11661.742005000002</v>
      </c>
    </row>
    <row r="950" spans="1:6" x14ac:dyDescent="0.2">
      <c r="A950" s="22" t="s">
        <v>1222</v>
      </c>
      <c r="B950" s="23" t="s">
        <v>203</v>
      </c>
      <c r="C950" s="23"/>
      <c r="D950" s="24"/>
      <c r="E950" s="24"/>
      <c r="F950" s="25">
        <f>SUM(F951:F952)</f>
        <v>43714.381500000003</v>
      </c>
    </row>
    <row r="951" spans="1:6" x14ac:dyDescent="0.2">
      <c r="A951" s="26" t="s">
        <v>1223</v>
      </c>
      <c r="B951" s="27" t="s">
        <v>1187</v>
      </c>
      <c r="C951" s="27" t="s">
        <v>80</v>
      </c>
      <c r="D951" s="43">
        <v>671.41</v>
      </c>
      <c r="E951" s="42">
        <v>23.4</v>
      </c>
      <c r="F951" s="30">
        <f t="shared" ref="F951:F952" si="288">+D951*E951</f>
        <v>15710.993999999999</v>
      </c>
    </row>
    <row r="952" spans="1:6" ht="39" x14ac:dyDescent="0.2">
      <c r="A952" s="26" t="s">
        <v>1224</v>
      </c>
      <c r="B952" s="27" t="s">
        <v>1196</v>
      </c>
      <c r="C952" s="27" t="s">
        <v>80</v>
      </c>
      <c r="D952" s="28">
        <v>1131.45</v>
      </c>
      <c r="E952" s="28">
        <v>24.75</v>
      </c>
      <c r="F952" s="30">
        <f t="shared" si="288"/>
        <v>28003.387500000001</v>
      </c>
    </row>
    <row r="953" spans="1:6" ht="39" x14ac:dyDescent="0.2">
      <c r="A953" s="18" t="s">
        <v>1225</v>
      </c>
      <c r="B953" s="19" t="s">
        <v>1226</v>
      </c>
      <c r="C953" s="19"/>
      <c r="D953" s="20"/>
      <c r="E953" s="20"/>
      <c r="F953" s="21">
        <f>F954+F956+F960</f>
        <v>55528.271315999991</v>
      </c>
    </row>
    <row r="954" spans="1:6" x14ac:dyDescent="0.2">
      <c r="A954" s="22" t="s">
        <v>1227</v>
      </c>
      <c r="B954" s="23" t="s">
        <v>1170</v>
      </c>
      <c r="C954" s="23"/>
      <c r="D954" s="24"/>
      <c r="E954" s="24"/>
      <c r="F954" s="25">
        <f>F955</f>
        <v>9106.1527949999982</v>
      </c>
    </row>
    <row r="955" spans="1:6" ht="39" x14ac:dyDescent="0.2">
      <c r="A955" s="26" t="s">
        <v>1228</v>
      </c>
      <c r="B955" s="27" t="s">
        <v>1172</v>
      </c>
      <c r="C955" s="27" t="s">
        <v>80</v>
      </c>
      <c r="D955" s="43">
        <v>289.52999999999997</v>
      </c>
      <c r="E955" s="42">
        <v>31.451499999999999</v>
      </c>
      <c r="F955" s="30">
        <f t="shared" ref="F955" si="289">+D955*E955</f>
        <v>9106.1527949999982</v>
      </c>
    </row>
    <row r="956" spans="1:6" x14ac:dyDescent="0.2">
      <c r="A956" s="22" t="s">
        <v>1229</v>
      </c>
      <c r="B956" s="23" t="s">
        <v>1176</v>
      </c>
      <c r="C956" s="23"/>
      <c r="D956" s="24"/>
      <c r="E956" s="24"/>
      <c r="F956" s="25">
        <f>SUM(F957:F959)</f>
        <v>14403.849020999998</v>
      </c>
    </row>
    <row r="957" spans="1:6" ht="58.5" x14ac:dyDescent="0.2">
      <c r="A957" s="26" t="s">
        <v>1230</v>
      </c>
      <c r="B957" s="27" t="s">
        <v>1180</v>
      </c>
      <c r="C957" s="27" t="s">
        <v>80</v>
      </c>
      <c r="D957" s="43">
        <v>405.82</v>
      </c>
      <c r="E957" s="28">
        <v>7.2910000000000004</v>
      </c>
      <c r="F957" s="30">
        <f t="shared" ref="F957:F959" si="290">+D957*E957</f>
        <v>2958.8336199999999</v>
      </c>
    </row>
    <row r="958" spans="1:6" ht="39" x14ac:dyDescent="0.2">
      <c r="A958" s="26" t="s">
        <v>1231</v>
      </c>
      <c r="B958" s="27" t="s">
        <v>1182</v>
      </c>
      <c r="C958" s="27" t="s">
        <v>80</v>
      </c>
      <c r="D958" s="43">
        <v>613.86</v>
      </c>
      <c r="E958" s="28">
        <v>1.5194000000000001</v>
      </c>
      <c r="F958" s="30">
        <f t="shared" si="290"/>
        <v>932.69888400000002</v>
      </c>
    </row>
    <row r="959" spans="1:6" ht="39" x14ac:dyDescent="0.2">
      <c r="A959" s="26" t="s">
        <v>1232</v>
      </c>
      <c r="B959" s="27" t="s">
        <v>1184</v>
      </c>
      <c r="C959" s="27" t="s">
        <v>80</v>
      </c>
      <c r="D959" s="31">
        <v>1019.93</v>
      </c>
      <c r="E959" s="42">
        <v>10.306900000000001</v>
      </c>
      <c r="F959" s="30">
        <f t="shared" si="290"/>
        <v>10512.316516999999</v>
      </c>
    </row>
    <row r="960" spans="1:6" x14ac:dyDescent="0.2">
      <c r="A960" s="22" t="s">
        <v>1233</v>
      </c>
      <c r="B960" s="23" t="s">
        <v>203</v>
      </c>
      <c r="C960" s="23"/>
      <c r="D960" s="24"/>
      <c r="E960" s="24"/>
      <c r="F960" s="25">
        <f>SUM(F961:F962)</f>
        <v>32018.269499999995</v>
      </c>
    </row>
    <row r="961" spans="1:6" x14ac:dyDescent="0.2">
      <c r="A961" s="26" t="s">
        <v>1234</v>
      </c>
      <c r="B961" s="27" t="s">
        <v>1187</v>
      </c>
      <c r="C961" s="27" t="s">
        <v>80</v>
      </c>
      <c r="D961" s="43">
        <v>289.52999999999997</v>
      </c>
      <c r="E961" s="42">
        <v>23.4</v>
      </c>
      <c r="F961" s="30">
        <f t="shared" ref="F961:F962" si="291">+D961*E961</f>
        <v>6775.0019999999986</v>
      </c>
    </row>
    <row r="962" spans="1:6" ht="39" x14ac:dyDescent="0.2">
      <c r="A962" s="26" t="s">
        <v>1235</v>
      </c>
      <c r="B962" s="27" t="s">
        <v>1196</v>
      </c>
      <c r="C962" s="27" t="s">
        <v>80</v>
      </c>
      <c r="D962" s="31">
        <v>1019.93</v>
      </c>
      <c r="E962" s="42">
        <v>24.75</v>
      </c>
      <c r="F962" s="30">
        <f t="shared" si="291"/>
        <v>25243.267499999998</v>
      </c>
    </row>
    <row r="963" spans="1:6" ht="39" x14ac:dyDescent="0.2">
      <c r="A963" s="18" t="s">
        <v>1236</v>
      </c>
      <c r="B963" s="19" t="s">
        <v>1237</v>
      </c>
      <c r="C963" s="19"/>
      <c r="D963" s="20"/>
      <c r="E963" s="20"/>
      <c r="F963" s="21">
        <f>F964+F966+F971</f>
        <v>65120.772980000002</v>
      </c>
    </row>
    <row r="964" spans="1:6" x14ac:dyDescent="0.2">
      <c r="A964" s="22" t="s">
        <v>1238</v>
      </c>
      <c r="B964" s="23" t="s">
        <v>1170</v>
      </c>
      <c r="C964" s="23"/>
      <c r="D964" s="24"/>
      <c r="E964" s="24"/>
      <c r="F964" s="25">
        <f>SUM(F965:F965)</f>
        <v>9727.1173999999992</v>
      </c>
    </row>
    <row r="965" spans="1:6" ht="39" x14ac:dyDescent="0.2">
      <c r="A965" s="26" t="s">
        <v>1239</v>
      </c>
      <c r="B965" s="27" t="s">
        <v>1202</v>
      </c>
      <c r="C965" s="27" t="s">
        <v>80</v>
      </c>
      <c r="D965" s="43">
        <v>694.1</v>
      </c>
      <c r="E965" s="42">
        <v>14.013999999999999</v>
      </c>
      <c r="F965" s="30">
        <f t="shared" ref="F965" si="292">+D965*E965</f>
        <v>9727.1173999999992</v>
      </c>
    </row>
    <row r="966" spans="1:6" x14ac:dyDescent="0.2">
      <c r="A966" s="22" t="s">
        <v>1240</v>
      </c>
      <c r="B966" s="23" t="s">
        <v>1176</v>
      </c>
      <c r="C966" s="23"/>
      <c r="D966" s="24"/>
      <c r="E966" s="24"/>
      <c r="F966" s="25">
        <f>SUM(F967:F970)</f>
        <v>13647.557779999999</v>
      </c>
    </row>
    <row r="967" spans="1:6" x14ac:dyDescent="0.2">
      <c r="A967" s="26" t="s">
        <v>1241</v>
      </c>
      <c r="B967" s="27" t="s">
        <v>1178</v>
      </c>
      <c r="C967" s="27" t="s">
        <v>80</v>
      </c>
      <c r="D967" s="43">
        <v>396.62</v>
      </c>
      <c r="E967" s="28">
        <v>2.6779999999999999</v>
      </c>
      <c r="F967" s="30">
        <f t="shared" ref="F967:F970" si="293">+D967*E967</f>
        <v>1062.1483599999999</v>
      </c>
    </row>
    <row r="968" spans="1:6" ht="58.5" x14ac:dyDescent="0.2">
      <c r="A968" s="26" t="s">
        <v>1242</v>
      </c>
      <c r="B968" s="27" t="s">
        <v>1180</v>
      </c>
      <c r="C968" s="27" t="s">
        <v>80</v>
      </c>
      <c r="D968" s="43">
        <v>191.94</v>
      </c>
      <c r="E968" s="28">
        <v>7.2910000000000004</v>
      </c>
      <c r="F968" s="30">
        <f t="shared" si="293"/>
        <v>1399.43454</v>
      </c>
    </row>
    <row r="969" spans="1:6" ht="39" x14ac:dyDescent="0.2">
      <c r="A969" s="26" t="s">
        <v>1243</v>
      </c>
      <c r="B969" s="27" t="s">
        <v>1182</v>
      </c>
      <c r="C969" s="27" t="s">
        <v>80</v>
      </c>
      <c r="D969" s="43">
        <v>778.41</v>
      </c>
      <c r="E969" s="28">
        <v>1.5194000000000001</v>
      </c>
      <c r="F969" s="30">
        <f t="shared" si="293"/>
        <v>1182.716154</v>
      </c>
    </row>
    <row r="970" spans="1:6" ht="39" x14ac:dyDescent="0.2">
      <c r="A970" s="26" t="s">
        <v>1244</v>
      </c>
      <c r="B970" s="27" t="s">
        <v>1184</v>
      </c>
      <c r="C970" s="27" t="s">
        <v>80</v>
      </c>
      <c r="D970" s="43">
        <v>970.54</v>
      </c>
      <c r="E970" s="42">
        <v>10.306900000000001</v>
      </c>
      <c r="F970" s="30">
        <f t="shared" si="293"/>
        <v>10003.258726</v>
      </c>
    </row>
    <row r="971" spans="1:6" x14ac:dyDescent="0.2">
      <c r="A971" s="22" t="s">
        <v>1245</v>
      </c>
      <c r="B971" s="23" t="s">
        <v>203</v>
      </c>
      <c r="C971" s="23"/>
      <c r="D971" s="24"/>
      <c r="E971" s="24"/>
      <c r="F971" s="25">
        <f>SUM(F972:F975)</f>
        <v>41746.097800000003</v>
      </c>
    </row>
    <row r="972" spans="1:6" x14ac:dyDescent="0.2">
      <c r="A972" s="26" t="s">
        <v>1246</v>
      </c>
      <c r="B972" s="27" t="s">
        <v>1189</v>
      </c>
      <c r="C972" s="27" t="s">
        <v>80</v>
      </c>
      <c r="D972" s="28">
        <v>694.1</v>
      </c>
      <c r="E972" s="42">
        <v>9.5</v>
      </c>
      <c r="F972" s="30">
        <f t="shared" ref="F972:F975" si="294">+D972*E972</f>
        <v>6593.95</v>
      </c>
    </row>
    <row r="973" spans="1:6" x14ac:dyDescent="0.2">
      <c r="A973" s="26" t="s">
        <v>1247</v>
      </c>
      <c r="B973" s="27" t="s">
        <v>1191</v>
      </c>
      <c r="C973" s="27" t="s">
        <v>80</v>
      </c>
      <c r="D973" s="43">
        <v>694.1</v>
      </c>
      <c r="E973" s="28">
        <v>9.5</v>
      </c>
      <c r="F973" s="30">
        <f t="shared" si="294"/>
        <v>6593.95</v>
      </c>
    </row>
    <row r="974" spans="1:6" ht="39" x14ac:dyDescent="0.2">
      <c r="A974" s="26" t="s">
        <v>1248</v>
      </c>
      <c r="B974" s="27" t="s">
        <v>1196</v>
      </c>
      <c r="C974" s="27" t="s">
        <v>80</v>
      </c>
      <c r="D974" s="43">
        <v>970.54</v>
      </c>
      <c r="E974" s="28">
        <v>24.75</v>
      </c>
      <c r="F974" s="30">
        <f t="shared" si="294"/>
        <v>24020.864999999998</v>
      </c>
    </row>
    <row r="975" spans="1:6" x14ac:dyDescent="0.2">
      <c r="A975" s="26" t="s">
        <v>1249</v>
      </c>
      <c r="B975" s="27" t="s">
        <v>1197</v>
      </c>
      <c r="C975" s="27" t="s">
        <v>80</v>
      </c>
      <c r="D975" s="28">
        <v>396.62</v>
      </c>
      <c r="E975" s="28">
        <v>11.44</v>
      </c>
      <c r="F975" s="30">
        <f t="shared" si="294"/>
        <v>4537.3328000000001</v>
      </c>
    </row>
    <row r="976" spans="1:6" ht="39" x14ac:dyDescent="0.2">
      <c r="A976" s="18" t="s">
        <v>1250</v>
      </c>
      <c r="B976" s="19" t="s">
        <v>1251</v>
      </c>
      <c r="C976" s="19"/>
      <c r="D976" s="20"/>
      <c r="E976" s="20"/>
      <c r="F976" s="21">
        <f>F977+F980+F984</f>
        <v>76999.008493000001</v>
      </c>
    </row>
    <row r="977" spans="1:6" x14ac:dyDescent="0.2">
      <c r="A977" s="22" t="s">
        <v>1252</v>
      </c>
      <c r="B977" s="23" t="s">
        <v>1170</v>
      </c>
      <c r="C977" s="23"/>
      <c r="D977" s="24"/>
      <c r="E977" s="24"/>
      <c r="F977" s="25">
        <f>SUM(F978:F979)</f>
        <v>15333.588939999998</v>
      </c>
    </row>
    <row r="978" spans="1:6" ht="39" x14ac:dyDescent="0.2">
      <c r="A978" s="26" t="s">
        <v>1253</v>
      </c>
      <c r="B978" s="27" t="s">
        <v>1172</v>
      </c>
      <c r="C978" s="27" t="s">
        <v>80</v>
      </c>
      <c r="D978" s="43">
        <v>483.46</v>
      </c>
      <c r="E978" s="42">
        <v>31.451499999999999</v>
      </c>
      <c r="F978" s="30">
        <f t="shared" ref="F978:F979" si="295">+D978*E978</f>
        <v>15205.542189999998</v>
      </c>
    </row>
    <row r="979" spans="1:6" x14ac:dyDescent="0.2">
      <c r="A979" s="26" t="s">
        <v>1254</v>
      </c>
      <c r="B979" s="27" t="s">
        <v>1174</v>
      </c>
      <c r="C979" s="27" t="s">
        <v>80</v>
      </c>
      <c r="D979" s="43">
        <v>131.33000000000001</v>
      </c>
      <c r="E979" s="28">
        <v>0.97499999999999998</v>
      </c>
      <c r="F979" s="30">
        <f t="shared" si="295"/>
        <v>128.04675</v>
      </c>
    </row>
    <row r="980" spans="1:6" x14ac:dyDescent="0.2">
      <c r="A980" s="22" t="s">
        <v>1255</v>
      </c>
      <c r="B980" s="23" t="s">
        <v>1176</v>
      </c>
      <c r="C980" s="23"/>
      <c r="D980" s="24"/>
      <c r="E980" s="24"/>
      <c r="F980" s="25">
        <f>SUM(F981:F983)</f>
        <v>17368.638052999999</v>
      </c>
    </row>
    <row r="981" spans="1:6" ht="58.5" x14ac:dyDescent="0.2">
      <c r="A981" s="26" t="s">
        <v>1256</v>
      </c>
      <c r="B981" s="27" t="s">
        <v>1180</v>
      </c>
      <c r="C981" s="27" t="s">
        <v>80</v>
      </c>
      <c r="D981" s="43">
        <v>381.95</v>
      </c>
      <c r="E981" s="28">
        <v>7.2910000000000004</v>
      </c>
      <c r="F981" s="30">
        <f t="shared" ref="F981:F983" si="296">+D981*E981</f>
        <v>2784.79745</v>
      </c>
    </row>
    <row r="982" spans="1:6" ht="39" x14ac:dyDescent="0.2">
      <c r="A982" s="26" t="s">
        <v>1257</v>
      </c>
      <c r="B982" s="27" t="s">
        <v>1182</v>
      </c>
      <c r="C982" s="27" t="s">
        <v>80</v>
      </c>
      <c r="D982" s="43">
        <v>900.1</v>
      </c>
      <c r="E982" s="28">
        <v>1.5194000000000001</v>
      </c>
      <c r="F982" s="30">
        <f t="shared" si="296"/>
        <v>1367.61194</v>
      </c>
    </row>
    <row r="983" spans="1:6" ht="39" x14ac:dyDescent="0.2">
      <c r="A983" s="26" t="s">
        <v>1258</v>
      </c>
      <c r="B983" s="27" t="s">
        <v>1184</v>
      </c>
      <c r="C983" s="27" t="s">
        <v>80</v>
      </c>
      <c r="D983" s="31">
        <v>1282.27</v>
      </c>
      <c r="E983" s="42">
        <v>10.306900000000001</v>
      </c>
      <c r="F983" s="30">
        <f t="shared" si="296"/>
        <v>13216.228663</v>
      </c>
    </row>
    <row r="984" spans="1:6" x14ac:dyDescent="0.2">
      <c r="A984" s="22" t="s">
        <v>1259</v>
      </c>
      <c r="B984" s="23" t="s">
        <v>203</v>
      </c>
      <c r="C984" s="23"/>
      <c r="D984" s="24"/>
      <c r="E984" s="24"/>
      <c r="F984" s="25">
        <f>SUM(F985:F987)</f>
        <v>44296.781499999997</v>
      </c>
    </row>
    <row r="985" spans="1:6" x14ac:dyDescent="0.2">
      <c r="A985" s="26" t="s">
        <v>1260</v>
      </c>
      <c r="B985" s="27" t="s">
        <v>1187</v>
      </c>
      <c r="C985" s="27" t="s">
        <v>80</v>
      </c>
      <c r="D985" s="43">
        <v>483.46</v>
      </c>
      <c r="E985" s="42">
        <v>23.4</v>
      </c>
      <c r="F985" s="30">
        <f t="shared" ref="F985:F987" si="297">+D985*E985</f>
        <v>11312.963999999998</v>
      </c>
    </row>
    <row r="986" spans="1:6" x14ac:dyDescent="0.2">
      <c r="A986" s="26" t="s">
        <v>1261</v>
      </c>
      <c r="B986" s="27" t="s">
        <v>1195</v>
      </c>
      <c r="C986" s="27" t="s">
        <v>80</v>
      </c>
      <c r="D986" s="43">
        <v>131.33000000000001</v>
      </c>
      <c r="E986" s="28">
        <v>9.5</v>
      </c>
      <c r="F986" s="30">
        <f t="shared" si="297"/>
        <v>1247.6350000000002</v>
      </c>
    </row>
    <row r="987" spans="1:6" ht="39" x14ac:dyDescent="0.2">
      <c r="A987" s="26" t="s">
        <v>1262</v>
      </c>
      <c r="B987" s="27" t="s">
        <v>1196</v>
      </c>
      <c r="C987" s="27" t="s">
        <v>80</v>
      </c>
      <c r="D987" s="31">
        <v>1282.27</v>
      </c>
      <c r="E987" s="42">
        <v>24.75</v>
      </c>
      <c r="F987" s="30">
        <f t="shared" si="297"/>
        <v>31736.182499999999</v>
      </c>
    </row>
    <row r="988" spans="1:6" ht="39" x14ac:dyDescent="0.2">
      <c r="A988" s="18" t="s">
        <v>1263</v>
      </c>
      <c r="B988" s="19" t="s">
        <v>1264</v>
      </c>
      <c r="C988" s="19"/>
      <c r="D988" s="20"/>
      <c r="E988" s="20"/>
      <c r="F988" s="21">
        <f>F989+F992+F996</f>
        <v>605787.86141400004</v>
      </c>
    </row>
    <row r="989" spans="1:6" x14ac:dyDescent="0.2">
      <c r="A989" s="22" t="s">
        <v>1265</v>
      </c>
      <c r="B989" s="23" t="s">
        <v>1170</v>
      </c>
      <c r="C989" s="23"/>
      <c r="D989" s="24"/>
      <c r="E989" s="24"/>
      <c r="F989" s="25">
        <f>SUM(F990:F991)</f>
        <v>105971.92195</v>
      </c>
    </row>
    <row r="990" spans="1:6" ht="39" x14ac:dyDescent="0.2">
      <c r="A990" s="26" t="s">
        <v>1266</v>
      </c>
      <c r="B990" s="27" t="s">
        <v>1172</v>
      </c>
      <c r="C990" s="27" t="s">
        <v>80</v>
      </c>
      <c r="D990" s="31">
        <v>3367.3</v>
      </c>
      <c r="E990" s="42">
        <v>31.451499999999999</v>
      </c>
      <c r="F990" s="30">
        <f t="shared" ref="F990:F991" si="298">+D990*E990</f>
        <v>105906.63595000001</v>
      </c>
    </row>
    <row r="991" spans="1:6" x14ac:dyDescent="0.2">
      <c r="A991" s="26" t="s">
        <v>1267</v>
      </c>
      <c r="B991" s="27" t="s">
        <v>1174</v>
      </c>
      <c r="C991" s="27" t="s">
        <v>80</v>
      </c>
      <c r="D991" s="42">
        <v>66.959999999999994</v>
      </c>
      <c r="E991" s="28">
        <v>0.97499999999999998</v>
      </c>
      <c r="F991" s="30">
        <f t="shared" si="298"/>
        <v>65.285999999999987</v>
      </c>
    </row>
    <row r="992" spans="1:6" x14ac:dyDescent="0.2">
      <c r="A992" s="22" t="s">
        <v>1268</v>
      </c>
      <c r="B992" s="23" t="s">
        <v>1176</v>
      </c>
      <c r="C992" s="23"/>
      <c r="D992" s="24"/>
      <c r="E992" s="24"/>
      <c r="F992" s="25">
        <f>SUM(F993:F995)</f>
        <v>143349.33946400002</v>
      </c>
    </row>
    <row r="993" spans="1:6" ht="58.5" x14ac:dyDescent="0.2">
      <c r="A993" s="26" t="s">
        <v>1269</v>
      </c>
      <c r="B993" s="27" t="s">
        <v>1180</v>
      </c>
      <c r="C993" s="27" t="s">
        <v>80</v>
      </c>
      <c r="D993" s="31">
        <v>1901.28</v>
      </c>
      <c r="E993" s="28">
        <v>7.2910000000000004</v>
      </c>
      <c r="F993" s="30">
        <f t="shared" ref="F993:F995" si="299">+D993*E993</f>
        <v>13862.232480000001</v>
      </c>
    </row>
    <row r="994" spans="1:6" ht="39" x14ac:dyDescent="0.2">
      <c r="A994" s="26" t="s">
        <v>1270</v>
      </c>
      <c r="B994" s="27" t="s">
        <v>1182</v>
      </c>
      <c r="C994" s="27" t="s">
        <v>80</v>
      </c>
      <c r="D994" s="31">
        <v>9292</v>
      </c>
      <c r="E994" s="28">
        <v>1.5194000000000001</v>
      </c>
      <c r="F994" s="30">
        <f t="shared" si="299"/>
        <v>14118.264800000001</v>
      </c>
    </row>
    <row r="995" spans="1:6" ht="39" x14ac:dyDescent="0.2">
      <c r="A995" s="26" t="s">
        <v>1271</v>
      </c>
      <c r="B995" s="27" t="s">
        <v>1184</v>
      </c>
      <c r="C995" s="27" t="s">
        <v>80</v>
      </c>
      <c r="D995" s="29">
        <v>11193.36</v>
      </c>
      <c r="E995" s="42">
        <v>10.306900000000001</v>
      </c>
      <c r="F995" s="30">
        <f t="shared" si="299"/>
        <v>115368.84218400001</v>
      </c>
    </row>
    <row r="996" spans="1:6" x14ac:dyDescent="0.2">
      <c r="A996" s="22" t="s">
        <v>1272</v>
      </c>
      <c r="B996" s="23" t="s">
        <v>203</v>
      </c>
      <c r="C996" s="23"/>
      <c r="D996" s="24"/>
      <c r="E996" s="24"/>
      <c r="F996" s="25">
        <f>SUM(F997:F999)</f>
        <v>356466.60000000003</v>
      </c>
    </row>
    <row r="997" spans="1:6" x14ac:dyDescent="0.2">
      <c r="A997" s="26" t="s">
        <v>1273</v>
      </c>
      <c r="B997" s="27" t="s">
        <v>1187</v>
      </c>
      <c r="C997" s="27" t="s">
        <v>80</v>
      </c>
      <c r="D997" s="31">
        <v>3367.3</v>
      </c>
      <c r="E997" s="42">
        <v>23.4</v>
      </c>
      <c r="F997" s="30">
        <f t="shared" ref="F997:F999" si="300">+D997*E997</f>
        <v>78794.819999999992</v>
      </c>
    </row>
    <row r="998" spans="1:6" x14ac:dyDescent="0.2">
      <c r="A998" s="26" t="s">
        <v>1274</v>
      </c>
      <c r="B998" s="27" t="s">
        <v>1195</v>
      </c>
      <c r="C998" s="27" t="s">
        <v>80</v>
      </c>
      <c r="D998" s="42">
        <v>66.959999999999994</v>
      </c>
      <c r="E998" s="28">
        <v>9.5</v>
      </c>
      <c r="F998" s="30">
        <f t="shared" si="300"/>
        <v>636.11999999999989</v>
      </c>
    </row>
    <row r="999" spans="1:6" ht="39" x14ac:dyDescent="0.2">
      <c r="A999" s="26" t="s">
        <v>1275</v>
      </c>
      <c r="B999" s="27" t="s">
        <v>1196</v>
      </c>
      <c r="C999" s="27" t="s">
        <v>80</v>
      </c>
      <c r="D999" s="29">
        <v>11193.36</v>
      </c>
      <c r="E999" s="42">
        <v>24.75</v>
      </c>
      <c r="F999" s="30">
        <f t="shared" si="300"/>
        <v>277035.66000000003</v>
      </c>
    </row>
    <row r="1000" spans="1:6" ht="39" x14ac:dyDescent="0.2">
      <c r="A1000" s="18" t="s">
        <v>1276</v>
      </c>
      <c r="B1000" s="19" t="s">
        <v>1277</v>
      </c>
      <c r="C1000" s="19"/>
      <c r="D1000" s="20"/>
      <c r="E1000" s="20"/>
      <c r="F1000" s="21">
        <f>F1001+F1004+F1008</f>
        <v>66901.869877999998</v>
      </c>
    </row>
    <row r="1001" spans="1:6" x14ac:dyDescent="0.2">
      <c r="A1001" s="22" t="s">
        <v>1278</v>
      </c>
      <c r="B1001" s="23" t="s">
        <v>1170</v>
      </c>
      <c r="C1001" s="23"/>
      <c r="D1001" s="24"/>
      <c r="E1001" s="24"/>
      <c r="F1001" s="25">
        <f>SUM(F1002:F1003)</f>
        <v>13455.0615</v>
      </c>
    </row>
    <row r="1002" spans="1:6" ht="39" x14ac:dyDescent="0.2">
      <c r="A1002" s="26" t="s">
        <v>1279</v>
      </c>
      <c r="B1002" s="27" t="s">
        <v>1172</v>
      </c>
      <c r="C1002" s="27" t="s">
        <v>80</v>
      </c>
      <c r="D1002" s="43">
        <v>427.5</v>
      </c>
      <c r="E1002" s="42">
        <v>31.451499999999999</v>
      </c>
      <c r="F1002" s="30">
        <f t="shared" ref="F1002:F1003" si="301">+D1002*E1002</f>
        <v>13445.516250000001</v>
      </c>
    </row>
    <row r="1003" spans="1:6" x14ac:dyDescent="0.2">
      <c r="A1003" s="26" t="s">
        <v>1280</v>
      </c>
      <c r="B1003" s="27" t="s">
        <v>1174</v>
      </c>
      <c r="C1003" s="27" t="s">
        <v>80</v>
      </c>
      <c r="D1003" s="28">
        <v>9.7899999999999991</v>
      </c>
      <c r="E1003" s="28">
        <v>0.97499999999999998</v>
      </c>
      <c r="F1003" s="30">
        <f t="shared" si="301"/>
        <v>9.5452499999999993</v>
      </c>
    </row>
    <row r="1004" spans="1:6" x14ac:dyDescent="0.2">
      <c r="A1004" s="22" t="s">
        <v>1281</v>
      </c>
      <c r="B1004" s="23" t="s">
        <v>1176</v>
      </c>
      <c r="C1004" s="23"/>
      <c r="D1004" s="24"/>
      <c r="E1004" s="24"/>
      <c r="F1004" s="25">
        <f>SUM(F1005:F1007)</f>
        <v>14737.818378</v>
      </c>
    </row>
    <row r="1005" spans="1:6" ht="58.5" x14ac:dyDescent="0.2">
      <c r="A1005" s="26" t="s">
        <v>1282</v>
      </c>
      <c r="B1005" s="27" t="s">
        <v>1180</v>
      </c>
      <c r="C1005" s="27" t="s">
        <v>80</v>
      </c>
      <c r="D1005" s="43">
        <v>190.02</v>
      </c>
      <c r="E1005" s="28">
        <v>7.2910000000000004</v>
      </c>
      <c r="F1005" s="30">
        <f t="shared" ref="F1005:F1007" si="302">+D1005*E1005</f>
        <v>1385.4358200000001</v>
      </c>
    </row>
    <row r="1006" spans="1:6" ht="39" x14ac:dyDescent="0.2">
      <c r="A1006" s="26" t="s">
        <v>1283</v>
      </c>
      <c r="B1006" s="27" t="s">
        <v>1182</v>
      </c>
      <c r="C1006" s="27" t="s">
        <v>80</v>
      </c>
      <c r="D1006" s="43">
        <v>945.76</v>
      </c>
      <c r="E1006" s="28">
        <v>1.5194000000000001</v>
      </c>
      <c r="F1006" s="30">
        <f t="shared" si="302"/>
        <v>1436.987744</v>
      </c>
    </row>
    <row r="1007" spans="1:6" ht="39" x14ac:dyDescent="0.2">
      <c r="A1007" s="26" t="s">
        <v>1284</v>
      </c>
      <c r="B1007" s="27" t="s">
        <v>1184</v>
      </c>
      <c r="C1007" s="27" t="s">
        <v>80</v>
      </c>
      <c r="D1007" s="31">
        <v>1156.06</v>
      </c>
      <c r="E1007" s="42">
        <v>10.306900000000001</v>
      </c>
      <c r="F1007" s="30">
        <f t="shared" si="302"/>
        <v>11915.394813999999</v>
      </c>
    </row>
    <row r="1008" spans="1:6" x14ac:dyDescent="0.2">
      <c r="A1008" s="22" t="s">
        <v>1285</v>
      </c>
      <c r="B1008" s="23" t="s">
        <v>203</v>
      </c>
      <c r="C1008" s="23"/>
      <c r="D1008" s="24"/>
      <c r="E1008" s="24"/>
      <c r="F1008" s="25">
        <f>SUM(F1009:F1011)</f>
        <v>38708.99</v>
      </c>
    </row>
    <row r="1009" spans="1:6" x14ac:dyDescent="0.2">
      <c r="A1009" s="26" t="s">
        <v>1286</v>
      </c>
      <c r="B1009" s="27" t="s">
        <v>1187</v>
      </c>
      <c r="C1009" s="27" t="s">
        <v>80</v>
      </c>
      <c r="D1009" s="43">
        <v>427.5</v>
      </c>
      <c r="E1009" s="42">
        <v>23.4</v>
      </c>
      <c r="F1009" s="30">
        <f t="shared" ref="F1009:F1011" si="303">+D1009*E1009</f>
        <v>10003.5</v>
      </c>
    </row>
    <row r="1010" spans="1:6" x14ac:dyDescent="0.2">
      <c r="A1010" s="26" t="s">
        <v>1287</v>
      </c>
      <c r="B1010" s="27" t="s">
        <v>1195</v>
      </c>
      <c r="C1010" s="27" t="s">
        <v>80</v>
      </c>
      <c r="D1010" s="28">
        <v>9.7899999999999991</v>
      </c>
      <c r="E1010" s="28">
        <v>9.5</v>
      </c>
      <c r="F1010" s="30">
        <f t="shared" si="303"/>
        <v>93.004999999999995</v>
      </c>
    </row>
    <row r="1011" spans="1:6" ht="39" x14ac:dyDescent="0.2">
      <c r="A1011" s="26" t="s">
        <v>1288</v>
      </c>
      <c r="B1011" s="27" t="s">
        <v>1196</v>
      </c>
      <c r="C1011" s="27" t="s">
        <v>80</v>
      </c>
      <c r="D1011" s="31">
        <v>1156.06</v>
      </c>
      <c r="E1011" s="42">
        <v>24.75</v>
      </c>
      <c r="F1011" s="30">
        <f t="shared" si="303"/>
        <v>28612.484999999997</v>
      </c>
    </row>
    <row r="1012" spans="1:6" ht="39" x14ac:dyDescent="0.2">
      <c r="A1012" s="18" t="s">
        <v>1289</v>
      </c>
      <c r="B1012" s="19" t="s">
        <v>1290</v>
      </c>
      <c r="C1012" s="19"/>
      <c r="D1012" s="20"/>
      <c r="E1012" s="20"/>
      <c r="F1012" s="21">
        <f>F1013+F1015+F1019</f>
        <v>14753.149141999998</v>
      </c>
    </row>
    <row r="1013" spans="1:6" x14ac:dyDescent="0.2">
      <c r="A1013" s="22" t="s">
        <v>1291</v>
      </c>
      <c r="B1013" s="23" t="s">
        <v>1170</v>
      </c>
      <c r="C1013" s="23"/>
      <c r="D1013" s="24"/>
      <c r="E1013" s="24"/>
      <c r="F1013" s="25">
        <f>F1014</f>
        <v>39.516750000000002</v>
      </c>
    </row>
    <row r="1014" spans="1:6" x14ac:dyDescent="0.2">
      <c r="A1014" s="26" t="s">
        <v>1292</v>
      </c>
      <c r="B1014" s="27" t="s">
        <v>1174</v>
      </c>
      <c r="C1014" s="27" t="s">
        <v>80</v>
      </c>
      <c r="D1014" s="42">
        <v>40.53</v>
      </c>
      <c r="E1014" s="28">
        <v>0.97499999999999998</v>
      </c>
      <c r="F1014" s="30">
        <f t="shared" ref="F1014" si="304">+D1014*E1014</f>
        <v>39.516750000000002</v>
      </c>
    </row>
    <row r="1015" spans="1:6" x14ac:dyDescent="0.2">
      <c r="A1015" s="22" t="s">
        <v>1293</v>
      </c>
      <c r="B1015" s="23" t="s">
        <v>1176</v>
      </c>
      <c r="C1015" s="23"/>
      <c r="D1015" s="24"/>
      <c r="E1015" s="24"/>
      <c r="F1015" s="25">
        <f>SUM(F1016:F1018)</f>
        <v>4822.6173920000001</v>
      </c>
    </row>
    <row r="1016" spans="1:6" ht="58.5" x14ac:dyDescent="0.2">
      <c r="A1016" s="26" t="s">
        <v>1294</v>
      </c>
      <c r="B1016" s="27" t="s">
        <v>1180</v>
      </c>
      <c r="C1016" s="27" t="s">
        <v>80</v>
      </c>
      <c r="D1016" s="42">
        <v>48.62</v>
      </c>
      <c r="E1016" s="28">
        <v>7.2910000000000004</v>
      </c>
      <c r="F1016" s="30">
        <f t="shared" ref="F1016:F1018" si="305">+D1016*E1016</f>
        <v>354.48842000000002</v>
      </c>
    </row>
    <row r="1017" spans="1:6" ht="39" x14ac:dyDescent="0.2">
      <c r="A1017" s="26" t="s">
        <v>1295</v>
      </c>
      <c r="B1017" s="27" t="s">
        <v>1182</v>
      </c>
      <c r="C1017" s="27" t="s">
        <v>80</v>
      </c>
      <c r="D1017" s="43">
        <v>335.3</v>
      </c>
      <c r="E1017" s="28">
        <v>1.5194000000000001</v>
      </c>
      <c r="F1017" s="30">
        <f t="shared" si="305"/>
        <v>509.45482000000004</v>
      </c>
    </row>
    <row r="1018" spans="1:6" ht="39" x14ac:dyDescent="0.2">
      <c r="A1018" s="26" t="s">
        <v>1296</v>
      </c>
      <c r="B1018" s="27" t="s">
        <v>1184</v>
      </c>
      <c r="C1018" s="27" t="s">
        <v>80</v>
      </c>
      <c r="D1018" s="43">
        <v>384.08</v>
      </c>
      <c r="E1018" s="42">
        <v>10.306900000000001</v>
      </c>
      <c r="F1018" s="30">
        <f t="shared" si="305"/>
        <v>3958.674152</v>
      </c>
    </row>
    <row r="1019" spans="1:6" x14ac:dyDescent="0.2">
      <c r="A1019" s="22" t="s">
        <v>1297</v>
      </c>
      <c r="B1019" s="23" t="s">
        <v>203</v>
      </c>
      <c r="C1019" s="23"/>
      <c r="D1019" s="24"/>
      <c r="E1019" s="24"/>
      <c r="F1019" s="25">
        <f>SUM(F1020:F1021)</f>
        <v>9891.0149999999994</v>
      </c>
    </row>
    <row r="1020" spans="1:6" x14ac:dyDescent="0.2">
      <c r="A1020" s="26" t="s">
        <v>1298</v>
      </c>
      <c r="B1020" s="27" t="s">
        <v>1195</v>
      </c>
      <c r="C1020" s="27" t="s">
        <v>80</v>
      </c>
      <c r="D1020" s="42">
        <v>40.53</v>
      </c>
      <c r="E1020" s="28">
        <v>9.5</v>
      </c>
      <c r="F1020" s="30">
        <f t="shared" ref="F1020:F1021" si="306">+D1020*E1020</f>
        <v>385.03500000000003</v>
      </c>
    </row>
    <row r="1021" spans="1:6" ht="39" x14ac:dyDescent="0.2">
      <c r="A1021" s="26" t="s">
        <v>1299</v>
      </c>
      <c r="B1021" s="27" t="s">
        <v>1196</v>
      </c>
      <c r="C1021" s="27" t="s">
        <v>80</v>
      </c>
      <c r="D1021" s="43">
        <v>384.08</v>
      </c>
      <c r="E1021" s="42">
        <v>24.75</v>
      </c>
      <c r="F1021" s="30">
        <f t="shared" si="306"/>
        <v>9505.98</v>
      </c>
    </row>
    <row r="1022" spans="1:6" ht="39" x14ac:dyDescent="0.2">
      <c r="A1022" s="18" t="s">
        <v>1300</v>
      </c>
      <c r="B1022" s="19" t="s">
        <v>1301</v>
      </c>
      <c r="C1022" s="19"/>
      <c r="D1022" s="20"/>
      <c r="E1022" s="20"/>
      <c r="F1022" s="21">
        <f>F1023+F1025+F1029</f>
        <v>10248.33409</v>
      </c>
    </row>
    <row r="1023" spans="1:6" x14ac:dyDescent="0.2">
      <c r="A1023" s="22" t="s">
        <v>1302</v>
      </c>
      <c r="B1023" s="23" t="s">
        <v>1170</v>
      </c>
      <c r="C1023" s="23"/>
      <c r="D1023" s="24"/>
      <c r="E1023" s="24"/>
      <c r="F1023" s="25">
        <f>F1024</f>
        <v>82.533749999999998</v>
      </c>
    </row>
    <row r="1024" spans="1:6" x14ac:dyDescent="0.2">
      <c r="A1024" s="26" t="s">
        <v>1303</v>
      </c>
      <c r="B1024" s="27" t="s">
        <v>1174</v>
      </c>
      <c r="C1024" s="27" t="s">
        <v>80</v>
      </c>
      <c r="D1024" s="42">
        <v>84.65</v>
      </c>
      <c r="E1024" s="28">
        <v>0.97499999999999998</v>
      </c>
      <c r="F1024" s="30">
        <f t="shared" ref="F1024" si="307">+D1024*E1024</f>
        <v>82.533749999999998</v>
      </c>
    </row>
    <row r="1025" spans="1:6" x14ac:dyDescent="0.2">
      <c r="A1025" s="22" t="s">
        <v>1304</v>
      </c>
      <c r="B1025" s="23" t="s">
        <v>1176</v>
      </c>
      <c r="C1025" s="23"/>
      <c r="D1025" s="24"/>
      <c r="E1025" s="24"/>
      <c r="F1025" s="25">
        <f>SUM(F1026:F1028)</f>
        <v>3320.64534</v>
      </c>
    </row>
    <row r="1026" spans="1:6" ht="58.5" x14ac:dyDescent="0.2">
      <c r="A1026" s="26" t="s">
        <v>1305</v>
      </c>
      <c r="B1026" s="27" t="s">
        <v>1180</v>
      </c>
      <c r="C1026" s="27" t="s">
        <v>80</v>
      </c>
      <c r="D1026" s="42">
        <v>75.209999999999994</v>
      </c>
      <c r="E1026" s="28">
        <v>7.2910000000000004</v>
      </c>
      <c r="F1026" s="30">
        <f t="shared" ref="F1026:F1028" si="308">+D1026*E1026</f>
        <v>548.35610999999994</v>
      </c>
    </row>
    <row r="1027" spans="1:6" ht="39" x14ac:dyDescent="0.2">
      <c r="A1027" s="26" t="s">
        <v>1306</v>
      </c>
      <c r="B1027" s="27" t="s">
        <v>1182</v>
      </c>
      <c r="C1027" s="27" t="s">
        <v>80</v>
      </c>
      <c r="D1027" s="43">
        <v>168.87</v>
      </c>
      <c r="E1027" s="28">
        <v>1.5194000000000001</v>
      </c>
      <c r="F1027" s="30">
        <f t="shared" si="308"/>
        <v>256.58107800000005</v>
      </c>
    </row>
    <row r="1028" spans="1:6" ht="39" x14ac:dyDescent="0.2">
      <c r="A1028" s="26" t="s">
        <v>1307</v>
      </c>
      <c r="B1028" s="27" t="s">
        <v>1184</v>
      </c>
      <c r="C1028" s="27" t="s">
        <v>80</v>
      </c>
      <c r="D1028" s="43">
        <v>244.08</v>
      </c>
      <c r="E1028" s="42">
        <v>10.306900000000001</v>
      </c>
      <c r="F1028" s="30">
        <f t="shared" si="308"/>
        <v>2515.7081520000002</v>
      </c>
    </row>
    <row r="1029" spans="1:6" x14ac:dyDescent="0.2">
      <c r="A1029" s="22" t="s">
        <v>1308</v>
      </c>
      <c r="B1029" s="23" t="s">
        <v>203</v>
      </c>
      <c r="C1029" s="23"/>
      <c r="D1029" s="24"/>
      <c r="E1029" s="24"/>
      <c r="F1029" s="25">
        <f>SUM(F1030:F1031)</f>
        <v>6845.1550000000007</v>
      </c>
    </row>
    <row r="1030" spans="1:6" x14ac:dyDescent="0.2">
      <c r="A1030" s="26" t="s">
        <v>1309</v>
      </c>
      <c r="B1030" s="27" t="s">
        <v>1195</v>
      </c>
      <c r="C1030" s="27" t="s">
        <v>80</v>
      </c>
      <c r="D1030" s="42">
        <v>84.65</v>
      </c>
      <c r="E1030" s="28">
        <v>9.5</v>
      </c>
      <c r="F1030" s="30">
        <f t="shared" ref="F1030:F1031" si="309">+D1030*E1030</f>
        <v>804.17500000000007</v>
      </c>
    </row>
    <row r="1031" spans="1:6" ht="39" x14ac:dyDescent="0.2">
      <c r="A1031" s="26" t="s">
        <v>1310</v>
      </c>
      <c r="B1031" s="27" t="s">
        <v>1196</v>
      </c>
      <c r="C1031" s="27" t="s">
        <v>80</v>
      </c>
      <c r="D1031" s="43">
        <v>244.08</v>
      </c>
      <c r="E1031" s="42">
        <v>24.75</v>
      </c>
      <c r="F1031" s="30">
        <f t="shared" si="309"/>
        <v>6040.9800000000005</v>
      </c>
    </row>
    <row r="1032" spans="1:6" x14ac:dyDescent="0.2">
      <c r="A1032" s="14" t="s">
        <v>1311</v>
      </c>
      <c r="B1032" s="15" t="s">
        <v>1312</v>
      </c>
      <c r="C1032" s="15"/>
      <c r="D1032" s="16"/>
      <c r="E1032" s="16"/>
      <c r="F1032" s="17">
        <f>F1033+F1042+F1051+F1061+F1071+F1081</f>
        <v>588987.05351999996</v>
      </c>
    </row>
    <row r="1033" spans="1:6" ht="39" x14ac:dyDescent="0.2">
      <c r="A1033" s="18" t="s">
        <v>1313</v>
      </c>
      <c r="B1033" s="19" t="s">
        <v>1314</v>
      </c>
      <c r="C1033" s="19"/>
      <c r="D1033" s="20"/>
      <c r="E1033" s="20"/>
      <c r="F1033" s="21">
        <f>F1034+F1037+F1040</f>
        <v>65067.020759999999</v>
      </c>
    </row>
    <row r="1034" spans="1:6" x14ac:dyDescent="0.2">
      <c r="A1034" s="22" t="s">
        <v>1315</v>
      </c>
      <c r="B1034" s="23" t="s">
        <v>1316</v>
      </c>
      <c r="C1034" s="23"/>
      <c r="D1034" s="24"/>
      <c r="E1034" s="24"/>
      <c r="F1034" s="25">
        <f>SUM(F1035:F1036)</f>
        <v>186.15876</v>
      </c>
    </row>
    <row r="1035" spans="1:6" ht="39" x14ac:dyDescent="0.2">
      <c r="A1035" s="26" t="s">
        <v>1317</v>
      </c>
      <c r="B1035" s="27" t="s">
        <v>1318</v>
      </c>
      <c r="C1035" s="27" t="s">
        <v>80</v>
      </c>
      <c r="D1035" s="42">
        <v>10.76</v>
      </c>
      <c r="E1035" s="28">
        <v>7.3369999999999997</v>
      </c>
      <c r="F1035" s="30">
        <f t="shared" ref="F1035:F1036" si="310">+D1035*E1035</f>
        <v>78.946119999999993</v>
      </c>
    </row>
    <row r="1036" spans="1:6" ht="58.5" x14ac:dyDescent="0.2">
      <c r="A1036" s="26" t="s">
        <v>1319</v>
      </c>
      <c r="B1036" s="27" t="s">
        <v>1320</v>
      </c>
      <c r="C1036" s="27" t="s">
        <v>80</v>
      </c>
      <c r="D1036" s="42">
        <v>10.76</v>
      </c>
      <c r="E1036" s="28">
        <v>9.9640000000000004</v>
      </c>
      <c r="F1036" s="30">
        <f t="shared" si="310"/>
        <v>107.21264000000001</v>
      </c>
    </row>
    <row r="1037" spans="1:6" x14ac:dyDescent="0.2">
      <c r="A1037" s="22" t="s">
        <v>1321</v>
      </c>
      <c r="B1037" s="23" t="s">
        <v>1322</v>
      </c>
      <c r="C1037" s="23"/>
      <c r="D1037" s="24"/>
      <c r="E1037" s="24"/>
      <c r="F1037" s="25">
        <f>SUM(F1038:F1039)</f>
        <v>64751.741999999998</v>
      </c>
    </row>
    <row r="1038" spans="1:6" ht="39" x14ac:dyDescent="0.2">
      <c r="A1038" s="26" t="s">
        <v>1323</v>
      </c>
      <c r="B1038" s="27" t="s">
        <v>1324</v>
      </c>
      <c r="C1038" s="27" t="s">
        <v>80</v>
      </c>
      <c r="D1038" s="43">
        <v>554.71</v>
      </c>
      <c r="E1038" s="42">
        <v>96.6</v>
      </c>
      <c r="F1038" s="30">
        <f t="shared" ref="F1038:F1039" si="311">+D1038*E1038</f>
        <v>53584.985999999997</v>
      </c>
    </row>
    <row r="1039" spans="1:6" x14ac:dyDescent="0.2">
      <c r="A1039" s="26" t="s">
        <v>1325</v>
      </c>
      <c r="B1039" s="27" t="s">
        <v>1326</v>
      </c>
      <c r="C1039" s="27" t="s">
        <v>74</v>
      </c>
      <c r="D1039" s="43">
        <v>489.77</v>
      </c>
      <c r="E1039" s="42">
        <v>22.8</v>
      </c>
      <c r="F1039" s="30">
        <f t="shared" si="311"/>
        <v>11166.755999999999</v>
      </c>
    </row>
    <row r="1040" spans="1:6" x14ac:dyDescent="0.2">
      <c r="A1040" s="22" t="s">
        <v>1327</v>
      </c>
      <c r="B1040" s="23" t="s">
        <v>203</v>
      </c>
      <c r="C1040" s="23"/>
      <c r="D1040" s="24"/>
      <c r="E1040" s="24"/>
      <c r="F1040" s="25">
        <f>F1041</f>
        <v>129.12</v>
      </c>
    </row>
    <row r="1041" spans="1:6" ht="39" x14ac:dyDescent="0.2">
      <c r="A1041" s="26" t="s">
        <v>1328</v>
      </c>
      <c r="B1041" s="27" t="s">
        <v>1329</v>
      </c>
      <c r="C1041" s="27" t="s">
        <v>80</v>
      </c>
      <c r="D1041" s="42">
        <v>10.76</v>
      </c>
      <c r="E1041" s="42">
        <v>12</v>
      </c>
      <c r="F1041" s="30">
        <f t="shared" ref="F1041" si="312">+D1041*E1041</f>
        <v>129.12</v>
      </c>
    </row>
    <row r="1042" spans="1:6" ht="39" x14ac:dyDescent="0.2">
      <c r="A1042" s="18" t="s">
        <v>1330</v>
      </c>
      <c r="B1042" s="19" t="s">
        <v>1331</v>
      </c>
      <c r="C1042" s="19"/>
      <c r="D1042" s="20"/>
      <c r="E1042" s="20"/>
      <c r="F1042" s="21">
        <f>F1043+F1046+F1049</f>
        <v>36545.449590000004</v>
      </c>
    </row>
    <row r="1043" spans="1:6" x14ac:dyDescent="0.2">
      <c r="A1043" s="22" t="s">
        <v>1332</v>
      </c>
      <c r="B1043" s="23" t="s">
        <v>1316</v>
      </c>
      <c r="C1043" s="23"/>
      <c r="D1043" s="24"/>
      <c r="E1043" s="24"/>
      <c r="F1043" s="25">
        <f>SUM(F1044:F1045)</f>
        <v>321.62558999999999</v>
      </c>
    </row>
    <row r="1044" spans="1:6" ht="39" x14ac:dyDescent="0.2">
      <c r="A1044" s="26" t="s">
        <v>1333</v>
      </c>
      <c r="B1044" s="27" t="s">
        <v>1318</v>
      </c>
      <c r="C1044" s="27" t="s">
        <v>80</v>
      </c>
      <c r="D1044" s="42">
        <v>18.59</v>
      </c>
      <c r="E1044" s="28">
        <v>7.3369999999999997</v>
      </c>
      <c r="F1044" s="30">
        <f t="shared" ref="F1044:F1045" si="313">+D1044*E1044</f>
        <v>136.39482999999998</v>
      </c>
    </row>
    <row r="1045" spans="1:6" ht="58.5" x14ac:dyDescent="0.2">
      <c r="A1045" s="26" t="s">
        <v>1334</v>
      </c>
      <c r="B1045" s="27" t="s">
        <v>1320</v>
      </c>
      <c r="C1045" s="27" t="s">
        <v>80</v>
      </c>
      <c r="D1045" s="42">
        <v>18.59</v>
      </c>
      <c r="E1045" s="28">
        <v>9.9640000000000004</v>
      </c>
      <c r="F1045" s="30">
        <f t="shared" si="313"/>
        <v>185.23076</v>
      </c>
    </row>
    <row r="1046" spans="1:6" x14ac:dyDescent="0.2">
      <c r="A1046" s="22" t="s">
        <v>1335</v>
      </c>
      <c r="B1046" s="23" t="s">
        <v>1322</v>
      </c>
      <c r="C1046" s="23"/>
      <c r="D1046" s="24"/>
      <c r="E1046" s="24"/>
      <c r="F1046" s="25">
        <f>SUM(F1047:F1048)</f>
        <v>36000.743999999999</v>
      </c>
    </row>
    <row r="1047" spans="1:6" ht="39" x14ac:dyDescent="0.2">
      <c r="A1047" s="26" t="s">
        <v>1336</v>
      </c>
      <c r="B1047" s="27" t="s">
        <v>1324</v>
      </c>
      <c r="C1047" s="27" t="s">
        <v>80</v>
      </c>
      <c r="D1047" s="43">
        <v>324.14</v>
      </c>
      <c r="E1047" s="42">
        <v>96.6</v>
      </c>
      <c r="F1047" s="30">
        <f t="shared" ref="F1047:F1048" si="314">+D1047*E1047</f>
        <v>31311.923999999995</v>
      </c>
    </row>
    <row r="1048" spans="1:6" x14ac:dyDescent="0.2">
      <c r="A1048" s="26" t="s">
        <v>1337</v>
      </c>
      <c r="B1048" s="27" t="s">
        <v>1326</v>
      </c>
      <c r="C1048" s="27" t="s">
        <v>74</v>
      </c>
      <c r="D1048" s="43">
        <v>205.65</v>
      </c>
      <c r="E1048" s="42">
        <v>22.8</v>
      </c>
      <c r="F1048" s="30">
        <f t="shared" si="314"/>
        <v>4688.8200000000006</v>
      </c>
    </row>
    <row r="1049" spans="1:6" x14ac:dyDescent="0.2">
      <c r="A1049" s="22" t="s">
        <v>1338</v>
      </c>
      <c r="B1049" s="23" t="s">
        <v>203</v>
      </c>
      <c r="C1049" s="23"/>
      <c r="D1049" s="24"/>
      <c r="E1049" s="24"/>
      <c r="F1049" s="25">
        <f>F1050</f>
        <v>223.07999999999998</v>
      </c>
    </row>
    <row r="1050" spans="1:6" ht="39" x14ac:dyDescent="0.2">
      <c r="A1050" s="26" t="s">
        <v>1339</v>
      </c>
      <c r="B1050" s="27" t="s">
        <v>1329</v>
      </c>
      <c r="C1050" s="27" t="s">
        <v>80</v>
      </c>
      <c r="D1050" s="42">
        <v>18.59</v>
      </c>
      <c r="E1050" s="42">
        <v>12</v>
      </c>
      <c r="F1050" s="30">
        <f t="shared" ref="F1050" si="315">+D1050*E1050</f>
        <v>223.07999999999998</v>
      </c>
    </row>
    <row r="1051" spans="1:6" ht="39" x14ac:dyDescent="0.2">
      <c r="A1051" s="18" t="s">
        <v>1340</v>
      </c>
      <c r="B1051" s="19" t="s">
        <v>1341</v>
      </c>
      <c r="C1051" s="19"/>
      <c r="D1051" s="20"/>
      <c r="E1051" s="20"/>
      <c r="F1051" s="21">
        <f>F1052+F1055+F1059</f>
        <v>48103.927919999995</v>
      </c>
    </row>
    <row r="1052" spans="1:6" x14ac:dyDescent="0.2">
      <c r="A1052" s="22" t="s">
        <v>1342</v>
      </c>
      <c r="B1052" s="23" t="s">
        <v>1316</v>
      </c>
      <c r="C1052" s="23"/>
      <c r="D1052" s="24"/>
      <c r="E1052" s="24"/>
      <c r="F1052" s="25">
        <f>SUM(F1053:F1054)</f>
        <v>327.33492000000001</v>
      </c>
    </row>
    <row r="1053" spans="1:6" ht="39" x14ac:dyDescent="0.2">
      <c r="A1053" s="26" t="s">
        <v>1343</v>
      </c>
      <c r="B1053" s="27" t="s">
        <v>1318</v>
      </c>
      <c r="C1053" s="27" t="s">
        <v>80</v>
      </c>
      <c r="D1053" s="42">
        <v>18.920000000000002</v>
      </c>
      <c r="E1053" s="28">
        <v>7.3369999999999997</v>
      </c>
      <c r="F1053" s="30">
        <f t="shared" ref="F1053:F1054" si="316">+D1053*E1053</f>
        <v>138.81604000000002</v>
      </c>
    </row>
    <row r="1054" spans="1:6" ht="58.5" x14ac:dyDescent="0.2">
      <c r="A1054" s="26" t="s">
        <v>1344</v>
      </c>
      <c r="B1054" s="27" t="s">
        <v>1320</v>
      </c>
      <c r="C1054" s="27" t="s">
        <v>80</v>
      </c>
      <c r="D1054" s="42">
        <v>18.920000000000002</v>
      </c>
      <c r="E1054" s="28">
        <v>9.9640000000000004</v>
      </c>
      <c r="F1054" s="30">
        <f t="shared" si="316"/>
        <v>188.51888000000002</v>
      </c>
    </row>
    <row r="1055" spans="1:6" x14ac:dyDescent="0.2">
      <c r="A1055" s="22" t="s">
        <v>1345</v>
      </c>
      <c r="B1055" s="23" t="s">
        <v>1322</v>
      </c>
      <c r="C1055" s="23"/>
      <c r="D1055" s="24"/>
      <c r="E1055" s="24"/>
      <c r="F1055" s="25">
        <f>SUM(F1056:F1058)</f>
        <v>47549.552999999993</v>
      </c>
    </row>
    <row r="1056" spans="1:6" ht="39" x14ac:dyDescent="0.2">
      <c r="A1056" s="26" t="s">
        <v>1346</v>
      </c>
      <c r="B1056" s="27" t="s">
        <v>1324</v>
      </c>
      <c r="C1056" s="27" t="s">
        <v>80</v>
      </c>
      <c r="D1056" s="43">
        <v>335.26</v>
      </c>
      <c r="E1056" s="42">
        <v>96.6</v>
      </c>
      <c r="F1056" s="30">
        <f t="shared" ref="F1056:F1058" si="317">+D1056*E1056</f>
        <v>32386.115999999998</v>
      </c>
    </row>
    <row r="1057" spans="1:6" ht="39" x14ac:dyDescent="0.2">
      <c r="A1057" s="26" t="s">
        <v>1347</v>
      </c>
      <c r="B1057" s="27" t="s">
        <v>1348</v>
      </c>
      <c r="C1057" s="27" t="s">
        <v>80</v>
      </c>
      <c r="D1057" s="42">
        <v>65.349999999999994</v>
      </c>
      <c r="E1057" s="43">
        <v>107.1</v>
      </c>
      <c r="F1057" s="30">
        <f t="shared" si="317"/>
        <v>6998.9849999999988</v>
      </c>
    </row>
    <row r="1058" spans="1:6" x14ac:dyDescent="0.2">
      <c r="A1058" s="26" t="s">
        <v>1349</v>
      </c>
      <c r="B1058" s="27" t="s">
        <v>1326</v>
      </c>
      <c r="C1058" s="27" t="s">
        <v>74</v>
      </c>
      <c r="D1058" s="43">
        <v>358.09</v>
      </c>
      <c r="E1058" s="42">
        <v>22.8</v>
      </c>
      <c r="F1058" s="30">
        <f t="shared" si="317"/>
        <v>8164.4519999999993</v>
      </c>
    </row>
    <row r="1059" spans="1:6" x14ac:dyDescent="0.2">
      <c r="A1059" s="22" t="s">
        <v>1350</v>
      </c>
      <c r="B1059" s="23" t="s">
        <v>203</v>
      </c>
      <c r="C1059" s="23"/>
      <c r="D1059" s="24"/>
      <c r="E1059" s="24"/>
      <c r="F1059" s="25">
        <f>F1060</f>
        <v>227.04000000000002</v>
      </c>
    </row>
    <row r="1060" spans="1:6" ht="39" x14ac:dyDescent="0.2">
      <c r="A1060" s="26" t="s">
        <v>1351</v>
      </c>
      <c r="B1060" s="27" t="s">
        <v>1329</v>
      </c>
      <c r="C1060" s="27" t="s">
        <v>80</v>
      </c>
      <c r="D1060" s="42">
        <v>18.920000000000002</v>
      </c>
      <c r="E1060" s="42">
        <v>12</v>
      </c>
      <c r="F1060" s="30">
        <f t="shared" ref="F1060" si="318">+D1060*E1060</f>
        <v>227.04000000000002</v>
      </c>
    </row>
    <row r="1061" spans="1:6" ht="39" x14ac:dyDescent="0.2">
      <c r="A1061" s="18" t="s">
        <v>1352</v>
      </c>
      <c r="B1061" s="19" t="s">
        <v>1353</v>
      </c>
      <c r="C1061" s="19"/>
      <c r="D1061" s="20"/>
      <c r="E1061" s="20"/>
      <c r="F1061" s="21">
        <f>F1062+F1065+F1069</f>
        <v>391497.85080000001</v>
      </c>
    </row>
    <row r="1062" spans="1:6" x14ac:dyDescent="0.2">
      <c r="A1062" s="22" t="s">
        <v>1354</v>
      </c>
      <c r="B1062" s="23" t="s">
        <v>1316</v>
      </c>
      <c r="C1062" s="23"/>
      <c r="D1062" s="24"/>
      <c r="E1062" s="24"/>
      <c r="F1062" s="25">
        <f>SUM(F1063:F1064)</f>
        <v>2608.9908</v>
      </c>
    </row>
    <row r="1063" spans="1:6" ht="39" x14ac:dyDescent="0.2">
      <c r="A1063" s="26" t="s">
        <v>1355</v>
      </c>
      <c r="B1063" s="27" t="s">
        <v>1318</v>
      </c>
      <c r="C1063" s="27" t="s">
        <v>80</v>
      </c>
      <c r="D1063" s="43">
        <v>150.80000000000001</v>
      </c>
      <c r="E1063" s="28">
        <v>7.3369999999999997</v>
      </c>
      <c r="F1063" s="30">
        <f t="shared" ref="F1063:F1064" si="319">+D1063*E1063</f>
        <v>1106.4195999999999</v>
      </c>
    </row>
    <row r="1064" spans="1:6" ht="58.5" x14ac:dyDescent="0.2">
      <c r="A1064" s="26" t="s">
        <v>1356</v>
      </c>
      <c r="B1064" s="27" t="s">
        <v>1320</v>
      </c>
      <c r="C1064" s="27" t="s">
        <v>80</v>
      </c>
      <c r="D1064" s="43">
        <v>150.80000000000001</v>
      </c>
      <c r="E1064" s="28">
        <v>9.9640000000000004</v>
      </c>
      <c r="F1064" s="30">
        <f t="shared" si="319"/>
        <v>1502.5712000000001</v>
      </c>
    </row>
    <row r="1065" spans="1:6" x14ac:dyDescent="0.2">
      <c r="A1065" s="22" t="s">
        <v>1357</v>
      </c>
      <c r="B1065" s="23" t="s">
        <v>1322</v>
      </c>
      <c r="C1065" s="23"/>
      <c r="D1065" s="24"/>
      <c r="E1065" s="24"/>
      <c r="F1065" s="25">
        <f>SUM(F1066:F1068)</f>
        <v>387079.26</v>
      </c>
    </row>
    <row r="1066" spans="1:6" ht="39" x14ac:dyDescent="0.2">
      <c r="A1066" s="26" t="s">
        <v>1358</v>
      </c>
      <c r="B1066" s="27" t="s">
        <v>1324</v>
      </c>
      <c r="C1066" s="27" t="s">
        <v>80</v>
      </c>
      <c r="D1066" s="31">
        <v>2684</v>
      </c>
      <c r="E1066" s="42">
        <v>96.6</v>
      </c>
      <c r="F1066" s="30">
        <f t="shared" ref="F1066:F1068" si="320">+D1066*E1066</f>
        <v>259274.4</v>
      </c>
    </row>
    <row r="1067" spans="1:6" ht="39" x14ac:dyDescent="0.2">
      <c r="A1067" s="26" t="s">
        <v>1359</v>
      </c>
      <c r="B1067" s="27" t="s">
        <v>1348</v>
      </c>
      <c r="C1067" s="27" t="s">
        <v>80</v>
      </c>
      <c r="D1067" s="43">
        <v>277.27999999999997</v>
      </c>
      <c r="E1067" s="43">
        <v>107.1</v>
      </c>
      <c r="F1067" s="30">
        <f t="shared" si="320"/>
        <v>29696.687999999995</v>
      </c>
    </row>
    <row r="1068" spans="1:6" x14ac:dyDescent="0.2">
      <c r="A1068" s="26" t="s">
        <v>1360</v>
      </c>
      <c r="B1068" s="27" t="s">
        <v>1326</v>
      </c>
      <c r="C1068" s="27" t="s">
        <v>74</v>
      </c>
      <c r="D1068" s="31">
        <v>4302.99</v>
      </c>
      <c r="E1068" s="42">
        <v>22.8</v>
      </c>
      <c r="F1068" s="30">
        <f t="shared" si="320"/>
        <v>98108.171999999991</v>
      </c>
    </row>
    <row r="1069" spans="1:6" x14ac:dyDescent="0.2">
      <c r="A1069" s="22" t="s">
        <v>1361</v>
      </c>
      <c r="B1069" s="23" t="s">
        <v>203</v>
      </c>
      <c r="C1069" s="23"/>
      <c r="D1069" s="24"/>
      <c r="E1069" s="24"/>
      <c r="F1069" s="25">
        <f>F1070</f>
        <v>1809.6000000000001</v>
      </c>
    </row>
    <row r="1070" spans="1:6" ht="39" x14ac:dyDescent="0.2">
      <c r="A1070" s="26" t="s">
        <v>1362</v>
      </c>
      <c r="B1070" s="27" t="s">
        <v>1329</v>
      </c>
      <c r="C1070" s="27" t="s">
        <v>80</v>
      </c>
      <c r="D1070" s="43">
        <v>150.80000000000001</v>
      </c>
      <c r="E1070" s="42">
        <v>12</v>
      </c>
      <c r="F1070" s="30">
        <f t="shared" ref="F1070" si="321">+D1070*E1070</f>
        <v>1809.6000000000001</v>
      </c>
    </row>
    <row r="1071" spans="1:6" ht="39" x14ac:dyDescent="0.2">
      <c r="A1071" s="18" t="s">
        <v>1363</v>
      </c>
      <c r="B1071" s="19" t="s">
        <v>1364</v>
      </c>
      <c r="C1071" s="19"/>
      <c r="D1071" s="20"/>
      <c r="E1071" s="20"/>
      <c r="F1071" s="21">
        <f>F1072+F1079+F1075</f>
        <v>46585.234920000003</v>
      </c>
    </row>
    <row r="1072" spans="1:6" x14ac:dyDescent="0.2">
      <c r="A1072" s="22" t="s">
        <v>1365</v>
      </c>
      <c r="B1072" s="23" t="s">
        <v>1316</v>
      </c>
      <c r="C1072" s="23"/>
      <c r="D1072" s="24"/>
      <c r="E1072" s="24"/>
      <c r="F1072" s="25">
        <f>SUM(F1073:F1074)</f>
        <v>327.33492000000001</v>
      </c>
    </row>
    <row r="1073" spans="1:6" ht="39" x14ac:dyDescent="0.2">
      <c r="A1073" s="26" t="s">
        <v>1366</v>
      </c>
      <c r="B1073" s="27" t="s">
        <v>1318</v>
      </c>
      <c r="C1073" s="27" t="s">
        <v>80</v>
      </c>
      <c r="D1073" s="42">
        <v>18.920000000000002</v>
      </c>
      <c r="E1073" s="28">
        <v>7.3369999999999997</v>
      </c>
      <c r="F1073" s="30">
        <f t="shared" ref="F1073:F1074" si="322">+D1073*E1073</f>
        <v>138.81604000000002</v>
      </c>
    </row>
    <row r="1074" spans="1:6" ht="58.5" x14ac:dyDescent="0.2">
      <c r="A1074" s="26" t="s">
        <v>1367</v>
      </c>
      <c r="B1074" s="27" t="s">
        <v>1320</v>
      </c>
      <c r="C1074" s="27" t="s">
        <v>80</v>
      </c>
      <c r="D1074" s="42">
        <v>18.920000000000002</v>
      </c>
      <c r="E1074" s="28">
        <v>9.9640000000000004</v>
      </c>
      <c r="F1074" s="30">
        <f t="shared" si="322"/>
        <v>188.51888000000002</v>
      </c>
    </row>
    <row r="1075" spans="1:6" x14ac:dyDescent="0.2">
      <c r="A1075" s="22" t="s">
        <v>1368</v>
      </c>
      <c r="B1075" s="23" t="s">
        <v>1322</v>
      </c>
      <c r="C1075" s="23"/>
      <c r="D1075" s="24"/>
      <c r="E1075" s="24"/>
      <c r="F1075" s="25">
        <f>SUM(F1076:F1078)</f>
        <v>44441.58</v>
      </c>
    </row>
    <row r="1076" spans="1:6" ht="39" x14ac:dyDescent="0.2">
      <c r="A1076" s="26" t="s">
        <v>1369</v>
      </c>
      <c r="B1076" s="27" t="s">
        <v>1324</v>
      </c>
      <c r="C1076" s="27" t="s">
        <v>80</v>
      </c>
      <c r="D1076" s="43">
        <v>306.77999999999997</v>
      </c>
      <c r="E1076" s="42">
        <v>96.6</v>
      </c>
      <c r="F1076" s="30">
        <f t="shared" ref="F1076:F1078" si="323">+D1076*E1076</f>
        <v>29634.947999999997</v>
      </c>
    </row>
    <row r="1077" spans="1:6" ht="39" x14ac:dyDescent="0.2">
      <c r="A1077" s="26" t="s">
        <v>1370</v>
      </c>
      <c r="B1077" s="27" t="s">
        <v>1348</v>
      </c>
      <c r="C1077" s="27" t="s">
        <v>80</v>
      </c>
      <c r="D1077" s="42">
        <v>38.119999999999997</v>
      </c>
      <c r="E1077" s="43">
        <v>107.1</v>
      </c>
      <c r="F1077" s="30">
        <f t="shared" si="323"/>
        <v>4082.6519999999996</v>
      </c>
    </row>
    <row r="1078" spans="1:6" x14ac:dyDescent="0.2">
      <c r="A1078" s="26" t="s">
        <v>1371</v>
      </c>
      <c r="B1078" s="27" t="s">
        <v>1326</v>
      </c>
      <c r="C1078" s="27" t="s">
        <v>74</v>
      </c>
      <c r="D1078" s="43">
        <v>470.35</v>
      </c>
      <c r="E1078" s="42">
        <v>22.8</v>
      </c>
      <c r="F1078" s="30">
        <f t="shared" si="323"/>
        <v>10723.980000000001</v>
      </c>
    </row>
    <row r="1079" spans="1:6" x14ac:dyDescent="0.2">
      <c r="A1079" s="22" t="s">
        <v>1372</v>
      </c>
      <c r="B1079" s="23" t="s">
        <v>203</v>
      </c>
      <c r="C1079" s="23"/>
      <c r="D1079" s="24"/>
      <c r="E1079" s="24"/>
      <c r="F1079" s="25">
        <f>F1080</f>
        <v>1816.3200000000002</v>
      </c>
    </row>
    <row r="1080" spans="1:6" ht="39" x14ac:dyDescent="0.2">
      <c r="A1080" s="26" t="s">
        <v>1373</v>
      </c>
      <c r="B1080" s="27" t="s">
        <v>1329</v>
      </c>
      <c r="C1080" s="27" t="s">
        <v>80</v>
      </c>
      <c r="D1080" s="43">
        <v>151.36000000000001</v>
      </c>
      <c r="E1080" s="42">
        <v>12</v>
      </c>
      <c r="F1080" s="30">
        <f t="shared" ref="F1080" si="324">+D1080*E1080</f>
        <v>1816.3200000000002</v>
      </c>
    </row>
    <row r="1081" spans="1:6" ht="39" x14ac:dyDescent="0.2">
      <c r="A1081" s="18" t="s">
        <v>1374</v>
      </c>
      <c r="B1081" s="19" t="s">
        <v>1375</v>
      </c>
      <c r="C1081" s="19"/>
      <c r="D1081" s="20"/>
      <c r="E1081" s="20"/>
      <c r="F1081" s="21">
        <f>F1082+F1085</f>
        <v>1187.5695300000002</v>
      </c>
    </row>
    <row r="1082" spans="1:6" x14ac:dyDescent="0.2">
      <c r="A1082" s="22" t="s">
        <v>1376</v>
      </c>
      <c r="B1082" s="23" t="s">
        <v>1316</v>
      </c>
      <c r="C1082" s="23"/>
      <c r="D1082" s="24"/>
      <c r="E1082" s="24"/>
      <c r="F1082" s="25">
        <f>SUM(F1083:F1084)</f>
        <v>701.20953000000009</v>
      </c>
    </row>
    <row r="1083" spans="1:6" ht="39" x14ac:dyDescent="0.2">
      <c r="A1083" s="26" t="s">
        <v>1377</v>
      </c>
      <c r="B1083" s="27" t="s">
        <v>1318</v>
      </c>
      <c r="C1083" s="27" t="s">
        <v>80</v>
      </c>
      <c r="D1083" s="42">
        <v>40.53</v>
      </c>
      <c r="E1083" s="28">
        <v>7.3369999999999997</v>
      </c>
      <c r="F1083" s="30">
        <f t="shared" ref="F1083:F1084" si="325">+D1083*E1083</f>
        <v>297.36860999999999</v>
      </c>
    </row>
    <row r="1084" spans="1:6" ht="58.5" x14ac:dyDescent="0.2">
      <c r="A1084" s="26" t="s">
        <v>1378</v>
      </c>
      <c r="B1084" s="27" t="s">
        <v>1320</v>
      </c>
      <c r="C1084" s="27" t="s">
        <v>80</v>
      </c>
      <c r="D1084" s="42">
        <v>40.53</v>
      </c>
      <c r="E1084" s="28">
        <v>9.9640000000000004</v>
      </c>
      <c r="F1084" s="30">
        <f t="shared" si="325"/>
        <v>403.84092000000004</v>
      </c>
    </row>
    <row r="1085" spans="1:6" x14ac:dyDescent="0.2">
      <c r="A1085" s="22" t="s">
        <v>1379</v>
      </c>
      <c r="B1085" s="23" t="s">
        <v>203</v>
      </c>
      <c r="C1085" s="23"/>
      <c r="D1085" s="24"/>
      <c r="E1085" s="24"/>
      <c r="F1085" s="25">
        <f>F1086</f>
        <v>486.36</v>
      </c>
    </row>
    <row r="1086" spans="1:6" ht="39" x14ac:dyDescent="0.2">
      <c r="A1086" s="26" t="s">
        <v>1380</v>
      </c>
      <c r="B1086" s="27" t="s">
        <v>1329</v>
      </c>
      <c r="C1086" s="27" t="s">
        <v>80</v>
      </c>
      <c r="D1086" s="42">
        <v>40.53</v>
      </c>
      <c r="E1086" s="42">
        <v>12</v>
      </c>
      <c r="F1086" s="30">
        <f t="shared" ref="F1086" si="326">+D1086*E1086</f>
        <v>486.36</v>
      </c>
    </row>
    <row r="1087" spans="1:6" x14ac:dyDescent="0.2">
      <c r="A1087" s="14" t="s">
        <v>1381</v>
      </c>
      <c r="B1087" s="15" t="s">
        <v>1382</v>
      </c>
      <c r="C1087" s="15"/>
      <c r="D1087" s="16"/>
      <c r="E1087" s="16"/>
      <c r="F1087" s="17">
        <f>F1088+F1096+F1125+F1139+F1144+F1181+F1203</f>
        <v>1460124.6900762999</v>
      </c>
    </row>
    <row r="1088" spans="1:6" x14ac:dyDescent="0.2">
      <c r="A1088" s="18" t="s">
        <v>1383</v>
      </c>
      <c r="B1088" s="19" t="s">
        <v>1384</v>
      </c>
      <c r="C1088" s="19"/>
      <c r="D1088" s="20"/>
      <c r="E1088" s="20"/>
      <c r="F1088" s="21">
        <f>F1093+F1091+F1089</f>
        <v>414.18026499999996</v>
      </c>
    </row>
    <row r="1089" spans="1:6" x14ac:dyDescent="0.2">
      <c r="A1089" s="22" t="s">
        <v>1386</v>
      </c>
      <c r="B1089" s="23" t="s">
        <v>1391</v>
      </c>
      <c r="C1089" s="23"/>
      <c r="D1089" s="24"/>
      <c r="E1089" s="24"/>
      <c r="F1089" s="25">
        <f>F1090</f>
        <v>169.99420000000001</v>
      </c>
    </row>
    <row r="1090" spans="1:6" ht="39" x14ac:dyDescent="0.2">
      <c r="A1090" s="45" t="s">
        <v>2202</v>
      </c>
      <c r="B1090" s="27" t="s">
        <v>1385</v>
      </c>
      <c r="C1090" s="27" t="s">
        <v>80</v>
      </c>
      <c r="D1090" s="28">
        <v>4.0999999999999996</v>
      </c>
      <c r="E1090" s="42">
        <v>41.462000000000003</v>
      </c>
      <c r="F1090" s="30">
        <f t="shared" ref="F1090" si="327">+D1090*E1090</f>
        <v>169.99420000000001</v>
      </c>
    </row>
    <row r="1091" spans="1:6" x14ac:dyDescent="0.2">
      <c r="A1091" s="46" t="s">
        <v>2203</v>
      </c>
      <c r="B1091" s="23" t="s">
        <v>1404</v>
      </c>
      <c r="C1091" s="23"/>
      <c r="D1091" s="24"/>
      <c r="E1091" s="24"/>
      <c r="F1091" s="25">
        <f>F1092</f>
        <v>25.898565000000005</v>
      </c>
    </row>
    <row r="1092" spans="1:6" ht="39" x14ac:dyDescent="0.2">
      <c r="A1092" s="45" t="s">
        <v>2204</v>
      </c>
      <c r="B1092" s="27" t="s">
        <v>1408</v>
      </c>
      <c r="C1092" s="27" t="s">
        <v>74</v>
      </c>
      <c r="D1092" s="28">
        <v>5.7750000000000004</v>
      </c>
      <c r="E1092" s="42">
        <v>4.4846000000000004</v>
      </c>
      <c r="F1092" s="30">
        <f t="shared" ref="F1092" si="328">+D1092*E1092</f>
        <v>25.898565000000005</v>
      </c>
    </row>
    <row r="1093" spans="1:6" x14ac:dyDescent="0.2">
      <c r="A1093" s="46" t="s">
        <v>2205</v>
      </c>
      <c r="B1093" s="23" t="s">
        <v>203</v>
      </c>
      <c r="C1093" s="23"/>
      <c r="D1093" s="24"/>
      <c r="E1093" s="24"/>
      <c r="F1093" s="25">
        <f>F1094+F1095</f>
        <v>218.28749999999999</v>
      </c>
    </row>
    <row r="1094" spans="1:6" ht="39" x14ac:dyDescent="0.2">
      <c r="A1094" s="45" t="s">
        <v>2206</v>
      </c>
      <c r="B1094" s="27" t="s">
        <v>1387</v>
      </c>
      <c r="C1094" s="27" t="s">
        <v>80</v>
      </c>
      <c r="D1094" s="28">
        <v>4.0999999999999996</v>
      </c>
      <c r="E1094" s="42">
        <v>30</v>
      </c>
      <c r="F1094" s="30">
        <f t="shared" ref="F1094" si="329">+D1094*E1094</f>
        <v>122.99999999999999</v>
      </c>
    </row>
    <row r="1095" spans="1:6" ht="39" x14ac:dyDescent="0.2">
      <c r="A1095" s="45" t="s">
        <v>2207</v>
      </c>
      <c r="B1095" s="27" t="s">
        <v>1429</v>
      </c>
      <c r="C1095" s="27" t="s">
        <v>74</v>
      </c>
      <c r="D1095" s="28">
        <v>5.7750000000000004</v>
      </c>
      <c r="E1095" s="42">
        <v>16.5</v>
      </c>
      <c r="F1095" s="30">
        <f t="shared" ref="F1095" si="330">+D1095*E1095</f>
        <v>95.287500000000009</v>
      </c>
    </row>
    <row r="1096" spans="1:6" ht="39" x14ac:dyDescent="0.2">
      <c r="A1096" s="18" t="s">
        <v>1388</v>
      </c>
      <c r="B1096" s="19" t="s">
        <v>1389</v>
      </c>
      <c r="C1096" s="19"/>
      <c r="D1096" s="20"/>
      <c r="E1096" s="20"/>
      <c r="F1096" s="21">
        <f>F1097+F1104+F1109+F1112+F1116+F1114</f>
        <v>115393.33508339997</v>
      </c>
    </row>
    <row r="1097" spans="1:6" x14ac:dyDescent="0.2">
      <c r="A1097" s="22" t="s">
        <v>1390</v>
      </c>
      <c r="B1097" s="23" t="s">
        <v>1391</v>
      </c>
      <c r="C1097" s="23"/>
      <c r="D1097" s="24"/>
      <c r="E1097" s="24"/>
      <c r="F1097" s="25">
        <f>SUM(F1098:F1103)</f>
        <v>60207.839631999996</v>
      </c>
    </row>
    <row r="1098" spans="1:6" ht="39" x14ac:dyDescent="0.2">
      <c r="A1098" s="26" t="s">
        <v>1392</v>
      </c>
      <c r="B1098" s="27" t="s">
        <v>1393</v>
      </c>
      <c r="C1098" s="27" t="s">
        <v>80</v>
      </c>
      <c r="D1098" s="42">
        <v>37.61</v>
      </c>
      <c r="E1098" s="42">
        <v>93.031999999999996</v>
      </c>
      <c r="F1098" s="30">
        <f t="shared" ref="F1098:F1103" si="331">+D1098*E1098</f>
        <v>3498.9335199999996</v>
      </c>
    </row>
    <row r="1099" spans="1:6" ht="39" x14ac:dyDescent="0.2">
      <c r="A1099" s="26" t="s">
        <v>1394</v>
      </c>
      <c r="B1099" s="27" t="s">
        <v>1385</v>
      </c>
      <c r="C1099" s="27" t="s">
        <v>80</v>
      </c>
      <c r="D1099" s="42">
        <v>11.41</v>
      </c>
      <c r="E1099" s="42">
        <v>41.462000000000003</v>
      </c>
      <c r="F1099" s="30">
        <f t="shared" si="331"/>
        <v>473.08142000000004</v>
      </c>
    </row>
    <row r="1100" spans="1:6" ht="39" x14ac:dyDescent="0.2">
      <c r="A1100" s="26" t="s">
        <v>1395</v>
      </c>
      <c r="B1100" s="27" t="s">
        <v>1396</v>
      </c>
      <c r="C1100" s="27" t="s">
        <v>80</v>
      </c>
      <c r="D1100" s="42">
        <v>52.85</v>
      </c>
      <c r="E1100" s="42">
        <v>93.031999999999996</v>
      </c>
      <c r="F1100" s="30">
        <f t="shared" si="331"/>
        <v>4916.7412000000004</v>
      </c>
    </row>
    <row r="1101" spans="1:6" ht="39" x14ac:dyDescent="0.2">
      <c r="A1101" s="26" t="s">
        <v>1397</v>
      </c>
      <c r="B1101" s="27" t="s">
        <v>1398</v>
      </c>
      <c r="C1101" s="27" t="s">
        <v>80</v>
      </c>
      <c r="D1101" s="43">
        <v>571</v>
      </c>
      <c r="E1101" s="42">
        <v>74.462000000000003</v>
      </c>
      <c r="F1101" s="30">
        <f t="shared" si="331"/>
        <v>42517.802000000003</v>
      </c>
    </row>
    <row r="1102" spans="1:6" ht="39" x14ac:dyDescent="0.2">
      <c r="A1102" s="26" t="s">
        <v>1399</v>
      </c>
      <c r="B1102" s="27" t="s">
        <v>1400</v>
      </c>
      <c r="C1102" s="27" t="s">
        <v>80</v>
      </c>
      <c r="D1102" s="42">
        <v>27.77</v>
      </c>
      <c r="E1102" s="42">
        <v>79.962000000000003</v>
      </c>
      <c r="F1102" s="30">
        <f t="shared" si="331"/>
        <v>2220.5447400000003</v>
      </c>
    </row>
    <row r="1103" spans="1:6" ht="39" x14ac:dyDescent="0.2">
      <c r="A1103" s="26" t="s">
        <v>1401</v>
      </c>
      <c r="B1103" s="27" t="s">
        <v>1402</v>
      </c>
      <c r="C1103" s="27" t="s">
        <v>80</v>
      </c>
      <c r="D1103" s="43">
        <v>157.28</v>
      </c>
      <c r="E1103" s="42">
        <v>41.840899999999998</v>
      </c>
      <c r="F1103" s="30">
        <f t="shared" si="331"/>
        <v>6580.7367519999998</v>
      </c>
    </row>
    <row r="1104" spans="1:6" x14ac:dyDescent="0.2">
      <c r="A1104" s="22" t="s">
        <v>1403</v>
      </c>
      <c r="B1104" s="23" t="s">
        <v>1404</v>
      </c>
      <c r="C1104" s="23"/>
      <c r="D1104" s="24"/>
      <c r="E1104" s="24"/>
      <c r="F1104" s="25">
        <f>SUM(F1105:F1108)</f>
        <v>10517.265728199998</v>
      </c>
    </row>
    <row r="1105" spans="1:6" x14ac:dyDescent="0.2">
      <c r="A1105" s="26" t="s">
        <v>1405</v>
      </c>
      <c r="B1105" s="27" t="s">
        <v>1406</v>
      </c>
      <c r="C1105" s="27" t="s">
        <v>74</v>
      </c>
      <c r="D1105" s="43">
        <v>248.87029999999999</v>
      </c>
      <c r="E1105" s="42">
        <v>38.75</v>
      </c>
      <c r="F1105" s="30">
        <f t="shared" ref="F1105:F1108" si="332">+D1105*E1105</f>
        <v>9643.7241249999988</v>
      </c>
    </row>
    <row r="1106" spans="1:6" ht="39" x14ac:dyDescent="0.2">
      <c r="A1106" s="26" t="s">
        <v>1407</v>
      </c>
      <c r="B1106" s="27" t="s">
        <v>1408</v>
      </c>
      <c r="C1106" s="27" t="s">
        <v>74</v>
      </c>
      <c r="D1106" s="42">
        <v>12.172000000000001</v>
      </c>
      <c r="E1106" s="28">
        <v>4.4846000000000004</v>
      </c>
      <c r="F1106" s="30">
        <f t="shared" si="332"/>
        <v>54.586551200000009</v>
      </c>
    </row>
    <row r="1107" spans="1:6" ht="39" x14ac:dyDescent="0.2">
      <c r="A1107" s="26" t="s">
        <v>1409</v>
      </c>
      <c r="B1107" s="27" t="s">
        <v>1410</v>
      </c>
      <c r="C1107" s="27" t="s">
        <v>74</v>
      </c>
      <c r="D1107" s="42">
        <v>35.96</v>
      </c>
      <c r="E1107" s="42">
        <v>10.823700000000001</v>
      </c>
      <c r="F1107" s="30">
        <f t="shared" si="332"/>
        <v>389.22025200000002</v>
      </c>
    </row>
    <row r="1108" spans="1:6" ht="39" x14ac:dyDescent="0.2">
      <c r="A1108" s="26" t="s">
        <v>1411</v>
      </c>
      <c r="B1108" s="27" t="s">
        <v>1412</v>
      </c>
      <c r="C1108" s="27" t="s">
        <v>74</v>
      </c>
      <c r="D1108" s="42">
        <v>48.35</v>
      </c>
      <c r="E1108" s="28">
        <v>8.8879999999999999</v>
      </c>
      <c r="F1108" s="30">
        <f t="shared" si="332"/>
        <v>429.73480000000001</v>
      </c>
    </row>
    <row r="1109" spans="1:6" x14ac:dyDescent="0.2">
      <c r="A1109" s="22" t="s">
        <v>1413</v>
      </c>
      <c r="B1109" s="23" t="s">
        <v>1414</v>
      </c>
      <c r="C1109" s="23"/>
      <c r="D1109" s="24"/>
      <c r="E1109" s="24"/>
      <c r="F1109" s="25">
        <f>SUM(F1110:F1111)</f>
        <v>4774.8233831999996</v>
      </c>
    </row>
    <row r="1110" spans="1:6" x14ac:dyDescent="0.2">
      <c r="A1110" s="26" t="s">
        <v>1415</v>
      </c>
      <c r="B1110" s="27" t="s">
        <v>1416</v>
      </c>
      <c r="C1110" s="27" t="s">
        <v>80</v>
      </c>
      <c r="D1110" s="28">
        <v>3.1440000000000001</v>
      </c>
      <c r="E1110" s="43">
        <v>109.19029999999999</v>
      </c>
      <c r="F1110" s="30">
        <f t="shared" ref="F1110:F1111" si="333">+D1110*E1110</f>
        <v>343.2943032</v>
      </c>
    </row>
    <row r="1111" spans="1:6" x14ac:dyDescent="0.2">
      <c r="A1111" s="26" t="s">
        <v>1417</v>
      </c>
      <c r="B1111" s="27" t="s">
        <v>1418</v>
      </c>
      <c r="C1111" s="27" t="s">
        <v>80</v>
      </c>
      <c r="D1111" s="28">
        <v>5.9489999999999998</v>
      </c>
      <c r="E1111" s="43">
        <v>744.92</v>
      </c>
      <c r="F1111" s="30">
        <f t="shared" si="333"/>
        <v>4431.5290799999993</v>
      </c>
    </row>
    <row r="1112" spans="1:6" x14ac:dyDescent="0.2">
      <c r="A1112" s="22" t="s">
        <v>1419</v>
      </c>
      <c r="B1112" s="23" t="s">
        <v>1420</v>
      </c>
      <c r="C1112" s="23"/>
      <c r="D1112" s="24"/>
      <c r="E1112" s="24"/>
      <c r="F1112" s="25">
        <f>F1113</f>
        <v>169.416</v>
      </c>
    </row>
    <row r="1113" spans="1:6" x14ac:dyDescent="0.2">
      <c r="A1113" s="26" t="s">
        <v>1421</v>
      </c>
      <c r="B1113" s="27" t="s">
        <v>1422</v>
      </c>
      <c r="C1113" s="27" t="s">
        <v>80</v>
      </c>
      <c r="D1113" s="28">
        <v>0.24</v>
      </c>
      <c r="E1113" s="43">
        <v>705.9</v>
      </c>
      <c r="F1113" s="30">
        <f t="shared" ref="F1113" si="334">+D1113*E1113</f>
        <v>169.416</v>
      </c>
    </row>
    <row r="1114" spans="1:6" x14ac:dyDescent="0.2">
      <c r="A1114" s="22" t="s">
        <v>1423</v>
      </c>
      <c r="B1114" s="23" t="s">
        <v>1475</v>
      </c>
      <c r="C1114" s="23"/>
      <c r="D1114" s="24"/>
      <c r="E1114" s="24"/>
      <c r="F1114" s="25">
        <f>F1115</f>
        <v>993.73064000000011</v>
      </c>
    </row>
    <row r="1115" spans="1:6" ht="39" x14ac:dyDescent="0.2">
      <c r="A1115" s="26" t="s">
        <v>1424</v>
      </c>
      <c r="B1115" s="27" t="s">
        <v>1481</v>
      </c>
      <c r="C1115" s="27" t="s">
        <v>80</v>
      </c>
      <c r="D1115" s="28">
        <v>12.88</v>
      </c>
      <c r="E1115" s="43">
        <v>77.153000000000006</v>
      </c>
      <c r="F1115" s="30">
        <f t="shared" ref="F1115" si="335">+D1115*E1115</f>
        <v>993.73064000000011</v>
      </c>
    </row>
    <row r="1116" spans="1:6" x14ac:dyDescent="0.2">
      <c r="A1116" s="22" t="s">
        <v>2216</v>
      </c>
      <c r="B1116" s="23" t="s">
        <v>203</v>
      </c>
      <c r="C1116" s="23"/>
      <c r="D1116" s="24"/>
      <c r="E1116" s="24"/>
      <c r="F1116" s="25">
        <f>SUM(F1117:F1124)</f>
        <v>38730.259699999995</v>
      </c>
    </row>
    <row r="1117" spans="1:6" ht="39" x14ac:dyDescent="0.2">
      <c r="A1117" s="26" t="s">
        <v>2208</v>
      </c>
      <c r="B1117" s="27" t="s">
        <v>1425</v>
      </c>
      <c r="C1117" s="27" t="s">
        <v>80</v>
      </c>
      <c r="D1117" s="42">
        <v>44.32</v>
      </c>
      <c r="E1117" s="42">
        <v>28</v>
      </c>
      <c r="F1117" s="30">
        <f t="shared" ref="F1117:F1124" si="336">+D1117*E1117</f>
        <v>1240.96</v>
      </c>
    </row>
    <row r="1118" spans="1:6" ht="39" x14ac:dyDescent="0.2">
      <c r="A1118" s="26" t="s">
        <v>2209</v>
      </c>
      <c r="B1118" s="27" t="s">
        <v>1426</v>
      </c>
      <c r="C1118" s="27" t="s">
        <v>80</v>
      </c>
      <c r="D1118" s="42">
        <v>90.46</v>
      </c>
      <c r="E1118" s="42">
        <v>42</v>
      </c>
      <c r="F1118" s="30">
        <f t="shared" si="336"/>
        <v>3799.3199999999997</v>
      </c>
    </row>
    <row r="1119" spans="1:6" ht="39" x14ac:dyDescent="0.2">
      <c r="A1119" s="26" t="s">
        <v>2210</v>
      </c>
      <c r="B1119" s="27" t="s">
        <v>1427</v>
      </c>
      <c r="C1119" s="27" t="s">
        <v>80</v>
      </c>
      <c r="D1119" s="43">
        <v>610.17999999999995</v>
      </c>
      <c r="E1119" s="42">
        <v>30</v>
      </c>
      <c r="F1119" s="30">
        <f t="shared" si="336"/>
        <v>18305.399999999998</v>
      </c>
    </row>
    <row r="1120" spans="1:6" ht="39" x14ac:dyDescent="0.2">
      <c r="A1120" s="26" t="s">
        <v>2211</v>
      </c>
      <c r="B1120" s="27" t="s">
        <v>1428</v>
      </c>
      <c r="C1120" s="27" t="s">
        <v>74</v>
      </c>
      <c r="D1120" s="28">
        <v>9.093</v>
      </c>
      <c r="E1120" s="42">
        <v>35.9</v>
      </c>
      <c r="F1120" s="30">
        <f t="shared" si="336"/>
        <v>326.43869999999998</v>
      </c>
    </row>
    <row r="1121" spans="1:6" ht="39" x14ac:dyDescent="0.2">
      <c r="A1121" s="26" t="s">
        <v>2212</v>
      </c>
      <c r="B1121" s="27" t="s">
        <v>1429</v>
      </c>
      <c r="C1121" s="27" t="s">
        <v>74</v>
      </c>
      <c r="D1121" s="43">
        <v>102.11</v>
      </c>
      <c r="E1121" s="42">
        <v>16.5</v>
      </c>
      <c r="F1121" s="30">
        <f t="shared" si="336"/>
        <v>1684.8150000000001</v>
      </c>
    </row>
    <row r="1122" spans="1:6" x14ac:dyDescent="0.2">
      <c r="A1122" s="26" t="s">
        <v>2213</v>
      </c>
      <c r="B1122" s="27" t="s">
        <v>1430</v>
      </c>
      <c r="C1122" s="27" t="s">
        <v>74</v>
      </c>
      <c r="D1122" s="43">
        <v>242.3</v>
      </c>
      <c r="E1122" s="42">
        <v>42.5</v>
      </c>
      <c r="F1122" s="30">
        <f t="shared" si="336"/>
        <v>10297.75</v>
      </c>
    </row>
    <row r="1123" spans="1:6" ht="39" x14ac:dyDescent="0.2">
      <c r="A1123" s="26" t="s">
        <v>2214</v>
      </c>
      <c r="B1123" s="27" t="s">
        <v>1431</v>
      </c>
      <c r="C1123" s="27" t="s">
        <v>80</v>
      </c>
      <c r="D1123" s="28">
        <v>0.24</v>
      </c>
      <c r="E1123" s="42">
        <v>35.9</v>
      </c>
      <c r="F1123" s="30">
        <f t="shared" si="336"/>
        <v>8.6159999999999997</v>
      </c>
    </row>
    <row r="1124" spans="1:6" x14ac:dyDescent="0.2">
      <c r="A1124" s="26" t="s">
        <v>2215</v>
      </c>
      <c r="B1124" s="27" t="s">
        <v>1432</v>
      </c>
      <c r="C1124" s="27" t="s">
        <v>80</v>
      </c>
      <c r="D1124" s="43">
        <v>157.28</v>
      </c>
      <c r="E1124" s="42">
        <v>19.5</v>
      </c>
      <c r="F1124" s="30">
        <f t="shared" si="336"/>
        <v>3066.96</v>
      </c>
    </row>
    <row r="1125" spans="1:6" ht="39" x14ac:dyDescent="0.2">
      <c r="A1125" s="18" t="s">
        <v>1433</v>
      </c>
      <c r="B1125" s="19" t="s">
        <v>1434</v>
      </c>
      <c r="C1125" s="19"/>
      <c r="D1125" s="20"/>
      <c r="E1125" s="20"/>
      <c r="F1125" s="21">
        <f>F1126+F1128+F1130+F1132+F1134</f>
        <v>45361.588815000003</v>
      </c>
    </row>
    <row r="1126" spans="1:6" x14ac:dyDescent="0.2">
      <c r="A1126" s="22" t="s">
        <v>1435</v>
      </c>
      <c r="B1126" s="23" t="s">
        <v>1391</v>
      </c>
      <c r="C1126" s="23"/>
      <c r="D1126" s="24"/>
      <c r="E1126" s="24"/>
      <c r="F1126" s="25">
        <f>SUM(F1127:F1127)</f>
        <v>21579.83222</v>
      </c>
    </row>
    <row r="1127" spans="1:6" ht="39" x14ac:dyDescent="0.2">
      <c r="A1127" s="26" t="s">
        <v>1436</v>
      </c>
      <c r="B1127" s="27" t="s">
        <v>1398</v>
      </c>
      <c r="C1127" s="27" t="s">
        <v>80</v>
      </c>
      <c r="D1127" s="43">
        <v>289.81</v>
      </c>
      <c r="E1127" s="42">
        <v>74.462000000000003</v>
      </c>
      <c r="F1127" s="30">
        <f t="shared" ref="F1127" si="337">+D1127*E1127</f>
        <v>21579.83222</v>
      </c>
    </row>
    <row r="1128" spans="1:6" x14ac:dyDescent="0.2">
      <c r="A1128" s="22" t="s">
        <v>1437</v>
      </c>
      <c r="B1128" s="23" t="s">
        <v>1404</v>
      </c>
      <c r="C1128" s="23"/>
      <c r="D1128" s="24"/>
      <c r="E1128" s="24"/>
      <c r="F1128" s="25">
        <f>F1129</f>
        <v>4267.7506249999997</v>
      </c>
    </row>
    <row r="1129" spans="1:6" x14ac:dyDescent="0.2">
      <c r="A1129" s="26" t="s">
        <v>1438</v>
      </c>
      <c r="B1129" s="27" t="s">
        <v>1406</v>
      </c>
      <c r="C1129" s="27" t="s">
        <v>74</v>
      </c>
      <c r="D1129" s="43">
        <v>110.13549999999999</v>
      </c>
      <c r="E1129" s="42">
        <v>38.75</v>
      </c>
      <c r="F1129" s="30">
        <f t="shared" ref="F1129" si="338">+D1129*E1129</f>
        <v>4267.7506249999997</v>
      </c>
    </row>
    <row r="1130" spans="1:6" x14ac:dyDescent="0.2">
      <c r="A1130" s="22" t="s">
        <v>1439</v>
      </c>
      <c r="B1130" s="23" t="s">
        <v>1414</v>
      </c>
      <c r="C1130" s="23"/>
      <c r="D1130" s="24"/>
      <c r="E1130" s="24"/>
      <c r="F1130" s="25">
        <f>F1131</f>
        <v>3803.5615199999997</v>
      </c>
    </row>
    <row r="1131" spans="1:6" x14ac:dyDescent="0.2">
      <c r="A1131" s="26" t="s">
        <v>1440</v>
      </c>
      <c r="B1131" s="27" t="s">
        <v>1418</v>
      </c>
      <c r="C1131" s="27" t="s">
        <v>80</v>
      </c>
      <c r="D1131" s="28">
        <v>5.1059999999999999</v>
      </c>
      <c r="E1131" s="43">
        <v>744.92</v>
      </c>
      <c r="F1131" s="30">
        <f t="shared" ref="F1131" si="339">+D1131*E1131</f>
        <v>3803.5615199999997</v>
      </c>
    </row>
    <row r="1132" spans="1:6" x14ac:dyDescent="0.2">
      <c r="A1132" s="22" t="s">
        <v>1441</v>
      </c>
      <c r="B1132" s="23" t="s">
        <v>1420</v>
      </c>
      <c r="C1132" s="23"/>
      <c r="D1132" s="24"/>
      <c r="E1132" s="24"/>
      <c r="F1132" s="25">
        <f>F1133</f>
        <v>1682.5126500000001</v>
      </c>
    </row>
    <row r="1133" spans="1:6" x14ac:dyDescent="0.2">
      <c r="A1133" s="26" t="s">
        <v>1442</v>
      </c>
      <c r="B1133" s="27" t="s">
        <v>1422</v>
      </c>
      <c r="C1133" s="27" t="s">
        <v>80</v>
      </c>
      <c r="D1133" s="28">
        <v>2.3835000000000002</v>
      </c>
      <c r="E1133" s="43">
        <v>705.9</v>
      </c>
      <c r="F1133" s="30">
        <f t="shared" ref="F1133" si="340">+D1133*E1133</f>
        <v>1682.5126500000001</v>
      </c>
    </row>
    <row r="1134" spans="1:6" x14ac:dyDescent="0.2">
      <c r="A1134" s="22" t="s">
        <v>1443</v>
      </c>
      <c r="B1134" s="23" t="s">
        <v>203</v>
      </c>
      <c r="C1134" s="23"/>
      <c r="D1134" s="24"/>
      <c r="E1134" s="24"/>
      <c r="F1134" s="25">
        <f>SUM(F1135:F1138)</f>
        <v>14027.931800000002</v>
      </c>
    </row>
    <row r="1135" spans="1:6" ht="39" x14ac:dyDescent="0.2">
      <c r="A1135" s="26" t="s">
        <v>1444</v>
      </c>
      <c r="B1135" s="27" t="s">
        <v>1427</v>
      </c>
      <c r="C1135" s="27" t="s">
        <v>80</v>
      </c>
      <c r="D1135" s="43">
        <v>302.61</v>
      </c>
      <c r="E1135" s="42">
        <v>30</v>
      </c>
      <c r="F1135" s="30">
        <f t="shared" ref="F1135:F1138" si="341">+D1135*E1135</f>
        <v>9078.3000000000011</v>
      </c>
    </row>
    <row r="1136" spans="1:6" ht="39" x14ac:dyDescent="0.2">
      <c r="A1136" s="26" t="s">
        <v>1445</v>
      </c>
      <c r="B1136" s="27" t="s">
        <v>1428</v>
      </c>
      <c r="C1136" s="27" t="s">
        <v>74</v>
      </c>
      <c r="D1136" s="28">
        <v>5.1059999999999999</v>
      </c>
      <c r="E1136" s="42">
        <v>35.9</v>
      </c>
      <c r="F1136" s="30">
        <f t="shared" si="341"/>
        <v>183.30539999999999</v>
      </c>
    </row>
    <row r="1137" spans="1:6" x14ac:dyDescent="0.2">
      <c r="A1137" s="26" t="s">
        <v>1446</v>
      </c>
      <c r="B1137" s="27" t="s">
        <v>1430</v>
      </c>
      <c r="C1137" s="27" t="s">
        <v>74</v>
      </c>
      <c r="D1137" s="43">
        <v>110.13549999999999</v>
      </c>
      <c r="E1137" s="42">
        <v>42.5</v>
      </c>
      <c r="F1137" s="30">
        <f t="shared" si="341"/>
        <v>4680.75875</v>
      </c>
    </row>
    <row r="1138" spans="1:6" ht="39" x14ac:dyDescent="0.2">
      <c r="A1138" s="26" t="s">
        <v>1447</v>
      </c>
      <c r="B1138" s="27" t="s">
        <v>1431</v>
      </c>
      <c r="C1138" s="27" t="s">
        <v>80</v>
      </c>
      <c r="D1138" s="28">
        <v>2.3835000000000002</v>
      </c>
      <c r="E1138" s="42">
        <v>35.9</v>
      </c>
      <c r="F1138" s="30">
        <f t="shared" si="341"/>
        <v>85.56765</v>
      </c>
    </row>
    <row r="1139" spans="1:6" ht="39" x14ac:dyDescent="0.2">
      <c r="A1139" s="18" t="s">
        <v>1448</v>
      </c>
      <c r="B1139" s="19" t="s">
        <v>1434</v>
      </c>
      <c r="C1139" s="19"/>
      <c r="D1139" s="20"/>
      <c r="E1139" s="20"/>
      <c r="F1139" s="21">
        <f>F1140+F1142</f>
        <v>2787.3134999999997</v>
      </c>
    </row>
    <row r="1140" spans="1:6" x14ac:dyDescent="0.2">
      <c r="A1140" s="22" t="s">
        <v>1449</v>
      </c>
      <c r="B1140" s="23" t="s">
        <v>1420</v>
      </c>
      <c r="C1140" s="23"/>
      <c r="D1140" s="24"/>
      <c r="E1140" s="24"/>
      <c r="F1140" s="25">
        <f>F1141</f>
        <v>2652.4192499999999</v>
      </c>
    </row>
    <row r="1141" spans="1:6" x14ac:dyDescent="0.2">
      <c r="A1141" s="26" t="s">
        <v>1450</v>
      </c>
      <c r="B1141" s="27" t="s">
        <v>1422</v>
      </c>
      <c r="C1141" s="27" t="s">
        <v>80</v>
      </c>
      <c r="D1141" s="28">
        <v>3.7574999999999998</v>
      </c>
      <c r="E1141" s="43">
        <v>705.9</v>
      </c>
      <c r="F1141" s="30">
        <f t="shared" ref="F1141" si="342">+D1141*E1141</f>
        <v>2652.4192499999999</v>
      </c>
    </row>
    <row r="1142" spans="1:6" x14ac:dyDescent="0.2">
      <c r="A1142" s="22" t="s">
        <v>1451</v>
      </c>
      <c r="B1142" s="23" t="s">
        <v>203</v>
      </c>
      <c r="C1142" s="23"/>
      <c r="D1142" s="24"/>
      <c r="E1142" s="24"/>
      <c r="F1142" s="25">
        <f>F1143</f>
        <v>134.89425</v>
      </c>
    </row>
    <row r="1143" spans="1:6" ht="39" x14ac:dyDescent="0.2">
      <c r="A1143" s="26" t="s">
        <v>1452</v>
      </c>
      <c r="B1143" s="27" t="s">
        <v>1431</v>
      </c>
      <c r="C1143" s="27" t="s">
        <v>80</v>
      </c>
      <c r="D1143" s="28">
        <v>3.7574999999999998</v>
      </c>
      <c r="E1143" s="42">
        <v>35.9</v>
      </c>
      <c r="F1143" s="30">
        <f t="shared" ref="F1143" si="343">+D1143*E1143</f>
        <v>134.89425</v>
      </c>
    </row>
    <row r="1144" spans="1:6" x14ac:dyDescent="0.2">
      <c r="A1144" s="18" t="s">
        <v>1453</v>
      </c>
      <c r="B1144" s="19" t="s">
        <v>1454</v>
      </c>
      <c r="C1144" s="19"/>
      <c r="D1144" s="20"/>
      <c r="E1144" s="20"/>
      <c r="F1144" s="21">
        <f>F1145+F1153+F1156+F1159+F1169+F1171</f>
        <v>151562.25567899999</v>
      </c>
    </row>
    <row r="1145" spans="1:6" x14ac:dyDescent="0.2">
      <c r="A1145" s="22" t="s">
        <v>1455</v>
      </c>
      <c r="B1145" s="23" t="s">
        <v>1391</v>
      </c>
      <c r="C1145" s="23"/>
      <c r="D1145" s="24"/>
      <c r="E1145" s="24"/>
      <c r="F1145" s="25">
        <f>SUM(F1146:F1152)</f>
        <v>59166.907599999999</v>
      </c>
    </row>
    <row r="1146" spans="1:6" ht="39" x14ac:dyDescent="0.2">
      <c r="A1146" s="26" t="s">
        <v>1456</v>
      </c>
      <c r="B1146" s="27" t="s">
        <v>1393</v>
      </c>
      <c r="C1146" s="27" t="s">
        <v>80</v>
      </c>
      <c r="D1146" s="42">
        <v>18.89</v>
      </c>
      <c r="E1146" s="42">
        <v>93.031999999999996</v>
      </c>
      <c r="F1146" s="30">
        <f t="shared" ref="F1146:F1152" si="344">+D1146*E1146</f>
        <v>1757.3744799999999</v>
      </c>
    </row>
    <row r="1147" spans="1:6" ht="39" x14ac:dyDescent="0.2">
      <c r="A1147" s="26" t="s">
        <v>1457</v>
      </c>
      <c r="B1147" s="27" t="s">
        <v>1398</v>
      </c>
      <c r="C1147" s="27" t="s">
        <v>80</v>
      </c>
      <c r="D1147" s="43">
        <v>115.95</v>
      </c>
      <c r="E1147" s="42">
        <v>74.462000000000003</v>
      </c>
      <c r="F1147" s="30">
        <f t="shared" si="344"/>
        <v>8633.8689000000013</v>
      </c>
    </row>
    <row r="1148" spans="1:6" x14ac:dyDescent="0.2">
      <c r="A1148" s="26" t="s">
        <v>1458</v>
      </c>
      <c r="B1148" s="27" t="s">
        <v>1459</v>
      </c>
      <c r="C1148" s="27" t="s">
        <v>80</v>
      </c>
      <c r="D1148" s="43">
        <v>132.05000000000001</v>
      </c>
      <c r="E1148" s="43">
        <v>147</v>
      </c>
      <c r="F1148" s="30">
        <f t="shared" si="344"/>
        <v>19411.350000000002</v>
      </c>
    </row>
    <row r="1149" spans="1:6" ht="39" x14ac:dyDescent="0.2">
      <c r="A1149" s="26" t="s">
        <v>1460</v>
      </c>
      <c r="B1149" s="27" t="s">
        <v>1400</v>
      </c>
      <c r="C1149" s="27" t="s">
        <v>80</v>
      </c>
      <c r="D1149" s="43">
        <v>269.51</v>
      </c>
      <c r="E1149" s="42">
        <v>79.962000000000003</v>
      </c>
      <c r="F1149" s="30">
        <f t="shared" si="344"/>
        <v>21550.55862</v>
      </c>
    </row>
    <row r="1150" spans="1:6" ht="39" x14ac:dyDescent="0.2">
      <c r="A1150" s="26" t="s">
        <v>1461</v>
      </c>
      <c r="B1150" s="27" t="s">
        <v>1462</v>
      </c>
      <c r="C1150" s="27" t="s">
        <v>80</v>
      </c>
      <c r="D1150" s="42">
        <v>12.8</v>
      </c>
      <c r="E1150" s="42">
        <v>96.468500000000006</v>
      </c>
      <c r="F1150" s="30">
        <f t="shared" si="344"/>
        <v>1234.7968000000001</v>
      </c>
    </row>
    <row r="1151" spans="1:6" ht="39" x14ac:dyDescent="0.2">
      <c r="A1151" s="26" t="s">
        <v>1463</v>
      </c>
      <c r="B1151" s="27" t="s">
        <v>1464</v>
      </c>
      <c r="C1151" s="27" t="s">
        <v>80</v>
      </c>
      <c r="D1151" s="42">
        <v>31.16</v>
      </c>
      <c r="E1151" s="43">
        <v>141.43</v>
      </c>
      <c r="F1151" s="30">
        <f t="shared" si="344"/>
        <v>4406.9588000000003</v>
      </c>
    </row>
    <row r="1152" spans="1:6" ht="39" x14ac:dyDescent="0.2">
      <c r="A1152" s="26" t="s">
        <v>1465</v>
      </c>
      <c r="B1152" s="27" t="s">
        <v>1466</v>
      </c>
      <c r="C1152" s="27" t="s">
        <v>80</v>
      </c>
      <c r="D1152" s="42">
        <v>18.100000000000001</v>
      </c>
      <c r="E1152" s="43">
        <v>120</v>
      </c>
      <c r="F1152" s="30">
        <f t="shared" si="344"/>
        <v>2172</v>
      </c>
    </row>
    <row r="1153" spans="1:6" x14ac:dyDescent="0.2">
      <c r="A1153" s="22" t="s">
        <v>1467</v>
      </c>
      <c r="B1153" s="23" t="s">
        <v>1404</v>
      </c>
      <c r="C1153" s="23"/>
      <c r="D1153" s="24"/>
      <c r="E1153" s="24"/>
      <c r="F1153" s="25">
        <f>SUM(F1154:F1155)</f>
        <v>8348.1906199999994</v>
      </c>
    </row>
    <row r="1154" spans="1:6" x14ac:dyDescent="0.2">
      <c r="A1154" s="26" t="s">
        <v>1468</v>
      </c>
      <c r="B1154" s="27" t="s">
        <v>1406</v>
      </c>
      <c r="C1154" s="27" t="s">
        <v>74</v>
      </c>
      <c r="D1154" s="43">
        <v>200.69</v>
      </c>
      <c r="E1154" s="42">
        <v>38.75</v>
      </c>
      <c r="F1154" s="30">
        <f t="shared" ref="F1154:F1155" si="345">+D1154*E1154</f>
        <v>7776.7375000000002</v>
      </c>
    </row>
    <row r="1155" spans="1:6" ht="39" x14ac:dyDescent="0.2">
      <c r="A1155" s="26" t="s">
        <v>1469</v>
      </c>
      <c r="B1155" s="27" t="s">
        <v>1470</v>
      </c>
      <c r="C1155" s="27" t="s">
        <v>74</v>
      </c>
      <c r="D1155" s="42">
        <v>55.1</v>
      </c>
      <c r="E1155" s="42">
        <v>10.3712</v>
      </c>
      <c r="F1155" s="30">
        <f t="shared" si="345"/>
        <v>571.45312000000001</v>
      </c>
    </row>
    <row r="1156" spans="1:6" x14ac:dyDescent="0.2">
      <c r="A1156" s="22" t="s">
        <v>1471</v>
      </c>
      <c r="B1156" s="23" t="s">
        <v>1414</v>
      </c>
      <c r="C1156" s="23"/>
      <c r="D1156" s="24"/>
      <c r="E1156" s="24"/>
      <c r="F1156" s="25">
        <f>SUM(F1157:F1158)</f>
        <v>9719.1443760000002</v>
      </c>
    </row>
    <row r="1157" spans="1:6" x14ac:dyDescent="0.2">
      <c r="A1157" s="26" t="s">
        <v>1472</v>
      </c>
      <c r="B1157" s="27" t="s">
        <v>1416</v>
      </c>
      <c r="C1157" s="27" t="s">
        <v>80</v>
      </c>
      <c r="D1157" s="42">
        <v>11.92</v>
      </c>
      <c r="E1157" s="43">
        <v>109.19029999999999</v>
      </c>
      <c r="F1157" s="30">
        <f t="shared" ref="F1157:F1158" si="346">+D1157*E1157</f>
        <v>1301.548376</v>
      </c>
    </row>
    <row r="1158" spans="1:6" x14ac:dyDescent="0.2">
      <c r="A1158" s="26" t="s">
        <v>1473</v>
      </c>
      <c r="B1158" s="27" t="s">
        <v>1418</v>
      </c>
      <c r="C1158" s="27" t="s">
        <v>80</v>
      </c>
      <c r="D1158" s="42">
        <v>11.3</v>
      </c>
      <c r="E1158" s="43">
        <v>744.92</v>
      </c>
      <c r="F1158" s="30">
        <f t="shared" si="346"/>
        <v>8417.5959999999995</v>
      </c>
    </row>
    <row r="1159" spans="1:6" x14ac:dyDescent="0.2">
      <c r="A1159" s="22" t="s">
        <v>1474</v>
      </c>
      <c r="B1159" s="23" t="s">
        <v>1475</v>
      </c>
      <c r="C1159" s="23"/>
      <c r="D1159" s="24"/>
      <c r="E1159" s="24"/>
      <c r="F1159" s="25">
        <f>SUM(F1160:F1168)</f>
        <v>27300.895983000002</v>
      </c>
    </row>
    <row r="1160" spans="1:6" ht="39" x14ac:dyDescent="0.2">
      <c r="A1160" s="26" t="s">
        <v>1476</v>
      </c>
      <c r="B1160" s="27" t="s">
        <v>1477</v>
      </c>
      <c r="C1160" s="27" t="s">
        <v>80</v>
      </c>
      <c r="D1160" s="42">
        <v>10.91</v>
      </c>
      <c r="E1160" s="43">
        <v>109.6215</v>
      </c>
      <c r="F1160" s="30">
        <f t="shared" ref="F1160:F1168" si="347">+D1160*E1160</f>
        <v>1195.9705650000001</v>
      </c>
    </row>
    <row r="1161" spans="1:6" ht="39" x14ac:dyDescent="0.2">
      <c r="A1161" s="26" t="s">
        <v>1478</v>
      </c>
      <c r="B1161" s="27" t="s">
        <v>1479</v>
      </c>
      <c r="C1161" s="27" t="s">
        <v>80</v>
      </c>
      <c r="D1161" s="42">
        <v>10.92</v>
      </c>
      <c r="E1161" s="43">
        <v>120.26300000000001</v>
      </c>
      <c r="F1161" s="30">
        <f t="shared" si="347"/>
        <v>1313.27196</v>
      </c>
    </row>
    <row r="1162" spans="1:6" ht="39" x14ac:dyDescent="0.2">
      <c r="A1162" s="26" t="s">
        <v>1480</v>
      </c>
      <c r="B1162" s="27" t="s">
        <v>1481</v>
      </c>
      <c r="C1162" s="27" t="s">
        <v>80</v>
      </c>
      <c r="D1162" s="42">
        <v>99.34</v>
      </c>
      <c r="E1162" s="42">
        <v>77.153000000000006</v>
      </c>
      <c r="F1162" s="30">
        <f t="shared" si="347"/>
        <v>7664.3790200000012</v>
      </c>
    </row>
    <row r="1163" spans="1:6" ht="39" x14ac:dyDescent="0.2">
      <c r="A1163" s="26" t="s">
        <v>1482</v>
      </c>
      <c r="B1163" s="27" t="s">
        <v>1483</v>
      </c>
      <c r="C1163" s="27" t="s">
        <v>80</v>
      </c>
      <c r="D1163" s="28">
        <v>6.57</v>
      </c>
      <c r="E1163" s="42">
        <v>98.587999999999994</v>
      </c>
      <c r="F1163" s="30">
        <f t="shared" si="347"/>
        <v>647.72316000000001</v>
      </c>
    </row>
    <row r="1164" spans="1:6" ht="39" x14ac:dyDescent="0.2">
      <c r="A1164" s="26" t="s">
        <v>1484</v>
      </c>
      <c r="B1164" s="27" t="s">
        <v>1485</v>
      </c>
      <c r="C1164" s="27" t="s">
        <v>80</v>
      </c>
      <c r="D1164" s="42">
        <v>20.68</v>
      </c>
      <c r="E1164" s="43">
        <v>109.6215</v>
      </c>
      <c r="F1164" s="30">
        <f t="shared" si="347"/>
        <v>2266.97262</v>
      </c>
    </row>
    <row r="1165" spans="1:6" ht="39" x14ac:dyDescent="0.2">
      <c r="A1165" s="26" t="s">
        <v>1486</v>
      </c>
      <c r="B1165" s="27" t="s">
        <v>1487</v>
      </c>
      <c r="C1165" s="27" t="s">
        <v>80</v>
      </c>
      <c r="D1165" s="28">
        <v>6.84</v>
      </c>
      <c r="E1165" s="42">
        <v>40.351199999999999</v>
      </c>
      <c r="F1165" s="30">
        <f t="shared" si="347"/>
        <v>276.002208</v>
      </c>
    </row>
    <row r="1166" spans="1:6" ht="39" x14ac:dyDescent="0.2">
      <c r="A1166" s="26" t="s">
        <v>1488</v>
      </c>
      <c r="B1166" s="27" t="s">
        <v>1489</v>
      </c>
      <c r="C1166" s="27" t="s">
        <v>80</v>
      </c>
      <c r="D1166" s="42">
        <v>27.97</v>
      </c>
      <c r="E1166" s="42">
        <v>34.231000000000002</v>
      </c>
      <c r="F1166" s="30">
        <f t="shared" si="347"/>
        <v>957.44106999999997</v>
      </c>
    </row>
    <row r="1167" spans="1:6" x14ac:dyDescent="0.2">
      <c r="A1167" s="26" t="s">
        <v>1490</v>
      </c>
      <c r="B1167" s="27" t="s">
        <v>1491</v>
      </c>
      <c r="C1167" s="27" t="s">
        <v>80</v>
      </c>
      <c r="D1167" s="28">
        <v>3.69</v>
      </c>
      <c r="E1167" s="43">
        <v>817.202</v>
      </c>
      <c r="F1167" s="30">
        <f t="shared" si="347"/>
        <v>3015.4753799999999</v>
      </c>
    </row>
    <row r="1168" spans="1:6" x14ac:dyDescent="0.2">
      <c r="A1168" s="26" t="s">
        <v>1492</v>
      </c>
      <c r="B1168" s="27" t="s">
        <v>1459</v>
      </c>
      <c r="C1168" s="27" t="s">
        <v>80</v>
      </c>
      <c r="D1168" s="42">
        <v>67.78</v>
      </c>
      <c r="E1168" s="43">
        <v>147</v>
      </c>
      <c r="F1168" s="30">
        <f t="shared" si="347"/>
        <v>9963.66</v>
      </c>
    </row>
    <row r="1169" spans="1:6" x14ac:dyDescent="0.2">
      <c r="A1169" s="22" t="s">
        <v>1493</v>
      </c>
      <c r="B1169" s="23" t="s">
        <v>1420</v>
      </c>
      <c r="C1169" s="23"/>
      <c r="D1169" s="24"/>
      <c r="E1169" s="24"/>
      <c r="F1169" s="25">
        <f>F1170</f>
        <v>5890.3825500000003</v>
      </c>
    </row>
    <row r="1170" spans="1:6" x14ac:dyDescent="0.2">
      <c r="A1170" s="26" t="s">
        <v>1494</v>
      </c>
      <c r="B1170" s="27" t="s">
        <v>1422</v>
      </c>
      <c r="C1170" s="27" t="s">
        <v>80</v>
      </c>
      <c r="D1170" s="28">
        <v>8.3445</v>
      </c>
      <c r="E1170" s="43">
        <v>705.9</v>
      </c>
      <c r="F1170" s="30">
        <f t="shared" ref="F1170" si="348">+D1170*E1170</f>
        <v>5890.3825500000003</v>
      </c>
    </row>
    <row r="1171" spans="1:6" x14ac:dyDescent="0.2">
      <c r="A1171" s="22" t="s">
        <v>1495</v>
      </c>
      <c r="B1171" s="23" t="s">
        <v>203</v>
      </c>
      <c r="C1171" s="23"/>
      <c r="D1171" s="24"/>
      <c r="E1171" s="24"/>
      <c r="F1171" s="25">
        <f>SUM(F1172:F1180)</f>
        <v>41136.734549999994</v>
      </c>
    </row>
    <row r="1172" spans="1:6" ht="39" x14ac:dyDescent="0.2">
      <c r="A1172" s="26" t="s">
        <v>1496</v>
      </c>
      <c r="B1172" s="27" t="s">
        <v>1425</v>
      </c>
      <c r="C1172" s="27" t="s">
        <v>80</v>
      </c>
      <c r="D1172" s="43">
        <v>254.7</v>
      </c>
      <c r="E1172" s="42">
        <v>28</v>
      </c>
      <c r="F1172" s="30">
        <f t="shared" ref="F1172:F1180" si="349">+D1172*E1172</f>
        <v>7131.5999999999995</v>
      </c>
    </row>
    <row r="1173" spans="1:6" ht="39" x14ac:dyDescent="0.2">
      <c r="A1173" s="26" t="s">
        <v>1497</v>
      </c>
      <c r="B1173" s="27" t="s">
        <v>1426</v>
      </c>
      <c r="C1173" s="27" t="s">
        <v>80</v>
      </c>
      <c r="D1173" s="42">
        <v>18.89</v>
      </c>
      <c r="E1173" s="42">
        <v>42</v>
      </c>
      <c r="F1173" s="30">
        <f t="shared" si="349"/>
        <v>793.38</v>
      </c>
    </row>
    <row r="1174" spans="1:6" x14ac:dyDescent="0.2">
      <c r="A1174" s="26" t="s">
        <v>1498</v>
      </c>
      <c r="B1174" s="27" t="s">
        <v>1499</v>
      </c>
      <c r="C1174" s="27" t="s">
        <v>80</v>
      </c>
      <c r="D1174" s="42">
        <v>31.16</v>
      </c>
      <c r="E1174" s="42">
        <v>36.4</v>
      </c>
      <c r="F1174" s="30">
        <f t="shared" si="349"/>
        <v>1134.2239999999999</v>
      </c>
    </row>
    <row r="1175" spans="1:6" ht="39" x14ac:dyDescent="0.2">
      <c r="A1175" s="26" t="s">
        <v>1500</v>
      </c>
      <c r="B1175" s="27" t="s">
        <v>1427</v>
      </c>
      <c r="C1175" s="27" t="s">
        <v>80</v>
      </c>
      <c r="D1175" s="43">
        <v>530.35500000000002</v>
      </c>
      <c r="E1175" s="42">
        <v>30</v>
      </c>
      <c r="F1175" s="30">
        <f t="shared" si="349"/>
        <v>15910.650000000001</v>
      </c>
    </row>
    <row r="1176" spans="1:6" ht="39" x14ac:dyDescent="0.2">
      <c r="A1176" s="26" t="s">
        <v>1501</v>
      </c>
      <c r="B1176" s="27" t="s">
        <v>1428</v>
      </c>
      <c r="C1176" s="27" t="s">
        <v>74</v>
      </c>
      <c r="D1176" s="42">
        <v>23.22</v>
      </c>
      <c r="E1176" s="42">
        <v>35.9</v>
      </c>
      <c r="F1176" s="30">
        <f t="shared" si="349"/>
        <v>833.59799999999996</v>
      </c>
    </row>
    <row r="1177" spans="1:6" ht="39" x14ac:dyDescent="0.2">
      <c r="A1177" s="26" t="s">
        <v>1502</v>
      </c>
      <c r="B1177" s="27" t="s">
        <v>1429</v>
      </c>
      <c r="C1177" s="27" t="s">
        <v>74</v>
      </c>
      <c r="D1177" s="42">
        <v>55.1</v>
      </c>
      <c r="E1177" s="42">
        <v>16.5</v>
      </c>
      <c r="F1177" s="30">
        <f t="shared" ref="F1177" si="350">+D1177*E1177</f>
        <v>909.15</v>
      </c>
    </row>
    <row r="1178" spans="1:6" x14ac:dyDescent="0.2">
      <c r="A1178" s="26" t="s">
        <v>1503</v>
      </c>
      <c r="B1178" s="27" t="s">
        <v>1430</v>
      </c>
      <c r="C1178" s="27" t="s">
        <v>74</v>
      </c>
      <c r="D1178" s="42">
        <v>200.69</v>
      </c>
      <c r="E1178" s="42">
        <v>42.5</v>
      </c>
      <c r="F1178" s="30">
        <f t="shared" si="349"/>
        <v>8529.3250000000007</v>
      </c>
    </row>
    <row r="1179" spans="1:6" ht="39" x14ac:dyDescent="0.2">
      <c r="A1179" s="26" t="s">
        <v>1504</v>
      </c>
      <c r="B1179" s="27" t="s">
        <v>1431</v>
      </c>
      <c r="C1179" s="27" t="s">
        <v>80</v>
      </c>
      <c r="D1179" s="43">
        <v>8.3445</v>
      </c>
      <c r="E1179" s="42">
        <v>35.9</v>
      </c>
      <c r="F1179" s="30">
        <f t="shared" si="349"/>
        <v>299.56754999999998</v>
      </c>
    </row>
    <row r="1180" spans="1:6" ht="39" x14ac:dyDescent="0.2">
      <c r="A1180" s="26" t="s">
        <v>2217</v>
      </c>
      <c r="B1180" s="27" t="s">
        <v>2218</v>
      </c>
      <c r="C1180" s="27" t="s">
        <v>80</v>
      </c>
      <c r="D1180" s="28">
        <v>199.83</v>
      </c>
      <c r="E1180" s="42">
        <v>28</v>
      </c>
      <c r="F1180" s="30">
        <f t="shared" si="349"/>
        <v>5595.2400000000007</v>
      </c>
    </row>
    <row r="1181" spans="1:6" ht="39" x14ac:dyDescent="0.2">
      <c r="A1181" s="18" t="s">
        <v>1505</v>
      </c>
      <c r="B1181" s="19" t="s">
        <v>1506</v>
      </c>
      <c r="C1181" s="19"/>
      <c r="D1181" s="20"/>
      <c r="E1181" s="20"/>
      <c r="F1181" s="21">
        <f>F1182+F1186+F1189+F1191+F1193+F1195</f>
        <v>1031997.27954</v>
      </c>
    </row>
    <row r="1182" spans="1:6" x14ac:dyDescent="0.2">
      <c r="A1182" s="22" t="s">
        <v>1507</v>
      </c>
      <c r="B1182" s="23" t="s">
        <v>1391</v>
      </c>
      <c r="C1182" s="23"/>
      <c r="D1182" s="24"/>
      <c r="E1182" s="24"/>
      <c r="F1182" s="25">
        <f>SUM(F1183:F1185)</f>
        <v>277677.60496000003</v>
      </c>
    </row>
    <row r="1183" spans="1:6" ht="39" x14ac:dyDescent="0.2">
      <c r="A1183" s="26" t="s">
        <v>1508</v>
      </c>
      <c r="B1183" s="27" t="s">
        <v>1393</v>
      </c>
      <c r="C1183" s="27" t="s">
        <v>80</v>
      </c>
      <c r="D1183" s="43">
        <v>121.76</v>
      </c>
      <c r="E1183" s="42">
        <v>93.031999999999996</v>
      </c>
      <c r="F1183" s="30">
        <f t="shared" ref="F1183:F1185" si="351">+D1183*E1183</f>
        <v>11327.57632</v>
      </c>
    </row>
    <row r="1184" spans="1:6" ht="39" x14ac:dyDescent="0.2">
      <c r="A1184" s="26" t="s">
        <v>1509</v>
      </c>
      <c r="B1184" s="27" t="s">
        <v>1385</v>
      </c>
      <c r="C1184" s="27" t="s">
        <v>80</v>
      </c>
      <c r="D1184" s="42">
        <v>94.8</v>
      </c>
      <c r="E1184" s="42">
        <v>41.462000000000003</v>
      </c>
      <c r="F1184" s="30">
        <f t="shared" si="351"/>
        <v>3930.5976000000001</v>
      </c>
    </row>
    <row r="1185" spans="1:6" ht="39" x14ac:dyDescent="0.2">
      <c r="A1185" s="26" t="s">
        <v>1510</v>
      </c>
      <c r="B1185" s="27" t="s">
        <v>1511</v>
      </c>
      <c r="C1185" s="27" t="s">
        <v>80</v>
      </c>
      <c r="D1185" s="31">
        <v>3182.4</v>
      </c>
      <c r="E1185" s="42">
        <v>82.459599999999995</v>
      </c>
      <c r="F1185" s="30">
        <f t="shared" si="351"/>
        <v>262419.43104</v>
      </c>
    </row>
    <row r="1186" spans="1:6" x14ac:dyDescent="0.2">
      <c r="A1186" s="22" t="s">
        <v>1512</v>
      </c>
      <c r="B1186" s="23" t="s">
        <v>1404</v>
      </c>
      <c r="C1186" s="23"/>
      <c r="D1186" s="24"/>
      <c r="E1186" s="24"/>
      <c r="F1186" s="25">
        <f>SUM(F1187:F1188)</f>
        <v>95713.138080000004</v>
      </c>
    </row>
    <row r="1187" spans="1:6" x14ac:dyDescent="0.2">
      <c r="A1187" s="26" t="s">
        <v>1513</v>
      </c>
      <c r="B1187" s="27" t="s">
        <v>1406</v>
      </c>
      <c r="C1187" s="27" t="s">
        <v>74</v>
      </c>
      <c r="D1187" s="31">
        <v>2444</v>
      </c>
      <c r="E1187" s="42">
        <v>38.75</v>
      </c>
      <c r="F1187" s="30">
        <f t="shared" ref="F1187:F1188" si="352">+D1187*E1187</f>
        <v>94705</v>
      </c>
    </row>
    <row r="1188" spans="1:6" ht="39" x14ac:dyDescent="0.2">
      <c r="A1188" s="26" t="s">
        <v>1514</v>
      </c>
      <c r="B1188" s="27" t="s">
        <v>1408</v>
      </c>
      <c r="C1188" s="27" t="s">
        <v>74</v>
      </c>
      <c r="D1188" s="43">
        <v>224.8</v>
      </c>
      <c r="E1188" s="28">
        <v>4.4846000000000004</v>
      </c>
      <c r="F1188" s="30">
        <f t="shared" si="352"/>
        <v>1008.1380800000002</v>
      </c>
    </row>
    <row r="1189" spans="1:6" x14ac:dyDescent="0.2">
      <c r="A1189" s="22" t="s">
        <v>1515</v>
      </c>
      <c r="B1189" s="23" t="s">
        <v>1414</v>
      </c>
      <c r="C1189" s="23"/>
      <c r="D1189" s="24"/>
      <c r="E1189" s="24"/>
      <c r="F1189" s="25">
        <f>F1190</f>
        <v>49164.719999999994</v>
      </c>
    </row>
    <row r="1190" spans="1:6" x14ac:dyDescent="0.2">
      <c r="A1190" s="26" t="s">
        <v>1516</v>
      </c>
      <c r="B1190" s="27" t="s">
        <v>1418</v>
      </c>
      <c r="C1190" s="27" t="s">
        <v>80</v>
      </c>
      <c r="D1190" s="42">
        <v>66</v>
      </c>
      <c r="E1190" s="43">
        <v>744.92</v>
      </c>
      <c r="F1190" s="30">
        <f t="shared" ref="F1190" si="353">+D1190*E1190</f>
        <v>49164.719999999994</v>
      </c>
    </row>
    <row r="1191" spans="1:6" x14ac:dyDescent="0.2">
      <c r="A1191" s="22" t="s">
        <v>1517</v>
      </c>
      <c r="B1191" s="23" t="s">
        <v>1475</v>
      </c>
      <c r="C1191" s="23"/>
      <c r="D1191" s="24"/>
      <c r="E1191" s="24"/>
      <c r="F1191" s="25">
        <f>F1192</f>
        <v>227022.70250000001</v>
      </c>
    </row>
    <row r="1192" spans="1:6" ht="39" x14ac:dyDescent="0.2">
      <c r="A1192" s="26" t="s">
        <v>1518</v>
      </c>
      <c r="B1192" s="27" t="s">
        <v>1481</v>
      </c>
      <c r="C1192" s="27" t="s">
        <v>80</v>
      </c>
      <c r="D1192" s="31">
        <v>2942.5</v>
      </c>
      <c r="E1192" s="42">
        <v>77.153000000000006</v>
      </c>
      <c r="F1192" s="30">
        <f t="shared" ref="F1192" si="354">+D1192*E1192</f>
        <v>227022.70250000001</v>
      </c>
    </row>
    <row r="1193" spans="1:6" x14ac:dyDescent="0.2">
      <c r="A1193" s="22" t="s">
        <v>1519</v>
      </c>
      <c r="B1193" s="23" t="s">
        <v>1420</v>
      </c>
      <c r="C1193" s="23"/>
      <c r="D1193" s="24"/>
      <c r="E1193" s="24"/>
      <c r="F1193" s="25">
        <f>F1194</f>
        <v>46116.447</v>
      </c>
    </row>
    <row r="1194" spans="1:6" x14ac:dyDescent="0.2">
      <c r="A1194" s="26" t="s">
        <v>1520</v>
      </c>
      <c r="B1194" s="27" t="s">
        <v>1422</v>
      </c>
      <c r="C1194" s="27" t="s">
        <v>80</v>
      </c>
      <c r="D1194" s="42">
        <v>65.33</v>
      </c>
      <c r="E1194" s="43">
        <v>705.9</v>
      </c>
      <c r="F1194" s="30">
        <f t="shared" ref="F1194" si="355">+D1194*E1194</f>
        <v>46116.447</v>
      </c>
    </row>
    <row r="1195" spans="1:6" x14ac:dyDescent="0.2">
      <c r="A1195" s="22" t="s">
        <v>1521</v>
      </c>
      <c r="B1195" s="23" t="s">
        <v>203</v>
      </c>
      <c r="C1195" s="23"/>
      <c r="D1195" s="24"/>
      <c r="E1195" s="24"/>
      <c r="F1195" s="25">
        <f>SUM(F1196:F1202)</f>
        <v>336302.66700000002</v>
      </c>
    </row>
    <row r="1196" spans="1:6" ht="39" x14ac:dyDescent="0.2">
      <c r="A1196" s="26" t="s">
        <v>1522</v>
      </c>
      <c r="B1196" s="27" t="s">
        <v>1425</v>
      </c>
      <c r="C1196" s="27" t="s">
        <v>80</v>
      </c>
      <c r="D1196" s="31">
        <v>2942.5</v>
      </c>
      <c r="E1196" s="42">
        <v>28</v>
      </c>
      <c r="F1196" s="30">
        <f t="shared" ref="F1196:F1202" si="356">+D1196*E1196</f>
        <v>82390</v>
      </c>
    </row>
    <row r="1197" spans="1:6" ht="39" x14ac:dyDescent="0.2">
      <c r="A1197" s="26" t="s">
        <v>1523</v>
      </c>
      <c r="B1197" s="27" t="s">
        <v>1426</v>
      </c>
      <c r="C1197" s="27" t="s">
        <v>80</v>
      </c>
      <c r="D1197" s="31">
        <v>3304.16</v>
      </c>
      <c r="E1197" s="42">
        <v>42</v>
      </c>
      <c r="F1197" s="30">
        <f t="shared" si="356"/>
        <v>138774.72</v>
      </c>
    </row>
    <row r="1198" spans="1:6" ht="39" x14ac:dyDescent="0.2">
      <c r="A1198" s="26" t="s">
        <v>1524</v>
      </c>
      <c r="B1198" s="27" t="s">
        <v>1387</v>
      </c>
      <c r="C1198" s="27" t="s">
        <v>80</v>
      </c>
      <c r="D1198" s="42">
        <v>94.8</v>
      </c>
      <c r="E1198" s="42">
        <v>30</v>
      </c>
      <c r="F1198" s="30">
        <f t="shared" si="356"/>
        <v>2844</v>
      </c>
    </row>
    <row r="1199" spans="1:6" ht="39" x14ac:dyDescent="0.2">
      <c r="A1199" s="26" t="s">
        <v>1525</v>
      </c>
      <c r="B1199" s="27" t="s">
        <v>1428</v>
      </c>
      <c r="C1199" s="27" t="s">
        <v>74</v>
      </c>
      <c r="D1199" s="42">
        <v>66</v>
      </c>
      <c r="E1199" s="42">
        <v>35.9</v>
      </c>
      <c r="F1199" s="30">
        <f t="shared" si="356"/>
        <v>2369.4</v>
      </c>
    </row>
    <row r="1200" spans="1:6" ht="39" x14ac:dyDescent="0.2">
      <c r="A1200" s="26" t="s">
        <v>1526</v>
      </c>
      <c r="B1200" s="27" t="s">
        <v>1429</v>
      </c>
      <c r="C1200" s="27" t="s">
        <v>74</v>
      </c>
      <c r="D1200" s="43">
        <v>224.8</v>
      </c>
      <c r="E1200" s="42">
        <v>16.5</v>
      </c>
      <c r="F1200" s="30">
        <f t="shared" si="356"/>
        <v>3709.2000000000003</v>
      </c>
    </row>
    <row r="1201" spans="1:6" x14ac:dyDescent="0.2">
      <c r="A1201" s="26" t="s">
        <v>1527</v>
      </c>
      <c r="B1201" s="27" t="s">
        <v>1430</v>
      </c>
      <c r="C1201" s="27" t="s">
        <v>74</v>
      </c>
      <c r="D1201" s="43">
        <v>2444</v>
      </c>
      <c r="E1201" s="42">
        <v>42.5</v>
      </c>
      <c r="F1201" s="30">
        <f t="shared" si="356"/>
        <v>103870</v>
      </c>
    </row>
    <row r="1202" spans="1:6" ht="39" x14ac:dyDescent="0.2">
      <c r="A1202" s="26" t="s">
        <v>1528</v>
      </c>
      <c r="B1202" s="27" t="s">
        <v>1431</v>
      </c>
      <c r="C1202" s="27" t="s">
        <v>80</v>
      </c>
      <c r="D1202" s="42">
        <v>65.33</v>
      </c>
      <c r="E1202" s="42">
        <v>35.9</v>
      </c>
      <c r="F1202" s="30">
        <f t="shared" si="356"/>
        <v>2345.3469999999998</v>
      </c>
    </row>
    <row r="1203" spans="1:6" ht="39" x14ac:dyDescent="0.2">
      <c r="A1203" s="18" t="s">
        <v>1529</v>
      </c>
      <c r="B1203" s="19" t="s">
        <v>1530</v>
      </c>
      <c r="C1203" s="19"/>
      <c r="D1203" s="20"/>
      <c r="E1203" s="20"/>
      <c r="F1203" s="21">
        <f>F1204+F1208+F1211+F1214+F1217+F1219</f>
        <v>112608.7371939</v>
      </c>
    </row>
    <row r="1204" spans="1:6" x14ac:dyDescent="0.2">
      <c r="A1204" s="22" t="s">
        <v>1531</v>
      </c>
      <c r="B1204" s="23" t="s">
        <v>1391</v>
      </c>
      <c r="C1204" s="23"/>
      <c r="D1204" s="24"/>
      <c r="E1204" s="24"/>
      <c r="F1204" s="25">
        <f>SUM(F1205:F1207)</f>
        <v>36658.503612</v>
      </c>
    </row>
    <row r="1205" spans="1:6" ht="39" x14ac:dyDescent="0.2">
      <c r="A1205" s="26" t="s">
        <v>1532</v>
      </c>
      <c r="B1205" s="27" t="s">
        <v>1393</v>
      </c>
      <c r="C1205" s="27" t="s">
        <v>80</v>
      </c>
      <c r="D1205" s="42">
        <v>15.9</v>
      </c>
      <c r="E1205" s="42">
        <v>93.031999999999996</v>
      </c>
      <c r="F1205" s="30">
        <f t="shared" ref="F1205:F1207" si="357">+D1205*E1205</f>
        <v>1479.2087999999999</v>
      </c>
    </row>
    <row r="1206" spans="1:6" ht="39" x14ac:dyDescent="0.2">
      <c r="A1206" s="26" t="s">
        <v>1533</v>
      </c>
      <c r="B1206" s="27" t="s">
        <v>1534</v>
      </c>
      <c r="C1206" s="27" t="s">
        <v>80</v>
      </c>
      <c r="D1206" s="42">
        <v>61.9</v>
      </c>
      <c r="E1206" s="42">
        <v>82.998599999999996</v>
      </c>
      <c r="F1206" s="30">
        <f t="shared" si="357"/>
        <v>5137.6133399999999</v>
      </c>
    </row>
    <row r="1207" spans="1:6" ht="39" x14ac:dyDescent="0.2">
      <c r="A1207" s="26" t="s">
        <v>1535</v>
      </c>
      <c r="B1207" s="27" t="s">
        <v>1511</v>
      </c>
      <c r="C1207" s="27" t="s">
        <v>80</v>
      </c>
      <c r="D1207" s="43">
        <v>364.32</v>
      </c>
      <c r="E1207" s="42">
        <v>82.459599999999995</v>
      </c>
      <c r="F1207" s="30">
        <f t="shared" si="357"/>
        <v>30041.681471999997</v>
      </c>
    </row>
    <row r="1208" spans="1:6" x14ac:dyDescent="0.2">
      <c r="A1208" s="22" t="s">
        <v>1536</v>
      </c>
      <c r="B1208" s="23" t="s">
        <v>1404</v>
      </c>
      <c r="C1208" s="23"/>
      <c r="D1208" s="24"/>
      <c r="E1208" s="24"/>
      <c r="F1208" s="25">
        <f>SUM(F1209:F1210)</f>
        <v>10287.334199999999</v>
      </c>
    </row>
    <row r="1209" spans="1:6" x14ac:dyDescent="0.2">
      <c r="A1209" s="26" t="s">
        <v>1537</v>
      </c>
      <c r="B1209" s="27" t="s">
        <v>1406</v>
      </c>
      <c r="C1209" s="27" t="s">
        <v>74</v>
      </c>
      <c r="D1209" s="43">
        <v>252.1</v>
      </c>
      <c r="E1209" s="42">
        <v>38.75</v>
      </c>
      <c r="F1209" s="30">
        <f t="shared" ref="F1209:F1210" si="358">+D1209*E1209</f>
        <v>9768.875</v>
      </c>
    </row>
    <row r="1210" spans="1:6" x14ac:dyDescent="0.2">
      <c r="A1210" s="26" t="s">
        <v>1538</v>
      </c>
      <c r="B1210" s="27" t="s">
        <v>1539</v>
      </c>
      <c r="C1210" s="27" t="s">
        <v>74</v>
      </c>
      <c r="D1210" s="42">
        <v>77.8</v>
      </c>
      <c r="E1210" s="28">
        <v>6.6639999999999997</v>
      </c>
      <c r="F1210" s="30">
        <f t="shared" si="358"/>
        <v>518.45920000000001</v>
      </c>
    </row>
    <row r="1211" spans="1:6" x14ac:dyDescent="0.2">
      <c r="A1211" s="22" t="s">
        <v>1540</v>
      </c>
      <c r="B1211" s="23" t="s">
        <v>1414</v>
      </c>
      <c r="C1211" s="23"/>
      <c r="D1211" s="24"/>
      <c r="E1211" s="24"/>
      <c r="F1211" s="25">
        <f>SUM(F1212:F1213)</f>
        <v>6653.3855219000006</v>
      </c>
    </row>
    <row r="1212" spans="1:6" x14ac:dyDescent="0.2">
      <c r="A1212" s="26" t="s">
        <v>1541</v>
      </c>
      <c r="B1212" s="27" t="s">
        <v>1416</v>
      </c>
      <c r="C1212" s="27" t="s">
        <v>80</v>
      </c>
      <c r="D1212" s="28">
        <v>4.173</v>
      </c>
      <c r="E1212" s="43">
        <v>109.19029999999999</v>
      </c>
      <c r="F1212" s="30">
        <f t="shared" ref="F1212:F1213" si="359">+D1212*E1212</f>
        <v>455.65112189999996</v>
      </c>
    </row>
    <row r="1213" spans="1:6" x14ac:dyDescent="0.2">
      <c r="A1213" s="26" t="s">
        <v>1542</v>
      </c>
      <c r="B1213" s="27" t="s">
        <v>1418</v>
      </c>
      <c r="C1213" s="27" t="s">
        <v>80</v>
      </c>
      <c r="D1213" s="28">
        <v>8.32</v>
      </c>
      <c r="E1213" s="43">
        <v>744.92</v>
      </c>
      <c r="F1213" s="30">
        <f t="shared" si="359"/>
        <v>6197.7344000000003</v>
      </c>
    </row>
    <row r="1214" spans="1:6" x14ac:dyDescent="0.2">
      <c r="A1214" s="22" t="s">
        <v>1543</v>
      </c>
      <c r="B1214" s="23" t="s">
        <v>1475</v>
      </c>
      <c r="C1214" s="23"/>
      <c r="D1214" s="24"/>
      <c r="E1214" s="24"/>
      <c r="F1214" s="25">
        <f>SUM(F1215:F1216)</f>
        <v>18225.33466</v>
      </c>
    </row>
    <row r="1215" spans="1:6" ht="39" x14ac:dyDescent="0.2">
      <c r="A1215" s="26" t="s">
        <v>1544</v>
      </c>
      <c r="B1215" s="27" t="s">
        <v>1479</v>
      </c>
      <c r="C1215" s="27" t="s">
        <v>80</v>
      </c>
      <c r="D1215" s="42">
        <v>27.03</v>
      </c>
      <c r="E1215" s="43">
        <v>120.26300000000001</v>
      </c>
      <c r="F1215" s="30">
        <f t="shared" ref="F1215:F1216" si="360">+D1215*E1215</f>
        <v>3250.7088900000003</v>
      </c>
    </row>
    <row r="1216" spans="1:6" ht="39" x14ac:dyDescent="0.2">
      <c r="A1216" s="26" t="s">
        <v>1545</v>
      </c>
      <c r="B1216" s="27" t="s">
        <v>1481</v>
      </c>
      <c r="C1216" s="27" t="s">
        <v>80</v>
      </c>
      <c r="D1216" s="43">
        <v>194.09</v>
      </c>
      <c r="E1216" s="42">
        <v>77.153000000000006</v>
      </c>
      <c r="F1216" s="30">
        <f t="shared" si="360"/>
        <v>14974.625770000001</v>
      </c>
    </row>
    <row r="1217" spans="1:6" x14ac:dyDescent="0.2">
      <c r="A1217" s="22" t="s">
        <v>1546</v>
      </c>
      <c r="B1217" s="23" t="s">
        <v>1420</v>
      </c>
      <c r="C1217" s="23"/>
      <c r="D1217" s="24"/>
      <c r="E1217" s="24"/>
      <c r="F1217" s="25">
        <f>F1218</f>
        <v>3404.2027499999999</v>
      </c>
    </row>
    <row r="1218" spans="1:6" x14ac:dyDescent="0.2">
      <c r="A1218" s="26" t="s">
        <v>1547</v>
      </c>
      <c r="B1218" s="27" t="s">
        <v>1422</v>
      </c>
      <c r="C1218" s="27" t="s">
        <v>80</v>
      </c>
      <c r="D1218" s="28">
        <v>4.8224999999999998</v>
      </c>
      <c r="E1218" s="43">
        <v>705.9</v>
      </c>
      <c r="F1218" s="30">
        <f t="shared" ref="F1218" si="361">+D1218*E1218</f>
        <v>3404.2027499999999</v>
      </c>
    </row>
    <row r="1219" spans="1:6" x14ac:dyDescent="0.2">
      <c r="A1219" s="22" t="s">
        <v>1548</v>
      </c>
      <c r="B1219" s="23" t="s">
        <v>203</v>
      </c>
      <c r="C1219" s="23"/>
      <c r="D1219" s="24"/>
      <c r="E1219" s="24"/>
      <c r="F1219" s="25">
        <f>SUM(F1220:F1225)</f>
        <v>37379.976450000002</v>
      </c>
    </row>
    <row r="1220" spans="1:6" ht="39" x14ac:dyDescent="0.2">
      <c r="A1220" s="26" t="s">
        <v>1549</v>
      </c>
      <c r="B1220" s="27" t="s">
        <v>1425</v>
      </c>
      <c r="C1220" s="27" t="s">
        <v>80</v>
      </c>
      <c r="D1220" s="43">
        <v>221.12</v>
      </c>
      <c r="E1220" s="42">
        <v>28</v>
      </c>
      <c r="F1220" s="30">
        <f t="shared" ref="F1220:F1225" si="362">+D1220*E1220</f>
        <v>6191.3600000000006</v>
      </c>
    </row>
    <row r="1221" spans="1:6" ht="39" x14ac:dyDescent="0.2">
      <c r="A1221" s="26" t="s">
        <v>1550</v>
      </c>
      <c r="B1221" s="27" t="s">
        <v>1426</v>
      </c>
      <c r="C1221" s="27" t="s">
        <v>80</v>
      </c>
      <c r="D1221" s="43">
        <v>442.12</v>
      </c>
      <c r="E1221" s="42">
        <v>42</v>
      </c>
      <c r="F1221" s="30">
        <f t="shared" si="362"/>
        <v>18569.04</v>
      </c>
    </row>
    <row r="1222" spans="1:6" ht="39" x14ac:dyDescent="0.2">
      <c r="A1222" s="26" t="s">
        <v>1551</v>
      </c>
      <c r="B1222" s="27" t="s">
        <v>1428</v>
      </c>
      <c r="C1222" s="27" t="s">
        <v>74</v>
      </c>
      <c r="D1222" s="42">
        <v>12.493</v>
      </c>
      <c r="E1222" s="42">
        <v>35.9</v>
      </c>
      <c r="F1222" s="30">
        <f t="shared" si="362"/>
        <v>448.49869999999999</v>
      </c>
    </row>
    <row r="1223" spans="1:6" ht="39" x14ac:dyDescent="0.2">
      <c r="A1223" s="26" t="s">
        <v>1552</v>
      </c>
      <c r="B1223" s="27" t="s">
        <v>1429</v>
      </c>
      <c r="C1223" s="27" t="s">
        <v>74</v>
      </c>
      <c r="D1223" s="42">
        <v>77.8</v>
      </c>
      <c r="E1223" s="42">
        <v>16.5</v>
      </c>
      <c r="F1223" s="30">
        <f t="shared" si="362"/>
        <v>1283.7</v>
      </c>
    </row>
    <row r="1224" spans="1:6" x14ac:dyDescent="0.2">
      <c r="A1224" s="26" t="s">
        <v>1553</v>
      </c>
      <c r="B1224" s="27" t="s">
        <v>1430</v>
      </c>
      <c r="C1224" s="27" t="s">
        <v>74</v>
      </c>
      <c r="D1224" s="43">
        <v>252.1</v>
      </c>
      <c r="E1224" s="42">
        <v>42.5</v>
      </c>
      <c r="F1224" s="30">
        <f t="shared" si="362"/>
        <v>10714.25</v>
      </c>
    </row>
    <row r="1225" spans="1:6" ht="39" x14ac:dyDescent="0.2">
      <c r="A1225" s="26" t="s">
        <v>1554</v>
      </c>
      <c r="B1225" s="27" t="s">
        <v>1431</v>
      </c>
      <c r="C1225" s="27" t="s">
        <v>80</v>
      </c>
      <c r="D1225" s="28">
        <v>4.8224999999999998</v>
      </c>
      <c r="E1225" s="42">
        <v>35.9</v>
      </c>
      <c r="F1225" s="30">
        <f t="shared" si="362"/>
        <v>173.12774999999999</v>
      </c>
    </row>
    <row r="1226" spans="1:6" x14ac:dyDescent="0.2">
      <c r="A1226" s="14" t="s">
        <v>1555</v>
      </c>
      <c r="B1226" s="15" t="s">
        <v>1556</v>
      </c>
      <c r="C1226" s="15"/>
      <c r="D1226" s="16"/>
      <c r="E1226" s="16"/>
      <c r="F1226" s="17">
        <f>F1227+F1248+F1269+F1298+F1323+F1348+F1375+F1400+F1425+F1439</f>
        <v>954010.89318899997</v>
      </c>
    </row>
    <row r="1227" spans="1:6" x14ac:dyDescent="0.2">
      <c r="A1227" s="18" t="s">
        <v>1557</v>
      </c>
      <c r="B1227" s="19" t="s">
        <v>1558</v>
      </c>
      <c r="C1227" s="19"/>
      <c r="D1227" s="20"/>
      <c r="E1227" s="20"/>
      <c r="F1227" s="21">
        <f>F1228+F1232+F1236+F1239</f>
        <v>92978.168601000012</v>
      </c>
    </row>
    <row r="1228" spans="1:6" x14ac:dyDescent="0.2">
      <c r="A1228" s="22" t="s">
        <v>1559</v>
      </c>
      <c r="B1228" s="23" t="s">
        <v>1560</v>
      </c>
      <c r="C1228" s="23"/>
      <c r="D1228" s="24"/>
      <c r="E1228" s="24"/>
      <c r="F1228" s="25">
        <f>SUM(F1229:F1231)</f>
        <v>32131.311301000002</v>
      </c>
    </row>
    <row r="1229" spans="1:6" x14ac:dyDescent="0.2">
      <c r="A1229" s="26" t="s">
        <v>1561</v>
      </c>
      <c r="B1229" s="27" t="s">
        <v>1562</v>
      </c>
      <c r="C1229" s="27" t="s">
        <v>80</v>
      </c>
      <c r="D1229" s="43">
        <v>726.87</v>
      </c>
      <c r="E1229" s="42">
        <v>42.750100000000003</v>
      </c>
      <c r="F1229" s="30">
        <f t="shared" ref="F1229:F1231" si="363">+D1229*E1229</f>
        <v>31073.765187000001</v>
      </c>
    </row>
    <row r="1230" spans="1:6" x14ac:dyDescent="0.2">
      <c r="A1230" s="26" t="s">
        <v>1563</v>
      </c>
      <c r="B1230" s="27" t="s">
        <v>1564</v>
      </c>
      <c r="C1230" s="27" t="s">
        <v>80</v>
      </c>
      <c r="D1230" s="42">
        <v>18.5</v>
      </c>
      <c r="E1230" s="28">
        <v>4.4513999999999996</v>
      </c>
      <c r="F1230" s="30">
        <f t="shared" si="363"/>
        <v>82.350899999999996</v>
      </c>
    </row>
    <row r="1231" spans="1:6" ht="39" x14ac:dyDescent="0.2">
      <c r="A1231" s="26" t="s">
        <v>1565</v>
      </c>
      <c r="B1231" s="27" t="s">
        <v>1566</v>
      </c>
      <c r="C1231" s="27" t="s">
        <v>80</v>
      </c>
      <c r="D1231" s="42">
        <v>36.61</v>
      </c>
      <c r="E1231" s="42">
        <v>26.6374</v>
      </c>
      <c r="F1231" s="30">
        <f t="shared" si="363"/>
        <v>975.19521399999996</v>
      </c>
    </row>
    <row r="1232" spans="1:6" x14ac:dyDescent="0.2">
      <c r="A1232" s="22" t="s">
        <v>1567</v>
      </c>
      <c r="B1232" s="23" t="s">
        <v>1568</v>
      </c>
      <c r="C1232" s="23"/>
      <c r="D1232" s="24"/>
      <c r="E1232" s="24"/>
      <c r="F1232" s="25">
        <f>SUM(F1233:F1235)</f>
        <v>10994.147700000001</v>
      </c>
    </row>
    <row r="1233" spans="1:6" x14ac:dyDescent="0.2">
      <c r="A1233" s="26" t="s">
        <v>1569</v>
      </c>
      <c r="B1233" s="27" t="s">
        <v>1570</v>
      </c>
      <c r="C1233" s="27" t="s">
        <v>80</v>
      </c>
      <c r="D1233" s="43">
        <v>774.35</v>
      </c>
      <c r="E1233" s="28">
        <v>2</v>
      </c>
      <c r="F1233" s="30">
        <f t="shared" ref="F1233:F1235" si="364">+D1233*E1233</f>
        <v>1548.7</v>
      </c>
    </row>
    <row r="1234" spans="1:6" x14ac:dyDescent="0.2">
      <c r="A1234" s="26" t="s">
        <v>1571</v>
      </c>
      <c r="B1234" s="27" t="s">
        <v>1572</v>
      </c>
      <c r="C1234" s="27" t="s">
        <v>80</v>
      </c>
      <c r="D1234" s="43">
        <v>774.35</v>
      </c>
      <c r="E1234" s="42">
        <v>12</v>
      </c>
      <c r="F1234" s="30">
        <f t="shared" si="364"/>
        <v>9292.2000000000007</v>
      </c>
    </row>
    <row r="1235" spans="1:6" x14ac:dyDescent="0.2">
      <c r="A1235" s="26" t="s">
        <v>1573</v>
      </c>
      <c r="B1235" s="27" t="s">
        <v>1574</v>
      </c>
      <c r="C1235" s="27" t="s">
        <v>80</v>
      </c>
      <c r="D1235" s="42">
        <v>67.510000000000005</v>
      </c>
      <c r="E1235" s="28">
        <v>2.27</v>
      </c>
      <c r="F1235" s="30">
        <f t="shared" si="364"/>
        <v>153.24770000000001</v>
      </c>
    </row>
    <row r="1236" spans="1:6" x14ac:dyDescent="0.2">
      <c r="A1236" s="22" t="s">
        <v>1575</v>
      </c>
      <c r="B1236" s="23" t="s">
        <v>1576</v>
      </c>
      <c r="C1236" s="23"/>
      <c r="D1236" s="24"/>
      <c r="E1236" s="24"/>
      <c r="F1236" s="25">
        <f>SUM(F1237:F1238)</f>
        <v>10699.6736</v>
      </c>
    </row>
    <row r="1237" spans="1:6" x14ac:dyDescent="0.2">
      <c r="A1237" s="26" t="s">
        <v>1577</v>
      </c>
      <c r="B1237" s="27" t="s">
        <v>1578</v>
      </c>
      <c r="C1237" s="27" t="s">
        <v>80</v>
      </c>
      <c r="D1237" s="43">
        <v>726.88</v>
      </c>
      <c r="E1237" s="28">
        <v>2</v>
      </c>
      <c r="F1237" s="30">
        <f t="shared" ref="F1237:F1238" si="365">+D1237*E1237</f>
        <v>1453.76</v>
      </c>
    </row>
    <row r="1238" spans="1:6" x14ac:dyDescent="0.2">
      <c r="A1238" s="26" t="s">
        <v>1579</v>
      </c>
      <c r="B1238" s="27" t="s">
        <v>1580</v>
      </c>
      <c r="C1238" s="27" t="s">
        <v>80</v>
      </c>
      <c r="D1238" s="43">
        <v>726.88</v>
      </c>
      <c r="E1238" s="42">
        <v>12.72</v>
      </c>
      <c r="F1238" s="30">
        <f t="shared" si="365"/>
        <v>9245.9135999999999</v>
      </c>
    </row>
    <row r="1239" spans="1:6" x14ac:dyDescent="0.2">
      <c r="A1239" s="22" t="s">
        <v>1581</v>
      </c>
      <c r="B1239" s="23" t="s">
        <v>203</v>
      </c>
      <c r="C1239" s="23"/>
      <c r="D1239" s="24"/>
      <c r="E1239" s="24"/>
      <c r="F1239" s="25">
        <f>SUM(F1240:F1247)</f>
        <v>39153.036</v>
      </c>
    </row>
    <row r="1240" spans="1:6" ht="39" x14ac:dyDescent="0.2">
      <c r="A1240" s="26" t="s">
        <v>1582</v>
      </c>
      <c r="B1240" s="27" t="s">
        <v>1583</v>
      </c>
      <c r="C1240" s="27" t="s">
        <v>80</v>
      </c>
      <c r="D1240" s="43">
        <v>726.87</v>
      </c>
      <c r="E1240" s="28">
        <v>9.5</v>
      </c>
      <c r="F1240" s="30">
        <f t="shared" ref="F1240:F1247" si="366">+D1240*E1240</f>
        <v>6905.2650000000003</v>
      </c>
    </row>
    <row r="1241" spans="1:6" x14ac:dyDescent="0.2">
      <c r="A1241" s="26" t="s">
        <v>1584</v>
      </c>
      <c r="B1241" s="27" t="s">
        <v>1585</v>
      </c>
      <c r="C1241" s="27" t="s">
        <v>80</v>
      </c>
      <c r="D1241" s="42">
        <v>18.5</v>
      </c>
      <c r="E1241" s="42">
        <v>13.5</v>
      </c>
      <c r="F1241" s="30">
        <f t="shared" si="366"/>
        <v>249.75</v>
      </c>
    </row>
    <row r="1242" spans="1:6" x14ac:dyDescent="0.2">
      <c r="A1242" s="26" t="s">
        <v>1586</v>
      </c>
      <c r="B1242" s="27" t="s">
        <v>1587</v>
      </c>
      <c r="C1242" s="27" t="s">
        <v>80</v>
      </c>
      <c r="D1242" s="42">
        <v>36.61</v>
      </c>
      <c r="E1242" s="42">
        <v>19.2</v>
      </c>
      <c r="F1242" s="30">
        <f t="shared" si="366"/>
        <v>702.91199999999992</v>
      </c>
    </row>
    <row r="1243" spans="1:6" ht="39" x14ac:dyDescent="0.2">
      <c r="A1243" s="26" t="s">
        <v>1588</v>
      </c>
      <c r="B1243" s="27" t="s">
        <v>1589</v>
      </c>
      <c r="C1243" s="27" t="s">
        <v>80</v>
      </c>
      <c r="D1243" s="43">
        <v>774.35</v>
      </c>
      <c r="E1243" s="28">
        <v>2.2999999999999998</v>
      </c>
      <c r="F1243" s="30">
        <f t="shared" si="366"/>
        <v>1781.0049999999999</v>
      </c>
    </row>
    <row r="1244" spans="1:6" ht="39" x14ac:dyDescent="0.2">
      <c r="A1244" s="26" t="s">
        <v>1590</v>
      </c>
      <c r="B1244" s="27" t="s">
        <v>1591</v>
      </c>
      <c r="C1244" s="27" t="s">
        <v>80</v>
      </c>
      <c r="D1244" s="43">
        <v>774.35</v>
      </c>
      <c r="E1244" s="42">
        <v>17.5</v>
      </c>
      <c r="F1244" s="30">
        <f t="shared" si="366"/>
        <v>13551.125</v>
      </c>
    </row>
    <row r="1245" spans="1:6" x14ac:dyDescent="0.2">
      <c r="A1245" s="26" t="s">
        <v>1592</v>
      </c>
      <c r="B1245" s="27" t="s">
        <v>1593</v>
      </c>
      <c r="C1245" s="27" t="s">
        <v>80</v>
      </c>
      <c r="D1245" s="42">
        <v>67.510000000000005</v>
      </c>
      <c r="E1245" s="42">
        <v>12.5</v>
      </c>
      <c r="F1245" s="30">
        <f t="shared" si="366"/>
        <v>843.87500000000011</v>
      </c>
    </row>
    <row r="1246" spans="1:6" x14ac:dyDescent="0.2">
      <c r="A1246" s="26" t="s">
        <v>1594</v>
      </c>
      <c r="B1246" s="27" t="s">
        <v>1595</v>
      </c>
      <c r="C1246" s="27" t="s">
        <v>80</v>
      </c>
      <c r="D1246" s="43">
        <v>726.88</v>
      </c>
      <c r="E1246" s="28">
        <v>2.2999999999999998</v>
      </c>
      <c r="F1246" s="30">
        <f t="shared" si="366"/>
        <v>1671.8239999999998</v>
      </c>
    </row>
    <row r="1247" spans="1:6" ht="39" x14ac:dyDescent="0.2">
      <c r="A1247" s="26" t="s">
        <v>1596</v>
      </c>
      <c r="B1247" s="27" t="s">
        <v>1597</v>
      </c>
      <c r="C1247" s="27" t="s">
        <v>80</v>
      </c>
      <c r="D1247" s="43">
        <v>726.88</v>
      </c>
      <c r="E1247" s="42">
        <v>18.5</v>
      </c>
      <c r="F1247" s="30">
        <f t="shared" si="366"/>
        <v>13447.28</v>
      </c>
    </row>
    <row r="1248" spans="1:6" x14ac:dyDescent="0.2">
      <c r="A1248" s="18" t="s">
        <v>1598</v>
      </c>
      <c r="B1248" s="19" t="s">
        <v>1599</v>
      </c>
      <c r="C1248" s="19"/>
      <c r="D1248" s="20"/>
      <c r="E1248" s="20"/>
      <c r="F1248" s="21">
        <f>F1249+F1253+F1257+F1260</f>
        <v>103215.35751300001</v>
      </c>
    </row>
    <row r="1249" spans="1:6" x14ac:dyDescent="0.2">
      <c r="A1249" s="22" t="s">
        <v>1600</v>
      </c>
      <c r="B1249" s="23" t="s">
        <v>1560</v>
      </c>
      <c r="C1249" s="23"/>
      <c r="D1249" s="24"/>
      <c r="E1249" s="24"/>
      <c r="F1249" s="25">
        <f>SUM(F1250:F1252)</f>
        <v>37876.093713000002</v>
      </c>
    </row>
    <row r="1250" spans="1:6" x14ac:dyDescent="0.2">
      <c r="A1250" s="26" t="s">
        <v>1601</v>
      </c>
      <c r="B1250" s="27" t="s">
        <v>1562</v>
      </c>
      <c r="C1250" s="27" t="s">
        <v>80</v>
      </c>
      <c r="D1250" s="43">
        <v>863.07</v>
      </c>
      <c r="E1250" s="42">
        <v>42.750100000000003</v>
      </c>
      <c r="F1250" s="30">
        <f t="shared" ref="F1250:F1252" si="367">+D1250*E1250</f>
        <v>36896.328807000005</v>
      </c>
    </row>
    <row r="1251" spans="1:6" x14ac:dyDescent="0.2">
      <c r="A1251" s="26" t="s">
        <v>1602</v>
      </c>
      <c r="B1251" s="27" t="s">
        <v>1564</v>
      </c>
      <c r="C1251" s="27" t="s">
        <v>80</v>
      </c>
      <c r="D1251" s="42">
        <v>18.5</v>
      </c>
      <c r="E1251" s="28">
        <v>4.4513999999999996</v>
      </c>
      <c r="F1251" s="30">
        <f t="shared" si="367"/>
        <v>82.350899999999996</v>
      </c>
    </row>
    <row r="1252" spans="1:6" ht="39" x14ac:dyDescent="0.2">
      <c r="A1252" s="26" t="s">
        <v>1603</v>
      </c>
      <c r="B1252" s="27" t="s">
        <v>1566</v>
      </c>
      <c r="C1252" s="27" t="s">
        <v>80</v>
      </c>
      <c r="D1252" s="42">
        <v>33.69</v>
      </c>
      <c r="E1252" s="42">
        <v>26.6374</v>
      </c>
      <c r="F1252" s="30">
        <f t="shared" si="367"/>
        <v>897.41400599999997</v>
      </c>
    </row>
    <row r="1253" spans="1:6" x14ac:dyDescent="0.2">
      <c r="A1253" s="22" t="s">
        <v>1604</v>
      </c>
      <c r="B1253" s="23" t="s">
        <v>1568</v>
      </c>
      <c r="C1253" s="23"/>
      <c r="D1253" s="24"/>
      <c r="E1253" s="24"/>
      <c r="F1253" s="25">
        <f>SUM(F1254:F1256)</f>
        <v>10844.544399999999</v>
      </c>
    </row>
    <row r="1254" spans="1:6" x14ac:dyDescent="0.2">
      <c r="A1254" s="26" t="s">
        <v>1605</v>
      </c>
      <c r="B1254" s="27" t="s">
        <v>1570</v>
      </c>
      <c r="C1254" s="27" t="s">
        <v>80</v>
      </c>
      <c r="D1254" s="43">
        <v>763.63</v>
      </c>
      <c r="E1254" s="28">
        <v>2</v>
      </c>
      <c r="F1254" s="30">
        <f t="shared" ref="F1254:F1256" si="368">+D1254*E1254</f>
        <v>1527.26</v>
      </c>
    </row>
    <row r="1255" spans="1:6" x14ac:dyDescent="0.2">
      <c r="A1255" s="26" t="s">
        <v>1606</v>
      </c>
      <c r="B1255" s="27" t="s">
        <v>1572</v>
      </c>
      <c r="C1255" s="27" t="s">
        <v>80</v>
      </c>
      <c r="D1255" s="43">
        <v>763.63</v>
      </c>
      <c r="E1255" s="42">
        <v>12</v>
      </c>
      <c r="F1255" s="30">
        <f t="shared" si="368"/>
        <v>9163.56</v>
      </c>
    </row>
    <row r="1256" spans="1:6" x14ac:dyDescent="0.2">
      <c r="A1256" s="26" t="s">
        <v>1607</v>
      </c>
      <c r="B1256" s="27" t="s">
        <v>1574</v>
      </c>
      <c r="C1256" s="27" t="s">
        <v>80</v>
      </c>
      <c r="D1256" s="42">
        <v>67.72</v>
      </c>
      <c r="E1256" s="28">
        <v>2.27</v>
      </c>
      <c r="F1256" s="30">
        <f t="shared" si="368"/>
        <v>153.7244</v>
      </c>
    </row>
    <row r="1257" spans="1:6" x14ac:dyDescent="0.2">
      <c r="A1257" s="22" t="s">
        <v>1608</v>
      </c>
      <c r="B1257" s="23" t="s">
        <v>1576</v>
      </c>
      <c r="C1257" s="23"/>
      <c r="D1257" s="24"/>
      <c r="E1257" s="24"/>
      <c r="F1257" s="25">
        <f>SUM(F1258:F1259)</f>
        <v>12197.286400000001</v>
      </c>
    </row>
    <row r="1258" spans="1:6" x14ac:dyDescent="0.2">
      <c r="A1258" s="26" t="s">
        <v>1609</v>
      </c>
      <c r="B1258" s="27" t="s">
        <v>1578</v>
      </c>
      <c r="C1258" s="27" t="s">
        <v>80</v>
      </c>
      <c r="D1258" s="43">
        <v>828.62</v>
      </c>
      <c r="E1258" s="28">
        <v>2</v>
      </c>
      <c r="F1258" s="30">
        <f t="shared" ref="F1258:F1259" si="369">+D1258*E1258</f>
        <v>1657.24</v>
      </c>
    </row>
    <row r="1259" spans="1:6" x14ac:dyDescent="0.2">
      <c r="A1259" s="26" t="s">
        <v>1610</v>
      </c>
      <c r="B1259" s="27" t="s">
        <v>1580</v>
      </c>
      <c r="C1259" s="27" t="s">
        <v>80</v>
      </c>
      <c r="D1259" s="43">
        <v>828.62</v>
      </c>
      <c r="E1259" s="42">
        <v>12.72</v>
      </c>
      <c r="F1259" s="30">
        <f t="shared" si="369"/>
        <v>10540.046400000001</v>
      </c>
    </row>
    <row r="1260" spans="1:6" x14ac:dyDescent="0.2">
      <c r="A1260" s="22" t="s">
        <v>1611</v>
      </c>
      <c r="B1260" s="23" t="s">
        <v>203</v>
      </c>
      <c r="C1260" s="23"/>
      <c r="D1260" s="24"/>
      <c r="E1260" s="24"/>
      <c r="F1260" s="25">
        <f>SUM(F1261:F1268)</f>
        <v>42297.433000000005</v>
      </c>
    </row>
    <row r="1261" spans="1:6" ht="39" x14ac:dyDescent="0.2">
      <c r="A1261" s="26" t="s">
        <v>1612</v>
      </c>
      <c r="B1261" s="27" t="s">
        <v>1583</v>
      </c>
      <c r="C1261" s="27" t="s">
        <v>80</v>
      </c>
      <c r="D1261" s="43">
        <v>863.07</v>
      </c>
      <c r="E1261" s="28">
        <v>9.5</v>
      </c>
      <c r="F1261" s="30">
        <f t="shared" ref="F1261:F1268" si="370">+D1261*E1261</f>
        <v>8199.1650000000009</v>
      </c>
    </row>
    <row r="1262" spans="1:6" x14ac:dyDescent="0.2">
      <c r="A1262" s="26" t="s">
        <v>1613</v>
      </c>
      <c r="B1262" s="27" t="s">
        <v>1585</v>
      </c>
      <c r="C1262" s="27" t="s">
        <v>80</v>
      </c>
      <c r="D1262" s="42">
        <v>18.5</v>
      </c>
      <c r="E1262" s="42">
        <v>13.5</v>
      </c>
      <c r="F1262" s="30">
        <f t="shared" si="370"/>
        <v>249.75</v>
      </c>
    </row>
    <row r="1263" spans="1:6" x14ac:dyDescent="0.2">
      <c r="A1263" s="26" t="s">
        <v>1614</v>
      </c>
      <c r="B1263" s="27" t="s">
        <v>1587</v>
      </c>
      <c r="C1263" s="27" t="s">
        <v>80</v>
      </c>
      <c r="D1263" s="42">
        <v>33.69</v>
      </c>
      <c r="E1263" s="42">
        <v>19.2</v>
      </c>
      <c r="F1263" s="30">
        <f t="shared" si="370"/>
        <v>646.84799999999996</v>
      </c>
    </row>
    <row r="1264" spans="1:6" ht="39" x14ac:dyDescent="0.2">
      <c r="A1264" s="26" t="s">
        <v>1615</v>
      </c>
      <c r="B1264" s="27" t="s">
        <v>1589</v>
      </c>
      <c r="C1264" s="27" t="s">
        <v>80</v>
      </c>
      <c r="D1264" s="43">
        <v>763.63</v>
      </c>
      <c r="E1264" s="28">
        <v>2.2999999999999998</v>
      </c>
      <c r="F1264" s="30">
        <f t="shared" si="370"/>
        <v>1756.3489999999999</v>
      </c>
    </row>
    <row r="1265" spans="1:6" ht="39" x14ac:dyDescent="0.2">
      <c r="A1265" s="26" t="s">
        <v>1616</v>
      </c>
      <c r="B1265" s="27" t="s">
        <v>1591</v>
      </c>
      <c r="C1265" s="27" t="s">
        <v>80</v>
      </c>
      <c r="D1265" s="43">
        <v>763.63</v>
      </c>
      <c r="E1265" s="42">
        <v>17.5</v>
      </c>
      <c r="F1265" s="30">
        <f t="shared" si="370"/>
        <v>13363.525</v>
      </c>
    </row>
    <row r="1266" spans="1:6" x14ac:dyDescent="0.2">
      <c r="A1266" s="26" t="s">
        <v>1617</v>
      </c>
      <c r="B1266" s="27" t="s">
        <v>1593</v>
      </c>
      <c r="C1266" s="27" t="s">
        <v>80</v>
      </c>
      <c r="D1266" s="42">
        <v>67.72</v>
      </c>
      <c r="E1266" s="42">
        <v>12.5</v>
      </c>
      <c r="F1266" s="30">
        <f t="shared" si="370"/>
        <v>846.5</v>
      </c>
    </row>
    <row r="1267" spans="1:6" x14ac:dyDescent="0.2">
      <c r="A1267" s="26" t="s">
        <v>1618</v>
      </c>
      <c r="B1267" s="27" t="s">
        <v>1595</v>
      </c>
      <c r="C1267" s="27" t="s">
        <v>80</v>
      </c>
      <c r="D1267" s="43">
        <v>828.62</v>
      </c>
      <c r="E1267" s="28">
        <v>2.2999999999999998</v>
      </c>
      <c r="F1267" s="30">
        <f t="shared" si="370"/>
        <v>1905.8259999999998</v>
      </c>
    </row>
    <row r="1268" spans="1:6" ht="39" x14ac:dyDescent="0.2">
      <c r="A1268" s="26" t="s">
        <v>1619</v>
      </c>
      <c r="B1268" s="27" t="s">
        <v>1597</v>
      </c>
      <c r="C1268" s="27" t="s">
        <v>80</v>
      </c>
      <c r="D1268" s="43">
        <v>828.62</v>
      </c>
      <c r="E1268" s="42">
        <v>18.5</v>
      </c>
      <c r="F1268" s="30">
        <f t="shared" si="370"/>
        <v>15329.47</v>
      </c>
    </row>
    <row r="1269" spans="1:6" x14ac:dyDescent="0.2">
      <c r="A1269" s="18" t="s">
        <v>1620</v>
      </c>
      <c r="B1269" s="19" t="s">
        <v>1621</v>
      </c>
      <c r="C1269" s="19"/>
      <c r="D1269" s="20"/>
      <c r="E1269" s="20"/>
      <c r="F1269" s="21">
        <f>F1270+F1274+F1280+F1285</f>
        <v>67320.366909000004</v>
      </c>
    </row>
    <row r="1270" spans="1:6" x14ac:dyDescent="0.2">
      <c r="A1270" s="22" t="s">
        <v>1622</v>
      </c>
      <c r="B1270" s="23" t="s">
        <v>1560</v>
      </c>
      <c r="C1270" s="23"/>
      <c r="D1270" s="24"/>
      <c r="E1270" s="24"/>
      <c r="F1270" s="25">
        <f>SUM(F1271:F1273)</f>
        <v>2705.8360090000001</v>
      </c>
    </row>
    <row r="1271" spans="1:6" x14ac:dyDescent="0.2">
      <c r="A1271" s="26" t="s">
        <v>1623</v>
      </c>
      <c r="B1271" s="27" t="s">
        <v>1562</v>
      </c>
      <c r="C1271" s="27" t="s">
        <v>80</v>
      </c>
      <c r="D1271" s="42">
        <v>56.33</v>
      </c>
      <c r="E1271" s="42">
        <v>42.750100000000003</v>
      </c>
      <c r="F1271" s="30">
        <f t="shared" ref="F1271:F1273" si="371">+D1271*E1271</f>
        <v>2408.1131330000003</v>
      </c>
    </row>
    <row r="1272" spans="1:6" ht="39" x14ac:dyDescent="0.2">
      <c r="A1272" s="26" t="s">
        <v>1624</v>
      </c>
      <c r="B1272" s="27" t="s">
        <v>1566</v>
      </c>
      <c r="C1272" s="27" t="s">
        <v>80</v>
      </c>
      <c r="D1272" s="28">
        <v>6.71</v>
      </c>
      <c r="E1272" s="42">
        <v>26.6374</v>
      </c>
      <c r="F1272" s="30">
        <f t="shared" si="371"/>
        <v>178.736954</v>
      </c>
    </row>
    <row r="1273" spans="1:6" x14ac:dyDescent="0.2">
      <c r="A1273" s="26" t="s">
        <v>1625</v>
      </c>
      <c r="B1273" s="27" t="s">
        <v>1564</v>
      </c>
      <c r="C1273" s="27" t="s">
        <v>80</v>
      </c>
      <c r="D1273" s="42">
        <v>26.73</v>
      </c>
      <c r="E1273" s="28">
        <v>4.4513999999999996</v>
      </c>
      <c r="F1273" s="30">
        <f t="shared" si="371"/>
        <v>118.98592199999999</v>
      </c>
    </row>
    <row r="1274" spans="1:6" x14ac:dyDescent="0.2">
      <c r="A1274" s="22" t="s">
        <v>1626</v>
      </c>
      <c r="B1274" s="23" t="s">
        <v>1568</v>
      </c>
      <c r="C1274" s="23"/>
      <c r="D1274" s="24"/>
      <c r="E1274" s="24"/>
      <c r="F1274" s="25">
        <f>SUM(F1275:F1279)</f>
        <v>13599.841100000001</v>
      </c>
    </row>
    <row r="1275" spans="1:6" x14ac:dyDescent="0.2">
      <c r="A1275" s="26" t="s">
        <v>1627</v>
      </c>
      <c r="B1275" s="27" t="s">
        <v>1570</v>
      </c>
      <c r="C1275" s="27" t="s">
        <v>80</v>
      </c>
      <c r="D1275" s="31">
        <v>1110.1500000000001</v>
      </c>
      <c r="E1275" s="28">
        <v>2</v>
      </c>
      <c r="F1275" s="30">
        <f t="shared" ref="F1275:F1279" si="372">+D1275*E1275</f>
        <v>2220.3000000000002</v>
      </c>
    </row>
    <row r="1276" spans="1:6" ht="39" x14ac:dyDescent="0.2">
      <c r="A1276" s="26" t="s">
        <v>1628</v>
      </c>
      <c r="B1276" s="27" t="s">
        <v>1629</v>
      </c>
      <c r="C1276" s="27" t="s">
        <v>80</v>
      </c>
      <c r="D1276" s="43">
        <v>980.74</v>
      </c>
      <c r="E1276" s="28">
        <v>4.2670000000000003</v>
      </c>
      <c r="F1276" s="30">
        <f t="shared" si="372"/>
        <v>4184.8175800000008</v>
      </c>
    </row>
    <row r="1277" spans="1:6" ht="39" x14ac:dyDescent="0.2">
      <c r="A1277" s="26" t="s">
        <v>1630</v>
      </c>
      <c r="B1277" s="27" t="s">
        <v>1631</v>
      </c>
      <c r="C1277" s="27" t="s">
        <v>80</v>
      </c>
      <c r="D1277" s="43">
        <v>980.74</v>
      </c>
      <c r="E1277" s="28">
        <v>5.4480000000000004</v>
      </c>
      <c r="F1277" s="30">
        <f t="shared" si="372"/>
        <v>5343.0715200000004</v>
      </c>
    </row>
    <row r="1278" spans="1:6" x14ac:dyDescent="0.2">
      <c r="A1278" s="26" t="s">
        <v>1632</v>
      </c>
      <c r="B1278" s="27" t="s">
        <v>1572</v>
      </c>
      <c r="C1278" s="27" t="s">
        <v>80</v>
      </c>
      <c r="D1278" s="43">
        <v>129.41</v>
      </c>
      <c r="E1278" s="42">
        <v>12</v>
      </c>
      <c r="F1278" s="30">
        <f t="shared" si="372"/>
        <v>1552.92</v>
      </c>
    </row>
    <row r="1279" spans="1:6" x14ac:dyDescent="0.2">
      <c r="A1279" s="26" t="s">
        <v>1633</v>
      </c>
      <c r="B1279" s="27" t="s">
        <v>1574</v>
      </c>
      <c r="C1279" s="27" t="s">
        <v>80</v>
      </c>
      <c r="D1279" s="43">
        <v>131.6</v>
      </c>
      <c r="E1279" s="28">
        <v>2.27</v>
      </c>
      <c r="F1279" s="30">
        <f t="shared" si="372"/>
        <v>298.73199999999997</v>
      </c>
    </row>
    <row r="1280" spans="1:6" x14ac:dyDescent="0.2">
      <c r="A1280" s="22" t="s">
        <v>1634</v>
      </c>
      <c r="B1280" s="23" t="s">
        <v>1576</v>
      </c>
      <c r="C1280" s="23"/>
      <c r="D1280" s="24"/>
      <c r="E1280" s="24"/>
      <c r="F1280" s="25">
        <f>SUM(F1281:F1284)</f>
        <v>6770.4438</v>
      </c>
    </row>
    <row r="1281" spans="1:6" x14ac:dyDescent="0.2">
      <c r="A1281" s="26" t="s">
        <v>1635</v>
      </c>
      <c r="B1281" s="27" t="s">
        <v>1578</v>
      </c>
      <c r="C1281" s="27" t="s">
        <v>80</v>
      </c>
      <c r="D1281" s="43">
        <v>575.29</v>
      </c>
      <c r="E1281" s="28">
        <v>2</v>
      </c>
      <c r="F1281" s="30">
        <f t="shared" ref="F1281:F1284" si="373">+D1281*E1281</f>
        <v>1150.58</v>
      </c>
    </row>
    <row r="1282" spans="1:6" x14ac:dyDescent="0.2">
      <c r="A1282" s="26" t="s">
        <v>1636</v>
      </c>
      <c r="B1282" s="27" t="s">
        <v>1637</v>
      </c>
      <c r="C1282" s="27" t="s">
        <v>80</v>
      </c>
      <c r="D1282" s="43">
        <v>565</v>
      </c>
      <c r="E1282" s="28">
        <v>4.2670000000000003</v>
      </c>
      <c r="F1282" s="30">
        <f t="shared" si="373"/>
        <v>2410.855</v>
      </c>
    </row>
    <row r="1283" spans="1:6" ht="39" x14ac:dyDescent="0.2">
      <c r="A1283" s="26" t="s">
        <v>1638</v>
      </c>
      <c r="B1283" s="27" t="s">
        <v>1639</v>
      </c>
      <c r="C1283" s="27" t="s">
        <v>80</v>
      </c>
      <c r="D1283" s="43">
        <v>565</v>
      </c>
      <c r="E1283" s="28">
        <v>5.4480000000000004</v>
      </c>
      <c r="F1283" s="30">
        <f t="shared" si="373"/>
        <v>3078.1200000000003</v>
      </c>
    </row>
    <row r="1284" spans="1:6" x14ac:dyDescent="0.2">
      <c r="A1284" s="26" t="s">
        <v>1640</v>
      </c>
      <c r="B1284" s="27" t="s">
        <v>1580</v>
      </c>
      <c r="C1284" s="27" t="s">
        <v>80</v>
      </c>
      <c r="D1284" s="42">
        <v>10.29</v>
      </c>
      <c r="E1284" s="42">
        <v>12.72</v>
      </c>
      <c r="F1284" s="30">
        <f t="shared" si="373"/>
        <v>130.8888</v>
      </c>
    </row>
    <row r="1285" spans="1:6" x14ac:dyDescent="0.2">
      <c r="A1285" s="22" t="s">
        <v>1641</v>
      </c>
      <c r="B1285" s="23" t="s">
        <v>203</v>
      </c>
      <c r="C1285" s="23"/>
      <c r="D1285" s="24"/>
      <c r="E1285" s="24"/>
      <c r="F1285" s="25">
        <f>SUM(F1286:F1297)</f>
        <v>44244.245999999999</v>
      </c>
    </row>
    <row r="1286" spans="1:6" ht="39" x14ac:dyDescent="0.2">
      <c r="A1286" s="26" t="s">
        <v>1642</v>
      </c>
      <c r="B1286" s="27" t="s">
        <v>1583</v>
      </c>
      <c r="C1286" s="27" t="s">
        <v>80</v>
      </c>
      <c r="D1286" s="42">
        <v>56.33</v>
      </c>
      <c r="E1286" s="28">
        <v>9.5</v>
      </c>
      <c r="F1286" s="30">
        <f t="shared" ref="F1286:F1297" si="374">+D1286*E1286</f>
        <v>535.13499999999999</v>
      </c>
    </row>
    <row r="1287" spans="1:6" x14ac:dyDescent="0.2">
      <c r="A1287" s="26" t="s">
        <v>1643</v>
      </c>
      <c r="B1287" s="27" t="s">
        <v>1585</v>
      </c>
      <c r="C1287" s="27" t="s">
        <v>80</v>
      </c>
      <c r="D1287" s="28">
        <v>26.73</v>
      </c>
      <c r="E1287" s="42">
        <v>13.5</v>
      </c>
      <c r="F1287" s="30">
        <f t="shared" si="374"/>
        <v>360.85500000000002</v>
      </c>
    </row>
    <row r="1288" spans="1:6" x14ac:dyDescent="0.2">
      <c r="A1288" s="26" t="s">
        <v>1644</v>
      </c>
      <c r="B1288" s="27" t="s">
        <v>1587</v>
      </c>
      <c r="C1288" s="27" t="s">
        <v>80</v>
      </c>
      <c r="D1288" s="28">
        <v>6.71</v>
      </c>
      <c r="E1288" s="42">
        <v>19.2</v>
      </c>
      <c r="F1288" s="30">
        <f t="shared" si="374"/>
        <v>128.83199999999999</v>
      </c>
    </row>
    <row r="1289" spans="1:6" ht="39" x14ac:dyDescent="0.2">
      <c r="A1289" s="26" t="s">
        <v>1645</v>
      </c>
      <c r="B1289" s="27" t="s">
        <v>1589</v>
      </c>
      <c r="C1289" s="27" t="s">
        <v>80</v>
      </c>
      <c r="D1289" s="31">
        <v>1110.1500000000001</v>
      </c>
      <c r="E1289" s="28">
        <v>2.2999999999999998</v>
      </c>
      <c r="F1289" s="30">
        <f t="shared" si="374"/>
        <v>2553.3449999999998</v>
      </c>
    </row>
    <row r="1290" spans="1:6" ht="39" x14ac:dyDescent="0.2">
      <c r="A1290" s="26" t="s">
        <v>1646</v>
      </c>
      <c r="B1290" s="27" t="s">
        <v>1647</v>
      </c>
      <c r="C1290" s="27" t="s">
        <v>80</v>
      </c>
      <c r="D1290" s="43">
        <v>980.74</v>
      </c>
      <c r="E1290" s="42">
        <v>10.15</v>
      </c>
      <c r="F1290" s="30">
        <f t="shared" si="374"/>
        <v>9954.5110000000004</v>
      </c>
    </row>
    <row r="1291" spans="1:6" ht="39" x14ac:dyDescent="0.2">
      <c r="A1291" s="26" t="s">
        <v>1648</v>
      </c>
      <c r="B1291" s="27" t="s">
        <v>1649</v>
      </c>
      <c r="C1291" s="27" t="s">
        <v>80</v>
      </c>
      <c r="D1291" s="43">
        <v>980.74</v>
      </c>
      <c r="E1291" s="42">
        <v>12.65</v>
      </c>
      <c r="F1291" s="30">
        <f t="shared" si="374"/>
        <v>12406.361000000001</v>
      </c>
    </row>
    <row r="1292" spans="1:6" ht="39" x14ac:dyDescent="0.2">
      <c r="A1292" s="26" t="s">
        <v>1650</v>
      </c>
      <c r="B1292" s="27" t="s">
        <v>1591</v>
      </c>
      <c r="C1292" s="27" t="s">
        <v>80</v>
      </c>
      <c r="D1292" s="43">
        <v>129.41</v>
      </c>
      <c r="E1292" s="42">
        <v>17.5</v>
      </c>
      <c r="F1292" s="30">
        <f t="shared" si="374"/>
        <v>2264.6749999999997</v>
      </c>
    </row>
    <row r="1293" spans="1:6" x14ac:dyDescent="0.2">
      <c r="A1293" s="26" t="s">
        <v>1651</v>
      </c>
      <c r="B1293" s="27" t="s">
        <v>1593</v>
      </c>
      <c r="C1293" s="27" t="s">
        <v>80</v>
      </c>
      <c r="D1293" s="43">
        <v>131.6</v>
      </c>
      <c r="E1293" s="42">
        <v>12.5</v>
      </c>
      <c r="F1293" s="30">
        <f t="shared" si="374"/>
        <v>1645</v>
      </c>
    </row>
    <row r="1294" spans="1:6" x14ac:dyDescent="0.2">
      <c r="A1294" s="26" t="s">
        <v>1652</v>
      </c>
      <c r="B1294" s="27" t="s">
        <v>1595</v>
      </c>
      <c r="C1294" s="27" t="s">
        <v>80</v>
      </c>
      <c r="D1294" s="43">
        <v>575.29</v>
      </c>
      <c r="E1294" s="28">
        <v>2.2999999999999998</v>
      </c>
      <c r="F1294" s="30">
        <f t="shared" si="374"/>
        <v>1323.1669999999999</v>
      </c>
    </row>
    <row r="1295" spans="1:6" x14ac:dyDescent="0.2">
      <c r="A1295" s="26" t="s">
        <v>1653</v>
      </c>
      <c r="B1295" s="27" t="s">
        <v>1654</v>
      </c>
      <c r="C1295" s="27" t="s">
        <v>80</v>
      </c>
      <c r="D1295" s="43">
        <v>565</v>
      </c>
      <c r="E1295" s="42">
        <v>10.15</v>
      </c>
      <c r="F1295" s="30">
        <f t="shared" si="374"/>
        <v>5734.75</v>
      </c>
    </row>
    <row r="1296" spans="1:6" x14ac:dyDescent="0.2">
      <c r="A1296" s="26" t="s">
        <v>1655</v>
      </c>
      <c r="B1296" s="27" t="s">
        <v>1762</v>
      </c>
      <c r="C1296" s="27" t="s">
        <v>80</v>
      </c>
      <c r="D1296" s="43">
        <v>565</v>
      </c>
      <c r="E1296" s="28">
        <v>12.65</v>
      </c>
      <c r="F1296" s="30">
        <f t="shared" si="374"/>
        <v>7147.25</v>
      </c>
    </row>
    <row r="1297" spans="1:6" ht="39" x14ac:dyDescent="0.2">
      <c r="A1297" s="26" t="s">
        <v>1656</v>
      </c>
      <c r="B1297" s="27" t="s">
        <v>1597</v>
      </c>
      <c r="C1297" s="27" t="s">
        <v>80</v>
      </c>
      <c r="D1297" s="42">
        <v>10.29</v>
      </c>
      <c r="E1297" s="42">
        <v>18.5</v>
      </c>
      <c r="F1297" s="30">
        <f t="shared" si="374"/>
        <v>190.36499999999998</v>
      </c>
    </row>
    <row r="1298" spans="1:6" ht="39" x14ac:dyDescent="0.2">
      <c r="A1298" s="18" t="s">
        <v>1657</v>
      </c>
      <c r="B1298" s="19" t="s">
        <v>1658</v>
      </c>
      <c r="C1298" s="19"/>
      <c r="D1298" s="20"/>
      <c r="E1298" s="20"/>
      <c r="F1298" s="21">
        <f>F1299+F1301+F1307+F1312</f>
        <v>52223.948071999999</v>
      </c>
    </row>
    <row r="1299" spans="1:6" x14ac:dyDescent="0.2">
      <c r="A1299" s="22" t="s">
        <v>1659</v>
      </c>
      <c r="B1299" s="23" t="s">
        <v>1560</v>
      </c>
      <c r="C1299" s="23"/>
      <c r="D1299" s="24"/>
      <c r="E1299" s="24"/>
      <c r="F1299" s="25">
        <f>F1300</f>
        <v>118.98592199999999</v>
      </c>
    </row>
    <row r="1300" spans="1:6" x14ac:dyDescent="0.2">
      <c r="A1300" s="26" t="s">
        <v>1660</v>
      </c>
      <c r="B1300" s="27" t="s">
        <v>1564</v>
      </c>
      <c r="C1300" s="27" t="s">
        <v>80</v>
      </c>
      <c r="D1300" s="42">
        <v>26.73</v>
      </c>
      <c r="E1300" s="28">
        <v>4.4513999999999996</v>
      </c>
      <c r="F1300" s="30">
        <f t="shared" ref="F1300" si="375">+D1300*E1300</f>
        <v>118.98592199999999</v>
      </c>
    </row>
    <row r="1301" spans="1:6" x14ac:dyDescent="0.2">
      <c r="A1301" s="22" t="s">
        <v>1661</v>
      </c>
      <c r="B1301" s="23" t="s">
        <v>1568</v>
      </c>
      <c r="C1301" s="23"/>
      <c r="D1301" s="24"/>
      <c r="E1301" s="24"/>
      <c r="F1301" s="25">
        <f>SUM(F1302:F1306)</f>
        <v>12410.767250000003</v>
      </c>
    </row>
    <row r="1302" spans="1:6" x14ac:dyDescent="0.2">
      <c r="A1302" s="26" t="s">
        <v>1662</v>
      </c>
      <c r="B1302" s="27" t="s">
        <v>1570</v>
      </c>
      <c r="C1302" s="27" t="s">
        <v>80</v>
      </c>
      <c r="D1302" s="31">
        <v>1019.87</v>
      </c>
      <c r="E1302" s="28">
        <v>2</v>
      </c>
      <c r="F1302" s="30">
        <f t="shared" ref="F1302:F1306" si="376">+D1302*E1302</f>
        <v>2039.74</v>
      </c>
    </row>
    <row r="1303" spans="1:6" ht="39" x14ac:dyDescent="0.2">
      <c r="A1303" s="26" t="s">
        <v>1663</v>
      </c>
      <c r="B1303" s="27" t="s">
        <v>1629</v>
      </c>
      <c r="C1303" s="27" t="s">
        <v>80</v>
      </c>
      <c r="D1303" s="43">
        <v>941.11</v>
      </c>
      <c r="E1303" s="28">
        <v>4.2670000000000003</v>
      </c>
      <c r="F1303" s="30">
        <f t="shared" si="376"/>
        <v>4015.7163700000006</v>
      </c>
    </row>
    <row r="1304" spans="1:6" ht="39" x14ac:dyDescent="0.2">
      <c r="A1304" s="26" t="s">
        <v>1664</v>
      </c>
      <c r="B1304" s="27" t="s">
        <v>1631</v>
      </c>
      <c r="C1304" s="27" t="s">
        <v>80</v>
      </c>
      <c r="D1304" s="43">
        <v>941.11</v>
      </c>
      <c r="E1304" s="28">
        <v>5.4480000000000004</v>
      </c>
      <c r="F1304" s="30">
        <f t="shared" si="376"/>
        <v>5127.1672800000006</v>
      </c>
    </row>
    <row r="1305" spans="1:6" x14ac:dyDescent="0.2">
      <c r="A1305" s="26" t="s">
        <v>1665</v>
      </c>
      <c r="B1305" s="27" t="s">
        <v>1572</v>
      </c>
      <c r="C1305" s="27" t="s">
        <v>80</v>
      </c>
      <c r="D1305" s="42">
        <v>78.760000000000005</v>
      </c>
      <c r="E1305" s="42">
        <v>12</v>
      </c>
      <c r="F1305" s="30">
        <f t="shared" si="376"/>
        <v>945.12000000000012</v>
      </c>
    </row>
    <row r="1306" spans="1:6" x14ac:dyDescent="0.2">
      <c r="A1306" s="26" t="s">
        <v>1666</v>
      </c>
      <c r="B1306" s="27" t="s">
        <v>1574</v>
      </c>
      <c r="C1306" s="27" t="s">
        <v>80</v>
      </c>
      <c r="D1306" s="43">
        <v>124.68</v>
      </c>
      <c r="E1306" s="28">
        <v>2.27</v>
      </c>
      <c r="F1306" s="30">
        <f t="shared" si="376"/>
        <v>283.02360000000004</v>
      </c>
    </row>
    <row r="1307" spans="1:6" x14ac:dyDescent="0.2">
      <c r="A1307" s="22" t="s">
        <v>1667</v>
      </c>
      <c r="B1307" s="23" t="s">
        <v>1576</v>
      </c>
      <c r="C1307" s="23"/>
      <c r="D1307" s="24"/>
      <c r="E1307" s="24"/>
      <c r="F1307" s="25">
        <f>SUM(F1308:F1311)</f>
        <v>4070.9449</v>
      </c>
    </row>
    <row r="1308" spans="1:6" x14ac:dyDescent="0.2">
      <c r="A1308" s="26" t="s">
        <v>1668</v>
      </c>
      <c r="B1308" s="27" t="s">
        <v>1578</v>
      </c>
      <c r="C1308" s="27" t="s">
        <v>80</v>
      </c>
      <c r="D1308" s="43">
        <v>342.73</v>
      </c>
      <c r="E1308" s="28">
        <v>2</v>
      </c>
      <c r="F1308" s="30">
        <f t="shared" ref="F1308:F1311" si="377">+D1308*E1308</f>
        <v>685.46</v>
      </c>
    </row>
    <row r="1309" spans="1:6" x14ac:dyDescent="0.2">
      <c r="A1309" s="26" t="s">
        <v>1669</v>
      </c>
      <c r="B1309" s="27" t="s">
        <v>1637</v>
      </c>
      <c r="C1309" s="27" t="s">
        <v>80</v>
      </c>
      <c r="D1309" s="43">
        <v>324.14</v>
      </c>
      <c r="E1309" s="28">
        <v>4.2670000000000003</v>
      </c>
      <c r="F1309" s="30">
        <f t="shared" si="377"/>
        <v>1383.10538</v>
      </c>
    </row>
    <row r="1310" spans="1:6" ht="39" x14ac:dyDescent="0.2">
      <c r="A1310" s="26" t="s">
        <v>1670</v>
      </c>
      <c r="B1310" s="27" t="s">
        <v>1639</v>
      </c>
      <c r="C1310" s="27" t="s">
        <v>80</v>
      </c>
      <c r="D1310" s="43">
        <v>324.14</v>
      </c>
      <c r="E1310" s="28">
        <v>5.4480000000000004</v>
      </c>
      <c r="F1310" s="30">
        <f t="shared" si="377"/>
        <v>1765.91472</v>
      </c>
    </row>
    <row r="1311" spans="1:6" x14ac:dyDescent="0.2">
      <c r="A1311" s="26" t="s">
        <v>1671</v>
      </c>
      <c r="B1311" s="27" t="s">
        <v>1580</v>
      </c>
      <c r="C1311" s="27" t="s">
        <v>80</v>
      </c>
      <c r="D1311" s="42">
        <v>18.59</v>
      </c>
      <c r="E1311" s="42">
        <v>12.72</v>
      </c>
      <c r="F1311" s="30">
        <f t="shared" si="377"/>
        <v>236.4648</v>
      </c>
    </row>
    <row r="1312" spans="1:6" x14ac:dyDescent="0.2">
      <c r="A1312" s="22" t="s">
        <v>1672</v>
      </c>
      <c r="B1312" s="23" t="s">
        <v>203</v>
      </c>
      <c r="C1312" s="23"/>
      <c r="D1312" s="24"/>
      <c r="E1312" s="24"/>
      <c r="F1312" s="25">
        <f>SUM(F1313:F1322)</f>
        <v>35623.25</v>
      </c>
    </row>
    <row r="1313" spans="1:6" x14ac:dyDescent="0.2">
      <c r="A1313" s="26" t="s">
        <v>1673</v>
      </c>
      <c r="B1313" s="27" t="s">
        <v>1585</v>
      </c>
      <c r="C1313" s="27" t="s">
        <v>80</v>
      </c>
      <c r="D1313" s="42">
        <v>26.73</v>
      </c>
      <c r="E1313" s="42">
        <v>13.5</v>
      </c>
      <c r="F1313" s="30">
        <f t="shared" ref="F1313:F1322" si="378">+D1313*E1313</f>
        <v>360.85500000000002</v>
      </c>
    </row>
    <row r="1314" spans="1:6" ht="39" x14ac:dyDescent="0.2">
      <c r="A1314" s="26" t="s">
        <v>1674</v>
      </c>
      <c r="B1314" s="27" t="s">
        <v>1589</v>
      </c>
      <c r="C1314" s="27" t="s">
        <v>80</v>
      </c>
      <c r="D1314" s="31">
        <v>1019.87</v>
      </c>
      <c r="E1314" s="28">
        <v>2.2999999999999998</v>
      </c>
      <c r="F1314" s="30">
        <f t="shared" si="378"/>
        <v>2345.701</v>
      </c>
    </row>
    <row r="1315" spans="1:6" ht="39" x14ac:dyDescent="0.2">
      <c r="A1315" s="26" t="s">
        <v>1675</v>
      </c>
      <c r="B1315" s="27" t="s">
        <v>1647</v>
      </c>
      <c r="C1315" s="27" t="s">
        <v>80</v>
      </c>
      <c r="D1315" s="43">
        <v>941.11</v>
      </c>
      <c r="E1315" s="42">
        <v>10.15</v>
      </c>
      <c r="F1315" s="30">
        <f t="shared" si="378"/>
        <v>9552.2664999999997</v>
      </c>
    </row>
    <row r="1316" spans="1:6" ht="39" x14ac:dyDescent="0.2">
      <c r="A1316" s="26" t="s">
        <v>1676</v>
      </c>
      <c r="B1316" s="27" t="s">
        <v>1649</v>
      </c>
      <c r="C1316" s="27" t="s">
        <v>80</v>
      </c>
      <c r="D1316" s="43">
        <v>941.11</v>
      </c>
      <c r="E1316" s="42">
        <v>12.65</v>
      </c>
      <c r="F1316" s="30">
        <f t="shared" si="378"/>
        <v>11905.041500000001</v>
      </c>
    </row>
    <row r="1317" spans="1:6" ht="39" x14ac:dyDescent="0.2">
      <c r="A1317" s="26" t="s">
        <v>1677</v>
      </c>
      <c r="B1317" s="27" t="s">
        <v>1591</v>
      </c>
      <c r="C1317" s="27" t="s">
        <v>80</v>
      </c>
      <c r="D1317" s="42">
        <v>78.760000000000005</v>
      </c>
      <c r="E1317" s="42">
        <v>17.5</v>
      </c>
      <c r="F1317" s="30">
        <f t="shared" si="378"/>
        <v>1378.3000000000002</v>
      </c>
    </row>
    <row r="1318" spans="1:6" x14ac:dyDescent="0.2">
      <c r="A1318" s="26" t="s">
        <v>1678</v>
      </c>
      <c r="B1318" s="27" t="s">
        <v>1593</v>
      </c>
      <c r="C1318" s="27" t="s">
        <v>80</v>
      </c>
      <c r="D1318" s="43">
        <v>124.68</v>
      </c>
      <c r="E1318" s="42">
        <v>12.5</v>
      </c>
      <c r="F1318" s="30">
        <f t="shared" si="378"/>
        <v>1558.5</v>
      </c>
    </row>
    <row r="1319" spans="1:6" x14ac:dyDescent="0.2">
      <c r="A1319" s="26" t="s">
        <v>1679</v>
      </c>
      <c r="B1319" s="27" t="s">
        <v>1595</v>
      </c>
      <c r="C1319" s="27" t="s">
        <v>80</v>
      </c>
      <c r="D1319" s="43">
        <v>342.73</v>
      </c>
      <c r="E1319" s="28">
        <v>2.2999999999999998</v>
      </c>
      <c r="F1319" s="30">
        <f t="shared" si="378"/>
        <v>788.279</v>
      </c>
    </row>
    <row r="1320" spans="1:6" x14ac:dyDescent="0.2">
      <c r="A1320" s="26" t="s">
        <v>1680</v>
      </c>
      <c r="B1320" s="27" t="s">
        <v>1654</v>
      </c>
      <c r="C1320" s="27" t="s">
        <v>80</v>
      </c>
      <c r="D1320" s="43">
        <v>324.14</v>
      </c>
      <c r="E1320" s="42">
        <v>10.15</v>
      </c>
      <c r="F1320" s="30">
        <f t="shared" si="378"/>
        <v>3290.0210000000002</v>
      </c>
    </row>
    <row r="1321" spans="1:6" x14ac:dyDescent="0.2">
      <c r="A1321" s="26" t="s">
        <v>1681</v>
      </c>
      <c r="B1321" s="27" t="s">
        <v>1762</v>
      </c>
      <c r="C1321" s="27" t="s">
        <v>80</v>
      </c>
      <c r="D1321" s="43">
        <v>324.14</v>
      </c>
      <c r="E1321" s="28">
        <v>12.65</v>
      </c>
      <c r="F1321" s="30">
        <f t="shared" si="378"/>
        <v>4100.3710000000001</v>
      </c>
    </row>
    <row r="1322" spans="1:6" ht="39" x14ac:dyDescent="0.2">
      <c r="A1322" s="26" t="s">
        <v>1682</v>
      </c>
      <c r="B1322" s="27" t="s">
        <v>1597</v>
      </c>
      <c r="C1322" s="27" t="s">
        <v>80</v>
      </c>
      <c r="D1322" s="42">
        <v>18.59</v>
      </c>
      <c r="E1322" s="42">
        <v>18.5</v>
      </c>
      <c r="F1322" s="30">
        <f t="shared" si="378"/>
        <v>343.91500000000002</v>
      </c>
    </row>
    <row r="1323" spans="1:6" ht="39" x14ac:dyDescent="0.2">
      <c r="A1323" s="18" t="s">
        <v>1683</v>
      </c>
      <c r="B1323" s="19" t="s">
        <v>1684</v>
      </c>
      <c r="C1323" s="19"/>
      <c r="D1323" s="20"/>
      <c r="E1323" s="20"/>
      <c r="F1323" s="21">
        <f>F1324+F1328+F1334+F1337</f>
        <v>110038.388676</v>
      </c>
    </row>
    <row r="1324" spans="1:6" x14ac:dyDescent="0.2">
      <c r="A1324" s="22" t="s">
        <v>1685</v>
      </c>
      <c r="B1324" s="23" t="s">
        <v>1560</v>
      </c>
      <c r="C1324" s="23"/>
      <c r="D1324" s="24"/>
      <c r="E1324" s="24"/>
      <c r="F1324" s="25">
        <f>SUM(F1325:F1327)</f>
        <v>29885.444975999999</v>
      </c>
    </row>
    <row r="1325" spans="1:6" x14ac:dyDescent="0.2">
      <c r="A1325" s="26" t="s">
        <v>1686</v>
      </c>
      <c r="B1325" s="27" t="s">
        <v>1562</v>
      </c>
      <c r="C1325" s="27" t="s">
        <v>80</v>
      </c>
      <c r="D1325" s="43">
        <v>677.38</v>
      </c>
      <c r="E1325" s="42">
        <v>42.750100000000003</v>
      </c>
      <c r="F1325" s="30">
        <f t="shared" ref="F1325:F1327" si="379">+D1325*E1325</f>
        <v>28958.062738000001</v>
      </c>
    </row>
    <row r="1326" spans="1:6" x14ac:dyDescent="0.2">
      <c r="A1326" s="26" t="s">
        <v>1687</v>
      </c>
      <c r="B1326" s="27" t="s">
        <v>1564</v>
      </c>
      <c r="C1326" s="27" t="s">
        <v>80</v>
      </c>
      <c r="D1326" s="42">
        <v>26.36</v>
      </c>
      <c r="E1326" s="28">
        <v>4.4513999999999996</v>
      </c>
      <c r="F1326" s="30">
        <f t="shared" si="379"/>
        <v>117.33890399999999</v>
      </c>
    </row>
    <row r="1327" spans="1:6" ht="39" x14ac:dyDescent="0.2">
      <c r="A1327" s="26" t="s">
        <v>1688</v>
      </c>
      <c r="B1327" s="27" t="s">
        <v>1566</v>
      </c>
      <c r="C1327" s="27" t="s">
        <v>80</v>
      </c>
      <c r="D1327" s="42">
        <v>30.41</v>
      </c>
      <c r="E1327" s="42">
        <v>26.6374</v>
      </c>
      <c r="F1327" s="30">
        <f t="shared" si="379"/>
        <v>810.04333399999996</v>
      </c>
    </row>
    <row r="1328" spans="1:6" x14ac:dyDescent="0.2">
      <c r="A1328" s="22" t="s">
        <v>1689</v>
      </c>
      <c r="B1328" s="23" t="s">
        <v>1568</v>
      </c>
      <c r="C1328" s="23"/>
      <c r="D1328" s="24"/>
      <c r="E1328" s="24"/>
      <c r="F1328" s="25">
        <f>SUM(F1329:F1333)</f>
        <v>19404.830100000003</v>
      </c>
    </row>
    <row r="1329" spans="1:6" x14ac:dyDescent="0.2">
      <c r="A1329" s="26" t="s">
        <v>1690</v>
      </c>
      <c r="B1329" s="27" t="s">
        <v>1570</v>
      </c>
      <c r="C1329" s="27" t="s">
        <v>80</v>
      </c>
      <c r="D1329" s="31">
        <v>1366.96</v>
      </c>
      <c r="E1329" s="28">
        <v>2</v>
      </c>
      <c r="F1329" s="30">
        <f t="shared" ref="F1329:F1333" si="380">+D1329*E1329</f>
        <v>2733.92</v>
      </c>
    </row>
    <row r="1330" spans="1:6" ht="39" x14ac:dyDescent="0.2">
      <c r="A1330" s="26" t="s">
        <v>1691</v>
      </c>
      <c r="B1330" s="27" t="s">
        <v>1629</v>
      </c>
      <c r="C1330" s="27" t="s">
        <v>80</v>
      </c>
      <c r="D1330" s="42">
        <v>10.14</v>
      </c>
      <c r="E1330" s="28">
        <v>4.2670000000000003</v>
      </c>
      <c r="F1330" s="30">
        <f t="shared" si="380"/>
        <v>43.267380000000003</v>
      </c>
    </row>
    <row r="1331" spans="1:6" ht="39" x14ac:dyDescent="0.2">
      <c r="A1331" s="26" t="s">
        <v>1692</v>
      </c>
      <c r="B1331" s="27" t="s">
        <v>1631</v>
      </c>
      <c r="C1331" s="27" t="s">
        <v>80</v>
      </c>
      <c r="D1331" s="42">
        <v>10.14</v>
      </c>
      <c r="E1331" s="28">
        <v>5.4480000000000004</v>
      </c>
      <c r="F1331" s="30">
        <f t="shared" si="380"/>
        <v>55.242720000000006</v>
      </c>
    </row>
    <row r="1332" spans="1:6" x14ac:dyDescent="0.2">
      <c r="A1332" s="26" t="s">
        <v>1693</v>
      </c>
      <c r="B1332" s="27" t="s">
        <v>1572</v>
      </c>
      <c r="C1332" s="27" t="s">
        <v>80</v>
      </c>
      <c r="D1332" s="31">
        <v>1356.82</v>
      </c>
      <c r="E1332" s="42">
        <v>12</v>
      </c>
      <c r="F1332" s="30">
        <f t="shared" si="380"/>
        <v>16281.84</v>
      </c>
    </row>
    <row r="1333" spans="1:6" x14ac:dyDescent="0.2">
      <c r="A1333" s="26" t="s">
        <v>1694</v>
      </c>
      <c r="B1333" s="27" t="s">
        <v>1574</v>
      </c>
      <c r="C1333" s="27" t="s">
        <v>80</v>
      </c>
      <c r="D1333" s="43">
        <v>128</v>
      </c>
      <c r="E1333" s="28">
        <v>2.27</v>
      </c>
      <c r="F1333" s="30">
        <f t="shared" si="380"/>
        <v>290.56</v>
      </c>
    </row>
    <row r="1334" spans="1:6" x14ac:dyDescent="0.2">
      <c r="A1334" s="22" t="s">
        <v>1695</v>
      </c>
      <c r="B1334" s="23" t="s">
        <v>1576</v>
      </c>
      <c r="C1334" s="23"/>
      <c r="D1334" s="24"/>
      <c r="E1334" s="24"/>
      <c r="F1334" s="25">
        <f>SUM(F1335:F1336)</f>
        <v>10216.857600000001</v>
      </c>
    </row>
    <row r="1335" spans="1:6" x14ac:dyDescent="0.2">
      <c r="A1335" s="26" t="s">
        <v>1696</v>
      </c>
      <c r="B1335" s="27" t="s">
        <v>1578</v>
      </c>
      <c r="C1335" s="27" t="s">
        <v>80</v>
      </c>
      <c r="D1335" s="43">
        <v>694.08</v>
      </c>
      <c r="E1335" s="28">
        <v>2</v>
      </c>
      <c r="F1335" s="30">
        <f t="shared" ref="F1335:F1336" si="381">+D1335*E1335</f>
        <v>1388.16</v>
      </c>
    </row>
    <row r="1336" spans="1:6" x14ac:dyDescent="0.2">
      <c r="A1336" s="26" t="s">
        <v>1697</v>
      </c>
      <c r="B1336" s="27" t="s">
        <v>1580</v>
      </c>
      <c r="C1336" s="27" t="s">
        <v>80</v>
      </c>
      <c r="D1336" s="43">
        <v>694.08</v>
      </c>
      <c r="E1336" s="42">
        <v>12.72</v>
      </c>
      <c r="F1336" s="30">
        <f t="shared" si="381"/>
        <v>8828.6976000000013</v>
      </c>
    </row>
    <row r="1337" spans="1:6" x14ac:dyDescent="0.2">
      <c r="A1337" s="22" t="s">
        <v>1698</v>
      </c>
      <c r="B1337" s="23" t="s">
        <v>203</v>
      </c>
      <c r="C1337" s="23"/>
      <c r="D1337" s="24"/>
      <c r="E1337" s="24"/>
      <c r="F1337" s="25">
        <f>SUM(F1338:F1347)</f>
        <v>50531.256000000001</v>
      </c>
    </row>
    <row r="1338" spans="1:6" ht="39" x14ac:dyDescent="0.2">
      <c r="A1338" s="26" t="s">
        <v>1699</v>
      </c>
      <c r="B1338" s="27" t="s">
        <v>1583</v>
      </c>
      <c r="C1338" s="27" t="s">
        <v>80</v>
      </c>
      <c r="D1338" s="43">
        <v>677.38</v>
      </c>
      <c r="E1338" s="28">
        <v>9.5</v>
      </c>
      <c r="F1338" s="30">
        <f t="shared" ref="F1338:F1347" si="382">+D1338*E1338</f>
        <v>6435.11</v>
      </c>
    </row>
    <row r="1339" spans="1:6" x14ac:dyDescent="0.2">
      <c r="A1339" s="26" t="s">
        <v>1700</v>
      </c>
      <c r="B1339" s="27" t="s">
        <v>1585</v>
      </c>
      <c r="C1339" s="27" t="s">
        <v>80</v>
      </c>
      <c r="D1339" s="42">
        <v>26.36</v>
      </c>
      <c r="E1339" s="42">
        <v>13.5</v>
      </c>
      <c r="F1339" s="30">
        <f t="shared" si="382"/>
        <v>355.86</v>
      </c>
    </row>
    <row r="1340" spans="1:6" x14ac:dyDescent="0.2">
      <c r="A1340" s="26" t="s">
        <v>1701</v>
      </c>
      <c r="B1340" s="27" t="s">
        <v>1587</v>
      </c>
      <c r="C1340" s="27" t="s">
        <v>80</v>
      </c>
      <c r="D1340" s="42">
        <v>30.41</v>
      </c>
      <c r="E1340" s="42">
        <v>19.2</v>
      </c>
      <c r="F1340" s="30">
        <f t="shared" si="382"/>
        <v>583.87199999999996</v>
      </c>
    </row>
    <row r="1341" spans="1:6" ht="39" x14ac:dyDescent="0.2">
      <c r="A1341" s="26" t="s">
        <v>1702</v>
      </c>
      <c r="B1341" s="27" t="s">
        <v>1589</v>
      </c>
      <c r="C1341" s="27" t="s">
        <v>80</v>
      </c>
      <c r="D1341" s="31">
        <v>1366.96</v>
      </c>
      <c r="E1341" s="28">
        <v>2.2999999999999998</v>
      </c>
      <c r="F1341" s="30">
        <f t="shared" si="382"/>
        <v>3144.0079999999998</v>
      </c>
    </row>
    <row r="1342" spans="1:6" ht="39" x14ac:dyDescent="0.2">
      <c r="A1342" s="26" t="s">
        <v>1703</v>
      </c>
      <c r="B1342" s="27" t="s">
        <v>1647</v>
      </c>
      <c r="C1342" s="27" t="s">
        <v>80</v>
      </c>
      <c r="D1342" s="42">
        <v>10.14</v>
      </c>
      <c r="E1342" s="42">
        <v>10.15</v>
      </c>
      <c r="F1342" s="30">
        <f t="shared" si="382"/>
        <v>102.92100000000001</v>
      </c>
    </row>
    <row r="1343" spans="1:6" ht="39" x14ac:dyDescent="0.2">
      <c r="A1343" s="26" t="s">
        <v>1704</v>
      </c>
      <c r="B1343" s="27" t="s">
        <v>1649</v>
      </c>
      <c r="C1343" s="27" t="s">
        <v>80</v>
      </c>
      <c r="D1343" s="42">
        <v>10.14</v>
      </c>
      <c r="E1343" s="42">
        <v>12.65</v>
      </c>
      <c r="F1343" s="30">
        <f t="shared" si="382"/>
        <v>128.27100000000002</v>
      </c>
    </row>
    <row r="1344" spans="1:6" ht="39" x14ac:dyDescent="0.2">
      <c r="A1344" s="26" t="s">
        <v>1705</v>
      </c>
      <c r="B1344" s="27" t="s">
        <v>1591</v>
      </c>
      <c r="C1344" s="27" t="s">
        <v>80</v>
      </c>
      <c r="D1344" s="31">
        <v>1356.82</v>
      </c>
      <c r="E1344" s="42">
        <v>17.5</v>
      </c>
      <c r="F1344" s="30">
        <f t="shared" si="382"/>
        <v>23744.35</v>
      </c>
    </row>
    <row r="1345" spans="1:6" x14ac:dyDescent="0.2">
      <c r="A1345" s="26" t="s">
        <v>1706</v>
      </c>
      <c r="B1345" s="27" t="s">
        <v>1593</v>
      </c>
      <c r="C1345" s="27" t="s">
        <v>80</v>
      </c>
      <c r="D1345" s="43">
        <v>128</v>
      </c>
      <c r="E1345" s="42">
        <v>12.5</v>
      </c>
      <c r="F1345" s="30">
        <f t="shared" si="382"/>
        <v>1600</v>
      </c>
    </row>
    <row r="1346" spans="1:6" x14ac:dyDescent="0.2">
      <c r="A1346" s="26" t="s">
        <v>1707</v>
      </c>
      <c r="B1346" s="27" t="s">
        <v>1595</v>
      </c>
      <c r="C1346" s="27" t="s">
        <v>80</v>
      </c>
      <c r="D1346" s="43">
        <v>694.08</v>
      </c>
      <c r="E1346" s="28">
        <v>2.2999999999999998</v>
      </c>
      <c r="F1346" s="30">
        <f t="shared" si="382"/>
        <v>1596.384</v>
      </c>
    </row>
    <row r="1347" spans="1:6" ht="39" x14ac:dyDescent="0.2">
      <c r="A1347" s="26" t="s">
        <v>1708</v>
      </c>
      <c r="B1347" s="27" t="s">
        <v>1597</v>
      </c>
      <c r="C1347" s="27" t="s">
        <v>80</v>
      </c>
      <c r="D1347" s="43">
        <v>694.08</v>
      </c>
      <c r="E1347" s="42">
        <v>18.5</v>
      </c>
      <c r="F1347" s="30">
        <f t="shared" si="382"/>
        <v>12840.480000000001</v>
      </c>
    </row>
    <row r="1348" spans="1:6" x14ac:dyDescent="0.2">
      <c r="A1348" s="18" t="s">
        <v>1709</v>
      </c>
      <c r="B1348" s="19" t="s">
        <v>1710</v>
      </c>
      <c r="C1348" s="19"/>
      <c r="D1348" s="20"/>
      <c r="E1348" s="20"/>
      <c r="F1348" s="21">
        <f>F1349+F1351+F1358+F1363</f>
        <v>63621.819818000004</v>
      </c>
    </row>
    <row r="1349" spans="1:6" x14ac:dyDescent="0.2">
      <c r="A1349" s="22" t="s">
        <v>1711</v>
      </c>
      <c r="B1349" s="23" t="s">
        <v>1560</v>
      </c>
      <c r="C1349" s="23"/>
      <c r="D1349" s="24"/>
      <c r="E1349" s="24"/>
      <c r="F1349" s="25">
        <f>F1350</f>
        <v>117.38341799999999</v>
      </c>
    </row>
    <row r="1350" spans="1:6" x14ac:dyDescent="0.2">
      <c r="A1350" s="26" t="s">
        <v>1712</v>
      </c>
      <c r="B1350" s="27" t="s">
        <v>1564</v>
      </c>
      <c r="C1350" s="27" t="s">
        <v>80</v>
      </c>
      <c r="D1350" s="42">
        <v>26.37</v>
      </c>
      <c r="E1350" s="28">
        <v>4.4513999999999996</v>
      </c>
      <c r="F1350" s="30">
        <f t="shared" ref="F1350" si="383">+D1350*E1350</f>
        <v>117.38341799999999</v>
      </c>
    </row>
    <row r="1351" spans="1:6" x14ac:dyDescent="0.2">
      <c r="A1351" s="22" t="s">
        <v>1713</v>
      </c>
      <c r="B1351" s="23" t="s">
        <v>1568</v>
      </c>
      <c r="C1351" s="23"/>
      <c r="D1351" s="24"/>
      <c r="E1351" s="24"/>
      <c r="F1351" s="25">
        <f>SUM(F1352:F1357)</f>
        <v>19276.87485</v>
      </c>
    </row>
    <row r="1352" spans="1:6" x14ac:dyDescent="0.2">
      <c r="A1352" s="26" t="s">
        <v>1714</v>
      </c>
      <c r="B1352" s="27" t="s">
        <v>1570</v>
      </c>
      <c r="C1352" s="27" t="s">
        <v>80</v>
      </c>
      <c r="D1352" s="31">
        <v>1125.3699999999999</v>
      </c>
      <c r="E1352" s="28">
        <v>2</v>
      </c>
      <c r="F1352" s="30">
        <f t="shared" ref="F1352:F1357" si="384">+D1352*E1352</f>
        <v>2250.7399999999998</v>
      </c>
    </row>
    <row r="1353" spans="1:6" ht="39" x14ac:dyDescent="0.2">
      <c r="A1353" s="26" t="s">
        <v>1715</v>
      </c>
      <c r="B1353" s="27" t="s">
        <v>1629</v>
      </c>
      <c r="C1353" s="27" t="s">
        <v>80</v>
      </c>
      <c r="D1353" s="43">
        <v>924.75</v>
      </c>
      <c r="E1353" s="28">
        <v>4.2670000000000003</v>
      </c>
      <c r="F1353" s="30">
        <f t="shared" si="384"/>
        <v>3945.9082500000004</v>
      </c>
    </row>
    <row r="1354" spans="1:6" ht="39" x14ac:dyDescent="0.2">
      <c r="A1354" s="26" t="s">
        <v>1716</v>
      </c>
      <c r="B1354" s="27" t="s">
        <v>1631</v>
      </c>
      <c r="C1354" s="27" t="s">
        <v>80</v>
      </c>
      <c r="D1354" s="43">
        <v>924.75</v>
      </c>
      <c r="E1354" s="28">
        <v>5.4480000000000004</v>
      </c>
      <c r="F1354" s="30">
        <f t="shared" si="384"/>
        <v>5038.0380000000005</v>
      </c>
    </row>
    <row r="1355" spans="1:6" x14ac:dyDescent="0.2">
      <c r="A1355" s="26" t="s">
        <v>1717</v>
      </c>
      <c r="B1355" s="27" t="s">
        <v>1572</v>
      </c>
      <c r="C1355" s="27" t="s">
        <v>80</v>
      </c>
      <c r="D1355" s="43">
        <v>165.16</v>
      </c>
      <c r="E1355" s="42">
        <v>12</v>
      </c>
      <c r="F1355" s="30">
        <f t="shared" si="384"/>
        <v>1981.92</v>
      </c>
    </row>
    <row r="1356" spans="1:6" ht="39" x14ac:dyDescent="0.2">
      <c r="A1356" s="26" t="s">
        <v>1718</v>
      </c>
      <c r="B1356" s="27" t="s">
        <v>1719</v>
      </c>
      <c r="C1356" s="27" t="s">
        <v>80</v>
      </c>
      <c r="D1356" s="42">
        <v>35.46</v>
      </c>
      <c r="E1356" s="43">
        <v>162.96</v>
      </c>
      <c r="F1356" s="30">
        <f t="shared" si="384"/>
        <v>5778.5616</v>
      </c>
    </row>
    <row r="1357" spans="1:6" x14ac:dyDescent="0.2">
      <c r="A1357" s="26" t="s">
        <v>1720</v>
      </c>
      <c r="B1357" s="27" t="s">
        <v>1574</v>
      </c>
      <c r="C1357" s="27" t="s">
        <v>80</v>
      </c>
      <c r="D1357" s="43">
        <v>124.1</v>
      </c>
      <c r="E1357" s="28">
        <v>2.27</v>
      </c>
      <c r="F1357" s="30">
        <f t="shared" si="384"/>
        <v>281.70699999999999</v>
      </c>
    </row>
    <row r="1358" spans="1:6" x14ac:dyDescent="0.2">
      <c r="A1358" s="22" t="s">
        <v>1721</v>
      </c>
      <c r="B1358" s="23" t="s">
        <v>1576</v>
      </c>
      <c r="C1358" s="23"/>
      <c r="D1358" s="24"/>
      <c r="E1358" s="24"/>
      <c r="F1358" s="25">
        <f>SUM(F1359:F1362)</f>
        <v>4971.6485500000008</v>
      </c>
    </row>
    <row r="1359" spans="1:6" x14ac:dyDescent="0.2">
      <c r="A1359" s="26" t="s">
        <v>1722</v>
      </c>
      <c r="B1359" s="27" t="s">
        <v>1578</v>
      </c>
      <c r="C1359" s="27" t="s">
        <v>80</v>
      </c>
      <c r="D1359" s="43">
        <v>419.53</v>
      </c>
      <c r="E1359" s="28">
        <v>2</v>
      </c>
      <c r="F1359" s="30">
        <f t="shared" ref="F1359:F1362" si="385">+D1359*E1359</f>
        <v>839.06</v>
      </c>
    </row>
    <row r="1360" spans="1:6" x14ac:dyDescent="0.2">
      <c r="A1360" s="26" t="s">
        <v>1723</v>
      </c>
      <c r="B1360" s="27" t="s">
        <v>1637</v>
      </c>
      <c r="C1360" s="27" t="s">
        <v>80</v>
      </c>
      <c r="D1360" s="43">
        <v>400.61</v>
      </c>
      <c r="E1360" s="28">
        <v>4.2670000000000003</v>
      </c>
      <c r="F1360" s="30">
        <f t="shared" si="385"/>
        <v>1709.4028700000001</v>
      </c>
    </row>
    <row r="1361" spans="1:6" ht="39" x14ac:dyDescent="0.2">
      <c r="A1361" s="26" t="s">
        <v>1724</v>
      </c>
      <c r="B1361" s="27" t="s">
        <v>1639</v>
      </c>
      <c r="C1361" s="27" t="s">
        <v>80</v>
      </c>
      <c r="D1361" s="43">
        <v>400.61</v>
      </c>
      <c r="E1361" s="28">
        <v>5.4480000000000004</v>
      </c>
      <c r="F1361" s="30">
        <f t="shared" si="385"/>
        <v>2182.5232800000003</v>
      </c>
    </row>
    <row r="1362" spans="1:6" x14ac:dyDescent="0.2">
      <c r="A1362" s="26" t="s">
        <v>1725</v>
      </c>
      <c r="B1362" s="27" t="s">
        <v>1580</v>
      </c>
      <c r="C1362" s="27" t="s">
        <v>80</v>
      </c>
      <c r="D1362" s="42">
        <v>18.920000000000002</v>
      </c>
      <c r="E1362" s="42">
        <v>12.72</v>
      </c>
      <c r="F1362" s="30">
        <f t="shared" si="385"/>
        <v>240.66240000000005</v>
      </c>
    </row>
    <row r="1363" spans="1:6" x14ac:dyDescent="0.2">
      <c r="A1363" s="22" t="s">
        <v>1726</v>
      </c>
      <c r="B1363" s="23" t="s">
        <v>203</v>
      </c>
      <c r="C1363" s="23"/>
      <c r="D1363" s="24"/>
      <c r="E1363" s="24"/>
      <c r="F1363" s="25">
        <f>SUM(F1364:F1374)</f>
        <v>39255.913</v>
      </c>
    </row>
    <row r="1364" spans="1:6" x14ac:dyDescent="0.2">
      <c r="A1364" s="26" t="s">
        <v>1727</v>
      </c>
      <c r="B1364" s="27" t="s">
        <v>1585</v>
      </c>
      <c r="C1364" s="27" t="s">
        <v>80</v>
      </c>
      <c r="D1364" s="42">
        <v>26.37</v>
      </c>
      <c r="E1364" s="42">
        <v>13.5</v>
      </c>
      <c r="F1364" s="30">
        <f t="shared" ref="F1364:F1374" si="386">+D1364*E1364</f>
        <v>355.995</v>
      </c>
    </row>
    <row r="1365" spans="1:6" ht="39" x14ac:dyDescent="0.2">
      <c r="A1365" s="26" t="s">
        <v>1728</v>
      </c>
      <c r="B1365" s="27" t="s">
        <v>1589</v>
      </c>
      <c r="C1365" s="27" t="s">
        <v>80</v>
      </c>
      <c r="D1365" s="31">
        <v>1125.3699999999999</v>
      </c>
      <c r="E1365" s="28">
        <v>2.2999999999999998</v>
      </c>
      <c r="F1365" s="30">
        <f t="shared" si="386"/>
        <v>2588.3509999999997</v>
      </c>
    </row>
    <row r="1366" spans="1:6" ht="39" x14ac:dyDescent="0.2">
      <c r="A1366" s="26" t="s">
        <v>1729</v>
      </c>
      <c r="B1366" s="27" t="s">
        <v>1647</v>
      </c>
      <c r="C1366" s="27" t="s">
        <v>80</v>
      </c>
      <c r="D1366" s="43">
        <v>924.75</v>
      </c>
      <c r="E1366" s="42">
        <v>10.15</v>
      </c>
      <c r="F1366" s="30">
        <f t="shared" si="386"/>
        <v>9386.2124999999996</v>
      </c>
    </row>
    <row r="1367" spans="1:6" ht="39" x14ac:dyDescent="0.2">
      <c r="A1367" s="26" t="s">
        <v>1730</v>
      </c>
      <c r="B1367" s="27" t="s">
        <v>1649</v>
      </c>
      <c r="C1367" s="27" t="s">
        <v>80</v>
      </c>
      <c r="D1367" s="43">
        <v>924.75</v>
      </c>
      <c r="E1367" s="42">
        <v>12.65</v>
      </c>
      <c r="F1367" s="30">
        <f t="shared" si="386"/>
        <v>11698.0875</v>
      </c>
    </row>
    <row r="1368" spans="1:6" ht="39" x14ac:dyDescent="0.2">
      <c r="A1368" s="26" t="s">
        <v>1731</v>
      </c>
      <c r="B1368" s="27" t="s">
        <v>1591</v>
      </c>
      <c r="C1368" s="27" t="s">
        <v>80</v>
      </c>
      <c r="D1368" s="43">
        <v>165.16</v>
      </c>
      <c r="E1368" s="42">
        <v>17.5</v>
      </c>
      <c r="F1368" s="30">
        <f t="shared" si="386"/>
        <v>2890.2999999999997</v>
      </c>
    </row>
    <row r="1369" spans="1:6" ht="39" x14ac:dyDescent="0.2">
      <c r="A1369" s="26" t="s">
        <v>1732</v>
      </c>
      <c r="B1369" s="27" t="s">
        <v>2219</v>
      </c>
      <c r="C1369" s="27" t="s">
        <v>80</v>
      </c>
      <c r="D1369" s="43">
        <v>35.46</v>
      </c>
      <c r="E1369" s="42">
        <v>9.5</v>
      </c>
      <c r="F1369" s="30">
        <f t="shared" si="386"/>
        <v>336.87</v>
      </c>
    </row>
    <row r="1370" spans="1:6" x14ac:dyDescent="0.2">
      <c r="A1370" s="26" t="s">
        <v>1733</v>
      </c>
      <c r="B1370" s="27" t="s">
        <v>1593</v>
      </c>
      <c r="C1370" s="27" t="s">
        <v>80</v>
      </c>
      <c r="D1370" s="43">
        <v>124.1</v>
      </c>
      <c r="E1370" s="28">
        <v>12.5</v>
      </c>
      <c r="F1370" s="30">
        <f t="shared" si="386"/>
        <v>1551.25</v>
      </c>
    </row>
    <row r="1371" spans="1:6" x14ac:dyDescent="0.2">
      <c r="A1371" s="26" t="s">
        <v>1734</v>
      </c>
      <c r="B1371" s="27" t="s">
        <v>1595</v>
      </c>
      <c r="C1371" s="27" t="s">
        <v>80</v>
      </c>
      <c r="D1371" s="43">
        <v>419.53</v>
      </c>
      <c r="E1371" s="42">
        <v>2.2999999999999998</v>
      </c>
      <c r="F1371" s="30">
        <f t="shared" si="386"/>
        <v>964.91899999999987</v>
      </c>
    </row>
    <row r="1372" spans="1:6" ht="12.6" customHeight="1" x14ac:dyDescent="0.2">
      <c r="A1372" s="26" t="s">
        <v>1735</v>
      </c>
      <c r="B1372" s="27" t="s">
        <v>1654</v>
      </c>
      <c r="C1372" s="27" t="s">
        <v>80</v>
      </c>
      <c r="D1372" s="43">
        <v>400.61</v>
      </c>
      <c r="E1372" s="28">
        <v>10.15</v>
      </c>
      <c r="F1372" s="30">
        <f t="shared" si="386"/>
        <v>4066.1915000000004</v>
      </c>
    </row>
    <row r="1373" spans="1:6" x14ac:dyDescent="0.2">
      <c r="A1373" s="26" t="s">
        <v>1736</v>
      </c>
      <c r="B1373" s="27" t="s">
        <v>1762</v>
      </c>
      <c r="C1373" s="27" t="s">
        <v>80</v>
      </c>
      <c r="D1373" s="42">
        <v>400.61</v>
      </c>
      <c r="E1373" s="42">
        <v>12.65</v>
      </c>
      <c r="F1373" s="30">
        <f t="shared" ref="F1373" si="387">+D1373*E1373</f>
        <v>5067.7165000000005</v>
      </c>
    </row>
    <row r="1374" spans="1:6" ht="39" x14ac:dyDescent="0.2">
      <c r="A1374" s="26" t="s">
        <v>2220</v>
      </c>
      <c r="B1374" s="27" t="s">
        <v>1597</v>
      </c>
      <c r="C1374" s="27" t="s">
        <v>80</v>
      </c>
      <c r="D1374" s="42">
        <v>18.920000000000002</v>
      </c>
      <c r="E1374" s="42">
        <v>18.5</v>
      </c>
      <c r="F1374" s="30">
        <f t="shared" si="386"/>
        <v>350.02000000000004</v>
      </c>
    </row>
    <row r="1375" spans="1:6" ht="39" x14ac:dyDescent="0.2">
      <c r="A1375" s="18" t="s">
        <v>1737</v>
      </c>
      <c r="B1375" s="19" t="s">
        <v>1738</v>
      </c>
      <c r="C1375" s="19"/>
      <c r="D1375" s="20"/>
      <c r="E1375" s="20"/>
      <c r="F1375" s="21">
        <f>F1376+F1378+F1389+F1384</f>
        <v>391380.99214400002</v>
      </c>
    </row>
    <row r="1376" spans="1:6" x14ac:dyDescent="0.2">
      <c r="A1376" s="22" t="s">
        <v>1739</v>
      </c>
      <c r="B1376" s="23" t="s">
        <v>1560</v>
      </c>
      <c r="C1376" s="23"/>
      <c r="D1376" s="24"/>
      <c r="E1376" s="24"/>
      <c r="F1376" s="25">
        <f>F1377</f>
        <v>939.06734399999993</v>
      </c>
    </row>
    <row r="1377" spans="1:6" x14ac:dyDescent="0.2">
      <c r="A1377" s="26" t="s">
        <v>1740</v>
      </c>
      <c r="B1377" s="27" t="s">
        <v>1564</v>
      </c>
      <c r="C1377" s="27" t="s">
        <v>80</v>
      </c>
      <c r="D1377" s="43">
        <v>210.96</v>
      </c>
      <c r="E1377" s="28">
        <v>4.4513999999999996</v>
      </c>
      <c r="F1377" s="30">
        <f t="shared" ref="F1377" si="388">+D1377*E1377</f>
        <v>939.06734399999993</v>
      </c>
    </row>
    <row r="1378" spans="1:6" x14ac:dyDescent="0.2">
      <c r="A1378" s="22" t="s">
        <v>1741</v>
      </c>
      <c r="B1378" s="23" t="s">
        <v>1568</v>
      </c>
      <c r="C1378" s="23"/>
      <c r="D1378" s="24"/>
      <c r="E1378" s="24"/>
      <c r="F1378" s="25">
        <f>SUM(F1379:F1383)</f>
        <v>88607.009600000005</v>
      </c>
    </row>
    <row r="1379" spans="1:6" x14ac:dyDescent="0.2">
      <c r="A1379" s="26" t="s">
        <v>1742</v>
      </c>
      <c r="B1379" s="27" t="s">
        <v>1570</v>
      </c>
      <c r="C1379" s="27" t="s">
        <v>80</v>
      </c>
      <c r="D1379" s="31">
        <v>7428.32</v>
      </c>
      <c r="E1379" s="28">
        <v>2</v>
      </c>
      <c r="F1379" s="30">
        <f t="shared" ref="F1379:F1383" si="389">+D1379*E1379</f>
        <v>14856.64</v>
      </c>
    </row>
    <row r="1380" spans="1:6" ht="39" x14ac:dyDescent="0.2">
      <c r="A1380" s="26" t="s">
        <v>1743</v>
      </c>
      <c r="B1380" s="27" t="s">
        <v>1629</v>
      </c>
      <c r="C1380" s="27" t="s">
        <v>80</v>
      </c>
      <c r="D1380" s="31">
        <v>6837.6</v>
      </c>
      <c r="E1380" s="28">
        <v>4.2670000000000003</v>
      </c>
      <c r="F1380" s="30">
        <f t="shared" si="389"/>
        <v>29176.039200000003</v>
      </c>
    </row>
    <row r="1381" spans="1:6" ht="39" x14ac:dyDescent="0.2">
      <c r="A1381" s="26" t="s">
        <v>1744</v>
      </c>
      <c r="B1381" s="27" t="s">
        <v>1631</v>
      </c>
      <c r="C1381" s="27" t="s">
        <v>80</v>
      </c>
      <c r="D1381" s="31">
        <v>6837.6</v>
      </c>
      <c r="E1381" s="28">
        <v>5.4480000000000004</v>
      </c>
      <c r="F1381" s="30">
        <f t="shared" si="389"/>
        <v>37251.244800000008</v>
      </c>
    </row>
    <row r="1382" spans="1:6" x14ac:dyDescent="0.2">
      <c r="A1382" s="26" t="s">
        <v>1745</v>
      </c>
      <c r="B1382" s="27" t="s">
        <v>1572</v>
      </c>
      <c r="C1382" s="27" t="s">
        <v>80</v>
      </c>
      <c r="D1382" s="43">
        <v>590.72</v>
      </c>
      <c r="E1382" s="42">
        <v>12</v>
      </c>
      <c r="F1382" s="30">
        <f t="shared" si="389"/>
        <v>7088.64</v>
      </c>
    </row>
    <row r="1383" spans="1:6" x14ac:dyDescent="0.2">
      <c r="A1383" s="26" t="s">
        <v>1746</v>
      </c>
      <c r="B1383" s="27" t="s">
        <v>1574</v>
      </c>
      <c r="C1383" s="27" t="s">
        <v>80</v>
      </c>
      <c r="D1383" s="43">
        <v>103.28</v>
      </c>
      <c r="E1383" s="28">
        <v>2.27</v>
      </c>
      <c r="F1383" s="30">
        <f t="shared" si="389"/>
        <v>234.44560000000001</v>
      </c>
    </row>
    <row r="1384" spans="1:6" x14ac:dyDescent="0.2">
      <c r="A1384" s="22" t="s">
        <v>1747</v>
      </c>
      <c r="B1384" s="23" t="s">
        <v>1576</v>
      </c>
      <c r="C1384" s="23"/>
      <c r="D1384" s="24"/>
      <c r="E1384" s="24"/>
      <c r="F1384" s="25">
        <f>SUM(F1385:F1388)</f>
        <v>36911.171200000004</v>
      </c>
    </row>
    <row r="1385" spans="1:6" x14ac:dyDescent="0.2">
      <c r="A1385" s="26" t="s">
        <v>1748</v>
      </c>
      <c r="B1385" s="27" t="s">
        <v>1578</v>
      </c>
      <c r="C1385" s="27" t="s">
        <v>80</v>
      </c>
      <c r="D1385" s="31">
        <v>3112.08</v>
      </c>
      <c r="E1385" s="28">
        <v>2</v>
      </c>
      <c r="F1385" s="30">
        <f t="shared" ref="F1385:F1388" si="390">+D1385*E1385</f>
        <v>6224.16</v>
      </c>
    </row>
    <row r="1386" spans="1:6" x14ac:dyDescent="0.2">
      <c r="A1386" s="26" t="s">
        <v>1749</v>
      </c>
      <c r="B1386" s="27" t="s">
        <v>1637</v>
      </c>
      <c r="C1386" s="27" t="s">
        <v>80</v>
      </c>
      <c r="D1386" s="31">
        <v>2961.28</v>
      </c>
      <c r="E1386" s="28">
        <v>4.2670000000000003</v>
      </c>
      <c r="F1386" s="30">
        <f t="shared" si="390"/>
        <v>12635.781760000002</v>
      </c>
    </row>
    <row r="1387" spans="1:6" ht="39" x14ac:dyDescent="0.2">
      <c r="A1387" s="26" t="s">
        <v>1750</v>
      </c>
      <c r="B1387" s="27" t="s">
        <v>1639</v>
      </c>
      <c r="C1387" s="27" t="s">
        <v>80</v>
      </c>
      <c r="D1387" s="31">
        <v>2961.28</v>
      </c>
      <c r="E1387" s="28">
        <v>5.4480000000000004</v>
      </c>
      <c r="F1387" s="30">
        <f t="shared" si="390"/>
        <v>16133.053440000002</v>
      </c>
    </row>
    <row r="1388" spans="1:6" x14ac:dyDescent="0.2">
      <c r="A1388" s="26" t="s">
        <v>1751</v>
      </c>
      <c r="B1388" s="27" t="s">
        <v>1580</v>
      </c>
      <c r="C1388" s="27" t="s">
        <v>80</v>
      </c>
      <c r="D1388" s="43">
        <v>150.80000000000001</v>
      </c>
      <c r="E1388" s="42">
        <v>12.72</v>
      </c>
      <c r="F1388" s="30">
        <f t="shared" si="390"/>
        <v>1918.1760000000002</v>
      </c>
    </row>
    <row r="1389" spans="1:6" x14ac:dyDescent="0.2">
      <c r="A1389" s="22" t="s">
        <v>1752</v>
      </c>
      <c r="B1389" s="23" t="s">
        <v>203</v>
      </c>
      <c r="C1389" s="23"/>
      <c r="D1389" s="24"/>
      <c r="E1389" s="24"/>
      <c r="F1389" s="25">
        <f>SUM(F1390:F1399)</f>
        <v>264923.74400000001</v>
      </c>
    </row>
    <row r="1390" spans="1:6" x14ac:dyDescent="0.2">
      <c r="A1390" s="26" t="s">
        <v>1753</v>
      </c>
      <c r="B1390" s="27" t="s">
        <v>1585</v>
      </c>
      <c r="C1390" s="27" t="s">
        <v>80</v>
      </c>
      <c r="D1390" s="43">
        <v>210.96</v>
      </c>
      <c r="E1390" s="42">
        <v>13.5</v>
      </c>
      <c r="F1390" s="30">
        <f t="shared" ref="F1390:F1399" si="391">+D1390*E1390</f>
        <v>2847.96</v>
      </c>
    </row>
    <row r="1391" spans="1:6" ht="39" x14ac:dyDescent="0.2">
      <c r="A1391" s="26" t="s">
        <v>1754</v>
      </c>
      <c r="B1391" s="27" t="s">
        <v>1589</v>
      </c>
      <c r="C1391" s="27" t="s">
        <v>80</v>
      </c>
      <c r="D1391" s="31">
        <v>7428.32</v>
      </c>
      <c r="E1391" s="28">
        <v>2.2999999999999998</v>
      </c>
      <c r="F1391" s="30">
        <f t="shared" si="391"/>
        <v>17085.135999999999</v>
      </c>
    </row>
    <row r="1392" spans="1:6" ht="39" x14ac:dyDescent="0.2">
      <c r="A1392" s="26" t="s">
        <v>1755</v>
      </c>
      <c r="B1392" s="27" t="s">
        <v>1647</v>
      </c>
      <c r="C1392" s="27" t="s">
        <v>80</v>
      </c>
      <c r="D1392" s="31">
        <v>6837.6</v>
      </c>
      <c r="E1392" s="42">
        <v>10.15</v>
      </c>
      <c r="F1392" s="30">
        <f t="shared" si="391"/>
        <v>69401.64</v>
      </c>
    </row>
    <row r="1393" spans="1:6" ht="39" x14ac:dyDescent="0.2">
      <c r="A1393" s="26" t="s">
        <v>1756</v>
      </c>
      <c r="B1393" s="27" t="s">
        <v>1649</v>
      </c>
      <c r="C1393" s="27" t="s">
        <v>80</v>
      </c>
      <c r="D1393" s="31">
        <v>6837.6</v>
      </c>
      <c r="E1393" s="42">
        <v>12.65</v>
      </c>
      <c r="F1393" s="30">
        <f t="shared" si="391"/>
        <v>86495.640000000014</v>
      </c>
    </row>
    <row r="1394" spans="1:6" ht="39" x14ac:dyDescent="0.2">
      <c r="A1394" s="26" t="s">
        <v>1757</v>
      </c>
      <c r="B1394" s="27" t="s">
        <v>1591</v>
      </c>
      <c r="C1394" s="27" t="s">
        <v>80</v>
      </c>
      <c r="D1394" s="43">
        <v>590.72</v>
      </c>
      <c r="E1394" s="42">
        <v>17.5</v>
      </c>
      <c r="F1394" s="30">
        <f t="shared" si="391"/>
        <v>10337.6</v>
      </c>
    </row>
    <row r="1395" spans="1:6" x14ac:dyDescent="0.2">
      <c r="A1395" s="26" t="s">
        <v>1758</v>
      </c>
      <c r="B1395" s="27" t="s">
        <v>1593</v>
      </c>
      <c r="C1395" s="27" t="s">
        <v>80</v>
      </c>
      <c r="D1395" s="43">
        <v>103.28</v>
      </c>
      <c r="E1395" s="42">
        <v>12.5</v>
      </c>
      <c r="F1395" s="30">
        <f t="shared" si="391"/>
        <v>1291</v>
      </c>
    </row>
    <row r="1396" spans="1:6" x14ac:dyDescent="0.2">
      <c r="A1396" s="26" t="s">
        <v>1759</v>
      </c>
      <c r="B1396" s="27" t="s">
        <v>1595</v>
      </c>
      <c r="C1396" s="27" t="s">
        <v>80</v>
      </c>
      <c r="D1396" s="31">
        <v>3112.08</v>
      </c>
      <c r="E1396" s="28">
        <v>2.2999999999999998</v>
      </c>
      <c r="F1396" s="30">
        <f t="shared" si="391"/>
        <v>7157.7839999999997</v>
      </c>
    </row>
    <row r="1397" spans="1:6" x14ac:dyDescent="0.2">
      <c r="A1397" s="26" t="s">
        <v>1760</v>
      </c>
      <c r="B1397" s="27" t="s">
        <v>1654</v>
      </c>
      <c r="C1397" s="27" t="s">
        <v>80</v>
      </c>
      <c r="D1397" s="31">
        <v>2961.28</v>
      </c>
      <c r="E1397" s="42">
        <v>10.15</v>
      </c>
      <c r="F1397" s="30">
        <f t="shared" si="391"/>
        <v>30056.992000000002</v>
      </c>
    </row>
    <row r="1398" spans="1:6" x14ac:dyDescent="0.2">
      <c r="A1398" s="26" t="s">
        <v>1761</v>
      </c>
      <c r="B1398" s="27" t="s">
        <v>1762</v>
      </c>
      <c r="C1398" s="27" t="s">
        <v>80</v>
      </c>
      <c r="D1398" s="31">
        <v>2961.28</v>
      </c>
      <c r="E1398" s="42">
        <v>12.65</v>
      </c>
      <c r="F1398" s="30">
        <f t="shared" si="391"/>
        <v>37460.192000000003</v>
      </c>
    </row>
    <row r="1399" spans="1:6" ht="39" x14ac:dyDescent="0.2">
      <c r="A1399" s="26" t="s">
        <v>1763</v>
      </c>
      <c r="B1399" s="27" t="s">
        <v>1597</v>
      </c>
      <c r="C1399" s="27" t="s">
        <v>80</v>
      </c>
      <c r="D1399" s="43">
        <v>150.80000000000001</v>
      </c>
      <c r="E1399" s="42">
        <v>18.5</v>
      </c>
      <c r="F1399" s="30">
        <f t="shared" si="391"/>
        <v>2789.8</v>
      </c>
    </row>
    <row r="1400" spans="1:6" ht="39" x14ac:dyDescent="0.2">
      <c r="A1400" s="18" t="s">
        <v>1764</v>
      </c>
      <c r="B1400" s="19" t="s">
        <v>1765</v>
      </c>
      <c r="C1400" s="19"/>
      <c r="D1400" s="20"/>
      <c r="E1400" s="20"/>
      <c r="F1400" s="21">
        <f>F1401+F1403+F1409+F1414</f>
        <v>49565.017455999994</v>
      </c>
    </row>
    <row r="1401" spans="1:6" x14ac:dyDescent="0.2">
      <c r="A1401" s="22" t="s">
        <v>1766</v>
      </c>
      <c r="B1401" s="23" t="s">
        <v>1560</v>
      </c>
      <c r="C1401" s="23"/>
      <c r="D1401" s="24"/>
      <c r="E1401" s="24"/>
      <c r="F1401" s="25">
        <f>F1402</f>
        <v>123.70440599999998</v>
      </c>
    </row>
    <row r="1402" spans="1:6" x14ac:dyDescent="0.2">
      <c r="A1402" s="26" t="s">
        <v>1767</v>
      </c>
      <c r="B1402" s="27" t="s">
        <v>1564</v>
      </c>
      <c r="C1402" s="27" t="s">
        <v>80</v>
      </c>
      <c r="D1402" s="42">
        <v>27.79</v>
      </c>
      <c r="E1402" s="28">
        <v>4.4513999999999996</v>
      </c>
      <c r="F1402" s="30">
        <f t="shared" ref="F1402" si="392">+D1402*E1402</f>
        <v>123.70440599999998</v>
      </c>
    </row>
    <row r="1403" spans="1:6" x14ac:dyDescent="0.2">
      <c r="A1403" s="22" t="s">
        <v>1768</v>
      </c>
      <c r="B1403" s="23" t="s">
        <v>1568</v>
      </c>
      <c r="C1403" s="23"/>
      <c r="D1403" s="24"/>
      <c r="E1403" s="24"/>
      <c r="F1403" s="25">
        <f>SUM(F1404:F1408)</f>
        <v>11596.542149999999</v>
      </c>
    </row>
    <row r="1404" spans="1:6" x14ac:dyDescent="0.2">
      <c r="A1404" s="26" t="s">
        <v>1769</v>
      </c>
      <c r="B1404" s="27" t="s">
        <v>1570</v>
      </c>
      <c r="C1404" s="27" t="s">
        <v>80</v>
      </c>
      <c r="D1404" s="43">
        <v>940.43</v>
      </c>
      <c r="E1404" s="28">
        <v>2</v>
      </c>
      <c r="F1404" s="30">
        <f t="shared" ref="F1404:F1408" si="393">+D1404*E1404</f>
        <v>1880.86</v>
      </c>
    </row>
    <row r="1405" spans="1:6" ht="39" x14ac:dyDescent="0.2">
      <c r="A1405" s="26" t="s">
        <v>1770</v>
      </c>
      <c r="B1405" s="27" t="s">
        <v>1629</v>
      </c>
      <c r="C1405" s="27" t="s">
        <v>80</v>
      </c>
      <c r="D1405" s="43">
        <v>789.95</v>
      </c>
      <c r="E1405" s="28">
        <v>4.2670000000000003</v>
      </c>
      <c r="F1405" s="30">
        <f t="shared" si="393"/>
        <v>3370.7166500000003</v>
      </c>
    </row>
    <row r="1406" spans="1:6" ht="39" x14ac:dyDescent="0.2">
      <c r="A1406" s="26" t="s">
        <v>1771</v>
      </c>
      <c r="B1406" s="27" t="s">
        <v>1631</v>
      </c>
      <c r="C1406" s="27" t="s">
        <v>80</v>
      </c>
      <c r="D1406" s="43">
        <v>789.95</v>
      </c>
      <c r="E1406" s="28">
        <v>5.4480000000000004</v>
      </c>
      <c r="F1406" s="30">
        <f t="shared" si="393"/>
        <v>4303.6476000000002</v>
      </c>
    </row>
    <row r="1407" spans="1:6" x14ac:dyDescent="0.2">
      <c r="A1407" s="26" t="s">
        <v>1772</v>
      </c>
      <c r="B1407" s="27" t="s">
        <v>1572</v>
      </c>
      <c r="C1407" s="27" t="s">
        <v>80</v>
      </c>
      <c r="D1407" s="43">
        <v>150.47999999999999</v>
      </c>
      <c r="E1407" s="42">
        <v>12</v>
      </c>
      <c r="F1407" s="30">
        <f t="shared" si="393"/>
        <v>1805.7599999999998</v>
      </c>
    </row>
    <row r="1408" spans="1:6" x14ac:dyDescent="0.2">
      <c r="A1408" s="26" t="s">
        <v>1773</v>
      </c>
      <c r="B1408" s="27" t="s">
        <v>1574</v>
      </c>
      <c r="C1408" s="27" t="s">
        <v>80</v>
      </c>
      <c r="D1408" s="43">
        <v>103.77</v>
      </c>
      <c r="E1408" s="28">
        <v>2.27</v>
      </c>
      <c r="F1408" s="30">
        <f t="shared" si="393"/>
        <v>235.55789999999999</v>
      </c>
    </row>
    <row r="1409" spans="1:6" x14ac:dyDescent="0.2">
      <c r="A1409" s="22" t="s">
        <v>1774</v>
      </c>
      <c r="B1409" s="23" t="s">
        <v>1576</v>
      </c>
      <c r="C1409" s="23"/>
      <c r="D1409" s="24"/>
      <c r="E1409" s="24"/>
      <c r="F1409" s="25">
        <f>SUM(F1410:F1413)</f>
        <v>4317.0059000000001</v>
      </c>
    </row>
    <row r="1410" spans="1:6" x14ac:dyDescent="0.2">
      <c r="A1410" s="26" t="s">
        <v>1775</v>
      </c>
      <c r="B1410" s="27" t="s">
        <v>1578</v>
      </c>
      <c r="C1410" s="27" t="s">
        <v>80</v>
      </c>
      <c r="D1410" s="43">
        <v>362.82</v>
      </c>
      <c r="E1410" s="28">
        <v>2</v>
      </c>
      <c r="F1410" s="30">
        <f t="shared" ref="F1410:F1413" si="394">+D1410*E1410</f>
        <v>725.64</v>
      </c>
    </row>
    <row r="1411" spans="1:6" x14ac:dyDescent="0.2">
      <c r="A1411" s="26" t="s">
        <v>1776</v>
      </c>
      <c r="B1411" s="27" t="s">
        <v>1637</v>
      </c>
      <c r="C1411" s="27" t="s">
        <v>80</v>
      </c>
      <c r="D1411" s="43">
        <v>344.9</v>
      </c>
      <c r="E1411" s="28">
        <v>4.2670000000000003</v>
      </c>
      <c r="F1411" s="30">
        <f t="shared" si="394"/>
        <v>1471.6883</v>
      </c>
    </row>
    <row r="1412" spans="1:6" ht="39" x14ac:dyDescent="0.2">
      <c r="A1412" s="26" t="s">
        <v>1777</v>
      </c>
      <c r="B1412" s="27" t="s">
        <v>1639</v>
      </c>
      <c r="C1412" s="27" t="s">
        <v>80</v>
      </c>
      <c r="D1412" s="43">
        <v>344.9</v>
      </c>
      <c r="E1412" s="28">
        <v>5.4480000000000004</v>
      </c>
      <c r="F1412" s="30">
        <f t="shared" si="394"/>
        <v>1879.0152</v>
      </c>
    </row>
    <row r="1413" spans="1:6" x14ac:dyDescent="0.2">
      <c r="A1413" s="26" t="s">
        <v>1778</v>
      </c>
      <c r="B1413" s="27" t="s">
        <v>1580</v>
      </c>
      <c r="C1413" s="27" t="s">
        <v>80</v>
      </c>
      <c r="D1413" s="42">
        <v>18.920000000000002</v>
      </c>
      <c r="E1413" s="42">
        <v>12.72</v>
      </c>
      <c r="F1413" s="30">
        <f t="shared" si="394"/>
        <v>240.66240000000005</v>
      </c>
    </row>
    <row r="1414" spans="1:6" x14ac:dyDescent="0.2">
      <c r="A1414" s="22" t="s">
        <v>1779</v>
      </c>
      <c r="B1414" s="23" t="s">
        <v>203</v>
      </c>
      <c r="C1414" s="23"/>
      <c r="D1414" s="24"/>
      <c r="E1414" s="24"/>
      <c r="F1414" s="25">
        <f>SUM(F1415:F1424)</f>
        <v>33527.764999999992</v>
      </c>
    </row>
    <row r="1415" spans="1:6" x14ac:dyDescent="0.2">
      <c r="A1415" s="26" t="s">
        <v>1780</v>
      </c>
      <c r="B1415" s="27" t="s">
        <v>1585</v>
      </c>
      <c r="C1415" s="27" t="s">
        <v>80</v>
      </c>
      <c r="D1415" s="42">
        <v>27.79</v>
      </c>
      <c r="E1415" s="42">
        <v>13.5</v>
      </c>
      <c r="F1415" s="30">
        <f t="shared" ref="F1415:F1424" si="395">+D1415*E1415</f>
        <v>375.16499999999996</v>
      </c>
    </row>
    <row r="1416" spans="1:6" ht="39" x14ac:dyDescent="0.2">
      <c r="A1416" s="26" t="s">
        <v>1781</v>
      </c>
      <c r="B1416" s="27" t="s">
        <v>1589</v>
      </c>
      <c r="C1416" s="27" t="s">
        <v>80</v>
      </c>
      <c r="D1416" s="43">
        <v>940.43</v>
      </c>
      <c r="E1416" s="28">
        <v>2.2999999999999998</v>
      </c>
      <c r="F1416" s="30">
        <f t="shared" si="395"/>
        <v>2162.9889999999996</v>
      </c>
    </row>
    <row r="1417" spans="1:6" ht="39" x14ac:dyDescent="0.2">
      <c r="A1417" s="26" t="s">
        <v>1782</v>
      </c>
      <c r="B1417" s="27" t="s">
        <v>1647</v>
      </c>
      <c r="C1417" s="27" t="s">
        <v>80</v>
      </c>
      <c r="D1417" s="43">
        <v>789.95</v>
      </c>
      <c r="E1417" s="42">
        <v>10.15</v>
      </c>
      <c r="F1417" s="30">
        <f t="shared" si="395"/>
        <v>8017.9925000000003</v>
      </c>
    </row>
    <row r="1418" spans="1:6" ht="39" x14ac:dyDescent="0.2">
      <c r="A1418" s="26" t="s">
        <v>1783</v>
      </c>
      <c r="B1418" s="27" t="s">
        <v>1649</v>
      </c>
      <c r="C1418" s="27" t="s">
        <v>80</v>
      </c>
      <c r="D1418" s="43">
        <v>789.95</v>
      </c>
      <c r="E1418" s="42">
        <v>12.65</v>
      </c>
      <c r="F1418" s="30">
        <f t="shared" si="395"/>
        <v>9992.8675000000003</v>
      </c>
    </row>
    <row r="1419" spans="1:6" ht="39" x14ac:dyDescent="0.2">
      <c r="A1419" s="26" t="s">
        <v>1784</v>
      </c>
      <c r="B1419" s="27" t="s">
        <v>1591</v>
      </c>
      <c r="C1419" s="27" t="s">
        <v>80</v>
      </c>
      <c r="D1419" s="43">
        <v>150.47999999999999</v>
      </c>
      <c r="E1419" s="42">
        <v>17.5</v>
      </c>
      <c r="F1419" s="30">
        <f t="shared" si="395"/>
        <v>2633.3999999999996</v>
      </c>
    </row>
    <row r="1420" spans="1:6" x14ac:dyDescent="0.2">
      <c r="A1420" s="26" t="s">
        <v>1785</v>
      </c>
      <c r="B1420" s="27" t="s">
        <v>1593</v>
      </c>
      <c r="C1420" s="27" t="s">
        <v>80</v>
      </c>
      <c r="D1420" s="43">
        <v>103.77</v>
      </c>
      <c r="E1420" s="42">
        <v>12.5</v>
      </c>
      <c r="F1420" s="30">
        <f t="shared" si="395"/>
        <v>1297.125</v>
      </c>
    </row>
    <row r="1421" spans="1:6" x14ac:dyDescent="0.2">
      <c r="A1421" s="26" t="s">
        <v>1786</v>
      </c>
      <c r="B1421" s="27" t="s">
        <v>1595</v>
      </c>
      <c r="C1421" s="27" t="s">
        <v>80</v>
      </c>
      <c r="D1421" s="43">
        <v>362.82</v>
      </c>
      <c r="E1421" s="28">
        <v>2.2999999999999998</v>
      </c>
      <c r="F1421" s="30">
        <f t="shared" si="395"/>
        <v>834.48599999999988</v>
      </c>
    </row>
    <row r="1422" spans="1:6" x14ac:dyDescent="0.2">
      <c r="A1422" s="26" t="s">
        <v>1787</v>
      </c>
      <c r="B1422" s="27" t="s">
        <v>1654</v>
      </c>
      <c r="C1422" s="27" t="s">
        <v>80</v>
      </c>
      <c r="D1422" s="43">
        <v>344.9</v>
      </c>
      <c r="E1422" s="42">
        <v>10.15</v>
      </c>
      <c r="F1422" s="30">
        <f t="shared" si="395"/>
        <v>3500.7349999999997</v>
      </c>
    </row>
    <row r="1423" spans="1:6" x14ac:dyDescent="0.2">
      <c r="A1423" s="26" t="s">
        <v>1788</v>
      </c>
      <c r="B1423" s="27" t="s">
        <v>1762</v>
      </c>
      <c r="C1423" s="27" t="s">
        <v>80</v>
      </c>
      <c r="D1423" s="43">
        <v>344.9</v>
      </c>
      <c r="E1423" s="42">
        <v>12.65</v>
      </c>
      <c r="F1423" s="30">
        <f t="shared" si="395"/>
        <v>4362.9849999999997</v>
      </c>
    </row>
    <row r="1424" spans="1:6" ht="39" x14ac:dyDescent="0.2">
      <c r="A1424" s="26" t="s">
        <v>1789</v>
      </c>
      <c r="B1424" s="27" t="s">
        <v>1597</v>
      </c>
      <c r="C1424" s="27" t="s">
        <v>80</v>
      </c>
      <c r="D1424" s="42">
        <v>18.920000000000002</v>
      </c>
      <c r="E1424" s="42">
        <v>18.5</v>
      </c>
      <c r="F1424" s="30">
        <f t="shared" si="395"/>
        <v>350.02000000000004</v>
      </c>
    </row>
    <row r="1425" spans="1:6" ht="39" x14ac:dyDescent="0.2">
      <c r="A1425" s="18" t="s">
        <v>1790</v>
      </c>
      <c r="B1425" s="19" t="s">
        <v>1791</v>
      </c>
      <c r="C1425" s="19"/>
      <c r="D1425" s="20"/>
      <c r="E1425" s="20"/>
      <c r="F1425" s="21">
        <f>F1426+F1430+F1433</f>
        <v>15241.5376</v>
      </c>
    </row>
    <row r="1426" spans="1:6" x14ac:dyDescent="0.2">
      <c r="A1426" s="22" t="s">
        <v>1792</v>
      </c>
      <c r="B1426" s="23" t="s">
        <v>1568</v>
      </c>
      <c r="C1426" s="23"/>
      <c r="D1426" s="24"/>
      <c r="E1426" s="24"/>
      <c r="F1426" s="25">
        <f>SUM(F1427:F1429)</f>
        <v>5498.2159999999994</v>
      </c>
    </row>
    <row r="1427" spans="1:6" x14ac:dyDescent="0.2">
      <c r="A1427" s="26" t="s">
        <v>1793</v>
      </c>
      <c r="B1427" s="27" t="s">
        <v>1570</v>
      </c>
      <c r="C1427" s="27" t="s">
        <v>80</v>
      </c>
      <c r="D1427" s="43">
        <v>383.52</v>
      </c>
      <c r="E1427" s="28">
        <v>2</v>
      </c>
      <c r="F1427" s="30">
        <f t="shared" ref="F1427:F1429" si="396">+D1427*E1427</f>
        <v>767.04</v>
      </c>
    </row>
    <row r="1428" spans="1:6" x14ac:dyDescent="0.2">
      <c r="A1428" s="26" t="s">
        <v>1794</v>
      </c>
      <c r="B1428" s="27" t="s">
        <v>1572</v>
      </c>
      <c r="C1428" s="27" t="s">
        <v>80</v>
      </c>
      <c r="D1428" s="43">
        <v>383.52</v>
      </c>
      <c r="E1428" s="42">
        <v>12</v>
      </c>
      <c r="F1428" s="30">
        <f t="shared" si="396"/>
        <v>4602.24</v>
      </c>
    </row>
    <row r="1429" spans="1:6" x14ac:dyDescent="0.2">
      <c r="A1429" s="26" t="s">
        <v>1795</v>
      </c>
      <c r="B1429" s="27" t="s">
        <v>1574</v>
      </c>
      <c r="C1429" s="27" t="s">
        <v>80</v>
      </c>
      <c r="D1429" s="42">
        <v>56.8</v>
      </c>
      <c r="E1429" s="28">
        <v>2.27</v>
      </c>
      <c r="F1429" s="30">
        <f t="shared" si="396"/>
        <v>128.93600000000001</v>
      </c>
    </row>
    <row r="1430" spans="1:6" x14ac:dyDescent="0.2">
      <c r="A1430" s="22" t="s">
        <v>1796</v>
      </c>
      <c r="B1430" s="23" t="s">
        <v>1576</v>
      </c>
      <c r="C1430" s="23"/>
      <c r="D1430" s="24"/>
      <c r="E1430" s="24"/>
      <c r="F1430" s="25">
        <f>SUM(F1431:F1432)</f>
        <v>596.60159999999996</v>
      </c>
    </row>
    <row r="1431" spans="1:6" x14ac:dyDescent="0.2">
      <c r="A1431" s="26" t="s">
        <v>1797</v>
      </c>
      <c r="B1431" s="27" t="s">
        <v>1578</v>
      </c>
      <c r="C1431" s="27" t="s">
        <v>80</v>
      </c>
      <c r="D1431" s="42">
        <v>40.53</v>
      </c>
      <c r="E1431" s="28">
        <v>2</v>
      </c>
      <c r="F1431" s="30">
        <f t="shared" ref="F1431:F1432" si="397">+D1431*E1431</f>
        <v>81.06</v>
      </c>
    </row>
    <row r="1432" spans="1:6" x14ac:dyDescent="0.2">
      <c r="A1432" s="26" t="s">
        <v>1798</v>
      </c>
      <c r="B1432" s="27" t="s">
        <v>1580</v>
      </c>
      <c r="C1432" s="27" t="s">
        <v>80</v>
      </c>
      <c r="D1432" s="42">
        <v>40.53</v>
      </c>
      <c r="E1432" s="42">
        <v>12.72</v>
      </c>
      <c r="F1432" s="30">
        <f t="shared" si="397"/>
        <v>515.54160000000002</v>
      </c>
    </row>
    <row r="1433" spans="1:6" x14ac:dyDescent="0.2">
      <c r="A1433" s="22" t="s">
        <v>1799</v>
      </c>
      <c r="B1433" s="23" t="s">
        <v>203</v>
      </c>
      <c r="C1433" s="23"/>
      <c r="D1433" s="24"/>
      <c r="E1433" s="24"/>
      <c r="F1433" s="25">
        <f>SUM(F1434:F1438)</f>
        <v>9146.7199999999993</v>
      </c>
    </row>
    <row r="1434" spans="1:6" ht="39" x14ac:dyDescent="0.2">
      <c r="A1434" s="26" t="s">
        <v>1800</v>
      </c>
      <c r="B1434" s="27" t="s">
        <v>1589</v>
      </c>
      <c r="C1434" s="27" t="s">
        <v>80</v>
      </c>
      <c r="D1434" s="43">
        <v>383.52</v>
      </c>
      <c r="E1434" s="28">
        <v>2.2999999999999998</v>
      </c>
      <c r="F1434" s="30">
        <f t="shared" ref="F1434:F1438" si="398">+D1434*E1434</f>
        <v>882.09599999999989</v>
      </c>
    </row>
    <row r="1435" spans="1:6" ht="39" x14ac:dyDescent="0.2">
      <c r="A1435" s="26" t="s">
        <v>1801</v>
      </c>
      <c r="B1435" s="27" t="s">
        <v>1591</v>
      </c>
      <c r="C1435" s="27" t="s">
        <v>80</v>
      </c>
      <c r="D1435" s="43">
        <v>383.52</v>
      </c>
      <c r="E1435" s="42">
        <v>17.5</v>
      </c>
      <c r="F1435" s="30">
        <f t="shared" si="398"/>
        <v>6711.5999999999995</v>
      </c>
    </row>
    <row r="1436" spans="1:6" x14ac:dyDescent="0.2">
      <c r="A1436" s="26" t="s">
        <v>1802</v>
      </c>
      <c r="B1436" s="27" t="s">
        <v>1593</v>
      </c>
      <c r="C1436" s="27" t="s">
        <v>80</v>
      </c>
      <c r="D1436" s="42">
        <v>56.8</v>
      </c>
      <c r="E1436" s="42">
        <v>12.5</v>
      </c>
      <c r="F1436" s="30">
        <f t="shared" si="398"/>
        <v>710</v>
      </c>
    </row>
    <row r="1437" spans="1:6" x14ac:dyDescent="0.2">
      <c r="A1437" s="26" t="s">
        <v>1803</v>
      </c>
      <c r="B1437" s="27" t="s">
        <v>1595</v>
      </c>
      <c r="C1437" s="27" t="s">
        <v>80</v>
      </c>
      <c r="D1437" s="42">
        <v>40.53</v>
      </c>
      <c r="E1437" s="28">
        <v>2.2999999999999998</v>
      </c>
      <c r="F1437" s="30">
        <f t="shared" si="398"/>
        <v>93.218999999999994</v>
      </c>
    </row>
    <row r="1438" spans="1:6" ht="39" x14ac:dyDescent="0.2">
      <c r="A1438" s="26" t="s">
        <v>1804</v>
      </c>
      <c r="B1438" s="27" t="s">
        <v>1597</v>
      </c>
      <c r="C1438" s="27" t="s">
        <v>80</v>
      </c>
      <c r="D1438" s="42">
        <v>40.53</v>
      </c>
      <c r="E1438" s="42">
        <v>18.5</v>
      </c>
      <c r="F1438" s="30">
        <f t="shared" si="398"/>
        <v>749.80500000000006</v>
      </c>
    </row>
    <row r="1439" spans="1:6" x14ac:dyDescent="0.2">
      <c r="A1439" s="18" t="s">
        <v>1805</v>
      </c>
      <c r="B1439" s="19" t="s">
        <v>1806</v>
      </c>
      <c r="C1439" s="19"/>
      <c r="D1439" s="20"/>
      <c r="E1439" s="20"/>
      <c r="F1439" s="21">
        <f>F1440+F1443</f>
        <v>8425.2963999999993</v>
      </c>
    </row>
    <row r="1440" spans="1:6" x14ac:dyDescent="0.2">
      <c r="A1440" s="22" t="s">
        <v>1807</v>
      </c>
      <c r="B1440" s="23" t="s">
        <v>1568</v>
      </c>
      <c r="C1440" s="23"/>
      <c r="D1440" s="24"/>
      <c r="E1440" s="24"/>
      <c r="F1440" s="25">
        <f>SUM(F1441:F1442)</f>
        <v>3592.7103999999999</v>
      </c>
    </row>
    <row r="1441" spans="1:6" x14ac:dyDescent="0.2">
      <c r="A1441" s="26" t="s">
        <v>1808</v>
      </c>
      <c r="B1441" s="27" t="s">
        <v>1578</v>
      </c>
      <c r="C1441" s="27" t="s">
        <v>80</v>
      </c>
      <c r="D1441" s="43">
        <v>244.07</v>
      </c>
      <c r="E1441" s="28">
        <v>2</v>
      </c>
      <c r="F1441" s="30">
        <f t="shared" ref="F1441:F1442" si="399">+D1441*E1441</f>
        <v>488.14</v>
      </c>
    </row>
    <row r="1442" spans="1:6" x14ac:dyDescent="0.2">
      <c r="A1442" s="26" t="s">
        <v>1809</v>
      </c>
      <c r="B1442" s="27" t="s">
        <v>1580</v>
      </c>
      <c r="C1442" s="27" t="s">
        <v>80</v>
      </c>
      <c r="D1442" s="43">
        <v>244.07</v>
      </c>
      <c r="E1442" s="42">
        <v>12.72</v>
      </c>
      <c r="F1442" s="30">
        <f t="shared" si="399"/>
        <v>3104.5704000000001</v>
      </c>
    </row>
    <row r="1443" spans="1:6" x14ac:dyDescent="0.2">
      <c r="A1443" s="22" t="s">
        <v>1810</v>
      </c>
      <c r="B1443" s="23" t="s">
        <v>203</v>
      </c>
      <c r="C1443" s="23"/>
      <c r="D1443" s="24"/>
      <c r="E1443" s="24"/>
      <c r="F1443" s="25">
        <f>SUM(F1444:F1445)</f>
        <v>4832.5859999999993</v>
      </c>
    </row>
    <row r="1444" spans="1:6" ht="39" x14ac:dyDescent="0.2">
      <c r="A1444" s="26" t="s">
        <v>1811</v>
      </c>
      <c r="B1444" s="27" t="s">
        <v>1589</v>
      </c>
      <c r="C1444" s="27" t="s">
        <v>80</v>
      </c>
      <c r="D1444" s="43">
        <v>244.07</v>
      </c>
      <c r="E1444" s="28">
        <v>2.2999999999999998</v>
      </c>
      <c r="F1444" s="30">
        <f t="shared" ref="F1444:F1445" si="400">+D1444*E1444</f>
        <v>561.36099999999999</v>
      </c>
    </row>
    <row r="1445" spans="1:6" ht="39" x14ac:dyDescent="0.2">
      <c r="A1445" s="26" t="s">
        <v>1812</v>
      </c>
      <c r="B1445" s="27" t="s">
        <v>1591</v>
      </c>
      <c r="C1445" s="27" t="s">
        <v>80</v>
      </c>
      <c r="D1445" s="43">
        <v>244.07</v>
      </c>
      <c r="E1445" s="42">
        <v>17.5</v>
      </c>
      <c r="F1445" s="30">
        <f t="shared" si="400"/>
        <v>4271.2249999999995</v>
      </c>
    </row>
    <row r="1446" spans="1:6" x14ac:dyDescent="0.2">
      <c r="A1446" s="14" t="s">
        <v>1813</v>
      </c>
      <c r="B1446" s="15" t="s">
        <v>1814</v>
      </c>
      <c r="C1446" s="15"/>
      <c r="D1446" s="16"/>
      <c r="E1446" s="16"/>
      <c r="F1446" s="17">
        <f>F1447+F1460+F1473+F1489+F1505+F1518+F1539+F1559+F1582+F1596</f>
        <v>1609984.4436999997</v>
      </c>
    </row>
    <row r="1447" spans="1:6" ht="39" x14ac:dyDescent="0.2">
      <c r="A1447" s="18" t="s">
        <v>1815</v>
      </c>
      <c r="B1447" s="19" t="s">
        <v>1816</v>
      </c>
      <c r="C1447" s="19"/>
      <c r="D1447" s="20"/>
      <c r="E1447" s="20"/>
      <c r="F1447" s="21">
        <f>F1448+F1451+F1453+F1455+F1457</f>
        <v>27417.3</v>
      </c>
    </row>
    <row r="1448" spans="1:6" x14ac:dyDescent="0.2">
      <c r="A1448" s="22" t="s">
        <v>1817</v>
      </c>
      <c r="B1448" s="23" t="s">
        <v>1818</v>
      </c>
      <c r="C1448" s="23"/>
      <c r="D1448" s="24"/>
      <c r="E1448" s="24"/>
      <c r="F1448" s="25">
        <f>SUM(F1449:F1450)</f>
        <v>1028.7</v>
      </c>
    </row>
    <row r="1449" spans="1:6" x14ac:dyDescent="0.2">
      <c r="A1449" s="26" t="s">
        <v>1819</v>
      </c>
      <c r="B1449" s="27" t="s">
        <v>1820</v>
      </c>
      <c r="C1449" s="27" t="s">
        <v>74</v>
      </c>
      <c r="D1449" s="42">
        <v>54</v>
      </c>
      <c r="E1449" s="42">
        <v>18.5</v>
      </c>
      <c r="F1449" s="30">
        <f t="shared" ref="F1449:F1450" si="401">+D1449*E1449</f>
        <v>999</v>
      </c>
    </row>
    <row r="1450" spans="1:6" x14ac:dyDescent="0.2">
      <c r="A1450" s="26" t="s">
        <v>1821</v>
      </c>
      <c r="B1450" s="27" t="s">
        <v>1822</v>
      </c>
      <c r="C1450" s="27" t="s">
        <v>74</v>
      </c>
      <c r="D1450" s="42">
        <v>54</v>
      </c>
      <c r="E1450" s="28">
        <v>0.55000000000000004</v>
      </c>
      <c r="F1450" s="30">
        <f t="shared" si="401"/>
        <v>29.700000000000003</v>
      </c>
    </row>
    <row r="1451" spans="1:6" x14ac:dyDescent="0.2">
      <c r="A1451" s="22" t="s">
        <v>1823</v>
      </c>
      <c r="B1451" s="23" t="s">
        <v>1824</v>
      </c>
      <c r="C1451" s="23"/>
      <c r="D1451" s="24"/>
      <c r="E1451" s="24"/>
      <c r="F1451" s="25">
        <f>F1452</f>
        <v>19200</v>
      </c>
    </row>
    <row r="1452" spans="1:6" x14ac:dyDescent="0.2">
      <c r="A1452" s="26" t="s">
        <v>1825</v>
      </c>
      <c r="B1452" s="27" t="s">
        <v>1826</v>
      </c>
      <c r="C1452" s="27" t="s">
        <v>15</v>
      </c>
      <c r="D1452" s="28">
        <v>1</v>
      </c>
      <c r="E1452" s="29">
        <v>19200</v>
      </c>
      <c r="F1452" s="30">
        <f t="shared" ref="F1452" si="402">+D1452*E1452</f>
        <v>19200</v>
      </c>
    </row>
    <row r="1453" spans="1:6" x14ac:dyDescent="0.2">
      <c r="A1453" s="22" t="s">
        <v>1827</v>
      </c>
      <c r="B1453" s="23" t="s">
        <v>1828</v>
      </c>
      <c r="C1453" s="23"/>
      <c r="D1453" s="24"/>
      <c r="E1453" s="24"/>
      <c r="F1453" s="25">
        <f>F1454</f>
        <v>1300</v>
      </c>
    </row>
    <row r="1454" spans="1:6" ht="39" x14ac:dyDescent="0.2">
      <c r="A1454" s="26" t="s">
        <v>1829</v>
      </c>
      <c r="B1454" s="27" t="s">
        <v>1830</v>
      </c>
      <c r="C1454" s="27" t="s">
        <v>394</v>
      </c>
      <c r="D1454" s="28">
        <v>1</v>
      </c>
      <c r="E1454" s="31">
        <v>1300</v>
      </c>
      <c r="F1454" s="30">
        <f t="shared" ref="F1454" si="403">+D1454*E1454</f>
        <v>1300</v>
      </c>
    </row>
    <row r="1455" spans="1:6" x14ac:dyDescent="0.2">
      <c r="A1455" s="22" t="s">
        <v>1831</v>
      </c>
      <c r="B1455" s="23" t="s">
        <v>1832</v>
      </c>
      <c r="C1455" s="23"/>
      <c r="D1455" s="24"/>
      <c r="E1455" s="24"/>
      <c r="F1455" s="25">
        <f>F1456</f>
        <v>4348.5999999999995</v>
      </c>
    </row>
    <row r="1456" spans="1:6" x14ac:dyDescent="0.2">
      <c r="A1456" s="26" t="s">
        <v>1833</v>
      </c>
      <c r="B1456" s="27" t="s">
        <v>1834</v>
      </c>
      <c r="C1456" s="27" t="s">
        <v>74</v>
      </c>
      <c r="D1456" s="42">
        <v>25.58</v>
      </c>
      <c r="E1456" s="43">
        <v>170</v>
      </c>
      <c r="F1456" s="30">
        <f t="shared" ref="F1456" si="404">+D1456*E1456</f>
        <v>4348.5999999999995</v>
      </c>
    </row>
    <row r="1457" spans="1:6" x14ac:dyDescent="0.2">
      <c r="A1457" s="22" t="s">
        <v>1835</v>
      </c>
      <c r="B1457" s="23" t="s">
        <v>203</v>
      </c>
      <c r="C1457" s="23"/>
      <c r="D1457" s="24"/>
      <c r="E1457" s="24"/>
      <c r="F1457" s="25">
        <f>F1458+F1459</f>
        <v>1540</v>
      </c>
    </row>
    <row r="1458" spans="1:6" x14ac:dyDescent="0.2">
      <c r="A1458" s="26" t="s">
        <v>1836</v>
      </c>
      <c r="B1458" s="27" t="s">
        <v>1837</v>
      </c>
      <c r="C1458" s="27" t="s">
        <v>394</v>
      </c>
      <c r="D1458" s="28">
        <v>8</v>
      </c>
      <c r="E1458" s="43">
        <v>180</v>
      </c>
      <c r="F1458" s="30">
        <f t="shared" ref="F1458:F1459" si="405">+D1458*E1458</f>
        <v>1440</v>
      </c>
    </row>
    <row r="1459" spans="1:6" x14ac:dyDescent="0.2">
      <c r="A1459" s="26" t="s">
        <v>1838</v>
      </c>
      <c r="B1459" s="27" t="s">
        <v>1839</v>
      </c>
      <c r="C1459" s="27" t="s">
        <v>394</v>
      </c>
      <c r="D1459" s="28">
        <v>1</v>
      </c>
      <c r="E1459" s="43">
        <v>100</v>
      </c>
      <c r="F1459" s="30">
        <f t="shared" si="405"/>
        <v>100</v>
      </c>
    </row>
    <row r="1460" spans="1:6" x14ac:dyDescent="0.2">
      <c r="A1460" s="18" t="s">
        <v>1840</v>
      </c>
      <c r="B1460" s="19" t="s">
        <v>1841</v>
      </c>
      <c r="C1460" s="19"/>
      <c r="D1460" s="20"/>
      <c r="E1460" s="20"/>
      <c r="F1460" s="21">
        <f>F1461+F1464+F1466+F1468+F1470</f>
        <v>56075.452499999999</v>
      </c>
    </row>
    <row r="1461" spans="1:6" x14ac:dyDescent="0.2">
      <c r="A1461" s="22" t="s">
        <v>1842</v>
      </c>
      <c r="B1461" s="23" t="s">
        <v>1818</v>
      </c>
      <c r="C1461" s="23"/>
      <c r="D1461" s="24"/>
      <c r="E1461" s="24"/>
      <c r="F1461" s="25">
        <f>SUM(F1462:F1463)</f>
        <v>1486.8525</v>
      </c>
    </row>
    <row r="1462" spans="1:6" x14ac:dyDescent="0.2">
      <c r="A1462" s="26" t="s">
        <v>1843</v>
      </c>
      <c r="B1462" s="27" t="s">
        <v>1820</v>
      </c>
      <c r="C1462" s="27" t="s">
        <v>74</v>
      </c>
      <c r="D1462" s="42">
        <v>78.05</v>
      </c>
      <c r="E1462" s="42">
        <v>18.5</v>
      </c>
      <c r="F1462" s="30">
        <f t="shared" ref="F1462:F1463" si="406">+D1462*E1462</f>
        <v>1443.925</v>
      </c>
    </row>
    <row r="1463" spans="1:6" x14ac:dyDescent="0.2">
      <c r="A1463" s="26" t="s">
        <v>1844</v>
      </c>
      <c r="B1463" s="27" t="s">
        <v>1822</v>
      </c>
      <c r="C1463" s="27" t="s">
        <v>74</v>
      </c>
      <c r="D1463" s="42">
        <v>78.05</v>
      </c>
      <c r="E1463" s="28">
        <v>0.55000000000000004</v>
      </c>
      <c r="F1463" s="30">
        <f t="shared" si="406"/>
        <v>42.927500000000002</v>
      </c>
    </row>
    <row r="1464" spans="1:6" x14ac:dyDescent="0.2">
      <c r="A1464" s="22" t="s">
        <v>1845</v>
      </c>
      <c r="B1464" s="23" t="s">
        <v>1824</v>
      </c>
      <c r="C1464" s="23"/>
      <c r="D1464" s="24"/>
      <c r="E1464" s="24"/>
      <c r="F1464" s="25">
        <f>F1465</f>
        <v>46500</v>
      </c>
    </row>
    <row r="1465" spans="1:6" x14ac:dyDescent="0.2">
      <c r="A1465" s="26" t="s">
        <v>1846</v>
      </c>
      <c r="B1465" s="27" t="s">
        <v>1847</v>
      </c>
      <c r="C1465" s="27" t="s">
        <v>15</v>
      </c>
      <c r="D1465" s="28">
        <v>1</v>
      </c>
      <c r="E1465" s="29">
        <v>46500</v>
      </c>
      <c r="F1465" s="30">
        <f t="shared" ref="F1465" si="407">+D1465*E1465</f>
        <v>46500</v>
      </c>
    </row>
    <row r="1466" spans="1:6" x14ac:dyDescent="0.2">
      <c r="A1466" s="22" t="s">
        <v>1848</v>
      </c>
      <c r="B1466" s="23" t="s">
        <v>1828</v>
      </c>
      <c r="C1466" s="23"/>
      <c r="D1466" s="24"/>
      <c r="E1466" s="24"/>
      <c r="F1466" s="25">
        <f>F1467</f>
        <v>1300</v>
      </c>
    </row>
    <row r="1467" spans="1:6" ht="39" x14ac:dyDescent="0.2">
      <c r="A1467" s="26" t="s">
        <v>1849</v>
      </c>
      <c r="B1467" s="27" t="s">
        <v>1830</v>
      </c>
      <c r="C1467" s="27" t="s">
        <v>394</v>
      </c>
      <c r="D1467" s="28">
        <v>1</v>
      </c>
      <c r="E1467" s="31">
        <v>1300</v>
      </c>
      <c r="F1467" s="30">
        <f t="shared" ref="F1467" si="408">+D1467*E1467</f>
        <v>1300</v>
      </c>
    </row>
    <row r="1468" spans="1:6" x14ac:dyDescent="0.2">
      <c r="A1468" s="22" t="s">
        <v>1850</v>
      </c>
      <c r="B1468" s="23" t="s">
        <v>1832</v>
      </c>
      <c r="C1468" s="23"/>
      <c r="D1468" s="24"/>
      <c r="E1468" s="24"/>
      <c r="F1468" s="25">
        <f>F1469</f>
        <v>4348.5999999999995</v>
      </c>
    </row>
    <row r="1469" spans="1:6" x14ac:dyDescent="0.2">
      <c r="A1469" s="26" t="s">
        <v>1851</v>
      </c>
      <c r="B1469" s="27" t="s">
        <v>1834</v>
      </c>
      <c r="C1469" s="27" t="s">
        <v>74</v>
      </c>
      <c r="D1469" s="42">
        <v>25.58</v>
      </c>
      <c r="E1469" s="43">
        <v>170</v>
      </c>
      <c r="F1469" s="30">
        <f t="shared" ref="F1469" si="409">+D1469*E1469</f>
        <v>4348.5999999999995</v>
      </c>
    </row>
    <row r="1470" spans="1:6" x14ac:dyDescent="0.2">
      <c r="A1470" s="22" t="s">
        <v>1852</v>
      </c>
      <c r="B1470" s="23" t="s">
        <v>203</v>
      </c>
      <c r="C1470" s="23"/>
      <c r="D1470" s="24"/>
      <c r="E1470" s="24"/>
      <c r="F1470" s="25">
        <f>SUM(F1471:F1472)</f>
        <v>2440</v>
      </c>
    </row>
    <row r="1471" spans="1:6" x14ac:dyDescent="0.2">
      <c r="A1471" s="26" t="s">
        <v>1853</v>
      </c>
      <c r="B1471" s="27" t="s">
        <v>1837</v>
      </c>
      <c r="C1471" s="27" t="s">
        <v>394</v>
      </c>
      <c r="D1471" s="42">
        <v>13</v>
      </c>
      <c r="E1471" s="43">
        <v>180</v>
      </c>
      <c r="F1471" s="30">
        <f t="shared" ref="F1471:F1472" si="410">+D1471*E1471</f>
        <v>2340</v>
      </c>
    </row>
    <row r="1472" spans="1:6" x14ac:dyDescent="0.2">
      <c r="A1472" s="26" t="s">
        <v>1854</v>
      </c>
      <c r="B1472" s="27" t="s">
        <v>1839</v>
      </c>
      <c r="C1472" s="27" t="s">
        <v>394</v>
      </c>
      <c r="D1472" s="28">
        <v>1</v>
      </c>
      <c r="E1472" s="43">
        <v>100</v>
      </c>
      <c r="F1472" s="30">
        <f t="shared" si="410"/>
        <v>100</v>
      </c>
    </row>
    <row r="1473" spans="1:6" ht="39" x14ac:dyDescent="0.2">
      <c r="A1473" s="18" t="s">
        <v>1855</v>
      </c>
      <c r="B1473" s="19" t="s">
        <v>1856</v>
      </c>
      <c r="C1473" s="19"/>
      <c r="D1473" s="20"/>
      <c r="E1473" s="20"/>
      <c r="F1473" s="21">
        <f>F1474+F1478+F1480+F1482+F1484+F1486</f>
        <v>64838.743399999999</v>
      </c>
    </row>
    <row r="1474" spans="1:6" x14ac:dyDescent="0.2">
      <c r="A1474" s="22" t="s">
        <v>1857</v>
      </c>
      <c r="B1474" s="23" t="s">
        <v>1818</v>
      </c>
      <c r="C1474" s="23"/>
      <c r="D1474" s="24"/>
      <c r="E1474" s="24"/>
      <c r="F1474" s="25">
        <f>SUM(F1475:F1477)</f>
        <v>1762.125</v>
      </c>
    </row>
    <row r="1475" spans="1:6" x14ac:dyDescent="0.2">
      <c r="A1475" s="26" t="s">
        <v>1858</v>
      </c>
      <c r="B1475" s="27" t="s">
        <v>1820</v>
      </c>
      <c r="C1475" s="27" t="s">
        <v>74</v>
      </c>
      <c r="D1475" s="42">
        <v>74.5</v>
      </c>
      <c r="E1475" s="42">
        <v>18.5</v>
      </c>
      <c r="F1475" s="30">
        <f t="shared" ref="F1475:F1477" si="411">+D1475*E1475</f>
        <v>1378.25</v>
      </c>
    </row>
    <row r="1476" spans="1:6" x14ac:dyDescent="0.2">
      <c r="A1476" s="26" t="s">
        <v>1859</v>
      </c>
      <c r="B1476" s="27" t="s">
        <v>1860</v>
      </c>
      <c r="C1476" s="27" t="s">
        <v>74</v>
      </c>
      <c r="D1476" s="42">
        <v>18</v>
      </c>
      <c r="E1476" s="42">
        <v>18.5</v>
      </c>
      <c r="F1476" s="30">
        <f t="shared" si="411"/>
        <v>333</v>
      </c>
    </row>
    <row r="1477" spans="1:6" x14ac:dyDescent="0.2">
      <c r="A1477" s="26" t="s">
        <v>1861</v>
      </c>
      <c r="B1477" s="27" t="s">
        <v>1822</v>
      </c>
      <c r="C1477" s="27" t="s">
        <v>74</v>
      </c>
      <c r="D1477" s="42">
        <v>92.5</v>
      </c>
      <c r="E1477" s="28">
        <v>0.55000000000000004</v>
      </c>
      <c r="F1477" s="30">
        <f t="shared" si="411"/>
        <v>50.875000000000007</v>
      </c>
    </row>
    <row r="1478" spans="1:6" x14ac:dyDescent="0.2">
      <c r="A1478" s="22" t="s">
        <v>1862</v>
      </c>
      <c r="B1478" s="23" t="s">
        <v>1824</v>
      </c>
      <c r="C1478" s="23"/>
      <c r="D1478" s="24"/>
      <c r="E1478" s="24"/>
      <c r="F1478" s="25">
        <f>F1479</f>
        <v>49100</v>
      </c>
    </row>
    <row r="1479" spans="1:6" x14ac:dyDescent="0.2">
      <c r="A1479" s="26" t="s">
        <v>1863</v>
      </c>
      <c r="B1479" s="27" t="s">
        <v>1864</v>
      </c>
      <c r="C1479" s="27" t="s">
        <v>15</v>
      </c>
      <c r="D1479" s="28">
        <v>1</v>
      </c>
      <c r="E1479" s="29">
        <v>49100</v>
      </c>
      <c r="F1479" s="30">
        <f t="shared" ref="F1479" si="412">+D1479*E1479</f>
        <v>49100</v>
      </c>
    </row>
    <row r="1480" spans="1:6" x14ac:dyDescent="0.2">
      <c r="A1480" s="22" t="s">
        <v>1865</v>
      </c>
      <c r="B1480" s="23" t="s">
        <v>1828</v>
      </c>
      <c r="C1480" s="23"/>
      <c r="D1480" s="24"/>
      <c r="E1480" s="24"/>
      <c r="F1480" s="25">
        <f>F1481</f>
        <v>4188.0183999999999</v>
      </c>
    </row>
    <row r="1481" spans="1:6" ht="39" x14ac:dyDescent="0.2">
      <c r="A1481" s="26" t="s">
        <v>1866</v>
      </c>
      <c r="B1481" s="27" t="s">
        <v>1867</v>
      </c>
      <c r="C1481" s="27" t="s">
        <v>394</v>
      </c>
      <c r="D1481" s="28">
        <v>4</v>
      </c>
      <c r="E1481" s="31">
        <v>1047.0046</v>
      </c>
      <c r="F1481" s="30">
        <f t="shared" ref="F1481" si="413">+D1481*E1481</f>
        <v>4188.0183999999999</v>
      </c>
    </row>
    <row r="1482" spans="1:6" x14ac:dyDescent="0.2">
      <c r="A1482" s="22" t="s">
        <v>1868</v>
      </c>
      <c r="B1482" s="23" t="s">
        <v>1869</v>
      </c>
      <c r="C1482" s="23"/>
      <c r="D1482" s="24"/>
      <c r="E1482" s="24"/>
      <c r="F1482" s="25">
        <f>F1483</f>
        <v>2700</v>
      </c>
    </row>
    <row r="1483" spans="1:6" ht="39" x14ac:dyDescent="0.2">
      <c r="A1483" s="26" t="s">
        <v>1870</v>
      </c>
      <c r="B1483" s="27" t="s">
        <v>1871</v>
      </c>
      <c r="C1483" s="27" t="s">
        <v>394</v>
      </c>
      <c r="D1483" s="28">
        <v>3</v>
      </c>
      <c r="E1483" s="43">
        <v>900</v>
      </c>
      <c r="F1483" s="30">
        <f t="shared" ref="F1483" si="414">+D1483*E1483</f>
        <v>2700</v>
      </c>
    </row>
    <row r="1484" spans="1:6" x14ac:dyDescent="0.2">
      <c r="A1484" s="22" t="s">
        <v>1872</v>
      </c>
      <c r="B1484" s="23" t="s">
        <v>1832</v>
      </c>
      <c r="C1484" s="23"/>
      <c r="D1484" s="24"/>
      <c r="E1484" s="24"/>
      <c r="F1484" s="25">
        <f>F1485</f>
        <v>4348.5999999999995</v>
      </c>
    </row>
    <row r="1485" spans="1:6" x14ac:dyDescent="0.2">
      <c r="A1485" s="26" t="s">
        <v>1873</v>
      </c>
      <c r="B1485" s="27" t="s">
        <v>1834</v>
      </c>
      <c r="C1485" s="27" t="s">
        <v>74</v>
      </c>
      <c r="D1485" s="42">
        <v>25.58</v>
      </c>
      <c r="E1485" s="43">
        <v>170</v>
      </c>
      <c r="F1485" s="30">
        <f t="shared" ref="F1485" si="415">+D1485*E1485</f>
        <v>4348.5999999999995</v>
      </c>
    </row>
    <row r="1486" spans="1:6" x14ac:dyDescent="0.2">
      <c r="A1486" s="22" t="s">
        <v>1874</v>
      </c>
      <c r="B1486" s="23" t="s">
        <v>203</v>
      </c>
      <c r="C1486" s="23"/>
      <c r="D1486" s="24"/>
      <c r="E1486" s="24"/>
      <c r="F1486" s="25">
        <f>F1488+F1487</f>
        <v>2740</v>
      </c>
    </row>
    <row r="1487" spans="1:6" x14ac:dyDescent="0.2">
      <c r="A1487" s="26" t="s">
        <v>1875</v>
      </c>
      <c r="B1487" s="27" t="s">
        <v>1837</v>
      </c>
      <c r="C1487" s="27" t="s">
        <v>394</v>
      </c>
      <c r="D1487" s="42">
        <v>13</v>
      </c>
      <c r="E1487" s="43">
        <v>180</v>
      </c>
      <c r="F1487" s="30">
        <f t="shared" ref="F1487" si="416">+D1487*E1487</f>
        <v>2340</v>
      </c>
    </row>
    <row r="1488" spans="1:6" x14ac:dyDescent="0.2">
      <c r="A1488" s="26" t="s">
        <v>2221</v>
      </c>
      <c r="B1488" s="27" t="s">
        <v>1839</v>
      </c>
      <c r="C1488" s="27" t="s">
        <v>394</v>
      </c>
      <c r="D1488" s="42">
        <v>4</v>
      </c>
      <c r="E1488" s="43">
        <v>100</v>
      </c>
      <c r="F1488" s="30">
        <f t="shared" ref="F1488" si="417">+D1488*E1488</f>
        <v>400</v>
      </c>
    </row>
    <row r="1489" spans="1:6" ht="39" x14ac:dyDescent="0.2">
      <c r="A1489" s="18" t="s">
        <v>1876</v>
      </c>
      <c r="B1489" s="19" t="s">
        <v>1877</v>
      </c>
      <c r="C1489" s="19"/>
      <c r="D1489" s="20"/>
      <c r="E1489" s="20"/>
      <c r="F1489" s="21">
        <f>F1490+F1494+F1496+F1498+F1500+F1502</f>
        <v>135115.11619999999</v>
      </c>
    </row>
    <row r="1490" spans="1:6" x14ac:dyDescent="0.2">
      <c r="A1490" s="22" t="s">
        <v>1878</v>
      </c>
      <c r="B1490" s="23" t="s">
        <v>1818</v>
      </c>
      <c r="C1490" s="23"/>
      <c r="D1490" s="24"/>
      <c r="E1490" s="24"/>
      <c r="F1490" s="25">
        <f>SUM(F1491:F1493)</f>
        <v>2532.5070000000001</v>
      </c>
    </row>
    <row r="1491" spans="1:6" x14ac:dyDescent="0.2">
      <c r="A1491" s="26" t="s">
        <v>1879</v>
      </c>
      <c r="B1491" s="27" t="s">
        <v>1820</v>
      </c>
      <c r="C1491" s="27" t="s">
        <v>74</v>
      </c>
      <c r="D1491" s="43">
        <v>126.94</v>
      </c>
      <c r="E1491" s="42">
        <v>18.5</v>
      </c>
      <c r="F1491" s="30">
        <f t="shared" ref="F1491:F1493" si="418">+D1491*E1491</f>
        <v>2348.39</v>
      </c>
    </row>
    <row r="1492" spans="1:6" x14ac:dyDescent="0.2">
      <c r="A1492" s="26" t="s">
        <v>1880</v>
      </c>
      <c r="B1492" s="27" t="s">
        <v>1860</v>
      </c>
      <c r="C1492" s="27" t="s">
        <v>74</v>
      </c>
      <c r="D1492" s="28">
        <v>6</v>
      </c>
      <c r="E1492" s="42">
        <v>18.5</v>
      </c>
      <c r="F1492" s="30">
        <f t="shared" si="418"/>
        <v>111</v>
      </c>
    </row>
    <row r="1493" spans="1:6" x14ac:dyDescent="0.2">
      <c r="A1493" s="26" t="s">
        <v>1881</v>
      </c>
      <c r="B1493" s="27" t="s">
        <v>1822</v>
      </c>
      <c r="C1493" s="27" t="s">
        <v>74</v>
      </c>
      <c r="D1493" s="43">
        <v>132.94</v>
      </c>
      <c r="E1493" s="28">
        <v>0.55000000000000004</v>
      </c>
      <c r="F1493" s="30">
        <f t="shared" si="418"/>
        <v>73.117000000000004</v>
      </c>
    </row>
    <row r="1494" spans="1:6" x14ac:dyDescent="0.2">
      <c r="A1494" s="22" t="s">
        <v>1882</v>
      </c>
      <c r="B1494" s="23" t="s">
        <v>1824</v>
      </c>
      <c r="C1494" s="23"/>
      <c r="D1494" s="24"/>
      <c r="E1494" s="24"/>
      <c r="F1494" s="25">
        <f>F1495</f>
        <v>122700</v>
      </c>
    </row>
    <row r="1495" spans="1:6" x14ac:dyDescent="0.2">
      <c r="A1495" s="26" t="s">
        <v>1883</v>
      </c>
      <c r="B1495" s="27" t="s">
        <v>1884</v>
      </c>
      <c r="C1495" s="27" t="s">
        <v>15</v>
      </c>
      <c r="D1495" s="28">
        <v>1</v>
      </c>
      <c r="E1495" s="32">
        <v>122700</v>
      </c>
      <c r="F1495" s="30">
        <f t="shared" ref="F1495" si="419">+D1495*E1495</f>
        <v>122700</v>
      </c>
    </row>
    <row r="1496" spans="1:6" x14ac:dyDescent="0.2">
      <c r="A1496" s="22" t="s">
        <v>1885</v>
      </c>
      <c r="B1496" s="23" t="s">
        <v>1828</v>
      </c>
      <c r="C1496" s="23"/>
      <c r="D1496" s="24"/>
      <c r="E1496" s="24"/>
      <c r="F1496" s="25">
        <f>F1497</f>
        <v>2094.0092</v>
      </c>
    </row>
    <row r="1497" spans="1:6" ht="39" x14ac:dyDescent="0.2">
      <c r="A1497" s="26" t="s">
        <v>1886</v>
      </c>
      <c r="B1497" s="27" t="s">
        <v>1867</v>
      </c>
      <c r="C1497" s="27" t="s">
        <v>394</v>
      </c>
      <c r="D1497" s="28">
        <v>2</v>
      </c>
      <c r="E1497" s="31">
        <v>1047.0046</v>
      </c>
      <c r="F1497" s="30">
        <f t="shared" ref="F1497" si="420">+D1497*E1497</f>
        <v>2094.0092</v>
      </c>
    </row>
    <row r="1498" spans="1:6" x14ac:dyDescent="0.2">
      <c r="A1498" s="22" t="s">
        <v>1887</v>
      </c>
      <c r="B1498" s="23" t="s">
        <v>1869</v>
      </c>
      <c r="C1498" s="23"/>
      <c r="D1498" s="24"/>
      <c r="E1498" s="24"/>
      <c r="F1498" s="25">
        <f>F1499</f>
        <v>900</v>
      </c>
    </row>
    <row r="1499" spans="1:6" ht="39" x14ac:dyDescent="0.2">
      <c r="A1499" s="26" t="s">
        <v>1888</v>
      </c>
      <c r="B1499" s="27" t="s">
        <v>1871</v>
      </c>
      <c r="C1499" s="27" t="s">
        <v>394</v>
      </c>
      <c r="D1499" s="28">
        <v>1</v>
      </c>
      <c r="E1499" s="43">
        <v>900</v>
      </c>
      <c r="F1499" s="30">
        <f t="shared" ref="F1499" si="421">+D1499*E1499</f>
        <v>900</v>
      </c>
    </row>
    <row r="1500" spans="1:6" x14ac:dyDescent="0.2">
      <c r="A1500" s="22" t="s">
        <v>1889</v>
      </c>
      <c r="B1500" s="23" t="s">
        <v>1832</v>
      </c>
      <c r="C1500" s="23"/>
      <c r="D1500" s="24"/>
      <c r="E1500" s="24"/>
      <c r="F1500" s="25">
        <f>F1501</f>
        <v>4348.5999999999995</v>
      </c>
    </row>
    <row r="1501" spans="1:6" x14ac:dyDescent="0.2">
      <c r="A1501" s="26" t="s">
        <v>1890</v>
      </c>
      <c r="B1501" s="27" t="s">
        <v>1834</v>
      </c>
      <c r="C1501" s="27" t="s">
        <v>74</v>
      </c>
      <c r="D1501" s="42">
        <v>25.58</v>
      </c>
      <c r="E1501" s="43">
        <v>170</v>
      </c>
      <c r="F1501" s="30">
        <f t="shared" ref="F1501" si="422">+D1501*E1501</f>
        <v>4348.5999999999995</v>
      </c>
    </row>
    <row r="1502" spans="1:6" x14ac:dyDescent="0.2">
      <c r="A1502" s="22" t="s">
        <v>1891</v>
      </c>
      <c r="B1502" s="23" t="s">
        <v>203</v>
      </c>
      <c r="C1502" s="23"/>
      <c r="D1502" s="24"/>
      <c r="E1502" s="24"/>
      <c r="F1502" s="25">
        <f>SUM(F1503:F1504)</f>
        <v>2540</v>
      </c>
    </row>
    <row r="1503" spans="1:6" x14ac:dyDescent="0.2">
      <c r="A1503" s="26" t="s">
        <v>1892</v>
      </c>
      <c r="B1503" s="27" t="s">
        <v>1837</v>
      </c>
      <c r="C1503" s="27" t="s">
        <v>394</v>
      </c>
      <c r="D1503" s="42">
        <v>13</v>
      </c>
      <c r="E1503" s="43">
        <v>180</v>
      </c>
      <c r="F1503" s="30">
        <f t="shared" ref="F1503:F1504" si="423">+D1503*E1503</f>
        <v>2340</v>
      </c>
    </row>
    <row r="1504" spans="1:6" x14ac:dyDescent="0.2">
      <c r="A1504" s="26" t="s">
        <v>1893</v>
      </c>
      <c r="B1504" s="27" t="s">
        <v>1839</v>
      </c>
      <c r="C1504" s="27" t="s">
        <v>394</v>
      </c>
      <c r="D1504" s="28">
        <v>2</v>
      </c>
      <c r="E1504" s="43">
        <v>100</v>
      </c>
      <c r="F1504" s="30">
        <f t="shared" si="423"/>
        <v>200</v>
      </c>
    </row>
    <row r="1505" spans="1:6" ht="39" x14ac:dyDescent="0.2">
      <c r="A1505" s="18" t="s">
        <v>1894</v>
      </c>
      <c r="B1505" s="19" t="s">
        <v>1895</v>
      </c>
      <c r="C1505" s="19"/>
      <c r="D1505" s="20"/>
      <c r="E1505" s="20"/>
      <c r="F1505" s="21">
        <f>F1506+F1510+F1512+F1514+F1516</f>
        <v>161620.13250000001</v>
      </c>
    </row>
    <row r="1506" spans="1:6" x14ac:dyDescent="0.2">
      <c r="A1506" s="22" t="s">
        <v>1896</v>
      </c>
      <c r="B1506" s="23" t="s">
        <v>1818</v>
      </c>
      <c r="C1506" s="23"/>
      <c r="D1506" s="24"/>
      <c r="E1506" s="24"/>
      <c r="F1506" s="25">
        <f>SUM(F1507:F1509)</f>
        <v>4641.5325000000003</v>
      </c>
    </row>
    <row r="1507" spans="1:6" x14ac:dyDescent="0.2">
      <c r="A1507" s="26" t="s">
        <v>1897</v>
      </c>
      <c r="B1507" s="27" t="s">
        <v>1820</v>
      </c>
      <c r="C1507" s="27" t="s">
        <v>74</v>
      </c>
      <c r="D1507" s="43">
        <v>231.65</v>
      </c>
      <c r="E1507" s="42">
        <v>18.5</v>
      </c>
      <c r="F1507" s="30">
        <f t="shared" ref="F1507:F1509" si="424">+D1507*E1507</f>
        <v>4285.5250000000005</v>
      </c>
    </row>
    <row r="1508" spans="1:6" x14ac:dyDescent="0.2">
      <c r="A1508" s="26" t="s">
        <v>1898</v>
      </c>
      <c r="B1508" s="27" t="s">
        <v>1860</v>
      </c>
      <c r="C1508" s="27" t="s">
        <v>74</v>
      </c>
      <c r="D1508" s="42">
        <v>12</v>
      </c>
      <c r="E1508" s="42">
        <v>18.5</v>
      </c>
      <c r="F1508" s="30">
        <f t="shared" si="424"/>
        <v>222</v>
      </c>
    </row>
    <row r="1509" spans="1:6" x14ac:dyDescent="0.2">
      <c r="A1509" s="26" t="s">
        <v>1899</v>
      </c>
      <c r="B1509" s="27" t="s">
        <v>1822</v>
      </c>
      <c r="C1509" s="27" t="s">
        <v>74</v>
      </c>
      <c r="D1509" s="43">
        <v>243.65</v>
      </c>
      <c r="E1509" s="28">
        <v>0.55000000000000004</v>
      </c>
      <c r="F1509" s="30">
        <f t="shared" si="424"/>
        <v>134.00750000000002</v>
      </c>
    </row>
    <row r="1510" spans="1:6" x14ac:dyDescent="0.2">
      <c r="A1510" s="22" t="s">
        <v>1900</v>
      </c>
      <c r="B1510" s="23" t="s">
        <v>1824</v>
      </c>
      <c r="C1510" s="23"/>
      <c r="D1510" s="24"/>
      <c r="E1510" s="24"/>
      <c r="F1510" s="25">
        <f>F1511</f>
        <v>147050</v>
      </c>
    </row>
    <row r="1511" spans="1:6" x14ac:dyDescent="0.2">
      <c r="A1511" s="26" t="s">
        <v>1901</v>
      </c>
      <c r="B1511" s="27" t="s">
        <v>1902</v>
      </c>
      <c r="C1511" s="27" t="s">
        <v>15</v>
      </c>
      <c r="D1511" s="28">
        <v>1</v>
      </c>
      <c r="E1511" s="32">
        <v>147050</v>
      </c>
      <c r="F1511" s="30">
        <f t="shared" ref="F1511" si="425">+D1511*E1511</f>
        <v>147050</v>
      </c>
    </row>
    <row r="1512" spans="1:6" x14ac:dyDescent="0.2">
      <c r="A1512" s="22" t="s">
        <v>1903</v>
      </c>
      <c r="B1512" s="23" t="s">
        <v>1869</v>
      </c>
      <c r="C1512" s="23"/>
      <c r="D1512" s="24"/>
      <c r="E1512" s="24"/>
      <c r="F1512" s="25">
        <f>F1513</f>
        <v>900</v>
      </c>
    </row>
    <row r="1513" spans="1:6" ht="39" x14ac:dyDescent="0.2">
      <c r="A1513" s="26" t="s">
        <v>1904</v>
      </c>
      <c r="B1513" s="27" t="s">
        <v>1871</v>
      </c>
      <c r="C1513" s="27" t="s">
        <v>394</v>
      </c>
      <c r="D1513" s="28">
        <v>1</v>
      </c>
      <c r="E1513" s="43">
        <v>900</v>
      </c>
      <c r="F1513" s="30">
        <f t="shared" ref="F1513" si="426">+D1513*E1513</f>
        <v>900</v>
      </c>
    </row>
    <row r="1514" spans="1:6" x14ac:dyDescent="0.2">
      <c r="A1514" s="22" t="s">
        <v>1905</v>
      </c>
      <c r="B1514" s="23" t="s">
        <v>1832</v>
      </c>
      <c r="C1514" s="23"/>
      <c r="D1514" s="24"/>
      <c r="E1514" s="24"/>
      <c r="F1514" s="25">
        <f>F1515</f>
        <v>4348.5999999999995</v>
      </c>
    </row>
    <row r="1515" spans="1:6" x14ac:dyDescent="0.2">
      <c r="A1515" s="26" t="s">
        <v>1906</v>
      </c>
      <c r="B1515" s="27" t="s">
        <v>1834</v>
      </c>
      <c r="C1515" s="27" t="s">
        <v>74</v>
      </c>
      <c r="D1515" s="42">
        <v>25.58</v>
      </c>
      <c r="E1515" s="43">
        <v>170</v>
      </c>
      <c r="F1515" s="30">
        <f t="shared" ref="F1515" si="427">+D1515*E1515</f>
        <v>4348.5999999999995</v>
      </c>
    </row>
    <row r="1516" spans="1:6" x14ac:dyDescent="0.2">
      <c r="A1516" s="22" t="s">
        <v>1907</v>
      </c>
      <c r="B1516" s="23" t="s">
        <v>203</v>
      </c>
      <c r="C1516" s="23"/>
      <c r="D1516" s="24"/>
      <c r="E1516" s="24"/>
      <c r="F1516" s="25">
        <f>F1517</f>
        <v>4680</v>
      </c>
    </row>
    <row r="1517" spans="1:6" x14ac:dyDescent="0.2">
      <c r="A1517" s="26" t="s">
        <v>1908</v>
      </c>
      <c r="B1517" s="27" t="s">
        <v>1837</v>
      </c>
      <c r="C1517" s="27" t="s">
        <v>394</v>
      </c>
      <c r="D1517" s="42">
        <v>26</v>
      </c>
      <c r="E1517" s="43">
        <v>180</v>
      </c>
      <c r="F1517" s="30">
        <f t="shared" ref="F1517" si="428">+D1517*E1517</f>
        <v>4680</v>
      </c>
    </row>
    <row r="1518" spans="1:6" x14ac:dyDescent="0.2">
      <c r="A1518" s="18" t="s">
        <v>1909</v>
      </c>
      <c r="B1518" s="19" t="s">
        <v>1910</v>
      </c>
      <c r="C1518" s="19"/>
      <c r="D1518" s="20"/>
      <c r="E1518" s="20"/>
      <c r="F1518" s="21">
        <f>F1519+F1523+F1525+F1530+F1532+F1534+F1536</f>
        <v>188551.1807</v>
      </c>
    </row>
    <row r="1519" spans="1:6" x14ac:dyDescent="0.2">
      <c r="A1519" s="22" t="s">
        <v>1911</v>
      </c>
      <c r="B1519" s="23" t="s">
        <v>1818</v>
      </c>
      <c r="C1519" s="23"/>
      <c r="D1519" s="24"/>
      <c r="E1519" s="24"/>
      <c r="F1519" s="25">
        <f>SUM(F1520:F1522)</f>
        <v>5515.3559999999998</v>
      </c>
    </row>
    <row r="1520" spans="1:6" x14ac:dyDescent="0.2">
      <c r="A1520" s="26" t="s">
        <v>1912</v>
      </c>
      <c r="B1520" s="27" t="s">
        <v>1820</v>
      </c>
      <c r="C1520" s="27" t="s">
        <v>74</v>
      </c>
      <c r="D1520" s="43">
        <v>277.52</v>
      </c>
      <c r="E1520" s="42">
        <v>18.5</v>
      </c>
      <c r="F1520" s="30">
        <f t="shared" ref="F1520:F1522" si="429">+D1520*E1520</f>
        <v>5134.12</v>
      </c>
    </row>
    <row r="1521" spans="1:6" x14ac:dyDescent="0.2">
      <c r="A1521" s="26" t="s">
        <v>1913</v>
      </c>
      <c r="B1521" s="27" t="s">
        <v>1860</v>
      </c>
      <c r="C1521" s="27" t="s">
        <v>74</v>
      </c>
      <c r="D1521" s="42">
        <v>12</v>
      </c>
      <c r="E1521" s="42">
        <v>18.5</v>
      </c>
      <c r="F1521" s="30">
        <f t="shared" si="429"/>
        <v>222</v>
      </c>
    </row>
    <row r="1522" spans="1:6" x14ac:dyDescent="0.2">
      <c r="A1522" s="26" t="s">
        <v>1914</v>
      </c>
      <c r="B1522" s="27" t="s">
        <v>1822</v>
      </c>
      <c r="C1522" s="27" t="s">
        <v>74</v>
      </c>
      <c r="D1522" s="43">
        <v>289.52</v>
      </c>
      <c r="E1522" s="28">
        <v>0.55000000000000004</v>
      </c>
      <c r="F1522" s="30">
        <f t="shared" si="429"/>
        <v>159.23599999999999</v>
      </c>
    </row>
    <row r="1523" spans="1:6" x14ac:dyDescent="0.2">
      <c r="A1523" s="22" t="s">
        <v>1915</v>
      </c>
      <c r="B1523" s="23" t="s">
        <v>1824</v>
      </c>
      <c r="C1523" s="23"/>
      <c r="D1523" s="24"/>
      <c r="E1523" s="24"/>
      <c r="F1523" s="25">
        <f>F1524</f>
        <v>147400</v>
      </c>
    </row>
    <row r="1524" spans="1:6" x14ac:dyDescent="0.2">
      <c r="A1524" s="26" t="s">
        <v>1916</v>
      </c>
      <c r="B1524" s="27" t="s">
        <v>1917</v>
      </c>
      <c r="C1524" s="27" t="s">
        <v>15</v>
      </c>
      <c r="D1524" s="28">
        <v>1</v>
      </c>
      <c r="E1524" s="32">
        <v>147400</v>
      </c>
      <c r="F1524" s="30">
        <f t="shared" ref="F1524" si="430">+D1524*E1524</f>
        <v>147400</v>
      </c>
    </row>
    <row r="1525" spans="1:6" x14ac:dyDescent="0.2">
      <c r="A1525" s="22" t="s">
        <v>1918</v>
      </c>
      <c r="B1525" s="23" t="s">
        <v>1828</v>
      </c>
      <c r="C1525" s="23"/>
      <c r="D1525" s="24"/>
      <c r="E1525" s="24"/>
      <c r="F1525" s="25">
        <f>SUM(F1526:F1529)</f>
        <v>10577.224699999999</v>
      </c>
    </row>
    <row r="1526" spans="1:6" ht="39" x14ac:dyDescent="0.2">
      <c r="A1526" s="26" t="s">
        <v>1919</v>
      </c>
      <c r="B1526" s="27" t="s">
        <v>1920</v>
      </c>
      <c r="C1526" s="27" t="s">
        <v>394</v>
      </c>
      <c r="D1526" s="28">
        <v>2</v>
      </c>
      <c r="E1526" s="31">
        <v>1047.0046</v>
      </c>
      <c r="F1526" s="30">
        <f t="shared" ref="F1526:F1529" si="431">+D1526*E1526</f>
        <v>2094.0092</v>
      </c>
    </row>
    <row r="1527" spans="1:6" ht="39" x14ac:dyDescent="0.2">
      <c r="A1527" s="26" t="s">
        <v>1921</v>
      </c>
      <c r="B1527" s="27" t="s">
        <v>1867</v>
      </c>
      <c r="C1527" s="27" t="s">
        <v>394</v>
      </c>
      <c r="D1527" s="28">
        <v>5</v>
      </c>
      <c r="E1527" s="31">
        <v>1047.0046</v>
      </c>
      <c r="F1527" s="30">
        <f t="shared" si="431"/>
        <v>5235.0230000000001</v>
      </c>
    </row>
    <row r="1528" spans="1:6" ht="39" x14ac:dyDescent="0.2">
      <c r="A1528" s="26" t="s">
        <v>1922</v>
      </c>
      <c r="B1528" s="27" t="s">
        <v>1923</v>
      </c>
      <c r="C1528" s="27" t="s">
        <v>394</v>
      </c>
      <c r="D1528" s="28">
        <v>2</v>
      </c>
      <c r="E1528" s="31">
        <v>1083.5808999999999</v>
      </c>
      <c r="F1528" s="30">
        <f t="shared" si="431"/>
        <v>2167.1617999999999</v>
      </c>
    </row>
    <row r="1529" spans="1:6" ht="39" x14ac:dyDescent="0.2">
      <c r="A1529" s="26" t="s">
        <v>1924</v>
      </c>
      <c r="B1529" s="27" t="s">
        <v>1925</v>
      </c>
      <c r="C1529" s="27" t="s">
        <v>394</v>
      </c>
      <c r="D1529" s="28">
        <v>1</v>
      </c>
      <c r="E1529" s="31">
        <v>1081.0307</v>
      </c>
      <c r="F1529" s="30">
        <f t="shared" si="431"/>
        <v>1081.0307</v>
      </c>
    </row>
    <row r="1530" spans="1:6" x14ac:dyDescent="0.2">
      <c r="A1530" s="22" t="s">
        <v>1926</v>
      </c>
      <c r="B1530" s="23" t="s">
        <v>1869</v>
      </c>
      <c r="C1530" s="23"/>
      <c r="D1530" s="24"/>
      <c r="E1530" s="24"/>
      <c r="F1530" s="25">
        <f>F1531</f>
        <v>900</v>
      </c>
    </row>
    <row r="1531" spans="1:6" ht="39" x14ac:dyDescent="0.2">
      <c r="A1531" s="26" t="s">
        <v>1927</v>
      </c>
      <c r="B1531" s="27" t="s">
        <v>1871</v>
      </c>
      <c r="C1531" s="27" t="s">
        <v>394</v>
      </c>
      <c r="D1531" s="28">
        <v>1</v>
      </c>
      <c r="E1531" s="43">
        <v>900</v>
      </c>
      <c r="F1531" s="30">
        <f t="shared" ref="F1531" si="432">+D1531*E1531</f>
        <v>900</v>
      </c>
    </row>
    <row r="1532" spans="1:6" x14ac:dyDescent="0.2">
      <c r="A1532" s="22" t="s">
        <v>1928</v>
      </c>
      <c r="B1532" s="23" t="s">
        <v>1832</v>
      </c>
      <c r="C1532" s="23"/>
      <c r="D1532" s="24"/>
      <c r="E1532" s="24"/>
      <c r="F1532" s="25">
        <f>F1533</f>
        <v>4348.5999999999995</v>
      </c>
    </row>
    <row r="1533" spans="1:6" x14ac:dyDescent="0.2">
      <c r="A1533" s="26" t="s">
        <v>1929</v>
      </c>
      <c r="B1533" s="27" t="s">
        <v>1834</v>
      </c>
      <c r="C1533" s="27" t="s">
        <v>74</v>
      </c>
      <c r="D1533" s="42">
        <v>25.58</v>
      </c>
      <c r="E1533" s="43">
        <v>170</v>
      </c>
      <c r="F1533" s="30">
        <f t="shared" ref="F1533" si="433">+D1533*E1533</f>
        <v>4348.5999999999995</v>
      </c>
    </row>
    <row r="1534" spans="1:6" x14ac:dyDescent="0.2">
      <c r="A1534" s="22" t="s">
        <v>1930</v>
      </c>
      <c r="B1534" s="23" t="s">
        <v>1931</v>
      </c>
      <c r="C1534" s="23"/>
      <c r="D1534" s="24"/>
      <c r="E1534" s="24"/>
      <c r="F1534" s="25">
        <f>F1535</f>
        <v>11790</v>
      </c>
    </row>
    <row r="1535" spans="1:6" ht="39" x14ac:dyDescent="0.2">
      <c r="A1535" s="26" t="s">
        <v>1932</v>
      </c>
      <c r="B1535" s="27" t="s">
        <v>1933</v>
      </c>
      <c r="C1535" s="27" t="s">
        <v>80</v>
      </c>
      <c r="D1535" s="42">
        <v>19.649999999999999</v>
      </c>
      <c r="E1535" s="43">
        <v>600</v>
      </c>
      <c r="F1535" s="30">
        <f t="shared" ref="F1535" si="434">+D1535*E1535</f>
        <v>11790</v>
      </c>
    </row>
    <row r="1536" spans="1:6" x14ac:dyDescent="0.2">
      <c r="A1536" s="22" t="s">
        <v>1934</v>
      </c>
      <c r="B1536" s="23" t="s">
        <v>203</v>
      </c>
      <c r="C1536" s="23"/>
      <c r="D1536" s="24"/>
      <c r="E1536" s="24"/>
      <c r="F1536" s="25">
        <f>SUM(F1537:F1538)</f>
        <v>8020</v>
      </c>
    </row>
    <row r="1537" spans="1:6" x14ac:dyDescent="0.2">
      <c r="A1537" s="26" t="s">
        <v>1935</v>
      </c>
      <c r="B1537" s="27" t="s">
        <v>1837</v>
      </c>
      <c r="C1537" s="27" t="s">
        <v>394</v>
      </c>
      <c r="D1537" s="42">
        <v>39</v>
      </c>
      <c r="E1537" s="43">
        <v>180</v>
      </c>
      <c r="F1537" s="30">
        <f t="shared" ref="F1537:F1538" si="435">+D1537*E1537</f>
        <v>7020</v>
      </c>
    </row>
    <row r="1538" spans="1:6" x14ac:dyDescent="0.2">
      <c r="A1538" s="26" t="s">
        <v>1936</v>
      </c>
      <c r="B1538" s="27" t="s">
        <v>1839</v>
      </c>
      <c r="C1538" s="27" t="s">
        <v>394</v>
      </c>
      <c r="D1538" s="42">
        <v>10</v>
      </c>
      <c r="E1538" s="43">
        <v>100</v>
      </c>
      <c r="F1538" s="30">
        <f t="shared" si="435"/>
        <v>1000</v>
      </c>
    </row>
    <row r="1539" spans="1:6" ht="39" x14ac:dyDescent="0.2">
      <c r="A1539" s="18" t="s">
        <v>1937</v>
      </c>
      <c r="B1539" s="19" t="s">
        <v>1938</v>
      </c>
      <c r="C1539" s="19"/>
      <c r="D1539" s="20"/>
      <c r="E1539" s="20"/>
      <c r="F1539" s="21">
        <f>F1540+F1544+F1546+F1552+F1554+F1556</f>
        <v>831424.04279999994</v>
      </c>
    </row>
    <row r="1540" spans="1:6" x14ac:dyDescent="0.2">
      <c r="A1540" s="22" t="s">
        <v>1939</v>
      </c>
      <c r="B1540" s="23" t="s">
        <v>1818</v>
      </c>
      <c r="C1540" s="23"/>
      <c r="D1540" s="24"/>
      <c r="E1540" s="24"/>
      <c r="F1540" s="25">
        <f>SUM(F1541:F1543)</f>
        <v>22513.29</v>
      </c>
    </row>
    <row r="1541" spans="1:6" x14ac:dyDescent="0.2">
      <c r="A1541" s="26" t="s">
        <v>1940</v>
      </c>
      <c r="B1541" s="27" t="s">
        <v>1820</v>
      </c>
      <c r="C1541" s="27" t="s">
        <v>74</v>
      </c>
      <c r="D1541" s="31">
        <v>1085.8</v>
      </c>
      <c r="E1541" s="42">
        <v>18.5</v>
      </c>
      <c r="F1541" s="30">
        <f t="shared" ref="F1541:F1543" si="436">+D1541*E1541</f>
        <v>20087.3</v>
      </c>
    </row>
    <row r="1542" spans="1:6" x14ac:dyDescent="0.2">
      <c r="A1542" s="26" t="s">
        <v>1941</v>
      </c>
      <c r="B1542" s="27" t="s">
        <v>1860</v>
      </c>
      <c r="C1542" s="27" t="s">
        <v>74</v>
      </c>
      <c r="D1542" s="42">
        <v>96</v>
      </c>
      <c r="E1542" s="42">
        <v>18.5</v>
      </c>
      <c r="F1542" s="30">
        <f t="shared" si="436"/>
        <v>1776</v>
      </c>
    </row>
    <row r="1543" spans="1:6" x14ac:dyDescent="0.2">
      <c r="A1543" s="26" t="s">
        <v>1942</v>
      </c>
      <c r="B1543" s="27" t="s">
        <v>1822</v>
      </c>
      <c r="C1543" s="27" t="s">
        <v>74</v>
      </c>
      <c r="D1543" s="31">
        <v>1181.8</v>
      </c>
      <c r="E1543" s="28">
        <v>0.55000000000000004</v>
      </c>
      <c r="F1543" s="30">
        <f t="shared" si="436"/>
        <v>649.99</v>
      </c>
    </row>
    <row r="1544" spans="1:6" x14ac:dyDescent="0.2">
      <c r="A1544" s="22" t="s">
        <v>1943</v>
      </c>
      <c r="B1544" s="23" t="s">
        <v>1824</v>
      </c>
      <c r="C1544" s="23"/>
      <c r="D1544" s="24"/>
      <c r="E1544" s="24"/>
      <c r="F1544" s="25">
        <f>F1545</f>
        <v>597000</v>
      </c>
    </row>
    <row r="1545" spans="1:6" x14ac:dyDescent="0.2">
      <c r="A1545" s="26" t="s">
        <v>1944</v>
      </c>
      <c r="B1545" s="27" t="s">
        <v>1945</v>
      </c>
      <c r="C1545" s="27" t="s">
        <v>15</v>
      </c>
      <c r="D1545" s="28">
        <v>1</v>
      </c>
      <c r="E1545" s="32">
        <v>597000</v>
      </c>
      <c r="F1545" s="30">
        <f t="shared" ref="F1545" si="437">+D1545*E1545</f>
        <v>597000</v>
      </c>
    </row>
    <row r="1546" spans="1:6" x14ac:dyDescent="0.2">
      <c r="A1546" s="22" t="s">
        <v>1946</v>
      </c>
      <c r="B1546" s="23" t="s">
        <v>1828</v>
      </c>
      <c r="C1546" s="23"/>
      <c r="D1546" s="24"/>
      <c r="E1546" s="24"/>
      <c r="F1546" s="25">
        <f>SUM(F1547:F1551)</f>
        <v>137453.0528</v>
      </c>
    </row>
    <row r="1547" spans="1:6" ht="39" x14ac:dyDescent="0.2">
      <c r="A1547" s="26" t="s">
        <v>1947</v>
      </c>
      <c r="B1547" s="27" t="s">
        <v>1948</v>
      </c>
      <c r="C1547" s="27" t="s">
        <v>394</v>
      </c>
      <c r="D1547" s="42">
        <v>32</v>
      </c>
      <c r="E1547" s="31">
        <v>1047.0046</v>
      </c>
      <c r="F1547" s="30">
        <f t="shared" ref="F1547:F1551" si="438">+D1547*E1547</f>
        <v>33504.147199999999</v>
      </c>
    </row>
    <row r="1548" spans="1:6" ht="39" x14ac:dyDescent="0.2">
      <c r="A1548" s="26" t="s">
        <v>1949</v>
      </c>
      <c r="B1548" s="27" t="s">
        <v>1920</v>
      </c>
      <c r="C1548" s="27" t="s">
        <v>394</v>
      </c>
      <c r="D1548" s="42">
        <v>32</v>
      </c>
      <c r="E1548" s="31">
        <v>1047.0046</v>
      </c>
      <c r="F1548" s="30">
        <f t="shared" si="438"/>
        <v>33504.147199999999</v>
      </c>
    </row>
    <row r="1549" spans="1:6" ht="39" x14ac:dyDescent="0.2">
      <c r="A1549" s="26" t="s">
        <v>1950</v>
      </c>
      <c r="B1549" s="27" t="s">
        <v>1951</v>
      </c>
      <c r="C1549" s="27" t="s">
        <v>394</v>
      </c>
      <c r="D1549" s="42">
        <v>32</v>
      </c>
      <c r="E1549" s="31">
        <v>1097.0046</v>
      </c>
      <c r="F1549" s="30">
        <f t="shared" si="438"/>
        <v>35104.147199999999</v>
      </c>
    </row>
    <row r="1550" spans="1:6" ht="39" x14ac:dyDescent="0.2">
      <c r="A1550" s="26" t="s">
        <v>1952</v>
      </c>
      <c r="B1550" s="27" t="s">
        <v>1953</v>
      </c>
      <c r="C1550" s="27" t="s">
        <v>394</v>
      </c>
      <c r="D1550" s="28">
        <v>1</v>
      </c>
      <c r="E1550" s="31">
        <v>1100.4256</v>
      </c>
      <c r="F1550" s="30">
        <f t="shared" si="438"/>
        <v>1100.4256</v>
      </c>
    </row>
    <row r="1551" spans="1:6" ht="39" x14ac:dyDescent="0.2">
      <c r="A1551" s="26" t="s">
        <v>1954</v>
      </c>
      <c r="B1551" s="27" t="s">
        <v>1955</v>
      </c>
      <c r="C1551" s="27" t="s">
        <v>394</v>
      </c>
      <c r="D1551" s="42">
        <v>32</v>
      </c>
      <c r="E1551" s="31">
        <v>1070.0057999999999</v>
      </c>
      <c r="F1551" s="30">
        <f t="shared" si="438"/>
        <v>34240.185599999997</v>
      </c>
    </row>
    <row r="1552" spans="1:6" x14ac:dyDescent="0.2">
      <c r="A1552" s="22" t="s">
        <v>1956</v>
      </c>
      <c r="B1552" s="23" t="s">
        <v>1869</v>
      </c>
      <c r="C1552" s="23"/>
      <c r="D1552" s="24"/>
      <c r="E1552" s="24"/>
      <c r="F1552" s="25">
        <f>F1553</f>
        <v>14400</v>
      </c>
    </row>
    <row r="1553" spans="1:6" ht="39" x14ac:dyDescent="0.2">
      <c r="A1553" s="26" t="s">
        <v>1957</v>
      </c>
      <c r="B1553" s="27" t="s">
        <v>1871</v>
      </c>
      <c r="C1553" s="27" t="s">
        <v>394</v>
      </c>
      <c r="D1553" s="28">
        <v>16</v>
      </c>
      <c r="E1553" s="43">
        <v>900</v>
      </c>
      <c r="F1553" s="30">
        <f t="shared" ref="F1553" si="439">+D1553*E1553</f>
        <v>14400</v>
      </c>
    </row>
    <row r="1554" spans="1:6" x14ac:dyDescent="0.2">
      <c r="A1554" s="22" t="s">
        <v>1958</v>
      </c>
      <c r="B1554" s="23" t="s">
        <v>1832</v>
      </c>
      <c r="C1554" s="23"/>
      <c r="D1554" s="24"/>
      <c r="E1554" s="24"/>
      <c r="F1554" s="25">
        <f>F1555</f>
        <v>20877.7</v>
      </c>
    </row>
    <row r="1555" spans="1:6" x14ac:dyDescent="0.2">
      <c r="A1555" s="26" t="s">
        <v>1959</v>
      </c>
      <c r="B1555" s="27" t="s">
        <v>1834</v>
      </c>
      <c r="C1555" s="27" t="s">
        <v>74</v>
      </c>
      <c r="D1555" s="43">
        <v>122.81</v>
      </c>
      <c r="E1555" s="43">
        <v>170</v>
      </c>
      <c r="F1555" s="30">
        <f t="shared" ref="F1555" si="440">+D1555*E1555</f>
        <v>20877.7</v>
      </c>
    </row>
    <row r="1556" spans="1:6" x14ac:dyDescent="0.2">
      <c r="A1556" s="22" t="s">
        <v>1960</v>
      </c>
      <c r="B1556" s="23" t="s">
        <v>203</v>
      </c>
      <c r="C1556" s="23"/>
      <c r="D1556" s="24"/>
      <c r="E1556" s="24"/>
      <c r="F1556" s="25">
        <f>SUM(F1557:F1558)</f>
        <v>39180</v>
      </c>
    </row>
    <row r="1557" spans="1:6" x14ac:dyDescent="0.2">
      <c r="A1557" s="26" t="s">
        <v>1961</v>
      </c>
      <c r="B1557" s="27" t="s">
        <v>1837</v>
      </c>
      <c r="C1557" s="27" t="s">
        <v>394</v>
      </c>
      <c r="D1557" s="43">
        <v>146</v>
      </c>
      <c r="E1557" s="43">
        <v>180</v>
      </c>
      <c r="F1557" s="30">
        <f t="shared" ref="F1557:F1558" si="441">+D1557*E1557</f>
        <v>26280</v>
      </c>
    </row>
    <row r="1558" spans="1:6" x14ac:dyDescent="0.2">
      <c r="A1558" s="26" t="s">
        <v>1962</v>
      </c>
      <c r="B1558" s="27" t="s">
        <v>1839</v>
      </c>
      <c r="C1558" s="27" t="s">
        <v>394</v>
      </c>
      <c r="D1558" s="43">
        <v>129</v>
      </c>
      <c r="E1558" s="43">
        <v>100</v>
      </c>
      <c r="F1558" s="30">
        <f t="shared" si="441"/>
        <v>12900</v>
      </c>
    </row>
    <row r="1559" spans="1:6" ht="39" x14ac:dyDescent="0.2">
      <c r="A1559" s="18" t="s">
        <v>1963</v>
      </c>
      <c r="B1559" s="19" t="s">
        <v>1964</v>
      </c>
      <c r="C1559" s="19"/>
      <c r="D1559" s="20"/>
      <c r="E1559" s="20"/>
      <c r="F1559" s="21">
        <f>F1560+F1564+F1566+F1573+F1575+F1577+F1579</f>
        <v>117249.1274</v>
      </c>
    </row>
    <row r="1560" spans="1:6" x14ac:dyDescent="0.2">
      <c r="A1560" s="22" t="s">
        <v>1965</v>
      </c>
      <c r="B1560" s="23" t="s">
        <v>1818</v>
      </c>
      <c r="C1560" s="23"/>
      <c r="D1560" s="24"/>
      <c r="E1560" s="24"/>
      <c r="F1560" s="25">
        <f>SUM(F1561:F1563)</f>
        <v>3114.6750000000002</v>
      </c>
    </row>
    <row r="1561" spans="1:6" x14ac:dyDescent="0.2">
      <c r="A1561" s="26" t="s">
        <v>1966</v>
      </c>
      <c r="B1561" s="27" t="s">
        <v>1820</v>
      </c>
      <c r="C1561" s="27" t="s">
        <v>74</v>
      </c>
      <c r="D1561" s="43">
        <v>151.5</v>
      </c>
      <c r="E1561" s="42">
        <v>18.5</v>
      </c>
      <c r="F1561" s="30">
        <f t="shared" ref="F1561:F1563" si="442">+D1561*E1561</f>
        <v>2802.75</v>
      </c>
    </row>
    <row r="1562" spans="1:6" x14ac:dyDescent="0.2">
      <c r="A1562" s="26" t="s">
        <v>1967</v>
      </c>
      <c r="B1562" s="27" t="s">
        <v>1860</v>
      </c>
      <c r="C1562" s="27" t="s">
        <v>74</v>
      </c>
      <c r="D1562" s="42">
        <v>12</v>
      </c>
      <c r="E1562" s="42">
        <v>18.5</v>
      </c>
      <c r="F1562" s="30">
        <f t="shared" si="442"/>
        <v>222</v>
      </c>
    </row>
    <row r="1563" spans="1:6" x14ac:dyDescent="0.2">
      <c r="A1563" s="26" t="s">
        <v>1968</v>
      </c>
      <c r="B1563" s="27" t="s">
        <v>1822</v>
      </c>
      <c r="C1563" s="27" t="s">
        <v>74</v>
      </c>
      <c r="D1563" s="43">
        <v>163.5</v>
      </c>
      <c r="E1563" s="28">
        <v>0.55000000000000004</v>
      </c>
      <c r="F1563" s="30">
        <f t="shared" si="442"/>
        <v>89.925000000000011</v>
      </c>
    </row>
    <row r="1564" spans="1:6" x14ac:dyDescent="0.2">
      <c r="A1564" s="22" t="s">
        <v>1969</v>
      </c>
      <c r="B1564" s="23" t="s">
        <v>1824</v>
      </c>
      <c r="C1564" s="23"/>
      <c r="D1564" s="24"/>
      <c r="E1564" s="24"/>
      <c r="F1564" s="25">
        <f>F1565</f>
        <v>71750</v>
      </c>
    </row>
    <row r="1565" spans="1:6" x14ac:dyDescent="0.2">
      <c r="A1565" s="26" t="s">
        <v>1970</v>
      </c>
      <c r="B1565" s="27" t="s">
        <v>1971</v>
      </c>
      <c r="C1565" s="27" t="s">
        <v>15</v>
      </c>
      <c r="D1565" s="28">
        <v>1</v>
      </c>
      <c r="E1565" s="29">
        <v>71750</v>
      </c>
      <c r="F1565" s="30">
        <f t="shared" ref="F1565" si="443">+D1565*E1565</f>
        <v>71750</v>
      </c>
    </row>
    <row r="1566" spans="1:6" x14ac:dyDescent="0.2">
      <c r="A1566" s="22" t="s">
        <v>1972</v>
      </c>
      <c r="B1566" s="23" t="s">
        <v>1828</v>
      </c>
      <c r="C1566" s="23"/>
      <c r="D1566" s="24"/>
      <c r="E1566" s="24"/>
      <c r="F1566" s="25">
        <f>SUM(F1567:F1572)</f>
        <v>25434.952400000002</v>
      </c>
    </row>
    <row r="1567" spans="1:6" ht="39" x14ac:dyDescent="0.2">
      <c r="A1567" s="26" t="s">
        <v>1973</v>
      </c>
      <c r="B1567" s="27" t="s">
        <v>1948</v>
      </c>
      <c r="C1567" s="27" t="s">
        <v>394</v>
      </c>
      <c r="D1567" s="28">
        <v>4</v>
      </c>
      <c r="E1567" s="31">
        <v>1047.0046</v>
      </c>
      <c r="F1567" s="30">
        <f t="shared" ref="F1567:F1572" si="444">+D1567*E1567</f>
        <v>4188.0183999999999</v>
      </c>
    </row>
    <row r="1568" spans="1:6" ht="39" x14ac:dyDescent="0.2">
      <c r="A1568" s="26" t="s">
        <v>1974</v>
      </c>
      <c r="B1568" s="27" t="s">
        <v>1920</v>
      </c>
      <c r="C1568" s="27" t="s">
        <v>394</v>
      </c>
      <c r="D1568" s="42">
        <v>12</v>
      </c>
      <c r="E1568" s="31">
        <v>1047.0046</v>
      </c>
      <c r="F1568" s="30">
        <f t="shared" si="444"/>
        <v>12564.055199999999</v>
      </c>
    </row>
    <row r="1569" spans="1:6" ht="39" x14ac:dyDescent="0.2">
      <c r="A1569" s="26" t="s">
        <v>1975</v>
      </c>
      <c r="B1569" s="27" t="s">
        <v>1867</v>
      </c>
      <c r="C1569" s="27" t="s">
        <v>394</v>
      </c>
      <c r="D1569" s="28">
        <v>2</v>
      </c>
      <c r="E1569" s="31">
        <v>1047.0046</v>
      </c>
      <c r="F1569" s="30">
        <f t="shared" si="444"/>
        <v>2094.0092</v>
      </c>
    </row>
    <row r="1570" spans="1:6" ht="39" x14ac:dyDescent="0.2">
      <c r="A1570" s="26" t="s">
        <v>1976</v>
      </c>
      <c r="B1570" s="27" t="s">
        <v>1977</v>
      </c>
      <c r="C1570" s="27" t="s">
        <v>394</v>
      </c>
      <c r="D1570" s="28">
        <v>2</v>
      </c>
      <c r="E1570" s="31">
        <v>1097.0046</v>
      </c>
      <c r="F1570" s="30">
        <f t="shared" si="444"/>
        <v>2194.0092</v>
      </c>
    </row>
    <row r="1571" spans="1:6" ht="39" x14ac:dyDescent="0.2">
      <c r="A1571" s="26" t="s">
        <v>1978</v>
      </c>
      <c r="B1571" s="27" t="s">
        <v>1951</v>
      </c>
      <c r="C1571" s="27" t="s">
        <v>394</v>
      </c>
      <c r="D1571" s="28">
        <v>2</v>
      </c>
      <c r="E1571" s="31">
        <v>1097.0046</v>
      </c>
      <c r="F1571" s="30">
        <f t="shared" si="444"/>
        <v>2194.0092</v>
      </c>
    </row>
    <row r="1572" spans="1:6" ht="39" x14ac:dyDescent="0.2">
      <c r="A1572" s="26" t="s">
        <v>1979</v>
      </c>
      <c r="B1572" s="27" t="s">
        <v>1953</v>
      </c>
      <c r="C1572" s="27" t="s">
        <v>394</v>
      </c>
      <c r="D1572" s="28">
        <v>2</v>
      </c>
      <c r="E1572" s="31">
        <v>1100.4256</v>
      </c>
      <c r="F1572" s="30">
        <f t="shared" si="444"/>
        <v>2200.8512000000001</v>
      </c>
    </row>
    <row r="1573" spans="1:6" x14ac:dyDescent="0.2">
      <c r="A1573" s="22" t="s">
        <v>1980</v>
      </c>
      <c r="B1573" s="23" t="s">
        <v>1869</v>
      </c>
      <c r="C1573" s="23"/>
      <c r="D1573" s="24"/>
      <c r="E1573" s="24"/>
      <c r="F1573" s="25">
        <f>F1574</f>
        <v>1800</v>
      </c>
    </row>
    <row r="1574" spans="1:6" ht="39" x14ac:dyDescent="0.2">
      <c r="A1574" s="26" t="s">
        <v>1981</v>
      </c>
      <c r="B1574" s="27" t="s">
        <v>1871</v>
      </c>
      <c r="C1574" s="27" t="s">
        <v>394</v>
      </c>
      <c r="D1574" s="28">
        <v>2</v>
      </c>
      <c r="E1574" s="43">
        <v>900</v>
      </c>
      <c r="F1574" s="30">
        <f t="shared" ref="F1574" si="445">+D1574*E1574</f>
        <v>1800</v>
      </c>
    </row>
    <row r="1575" spans="1:6" x14ac:dyDescent="0.2">
      <c r="A1575" s="22" t="s">
        <v>1982</v>
      </c>
      <c r="B1575" s="23" t="s">
        <v>1832</v>
      </c>
      <c r="C1575" s="23"/>
      <c r="D1575" s="24"/>
      <c r="E1575" s="24"/>
      <c r="F1575" s="25">
        <f>F1576</f>
        <v>2609.5</v>
      </c>
    </row>
    <row r="1576" spans="1:6" x14ac:dyDescent="0.2">
      <c r="A1576" s="26" t="s">
        <v>1983</v>
      </c>
      <c r="B1576" s="27" t="s">
        <v>1834</v>
      </c>
      <c r="C1576" s="27" t="s">
        <v>74</v>
      </c>
      <c r="D1576" s="42">
        <v>15.35</v>
      </c>
      <c r="E1576" s="43">
        <v>170</v>
      </c>
      <c r="F1576" s="30">
        <f t="shared" ref="F1576" si="446">+D1576*E1576</f>
        <v>2609.5</v>
      </c>
    </row>
    <row r="1577" spans="1:6" x14ac:dyDescent="0.2">
      <c r="A1577" s="22" t="s">
        <v>1984</v>
      </c>
      <c r="B1577" s="23" t="s">
        <v>1931</v>
      </c>
      <c r="C1577" s="23"/>
      <c r="D1577" s="24"/>
      <c r="E1577" s="24"/>
      <c r="F1577" s="25">
        <f>F1578</f>
        <v>5640</v>
      </c>
    </row>
    <row r="1578" spans="1:6" ht="39" x14ac:dyDescent="0.2">
      <c r="A1578" s="26" t="s">
        <v>1985</v>
      </c>
      <c r="B1578" s="27" t="s">
        <v>1933</v>
      </c>
      <c r="C1578" s="27" t="s">
        <v>80</v>
      </c>
      <c r="D1578" s="28">
        <v>9.4</v>
      </c>
      <c r="E1578" s="43">
        <v>600</v>
      </c>
      <c r="F1578" s="30">
        <f t="shared" ref="F1578" si="447">+D1578*E1578</f>
        <v>5640</v>
      </c>
    </row>
    <row r="1579" spans="1:6" x14ac:dyDescent="0.2">
      <c r="A1579" s="22" t="s">
        <v>1986</v>
      </c>
      <c r="B1579" s="23" t="s">
        <v>203</v>
      </c>
      <c r="C1579" s="23"/>
      <c r="D1579" s="24"/>
      <c r="E1579" s="24"/>
      <c r="F1579" s="25">
        <f>SUM(F1580:F1581)</f>
        <v>6900</v>
      </c>
    </row>
    <row r="1580" spans="1:6" x14ac:dyDescent="0.2">
      <c r="A1580" s="26" t="s">
        <v>1987</v>
      </c>
      <c r="B1580" s="27" t="s">
        <v>1837</v>
      </c>
      <c r="C1580" s="27" t="s">
        <v>394</v>
      </c>
      <c r="D1580" s="42">
        <v>25</v>
      </c>
      <c r="E1580" s="43">
        <v>180</v>
      </c>
      <c r="F1580" s="30">
        <f t="shared" ref="F1580:F1581" si="448">+D1580*E1580</f>
        <v>4500</v>
      </c>
    </row>
    <row r="1581" spans="1:6" ht="13.9" customHeight="1" x14ac:dyDescent="0.2">
      <c r="A1581" s="26" t="s">
        <v>1988</v>
      </c>
      <c r="B1581" s="27" t="s">
        <v>1839</v>
      </c>
      <c r="C1581" s="27" t="s">
        <v>394</v>
      </c>
      <c r="D1581" s="42">
        <v>24</v>
      </c>
      <c r="E1581" s="43">
        <v>100</v>
      </c>
      <c r="F1581" s="30">
        <f t="shared" si="448"/>
        <v>2400</v>
      </c>
    </row>
    <row r="1582" spans="1:6" ht="39" x14ac:dyDescent="0.2">
      <c r="A1582" s="18" t="s">
        <v>1989</v>
      </c>
      <c r="B1582" s="19" t="s">
        <v>1990</v>
      </c>
      <c r="C1582" s="19"/>
      <c r="D1582" s="20"/>
      <c r="E1582" s="20"/>
      <c r="F1582" s="21">
        <f>F1583+F1586+F1588+F1594</f>
        <v>25718.0982</v>
      </c>
    </row>
    <row r="1583" spans="1:6" x14ac:dyDescent="0.2">
      <c r="A1583" s="22" t="s">
        <v>1991</v>
      </c>
      <c r="B1583" s="23" t="s">
        <v>1818</v>
      </c>
      <c r="C1583" s="23"/>
      <c r="D1583" s="24"/>
      <c r="E1583" s="24"/>
      <c r="F1583" s="25">
        <f>SUM(F1584:F1585)</f>
        <v>97.155000000000001</v>
      </c>
    </row>
    <row r="1584" spans="1:6" x14ac:dyDescent="0.2">
      <c r="A1584" s="26" t="s">
        <v>1992</v>
      </c>
      <c r="B1584" s="27" t="s">
        <v>1820</v>
      </c>
      <c r="C1584" s="27" t="s">
        <v>74</v>
      </c>
      <c r="D1584" s="28">
        <v>5.0999999999999996</v>
      </c>
      <c r="E1584" s="42">
        <v>18.5</v>
      </c>
      <c r="F1584" s="30">
        <f t="shared" ref="F1584:F1585" si="449">+D1584*E1584</f>
        <v>94.35</v>
      </c>
    </row>
    <row r="1585" spans="1:6" x14ac:dyDescent="0.2">
      <c r="A1585" s="26" t="s">
        <v>1993</v>
      </c>
      <c r="B1585" s="27" t="s">
        <v>1822</v>
      </c>
      <c r="C1585" s="27" t="s">
        <v>74</v>
      </c>
      <c r="D1585" s="28">
        <v>5.0999999999999996</v>
      </c>
      <c r="E1585" s="28">
        <v>0.55000000000000004</v>
      </c>
      <c r="F1585" s="30">
        <f t="shared" si="449"/>
        <v>2.8050000000000002</v>
      </c>
    </row>
    <row r="1586" spans="1:6" x14ac:dyDescent="0.2">
      <c r="A1586" s="22" t="s">
        <v>1994</v>
      </c>
      <c r="B1586" s="23" t="s">
        <v>1824</v>
      </c>
      <c r="C1586" s="23"/>
      <c r="D1586" s="24"/>
      <c r="E1586" s="24"/>
      <c r="F1586" s="25">
        <f>F1587</f>
        <v>2100</v>
      </c>
    </row>
    <row r="1587" spans="1:6" x14ac:dyDescent="0.2">
      <c r="A1587" s="26" t="s">
        <v>1995</v>
      </c>
      <c r="B1587" s="27" t="s">
        <v>1996</v>
      </c>
      <c r="C1587" s="27" t="s">
        <v>15</v>
      </c>
      <c r="D1587" s="28">
        <v>1</v>
      </c>
      <c r="E1587" s="31">
        <v>2100</v>
      </c>
      <c r="F1587" s="30">
        <f t="shared" ref="F1587" si="450">+D1587*E1587</f>
        <v>2100</v>
      </c>
    </row>
    <row r="1588" spans="1:6" x14ac:dyDescent="0.2">
      <c r="A1588" s="22" t="s">
        <v>1997</v>
      </c>
      <c r="B1588" s="23" t="s">
        <v>1828</v>
      </c>
      <c r="C1588" s="23"/>
      <c r="D1588" s="24"/>
      <c r="E1588" s="24"/>
      <c r="F1588" s="25">
        <f>SUM(F1589:F1593)</f>
        <v>23340.943200000002</v>
      </c>
    </row>
    <row r="1589" spans="1:6" ht="39" x14ac:dyDescent="0.2">
      <c r="A1589" s="26" t="s">
        <v>1998</v>
      </c>
      <c r="B1589" s="27" t="s">
        <v>1948</v>
      </c>
      <c r="C1589" s="27" t="s">
        <v>394</v>
      </c>
      <c r="D1589" s="28">
        <v>4</v>
      </c>
      <c r="E1589" s="31">
        <v>1047.0046</v>
      </c>
      <c r="F1589" s="30">
        <f t="shared" ref="F1589:F1593" si="451">+D1589*E1589</f>
        <v>4188.0183999999999</v>
      </c>
    </row>
    <row r="1590" spans="1:6" ht="39" x14ac:dyDescent="0.2">
      <c r="A1590" s="26" t="s">
        <v>1999</v>
      </c>
      <c r="B1590" s="27" t="s">
        <v>1920</v>
      </c>
      <c r="C1590" s="27" t="s">
        <v>394</v>
      </c>
      <c r="D1590" s="42">
        <v>12</v>
      </c>
      <c r="E1590" s="31">
        <v>1047.0046</v>
      </c>
      <c r="F1590" s="30">
        <f t="shared" si="451"/>
        <v>12564.055199999999</v>
      </c>
    </row>
    <row r="1591" spans="1:6" ht="39" x14ac:dyDescent="0.2">
      <c r="A1591" s="26" t="s">
        <v>2000</v>
      </c>
      <c r="B1591" s="27" t="s">
        <v>1977</v>
      </c>
      <c r="C1591" s="27" t="s">
        <v>394</v>
      </c>
      <c r="D1591" s="28">
        <v>2</v>
      </c>
      <c r="E1591" s="31">
        <v>1097.0046</v>
      </c>
      <c r="F1591" s="30">
        <f t="shared" si="451"/>
        <v>2194.0092</v>
      </c>
    </row>
    <row r="1592" spans="1:6" ht="39" x14ac:dyDescent="0.2">
      <c r="A1592" s="26" t="s">
        <v>2001</v>
      </c>
      <c r="B1592" s="27" t="s">
        <v>1951</v>
      </c>
      <c r="C1592" s="27" t="s">
        <v>394</v>
      </c>
      <c r="D1592" s="28">
        <v>2</v>
      </c>
      <c r="E1592" s="31">
        <v>1097.0046</v>
      </c>
      <c r="F1592" s="30">
        <f t="shared" si="451"/>
        <v>2194.0092</v>
      </c>
    </row>
    <row r="1593" spans="1:6" ht="39" x14ac:dyDescent="0.2">
      <c r="A1593" s="26" t="s">
        <v>2002</v>
      </c>
      <c r="B1593" s="27" t="s">
        <v>1953</v>
      </c>
      <c r="C1593" s="27" t="s">
        <v>394</v>
      </c>
      <c r="D1593" s="28">
        <v>2</v>
      </c>
      <c r="E1593" s="31">
        <v>1100.4256</v>
      </c>
      <c r="F1593" s="30">
        <f t="shared" si="451"/>
        <v>2200.8512000000001</v>
      </c>
    </row>
    <row r="1594" spans="1:6" x14ac:dyDescent="0.2">
      <c r="A1594" s="22" t="s">
        <v>2003</v>
      </c>
      <c r="B1594" s="23" t="s">
        <v>203</v>
      </c>
      <c r="C1594" s="23"/>
      <c r="D1594" s="24"/>
      <c r="E1594" s="24"/>
      <c r="F1594" s="25">
        <f>F1595</f>
        <v>180</v>
      </c>
    </row>
    <row r="1595" spans="1:6" x14ac:dyDescent="0.2">
      <c r="A1595" s="26" t="s">
        <v>2004</v>
      </c>
      <c r="B1595" s="27" t="s">
        <v>1837</v>
      </c>
      <c r="C1595" s="27" t="s">
        <v>394</v>
      </c>
      <c r="D1595" s="28">
        <v>1</v>
      </c>
      <c r="E1595" s="43">
        <v>180</v>
      </c>
      <c r="F1595" s="30">
        <f t="shared" ref="F1595" si="452">+D1595*E1595</f>
        <v>180</v>
      </c>
    </row>
    <row r="1596" spans="1:6" x14ac:dyDescent="0.2">
      <c r="A1596" s="18" t="s">
        <v>2005</v>
      </c>
      <c r="B1596" s="19" t="s">
        <v>2006</v>
      </c>
      <c r="C1596" s="19"/>
      <c r="D1596" s="20"/>
      <c r="E1596" s="20"/>
      <c r="F1596" s="21">
        <f>F1597+F1600+F1602</f>
        <v>1975.25</v>
      </c>
    </row>
    <row r="1597" spans="1:6" x14ac:dyDescent="0.2">
      <c r="A1597" s="22" t="s">
        <v>2007</v>
      </c>
      <c r="B1597" s="23" t="s">
        <v>1818</v>
      </c>
      <c r="C1597" s="23"/>
      <c r="D1597" s="24"/>
      <c r="E1597" s="24"/>
      <c r="F1597" s="25">
        <f>SUM(F1598:F1599)</f>
        <v>95.25</v>
      </c>
    </row>
    <row r="1598" spans="1:6" x14ac:dyDescent="0.2">
      <c r="A1598" s="26" t="s">
        <v>2008</v>
      </c>
      <c r="B1598" s="27" t="s">
        <v>1820</v>
      </c>
      <c r="C1598" s="27" t="s">
        <v>74</v>
      </c>
      <c r="D1598" s="28">
        <v>5</v>
      </c>
      <c r="E1598" s="42">
        <v>18.5</v>
      </c>
      <c r="F1598" s="30">
        <f t="shared" ref="F1598:F1599" si="453">+D1598*E1598</f>
        <v>92.5</v>
      </c>
    </row>
    <row r="1599" spans="1:6" x14ac:dyDescent="0.2">
      <c r="A1599" s="26" t="s">
        <v>2009</v>
      </c>
      <c r="B1599" s="27" t="s">
        <v>1822</v>
      </c>
      <c r="C1599" s="27" t="s">
        <v>74</v>
      </c>
      <c r="D1599" s="28">
        <v>5</v>
      </c>
      <c r="E1599" s="28">
        <v>0.55000000000000004</v>
      </c>
      <c r="F1599" s="30">
        <f t="shared" si="453"/>
        <v>2.75</v>
      </c>
    </row>
    <row r="1600" spans="1:6" x14ac:dyDescent="0.2">
      <c r="A1600" s="22" t="s">
        <v>2010</v>
      </c>
      <c r="B1600" s="23" t="s">
        <v>1824</v>
      </c>
      <c r="C1600" s="23"/>
      <c r="D1600" s="24"/>
      <c r="E1600" s="24"/>
      <c r="F1600" s="25">
        <f>F1601</f>
        <v>1700</v>
      </c>
    </row>
    <row r="1601" spans="1:6" x14ac:dyDescent="0.2">
      <c r="A1601" s="26" t="s">
        <v>2011</v>
      </c>
      <c r="B1601" s="27" t="s">
        <v>2012</v>
      </c>
      <c r="C1601" s="27" t="s">
        <v>15</v>
      </c>
      <c r="D1601" s="28">
        <v>1</v>
      </c>
      <c r="E1601" s="31">
        <v>1700</v>
      </c>
      <c r="F1601" s="30">
        <f t="shared" ref="F1601" si="454">+D1601*E1601</f>
        <v>1700</v>
      </c>
    </row>
    <row r="1602" spans="1:6" x14ac:dyDescent="0.2">
      <c r="A1602" s="22" t="s">
        <v>2013</v>
      </c>
      <c r="B1602" s="23" t="s">
        <v>203</v>
      </c>
      <c r="C1602" s="23"/>
      <c r="D1602" s="24"/>
      <c r="E1602" s="24"/>
      <c r="F1602" s="25">
        <f>F1603</f>
        <v>180</v>
      </c>
    </row>
    <row r="1603" spans="1:6" x14ac:dyDescent="0.2">
      <c r="A1603" s="26" t="s">
        <v>2014</v>
      </c>
      <c r="B1603" s="27" t="s">
        <v>1837</v>
      </c>
      <c r="C1603" s="27" t="s">
        <v>394</v>
      </c>
      <c r="D1603" s="28">
        <v>1</v>
      </c>
      <c r="E1603" s="43">
        <v>180</v>
      </c>
      <c r="F1603" s="30">
        <f t="shared" ref="F1603" si="455">+D1603*E1603</f>
        <v>180</v>
      </c>
    </row>
    <row r="1604" spans="1:6" x14ac:dyDescent="0.2">
      <c r="A1604" s="14" t="s">
        <v>2015</v>
      </c>
      <c r="B1604" s="15" t="s">
        <v>2016</v>
      </c>
      <c r="C1604" s="15"/>
      <c r="D1604" s="16"/>
      <c r="E1604" s="16"/>
      <c r="F1604" s="17">
        <f>F1605</f>
        <v>147786.41099999999</v>
      </c>
    </row>
    <row r="1605" spans="1:6" x14ac:dyDescent="0.2">
      <c r="A1605" s="18" t="s">
        <v>2017</v>
      </c>
      <c r="B1605" s="19" t="s">
        <v>2018</v>
      </c>
      <c r="C1605" s="19"/>
      <c r="D1605" s="20"/>
      <c r="E1605" s="20"/>
      <c r="F1605" s="21">
        <f>F1606+F1608+F1610+F1614</f>
        <v>147786.41099999999</v>
      </c>
    </row>
    <row r="1606" spans="1:6" x14ac:dyDescent="0.2">
      <c r="A1606" s="22" t="s">
        <v>2019</v>
      </c>
      <c r="B1606" s="23" t="s">
        <v>2020</v>
      </c>
      <c r="C1606" s="23"/>
      <c r="D1606" s="24"/>
      <c r="E1606" s="24"/>
      <c r="F1606" s="25">
        <f>F1607</f>
        <v>6807.5931</v>
      </c>
    </row>
    <row r="1607" spans="1:6" x14ac:dyDescent="0.2">
      <c r="A1607" s="26" t="s">
        <v>2021</v>
      </c>
      <c r="B1607" s="27" t="s">
        <v>2022</v>
      </c>
      <c r="C1607" s="27" t="s">
        <v>80</v>
      </c>
      <c r="D1607" s="43">
        <v>403.7</v>
      </c>
      <c r="E1607" s="42">
        <v>16.863</v>
      </c>
      <c r="F1607" s="30">
        <f t="shared" ref="F1607" si="456">+D1607*E1607</f>
        <v>6807.5931</v>
      </c>
    </row>
    <row r="1608" spans="1:6" x14ac:dyDescent="0.2">
      <c r="A1608" s="22" t="s">
        <v>2023</v>
      </c>
      <c r="B1608" s="23" t="s">
        <v>2024</v>
      </c>
      <c r="C1608" s="23"/>
      <c r="D1608" s="24"/>
      <c r="E1608" s="24"/>
      <c r="F1608" s="25">
        <f>F1609</f>
        <v>105765.76669999999</v>
      </c>
    </row>
    <row r="1609" spans="1:6" x14ac:dyDescent="0.2">
      <c r="A1609" s="26" t="s">
        <v>2025</v>
      </c>
      <c r="B1609" s="27" t="s">
        <v>2026</v>
      </c>
      <c r="C1609" s="27" t="s">
        <v>80</v>
      </c>
      <c r="D1609" s="43">
        <v>403.7</v>
      </c>
      <c r="E1609" s="43">
        <v>261.99099999999999</v>
      </c>
      <c r="F1609" s="30">
        <f t="shared" ref="F1609" si="457">+D1609*E1609</f>
        <v>105765.76669999999</v>
      </c>
    </row>
    <row r="1610" spans="1:6" x14ac:dyDescent="0.2">
      <c r="A1610" s="22" t="s">
        <v>2027</v>
      </c>
      <c r="B1610" s="23" t="s">
        <v>2028</v>
      </c>
      <c r="C1610" s="23"/>
      <c r="D1610" s="24"/>
      <c r="E1610" s="24"/>
      <c r="F1610" s="25">
        <f>SUM(F1611:F1613)</f>
        <v>15633.601200000001</v>
      </c>
    </row>
    <row r="1611" spans="1:6" x14ac:dyDescent="0.2">
      <c r="A1611" s="26" t="s">
        <v>2029</v>
      </c>
      <c r="B1611" s="27" t="s">
        <v>2030</v>
      </c>
      <c r="C1611" s="27" t="s">
        <v>80</v>
      </c>
      <c r="D1611" s="43">
        <v>403.7</v>
      </c>
      <c r="E1611" s="42">
        <v>11.13</v>
      </c>
      <c r="F1611" s="30">
        <f t="shared" ref="F1611:F1613" si="458">+D1611*E1611</f>
        <v>4493.1810000000005</v>
      </c>
    </row>
    <row r="1612" spans="1:6" x14ac:dyDescent="0.2">
      <c r="A1612" s="26" t="s">
        <v>2031</v>
      </c>
      <c r="B1612" s="27" t="s">
        <v>2032</v>
      </c>
      <c r="C1612" s="27" t="s">
        <v>74</v>
      </c>
      <c r="D1612" s="42">
        <v>51.21</v>
      </c>
      <c r="E1612" s="43">
        <v>127.62</v>
      </c>
      <c r="F1612" s="30">
        <f t="shared" si="458"/>
        <v>6535.4202000000005</v>
      </c>
    </row>
    <row r="1613" spans="1:6" x14ac:dyDescent="0.2">
      <c r="A1613" s="26" t="s">
        <v>2033</v>
      </c>
      <c r="B1613" s="27" t="s">
        <v>2034</v>
      </c>
      <c r="C1613" s="27" t="s">
        <v>74</v>
      </c>
      <c r="D1613" s="43">
        <v>125</v>
      </c>
      <c r="E1613" s="42">
        <v>36.840000000000003</v>
      </c>
      <c r="F1613" s="30">
        <f t="shared" si="458"/>
        <v>4605</v>
      </c>
    </row>
    <row r="1614" spans="1:6" x14ac:dyDescent="0.2">
      <c r="A1614" s="22" t="s">
        <v>2035</v>
      </c>
      <c r="B1614" s="23" t="s">
        <v>203</v>
      </c>
      <c r="C1614" s="23"/>
      <c r="D1614" s="24"/>
      <c r="E1614" s="24"/>
      <c r="F1614" s="25">
        <f>F1615</f>
        <v>19579.45</v>
      </c>
    </row>
    <row r="1615" spans="1:6" x14ac:dyDescent="0.2">
      <c r="A1615" s="26" t="s">
        <v>2036</v>
      </c>
      <c r="B1615" s="27" t="s">
        <v>2037</v>
      </c>
      <c r="C1615" s="27" t="s">
        <v>80</v>
      </c>
      <c r="D1615" s="43">
        <v>403.7</v>
      </c>
      <c r="E1615" s="42">
        <v>48.5</v>
      </c>
      <c r="F1615" s="30">
        <f t="shared" ref="F1615" si="459">+D1615*E1615</f>
        <v>19579.45</v>
      </c>
    </row>
    <row r="1616" spans="1:6" x14ac:dyDescent="0.2">
      <c r="A1616" s="14" t="s">
        <v>2038</v>
      </c>
      <c r="B1616" s="15" t="s">
        <v>2039</v>
      </c>
      <c r="C1616" s="15"/>
      <c r="D1616" s="16"/>
      <c r="E1616" s="16"/>
      <c r="F1616" s="17">
        <f>F1617+F1635+F1650+F1667+F1684</f>
        <v>714232.08336199995</v>
      </c>
    </row>
    <row r="1617" spans="1:6" ht="39" x14ac:dyDescent="0.2">
      <c r="A1617" s="18" t="s">
        <v>2040</v>
      </c>
      <c r="B1617" s="19" t="s">
        <v>2041</v>
      </c>
      <c r="C1617" s="19"/>
      <c r="D1617" s="20"/>
      <c r="E1617" s="20"/>
      <c r="F1617" s="21">
        <f>F1618+F1622+F1626+F1629+F1631</f>
        <v>226425.37446199998</v>
      </c>
    </row>
    <row r="1618" spans="1:6" x14ac:dyDescent="0.2">
      <c r="A1618" s="22" t="s">
        <v>2042</v>
      </c>
      <c r="B1618" s="23" t="s">
        <v>2043</v>
      </c>
      <c r="C1618" s="23"/>
      <c r="D1618" s="24"/>
      <c r="E1618" s="24"/>
      <c r="F1618" s="25">
        <f>SUM(F1619:F1621)</f>
        <v>32206.877151999997</v>
      </c>
    </row>
    <row r="1619" spans="1:6" ht="58.5" x14ac:dyDescent="0.2">
      <c r="A1619" s="26" t="s">
        <v>2044</v>
      </c>
      <c r="B1619" s="27" t="s">
        <v>2045</v>
      </c>
      <c r="C1619" s="27" t="s">
        <v>80</v>
      </c>
      <c r="D1619" s="43">
        <v>463.69</v>
      </c>
      <c r="E1619" s="28">
        <v>6.0228999999999999</v>
      </c>
      <c r="F1619" s="30">
        <f t="shared" ref="F1619:F1621" si="460">+D1619*E1619</f>
        <v>2792.7585009999998</v>
      </c>
    </row>
    <row r="1620" spans="1:6" ht="39" x14ac:dyDescent="0.2">
      <c r="A1620" s="26" t="s">
        <v>2046</v>
      </c>
      <c r="B1620" s="27" t="s">
        <v>2047</v>
      </c>
      <c r="C1620" s="27" t="s">
        <v>80</v>
      </c>
      <c r="D1620" s="31">
        <v>1087.56</v>
      </c>
      <c r="E1620" s="28">
        <v>2.1029</v>
      </c>
      <c r="F1620" s="30">
        <f t="shared" si="460"/>
        <v>2287.0299239999999</v>
      </c>
    </row>
    <row r="1621" spans="1:6" ht="39" x14ac:dyDescent="0.2">
      <c r="A1621" s="26" t="s">
        <v>2048</v>
      </c>
      <c r="B1621" s="27" t="s">
        <v>2049</v>
      </c>
      <c r="C1621" s="27" t="s">
        <v>80</v>
      </c>
      <c r="D1621" s="31">
        <v>1571.61</v>
      </c>
      <c r="E1621" s="42">
        <v>17.2607</v>
      </c>
      <c r="F1621" s="30">
        <f t="shared" si="460"/>
        <v>27127.088726999998</v>
      </c>
    </row>
    <row r="1622" spans="1:6" x14ac:dyDescent="0.2">
      <c r="A1622" s="22" t="s">
        <v>2050</v>
      </c>
      <c r="B1622" s="23" t="s">
        <v>2051</v>
      </c>
      <c r="C1622" s="23"/>
      <c r="D1622" s="24"/>
      <c r="E1622" s="24"/>
      <c r="F1622" s="25">
        <f>SUM(F1623:F1625)</f>
        <v>22724.276249999999</v>
      </c>
    </row>
    <row r="1623" spans="1:6" x14ac:dyDescent="0.2">
      <c r="A1623" s="26" t="s">
        <v>2052</v>
      </c>
      <c r="B1623" s="27" t="s">
        <v>2053</v>
      </c>
      <c r="C1623" s="27" t="s">
        <v>80</v>
      </c>
      <c r="D1623" s="31">
        <v>1571.61</v>
      </c>
      <c r="E1623" s="28">
        <v>2.625</v>
      </c>
      <c r="F1623" s="30">
        <f t="shared" ref="F1623:F1625" si="461">+D1623*E1623</f>
        <v>4125.4762499999997</v>
      </c>
    </row>
    <row r="1624" spans="1:6" ht="39" x14ac:dyDescent="0.2">
      <c r="A1624" s="26" t="s">
        <v>2054</v>
      </c>
      <c r="B1624" s="27" t="s">
        <v>2055</v>
      </c>
      <c r="C1624" s="27" t="s">
        <v>80</v>
      </c>
      <c r="D1624" s="31">
        <v>1363.77</v>
      </c>
      <c r="E1624" s="42">
        <v>12</v>
      </c>
      <c r="F1624" s="30">
        <f t="shared" si="461"/>
        <v>16365.24</v>
      </c>
    </row>
    <row r="1625" spans="1:6" ht="39" x14ac:dyDescent="0.2">
      <c r="A1625" s="26" t="s">
        <v>2056</v>
      </c>
      <c r="B1625" s="27" t="s">
        <v>2057</v>
      </c>
      <c r="C1625" s="27" t="s">
        <v>80</v>
      </c>
      <c r="D1625" s="43">
        <v>186.13</v>
      </c>
      <c r="E1625" s="42">
        <v>12</v>
      </c>
      <c r="F1625" s="30">
        <f t="shared" si="461"/>
        <v>2233.56</v>
      </c>
    </row>
    <row r="1626" spans="1:6" x14ac:dyDescent="0.2">
      <c r="A1626" s="22" t="s">
        <v>2058</v>
      </c>
      <c r="B1626" s="23" t="s">
        <v>2059</v>
      </c>
      <c r="C1626" s="23"/>
      <c r="D1626" s="24"/>
      <c r="E1626" s="24"/>
      <c r="F1626" s="25">
        <f>SUM(F1627:F1628)</f>
        <v>22838.100160000002</v>
      </c>
    </row>
    <row r="1627" spans="1:6" x14ac:dyDescent="0.2">
      <c r="A1627" s="26" t="s">
        <v>2060</v>
      </c>
      <c r="B1627" s="27" t="s">
        <v>2061</v>
      </c>
      <c r="C1627" s="27" t="s">
        <v>80</v>
      </c>
      <c r="D1627" s="42">
        <v>44.32</v>
      </c>
      <c r="E1627" s="43">
        <v>154.46299999999999</v>
      </c>
      <c r="F1627" s="30">
        <f t="shared" ref="F1627:F1628" si="462">+D1627*E1627</f>
        <v>6845.8001599999998</v>
      </c>
    </row>
    <row r="1628" spans="1:6" ht="39" x14ac:dyDescent="0.2">
      <c r="A1628" s="26" t="s">
        <v>2062</v>
      </c>
      <c r="B1628" s="27" t="s">
        <v>2063</v>
      </c>
      <c r="C1628" s="27" t="s">
        <v>80</v>
      </c>
      <c r="D1628" s="42">
        <v>36.1</v>
      </c>
      <c r="E1628" s="43">
        <v>443</v>
      </c>
      <c r="F1628" s="30">
        <f t="shared" si="462"/>
        <v>15992.300000000001</v>
      </c>
    </row>
    <row r="1629" spans="1:6" x14ac:dyDescent="0.2">
      <c r="A1629" s="22" t="s">
        <v>2064</v>
      </c>
      <c r="B1629" s="23" t="s">
        <v>2065</v>
      </c>
      <c r="C1629" s="23"/>
      <c r="D1629" s="24"/>
      <c r="E1629" s="24"/>
      <c r="F1629" s="25">
        <f>F1630</f>
        <v>20098.422900000001</v>
      </c>
    </row>
    <row r="1630" spans="1:6" ht="39" x14ac:dyDescent="0.2">
      <c r="A1630" s="26" t="s">
        <v>2066</v>
      </c>
      <c r="B1630" s="27" t="s">
        <v>2067</v>
      </c>
      <c r="C1630" s="27" t="s">
        <v>74</v>
      </c>
      <c r="D1630" s="43">
        <v>689.4</v>
      </c>
      <c r="E1630" s="42">
        <v>29.153500000000001</v>
      </c>
      <c r="F1630" s="30">
        <f t="shared" ref="F1630" si="463">+D1630*E1630</f>
        <v>20098.422900000001</v>
      </c>
    </row>
    <row r="1631" spans="1:6" x14ac:dyDescent="0.2">
      <c r="A1631" s="22" t="s">
        <v>2068</v>
      </c>
      <c r="B1631" s="23" t="s">
        <v>203</v>
      </c>
      <c r="C1631" s="23"/>
      <c r="D1631" s="24"/>
      <c r="E1631" s="24"/>
      <c r="F1631" s="25">
        <f>SUM(F1632:F1634)</f>
        <v>128557.69799999999</v>
      </c>
    </row>
    <row r="1632" spans="1:6" ht="39" x14ac:dyDescent="0.2">
      <c r="A1632" s="26" t="s">
        <v>2069</v>
      </c>
      <c r="B1632" s="27" t="s">
        <v>2070</v>
      </c>
      <c r="C1632" s="27" t="s">
        <v>80</v>
      </c>
      <c r="D1632" s="31">
        <v>1571.61</v>
      </c>
      <c r="E1632" s="42">
        <v>37.5</v>
      </c>
      <c r="F1632" s="30">
        <f t="shared" ref="F1632:F1634" si="464">+D1632*E1632</f>
        <v>58935.374999999993</v>
      </c>
    </row>
    <row r="1633" spans="1:6" ht="39" x14ac:dyDescent="0.2">
      <c r="A1633" s="26" t="s">
        <v>2071</v>
      </c>
      <c r="B1633" s="27" t="s">
        <v>2072</v>
      </c>
      <c r="C1633" s="27" t="s">
        <v>80</v>
      </c>
      <c r="D1633" s="31">
        <v>1571.61</v>
      </c>
      <c r="E1633" s="28">
        <v>2.2999999999999998</v>
      </c>
      <c r="F1633" s="30">
        <f t="shared" si="464"/>
        <v>3614.7029999999995</v>
      </c>
    </row>
    <row r="1634" spans="1:6" ht="39" x14ac:dyDescent="0.2">
      <c r="A1634" s="26" t="s">
        <v>2073</v>
      </c>
      <c r="B1634" s="27" t="s">
        <v>2074</v>
      </c>
      <c r="C1634" s="27" t="s">
        <v>80</v>
      </c>
      <c r="D1634" s="31">
        <v>1571.61</v>
      </c>
      <c r="E1634" s="42">
        <v>42</v>
      </c>
      <c r="F1634" s="30">
        <f t="shared" si="464"/>
        <v>66007.62</v>
      </c>
    </row>
    <row r="1635" spans="1:6" x14ac:dyDescent="0.2">
      <c r="A1635" s="18" t="s">
        <v>2075</v>
      </c>
      <c r="B1635" s="19" t="s">
        <v>2076</v>
      </c>
      <c r="C1635" s="19"/>
      <c r="D1635" s="20"/>
      <c r="E1635" s="20"/>
      <c r="F1635" s="21">
        <f>F1636+F1640+F1644+F1646</f>
        <v>116155.79339199999</v>
      </c>
    </row>
    <row r="1636" spans="1:6" x14ac:dyDescent="0.2">
      <c r="A1636" s="22" t="s">
        <v>2077</v>
      </c>
      <c r="B1636" s="23" t="s">
        <v>2043</v>
      </c>
      <c r="C1636" s="23"/>
      <c r="D1636" s="24"/>
      <c r="E1636" s="24"/>
      <c r="F1636" s="25">
        <f>SUM(F1637:F1639)</f>
        <v>18588.725272</v>
      </c>
    </row>
    <row r="1637" spans="1:6" ht="58.5" x14ac:dyDescent="0.2">
      <c r="A1637" s="26" t="s">
        <v>2078</v>
      </c>
      <c r="B1637" s="27" t="s">
        <v>2045</v>
      </c>
      <c r="C1637" s="27" t="s">
        <v>80</v>
      </c>
      <c r="D1637" s="43">
        <v>271.5</v>
      </c>
      <c r="E1637" s="28">
        <v>6.0228999999999999</v>
      </c>
      <c r="F1637" s="30">
        <f t="shared" ref="F1637:F1639" si="465">+D1637*E1637</f>
        <v>1635.2173499999999</v>
      </c>
    </row>
    <row r="1638" spans="1:6" ht="39" x14ac:dyDescent="0.2">
      <c r="A1638" s="26" t="s">
        <v>2079</v>
      </c>
      <c r="B1638" s="27" t="s">
        <v>2047</v>
      </c>
      <c r="C1638" s="27" t="s">
        <v>80</v>
      </c>
      <c r="D1638" s="43">
        <v>633.52</v>
      </c>
      <c r="E1638" s="28">
        <v>2.1029</v>
      </c>
      <c r="F1638" s="30">
        <f t="shared" si="465"/>
        <v>1332.229208</v>
      </c>
    </row>
    <row r="1639" spans="1:6" ht="39" x14ac:dyDescent="0.2">
      <c r="A1639" s="26" t="s">
        <v>2080</v>
      </c>
      <c r="B1639" s="27" t="s">
        <v>2049</v>
      </c>
      <c r="C1639" s="27" t="s">
        <v>80</v>
      </c>
      <c r="D1639" s="43">
        <v>905.02</v>
      </c>
      <c r="E1639" s="42">
        <v>17.2607</v>
      </c>
      <c r="F1639" s="30">
        <f t="shared" si="465"/>
        <v>15621.278714</v>
      </c>
    </row>
    <row r="1640" spans="1:6" x14ac:dyDescent="0.2">
      <c r="A1640" s="22" t="s">
        <v>2081</v>
      </c>
      <c r="B1640" s="23" t="s">
        <v>2051</v>
      </c>
      <c r="C1640" s="23"/>
      <c r="D1640" s="24"/>
      <c r="E1640" s="24"/>
      <c r="F1640" s="25">
        <f>SUM(F1641:F1643)</f>
        <v>13235.9175</v>
      </c>
    </row>
    <row r="1641" spans="1:6" x14ac:dyDescent="0.2">
      <c r="A1641" s="26" t="s">
        <v>2082</v>
      </c>
      <c r="B1641" s="27" t="s">
        <v>2053</v>
      </c>
      <c r="C1641" s="27" t="s">
        <v>80</v>
      </c>
      <c r="D1641" s="43">
        <v>905.02</v>
      </c>
      <c r="E1641" s="28">
        <v>2.625</v>
      </c>
      <c r="F1641" s="30">
        <f t="shared" ref="F1641:F1643" si="466">+D1641*E1641</f>
        <v>2375.6774999999998</v>
      </c>
    </row>
    <row r="1642" spans="1:6" ht="39" x14ac:dyDescent="0.2">
      <c r="A1642" s="26" t="s">
        <v>2083</v>
      </c>
      <c r="B1642" s="27" t="s">
        <v>2055</v>
      </c>
      <c r="C1642" s="27" t="s">
        <v>80</v>
      </c>
      <c r="D1642" s="43">
        <v>441.52</v>
      </c>
      <c r="E1642" s="42">
        <v>12</v>
      </c>
      <c r="F1642" s="30">
        <f t="shared" si="466"/>
        <v>5298.24</v>
      </c>
    </row>
    <row r="1643" spans="1:6" ht="39" x14ac:dyDescent="0.2">
      <c r="A1643" s="26" t="s">
        <v>2084</v>
      </c>
      <c r="B1643" s="27" t="s">
        <v>2057</v>
      </c>
      <c r="C1643" s="27" t="s">
        <v>80</v>
      </c>
      <c r="D1643" s="43">
        <v>463.5</v>
      </c>
      <c r="E1643" s="42">
        <v>12</v>
      </c>
      <c r="F1643" s="30">
        <f t="shared" si="466"/>
        <v>5562</v>
      </c>
    </row>
    <row r="1644" spans="1:6" x14ac:dyDescent="0.2">
      <c r="A1644" s="22" t="s">
        <v>2085</v>
      </c>
      <c r="B1644" s="23" t="s">
        <v>2065</v>
      </c>
      <c r="C1644" s="23"/>
      <c r="D1644" s="24"/>
      <c r="E1644" s="24"/>
      <c r="F1644" s="25">
        <f>F1645</f>
        <v>10300.51462</v>
      </c>
    </row>
    <row r="1645" spans="1:6" ht="39" x14ac:dyDescent="0.2">
      <c r="A1645" s="26" t="s">
        <v>2086</v>
      </c>
      <c r="B1645" s="27" t="s">
        <v>2067</v>
      </c>
      <c r="C1645" s="27" t="s">
        <v>74</v>
      </c>
      <c r="D1645" s="43">
        <v>353.32</v>
      </c>
      <c r="E1645" s="42">
        <v>29.153500000000001</v>
      </c>
      <c r="F1645" s="30">
        <f t="shared" ref="F1645" si="467">+D1645*E1645</f>
        <v>10300.51462</v>
      </c>
    </row>
    <row r="1646" spans="1:6" x14ac:dyDescent="0.2">
      <c r="A1646" s="22" t="s">
        <v>2087</v>
      </c>
      <c r="B1646" s="23" t="s">
        <v>203</v>
      </c>
      <c r="C1646" s="23"/>
      <c r="D1646" s="24"/>
      <c r="E1646" s="24"/>
      <c r="F1646" s="25">
        <f>SUM(F1647:F1649)</f>
        <v>74030.635999999999</v>
      </c>
    </row>
    <row r="1647" spans="1:6" ht="39" x14ac:dyDescent="0.2">
      <c r="A1647" s="26" t="s">
        <v>2088</v>
      </c>
      <c r="B1647" s="27" t="s">
        <v>2070</v>
      </c>
      <c r="C1647" s="27" t="s">
        <v>80</v>
      </c>
      <c r="D1647" s="43">
        <v>905.02</v>
      </c>
      <c r="E1647" s="42">
        <v>37.5</v>
      </c>
      <c r="F1647" s="30">
        <f t="shared" ref="F1647:F1649" si="468">+D1647*E1647</f>
        <v>33938.25</v>
      </c>
    </row>
    <row r="1648" spans="1:6" ht="39" x14ac:dyDescent="0.2">
      <c r="A1648" s="26" t="s">
        <v>2089</v>
      </c>
      <c r="B1648" s="27" t="s">
        <v>2072</v>
      </c>
      <c r="C1648" s="27" t="s">
        <v>80</v>
      </c>
      <c r="D1648" s="43">
        <v>905.02</v>
      </c>
      <c r="E1648" s="28">
        <v>2.2999999999999998</v>
      </c>
      <c r="F1648" s="30">
        <f t="shared" si="468"/>
        <v>2081.5459999999998</v>
      </c>
    </row>
    <row r="1649" spans="1:6" ht="39" x14ac:dyDescent="0.2">
      <c r="A1649" s="26" t="s">
        <v>2090</v>
      </c>
      <c r="B1649" s="27" t="s">
        <v>2074</v>
      </c>
      <c r="C1649" s="27" t="s">
        <v>80</v>
      </c>
      <c r="D1649" s="43">
        <v>905.02</v>
      </c>
      <c r="E1649" s="42">
        <v>42</v>
      </c>
      <c r="F1649" s="30">
        <f t="shared" si="468"/>
        <v>38010.839999999997</v>
      </c>
    </row>
    <row r="1650" spans="1:6" x14ac:dyDescent="0.2">
      <c r="A1650" s="18" t="s">
        <v>2091</v>
      </c>
      <c r="B1650" s="19" t="s">
        <v>2092</v>
      </c>
      <c r="C1650" s="19"/>
      <c r="D1650" s="20"/>
      <c r="E1650" s="20"/>
      <c r="F1650" s="21">
        <f>F1651+F1655+F1659+F1661+F1663</f>
        <v>124557.361649</v>
      </c>
    </row>
    <row r="1651" spans="1:6" x14ac:dyDescent="0.2">
      <c r="A1651" s="22" t="s">
        <v>2093</v>
      </c>
      <c r="B1651" s="23" t="s">
        <v>2043</v>
      </c>
      <c r="C1651" s="23"/>
      <c r="D1651" s="24"/>
      <c r="E1651" s="24"/>
      <c r="F1651" s="25">
        <f>SUM(F1652:F1654)</f>
        <v>16433.540324000001</v>
      </c>
    </row>
    <row r="1652" spans="1:6" ht="58.5" x14ac:dyDescent="0.2">
      <c r="A1652" s="26" t="s">
        <v>2094</v>
      </c>
      <c r="B1652" s="27" t="s">
        <v>2045</v>
      </c>
      <c r="C1652" s="27" t="s">
        <v>80</v>
      </c>
      <c r="D1652" s="43">
        <v>240.03</v>
      </c>
      <c r="E1652" s="28">
        <v>6.0228999999999999</v>
      </c>
      <c r="F1652" s="30">
        <f t="shared" ref="F1652:F1654" si="469">+D1652*E1652</f>
        <v>1445.6766869999999</v>
      </c>
    </row>
    <row r="1653" spans="1:6" ht="39" x14ac:dyDescent="0.2">
      <c r="A1653" s="26" t="s">
        <v>2095</v>
      </c>
      <c r="B1653" s="27" t="s">
        <v>2047</v>
      </c>
      <c r="C1653" s="27" t="s">
        <v>80</v>
      </c>
      <c r="D1653" s="43">
        <v>560.05999999999995</v>
      </c>
      <c r="E1653" s="28">
        <v>2.1029</v>
      </c>
      <c r="F1653" s="30">
        <f t="shared" si="469"/>
        <v>1177.7501739999998</v>
      </c>
    </row>
    <row r="1654" spans="1:6" ht="39" x14ac:dyDescent="0.2">
      <c r="A1654" s="26" t="s">
        <v>2096</v>
      </c>
      <c r="B1654" s="27" t="s">
        <v>2049</v>
      </c>
      <c r="C1654" s="27" t="s">
        <v>80</v>
      </c>
      <c r="D1654" s="43">
        <v>800.09</v>
      </c>
      <c r="E1654" s="42">
        <v>17.2607</v>
      </c>
      <c r="F1654" s="30">
        <f t="shared" si="469"/>
        <v>13810.113463</v>
      </c>
    </row>
    <row r="1655" spans="1:6" x14ac:dyDescent="0.2">
      <c r="A1655" s="22" t="s">
        <v>2097</v>
      </c>
      <c r="B1655" s="23" t="s">
        <v>2051</v>
      </c>
      <c r="C1655" s="23"/>
      <c r="D1655" s="24"/>
      <c r="E1655" s="24"/>
      <c r="F1655" s="25">
        <f>SUM(F1656:F1658)</f>
        <v>6574.9012500000008</v>
      </c>
    </row>
    <row r="1656" spans="1:6" x14ac:dyDescent="0.2">
      <c r="A1656" s="26" t="s">
        <v>2098</v>
      </c>
      <c r="B1656" s="27" t="s">
        <v>2053</v>
      </c>
      <c r="C1656" s="27" t="s">
        <v>80</v>
      </c>
      <c r="D1656" s="43">
        <v>597.57000000000005</v>
      </c>
      <c r="E1656" s="28">
        <v>2.625</v>
      </c>
      <c r="F1656" s="30">
        <f t="shared" ref="F1656:F1658" si="470">+D1656*E1656</f>
        <v>1568.6212500000001</v>
      </c>
    </row>
    <row r="1657" spans="1:6" ht="39" x14ac:dyDescent="0.2">
      <c r="A1657" s="26" t="s">
        <v>2099</v>
      </c>
      <c r="B1657" s="27" t="s">
        <v>2055</v>
      </c>
      <c r="C1657" s="27" t="s">
        <v>80</v>
      </c>
      <c r="D1657" s="43">
        <v>202.52</v>
      </c>
      <c r="E1657" s="42">
        <v>12</v>
      </c>
      <c r="F1657" s="30">
        <f t="shared" si="470"/>
        <v>2430.2400000000002</v>
      </c>
    </row>
    <row r="1658" spans="1:6" ht="39" x14ac:dyDescent="0.2">
      <c r="A1658" s="26" t="s">
        <v>2100</v>
      </c>
      <c r="B1658" s="27" t="s">
        <v>2057</v>
      </c>
      <c r="C1658" s="27" t="s">
        <v>80</v>
      </c>
      <c r="D1658" s="43">
        <v>214.67</v>
      </c>
      <c r="E1658" s="42">
        <v>12</v>
      </c>
      <c r="F1658" s="30">
        <f t="shared" si="470"/>
        <v>2576.04</v>
      </c>
    </row>
    <row r="1659" spans="1:6" x14ac:dyDescent="0.2">
      <c r="A1659" s="22" t="s">
        <v>2101</v>
      </c>
      <c r="B1659" s="23" t="s">
        <v>2059</v>
      </c>
      <c r="C1659" s="23"/>
      <c r="D1659" s="24"/>
      <c r="E1659" s="24"/>
      <c r="F1659" s="25">
        <f>F1660</f>
        <v>26496.9375</v>
      </c>
    </row>
    <row r="1660" spans="1:6" ht="39" x14ac:dyDescent="0.2">
      <c r="A1660" s="26" t="s">
        <v>2102</v>
      </c>
      <c r="B1660" s="27" t="s">
        <v>2103</v>
      </c>
      <c r="C1660" s="27" t="s">
        <v>80</v>
      </c>
      <c r="D1660" s="42">
        <v>59.8125</v>
      </c>
      <c r="E1660" s="43">
        <v>443</v>
      </c>
      <c r="F1660" s="30">
        <f t="shared" ref="F1660" si="471">+D1660*E1660</f>
        <v>26496.9375</v>
      </c>
    </row>
    <row r="1661" spans="1:6" x14ac:dyDescent="0.2">
      <c r="A1661" s="22" t="s">
        <v>2104</v>
      </c>
      <c r="B1661" s="23" t="s">
        <v>2065</v>
      </c>
      <c r="C1661" s="23"/>
      <c r="D1661" s="24"/>
      <c r="E1661" s="24"/>
      <c r="F1661" s="25">
        <f>F1662</f>
        <v>9604.6205750000008</v>
      </c>
    </row>
    <row r="1662" spans="1:6" ht="39" x14ac:dyDescent="0.2">
      <c r="A1662" s="26" t="s">
        <v>2105</v>
      </c>
      <c r="B1662" s="27" t="s">
        <v>2067</v>
      </c>
      <c r="C1662" s="27" t="s">
        <v>74</v>
      </c>
      <c r="D1662" s="43">
        <v>329.45</v>
      </c>
      <c r="E1662" s="42">
        <v>29.153500000000001</v>
      </c>
      <c r="F1662" s="30">
        <f t="shared" ref="F1662" si="472">+D1662*E1662</f>
        <v>9604.6205750000008</v>
      </c>
    </row>
    <row r="1663" spans="1:6" x14ac:dyDescent="0.2">
      <c r="A1663" s="22" t="s">
        <v>2106</v>
      </c>
      <c r="B1663" s="23" t="s">
        <v>203</v>
      </c>
      <c r="C1663" s="23"/>
      <c r="D1663" s="24"/>
      <c r="E1663" s="24"/>
      <c r="F1663" s="25">
        <f>SUM(F1664:F1666)</f>
        <v>65447.361999999994</v>
      </c>
    </row>
    <row r="1664" spans="1:6" ht="39" x14ac:dyDescent="0.2">
      <c r="A1664" s="26" t="s">
        <v>2107</v>
      </c>
      <c r="B1664" s="27" t="s">
        <v>2070</v>
      </c>
      <c r="C1664" s="27" t="s">
        <v>80</v>
      </c>
      <c r="D1664" s="43">
        <v>800.09</v>
      </c>
      <c r="E1664" s="42">
        <v>37.5</v>
      </c>
      <c r="F1664" s="30">
        <f t="shared" ref="F1664:F1666" si="473">+D1664*E1664</f>
        <v>30003.375</v>
      </c>
    </row>
    <row r="1665" spans="1:6" ht="39" x14ac:dyDescent="0.2">
      <c r="A1665" s="26" t="s">
        <v>2108</v>
      </c>
      <c r="B1665" s="27" t="s">
        <v>2072</v>
      </c>
      <c r="C1665" s="27" t="s">
        <v>80</v>
      </c>
      <c r="D1665" s="43">
        <v>800.09</v>
      </c>
      <c r="E1665" s="28">
        <v>2.2999999999999998</v>
      </c>
      <c r="F1665" s="30">
        <f t="shared" si="473"/>
        <v>1840.2069999999999</v>
      </c>
    </row>
    <row r="1666" spans="1:6" ht="39" x14ac:dyDescent="0.2">
      <c r="A1666" s="26" t="s">
        <v>2109</v>
      </c>
      <c r="B1666" s="27" t="s">
        <v>2074</v>
      </c>
      <c r="C1666" s="27" t="s">
        <v>80</v>
      </c>
      <c r="D1666" s="43">
        <v>800.09</v>
      </c>
      <c r="E1666" s="42">
        <v>42</v>
      </c>
      <c r="F1666" s="30">
        <f t="shared" si="473"/>
        <v>33603.78</v>
      </c>
    </row>
    <row r="1667" spans="1:6" x14ac:dyDescent="0.2">
      <c r="A1667" s="18" t="s">
        <v>2110</v>
      </c>
      <c r="B1667" s="19" t="s">
        <v>2111</v>
      </c>
      <c r="C1667" s="19"/>
      <c r="D1667" s="20"/>
      <c r="E1667" s="20"/>
      <c r="F1667" s="21">
        <f>F1668+F1672+F1676+F1678+F1680</f>
        <v>111491.43969500001</v>
      </c>
    </row>
    <row r="1668" spans="1:6" x14ac:dyDescent="0.2">
      <c r="A1668" s="22" t="s">
        <v>2112</v>
      </c>
      <c r="B1668" s="23" t="s">
        <v>2043</v>
      </c>
      <c r="C1668" s="23"/>
      <c r="D1668" s="24"/>
      <c r="E1668" s="24"/>
      <c r="F1668" s="25">
        <f>SUM(F1669:F1671)</f>
        <v>11526.82352</v>
      </c>
    </row>
    <row r="1669" spans="1:6" ht="58.5" x14ac:dyDescent="0.2">
      <c r="A1669" s="26" t="s">
        <v>2113</v>
      </c>
      <c r="B1669" s="27" t="s">
        <v>2045</v>
      </c>
      <c r="C1669" s="27" t="s">
        <v>80</v>
      </c>
      <c r="D1669" s="43">
        <v>168.36</v>
      </c>
      <c r="E1669" s="28">
        <v>6.0228999999999999</v>
      </c>
      <c r="F1669" s="30">
        <f t="shared" ref="F1669:F1671" si="474">+D1669*E1669</f>
        <v>1014.0154440000001</v>
      </c>
    </row>
    <row r="1670" spans="1:6" ht="39" x14ac:dyDescent="0.2">
      <c r="A1670" s="26" t="s">
        <v>2114</v>
      </c>
      <c r="B1670" s="27" t="s">
        <v>2047</v>
      </c>
      <c r="C1670" s="27" t="s">
        <v>80</v>
      </c>
      <c r="D1670" s="43">
        <v>392.84</v>
      </c>
      <c r="E1670" s="28">
        <v>2.1029</v>
      </c>
      <c r="F1670" s="30">
        <f t="shared" si="474"/>
        <v>826.10323599999992</v>
      </c>
    </row>
    <row r="1671" spans="1:6" ht="39" x14ac:dyDescent="0.2">
      <c r="A1671" s="26" t="s">
        <v>2115</v>
      </c>
      <c r="B1671" s="27" t="s">
        <v>2049</v>
      </c>
      <c r="C1671" s="27" t="s">
        <v>80</v>
      </c>
      <c r="D1671" s="43">
        <v>561.20000000000005</v>
      </c>
      <c r="E1671" s="42">
        <v>17.2607</v>
      </c>
      <c r="F1671" s="30">
        <f t="shared" si="474"/>
        <v>9686.7048400000003</v>
      </c>
    </row>
    <row r="1672" spans="1:6" x14ac:dyDescent="0.2">
      <c r="A1672" s="22" t="s">
        <v>2116</v>
      </c>
      <c r="B1672" s="23" t="s">
        <v>2051</v>
      </c>
      <c r="C1672" s="23"/>
      <c r="D1672" s="24"/>
      <c r="E1672" s="24"/>
      <c r="F1672" s="25">
        <f>SUM(F1673:F1675)</f>
        <v>8207.5499999999993</v>
      </c>
    </row>
    <row r="1673" spans="1:6" x14ac:dyDescent="0.2">
      <c r="A1673" s="26" t="s">
        <v>2117</v>
      </c>
      <c r="B1673" s="27" t="s">
        <v>2053</v>
      </c>
      <c r="C1673" s="27" t="s">
        <v>80</v>
      </c>
      <c r="D1673" s="43">
        <v>561.20000000000005</v>
      </c>
      <c r="E1673" s="28">
        <v>2.625</v>
      </c>
      <c r="F1673" s="30">
        <f t="shared" ref="F1673:F1675" si="475">+D1673*E1673</f>
        <v>1473.15</v>
      </c>
    </row>
    <row r="1674" spans="1:6" ht="39" x14ac:dyDescent="0.2">
      <c r="A1674" s="26" t="s">
        <v>2118</v>
      </c>
      <c r="B1674" s="27" t="s">
        <v>2055</v>
      </c>
      <c r="C1674" s="27" t="s">
        <v>80</v>
      </c>
      <c r="D1674" s="43">
        <v>223.16</v>
      </c>
      <c r="E1674" s="42">
        <v>12</v>
      </c>
      <c r="F1674" s="30">
        <f t="shared" si="475"/>
        <v>2677.92</v>
      </c>
    </row>
    <row r="1675" spans="1:6" ht="39" x14ac:dyDescent="0.2">
      <c r="A1675" s="26" t="s">
        <v>2119</v>
      </c>
      <c r="B1675" s="27" t="s">
        <v>2057</v>
      </c>
      <c r="C1675" s="27" t="s">
        <v>80</v>
      </c>
      <c r="D1675" s="43">
        <v>338.04</v>
      </c>
      <c r="E1675" s="42">
        <v>12</v>
      </c>
      <c r="F1675" s="30">
        <f t="shared" si="475"/>
        <v>4056.4800000000005</v>
      </c>
    </row>
    <row r="1676" spans="1:6" x14ac:dyDescent="0.2">
      <c r="A1676" s="22" t="s">
        <v>2120</v>
      </c>
      <c r="B1676" s="23" t="s">
        <v>2059</v>
      </c>
      <c r="C1676" s="23"/>
      <c r="D1676" s="24"/>
      <c r="E1676" s="24"/>
      <c r="F1676" s="25">
        <f>F1677</f>
        <v>40864.200000000004</v>
      </c>
    </row>
    <row r="1677" spans="1:6" x14ac:dyDescent="0.2">
      <c r="A1677" s="26" t="s">
        <v>2121</v>
      </c>
      <c r="B1677" s="27" t="s">
        <v>2122</v>
      </c>
      <c r="C1677" s="27" t="s">
        <v>80</v>
      </c>
      <c r="D1677" s="42">
        <v>62.868000000000002</v>
      </c>
      <c r="E1677" s="43">
        <v>650</v>
      </c>
      <c r="F1677" s="30">
        <f t="shared" ref="F1677" si="476">+D1677*E1677</f>
        <v>40864.200000000004</v>
      </c>
    </row>
    <row r="1678" spans="1:6" x14ac:dyDescent="0.2">
      <c r="A1678" s="22" t="s">
        <v>2123</v>
      </c>
      <c r="B1678" s="23" t="s">
        <v>2065</v>
      </c>
      <c r="C1678" s="23"/>
      <c r="D1678" s="24"/>
      <c r="E1678" s="24"/>
      <c r="F1678" s="25">
        <f>F1679</f>
        <v>4986.7061750000003</v>
      </c>
    </row>
    <row r="1679" spans="1:6" ht="39" x14ac:dyDescent="0.2">
      <c r="A1679" s="26" t="s">
        <v>2124</v>
      </c>
      <c r="B1679" s="27" t="s">
        <v>2067</v>
      </c>
      <c r="C1679" s="27" t="s">
        <v>74</v>
      </c>
      <c r="D1679" s="43">
        <v>171.05</v>
      </c>
      <c r="E1679" s="42">
        <v>29.153500000000001</v>
      </c>
      <c r="F1679" s="30">
        <f t="shared" ref="F1679" si="477">+D1679*E1679</f>
        <v>4986.7061750000003</v>
      </c>
    </row>
    <row r="1680" spans="1:6" x14ac:dyDescent="0.2">
      <c r="A1680" s="22" t="s">
        <v>2125</v>
      </c>
      <c r="B1680" s="23" t="s">
        <v>203</v>
      </c>
      <c r="C1680" s="23"/>
      <c r="D1680" s="24"/>
      <c r="E1680" s="24"/>
      <c r="F1680" s="25">
        <f>SUM(F1681:F1683)</f>
        <v>45906.16</v>
      </c>
    </row>
    <row r="1681" spans="1:6" ht="39" x14ac:dyDescent="0.2">
      <c r="A1681" s="26" t="s">
        <v>2126</v>
      </c>
      <c r="B1681" s="27" t="s">
        <v>2070</v>
      </c>
      <c r="C1681" s="27" t="s">
        <v>80</v>
      </c>
      <c r="D1681" s="43">
        <v>561.20000000000005</v>
      </c>
      <c r="E1681" s="42">
        <v>37.5</v>
      </c>
      <c r="F1681" s="30">
        <f t="shared" ref="F1681:F1683" si="478">+D1681*E1681</f>
        <v>21045</v>
      </c>
    </row>
    <row r="1682" spans="1:6" ht="39" x14ac:dyDescent="0.2">
      <c r="A1682" s="26" t="s">
        <v>2127</v>
      </c>
      <c r="B1682" s="27" t="s">
        <v>2072</v>
      </c>
      <c r="C1682" s="27" t="s">
        <v>80</v>
      </c>
      <c r="D1682" s="43">
        <v>561.20000000000005</v>
      </c>
      <c r="E1682" s="28">
        <v>2.2999999999999998</v>
      </c>
      <c r="F1682" s="30">
        <f t="shared" si="478"/>
        <v>1290.76</v>
      </c>
    </row>
    <row r="1683" spans="1:6" ht="39" x14ac:dyDescent="0.2">
      <c r="A1683" s="26" t="s">
        <v>2128</v>
      </c>
      <c r="B1683" s="27" t="s">
        <v>2074</v>
      </c>
      <c r="C1683" s="27" t="s">
        <v>80</v>
      </c>
      <c r="D1683" s="43">
        <v>561.20000000000005</v>
      </c>
      <c r="E1683" s="42">
        <v>42</v>
      </c>
      <c r="F1683" s="30">
        <f t="shared" si="478"/>
        <v>23570.400000000001</v>
      </c>
    </row>
    <row r="1684" spans="1:6" x14ac:dyDescent="0.2">
      <c r="A1684" s="18" t="s">
        <v>2129</v>
      </c>
      <c r="B1684" s="19" t="s">
        <v>2130</v>
      </c>
      <c r="C1684" s="19"/>
      <c r="D1684" s="20"/>
      <c r="E1684" s="20"/>
      <c r="F1684" s="21">
        <f>F1685+F1689+F1693+F1695+F1697</f>
        <v>135602.114164</v>
      </c>
    </row>
    <row r="1685" spans="1:6" x14ac:dyDescent="0.2">
      <c r="A1685" s="22" t="s">
        <v>2131</v>
      </c>
      <c r="B1685" s="23" t="s">
        <v>2043</v>
      </c>
      <c r="C1685" s="23"/>
      <c r="D1685" s="24"/>
      <c r="E1685" s="24"/>
      <c r="F1685" s="25">
        <f>SUM(F1686:F1688)</f>
        <v>14413.451063999999</v>
      </c>
    </row>
    <row r="1686" spans="1:6" ht="58.5" x14ac:dyDescent="0.2">
      <c r="A1686" s="26" t="s">
        <v>2132</v>
      </c>
      <c r="B1686" s="27" t="s">
        <v>2045</v>
      </c>
      <c r="C1686" s="27" t="s">
        <v>80</v>
      </c>
      <c r="D1686" s="43">
        <v>210.52</v>
      </c>
      <c r="E1686" s="28">
        <v>6.0228999999999999</v>
      </c>
      <c r="F1686" s="30">
        <f t="shared" ref="F1686:F1688" si="479">+D1686*E1686</f>
        <v>1267.940908</v>
      </c>
    </row>
    <row r="1687" spans="1:6" ht="39" x14ac:dyDescent="0.2">
      <c r="A1687" s="26" t="s">
        <v>2133</v>
      </c>
      <c r="B1687" s="27" t="s">
        <v>2047</v>
      </c>
      <c r="C1687" s="27" t="s">
        <v>80</v>
      </c>
      <c r="D1687" s="43">
        <v>491.22</v>
      </c>
      <c r="E1687" s="28">
        <v>2.1029</v>
      </c>
      <c r="F1687" s="30">
        <f t="shared" si="479"/>
        <v>1032.9865380000001</v>
      </c>
    </row>
    <row r="1688" spans="1:6" ht="39" x14ac:dyDescent="0.2">
      <c r="A1688" s="26" t="s">
        <v>2134</v>
      </c>
      <c r="B1688" s="27" t="s">
        <v>2049</v>
      </c>
      <c r="C1688" s="27" t="s">
        <v>80</v>
      </c>
      <c r="D1688" s="43">
        <v>701.74</v>
      </c>
      <c r="E1688" s="42">
        <v>17.2607</v>
      </c>
      <c r="F1688" s="30">
        <f t="shared" si="479"/>
        <v>12112.523617999999</v>
      </c>
    </row>
    <row r="1689" spans="1:6" x14ac:dyDescent="0.2">
      <c r="A1689" s="22" t="s">
        <v>2135</v>
      </c>
      <c r="B1689" s="23" t="s">
        <v>2051</v>
      </c>
      <c r="C1689" s="23"/>
      <c r="D1689" s="24"/>
      <c r="E1689" s="24"/>
      <c r="F1689" s="25">
        <f>SUM(F1690:F1692)</f>
        <v>10262.9475</v>
      </c>
    </row>
    <row r="1690" spans="1:6" x14ac:dyDescent="0.2">
      <c r="A1690" s="26" t="s">
        <v>2136</v>
      </c>
      <c r="B1690" s="27" t="s">
        <v>2053</v>
      </c>
      <c r="C1690" s="27" t="s">
        <v>80</v>
      </c>
      <c r="D1690" s="43">
        <v>701.74</v>
      </c>
      <c r="E1690" s="28">
        <v>2.625</v>
      </c>
      <c r="F1690" s="30">
        <f t="shared" ref="F1690:F1692" si="480">+D1690*E1690</f>
        <v>1842.0675000000001</v>
      </c>
    </row>
    <row r="1691" spans="1:6" ht="39" x14ac:dyDescent="0.2">
      <c r="A1691" s="26" t="s">
        <v>2137</v>
      </c>
      <c r="B1691" s="27" t="s">
        <v>2055</v>
      </c>
      <c r="C1691" s="27" t="s">
        <v>80</v>
      </c>
      <c r="D1691" s="43">
        <v>131.96</v>
      </c>
      <c r="E1691" s="42">
        <v>12</v>
      </c>
      <c r="F1691" s="30">
        <f t="shared" si="480"/>
        <v>1583.52</v>
      </c>
    </row>
    <row r="1692" spans="1:6" ht="39" x14ac:dyDescent="0.2">
      <c r="A1692" s="26" t="s">
        <v>2138</v>
      </c>
      <c r="B1692" s="27" t="s">
        <v>2057</v>
      </c>
      <c r="C1692" s="27" t="s">
        <v>80</v>
      </c>
      <c r="D1692" s="43">
        <v>569.78</v>
      </c>
      <c r="E1692" s="42">
        <v>12</v>
      </c>
      <c r="F1692" s="30">
        <f t="shared" si="480"/>
        <v>6837.36</v>
      </c>
    </row>
    <row r="1693" spans="1:6" x14ac:dyDescent="0.2">
      <c r="A1693" s="22" t="s">
        <v>2139</v>
      </c>
      <c r="B1693" s="23" t="s">
        <v>2059</v>
      </c>
      <c r="C1693" s="23"/>
      <c r="D1693" s="24"/>
      <c r="E1693" s="24"/>
      <c r="F1693" s="25">
        <f>F1694</f>
        <v>46596.512000000002</v>
      </c>
    </row>
    <row r="1694" spans="1:6" ht="39" x14ac:dyDescent="0.2">
      <c r="A1694" s="26" t="s">
        <v>2140</v>
      </c>
      <c r="B1694" s="27" t="s">
        <v>2103</v>
      </c>
      <c r="C1694" s="27" t="s">
        <v>80</v>
      </c>
      <c r="D1694" s="43">
        <v>105.184</v>
      </c>
      <c r="E1694" s="43">
        <v>443</v>
      </c>
      <c r="F1694" s="30">
        <f t="shared" ref="F1694" si="481">+D1694*E1694</f>
        <v>46596.512000000002</v>
      </c>
    </row>
    <row r="1695" spans="1:6" x14ac:dyDescent="0.2">
      <c r="A1695" s="22" t="s">
        <v>2141</v>
      </c>
      <c r="B1695" s="23" t="s">
        <v>2065</v>
      </c>
      <c r="C1695" s="23"/>
      <c r="D1695" s="24"/>
      <c r="E1695" s="24"/>
      <c r="F1695" s="25">
        <f>F1696</f>
        <v>6926.8716000000004</v>
      </c>
    </row>
    <row r="1696" spans="1:6" ht="39" x14ac:dyDescent="0.2">
      <c r="A1696" s="26" t="s">
        <v>2142</v>
      </c>
      <c r="B1696" s="27" t="s">
        <v>2067</v>
      </c>
      <c r="C1696" s="27" t="s">
        <v>74</v>
      </c>
      <c r="D1696" s="43">
        <v>237.6</v>
      </c>
      <c r="E1696" s="42">
        <v>29.153500000000001</v>
      </c>
      <c r="F1696" s="30">
        <f t="shared" ref="F1696" si="482">+D1696*E1696</f>
        <v>6926.8716000000004</v>
      </c>
    </row>
    <row r="1697" spans="1:6" x14ac:dyDescent="0.2">
      <c r="A1697" s="22" t="s">
        <v>2143</v>
      </c>
      <c r="B1697" s="23" t="s">
        <v>203</v>
      </c>
      <c r="C1697" s="23"/>
      <c r="D1697" s="24"/>
      <c r="E1697" s="24"/>
      <c r="F1697" s="25">
        <f>SUM(F1698:F1700)</f>
        <v>57402.332000000002</v>
      </c>
    </row>
    <row r="1698" spans="1:6" ht="39" x14ac:dyDescent="0.2">
      <c r="A1698" s="26" t="s">
        <v>2144</v>
      </c>
      <c r="B1698" s="27" t="s">
        <v>2070</v>
      </c>
      <c r="C1698" s="27" t="s">
        <v>80</v>
      </c>
      <c r="D1698" s="43">
        <v>701.74</v>
      </c>
      <c r="E1698" s="42">
        <v>37.5</v>
      </c>
      <c r="F1698" s="30">
        <f t="shared" ref="F1698:F1700" si="483">+D1698*E1698</f>
        <v>26315.25</v>
      </c>
    </row>
    <row r="1699" spans="1:6" ht="39" x14ac:dyDescent="0.2">
      <c r="A1699" s="26" t="s">
        <v>2145</v>
      </c>
      <c r="B1699" s="27" t="s">
        <v>2072</v>
      </c>
      <c r="C1699" s="27" t="s">
        <v>80</v>
      </c>
      <c r="D1699" s="43">
        <v>701.74</v>
      </c>
      <c r="E1699" s="28">
        <v>2.2999999999999998</v>
      </c>
      <c r="F1699" s="30">
        <f t="shared" si="483"/>
        <v>1614.002</v>
      </c>
    </row>
    <row r="1700" spans="1:6" ht="39" x14ac:dyDescent="0.2">
      <c r="A1700" s="26" t="s">
        <v>2146</v>
      </c>
      <c r="B1700" s="27" t="s">
        <v>2074</v>
      </c>
      <c r="C1700" s="27" t="s">
        <v>80</v>
      </c>
      <c r="D1700" s="43">
        <v>701.74</v>
      </c>
      <c r="E1700" s="42">
        <v>42</v>
      </c>
      <c r="F1700" s="30">
        <f t="shared" si="483"/>
        <v>29473.08</v>
      </c>
    </row>
    <row r="1701" spans="1:6" x14ac:dyDescent="0.2">
      <c r="A1701" s="14" t="s">
        <v>2147</v>
      </c>
      <c r="B1701" s="15" t="s">
        <v>2148</v>
      </c>
      <c r="C1701" s="15"/>
      <c r="D1701" s="16"/>
      <c r="E1701" s="16"/>
      <c r="F1701" s="17">
        <f>F1702</f>
        <v>785180.96</v>
      </c>
    </row>
    <row r="1702" spans="1:6" x14ac:dyDescent="0.2">
      <c r="A1702" s="18" t="s">
        <v>2149</v>
      </c>
      <c r="B1702" s="19" t="s">
        <v>2148</v>
      </c>
      <c r="C1702" s="19"/>
      <c r="D1702" s="20"/>
      <c r="E1702" s="20"/>
      <c r="F1702" s="21">
        <f>F1703+F1705+F1707+F1709+F1712</f>
        <v>785180.96</v>
      </c>
    </row>
    <row r="1703" spans="1:6" x14ac:dyDescent="0.2">
      <c r="A1703" s="22" t="s">
        <v>2150</v>
      </c>
      <c r="B1703" s="23" t="s">
        <v>2151</v>
      </c>
      <c r="C1703" s="23"/>
      <c r="D1703" s="24"/>
      <c r="E1703" s="24"/>
      <c r="F1703" s="25">
        <f>F1704</f>
        <v>350000</v>
      </c>
    </row>
    <row r="1704" spans="1:6" x14ac:dyDescent="0.2">
      <c r="A1704" s="26" t="s">
        <v>2152</v>
      </c>
      <c r="B1704" s="27" t="s">
        <v>2151</v>
      </c>
      <c r="C1704" s="27" t="s">
        <v>15</v>
      </c>
      <c r="D1704" s="28">
        <v>1</v>
      </c>
      <c r="E1704" s="32">
        <v>350000</v>
      </c>
      <c r="F1704" s="30">
        <f t="shared" ref="F1704" si="484">+D1704*E1704</f>
        <v>350000</v>
      </c>
    </row>
    <row r="1705" spans="1:6" x14ac:dyDescent="0.2">
      <c r="A1705" s="22" t="s">
        <v>2153</v>
      </c>
      <c r="B1705" s="23" t="s">
        <v>2154</v>
      </c>
      <c r="C1705" s="23"/>
      <c r="D1705" s="24"/>
      <c r="E1705" s="24"/>
      <c r="F1705" s="25">
        <f>F1706</f>
        <v>50000</v>
      </c>
    </row>
    <row r="1706" spans="1:6" x14ac:dyDescent="0.2">
      <c r="A1706" s="26" t="s">
        <v>2155</v>
      </c>
      <c r="B1706" s="27" t="s">
        <v>2156</v>
      </c>
      <c r="C1706" s="27" t="s">
        <v>15</v>
      </c>
      <c r="D1706" s="28">
        <v>1</v>
      </c>
      <c r="E1706" s="29">
        <v>50000</v>
      </c>
      <c r="F1706" s="30">
        <f t="shared" ref="F1706" si="485">+D1706*E1706</f>
        <v>50000</v>
      </c>
    </row>
    <row r="1707" spans="1:6" x14ac:dyDescent="0.2">
      <c r="A1707" s="22" t="s">
        <v>2157</v>
      </c>
      <c r="B1707" s="23" t="s">
        <v>2158</v>
      </c>
      <c r="C1707" s="23"/>
      <c r="D1707" s="24"/>
      <c r="E1707" s="24"/>
      <c r="F1707" s="25">
        <f>F1708</f>
        <v>20000</v>
      </c>
    </row>
    <row r="1708" spans="1:6" x14ac:dyDescent="0.2">
      <c r="A1708" s="26" t="s">
        <v>2159</v>
      </c>
      <c r="B1708" s="27" t="s">
        <v>2158</v>
      </c>
      <c r="C1708" s="27" t="s">
        <v>15</v>
      </c>
      <c r="D1708" s="28">
        <v>1</v>
      </c>
      <c r="E1708" s="29">
        <v>20000</v>
      </c>
      <c r="F1708" s="30">
        <f t="shared" ref="F1708" si="486">+D1708*E1708</f>
        <v>20000</v>
      </c>
    </row>
    <row r="1709" spans="1:6" x14ac:dyDescent="0.2">
      <c r="A1709" s="22" t="s">
        <v>2160</v>
      </c>
      <c r="B1709" s="23" t="s">
        <v>2161</v>
      </c>
      <c r="C1709" s="23"/>
      <c r="D1709" s="24"/>
      <c r="E1709" s="24"/>
      <c r="F1709" s="25">
        <f>F1710+F1711</f>
        <v>65000</v>
      </c>
    </row>
    <row r="1710" spans="1:6" x14ac:dyDescent="0.2">
      <c r="A1710" s="26" t="s">
        <v>2162</v>
      </c>
      <c r="B1710" s="27" t="s">
        <v>2163</v>
      </c>
      <c r="C1710" s="27" t="s">
        <v>15</v>
      </c>
      <c r="D1710" s="28">
        <v>1</v>
      </c>
      <c r="E1710" s="29">
        <v>50000</v>
      </c>
      <c r="F1710" s="30">
        <f t="shared" ref="F1710:F1711" si="487">+D1710*E1710</f>
        <v>50000</v>
      </c>
    </row>
    <row r="1711" spans="1:6" x14ac:dyDescent="0.2">
      <c r="A1711" s="26" t="s">
        <v>2164</v>
      </c>
      <c r="B1711" s="27" t="s">
        <v>2165</v>
      </c>
      <c r="C1711" s="27" t="s">
        <v>15</v>
      </c>
      <c r="D1711" s="28">
        <v>1</v>
      </c>
      <c r="E1711" s="29">
        <v>15000</v>
      </c>
      <c r="F1711" s="30">
        <f t="shared" si="487"/>
        <v>15000</v>
      </c>
    </row>
    <row r="1712" spans="1:6" x14ac:dyDescent="0.2">
      <c r="A1712" s="22" t="s">
        <v>2166</v>
      </c>
      <c r="B1712" s="23" t="s">
        <v>2167</v>
      </c>
      <c r="C1712" s="23"/>
      <c r="D1712" s="24"/>
      <c r="E1712" s="24"/>
      <c r="F1712" s="25">
        <f>F1713</f>
        <v>300180.96000000002</v>
      </c>
    </row>
    <row r="1713" spans="1:8" ht="20.25" thickBot="1" x14ac:dyDescent="0.25">
      <c r="A1713" s="47" t="s">
        <v>2168</v>
      </c>
      <c r="B1713" s="48" t="s">
        <v>2167</v>
      </c>
      <c r="C1713" s="48" t="s">
        <v>15</v>
      </c>
      <c r="D1713" s="49">
        <v>1</v>
      </c>
      <c r="E1713" s="50">
        <v>300180.96000000002</v>
      </c>
      <c r="F1713" s="51">
        <f t="shared" ref="F1713" si="488">+D1713*E1713</f>
        <v>300180.96000000002</v>
      </c>
    </row>
    <row r="1714" spans="1:8" x14ac:dyDescent="0.2">
      <c r="A1714" s="74" t="s">
        <v>66</v>
      </c>
      <c r="B1714" s="75"/>
      <c r="C1714" s="75"/>
      <c r="D1714" s="75"/>
      <c r="E1714" s="75"/>
      <c r="F1714" s="52">
        <f>F1701+F1616+F1604+F1446+F1226+F1087+F1032+F914+F828+F811+F745+F609+F494+F352+F153+F136+F124+F111</f>
        <v>17011578.292393468</v>
      </c>
      <c r="H1714" s="2"/>
    </row>
    <row r="1715" spans="1:8" ht="20.25" thickBot="1" x14ac:dyDescent="0.25">
      <c r="A1715" s="54" t="s">
        <v>2169</v>
      </c>
      <c r="B1715" s="55"/>
      <c r="C1715" s="55"/>
      <c r="D1715" s="55"/>
      <c r="E1715" s="55"/>
      <c r="F1715" s="53">
        <f>F1714+F107+F43</f>
        <v>20373276.93078047</v>
      </c>
      <c r="H1715" s="2"/>
    </row>
    <row r="1716" spans="1:8" ht="12.75" x14ac:dyDescent="0.2">
      <c r="A1716" s="56"/>
      <c r="B1716" s="56"/>
      <c r="C1716" s="57"/>
      <c r="D1716" s="57"/>
      <c r="E1716" s="58"/>
      <c r="F1716" s="58"/>
    </row>
    <row r="1717" spans="1:8" ht="12.75" x14ac:dyDescent="0.2">
      <c r="A1717" s="59"/>
      <c r="B1717" s="59"/>
      <c r="C1717" s="60"/>
      <c r="D1717" s="60"/>
      <c r="E1717" s="61"/>
      <c r="F1717" s="61"/>
    </row>
  </sheetData>
  <autoFilter ref="A13:F43" xr:uid="{0BBD1E2C-B27D-4A25-B71D-124FD0F6FF4D}"/>
  <mergeCells count="20">
    <mergeCell ref="A1714:E1714"/>
    <mergeCell ref="A12:F12"/>
    <mergeCell ref="A45:F45"/>
    <mergeCell ref="A109:F109"/>
    <mergeCell ref="A108:F108"/>
    <mergeCell ref="A107:E107"/>
    <mergeCell ref="A43:E43"/>
    <mergeCell ref="A44:F44"/>
    <mergeCell ref="A1:F5"/>
    <mergeCell ref="B7:F7"/>
    <mergeCell ref="B8:F8"/>
    <mergeCell ref="B9:F9"/>
    <mergeCell ref="B10:F10"/>
    <mergeCell ref="A1715:E1715"/>
    <mergeCell ref="A1716:B1716"/>
    <mergeCell ref="C1716:D1716"/>
    <mergeCell ref="E1716:F1716"/>
    <mergeCell ref="A1717:B1717"/>
    <mergeCell ref="C1717:D1717"/>
    <mergeCell ref="E1717:F1717"/>
  </mergeCells>
  <pageMargins left="0.52999994886203072" right="0.52999994886203072" top="0.52999994886203072" bottom="0.68999998212799307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Luisa</dc:creator>
  <cp:keywords/>
  <dc:description/>
  <cp:lastModifiedBy>Kélen</cp:lastModifiedBy>
  <dcterms:created xsi:type="dcterms:W3CDTF">2021-09-08T11:18:53Z</dcterms:created>
  <dcterms:modified xsi:type="dcterms:W3CDTF">2021-10-08T10:49:35Z</dcterms:modified>
  <cp:category/>
  <cp:contentStatus/>
</cp:coreProperties>
</file>