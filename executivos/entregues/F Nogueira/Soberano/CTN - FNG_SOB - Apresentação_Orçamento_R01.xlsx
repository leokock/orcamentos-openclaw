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renciamento executivo " sheetId="1" r:id="rId4"/>
    <sheet state="visible" name="Executivo" sheetId="2" r:id="rId5"/>
    <sheet state="visible" name="Planilha3" sheetId="3" r:id="rId6"/>
  </sheets>
  <definedNames>
    <definedName hidden="1" localSheetId="2" name="_xlnm._FilterDatabase">Planilha3!$A$1:$C$418</definedName>
  </definedNames>
  <calcPr/>
  <extLst>
    <ext uri="GoogleSheetsCustomDataVersion2">
      <go:sheetsCustomData xmlns:go="http://customooxmlschemas.google.com/" r:id="rId7" roundtripDataChecksum="JWc5hyYtkZVq5KhKWOy8kmU9q4MXOZ2CqBYOphoWrM8="/>
    </ext>
  </extLst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G4">
      <text>
        <t xml:space="preserve">======
ID#AAABKtGyQDg
User    (2024-04-01 14:07:44)
ERA 785000</t>
      </text>
    </comment>
  </commentList>
  <extLst>
    <ext uri="GoogleSheetsCustomDataVersion2">
      <go:sheetsCustomData xmlns:go="http://customooxmlschemas.google.com/" r:id="rId1" roundtripDataSignature="AMtx7mgbB4aY3qTsfdNNFmahTCtScy9f2w=="/>
    </ext>
  </extLst>
</comments>
</file>

<file path=xl/sharedStrings.xml><?xml version="1.0" encoding="utf-8"?>
<sst xmlns="http://schemas.openxmlformats.org/spreadsheetml/2006/main" count="919" uniqueCount="478">
  <si>
    <t>ETAPA</t>
  </si>
  <si>
    <t>SOBERANO</t>
  </si>
  <si>
    <t>OBRA SIMILAR</t>
  </si>
  <si>
    <t>VALOR / m²</t>
  </si>
  <si>
    <t>Valor 1</t>
  </si>
  <si>
    <t>Valor 2</t>
  </si>
  <si>
    <t>Valor 3</t>
  </si>
  <si>
    <t>MOVIMENTAÇÃO DE TERRA</t>
  </si>
  <si>
    <t>4,50 - 7,50</t>
  </si>
  <si>
    <t>INFRAESTRUTURA</t>
  </si>
  <si>
    <t>110,00 - 160,00</t>
  </si>
  <si>
    <t>SUPRAESTRUTURA</t>
  </si>
  <si>
    <t>480,00 - 520,00</t>
  </si>
  <si>
    <t>ALVENARIA</t>
  </si>
  <si>
    <t>120,00 - 180,00</t>
  </si>
  <si>
    <t>INSTALAÇÕES ELÉTRICAS, HIDRÁULICAS, GLP E PREVENTIVAS</t>
  </si>
  <si>
    <t>240,00 - 280,00</t>
  </si>
  <si>
    <t>SISTEMAS E EQUIPAMENTOS ESPECIAIS</t>
  </si>
  <si>
    <t>100,00 - 200,00</t>
  </si>
  <si>
    <t>IMPERMEABILIZAÇÃO</t>
  </si>
  <si>
    <t>55,00 - 65,00</t>
  </si>
  <si>
    <t>REVESTIMENTOS INTERNOS EM PISO E PAREDE</t>
  </si>
  <si>
    <t>140,00 - 190,00</t>
  </si>
  <si>
    <t>REVESTIMENTOS E ACABAMENTOS INTERNOS EM TETO</t>
  </si>
  <si>
    <t>60,00 - 70,00</t>
  </si>
  <si>
    <t>ACABAMENTOS EM PISO E PAREDE</t>
  </si>
  <si>
    <t>160,00 - 180,00</t>
  </si>
  <si>
    <t>PINTURA INTERNA</t>
  </si>
  <si>
    <t>120,00 - 140,00</t>
  </si>
  <si>
    <t>ESQUADRIAS, VIDROS E FERRAGENS</t>
  </si>
  <si>
    <t>250,00 - 300,00</t>
  </si>
  <si>
    <t>COBERTURA</t>
  </si>
  <si>
    <t>4,00 - 5,50</t>
  </si>
  <si>
    <t>REVESTIMENTOS E ACABAMENTOS DE FACHADA</t>
  </si>
  <si>
    <t>90,00 - 130,00</t>
  </si>
  <si>
    <t>SERVIÇOS COMPLEMENTARES</t>
  </si>
  <si>
    <t>80,00 - 140,00</t>
  </si>
  <si>
    <t>TOTAL</t>
  </si>
  <si>
    <t>2.000,00 - 2560,00</t>
  </si>
  <si>
    <t>VALOR ORÇADO</t>
  </si>
  <si>
    <t>%</t>
  </si>
  <si>
    <t>VALOR / UNIDADE</t>
  </si>
  <si>
    <t xml:space="preserve">GERENCIAMENTO TÉCNICO E ADMINISTRATIVO </t>
  </si>
  <si>
    <t>240-320</t>
  </si>
  <si>
    <t xml:space="preserve">MOVIMENTAÇÃO DE TERRA </t>
  </si>
  <si>
    <t>Empreitada</t>
  </si>
  <si>
    <r>
      <rPr>
        <rFont val="Roboto"/>
        <color theme="1"/>
        <sz val="11.0"/>
      </rPr>
      <t>SISTEMAS E EQUIPAMENTOS ESPECIAIS</t>
    </r>
    <r>
      <rPr>
        <rFont val="Roboto"/>
        <color rgb="FFFF0000"/>
        <sz val="11.0"/>
      </rPr>
      <t xml:space="preserve"> </t>
    </r>
  </si>
  <si>
    <t xml:space="preserve">IMPERMEABILIZAÇÃO </t>
  </si>
  <si>
    <t xml:space="preserve">SERVIÇOS COMPLEMENTARES </t>
  </si>
  <si>
    <t>IMPREVISTOS E CONTINGÊNCIAS</t>
  </si>
  <si>
    <t>CUB/SC</t>
  </si>
  <si>
    <t>CUBs</t>
  </si>
  <si>
    <t>DESCRIÇÃO</t>
  </si>
  <si>
    <t>VALOR</t>
  </si>
  <si>
    <t>TIPO</t>
  </si>
  <si>
    <t>MÃO DE OBRA EMPREITADA PARA EXECUÇÃO DE ESTRUTURA DE CONCRETO ARMADO EM SUPRAESTRUTURA*</t>
  </si>
  <si>
    <t>MÃO DE OBRA</t>
  </si>
  <si>
    <t>CONCRETO USINADO BOMBEÁVEL, PARA SUPRAESTRUTURA, FCK 35MPA, SLUMP 10+/- 2, INCLUINDO SERVIÇO DE BOMBEAMENTO*</t>
  </si>
  <si>
    <t>MATERIAIS</t>
  </si>
  <si>
    <t>MOBILIARIO E DECORAÇÃO*</t>
  </si>
  <si>
    <t>SERVIÇOS - MATERIAL E MÃO DE OBRA</t>
  </si>
  <si>
    <t>ARMAÇÃO AÇO CA-50, DIÂMETRO 6,3MM PARA SUPRAESTRUTURA - CORTADO E DOBRADO EM INDÚSTRIA*</t>
  </si>
  <si>
    <t>MÃO DE OBRA EMPREITADA PARA INSTALAÇÕES HIDRÁULICAS E SANITÁRIAS*</t>
  </si>
  <si>
    <t>MÃO DE OBRA PRÓPRIA</t>
  </si>
  <si>
    <t>MÃO DE OBRA EMPREITADA PARA INSTALAÇÕES ELÉTRICAS*</t>
  </si>
  <si>
    <t>DESPESAS INDIRETAS</t>
  </si>
  <si>
    <t>MESTRE DE OBRAS*</t>
  </si>
  <si>
    <t>EQUIPAMENTOS</t>
  </si>
  <si>
    <t>MÃO DE OBRA MISTA PARA REBOCO INTERNO EM PAREDES, INCLUSO CHAPISCO*</t>
  </si>
  <si>
    <t>MÃO DE OBRA EMPREITADA PARA EXECUÇÃO DE BLOCOS E BALDRAMES*</t>
  </si>
  <si>
    <t>IMPREVISTOS E CONTINGÊNCIAS*</t>
  </si>
  <si>
    <t>CONCRETO USINADO BOMBEÁVEL, PARA ESTACAS, FCK 30MPA, SLUMP 22+-3CM BRITA 0, INCLUI SERVIÇO DE BOMBEAMENTO*</t>
  </si>
  <si>
    <t>ARMAÇÃO AÇO CA-50, DIÂMETRO 10,0MM PARA SUPRAESTRUTURA - CORTADO E DOBRADO EM INDÚSTRIA*</t>
  </si>
  <si>
    <t>ELEVADOR SOCIAL*</t>
  </si>
  <si>
    <t>PORTA DE MADEIRA, DE ABRIR 80X210CM, FIXAÇÃO COM ESPUMA EXPANSIVA*</t>
  </si>
  <si>
    <t>PELE DE VIDRO*</t>
  </si>
  <si>
    <t>PISO DE CONCRETO SOBRE SOLO, ESPESSURA 15 CM</t>
  </si>
  <si>
    <t>MÃO DE OBRA EMPREITADA VEDAÇÕES INTERNAS E EXTERNAS - ASSENTAMENTO BLOCOS CERÂMICOS*</t>
  </si>
  <si>
    <t>FABRICAÇÃO DE FÔRMA PARA LAJES, EM CHAPAS DE MADEIRA COMPENSADA PLASTIFICADA, E=18MM*</t>
  </si>
  <si>
    <t>GUARDA-CORPO DE ALUMÍNIO COM VIDRO LAMINADO, FIXAÇÃO COM ADESIVO EPÓXI*</t>
  </si>
  <si>
    <t>PORTA DE MADEIRA, DE ABRIR 60X210CM, FIXAÇÃO COM ESPUMA EXPANSIVA*</t>
  </si>
  <si>
    <t>ELEVADOR CREMALHEIRA - LOCAÇÃO*</t>
  </si>
  <si>
    <t>ESQUADRIAS DE ALUMÍNIO COM VIDRO - TIPO - TORRE A*</t>
  </si>
  <si>
    <t>FABRICAÇÃO, MONTAGEM E DESMONTAGEM DE FORMA PARA BLOCOS DE COROAMENTO E VIGAS BALDRAMES, EM COMPENSADO RESINADO 17MM</t>
  </si>
  <si>
    <t>PASTILHA CERÂMICA TIPO TIJOLETA, APLICAÇÃO EM PAREDES EXTERNAS*</t>
  </si>
  <si>
    <t>MÃO DE OBRA EMPREITADA PARA EXECUÇÃO DE REBOCO EXTERNO*</t>
  </si>
  <si>
    <t>FABRICAÇÃO DE FÔRMA PARA VIGAS, EM CHAPAS DE MADEIRA COMPENSADA PLASTIFICADA, E=18MM*</t>
  </si>
  <si>
    <t>ESQUADRIAS DE ALUMÍNIO COM VIDRO - TIPO - TORRE B*</t>
  </si>
  <si>
    <t>INFRAESTRUTURA PARA AR CONDICIONADO - TORRE A*</t>
  </si>
  <si>
    <t>ARMAÇÃO AÇO CA-50, DIÂMETRO 12,5MM PARA SUPRAESTRUTURA - CORTADO E DOBRADO EM INDÚSTRIA*</t>
  </si>
  <si>
    <t>ALVENARIA DE VEDAÇÃO DE BLOCOS CERÂMICOS FURADOS NA HORIZONTAL DE 09X19X19CM (ESPESSURA 09CM) COM ARGAMASSA ESTABILIZADA DE ASSENTAMENTO*</t>
  </si>
  <si>
    <t>MÃO DE OBRA PARA COLOCAÇÃO E REJUNTAMENTO DE PISO PORCELANATO*</t>
  </si>
  <si>
    <t>ARMAÇÃO AÇO CA-50, DIÂMETRO 25,0MM PARA SUPRAESTRUTURA - CORTADO E DOBRADO EM INDÚSTRIA*</t>
  </si>
  <si>
    <t>REVESTIMENTO INTERNO DE PISO PORCELANATO, PLACA 60X60, APLICAÇÃO EM ÁREAS SOCIAIS DO APARTAMENTO*</t>
  </si>
  <si>
    <t>INFRAESTRUTURA PARA AR CONDICIONADO - TORRE B*</t>
  </si>
  <si>
    <t>MÃO DE OBRA EMPREITADA PARA APLICAÇÃO DE TEXTURA PROJETADA EM PAREDES EXTERNAS*</t>
  </si>
  <si>
    <t>ALVENARIA DE VEDAÇÃO DE BLOCOS CERÂMICOS FURADOS NA HORIZONTAL DE 11,5X19X19CM (ESPESSURA 11,5CM) COM ARGAMASSA ESTABILIZADA DE ASSENTAMENTO*</t>
  </si>
  <si>
    <t>REVESTIMENTO INTERNO DE VINÍLICO, APLICAÇÃO EM DORMITÓRIOS*</t>
  </si>
  <si>
    <t>EQUIPAMENTOS DE LAZER*</t>
  </si>
  <si>
    <t>SISTEMAS ESPECIAIS - EMBASAMENTO*</t>
  </si>
  <si>
    <t>MASSA ÚNICA INTERNA EM ARGAMASSA ESTABILIZADA, APLICAÇÃO MANUAL EM PAREDES, ESPESSURA DE 2 CM*</t>
  </si>
  <si>
    <t>VIDROS TEMPERADOS - GARAGEM EPP*</t>
  </si>
  <si>
    <t>VIDROS TEMPERADOS - GARAGEM*</t>
  </si>
  <si>
    <t xml:space="preserve">MÃO DE OBRA EMPREITADA PARA PINTURA ACRÍLICA EM PAREDE INTERNA 3 DEMÃOS* </t>
  </si>
  <si>
    <t>FABRICAÇÃO DE FÔRMA PARA PILARES, EM CHAPAS DE MADEIRA COMPENSADA PLASTIFICADA, E=18MM*</t>
  </si>
  <si>
    <t>ALMOXARIFE*</t>
  </si>
  <si>
    <t>ITENS ADICIONAIS ELÉTRICA - TORRE A*</t>
  </si>
  <si>
    <t>ITENS ADICIONAIS ELÉTRICA - TORRE B*</t>
  </si>
  <si>
    <t>ARMAÇÃO AÇO CA-50, DIÂMETRO 16,0MM PARA SUPRAESTRUTURA - CORTADO E DOBRADO EM INDÚSTRIA*</t>
  </si>
  <si>
    <t>TEXTURA PROJETADA, COR BRANCA*</t>
  </si>
  <si>
    <t>MÃO DE OBRA EMPREITADA PARA APLICAÇÃO E LIXAMENTO DE MASSA EM PAREDES*</t>
  </si>
  <si>
    <t>GESSO NEGATIVO - MATERIAL E MÃO DE OBRA*</t>
  </si>
  <si>
    <t>ESTRUTURA E TRAMA METÁLICA PARA COBERTURA - TORRE B*</t>
  </si>
  <si>
    <t>CONTRAPISO COMUM EM ARGAMASSA TRACO 1:4 ESPESSURA 5CM</t>
  </si>
  <si>
    <t>ESTRUTURA E TRAMA METÁLICA PARA COBERTURA - TORRE A*</t>
  </si>
  <si>
    <t>LOCAÇÃO DE BALANCIM ELÉTRICO - LOCAÇÃO*</t>
  </si>
  <si>
    <t>REVESTIMENTO INTERNO DE PISO PORCELANATO, PLACA 60X60, APLICAÇÃO EM ÁREAS SALAS COMERCIAIS*</t>
  </si>
  <si>
    <t>PINGADEIRA EM PEDRA NATURAL E/OU SINTÉTICA</t>
  </si>
  <si>
    <t>INFRAESTRUTURA PARA AR CONDICIONADO - EMBASAMENTO*</t>
  </si>
  <si>
    <t>SISTEMAS ESPECIAIS - TORRE A*</t>
  </si>
  <si>
    <t>SISTEMA DE DUTOS E EXAUSTÃO PARA CHURRASQUEIRAS - TORRE A*</t>
  </si>
  <si>
    <t>SISTEMAS ESPECIAIS - TORRE B*</t>
  </si>
  <si>
    <t>ITENS ADCIONAIS DE ELÉTRICA - EMBASAMENTO*</t>
  </si>
  <si>
    <t>MÃO DE OBRA EMPREITADA PARA PINTURA ACRÍLICA EM TETO, 2 DEMÃOS*</t>
  </si>
  <si>
    <t>MÃO DE OBRA EMPREITADA PARA APLICAÇÃO TEXTURA ACRÍLICA EM PAREDES*</t>
  </si>
  <si>
    <t>ARMAÇÃO AÇO CA-50, DIÂMETRO 20,0MM PARA SUPRAESTRUTURA - CORTADO E DOBRADO EM INDÚSTRIA*</t>
  </si>
  <si>
    <t>REVESTIMENTO INTERNO DE PAREDE EM PORCELANATO, PLACA 30X60, APLICAÇÃO EM BANHEIROS DOS APARTAMENTOS*</t>
  </si>
  <si>
    <t>MANTA ASFÁLTICA ESPESSURA 5MM, ACABAMENTO PP, TIPO II, CLASSE C, UMA CAMADA, APLICAÇÃO COM PRIMER ASFÁLTICO*</t>
  </si>
  <si>
    <t>TEXTURA PROJETADA, COR CINZA CLARO*</t>
  </si>
  <si>
    <t>CONCRETO USINADO BOMBEÁVEL, PARA BLOCOS E BALDRAMES, FCK 35MPA, SLUMP 10+/- 2, INCLUINDO SERVIÇO DE BOMBEAMENTO*</t>
  </si>
  <si>
    <t>ARMAÇÃO AÇO CA-50, DIÂMETRO 8,0MM PARA SUPRAESTRUTURA - CORTADO E DOBRADO EM INDÚSTRIA*</t>
  </si>
  <si>
    <t>ARMAÇÃO AÇO CA-60, DIÂMETRO 5,0MM PARA SUPRAESTRUTURA - CORTADO E DOBRADO EM INDÚSTRIA*</t>
  </si>
  <si>
    <t>TÉCNICO DE EDIFICAÇÕES*</t>
  </si>
  <si>
    <t>SISTEMA DE DUTOS E EXAUSTÃO PARA CHURRASQUEIRAS - TORRE B*</t>
  </si>
  <si>
    <t>ALVENARIA DE VEDAÇÃO DE BLOCOS DE CONCRETO 9X19X39CM (ESPESSURA 9CM) COM ARGAMASSA ESTABILIZADA DE ASSENTAMENTO*</t>
  </si>
  <si>
    <t>MÃO DE OBRA EMPREITADA PARA COLOCAÇÃO E REJUNTAMENTO DE REVESTIMENTO CERÂMICO EM PAREDE*</t>
  </si>
  <si>
    <t>INSTALAÇÕES PREVENTIVAS*</t>
  </si>
  <si>
    <t>CORRIMÃO DE AÇO GALVANIZADO SIMPLES*</t>
  </si>
  <si>
    <t>RODAPÉ EM POLIESTIRENO, ALTURA 10 CM*</t>
  </si>
  <si>
    <t>VIGILÂNCIA / PORTARIA*</t>
  </si>
  <si>
    <t>LIMPEZA DE OBRA*</t>
  </si>
  <si>
    <t>REMOÇÃO ORDINÁRIA DE ENTULHOS, COM TRANSPORTE PARA BOTA-FORA*</t>
  </si>
  <si>
    <t>MÃO DE OBRA EMPREITADA PARA ESTUCAMENTO DE ESTRUTURA DE CONCRETO*</t>
  </si>
  <si>
    <t>PINTURA EPÓXI EM PISO, APLICAÇÃO MANUAL, 2 DEMÃOS*</t>
  </si>
  <si>
    <t>MÃO DE OBRA EMPREITADA PARA REGULARIZAÇÃO DE SUPERFÍCIE*</t>
  </si>
  <si>
    <t>MÃO DE OBRA EMPREITADA PARA PINTURA ACRÍLICA EM PAREDE INTERNA 2 DEMÃOS*</t>
  </si>
  <si>
    <t>BANDEJA DE PROTEÇÃO PRIMÁRIA*</t>
  </si>
  <si>
    <t>MÃO DE OBRA EMPREITADA PARA IMPERMEABILIZAÇÃO DE MANTA ASFÁLTICA*</t>
  </si>
  <si>
    <t>ESQUADRIAS DE ALUMÍNIO COM VIDRO - LAZER*</t>
  </si>
  <si>
    <t>GUINCHEIRO*</t>
  </si>
  <si>
    <t>MÃO DE OBRA EMPREITADA PARA COLOCAÇÃO DE PASTILHA CERÂMICA EM PAREDES EXTERNAS*</t>
  </si>
  <si>
    <t>MÃO DE OBRA EMPREITADA PARA INSTALAÇÕES PREVENTIVAS*</t>
  </si>
  <si>
    <t>MÃO DE OBRA EMPREITADA PARA EXECUÇÃO DE PROTEÇÃO MECÂNICA EM SUPERFÍCIE IMPERMEABILIZADA*</t>
  </si>
  <si>
    <t>SEGURANCA DO TRABALHO - ACOMPANHAMENTO MENSAL</t>
  </si>
  <si>
    <t>MASSA ÚNICA PARA EMBOÇO E REBOCO EM PAREDES EXTERNAS EM ARGAMASSA ESTABILIZADA, ESPESSURA 3CM*</t>
  </si>
  <si>
    <t>MÃO DE OBRA EMPREITADA PARA APLICAÇÃO TEXTURA ACRÍLICA EM TETO*</t>
  </si>
  <si>
    <t>MÃO DE OBRA EMPREITADA PARA COLOCAÇÃO DE RODAPÉ DE POLIESTIRENO*</t>
  </si>
  <si>
    <t>ASSENTAMENTO DE TIJOLOS REFRATÁRIOS DE 6,3X11,4X22,9CM COM ARGAMASSA REFRATÁRIA*</t>
  </si>
  <si>
    <t>PROTEÇÃO MECÂNICA COM ARGAMASSA DE CIMENTO E AREIA, TRAÇO 1:3, ESPESSURA 5CM, COM CAMADA SEPARADORA DE POLIETILENO*</t>
  </si>
  <si>
    <t>ESQUADRIAS DE ALUMÍNIO COM VIDRO - TIPO DIFERENCIADO*</t>
  </si>
  <si>
    <t>ESTACA HELICE CONTINUA DN60CM</t>
  </si>
  <si>
    <t>INSTALAÇÕES DE GÁS</t>
  </si>
  <si>
    <t>MÃO DE OBRA EMPREITADA PARA FECHAMENTO DE SHAFTS*</t>
  </si>
  <si>
    <t>PINTURA COM TINTA LÁTEX ACRÍLICA EM PAREDES INTERNAS, ACABAMENTO FOSCO, 3 DEMÃOS*</t>
  </si>
  <si>
    <t>REVESTIMENTO INTERNO DE PISO PORCELANATO, PLACA 60X60, APLICAÇÃO EM ÁREAS SOCIAIS DO CONDOMÍNIO*</t>
  </si>
  <si>
    <t>ESTACA HELICE CONTINUA DN50CM</t>
  </si>
  <si>
    <t>PEITORIL EM PEDRA NATURAL E/OU SINTÉTICA*</t>
  </si>
  <si>
    <t xml:space="preserve">MÃO DE OBRA EMPREITADA PARA APLICAÇÃO E LIXAMENTO DE MASSA EM TETO* </t>
  </si>
  <si>
    <t>ESQUADRIAS DE ALUMÍNIO COM VIDRO - TÉRREO*</t>
  </si>
  <si>
    <t>LIMPEZA FINAL*</t>
  </si>
  <si>
    <t>INSTALAÇÕES DE ÁGUA FRIA - TIPO - TORRE B*</t>
  </si>
  <si>
    <t>MANUTENÇÕES PREVENTIVAS*</t>
  </si>
  <si>
    <t>GRADIL TIPO BRISE</t>
  </si>
  <si>
    <t>INSTALAÇÕES DE ÁGUA FRIA - TIPO - TORRE A*</t>
  </si>
  <si>
    <t>MÃO DE OBRA EMPREITADA VEDAÇÕES INTERNAS E EXTERNAS - ASSENTAMENTO DE BLOCOS DE CONCRETO*</t>
  </si>
  <si>
    <t>MÃO DE OBRA EMPREITADA PARA EXECUÇÃO DE PISO DE CONCRETO SOBRE O SOLO*</t>
  </si>
  <si>
    <t>REVESTIMENTO INTERNO DE PAREDE EM PORCELANATO, PLACA 30X60, APLICAÇÃO EM COZINHA/ÁREA DE SERVIÇO DOS APARTAMENTOS*</t>
  </si>
  <si>
    <t>MÃO DE OBRA EMPREITADA PARA EXECUÇÃO CONTRAPISO COMUM*</t>
  </si>
  <si>
    <t>ELEVADOR SOCIAL - 2 PARADAS*</t>
  </si>
  <si>
    <t>AUTOMAÇÃO E SISTEMAS LÓGICOS E TELECOMUNICAÇÃO - EMBASAMENTO*</t>
  </si>
  <si>
    <t>ISOLAMENTO TÉRMICO DE COBERTURA COM EPS*</t>
  </si>
  <si>
    <t>VERGA/CONTRAVERGA DE CONCRETO, MOLDADA IN LOCO*</t>
  </si>
  <si>
    <t>EXECUCAO TAPUME METALICO H=3,00M</t>
  </si>
  <si>
    <t>FORRO DE GESSO ACARTONADO, APLICAÇÃO EM ÁREAS MOLHADAS - MATERIAL E MÃO E OBRA*</t>
  </si>
  <si>
    <t>APLICAÇÃO E LIXAMENTO DE MASSA LÁTEX ACRÍLICA EM PAREDES, 2 DEMÃOS*</t>
  </si>
  <si>
    <t>DESPESAS DE CONSUMO - LUZ*</t>
  </si>
  <si>
    <t>MÃO DE OBRA CRITÉRIO DE VÃOS - ASSENTAMENTO BLOCOS CERÂMICOS*</t>
  </si>
  <si>
    <t>APARELHOS SANITÁRIOS, LOUÇAS, METAIS E ACESSÓRIOS - TIPO - TORRE A*</t>
  </si>
  <si>
    <t>APARELHOS SANITÁRIOS, LOUÇAS, METAIS E ACESSÓRIOS - TIPO - TORRE B*</t>
  </si>
  <si>
    <t>TRATAMENTO DE JUNTAS DE DILATAÇÃO COM TARUGO, SELANTE E MEMBRANA*</t>
  </si>
  <si>
    <t>INSTALAÇÕES DE ESGOTO - LAZER*</t>
  </si>
  <si>
    <t>LOCAÇÃO DE ESCORAMENTO METÁLICO - PAV. TIPO (4X) - TORRE A*</t>
  </si>
  <si>
    <t>LOCAÇÃO DE ESCORAMENTO METÁLICO - PAV. TIPO (4X) - TORRE B*</t>
  </si>
  <si>
    <t>MÃO DE OBRA EMPREITADA PARA INSTALAÇÕES DE GÁS*</t>
  </si>
  <si>
    <t>LOCAÇÃO DE ESCORAMENTO METÁLICO - GARAGEM 2*</t>
  </si>
  <si>
    <t>FECHADURA ELETRÔNICA - MATERIAL E MÃO DE OBRA*</t>
  </si>
  <si>
    <t>LOCAÇÃO DE ESCORAMENTO METÁLICO - GARAGEM EPP*</t>
  </si>
  <si>
    <t>MÃO DE OBRA EMPREITADA PARA EXECUÇÃO CONTRAPISO ACÚSTICO*'</t>
  </si>
  <si>
    <t>ARMAÇÃO AÇO CA-50, DIÂMETRO 16,0MM PARA ESTACAS - CORTADO E DOBRADO EM INDÚSTRIA*</t>
  </si>
  <si>
    <t>MÃO DE OBRA EMPREITADA PARA COLOCAÇÃO DE PISO VINÍLICO*</t>
  </si>
  <si>
    <t>PORTA CORTA FOGO P60, 100X210CM, PINTURA PRONTA, COM DOBRADIÇAS E MAÇANETA - FORNECIMENTO E INSTALAÇÃO*</t>
  </si>
  <si>
    <t>REVESTIMENTO INTERNO DE PISO PORCELANATO, PLACA 60X60, APLICAÇÃO EM TERRAÇOS E SACADAS*</t>
  </si>
  <si>
    <t>INSTALAÇÕES DE ESGOTO E ÁGUAS PLUVIAIS - TÉRREO*</t>
  </si>
  <si>
    <t xml:space="preserve">MÃO DE OBRA EMPREITADA PARA APLICAÇÃO DE FUNDO PREPARADOR EM PAREDES INTERNAS, 1 DEMÃO* </t>
  </si>
  <si>
    <t xml:space="preserve">MÃO DE OBRA EMPREITADA PARA PINTURA EPÓXI EM PISO, 2 DEMÃOS* </t>
  </si>
  <si>
    <t>MÃO DE OBRA EMPREITADA PARA FIXAÇÃO DE CONTRAMARCO*</t>
  </si>
  <si>
    <t>INSTALAÇÕES DE PROTEÇÃO E ATERRAMENTO - SPDA*</t>
  </si>
  <si>
    <t>FIOS E CABOS ELÉTRICOS - TORRE b*</t>
  </si>
  <si>
    <t>SOLEIRA EM PEDRA NATURAL E/OU SINTÉTICA*</t>
  </si>
  <si>
    <t xml:space="preserve">MÃO DE OBRA EMPREITADA PARA POLIMENTO DE PISO DE CONCRETO*     </t>
  </si>
  <si>
    <t>DESPESAS DE CONSUMO - ÁGUA*</t>
  </si>
  <si>
    <t>ORCAMENTO E PLANEJAMENTO*</t>
  </si>
  <si>
    <t>MINI GRUA - LOCAÇÃO*</t>
  </si>
  <si>
    <t>INSTALAÇÕES DE ESGOTO E ÁGUAS PLUVIAIS - TIPO - TORRE B*</t>
  </si>
  <si>
    <t>CONTRAMARCO DE ALUMÍNIO, FIXAÇÃO COM ARGAMASSA*</t>
  </si>
  <si>
    <t>PORTÕES BASCULANTES COM MOTOR - TÉRREO*</t>
  </si>
  <si>
    <t>INSTALAÇÕES DE ÁGUA QUENTE - TIPO - TORRE A*</t>
  </si>
  <si>
    <t>PROJETO ESTRUTURAL</t>
  </si>
  <si>
    <t>AUTOMAÇÃO E SISTEMAS LÓGICOS E TELECOMUNICAÇÃO - TORRE A*</t>
  </si>
  <si>
    <t>AUTOMAÇÃO E SISTEMAS LÓGICOS E TELECOMUNICAÇÃO - TORRE B*</t>
  </si>
  <si>
    <t>PINTURA COM TINTA LÁTEX ACRÍLICA EM TETO, ACABAMENTO FOSCO, 2 DEMÃOS*</t>
  </si>
  <si>
    <t>SERVICO DE LIMPEZA E REMOCAO DO EXCENDENTE DE SOLO DURANTE A PERFURACAO DAS ESTACAS, BLOCOS E BALDRAMES</t>
  </si>
  <si>
    <t>MÃO DE OBRA EMPREITADA PARA FAIXAS DE DEMARCAÇÃO EM PAREDES*</t>
  </si>
  <si>
    <t>REVESTIMENTO INTERNO DE PISO PORCELANATO, PLACA 60X60, APLICAÇÃO EM ÁREAS DESCOBERTAS DO CONDOMÍNIO*</t>
  </si>
  <si>
    <t>REVESTIMENTO INTERNO DE PISO PORCELANATO, PLACA 60X60, APLICAÇÃO EM BANHEIROS*</t>
  </si>
  <si>
    <t>ARMAÇÃO AÇO CA-50, DIÂMETRO 10,0MM PARA BLOCOS E BALDRAMES - CORTADO E DOBRADO EM INDÚSTRIA*</t>
  </si>
  <si>
    <t>INSTALAÇÕES DE ESGOTO E ÁGUAS PLUVIAIS - TIPO - TORRE A</t>
  </si>
  <si>
    <t>TEXTURA ACRÍLICA, APLICAÇÃO EM PAREDES INTERNAS DAS ÁREAS COMUNS, 1 DEMÃO</t>
  </si>
  <si>
    <t>PASSEIO EM CONCRETO ESTAMPADO*</t>
  </si>
  <si>
    <t>MÃO DE OBRA EMPREITADA PARA INSTALAÇÃO DE PORTA DE MADEIRA*</t>
  </si>
  <si>
    <t>TELA FACHADEIRA*</t>
  </si>
  <si>
    <t>EXECUÇÃO DE PASSEIO EM PISO INTERTRAVADO, COM PAVER RETANGULAR COR NATURAL DE 20 x 10 CM, ESPESSURA 6 CM</t>
  </si>
  <si>
    <t>GUARDA-CORPO EM LAJE PÓS-DESFÔRMA COM PONTALETE DE MADEIRA, TRAVESSÕES E TELA*</t>
  </si>
  <si>
    <t>FRETES E CARRETOS*</t>
  </si>
  <si>
    <t>QUADROS ELÉTRICOS, CAIXAS E DISJUNTORES - TORRE A*</t>
  </si>
  <si>
    <t>INSTALAÇÕES DE ÁGUA QUENTE - TIPO - TORRE B*</t>
  </si>
  <si>
    <t>QUADROS ELÉTRICOS, CAIXAS E DISJUNTORES - TORRE B*</t>
  </si>
  <si>
    <t>PROJETO HIDROSSANITARIO</t>
  </si>
  <si>
    <t>FIOS E CABOS ELÉTRICOS - TORRE A*</t>
  </si>
  <si>
    <t>ARMAÇÃO AÇO CA-50, DIÂMETRO 16,0MM PARA BLOCOS E BALDRAMES - CORTADO E DOBRADO EM INDÚSTRIA*</t>
  </si>
  <si>
    <t>MÃO DE OBRA EMPREITADA PARA INSTALAÇÕES SPDA*</t>
  </si>
  <si>
    <t>LOCAÇÃO DE ESCORAMENTO METÁLICO - LAZER*</t>
  </si>
  <si>
    <t>PROJETO ARQUITETÔNICO LEGAL*</t>
  </si>
  <si>
    <t>CONSULTORIAS DIVERSAS*</t>
  </si>
  <si>
    <t>CONTROLE TECNOLÓGICO DE CONCRETO*</t>
  </si>
  <si>
    <t>ENSAIOS E LAUDOS*</t>
  </si>
  <si>
    <t>TAXAS DE APROVAÇÃO E LEGALIZAÇÃO*</t>
  </si>
  <si>
    <t>MANUAIS TÉCNICOS - CONDOMÍNIO/PROPRIETÁRIOS*</t>
  </si>
  <si>
    <t>MANUTENÇÕES CORRETIVAS*</t>
  </si>
  <si>
    <t>PAISAGISMO*</t>
  </si>
  <si>
    <t>FIOS E CABOS ELÉTRICOS - EMBASAMENTO/CONDOMÍNIO*</t>
  </si>
  <si>
    <t>TEXTURA ACRÍLICA, APLICAÇÃO EM TETO, 1 DEMÃO</t>
  </si>
  <si>
    <t>MONTAGEM E DESMONTAGEM DE FÔRMA DE VIGA, EM CHAPA DE MADEIRA PLASTIFICADA*</t>
  </si>
  <si>
    <t>IMPERMEABILIZAÇÃO COM ARGAMASSA POLIMÉRICA, 4 DEMÃOS COM VÉU DE POLIÉSTER*</t>
  </si>
  <si>
    <t xml:space="preserve">PINTURA COM TINTA LÁTEX ACRÍLICA EM PAREDES INTERNAS, ACABAMENTO FOSCO, 2 DEMÃOS*         </t>
  </si>
  <si>
    <t>MÃO DE OBRA EMPREITADA PARA COLOCAÇÃO DE PINGADEIRA*</t>
  </si>
  <si>
    <t>REATERRO MECANIZADO DE VALAS PARA BLOCOS E BALDRAMES, COM RETROESCAVADEIRA</t>
  </si>
  <si>
    <t>ESCAVAÇÃO MECANIZADA PARA BLOCOS DE FUNDAÇÃO E VIGAS BALDRAME, COM PREVISÃO DE FÔRMA, COM RETROESCAVADEIRA</t>
  </si>
  <si>
    <t>EQUIPAMENTO DE PROTEÇÃO INDIVIDUAL - EPI*</t>
  </si>
  <si>
    <t>ARMAÇÃO AÇO CA-50, DIÂMETRO 20,0MM PARA BLOCOS E BALDRAMES - CORTADO E DOBRADO EM INDÚSTRIA*</t>
  </si>
  <si>
    <t>LOCAÇÃO DE BANHEIRO QUÍMICO*</t>
  </si>
  <si>
    <t>MÃO DE OBRA EMPREITADA PARA EXECUÇÃO DE CHAPISCO EXTERNO*</t>
  </si>
  <si>
    <t>TELA SOLDADA PARA LIGAÇÃO ALVENARIA/ESTRUTURA EM CHAPISCO EXTERNO*</t>
  </si>
  <si>
    <t>DESPESAS CARTÓRIO, LICENÇAS, CERTIDÕES E JURÍDICAS*</t>
  </si>
  <si>
    <t>TEXTURA PROJETADA, COR CINZA ESCURO*</t>
  </si>
  <si>
    <t>ARMAÇÃO AÇO CA-50, DIÂMETRO 12,5MM PARA BLOCOS E BALDRAMES - CORTADO E DOBRADO EM INDÚSTRIA*</t>
  </si>
  <si>
    <t>PISO DE CONCRETO POLIDO, ACABAMENTO CAMURÇADO, ESPESSURA 2 CM*</t>
  </si>
  <si>
    <t>APLICAÇÃO E LIXAMENTO DE MASSA LÁTEX ACRÍLICA EM TETO, 2 DEMÃOS*</t>
  </si>
  <si>
    <t>PREPARACAO SUBSTRATO PARA RECEBIMENTO PISO DE CONCRETO (LONA+BRITA)</t>
  </si>
  <si>
    <t>FUNDO PREPARADOR DE SUPERFÍCIES, APLICAÇÃO EM PAREDES INTERNAS, 1 DEMÃO*</t>
  </si>
  <si>
    <t>MÃO DE OBRA EMPREITADA PARA APLICAÇÃO DE FUNDO PREPARADOR EM TETO, 1 DEMÃO*</t>
  </si>
  <si>
    <t xml:space="preserve">MÃO DE OBRA EMPREITADA PARA TRATAMENTO DE JUNTAS EM REBOCO* </t>
  </si>
  <si>
    <t>LOCAÇÃO DE ESCORAMENTO METÁLICO - TIPO DIFERENCIADO - TORRE A*</t>
  </si>
  <si>
    <t>MÃO DE OBRA EMPREITADA PARA COLOCAÇÃO DE RODAPÉ CERÂMICO / PORCELANATO*</t>
  </si>
  <si>
    <t>CHAPISCO INTERNO DE ARGAMASSA CIMENTO E AREIA (1:3), APLICADO EM ALVENARIAS, COM COLHER DE PEDREIRO*</t>
  </si>
  <si>
    <t>INCORPORAÇÃO*</t>
  </si>
  <si>
    <t>CALHAS E RUFOS*</t>
  </si>
  <si>
    <t>SERRALHERIAS - CASA DE MÁQUINAS*</t>
  </si>
  <si>
    <t>REGULARIZAÇÃO DE SUPERFÍCIE PARA IMPERMEABILIZAÇÃO*</t>
  </si>
  <si>
    <t>ALVENARIA DE VEDAÇÃO DE BLOCOS CERÂMICOS FURADOS NA HORIZONTAL DE 19X19X19CM (ESPESSURA 19CM) COM ARGAMASSA ESTABILIZADA DE ASSENTAMENTO *</t>
  </si>
  <si>
    <t>MANUTENÇÃO PROVISÓRIA DO CANTEIRO*</t>
  </si>
  <si>
    <t>DESPESAS DE CONSUMO - MATERIAL DE EXPEDIENTE*</t>
  </si>
  <si>
    <t>DESPESAS DE CONSUMO - MATERIAL DE LIMPEZA*</t>
  </si>
  <si>
    <t>PROJETO ELETRICO</t>
  </si>
  <si>
    <t>TEXTURA ACRÍLICA, APLICAÇÃO EM PAREDES INTERNAS DA ESCADARIA, 1 DEMÃO</t>
  </si>
  <si>
    <t>MÃO DE OBRA EMPREITADA PARA IMPERMEABILIZAÇÃO COM ARGAMASSA POLIMÉRICA*</t>
  </si>
  <si>
    <t xml:space="preserve">MÃO DE OBRA EMPREITADA PARA REGULARIZAÇÃO E PINTURA DO FOSSO DO ELEVADOR* </t>
  </si>
  <si>
    <t>PONTOS DE TOMADAS E INTERRUPTORES - TORRE B*</t>
  </si>
  <si>
    <t>DEPESAS DE SEGURO DE OBRA*</t>
  </si>
  <si>
    <t>PROJETO ARQUITETÔNICO EXECUTIVO *</t>
  </si>
  <si>
    <t>COMUNICACAO VISUAL*</t>
  </si>
  <si>
    <t>TELA SOLDADA PARA LIGAÇÃO ALVENARIA/ESTRUTURA - PARA BLOCOS DE 09 A 14CM*</t>
  </si>
  <si>
    <t>MONTAGEM E DESMONTAGEM DE FÔRMA DE PILARES, EM CHAPA DE MADEIRA COMPENSADA PLASTIFICADA*</t>
  </si>
  <si>
    <t>PONTOS DE TOMADAS E INTERRUPTORES - TORRE A*</t>
  </si>
  <si>
    <t>LOCAÇÃO DE ESCORAMENTO METÁLICO - MEZANINO*</t>
  </si>
  <si>
    <t>PROJETO ARQUITETÔNICO INTERIORES / AMBIENTAÇÃO *</t>
  </si>
  <si>
    <t>SONDAGEM DO TERRENO*</t>
  </si>
  <si>
    <t>LEGALIZAÇÃO DE INCORPORAÇÃO*</t>
  </si>
  <si>
    <t>TAXA DE ALVARÁ</t>
  </si>
  <si>
    <t>AS BUILT*</t>
  </si>
  <si>
    <t>FERRAMENTAS*</t>
  </si>
  <si>
    <t>DESMOBILIZAÇÃO DE M.O*</t>
  </si>
  <si>
    <t>SERRALHERIAS - TÉRREO*</t>
  </si>
  <si>
    <t>GURDA CORPO PISCINA*</t>
  </si>
  <si>
    <t>DESPESAS DE CONSUMO - ALIMENTAÇÃO*</t>
  </si>
  <si>
    <t>ARMAÇÃO AÇO CA-50, DIÂMETRO 6,3MM PARA BLOCOS E BALDRAMES - CORTADO E DOBRADO EM INDÚSTRIA*</t>
  </si>
  <si>
    <t>PROJETO PREVENTIVO*</t>
  </si>
  <si>
    <t>DECK DE MADEIRA - MATERIAL E MÃO DE OBRA*</t>
  </si>
  <si>
    <t>FECHADURA DE EMBUTIR COM CILINDRO, BANHEIRO*</t>
  </si>
  <si>
    <t>ARMAÇÃO AÇO CA-50, DIÂMETRO 8,0MM PARA BLOCOS E BALDRAMES - CORTADO E DOBRADO EM INDÚSTRIA*</t>
  </si>
  <si>
    <t>INSTALAÇÕES DE ÁGUA FRIA - RESERVATÓRIO - TORRE B*</t>
  </si>
  <si>
    <t>INSTALAÇÕES DE ÁGUA FRIA - RESERVATÓRIO - TORRE A*</t>
  </si>
  <si>
    <t>CHAPISCO EXTERNO DE ARGAMASSA PRÉ-FABRICADA ADESIVA DE CIMENTO COLANTE, APLICADO EM ESTRUTURA DE CONCRETO ARMADO, COM DESEMPENADEIRA DENTADA*</t>
  </si>
  <si>
    <t>INSTALAÇÕES DE ESGOTO - GARAGEM*</t>
  </si>
  <si>
    <t>CHAPISCO INTERNO DE ARGAMASSA PRÉ-FABRICADA ADESIVA DE CIMENTO COLANTE, APLICADO EM ESTRUTURA DE CONCRETO ARMADO, COM DESEMPENADEIRA DENTADA*</t>
  </si>
  <si>
    <t>MÃO DE OBRA EMPREITADA PARA COLOCAÇÃO DE PEITORIS*</t>
  </si>
  <si>
    <t>PORTÕES BASCULANTES COM MOTOR - GARAGEM EPP*</t>
  </si>
  <si>
    <t>PORTÕES BASCULANTES COM MOTOR - GARAGEM*</t>
  </si>
  <si>
    <t>INSTALACOES  PROVISORIAS CANTEIRO DE OBRAS - BARRACOS, BAIS E AFINS*</t>
  </si>
  <si>
    <t>MÃO DE OBRA EMPREITADA PARA AEXECUÇÃO DE COBERTURA COM ESTRUTURA METÁLICA E TELHAS DE FIBROCIMENTO*</t>
  </si>
  <si>
    <t>ARMAÇÃO AÇO CA-50, DIÂMETRO 25,0MM PARA BLOCOS E BALDRAMES - CORTADO E DOBRADO EM INDÚSTRIA*</t>
  </si>
  <si>
    <t>TELHAS DE FIBROCIMENTO PARA COBERTURA - TORRE B*</t>
  </si>
  <si>
    <t>TELHAS DE FIBROCIMENTO PARA COBERTURA - TORRE A*</t>
  </si>
  <si>
    <t>APARELHOS SANITÁRIOS, LOUÇAS, METAIS E ACESSÓRIOS - TIPO DIFERENCIADO - TORRE A*</t>
  </si>
  <si>
    <t>PASTILHA CERÂMICA, APLICAÇÃO EM, PISCINAS*</t>
  </si>
  <si>
    <t>SISTEMA DE DUTOS E EXAUSTÃO PARA CHURRASQUEIRAS - LAZER*</t>
  </si>
  <si>
    <t>REGULARIZACAO TERRENO CANTEIRO</t>
  </si>
  <si>
    <t>MÃO DE OBRA EMPREITADA PARA APLICAÇÃO DE FUNDO SELADOR EM PAREDES EXTERNAS*</t>
  </si>
  <si>
    <t>CHAPISCO EXTERNO DE ARGAMASSA INDUSTRIALIZADA, APLICADO EM ALVENARIA*</t>
  </si>
  <si>
    <t>FUNDO PREPARADOR DE SUPERFÍCIES, APLICAÇÃO EM PAREDES TETO, 1 DEMÃO*</t>
  </si>
  <si>
    <t>MÃO DE OBRA EMPREITADA PARA EXECUÇÃO DE PASSEIO EM CONCRETO ESTAMPADO*</t>
  </si>
  <si>
    <t>VENTOKIT*</t>
  </si>
  <si>
    <t>PROJETO DE IMPERMEABILIZAÇÃO*</t>
  </si>
  <si>
    <t>MÃO DE OBRA EMPREITADA PARA TRATAMENTO DE RALO*</t>
  </si>
  <si>
    <t>ENCUNHAMENTO DE ALVENARIA DE VEDAÇÃO COM ARGAMASSA EXPANSIVA*</t>
  </si>
  <si>
    <t>MÃO DE OBRA EMPREITADA PARA PINTURA ACRÍLICA EM PISO, 2 DEMÃOS*</t>
  </si>
  <si>
    <t>GUINCHO DE COLUNA - LOCAÇÃO*</t>
  </si>
  <si>
    <t>RODAPÉ EM PORCELANATO, ALTURA 10CM, COM PLACA 60X60, APLICAÇÃO EM ÁREAS SOCIAIS DO CONDOMÍNIO*</t>
  </si>
  <si>
    <t>ELETRODUTOS E ELETROCALHAS - EMBASAMENTO/CONDOMÍNIO*</t>
  </si>
  <si>
    <t>PROJETO DE CLIMATIZAÇÃO E EXAUSTÃO*</t>
  </si>
  <si>
    <t>TAXA HABITE-SE*</t>
  </si>
  <si>
    <t>INSTALAÇÕES DE ÁGUA QUENTE - LAZER*</t>
  </si>
  <si>
    <t>DEDETIZAÇÃO, DESRATIZAÇÃO E SANITIZAÇÃO DOS AMBIENTES*</t>
  </si>
  <si>
    <t>EQUIPAMENTOS / ACESSÓRIOS DE APOIO AO CANTEIRO DE OBRA (CARRINHOS, GIRICAS, ETC.)*</t>
  </si>
  <si>
    <t>CONDUTOR DE ENTULHO VERTICAL - AQUISIÇÃO*</t>
  </si>
  <si>
    <t>FECHADURA DE EMBUTIR COM CILINDRO, PORTAS INTERNAS*</t>
  </si>
  <si>
    <t xml:space="preserve">FUNDO PREPARADOR DE SUPERFÍCIES, APLICAÇÃO EM PAREDES EXTERNAS, 1 DEMÃO* </t>
  </si>
  <si>
    <t>PROJETO DE PAISAGISMO*</t>
  </si>
  <si>
    <t>ARMAÇÃO AÇO CA-50, DIÂMETRO 6,3MM PARA ESTACAS - CORTADO E DOBRADO EM INDÚSTRIA*</t>
  </si>
  <si>
    <t>IPTU*</t>
  </si>
  <si>
    <t>TOPOGRAFO PARA LOCACAO DAS ESTACAS E PILARES</t>
  </si>
  <si>
    <t>ESTUDO AMBIENTAL*</t>
  </si>
  <si>
    <t>LOCAÇÃO DE ESCORAMENTO METÁLICO - CASA DE MÁQUINAS - TORRE A*</t>
  </si>
  <si>
    <t>ESTACA HELICE CONTINUA DN40CM</t>
  </si>
  <si>
    <t>PUXADOR PARA PORTA*</t>
  </si>
  <si>
    <t>LOCAÇÃO DE ESCORAMENTO METÁLICO - CASA DE MÁQUINAS - TORRE B*</t>
  </si>
  <si>
    <t>MÃO DE OBRA EMPREITADA PARA COLOCAÇÃO DE SOLEIRAS*</t>
  </si>
  <si>
    <t>REVESTIMENTO INTERNO DE VINÍLICO, APLICAÇÃO EM ÁREAS SOCIAIS DO CONDOMÍNIO*</t>
  </si>
  <si>
    <t>DESPESAS DE CONSUMO - INTERNET*</t>
  </si>
  <si>
    <t>PROJETO DE FUNDAÇÃO*</t>
  </si>
  <si>
    <t>TELA SOLDADA PARA LIGAÇÃO ALVENARIA/ESTRUTURA - PARA BLOCOS DE 14 A 19CM*</t>
  </si>
  <si>
    <t>FECHAMENTO DOS SHAFTS EM PLACA CIMENTÍCIA</t>
  </si>
  <si>
    <t>MEMORIAL DESCRITIVO*</t>
  </si>
  <si>
    <t>PROJETO TELECOMUNICACOES*</t>
  </si>
  <si>
    <t>CÓPIAS E PLOTAGENS*</t>
  </si>
  <si>
    <t>INSTALACOES ELETRICAS PROVISORIAS CANTEIRO DE OBRAS</t>
  </si>
  <si>
    <t>GUARDA-CORPO DE VÃOS, FIXADO EM FORMA DE MADEIRA, EM TRAMA DE MADEIRA COM TELA DE POLIPROPILENO*</t>
  </si>
  <si>
    <t>ESTUCAMENTO DE ESTRUTURA DE CONCRETO EM TETO*</t>
  </si>
  <si>
    <t>ANDAIME TUBULAR TIPO TORRE - LOCAÇÃO*</t>
  </si>
  <si>
    <t>INSTALAÇÕES DE ESGOTO - GARAGEM EPP*</t>
  </si>
  <si>
    <t>PROJETO DE AUTOMAÇÃO*</t>
  </si>
  <si>
    <t>PROJETO DE GÁS*</t>
  </si>
  <si>
    <t>PROJETO DE SEGURANÇA*</t>
  </si>
  <si>
    <t>ELABORAÇÃO DO PROGRAMA DE CONDIÇÕES E MEIO AMBIENTE DE TRABALHO NA INDÚSTRIA DE CONSTRUÇÃO (PCMAT)*</t>
  </si>
  <si>
    <t>INSTALACOES HIDRAULICAS PROVISORIAS CANTEIRO DE OBRAS</t>
  </si>
  <si>
    <t>LAUDO PREVENTIVO DE DANOS À VIZINHANÇA*</t>
  </si>
  <si>
    <t>LUMINÁRIAS, LÂMPADAS E ACESSÓRIOS- TORRE B*</t>
  </si>
  <si>
    <t>MONTAGEM E DESMONTAGEM DE FÔRMA DE LAJE, EM CHAPA DE MADEIRA PLASTIFICADA*</t>
  </si>
  <si>
    <t>MÃO DE ORBA EMPREITADA PARA ASSENTAMENTO DE TIJOLOS REFRATÁRIOS*</t>
  </si>
  <si>
    <t>LUMINÁRIAS, LÂMPADAS E ACESSÓRIOS - TORRE A*</t>
  </si>
  <si>
    <t>APARELHOS SANITÁRIOS, LOUÇAS, METAIS E ACESSÓRIOS - TÉRREO*</t>
  </si>
  <si>
    <t>TELA TIPO GRADE PARA EXTRAÇÃO DE FUMAÇA 1,20X0,70 CM*</t>
  </si>
  <si>
    <t xml:space="preserve">EXECUCAO DE GUIA DE TRAVAMENTO PARA PAVER </t>
  </si>
  <si>
    <t>VIDROS TEMPERADOS - TÉRREO*</t>
  </si>
  <si>
    <t>PONTOS DE TOMADAS E INTERRUPTORES - EMBASAMENTO/CONDOMÍNIO*</t>
  </si>
  <si>
    <t>INSTALAÇÕES DE ÁGUA FRIA - LAZER*</t>
  </si>
  <si>
    <t>MÃO DE OBRA EMPREITADA PARA ISOLAMENTO TÉRMICO EM COBERTURA*</t>
  </si>
  <si>
    <t>PROJETO DE CANTEIRO*</t>
  </si>
  <si>
    <t>PROJETO TÉCNICO DE FACHADA*</t>
  </si>
  <si>
    <t>TREINAMENTOS DE SEGURANÇA DO TRABALHO*</t>
  </si>
  <si>
    <t>COBERTURA PARA PROTEÇÃO DE PEDESTRES*</t>
  </si>
  <si>
    <t>VARAL DE SEGURANÇA COM CABO DE AÇO*</t>
  </si>
  <si>
    <t>SINALIZAÇÃO GERAL DA OBRA*</t>
  </si>
  <si>
    <t>ELEVADOR DE CARGA - AQUISIÇÃO*</t>
  </si>
  <si>
    <t>SERRALHERIAS - GARAGEM EPP*</t>
  </si>
  <si>
    <t>SERRALHERIAS - GARAGEM*</t>
  </si>
  <si>
    <t>SERRALHERIAS - LAZER*</t>
  </si>
  <si>
    <t>CONTRAMARCO DE AÇO GALVANIZADO, FIXAÇÃO COM ARGAMASSA*</t>
  </si>
  <si>
    <t>ELETRODUTOS E ELETROCALHAS- TORRE A*</t>
  </si>
  <si>
    <t>MÃO DE OBRA EMPREITADA PARA ASSENTAMENTO E REJUNTAMENTO DE PASTILHAS EM PISCINA*</t>
  </si>
  <si>
    <t>REGULARIZAÇÃO DE PISO PARA COLOCAÇÃO DE PISO VINILICO/LAMINADO EM ARGAMASSA INDUSTRIALIZADA, ESPESSURA 2 CM*</t>
  </si>
  <si>
    <t>APARELHOS SANITÁRIOS, LOUÇAS, METAIS E ACESSÓRIOS - LAZER*</t>
  </si>
  <si>
    <t>ESTUCAMENTO DE ESTRUTURA DE CONCRETO EM PILARES E EM VIGAS*</t>
  </si>
  <si>
    <t>FORRO DE GESSO ACARTONADO, APLICAÇÃO EM ÁREAS SECAS - MATERIAL E MÃO DE OBRA*</t>
  </si>
  <si>
    <t>LAUDO DE VISTORIA TÉCNICA*</t>
  </si>
  <si>
    <t>INSTALAÇÕES DRENAGEM DE HVAC - TIPO - TORRE B*</t>
  </si>
  <si>
    <t>QUADROS ELÉTRICOS, CAIXAS E DISJUNTORES - EMBASAMENTO/CONDOMÍNIO*</t>
  </si>
  <si>
    <t>DESPESAS COM VIZINHOS*</t>
  </si>
  <si>
    <t>MÃO DE OBRA CRITÉRIO DE VÃOS - ASSENTAMENTO DE BLOCOS DE CONCRETO*</t>
  </si>
  <si>
    <t>LUMINÁRIAS, LÂMPADAS E ACESSÓRIOS ? EMBASAMENTO/CONDOMÍNIO*</t>
  </si>
  <si>
    <t>APARELHOS SANITÁRIOS, LOUÇAS, METAIS E ACESSÓRIOS - MEZANINO*</t>
  </si>
  <si>
    <t>INSTALAÇÕES DRENAGEM DE HVAC - TIPO - TORRE A*</t>
  </si>
  <si>
    <t>ESTUDO GEOLÓGICO*</t>
  </si>
  <si>
    <t>PROJETO ARQUITETÔNICO DE FACHADA*</t>
  </si>
  <si>
    <t>TRATAMENTO DE JUNTA DE DILATAÇÃO COM MANTA ASFÁLTICA*</t>
  </si>
  <si>
    <t>INSTALAÇÕES DE ÁGUA FRIA - TÉRREO*</t>
  </si>
  <si>
    <t>ESGOTAMENTO DE SISTEMA SANITÁRIO TEMPORÁRIO*</t>
  </si>
  <si>
    <t>EQUIPAMENTOS DE ESCRITÓRIO*</t>
  </si>
  <si>
    <t>FECHAMENTO REMOVÍVEL DE ABERTURA NO PISO DO ELEVADOR EM MADEIRA*</t>
  </si>
  <si>
    <t>INSTALAÇÕES DE ESGOTO E ÁGUAS PLUVIAIS - CASA DE MÁQUINAS - TORRE B*</t>
  </si>
  <si>
    <t xml:space="preserve">MÃO DE OBRA EMPREITADA PARA FAIXAS DE DEMARCAÇÃO EM PISO* </t>
  </si>
  <si>
    <t>GRAMA SINTÉTICA - MATERIAL E MÃO DE OBRA*</t>
  </si>
  <si>
    <t>REVESTIMENTO INTERNO DE PAREDE EM CERÂMICA, PLACA 30X60, APLICAÇÃO EM LIXEIRA*</t>
  </si>
  <si>
    <t>PINTURA COM TINTA LÁTEX ACRÍLICA EM FOSSO DO ELEVADOR, 1 DEMÃO*</t>
  </si>
  <si>
    <t>ARMAÇÃO AÇO CA-50, DIÂMETRO 12,5MM PARA ESTACAS - CORTADO E DOBRADO EM INDÚSTRIA*</t>
  </si>
  <si>
    <t>ELABORAÇÃO DO PROGRAMA DE PREVENÇÃO DOS RISCOS AMBIENTAIS (PPRA)*</t>
  </si>
  <si>
    <t>ELABORAÇÃO DO PROGRAMA DE CONTROLE MÉDICO DE SAÚDE OCUPACIONAL (PCMSO)*</t>
  </si>
  <si>
    <t>PISO TÁTIL*</t>
  </si>
  <si>
    <t>INSTALAÇÕES DE ESGOTO - MEZANINO*</t>
  </si>
  <si>
    <t>ESPACADOR ARMADURA ROLETE R75 PARA ESTACA</t>
  </si>
  <si>
    <t>INSTALAÇÕES DE ESGOTO E ÁGUAS PLUVIAIS - CASA DE MÁQUINAS - TORRE A*</t>
  </si>
  <si>
    <t>EXECUCAO DE MEIO FIO</t>
  </si>
  <si>
    <t>MÃO DE OBRA EMPREITADA PARA TRATAMENTO DE JUNTA DE DILATAÇÃO COM MANTA ASFÁTILCA*</t>
  </si>
  <si>
    <t>IMPERMEABILIZAÇÃO COM MANTA LÍQUIDA EM PEITORIS*</t>
  </si>
  <si>
    <t>TAXAS DE ART*</t>
  </si>
  <si>
    <t>PINTURA COM TINTA ACRÍLICA ESPECIAL PARA PISO*</t>
  </si>
  <si>
    <t>LIGACAO PROVISORIA DE ENERGIA PARA PLANTAO DE VENDAS</t>
  </si>
  <si>
    <t>LASTRO DE MATERIAL GRANULAR</t>
  </si>
  <si>
    <t>CARREGAMENTO, ESPALHAMENTO E COMPACTACAO DE MATERIAL GRANULAR EM CANTEIRO</t>
  </si>
  <si>
    <t>ESQUADRIAS DE ALUMÍNIO COM VIDRO - CASA MÁQUINAS - TORRE A*</t>
  </si>
  <si>
    <t>ESQUADRIAS DE ALUMÍNIO COM VIDRO - CASA MÁQUINAS - TORRE B*</t>
  </si>
  <si>
    <t>EXECUCAO DE GABARITO DE FUNDACAO EM MADEIRA PINUS</t>
  </si>
  <si>
    <t>REGULARIZAÇÃO DE PISO EM ARGAMASSA INDUSTRIALIZADA, ESPESSURA 2 CM*</t>
  </si>
  <si>
    <t>MÃO DE OBRA EMPREITADA PARA IMPERMEABILIZAÇÃO DE PEITORIS COM MANTA LÍQUIDA*</t>
  </si>
  <si>
    <t>ELETRODUTOS E ELETROCALHAS- TORRE B*</t>
  </si>
  <si>
    <t>CONTROLE DE ACESSO*</t>
  </si>
  <si>
    <t>IMPERMEABILIZAÇÃO DE BALDRAMES COM TINTA ASFÁLTICA*</t>
  </si>
  <si>
    <t>INSTALAÇÕES DE ÁGUA QUENTE - TÉRREO*</t>
  </si>
  <si>
    <t>DESPESAS DE CONSUMO - COLETA DE LIXO*</t>
  </si>
  <si>
    <t>LEVANTAMENTO TOPOGRÁFICO*</t>
  </si>
  <si>
    <t>EXECUCAO DE VIGA DE CONCRETO (0,2 X 0,3M) PARA TRILHO DE PORTAO DE OBRA</t>
  </si>
  <si>
    <t>MOBILIÁRIO DE APOIO A OBRA*</t>
  </si>
  <si>
    <t>ARMAÇÃO AÇO CA-60, DIÂMETRO 5,0MM PARA BLOCOS E BALDRAMES - CORTADO E DOBRADO EM INDÚSTRIA*</t>
  </si>
  <si>
    <t>ESQUADRIAS DE ALUMÍNIO COM VIDRO - MEZANINO*</t>
  </si>
  <si>
    <t>LOCAÇÃO DE ESCORAMENTO METÁLICO - RESERVATÓRIO - TORRE A*</t>
  </si>
  <si>
    <t>LOCAÇÃO DE ESCORAMENTO METÁLICO - RESERVATÓRIO - TORRE B*</t>
  </si>
  <si>
    <t>INSTALAÇÕES DE ESGOTO E ÁGUAS PLUVIAIS - TIPO DIFERENCIADO - TORRE A*</t>
  </si>
  <si>
    <t>INSTALAÇÕES DE ÁGUA QUENTE - MEZANINO*</t>
  </si>
  <si>
    <t>TRATAMENTO DE RALO COM ARGAMASSA POLIMÉRICA COM FIBRAS E VÉU DE POLIÉSTER*</t>
  </si>
  <si>
    <t xml:space="preserve">PINTURA COM TINTA LÁTEX ACRÍLICA PARA FAIXAS DE DEMARCAÇÃO EM PAREDES*  </t>
  </si>
  <si>
    <t>FECHAMENTO REMOVÍVEL DE VÃOS DE PORTA DE ELEVADOR EM MADEIRA*</t>
  </si>
  <si>
    <t>REVESTIMENTO INTERNO DE PISO CERÂMICO, PLACA 45X45, APLICAÇÃO EM LIXEIRA*</t>
  </si>
  <si>
    <t>LIGACAO DE AGUA E ESGOTO CONTAINER</t>
  </si>
  <si>
    <t>INSTALAÇÕES DE ÁGUA FRIA - CASA DE MÁQUINAS - TORRE A*</t>
  </si>
  <si>
    <t>INSTALAÇÕES DE ÁGUA FRIA - CASA DE MÁQUINAS - TORRE B*</t>
  </si>
  <si>
    <t>MÃO DE OBRA PARA COLOCAÇÃO E REJUNTAMENTO DE PISO CERÂMICO*</t>
  </si>
  <si>
    <t>EXECUCAO SAPATAS (0,5 x 0,5 x 0,4m) PARA CONTAINER DE PLANTAO DE VENDAS</t>
  </si>
  <si>
    <t>INSTALAÇÕES DE ÁGUA FRIA - MEZANINO*</t>
  </si>
  <si>
    <t xml:space="preserve">PINTURA EPÓXI EM PARA FAIXAS DE DEMARCAÇÃO EM PISO, COR AMARELA, APLICAÇÃO MANUAL, 2 DEMÃOS* </t>
  </si>
  <si>
    <t>INSTALAÇÕES DE ÁGUA QUENTE - GARAGEM*</t>
  </si>
  <si>
    <t>MÃO DE OBRA EMPREITADA PARA REBOCO INTERNO EM TETO, INCLUSO CHAPISCO*</t>
  </si>
  <si>
    <t>INSTALAÇÕES DE ESGOTO E ÁGUAS PLUVIAIS - RESERVATÓRIO - TORRE B*</t>
  </si>
  <si>
    <t>FECHADURA DE EMBUTIR COM CILINDRO, PORTAS EXTERNAS*</t>
  </si>
  <si>
    <t>MASSA ÚNICA INTERNA EM ARGAMASSA ESTABILIZADA, APLICAÇÃO MANUAL EM TETO, ESPESSURA DE 2CM*</t>
  </si>
  <si>
    <t>INSTALAÇÕES DE ESGOTO E ÁGUAS PLUVIAIS - RESERVATÓRIO  - TORRE A*</t>
  </si>
  <si>
    <t>INSTALAÇÕES DE ÁGUA FRIA - GARAGEM*</t>
  </si>
  <si>
    <t>MEDICAMENTOS PREVENTIVOS E DE EMERGÊNCIA*</t>
  </si>
  <si>
    <t>CHAPISCO INTERNO DE ARGAMASSA CIMENTO E AREIA (1:4), APLICADO EM TETO, COM DESEMPENADEIRA DENTADA*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</si>
</sst>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_-* #,##0.00_-;\-* #,##0.00_-;_-* &quot;-&quot;??_-;_-@"/>
    <numFmt numFmtId="165" formatCode="_-* #,##0.000_-;\-* #,##0.000_-;_-* &quot;-&quot;????_-;_-@"/>
    <numFmt numFmtId="166" formatCode="0.0000"/>
    <numFmt numFmtId="167" formatCode="_-&quot;R$&quot;\ * #,##0.00_-;\-&quot;R$&quot;\ * #,##0.00_-;_-&quot;R$&quot;\ * &quot;-&quot;??_-;_-@"/>
    <numFmt numFmtId="168" formatCode="0.0%"/>
    <numFmt numFmtId="169" formatCode="0.00000"/>
    <numFmt numFmtId="170" formatCode="#,###,##0.00"/>
    <numFmt numFmtId="171" formatCode="###,##0.00"/>
    <numFmt numFmtId="172" formatCode="##,##0.00"/>
    <numFmt numFmtId="173" formatCode="##0.00"/>
    <numFmt numFmtId="174" formatCode="#0.00"/>
  </numFmts>
  <fonts count="14">
    <font>
      <sz val="11.0"/>
      <color theme="1"/>
      <name val="Calibri"/>
      <scheme val="minor"/>
    </font>
    <font>
      <b/>
      <sz val="11.0"/>
      <color theme="0"/>
      <name val="Roboto"/>
    </font>
    <font/>
    <font>
      <color theme="1"/>
      <name val="Calibri"/>
      <scheme val="minor"/>
    </font>
    <font>
      <sz val="11.0"/>
      <color theme="1"/>
      <name val="Calibri"/>
    </font>
    <font>
      <sz val="11.0"/>
      <color theme="1"/>
      <name val="Roboto"/>
    </font>
    <font>
      <sz val="12.0"/>
      <color rgb="FF58595B"/>
      <name val="Open Sans"/>
    </font>
    <font>
      <sz val="10.0"/>
      <color theme="1"/>
      <name val="Roboto"/>
    </font>
    <font>
      <sz val="10.0"/>
      <color rgb="FFFF0000"/>
      <name val="Roboto"/>
    </font>
    <font>
      <b/>
      <sz val="16.0"/>
      <color rgb="FFFF0000"/>
      <name val="Roboto"/>
    </font>
    <font>
      <sz val="8.0"/>
      <color rgb="FF1D1C1D"/>
      <name val="Arial"/>
    </font>
    <font>
      <sz val="11.0"/>
      <color rgb="FF1D1C1D"/>
      <name val="Arial"/>
    </font>
    <font>
      <sz val="9.0"/>
      <color theme="1"/>
      <name val="Calibri"/>
    </font>
    <font>
      <sz val="9.0"/>
      <color rgb="FF010000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255AE5"/>
        <bgColor rgb="FF255AE5"/>
      </patternFill>
    </fill>
    <fill>
      <patternFill patternType="solid">
        <fgColor rgb="FFFFC000"/>
        <bgColor rgb="FFFFC00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DADADA"/>
        <bgColor rgb="FFDADADA"/>
      </patternFill>
    </fill>
    <fill>
      <patternFill patternType="solid">
        <fgColor rgb="FF92D050"/>
        <bgColor rgb="FF92D050"/>
      </patternFill>
    </fill>
    <fill>
      <patternFill patternType="solid">
        <fgColor rgb="FFC55A11"/>
        <bgColor rgb="FFC55A11"/>
      </patternFill>
    </fill>
    <fill>
      <patternFill patternType="solid">
        <fgColor rgb="FF9CC2E5"/>
        <bgColor rgb="FF9CC2E5"/>
      </patternFill>
    </fill>
    <fill>
      <patternFill patternType="solid">
        <fgColor rgb="FF00B0F0"/>
        <bgColor rgb="FF00B0F0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rgb="FFFF0000"/>
        <bgColor rgb="FFFF0000"/>
      </patternFill>
    </fill>
  </fills>
  <borders count="31">
    <border/>
    <border>
      <left style="medium">
        <color rgb="FF000000"/>
      </left>
      <right style="thin">
        <color rgb="FFBFBFBF"/>
      </right>
      <top style="medium">
        <color rgb="FF000000"/>
      </top>
    </border>
    <border>
      <left/>
      <right style="thin">
        <color rgb="FFBFBFBF"/>
      </right>
      <top style="medium">
        <color rgb="FF000000"/>
      </top>
      <bottom style="hair">
        <color rgb="FF000000"/>
      </bottom>
    </border>
    <border>
      <left style="thin">
        <color rgb="FFBFBFBF"/>
      </left>
      <right style="medium">
        <color rgb="FF000000"/>
      </right>
      <top style="medium">
        <color rgb="FF000000"/>
      </top>
      <bottom style="hair">
        <color rgb="FF000000"/>
      </bottom>
    </border>
    <border>
      <left style="medium">
        <color rgb="FF000000"/>
      </left>
      <right style="thin">
        <color rgb="FFBFBFBF"/>
      </right>
      <bottom style="hair">
        <color rgb="FF000000"/>
      </bottom>
    </border>
    <border>
      <left style="thin">
        <color rgb="FFBFBFBF"/>
      </left>
      <right style="thin">
        <color rgb="FFBFBFBF"/>
      </right>
      <top style="hair">
        <color rgb="FF000000"/>
      </top>
      <bottom style="hair">
        <color rgb="FF000000"/>
      </bottom>
    </border>
    <border>
      <left style="thin">
        <color rgb="FFBFBFBF"/>
      </left>
      <right style="medium">
        <color rgb="FF000000"/>
      </right>
      <top style="hair">
        <color rgb="FF000000"/>
      </top>
      <bottom style="hair">
        <color rgb="FF000000"/>
      </bottom>
    </border>
    <border>
      <left/>
      <right/>
      <top/>
      <bottom/>
    </border>
    <border>
      <left style="medium">
        <color rgb="FF000000"/>
      </left>
      <right style="thin">
        <color rgb="FF595959"/>
      </right>
      <top style="hair">
        <color rgb="FF000000"/>
      </top>
      <bottom style="hair">
        <color rgb="FF000000"/>
      </bottom>
    </border>
    <border>
      <left style="thin">
        <color rgb="FF595959"/>
      </left>
      <right style="thin">
        <color rgb="FF595959"/>
      </right>
      <top style="hair">
        <color rgb="FF000000"/>
      </top>
      <bottom style="hair">
        <color rgb="FF000000"/>
      </bottom>
    </border>
    <border>
      <left style="thin">
        <color rgb="FF595959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thin">
        <color rgb="FF595959"/>
      </right>
      <top style="hair">
        <color rgb="FF000000"/>
      </top>
      <bottom style="medium">
        <color rgb="FF000000"/>
      </bottom>
    </border>
    <border>
      <left style="thin">
        <color rgb="FF595959"/>
      </left>
      <right style="thin">
        <color rgb="FF595959"/>
      </right>
      <top style="hair">
        <color rgb="FF000000"/>
      </top>
      <bottom style="medium">
        <color rgb="FF000000"/>
      </bottom>
    </border>
    <border>
      <left style="thin">
        <color rgb="FF595959"/>
      </left>
      <right style="medium">
        <color rgb="FF000000"/>
      </right>
      <top style="hair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595959"/>
      </right>
      <top/>
      <bottom style="hair">
        <color rgb="FF595959"/>
      </bottom>
    </border>
    <border>
      <left style="thin">
        <color rgb="FF595959"/>
      </left>
      <right style="thin">
        <color rgb="FF595959"/>
      </right>
      <top style="hair">
        <color rgb="FF595959"/>
      </top>
      <bottom style="hair">
        <color rgb="FF595959"/>
      </bottom>
    </border>
    <border>
      <left style="thin">
        <color rgb="FF595959"/>
      </left>
      <right style="medium">
        <color rgb="FF000000"/>
      </right>
      <top style="hair">
        <color rgb="FF595959"/>
      </top>
      <bottom style="hair">
        <color rgb="FF595959"/>
      </bottom>
    </border>
    <border>
      <left style="thin">
        <color rgb="FF595959"/>
      </left>
      <right style="thin">
        <color rgb="FF595959"/>
      </right>
      <top/>
      <bottom style="hair">
        <color rgb="FF595959"/>
      </bottom>
    </border>
    <border>
      <left style="thin">
        <color rgb="FF595959"/>
      </left>
      <right style="medium">
        <color rgb="FF000000"/>
      </right>
      <top/>
      <bottom style="hair">
        <color rgb="FF595959"/>
      </bottom>
    </border>
    <border>
      <left style="medium">
        <color rgb="FF000000"/>
      </left>
      <right style="thin">
        <color rgb="FF595959"/>
      </right>
      <top style="hair">
        <color rgb="FF595959"/>
      </top>
      <bottom style="hair">
        <color rgb="FF595959"/>
      </bottom>
    </border>
    <border>
      <left style="medium">
        <color rgb="FF000000"/>
      </left>
      <right style="thin">
        <color rgb="FF595959"/>
      </right>
      <top style="thin">
        <color rgb="FF595959"/>
      </top>
      <bottom style="thin">
        <color rgb="FF595959"/>
      </bottom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</border>
    <border>
      <left style="thin">
        <color rgb="FF595959"/>
      </left>
      <right style="medium">
        <color rgb="FF000000"/>
      </right>
      <top style="thin">
        <color rgb="FF595959"/>
      </top>
      <bottom style="thin">
        <color rgb="FF595959"/>
      </bottom>
    </border>
    <border>
      <left style="medium">
        <color rgb="FF000000"/>
      </left>
      <right style="thin">
        <color rgb="FF595959"/>
      </right>
      <top style="thin">
        <color rgb="FF595959"/>
      </top>
      <bottom style="medium">
        <color rgb="FF000000"/>
      </bottom>
    </border>
    <border>
      <left style="thin">
        <color rgb="FF595959"/>
      </left>
      <right style="thin">
        <color rgb="FF595959"/>
      </right>
      <top style="thin">
        <color rgb="FF595959"/>
      </top>
      <bottom style="medium">
        <color rgb="FF000000"/>
      </bottom>
    </border>
    <border>
      <left style="thin">
        <color rgb="FF595959"/>
      </left>
      <right/>
      <top style="thin">
        <color rgb="FF595959"/>
      </top>
      <bottom style="medium">
        <color rgb="FF000000"/>
      </bottom>
    </border>
    <border>
      <left/>
      <right style="medium">
        <color rgb="FF000000"/>
      </right>
      <top style="thin">
        <color rgb="FF595959"/>
      </top>
      <bottom style="medium">
        <color rgb="FF000000"/>
      </bottom>
    </border>
    <border>
      <left style="hair">
        <color rgb="FF010000"/>
      </left>
      <right style="hair">
        <color rgb="FF010000"/>
      </right>
      <top style="hair">
        <color rgb="FF010000"/>
      </top>
      <bottom style="hair">
        <color rgb="FF010000"/>
      </bottom>
    </border>
  </borders>
  <cellStyleXfs count="1">
    <xf borderId="0" fillId="0" fontId="0" numFmtId="0" applyAlignment="1" applyFont="1"/>
  </cellStyleXfs>
  <cellXfs count="10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ont="1">
      <alignment horizontal="center" vertical="center"/>
    </xf>
    <xf borderId="3" fillId="2" fontId="1" numFmtId="0" xfId="0" applyAlignment="1" applyBorder="1" applyFont="1">
      <alignment horizontal="center" vertical="center"/>
    </xf>
    <xf borderId="4" fillId="0" fontId="2" numFmtId="0" xfId="0" applyBorder="1" applyFont="1"/>
    <xf borderId="5" fillId="2" fontId="1" numFmtId="0" xfId="0" applyAlignment="1" applyBorder="1" applyFont="1">
      <alignment horizontal="center" vertical="center"/>
    </xf>
    <xf borderId="6" fillId="2" fontId="1" numFmtId="0" xfId="0" applyAlignment="1" applyBorder="1" applyFont="1">
      <alignment horizontal="center" vertical="center"/>
    </xf>
    <xf borderId="0" fillId="0" fontId="3" numFmtId="0" xfId="0" applyFont="1"/>
    <xf borderId="7" fillId="3" fontId="4" numFmtId="0" xfId="0" applyBorder="1" applyFill="1" applyFont="1"/>
    <xf borderId="8" fillId="4" fontId="5" numFmtId="0" xfId="0" applyBorder="1" applyFill="1" applyFont="1"/>
    <xf borderId="9" fillId="4" fontId="5" numFmtId="164" xfId="0" applyAlignment="1" applyBorder="1" applyFont="1" applyNumberFormat="1">
      <alignment horizontal="center"/>
    </xf>
    <xf borderId="10" fillId="4" fontId="5" numFmtId="164" xfId="0" applyAlignment="1" applyBorder="1" applyFont="1" applyNumberFormat="1">
      <alignment horizontal="center" vertical="center"/>
    </xf>
    <xf borderId="7" fillId="5" fontId="4" numFmtId="0" xfId="0" applyBorder="1" applyFill="1" applyFont="1"/>
    <xf borderId="7" fillId="3" fontId="4" numFmtId="164" xfId="0" applyBorder="1" applyFont="1" applyNumberFormat="1"/>
    <xf borderId="8" fillId="6" fontId="5" numFmtId="0" xfId="0" applyBorder="1" applyFill="1" applyFont="1"/>
    <xf borderId="9" fillId="6" fontId="5" numFmtId="164" xfId="0" applyAlignment="1" applyBorder="1" applyFont="1" applyNumberFormat="1">
      <alignment horizontal="center"/>
    </xf>
    <xf borderId="10" fillId="6" fontId="5" numFmtId="164" xfId="0" applyAlignment="1" applyBorder="1" applyFont="1" applyNumberFormat="1">
      <alignment horizontal="center" vertical="center"/>
    </xf>
    <xf borderId="10" fillId="0" fontId="5" numFmtId="164" xfId="0" applyAlignment="1" applyBorder="1" applyFont="1" applyNumberFormat="1">
      <alignment horizontal="center" vertical="center"/>
    </xf>
    <xf borderId="11" fillId="2" fontId="1" numFmtId="0" xfId="0" applyAlignment="1" applyBorder="1" applyFont="1">
      <alignment horizontal="right"/>
    </xf>
    <xf borderId="12" fillId="2" fontId="1" numFmtId="164" xfId="0" applyAlignment="1" applyBorder="1" applyFont="1" applyNumberFormat="1">
      <alignment horizontal="right"/>
    </xf>
    <xf borderId="13" fillId="2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0" fillId="0" fontId="4" numFmtId="164" xfId="0" applyAlignment="1" applyFont="1" applyNumberFormat="1">
      <alignment horizontal="center"/>
    </xf>
    <xf borderId="0" fillId="0" fontId="6" numFmtId="4" xfId="0" applyFont="1" applyNumberFormat="1"/>
    <xf borderId="0" fillId="0" fontId="4" numFmtId="165" xfId="0" applyAlignment="1" applyFont="1" applyNumberFormat="1">
      <alignment horizontal="center"/>
    </xf>
    <xf borderId="0" fillId="0" fontId="4" numFmtId="4" xfId="0" applyFont="1" applyNumberFormat="1"/>
    <xf borderId="0" fillId="0" fontId="4" numFmtId="166" xfId="0" applyFont="1" applyNumberFormat="1"/>
    <xf borderId="14" fillId="2" fontId="1" numFmtId="0" xfId="0" applyAlignment="1" applyBorder="1" applyFont="1">
      <alignment horizontal="center" vertical="center"/>
    </xf>
    <xf borderId="15" fillId="2" fontId="1" numFmtId="0" xfId="0" applyAlignment="1" applyBorder="1" applyFont="1">
      <alignment horizontal="center" vertical="center"/>
    </xf>
    <xf borderId="16" fillId="2" fontId="1" numFmtId="0" xfId="0" applyAlignment="1" applyBorder="1" applyFont="1">
      <alignment horizontal="center" vertical="center"/>
    </xf>
    <xf borderId="0" fillId="0" fontId="7" numFmtId="0" xfId="0" applyFont="1"/>
    <xf borderId="17" fillId="6" fontId="5" numFmtId="0" xfId="0" applyBorder="1" applyFont="1"/>
    <xf borderId="18" fillId="6" fontId="5" numFmtId="164" xfId="0" applyAlignment="1" applyBorder="1" applyFont="1" applyNumberFormat="1">
      <alignment horizontal="center" vertical="center"/>
    </xf>
    <xf borderId="18" fillId="6" fontId="5" numFmtId="10" xfId="0" applyAlignment="1" applyBorder="1" applyFont="1" applyNumberFormat="1">
      <alignment horizontal="center"/>
    </xf>
    <xf borderId="19" fillId="6" fontId="5" numFmtId="164" xfId="0" applyAlignment="1" applyBorder="1" applyFont="1" applyNumberFormat="1">
      <alignment horizontal="center" vertical="center"/>
    </xf>
    <xf borderId="0" fillId="0" fontId="7" numFmtId="0" xfId="0" applyAlignment="1" applyFont="1">
      <alignment horizontal="center"/>
    </xf>
    <xf borderId="17" fillId="4" fontId="5" numFmtId="0" xfId="0" applyBorder="1" applyFont="1"/>
    <xf borderId="20" fillId="4" fontId="5" numFmtId="164" xfId="0" applyAlignment="1" applyBorder="1" applyFont="1" applyNumberFormat="1">
      <alignment horizontal="center" vertical="center"/>
    </xf>
    <xf borderId="20" fillId="4" fontId="5" numFmtId="10" xfId="0" applyAlignment="1" applyBorder="1" applyFont="1" applyNumberFormat="1">
      <alignment horizontal="center"/>
    </xf>
    <xf borderId="21" fillId="4" fontId="5" numFmtId="164" xfId="0" applyAlignment="1" applyBorder="1" applyFont="1" applyNumberFormat="1">
      <alignment horizontal="center" vertical="center"/>
    </xf>
    <xf borderId="7" fillId="5" fontId="8" numFmtId="0" xfId="0" applyBorder="1" applyFont="1"/>
    <xf borderId="7" fillId="5" fontId="8" numFmtId="167" xfId="0" applyBorder="1" applyFont="1" applyNumberFormat="1"/>
    <xf borderId="18" fillId="6" fontId="5" numFmtId="164" xfId="0" applyAlignment="1" applyBorder="1" applyFont="1" applyNumberFormat="1">
      <alignment horizontal="center"/>
    </xf>
    <xf borderId="0" fillId="0" fontId="9" numFmtId="0" xfId="0" applyFont="1"/>
    <xf borderId="0" fillId="0" fontId="10" numFmtId="0" xfId="0" applyFont="1"/>
    <xf borderId="22" fillId="6" fontId="5" numFmtId="0" xfId="0" applyBorder="1" applyFont="1"/>
    <xf borderId="22" fillId="0" fontId="5" numFmtId="0" xfId="0" applyBorder="1" applyFont="1"/>
    <xf borderId="0" fillId="0" fontId="7" numFmtId="4" xfId="0" applyFont="1" applyNumberFormat="1"/>
    <xf borderId="7" fillId="6" fontId="5" numFmtId="0" xfId="0" applyBorder="1" applyFont="1"/>
    <xf borderId="0" fillId="0" fontId="7" numFmtId="168" xfId="0" applyFont="1" applyNumberFormat="1"/>
    <xf borderId="0" fillId="0" fontId="7" numFmtId="169" xfId="0" applyFont="1" applyNumberFormat="1"/>
    <xf borderId="23" fillId="2" fontId="1" numFmtId="0" xfId="0" applyAlignment="1" applyBorder="1" applyFont="1">
      <alignment horizontal="right"/>
    </xf>
    <xf borderId="24" fillId="2" fontId="1" numFmtId="164" xfId="0" applyAlignment="1" applyBorder="1" applyFont="1" applyNumberFormat="1">
      <alignment horizontal="right"/>
    </xf>
    <xf borderId="24" fillId="2" fontId="1" numFmtId="10" xfId="0" applyAlignment="1" applyBorder="1" applyFont="1" applyNumberFormat="1">
      <alignment horizontal="center"/>
    </xf>
    <xf borderId="25" fillId="2" fontId="1" numFmtId="164" xfId="0" applyAlignment="1" applyBorder="1" applyFont="1" applyNumberFormat="1">
      <alignment horizontal="right"/>
    </xf>
    <xf borderId="26" fillId="2" fontId="1" numFmtId="0" xfId="0" applyAlignment="1" applyBorder="1" applyFont="1">
      <alignment horizontal="right"/>
    </xf>
    <xf borderId="27" fillId="2" fontId="1" numFmtId="164" xfId="0" applyAlignment="1" applyBorder="1" applyFont="1" applyNumberFormat="1">
      <alignment horizontal="right"/>
    </xf>
    <xf borderId="27" fillId="2" fontId="1" numFmtId="17" xfId="0" applyAlignment="1" applyBorder="1" applyFont="1" applyNumberFormat="1">
      <alignment horizontal="center"/>
    </xf>
    <xf borderId="28" fillId="2" fontId="1" numFmtId="164" xfId="0" applyAlignment="1" applyBorder="1" applyFont="1" applyNumberFormat="1">
      <alignment horizontal="right"/>
    </xf>
    <xf borderId="29" fillId="2" fontId="1" numFmtId="0" xfId="0" applyAlignment="1" applyBorder="1" applyFont="1">
      <alignment horizontal="left"/>
    </xf>
    <xf borderId="0" fillId="0" fontId="11" numFmtId="14" xfId="0" applyFont="1" applyNumberFormat="1"/>
    <xf borderId="0" fillId="0" fontId="11" numFmtId="17" xfId="0" applyFont="1" applyNumberFormat="1"/>
    <xf borderId="0" fillId="0" fontId="7" numFmtId="164" xfId="0" applyFont="1" applyNumberFormat="1"/>
    <xf borderId="0" fillId="0" fontId="12" numFmtId="0" xfId="0" applyAlignment="1" applyFont="1">
      <alignment vertical="center"/>
    </xf>
    <xf borderId="30" fillId="7" fontId="13" numFmtId="0" xfId="0" applyAlignment="1" applyBorder="1" applyFill="1" applyFont="1">
      <alignment horizontal="left" shrinkToFit="0" vertical="center" wrapText="1"/>
    </xf>
    <xf borderId="30" fillId="7" fontId="13" numFmtId="170" xfId="0" applyAlignment="1" applyBorder="1" applyFont="1" applyNumberFormat="1">
      <alignment horizontal="right" shrinkToFit="0" vertical="center" wrapText="1"/>
    </xf>
    <xf borderId="0" fillId="0" fontId="12" numFmtId="164" xfId="0" applyAlignment="1" applyFont="1" applyNumberFormat="1">
      <alignment vertical="center"/>
    </xf>
    <xf borderId="0" fillId="0" fontId="12" numFmtId="9" xfId="0" applyAlignment="1" applyFont="1" applyNumberFormat="1">
      <alignment vertical="center"/>
    </xf>
    <xf borderId="30" fillId="5" fontId="13" numFmtId="0" xfId="0" applyAlignment="1" applyBorder="1" applyFont="1">
      <alignment horizontal="left" shrinkToFit="0" vertical="center" wrapText="1"/>
    </xf>
    <xf borderId="30" fillId="5" fontId="13" numFmtId="171" xfId="0" applyAlignment="1" applyBorder="1" applyFont="1" applyNumberFormat="1">
      <alignment horizontal="right" shrinkToFit="0" vertical="center" wrapText="1"/>
    </xf>
    <xf borderId="7" fillId="5" fontId="12" numFmtId="0" xfId="0" applyAlignment="1" applyBorder="1" applyFont="1">
      <alignment vertical="center"/>
    </xf>
    <xf borderId="30" fillId="8" fontId="13" numFmtId="0" xfId="0" applyAlignment="1" applyBorder="1" applyFill="1" applyFont="1">
      <alignment horizontal="left" shrinkToFit="0" vertical="center" wrapText="1"/>
    </xf>
    <xf borderId="30" fillId="8" fontId="13" numFmtId="171" xfId="0" applyAlignment="1" applyBorder="1" applyFont="1" applyNumberFormat="1">
      <alignment horizontal="right" shrinkToFit="0" vertical="center" wrapText="1"/>
    </xf>
    <xf borderId="7" fillId="8" fontId="12" numFmtId="0" xfId="0" applyAlignment="1" applyBorder="1" applyFont="1">
      <alignment vertical="center"/>
    </xf>
    <xf borderId="30" fillId="7" fontId="13" numFmtId="171" xfId="0" applyAlignment="1" applyBorder="1" applyFont="1" applyNumberFormat="1">
      <alignment horizontal="right" shrinkToFit="0" vertical="center" wrapText="1"/>
    </xf>
    <xf borderId="7" fillId="9" fontId="12" numFmtId="0" xfId="0" applyAlignment="1" applyBorder="1" applyFill="1" applyFont="1">
      <alignment vertical="center"/>
    </xf>
    <xf borderId="30" fillId="9" fontId="13" numFmtId="0" xfId="0" applyAlignment="1" applyBorder="1" applyFont="1">
      <alignment horizontal="left" shrinkToFit="0" vertical="center" wrapText="1"/>
    </xf>
    <xf borderId="30" fillId="9" fontId="13" numFmtId="171" xfId="0" applyAlignment="1" applyBorder="1" applyFont="1" applyNumberFormat="1">
      <alignment horizontal="right" shrinkToFit="0" vertical="center" wrapText="1"/>
    </xf>
    <xf borderId="30" fillId="10" fontId="13" numFmtId="0" xfId="0" applyAlignment="1" applyBorder="1" applyFill="1" applyFont="1">
      <alignment horizontal="left" shrinkToFit="0" vertical="center" wrapText="1"/>
    </xf>
    <xf borderId="30" fillId="10" fontId="13" numFmtId="171" xfId="0" applyAlignment="1" applyBorder="1" applyFont="1" applyNumberFormat="1">
      <alignment horizontal="right" shrinkToFit="0" vertical="center" wrapText="1"/>
    </xf>
    <xf borderId="7" fillId="10" fontId="12" numFmtId="0" xfId="0" applyAlignment="1" applyBorder="1" applyFont="1">
      <alignment vertical="center"/>
    </xf>
    <xf borderId="30" fillId="11" fontId="13" numFmtId="0" xfId="0" applyAlignment="1" applyBorder="1" applyFill="1" applyFont="1">
      <alignment horizontal="left" shrinkToFit="0" vertical="center" wrapText="1"/>
    </xf>
    <xf borderId="30" fillId="11" fontId="13" numFmtId="171" xfId="0" applyAlignment="1" applyBorder="1" applyFont="1" applyNumberFormat="1">
      <alignment horizontal="right" shrinkToFit="0" vertical="center" wrapText="1"/>
    </xf>
    <xf borderId="7" fillId="11" fontId="12" numFmtId="0" xfId="0" applyAlignment="1" applyBorder="1" applyFont="1">
      <alignment vertical="center"/>
    </xf>
    <xf borderId="30" fillId="5" fontId="13" numFmtId="172" xfId="0" applyAlignment="1" applyBorder="1" applyFont="1" applyNumberFormat="1">
      <alignment horizontal="right" shrinkToFit="0" vertical="center" wrapText="1"/>
    </xf>
    <xf borderId="30" fillId="9" fontId="13" numFmtId="172" xfId="0" applyAlignment="1" applyBorder="1" applyFont="1" applyNumberFormat="1">
      <alignment horizontal="right" shrinkToFit="0" vertical="center" wrapText="1"/>
    </xf>
    <xf borderId="30" fillId="10" fontId="13" numFmtId="172" xfId="0" applyAlignment="1" applyBorder="1" applyFont="1" applyNumberFormat="1">
      <alignment horizontal="right" shrinkToFit="0" vertical="center" wrapText="1"/>
    </xf>
    <xf borderId="30" fillId="7" fontId="13" numFmtId="172" xfId="0" applyAlignment="1" applyBorder="1" applyFont="1" applyNumberFormat="1">
      <alignment horizontal="right" shrinkToFit="0" vertical="center" wrapText="1"/>
    </xf>
    <xf borderId="30" fillId="12" fontId="13" numFmtId="0" xfId="0" applyAlignment="1" applyBorder="1" applyFill="1" applyFont="1">
      <alignment horizontal="left" shrinkToFit="0" vertical="center" wrapText="1"/>
    </xf>
    <xf borderId="30" fillId="12" fontId="13" numFmtId="172" xfId="0" applyAlignment="1" applyBorder="1" applyFont="1" applyNumberFormat="1">
      <alignment horizontal="right" shrinkToFit="0" vertical="center" wrapText="1"/>
    </xf>
    <xf borderId="7" fillId="12" fontId="12" numFmtId="0" xfId="0" applyAlignment="1" applyBorder="1" applyFont="1">
      <alignment vertical="center"/>
    </xf>
    <xf borderId="30" fillId="13" fontId="13" numFmtId="0" xfId="0" applyAlignment="1" applyBorder="1" applyFill="1" applyFont="1">
      <alignment horizontal="left" shrinkToFit="0" vertical="center" wrapText="1"/>
    </xf>
    <xf borderId="30" fillId="13" fontId="13" numFmtId="172" xfId="0" applyAlignment="1" applyBorder="1" applyFont="1" applyNumberFormat="1">
      <alignment horizontal="right" shrinkToFit="0" vertical="center" wrapText="1"/>
    </xf>
    <xf borderId="7" fillId="13" fontId="12" numFmtId="0" xfId="0" applyAlignment="1" applyBorder="1" applyFont="1">
      <alignment vertical="center"/>
    </xf>
    <xf borderId="30" fillId="8" fontId="13" numFmtId="172" xfId="0" applyAlignment="1" applyBorder="1" applyFont="1" applyNumberFormat="1">
      <alignment horizontal="right" shrinkToFit="0" vertical="center" wrapText="1"/>
    </xf>
    <xf borderId="30" fillId="11" fontId="13" numFmtId="172" xfId="0" applyAlignment="1" applyBorder="1" applyFont="1" applyNumberFormat="1">
      <alignment horizontal="right" shrinkToFit="0" vertical="center" wrapText="1"/>
    </xf>
    <xf borderId="30" fillId="5" fontId="13" numFmtId="4" xfId="0" applyAlignment="1" applyBorder="1" applyFont="1" applyNumberFormat="1">
      <alignment horizontal="right" shrinkToFit="0" vertical="center" wrapText="1"/>
    </xf>
    <xf borderId="30" fillId="13" fontId="13" numFmtId="4" xfId="0" applyAlignment="1" applyBorder="1" applyFont="1" applyNumberFormat="1">
      <alignment horizontal="right" shrinkToFit="0" vertical="center" wrapText="1"/>
    </xf>
    <xf borderId="30" fillId="11" fontId="13" numFmtId="4" xfId="0" applyAlignment="1" applyBorder="1" applyFont="1" applyNumberFormat="1">
      <alignment horizontal="right" shrinkToFit="0" vertical="center" wrapText="1"/>
    </xf>
    <xf borderId="30" fillId="10" fontId="13" numFmtId="4" xfId="0" applyAlignment="1" applyBorder="1" applyFont="1" applyNumberFormat="1">
      <alignment horizontal="right" shrinkToFit="0" vertical="center" wrapText="1"/>
    </xf>
    <xf borderId="30" fillId="7" fontId="13" numFmtId="4" xfId="0" applyAlignment="1" applyBorder="1" applyFont="1" applyNumberFormat="1">
      <alignment horizontal="right" shrinkToFit="0" vertical="center" wrapText="1"/>
    </xf>
    <xf borderId="30" fillId="5" fontId="13" numFmtId="173" xfId="0" applyAlignment="1" applyBorder="1" applyFont="1" applyNumberFormat="1">
      <alignment horizontal="right" shrinkToFit="0" vertical="center" wrapText="1"/>
    </xf>
    <xf borderId="30" fillId="10" fontId="13" numFmtId="173" xfId="0" applyAlignment="1" applyBorder="1" applyFont="1" applyNumberFormat="1">
      <alignment horizontal="right" shrinkToFit="0" vertical="center" wrapText="1"/>
    </xf>
    <xf borderId="30" fillId="11" fontId="13" numFmtId="173" xfId="0" applyAlignment="1" applyBorder="1" applyFont="1" applyNumberFormat="1">
      <alignment horizontal="right" shrinkToFit="0" vertical="center" wrapText="1"/>
    </xf>
    <xf borderId="30" fillId="7" fontId="13" numFmtId="173" xfId="0" applyAlignment="1" applyBorder="1" applyFont="1" applyNumberFormat="1">
      <alignment horizontal="right" shrinkToFit="0" vertical="center" wrapText="1"/>
    </xf>
    <xf borderId="30" fillId="5" fontId="13" numFmtId="174" xfId="0" applyAlignment="1" applyBorder="1" applyFont="1" applyNumberFormat="1">
      <alignment horizontal="right" shrinkToFit="0" vertical="center" wrapText="1"/>
    </xf>
    <xf borderId="30" fillId="13" fontId="13" numFmtId="174" xfId="0" applyAlignment="1" applyBorder="1" applyFont="1" applyNumberFormat="1">
      <alignment horizontal="right" shrinkToFit="0" vertical="center" wrapText="1"/>
    </xf>
    <xf borderId="30" fillId="5" fontId="13" numFmtId="2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5856848461917565"/>
          <c:y val="0.10434178743288237"/>
          <c:w val="0.9414315153808244"/>
          <c:h val="0.5128795622431361"/>
        </c:manualLayout>
      </c:layout>
      <c:barChart>
        <c:barDir val="col"/>
        <c:grouping val="stacked"/>
        <c:ser>
          <c:idx val="0"/>
          <c:order val="0"/>
          <c:tx>
            <c:v>#REF!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'Gerenciamento executivo '!$A$4:$A$17</c:f>
            </c:strRef>
          </c:cat>
          <c:val>
            <c:numRef>
              <c:f>'Gerenciamento executivo '!$B$3:$B$17</c:f>
              <c:numCache/>
            </c:numRef>
          </c:val>
        </c:ser>
        <c:overlap val="100"/>
        <c:axId val="1747906468"/>
        <c:axId val="555517512"/>
      </c:barChart>
      <c:catAx>
        <c:axId val="17479064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55517512"/>
      </c:catAx>
      <c:valAx>
        <c:axId val="555517512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47906468"/>
        <c:majorUnit val="50.0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2000">
                <a:solidFill>
                  <a:srgbClr val="757575"/>
                </a:solidFill>
                <a:latin typeface="Calibri Light"/>
              </a:defRPr>
            </a:pPr>
            <a:r>
              <a:rPr b="0" i="0" sz="2000">
                <a:solidFill>
                  <a:srgbClr val="757575"/>
                </a:solidFill>
                <a:latin typeface="Calibri Light"/>
              </a:rPr>
              <a:t>REPRESENTAÇÃO DE CUSTOS POR ETAPA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rgbClr val="FE34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Executivo!$A$2:$A$18</c:f>
            </c:strRef>
          </c:cat>
          <c:val>
            <c:numRef>
              <c:f>Executivo!$C$2:$C$18</c:f>
              <c:numCache/>
            </c:numRef>
          </c:val>
        </c:ser>
        <c:axId val="879509070"/>
        <c:axId val="1427772846"/>
      </c:barChart>
      <c:catAx>
        <c:axId val="87950907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27772846"/>
      </c:catAx>
      <c:valAx>
        <c:axId val="142777284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79509070"/>
        <c:crosses val="max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757575"/>
                </a:solidFill>
                <a:latin typeface="+mn-lt"/>
              </a:defRPr>
            </a:pPr>
            <a:r>
              <a:rPr b="1" i="0" sz="1600">
                <a:solidFill>
                  <a:srgbClr val="757575"/>
                </a:solidFill>
                <a:latin typeface="+mn-lt"/>
              </a:rPr>
              <a:t>COMPOSIÇÃO DO ORÇAMENTO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472C4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Pt>
            <c:idx val="4"/>
            <c:spPr>
              <a:solidFill>
                <a:srgbClr val="5B9BD5"/>
              </a:solidFill>
            </c:spPr>
          </c:dPt>
          <c:dPt>
            <c:idx val="5"/>
            <c:spPr>
              <a:solidFill>
                <a:srgbClr val="70AD47"/>
              </a:solidFill>
            </c:spPr>
          </c:dPt>
          <c:dPt>
            <c:idx val="6"/>
            <c:spPr>
              <a:solidFill>
                <a:srgbClr val="7C9CD6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Planilha3!$E$2:$E$8</c:f>
            </c:strRef>
          </c:cat>
          <c:val>
            <c:numRef>
              <c:f>Planilha3!$G$2:$G$8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 i="0" sz="100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400050</xdr:colOff>
      <xdr:row>1</xdr:row>
      <xdr:rowOff>171450</xdr:rowOff>
    </xdr:from>
    <xdr:ext cx="8677275" cy="3219450"/>
    <xdr:graphicFrame>
      <xdr:nvGraphicFramePr>
        <xdr:cNvPr id="131624167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21</xdr:row>
      <xdr:rowOff>47625</xdr:rowOff>
    </xdr:from>
    <xdr:ext cx="8982075" cy="4362450"/>
    <xdr:graphicFrame>
      <xdr:nvGraphicFramePr>
        <xdr:cNvPr id="1295027678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161925</xdr:colOff>
      <xdr:row>9</xdr:row>
      <xdr:rowOff>400050</xdr:rowOff>
    </xdr:from>
    <xdr:ext cx="9420225" cy="1933575"/>
    <xdr:graphicFrame>
      <xdr:nvGraphicFramePr>
        <xdr:cNvPr id="685156915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6.14"/>
    <col customWidth="1" min="2" max="2" width="16.86"/>
    <col customWidth="1" min="3" max="3" width="20.86"/>
    <col customWidth="1" min="4" max="26" width="8.71"/>
  </cols>
  <sheetData>
    <row r="1" ht="30.0" customHeight="1">
      <c r="A1" s="1" t="s">
        <v>0</v>
      </c>
      <c r="B1" s="2" t="s">
        <v>1</v>
      </c>
      <c r="C1" s="3" t="s">
        <v>2</v>
      </c>
    </row>
    <row r="2" ht="21.0" customHeight="1">
      <c r="A2" s="4"/>
      <c r="B2" s="5" t="s">
        <v>3</v>
      </c>
      <c r="C2" s="6" t="s">
        <v>3</v>
      </c>
      <c r="D2" s="7" t="s">
        <v>4</v>
      </c>
      <c r="E2" s="7" t="s">
        <v>5</v>
      </c>
      <c r="F2" s="8" t="s">
        <v>6</v>
      </c>
    </row>
    <row r="3" ht="14.25" customHeight="1">
      <c r="A3" s="9" t="s">
        <v>7</v>
      </c>
      <c r="B3" s="10">
        <f>Executivo!D3</f>
        <v>14.7809089</v>
      </c>
      <c r="C3" s="11" t="s">
        <v>8</v>
      </c>
      <c r="D3" s="12">
        <v>4.5</v>
      </c>
      <c r="E3" s="12">
        <v>7.5</v>
      </c>
      <c r="F3" s="13" t="str">
        <f t="shared" ref="F3:F17" si="1">#REF!</f>
        <v>#REF!</v>
      </c>
    </row>
    <row r="4" ht="14.25" customHeight="1">
      <c r="A4" s="14" t="s">
        <v>9</v>
      </c>
      <c r="B4" s="15">
        <f>Executivo!D4</f>
        <v>66.71002086</v>
      </c>
      <c r="C4" s="16" t="s">
        <v>10</v>
      </c>
      <c r="D4" s="12">
        <v>110.0</v>
      </c>
      <c r="E4" s="12">
        <v>160.0</v>
      </c>
      <c r="F4" s="13" t="str">
        <f t="shared" si="1"/>
        <v>#REF!</v>
      </c>
    </row>
    <row r="5" ht="14.25" customHeight="1">
      <c r="A5" s="9" t="s">
        <v>11</v>
      </c>
      <c r="B5" s="10">
        <f>Executivo!D5</f>
        <v>440.8559767</v>
      </c>
      <c r="C5" s="11" t="s">
        <v>12</v>
      </c>
      <c r="D5" s="12">
        <v>480.0</v>
      </c>
      <c r="E5" s="12">
        <v>520.0</v>
      </c>
      <c r="F5" s="13" t="str">
        <f t="shared" si="1"/>
        <v>#REF!</v>
      </c>
    </row>
    <row r="6" ht="14.25" customHeight="1">
      <c r="A6" s="14" t="s">
        <v>13</v>
      </c>
      <c r="B6" s="15">
        <f>Executivo!D6</f>
        <v>59.84000024</v>
      </c>
      <c r="C6" s="16" t="s">
        <v>14</v>
      </c>
      <c r="D6" s="12">
        <v>120.0</v>
      </c>
      <c r="E6" s="12">
        <v>180.0</v>
      </c>
      <c r="F6" s="13" t="str">
        <f t="shared" si="1"/>
        <v>#REF!</v>
      </c>
    </row>
    <row r="7" ht="14.25" customHeight="1">
      <c r="A7" s="9" t="s">
        <v>15</v>
      </c>
      <c r="B7" s="10">
        <f>Executivo!D7</f>
        <v>296.5965949</v>
      </c>
      <c r="C7" s="17" t="s">
        <v>16</v>
      </c>
      <c r="D7" s="12">
        <v>240.0</v>
      </c>
      <c r="E7" s="12">
        <v>280.0</v>
      </c>
      <c r="F7" s="13" t="str">
        <f t="shared" si="1"/>
        <v>#REF!</v>
      </c>
    </row>
    <row r="8" ht="14.25" customHeight="1">
      <c r="A8" s="14" t="s">
        <v>17</v>
      </c>
      <c r="B8" s="15">
        <f>Executivo!D8</f>
        <v>194.5116233</v>
      </c>
      <c r="C8" s="16" t="s">
        <v>18</v>
      </c>
      <c r="D8" s="12">
        <v>100.0</v>
      </c>
      <c r="E8" s="12">
        <v>200.0</v>
      </c>
      <c r="F8" s="13" t="str">
        <f t="shared" si="1"/>
        <v>#REF!</v>
      </c>
    </row>
    <row r="9" ht="14.25" customHeight="1">
      <c r="A9" s="9" t="s">
        <v>19</v>
      </c>
      <c r="B9" s="10">
        <f>Executivo!D9</f>
        <v>23.16079259</v>
      </c>
      <c r="C9" s="11" t="s">
        <v>20</v>
      </c>
      <c r="D9" s="12">
        <v>55.0</v>
      </c>
      <c r="E9" s="12">
        <v>65.0</v>
      </c>
      <c r="F9" s="13" t="str">
        <f t="shared" si="1"/>
        <v>#REF!</v>
      </c>
    </row>
    <row r="10" ht="14.25" customHeight="1">
      <c r="A10" s="14" t="s">
        <v>21</v>
      </c>
      <c r="B10" s="15">
        <f>Executivo!D10</f>
        <v>109.1354223</v>
      </c>
      <c r="C10" s="16" t="s">
        <v>22</v>
      </c>
      <c r="D10" s="12">
        <v>140.0</v>
      </c>
      <c r="E10" s="12">
        <v>190.0</v>
      </c>
      <c r="F10" s="13" t="str">
        <f t="shared" si="1"/>
        <v>#REF!</v>
      </c>
    </row>
    <row r="11" ht="14.25" customHeight="1">
      <c r="A11" s="9" t="s">
        <v>23</v>
      </c>
      <c r="B11" s="10">
        <f>Executivo!D11</f>
        <v>68.78811882</v>
      </c>
      <c r="C11" s="11" t="s">
        <v>24</v>
      </c>
      <c r="D11" s="12">
        <v>60.0</v>
      </c>
      <c r="E11" s="12">
        <v>70.0</v>
      </c>
      <c r="F11" s="13" t="str">
        <f t="shared" si="1"/>
        <v>#REF!</v>
      </c>
    </row>
    <row r="12" ht="14.25" customHeight="1">
      <c r="A12" s="14" t="s">
        <v>25</v>
      </c>
      <c r="B12" s="15">
        <f>Executivo!D12</f>
        <v>226.8818502</v>
      </c>
      <c r="C12" s="16" t="s">
        <v>26</v>
      </c>
      <c r="D12" s="12">
        <v>160.0</v>
      </c>
      <c r="E12" s="12">
        <v>180.0</v>
      </c>
      <c r="F12" s="13" t="str">
        <f t="shared" si="1"/>
        <v>#REF!</v>
      </c>
    </row>
    <row r="13" ht="14.25" customHeight="1">
      <c r="A13" s="9" t="s">
        <v>27</v>
      </c>
      <c r="B13" s="10">
        <f>Executivo!D13</f>
        <v>69.71266376</v>
      </c>
      <c r="C13" s="11" t="s">
        <v>28</v>
      </c>
      <c r="D13" s="12">
        <v>120.0</v>
      </c>
      <c r="E13" s="12">
        <v>140.0</v>
      </c>
      <c r="F13" s="13" t="str">
        <f t="shared" si="1"/>
        <v>#REF!</v>
      </c>
    </row>
    <row r="14" ht="14.25" customHeight="1">
      <c r="A14" s="14" t="s">
        <v>29</v>
      </c>
      <c r="B14" s="15">
        <f>Executivo!D14</f>
        <v>361.8217995</v>
      </c>
      <c r="C14" s="16" t="s">
        <v>30</v>
      </c>
      <c r="D14" s="12">
        <v>250.0</v>
      </c>
      <c r="E14" s="12">
        <v>300.0</v>
      </c>
      <c r="F14" s="13" t="str">
        <f t="shared" si="1"/>
        <v>#REF!</v>
      </c>
    </row>
    <row r="15" ht="14.25" customHeight="1">
      <c r="A15" s="9" t="s">
        <v>31</v>
      </c>
      <c r="B15" s="10">
        <f>Executivo!D15</f>
        <v>3.430369555</v>
      </c>
      <c r="C15" s="11" t="s">
        <v>32</v>
      </c>
      <c r="D15" s="12">
        <v>4.0</v>
      </c>
      <c r="E15" s="12">
        <v>5.5</v>
      </c>
      <c r="F15" s="13" t="str">
        <f t="shared" si="1"/>
        <v>#REF!</v>
      </c>
    </row>
    <row r="16" ht="14.25" customHeight="1">
      <c r="A16" s="14" t="s">
        <v>33</v>
      </c>
      <c r="B16" s="15">
        <f>Executivo!D16</f>
        <v>70.04438205</v>
      </c>
      <c r="C16" s="16" t="s">
        <v>34</v>
      </c>
      <c r="D16" s="12">
        <v>90.0</v>
      </c>
      <c r="E16" s="12">
        <v>130.0</v>
      </c>
      <c r="F16" s="13" t="str">
        <f t="shared" si="1"/>
        <v>#REF!</v>
      </c>
    </row>
    <row r="17" ht="14.25" customHeight="1">
      <c r="A17" s="9" t="s">
        <v>35</v>
      </c>
      <c r="B17" s="10">
        <f>Executivo!D17+Executivo!D18</f>
        <v>123.6049001</v>
      </c>
      <c r="C17" s="11" t="s">
        <v>36</v>
      </c>
      <c r="D17" s="12">
        <v>80.0</v>
      </c>
      <c r="E17" s="12">
        <v>140.0</v>
      </c>
      <c r="F17" s="13" t="str">
        <f t="shared" si="1"/>
        <v>#REF!</v>
      </c>
    </row>
    <row r="18" ht="14.25" customHeight="1">
      <c r="A18" s="18" t="s">
        <v>37</v>
      </c>
      <c r="B18" s="19">
        <f>SUM(B3:B17)</f>
        <v>2129.875424</v>
      </c>
      <c r="C18" s="20" t="s">
        <v>38</v>
      </c>
      <c r="D18" s="7">
        <f t="shared" ref="D18:E18" si="2">SUM(D3:D17)</f>
        <v>2013.5</v>
      </c>
      <c r="E18" s="7">
        <f t="shared" si="2"/>
        <v>2568</v>
      </c>
    </row>
    <row r="19" ht="14.25" customHeight="1">
      <c r="C19" s="21"/>
    </row>
    <row r="20" ht="14.25" customHeight="1">
      <c r="C20" s="21"/>
    </row>
    <row r="21" ht="14.25" customHeight="1">
      <c r="B21" s="7">
        <v>150.0</v>
      </c>
      <c r="C21" s="22"/>
      <c r="D21" s="22">
        <f t="shared" ref="D21:D33" si="3">B21*0.6</f>
        <v>90</v>
      </c>
    </row>
    <row r="22" ht="14.25" customHeight="1">
      <c r="B22" s="7">
        <v>580.0</v>
      </c>
      <c r="C22" s="22"/>
      <c r="D22" s="22">
        <f t="shared" si="3"/>
        <v>348</v>
      </c>
    </row>
    <row r="23" ht="14.25" customHeight="1">
      <c r="B23" s="7">
        <v>110.0</v>
      </c>
      <c r="C23" s="22"/>
      <c r="D23" s="22">
        <f t="shared" si="3"/>
        <v>66</v>
      </c>
    </row>
    <row r="24" ht="14.25" customHeight="1">
      <c r="B24" s="7">
        <v>270.0</v>
      </c>
      <c r="C24" s="22"/>
      <c r="D24" s="22">
        <f t="shared" si="3"/>
        <v>162</v>
      </c>
    </row>
    <row r="25" ht="14.25" customHeight="1">
      <c r="B25" s="7">
        <v>180.0</v>
      </c>
      <c r="C25" s="22"/>
      <c r="D25" s="22">
        <f t="shared" si="3"/>
        <v>108</v>
      </c>
    </row>
    <row r="26" ht="14.25" customHeight="1">
      <c r="B26" s="7">
        <v>45.0</v>
      </c>
      <c r="C26" s="22"/>
      <c r="D26" s="22">
        <f t="shared" si="3"/>
        <v>27</v>
      </c>
    </row>
    <row r="27" ht="14.25" customHeight="1">
      <c r="B27" s="7">
        <v>160.0</v>
      </c>
      <c r="C27" s="22"/>
      <c r="D27" s="22">
        <f t="shared" si="3"/>
        <v>96</v>
      </c>
    </row>
    <row r="28" ht="14.25" customHeight="1">
      <c r="B28" s="7">
        <v>75.0</v>
      </c>
      <c r="C28" s="22"/>
      <c r="D28" s="22">
        <f t="shared" si="3"/>
        <v>45</v>
      </c>
    </row>
    <row r="29" ht="14.25" customHeight="1">
      <c r="B29" s="7">
        <v>160.0</v>
      </c>
      <c r="C29" s="22"/>
      <c r="D29" s="22">
        <f t="shared" si="3"/>
        <v>96</v>
      </c>
    </row>
    <row r="30" ht="14.25" customHeight="1">
      <c r="B30" s="7">
        <v>90.0</v>
      </c>
      <c r="C30" s="22"/>
      <c r="D30" s="22">
        <f t="shared" si="3"/>
        <v>54</v>
      </c>
    </row>
    <row r="31" ht="14.25" customHeight="1">
      <c r="B31" s="7">
        <v>200.0</v>
      </c>
      <c r="C31" s="22"/>
      <c r="D31" s="22">
        <f t="shared" si="3"/>
        <v>120</v>
      </c>
    </row>
    <row r="32" ht="14.25" customHeight="1">
      <c r="B32" s="7">
        <v>120.0</v>
      </c>
      <c r="C32" s="22"/>
      <c r="D32" s="22">
        <f t="shared" si="3"/>
        <v>72</v>
      </c>
    </row>
    <row r="33" ht="14.25" customHeight="1">
      <c r="B33" s="7">
        <v>135.0</v>
      </c>
      <c r="C33" s="22"/>
      <c r="D33" s="22">
        <f t="shared" si="3"/>
        <v>81</v>
      </c>
    </row>
    <row r="34" ht="14.25" customHeight="1">
      <c r="C34" s="21"/>
    </row>
    <row r="35" ht="14.25" customHeight="1">
      <c r="C35" s="21"/>
    </row>
    <row r="36" ht="14.25" customHeight="1">
      <c r="C36" s="21"/>
    </row>
    <row r="37" ht="14.25" customHeight="1">
      <c r="C37" s="21"/>
    </row>
    <row r="38" ht="14.25" customHeight="1">
      <c r="C38" s="21"/>
    </row>
    <row r="39" ht="14.25" customHeight="1">
      <c r="C39" s="21"/>
    </row>
    <row r="40" ht="14.25" customHeight="1">
      <c r="C40" s="21"/>
    </row>
    <row r="41" ht="14.25" customHeight="1">
      <c r="C41" s="21"/>
    </row>
    <row r="42" ht="14.25" customHeight="1">
      <c r="C42" s="21"/>
    </row>
    <row r="43" ht="14.25" customHeight="1">
      <c r="B43" s="23"/>
      <c r="C43" s="24"/>
    </row>
    <row r="44" ht="14.25" customHeight="1">
      <c r="B44" s="23"/>
      <c r="C44" s="24"/>
    </row>
    <row r="45" ht="14.25" customHeight="1">
      <c r="B45" s="25"/>
      <c r="C45" s="24"/>
    </row>
    <row r="46" ht="14.25" customHeight="1">
      <c r="C46" s="24"/>
    </row>
    <row r="47" ht="14.25" customHeight="1">
      <c r="C47" s="24"/>
    </row>
    <row r="48" ht="14.25" customHeight="1">
      <c r="B48" s="26"/>
      <c r="C48" s="24"/>
    </row>
    <row r="49" ht="14.25" customHeight="1">
      <c r="C49" s="24"/>
    </row>
    <row r="50" ht="14.25" customHeight="1">
      <c r="C50" s="24"/>
    </row>
    <row r="51" ht="14.25" customHeight="1">
      <c r="C51" s="24"/>
    </row>
    <row r="52" ht="14.25" customHeight="1">
      <c r="C52" s="24"/>
    </row>
    <row r="53" ht="14.25" customHeight="1">
      <c r="C53" s="24"/>
    </row>
    <row r="54" ht="14.25" customHeight="1">
      <c r="C54" s="24"/>
    </row>
    <row r="55" ht="14.25" customHeight="1">
      <c r="C55" s="24"/>
    </row>
    <row r="56" ht="14.25" customHeight="1">
      <c r="C56" s="24"/>
    </row>
    <row r="57" ht="14.25" customHeight="1">
      <c r="C57" s="24"/>
    </row>
    <row r="58" ht="14.25" customHeight="1">
      <c r="C58" s="21"/>
    </row>
    <row r="59" ht="14.25" customHeight="1">
      <c r="C59" s="21"/>
    </row>
    <row r="60" ht="14.25" customHeight="1">
      <c r="C60" s="21"/>
    </row>
    <row r="61" ht="14.25" customHeight="1">
      <c r="C61" s="21"/>
    </row>
    <row r="62" ht="14.25" customHeight="1">
      <c r="C62" s="21"/>
    </row>
    <row r="63" ht="14.25" customHeight="1">
      <c r="C63" s="21"/>
    </row>
    <row r="64" ht="14.25" customHeight="1">
      <c r="C64" s="21"/>
    </row>
    <row r="65" ht="14.25" customHeight="1">
      <c r="C65" s="21"/>
    </row>
    <row r="66" ht="14.25" customHeight="1">
      <c r="C66" s="21"/>
    </row>
    <row r="67" ht="14.25" customHeight="1">
      <c r="C67" s="21"/>
    </row>
    <row r="68" ht="14.25" customHeight="1">
      <c r="C68" s="21"/>
    </row>
    <row r="69" ht="14.25" customHeight="1">
      <c r="C69" s="21"/>
    </row>
    <row r="70" ht="14.25" customHeight="1">
      <c r="C70" s="21"/>
    </row>
    <row r="71" ht="14.25" customHeight="1">
      <c r="C71" s="21"/>
    </row>
    <row r="72" ht="14.25" customHeight="1">
      <c r="C72" s="21"/>
    </row>
    <row r="73" ht="14.25" customHeight="1">
      <c r="C73" s="21"/>
    </row>
    <row r="74" ht="14.25" customHeight="1">
      <c r="C74" s="21"/>
    </row>
    <row r="75" ht="14.25" customHeight="1">
      <c r="C75" s="21"/>
    </row>
    <row r="76" ht="14.25" customHeight="1">
      <c r="C76" s="21"/>
    </row>
    <row r="77" ht="14.25" customHeight="1">
      <c r="C77" s="21"/>
    </row>
    <row r="78" ht="14.25" customHeight="1">
      <c r="C78" s="21"/>
    </row>
    <row r="79" ht="14.25" customHeight="1">
      <c r="C79" s="21"/>
    </row>
    <row r="80" ht="14.25" customHeight="1">
      <c r="C80" s="21"/>
    </row>
    <row r="81" ht="14.25" customHeight="1">
      <c r="C81" s="21"/>
    </row>
    <row r="82" ht="14.25" customHeight="1">
      <c r="C82" s="21"/>
    </row>
    <row r="83" ht="14.25" customHeight="1">
      <c r="C83" s="21"/>
    </row>
    <row r="84" ht="14.25" customHeight="1">
      <c r="C84" s="21"/>
    </row>
    <row r="85" ht="14.25" customHeight="1">
      <c r="C85" s="21"/>
    </row>
    <row r="86" ht="14.25" customHeight="1">
      <c r="C86" s="21"/>
    </row>
    <row r="87" ht="14.25" customHeight="1">
      <c r="C87" s="21"/>
    </row>
    <row r="88" ht="14.25" customHeight="1">
      <c r="C88" s="21"/>
    </row>
    <row r="89" ht="14.25" customHeight="1">
      <c r="C89" s="21"/>
    </row>
    <row r="90" ht="14.25" customHeight="1">
      <c r="C90" s="21"/>
    </row>
    <row r="91" ht="14.25" customHeight="1">
      <c r="C91" s="21"/>
    </row>
    <row r="92" ht="14.25" customHeight="1">
      <c r="C92" s="21"/>
    </row>
    <row r="93" ht="14.25" customHeight="1">
      <c r="C93" s="21"/>
    </row>
    <row r="94" ht="14.25" customHeight="1">
      <c r="C94" s="21"/>
    </row>
    <row r="95" ht="14.25" customHeight="1">
      <c r="C95" s="21"/>
    </row>
    <row r="96" ht="14.25" customHeight="1">
      <c r="C96" s="21"/>
    </row>
    <row r="97" ht="14.25" customHeight="1">
      <c r="C97" s="21"/>
    </row>
    <row r="98" ht="14.25" customHeight="1">
      <c r="C98" s="21"/>
    </row>
    <row r="99" ht="14.25" customHeight="1">
      <c r="C99" s="21"/>
    </row>
    <row r="100" ht="14.25" customHeight="1">
      <c r="C100" s="21"/>
    </row>
    <row r="101" ht="14.25" customHeight="1">
      <c r="C101" s="21"/>
    </row>
    <row r="102" ht="14.25" customHeight="1">
      <c r="C102" s="21"/>
    </row>
    <row r="103" ht="14.25" customHeight="1">
      <c r="C103" s="21"/>
    </row>
    <row r="104" ht="14.25" customHeight="1">
      <c r="C104" s="21"/>
    </row>
    <row r="105" ht="14.25" customHeight="1">
      <c r="C105" s="21"/>
    </row>
    <row r="106" ht="14.25" customHeight="1">
      <c r="C106" s="21"/>
    </row>
    <row r="107" ht="14.25" customHeight="1">
      <c r="C107" s="21"/>
    </row>
    <row r="108" ht="14.25" customHeight="1">
      <c r="C108" s="21"/>
    </row>
    <row r="109" ht="14.25" customHeight="1">
      <c r="C109" s="21"/>
    </row>
    <row r="110" ht="14.25" customHeight="1">
      <c r="C110" s="21"/>
    </row>
    <row r="111" ht="14.25" customHeight="1">
      <c r="C111" s="21"/>
    </row>
    <row r="112" ht="14.25" customHeight="1">
      <c r="C112" s="21"/>
    </row>
    <row r="113" ht="14.25" customHeight="1">
      <c r="C113" s="21"/>
    </row>
    <row r="114" ht="14.25" customHeight="1">
      <c r="C114" s="21"/>
    </row>
    <row r="115" ht="14.25" customHeight="1">
      <c r="C115" s="21"/>
    </row>
    <row r="116" ht="14.25" customHeight="1">
      <c r="C116" s="21"/>
    </row>
    <row r="117" ht="14.25" customHeight="1">
      <c r="C117" s="21"/>
    </row>
    <row r="118" ht="14.25" customHeight="1">
      <c r="C118" s="21"/>
    </row>
    <row r="119" ht="14.25" customHeight="1">
      <c r="C119" s="21"/>
    </row>
    <row r="120" ht="14.25" customHeight="1">
      <c r="C120" s="21"/>
    </row>
    <row r="121" ht="14.25" customHeight="1">
      <c r="C121" s="21"/>
    </row>
    <row r="122" ht="14.25" customHeight="1">
      <c r="C122" s="21"/>
    </row>
    <row r="123" ht="14.25" customHeight="1">
      <c r="C123" s="21"/>
    </row>
    <row r="124" ht="14.25" customHeight="1">
      <c r="C124" s="21"/>
    </row>
    <row r="125" ht="14.25" customHeight="1">
      <c r="C125" s="21"/>
    </row>
    <row r="126" ht="14.25" customHeight="1">
      <c r="C126" s="21"/>
    </row>
    <row r="127" ht="14.25" customHeight="1">
      <c r="C127" s="21"/>
    </row>
    <row r="128" ht="14.25" customHeight="1">
      <c r="C128" s="21"/>
    </row>
    <row r="129" ht="14.25" customHeight="1">
      <c r="C129" s="21"/>
    </row>
    <row r="130" ht="14.25" customHeight="1">
      <c r="C130" s="21"/>
    </row>
    <row r="131" ht="14.25" customHeight="1">
      <c r="C131" s="21"/>
    </row>
    <row r="132" ht="14.25" customHeight="1">
      <c r="C132" s="21"/>
    </row>
    <row r="133" ht="14.25" customHeight="1">
      <c r="C133" s="21"/>
    </row>
    <row r="134" ht="14.25" customHeight="1">
      <c r="C134" s="21"/>
    </row>
    <row r="135" ht="14.25" customHeight="1">
      <c r="C135" s="21"/>
    </row>
    <row r="136" ht="14.25" customHeight="1">
      <c r="C136" s="21"/>
    </row>
    <row r="137" ht="14.25" customHeight="1">
      <c r="C137" s="21"/>
    </row>
    <row r="138" ht="14.25" customHeight="1">
      <c r="C138" s="21"/>
    </row>
    <row r="139" ht="14.25" customHeight="1">
      <c r="C139" s="21"/>
    </row>
    <row r="140" ht="14.25" customHeight="1">
      <c r="C140" s="21"/>
    </row>
    <row r="141" ht="14.25" customHeight="1">
      <c r="C141" s="21"/>
    </row>
    <row r="142" ht="14.25" customHeight="1">
      <c r="C142" s="21"/>
    </row>
    <row r="143" ht="14.25" customHeight="1">
      <c r="C143" s="21"/>
    </row>
    <row r="144" ht="14.25" customHeight="1">
      <c r="C144" s="21"/>
    </row>
    <row r="145" ht="14.25" customHeight="1">
      <c r="C145" s="21"/>
    </row>
    <row r="146" ht="14.25" customHeight="1">
      <c r="C146" s="21"/>
    </row>
    <row r="147" ht="14.25" customHeight="1">
      <c r="C147" s="21"/>
    </row>
    <row r="148" ht="14.25" customHeight="1">
      <c r="C148" s="21"/>
    </row>
    <row r="149" ht="14.25" customHeight="1">
      <c r="C149" s="21"/>
    </row>
    <row r="150" ht="14.25" customHeight="1">
      <c r="C150" s="21"/>
    </row>
    <row r="151" ht="14.25" customHeight="1">
      <c r="C151" s="21"/>
    </row>
    <row r="152" ht="14.25" customHeight="1">
      <c r="C152" s="21"/>
    </row>
    <row r="153" ht="14.25" customHeight="1">
      <c r="C153" s="21"/>
    </row>
    <row r="154" ht="14.25" customHeight="1">
      <c r="C154" s="21"/>
    </row>
    <row r="155" ht="14.25" customHeight="1">
      <c r="C155" s="21"/>
    </row>
    <row r="156" ht="14.25" customHeight="1">
      <c r="C156" s="21"/>
    </row>
    <row r="157" ht="14.25" customHeight="1">
      <c r="C157" s="21"/>
    </row>
    <row r="158" ht="14.25" customHeight="1">
      <c r="C158" s="21"/>
    </row>
    <row r="159" ht="14.25" customHeight="1">
      <c r="C159" s="21"/>
    </row>
    <row r="160" ht="14.25" customHeight="1">
      <c r="C160" s="21"/>
    </row>
    <row r="161" ht="14.25" customHeight="1">
      <c r="C161" s="21"/>
    </row>
    <row r="162" ht="14.25" customHeight="1">
      <c r="C162" s="21"/>
    </row>
    <row r="163" ht="14.25" customHeight="1">
      <c r="C163" s="21"/>
    </row>
    <row r="164" ht="14.25" customHeight="1">
      <c r="C164" s="21"/>
    </row>
    <row r="165" ht="14.25" customHeight="1">
      <c r="C165" s="21"/>
    </row>
    <row r="166" ht="14.25" customHeight="1">
      <c r="C166" s="21"/>
    </row>
    <row r="167" ht="14.25" customHeight="1">
      <c r="C167" s="21"/>
    </row>
    <row r="168" ht="14.25" customHeight="1">
      <c r="C168" s="21"/>
    </row>
    <row r="169" ht="14.25" customHeight="1">
      <c r="C169" s="21"/>
    </row>
    <row r="170" ht="14.25" customHeight="1">
      <c r="C170" s="21"/>
    </row>
    <row r="171" ht="14.25" customHeight="1">
      <c r="C171" s="21"/>
    </row>
    <row r="172" ht="14.25" customHeight="1">
      <c r="C172" s="21"/>
    </row>
    <row r="173" ht="14.25" customHeight="1">
      <c r="C173" s="21"/>
    </row>
    <row r="174" ht="14.25" customHeight="1">
      <c r="C174" s="21"/>
    </row>
    <row r="175" ht="14.25" customHeight="1">
      <c r="C175" s="21"/>
    </row>
    <row r="176" ht="14.25" customHeight="1">
      <c r="C176" s="21"/>
    </row>
    <row r="177" ht="14.25" customHeight="1">
      <c r="C177" s="21"/>
    </row>
    <row r="178" ht="14.25" customHeight="1">
      <c r="C178" s="21"/>
    </row>
    <row r="179" ht="14.25" customHeight="1">
      <c r="C179" s="21"/>
    </row>
    <row r="180" ht="14.25" customHeight="1">
      <c r="C180" s="21"/>
    </row>
    <row r="181" ht="14.25" customHeight="1">
      <c r="C181" s="21"/>
    </row>
    <row r="182" ht="14.25" customHeight="1">
      <c r="C182" s="21"/>
    </row>
    <row r="183" ht="14.25" customHeight="1">
      <c r="C183" s="21"/>
    </row>
    <row r="184" ht="14.25" customHeight="1">
      <c r="C184" s="21"/>
    </row>
    <row r="185" ht="14.25" customHeight="1">
      <c r="C185" s="21"/>
    </row>
    <row r="186" ht="14.25" customHeight="1">
      <c r="C186" s="21"/>
    </row>
    <row r="187" ht="14.25" customHeight="1">
      <c r="C187" s="21"/>
    </row>
    <row r="188" ht="14.25" customHeight="1">
      <c r="C188" s="21"/>
    </row>
    <row r="189" ht="14.25" customHeight="1">
      <c r="C189" s="21"/>
    </row>
    <row r="190" ht="14.25" customHeight="1">
      <c r="C190" s="21"/>
    </row>
    <row r="191" ht="14.25" customHeight="1">
      <c r="C191" s="21"/>
    </row>
    <row r="192" ht="14.25" customHeight="1">
      <c r="C192" s="21"/>
    </row>
    <row r="193" ht="14.25" customHeight="1">
      <c r="C193" s="21"/>
    </row>
    <row r="194" ht="14.25" customHeight="1">
      <c r="C194" s="21"/>
    </row>
    <row r="195" ht="14.25" customHeight="1">
      <c r="C195" s="21"/>
    </row>
    <row r="196" ht="14.25" customHeight="1">
      <c r="C196" s="21"/>
    </row>
    <row r="197" ht="14.25" customHeight="1">
      <c r="C197" s="21"/>
    </row>
    <row r="198" ht="14.25" customHeight="1">
      <c r="C198" s="21"/>
    </row>
    <row r="199" ht="14.25" customHeight="1">
      <c r="C199" s="21"/>
    </row>
    <row r="200" ht="14.25" customHeight="1">
      <c r="C200" s="21"/>
    </row>
    <row r="201" ht="14.25" customHeight="1">
      <c r="C201" s="21"/>
    </row>
    <row r="202" ht="14.25" customHeight="1">
      <c r="C202" s="21"/>
    </row>
    <row r="203" ht="14.25" customHeight="1">
      <c r="C203" s="21"/>
    </row>
    <row r="204" ht="14.25" customHeight="1">
      <c r="C204" s="21"/>
    </row>
    <row r="205" ht="14.25" customHeight="1">
      <c r="C205" s="21"/>
    </row>
    <row r="206" ht="14.25" customHeight="1">
      <c r="C206" s="21"/>
    </row>
    <row r="207" ht="14.25" customHeight="1">
      <c r="C207" s="21"/>
    </row>
    <row r="208" ht="14.25" customHeight="1">
      <c r="C208" s="21"/>
    </row>
    <row r="209" ht="14.25" customHeight="1">
      <c r="C209" s="21"/>
    </row>
    <row r="210" ht="14.25" customHeight="1">
      <c r="C210" s="21"/>
    </row>
    <row r="211" ht="14.25" customHeight="1">
      <c r="C211" s="21"/>
    </row>
    <row r="212" ht="14.25" customHeight="1">
      <c r="C212" s="21"/>
    </row>
    <row r="213" ht="14.25" customHeight="1">
      <c r="C213" s="21"/>
    </row>
    <row r="214" ht="14.25" customHeight="1">
      <c r="C214" s="21"/>
    </row>
    <row r="215" ht="14.25" customHeight="1">
      <c r="C215" s="21"/>
    </row>
    <row r="216" ht="14.25" customHeight="1">
      <c r="C216" s="21"/>
    </row>
    <row r="217" ht="14.25" customHeight="1">
      <c r="C217" s="21"/>
    </row>
    <row r="218" ht="14.25" customHeight="1">
      <c r="C218" s="21"/>
    </row>
    <row r="219" ht="14.25" customHeight="1">
      <c r="C219" s="21"/>
    </row>
    <row r="220" ht="14.25" customHeight="1">
      <c r="C220" s="21"/>
    </row>
    <row r="221" ht="14.25" customHeight="1">
      <c r="C221" s="21"/>
    </row>
    <row r="222" ht="14.25" customHeight="1">
      <c r="C222" s="21"/>
    </row>
    <row r="223" ht="14.25" customHeight="1">
      <c r="C223" s="21"/>
    </row>
    <row r="224" ht="14.25" customHeight="1">
      <c r="C224" s="21"/>
    </row>
    <row r="225" ht="14.25" customHeight="1">
      <c r="C225" s="21"/>
    </row>
    <row r="226" ht="14.25" customHeight="1">
      <c r="C226" s="21"/>
    </row>
    <row r="227" ht="14.25" customHeight="1">
      <c r="C227" s="21"/>
    </row>
    <row r="228" ht="14.25" customHeight="1">
      <c r="C228" s="21"/>
    </row>
    <row r="229" ht="14.25" customHeight="1">
      <c r="C229" s="21"/>
    </row>
    <row r="230" ht="14.25" customHeight="1">
      <c r="C230" s="21"/>
    </row>
    <row r="231" ht="14.25" customHeight="1">
      <c r="C231" s="21"/>
    </row>
    <row r="232" ht="14.25" customHeight="1">
      <c r="C232" s="21"/>
    </row>
    <row r="233" ht="14.25" customHeight="1">
      <c r="C233" s="21"/>
    </row>
    <row r="234" ht="14.25" customHeight="1">
      <c r="C234" s="21"/>
    </row>
    <row r="235" ht="14.25" customHeight="1">
      <c r="C235" s="21"/>
    </row>
    <row r="236" ht="14.25" customHeight="1">
      <c r="C236" s="21"/>
    </row>
    <row r="237" ht="14.25" customHeight="1">
      <c r="C237" s="21"/>
    </row>
    <row r="238" ht="14.25" customHeight="1">
      <c r="C238" s="21"/>
    </row>
    <row r="239" ht="14.25" customHeight="1">
      <c r="C239" s="21"/>
    </row>
    <row r="240" ht="14.25" customHeight="1">
      <c r="C240" s="21"/>
    </row>
    <row r="241" ht="14.25" customHeight="1">
      <c r="C241" s="21"/>
    </row>
    <row r="242" ht="14.25" customHeight="1">
      <c r="C242" s="21"/>
    </row>
    <row r="243" ht="14.25" customHeight="1">
      <c r="C243" s="21"/>
    </row>
    <row r="244" ht="14.25" customHeight="1">
      <c r="C244" s="21"/>
    </row>
    <row r="245" ht="14.25" customHeight="1">
      <c r="C245" s="21"/>
    </row>
    <row r="246" ht="14.25" customHeight="1">
      <c r="C246" s="21"/>
    </row>
    <row r="247" ht="14.25" customHeight="1">
      <c r="C247" s="21"/>
    </row>
    <row r="248" ht="14.25" customHeight="1">
      <c r="C248" s="21"/>
    </row>
    <row r="249" ht="14.25" customHeight="1">
      <c r="C249" s="21"/>
    </row>
    <row r="250" ht="14.25" customHeight="1">
      <c r="C250" s="21"/>
    </row>
    <row r="251" ht="14.25" customHeight="1">
      <c r="C251" s="21"/>
    </row>
    <row r="252" ht="14.25" customHeight="1">
      <c r="C252" s="21"/>
    </row>
    <row r="253" ht="14.25" customHeight="1">
      <c r="C253" s="21"/>
    </row>
    <row r="254" ht="14.25" customHeight="1">
      <c r="C254" s="21"/>
    </row>
    <row r="255" ht="14.25" customHeight="1">
      <c r="C255" s="21"/>
    </row>
    <row r="256" ht="14.25" customHeight="1">
      <c r="C256" s="21"/>
    </row>
    <row r="257" ht="14.25" customHeight="1">
      <c r="C257" s="21"/>
    </row>
    <row r="258" ht="14.25" customHeight="1">
      <c r="C258" s="21"/>
    </row>
    <row r="259" ht="14.25" customHeight="1">
      <c r="C259" s="21"/>
    </row>
    <row r="260" ht="14.25" customHeight="1">
      <c r="C260" s="21"/>
    </row>
    <row r="261" ht="14.25" customHeight="1">
      <c r="C261" s="21"/>
    </row>
    <row r="262" ht="14.25" customHeight="1">
      <c r="C262" s="21"/>
    </row>
    <row r="263" ht="14.25" customHeight="1">
      <c r="C263" s="21"/>
    </row>
    <row r="264" ht="14.25" customHeight="1">
      <c r="C264" s="21"/>
    </row>
    <row r="265" ht="14.25" customHeight="1">
      <c r="C265" s="21"/>
    </row>
    <row r="266" ht="14.25" customHeight="1">
      <c r="C266" s="21"/>
    </row>
    <row r="267" ht="14.25" customHeight="1">
      <c r="C267" s="21"/>
    </row>
    <row r="268" ht="14.25" customHeight="1">
      <c r="C268" s="21"/>
    </row>
    <row r="269" ht="14.25" customHeight="1">
      <c r="C269" s="21"/>
    </row>
    <row r="270" ht="14.25" customHeight="1">
      <c r="C270" s="21"/>
    </row>
    <row r="271" ht="14.25" customHeight="1">
      <c r="C271" s="21"/>
    </row>
    <row r="272" ht="14.25" customHeight="1">
      <c r="C272" s="21"/>
    </row>
    <row r="273" ht="14.25" customHeight="1">
      <c r="C273" s="21"/>
    </row>
    <row r="274" ht="14.25" customHeight="1">
      <c r="C274" s="21"/>
    </row>
    <row r="275" ht="14.25" customHeight="1">
      <c r="C275" s="21"/>
    </row>
    <row r="276" ht="14.25" customHeight="1">
      <c r="C276" s="21"/>
    </row>
    <row r="277" ht="14.25" customHeight="1">
      <c r="C277" s="21"/>
    </row>
    <row r="278" ht="14.25" customHeight="1">
      <c r="C278" s="21"/>
    </row>
    <row r="279" ht="14.25" customHeight="1">
      <c r="C279" s="21"/>
    </row>
    <row r="280" ht="14.25" customHeight="1">
      <c r="C280" s="21"/>
    </row>
    <row r="281" ht="14.25" customHeight="1">
      <c r="C281" s="21"/>
    </row>
    <row r="282" ht="14.25" customHeight="1">
      <c r="C282" s="21"/>
    </row>
    <row r="283" ht="14.25" customHeight="1">
      <c r="C283" s="21"/>
    </row>
    <row r="284" ht="14.25" customHeight="1">
      <c r="C284" s="21"/>
    </row>
    <row r="285" ht="14.25" customHeight="1">
      <c r="C285" s="21"/>
    </row>
    <row r="286" ht="14.25" customHeight="1">
      <c r="C286" s="21"/>
    </row>
    <row r="287" ht="14.25" customHeight="1">
      <c r="C287" s="21"/>
    </row>
    <row r="288" ht="14.25" customHeight="1">
      <c r="C288" s="21"/>
    </row>
    <row r="289" ht="14.25" customHeight="1">
      <c r="C289" s="21"/>
    </row>
    <row r="290" ht="14.25" customHeight="1">
      <c r="C290" s="21"/>
    </row>
    <row r="291" ht="14.25" customHeight="1">
      <c r="C291" s="21"/>
    </row>
    <row r="292" ht="14.25" customHeight="1">
      <c r="C292" s="21"/>
    </row>
    <row r="293" ht="14.25" customHeight="1">
      <c r="C293" s="21"/>
    </row>
    <row r="294" ht="14.25" customHeight="1">
      <c r="C294" s="21"/>
    </row>
    <row r="295" ht="14.25" customHeight="1">
      <c r="C295" s="21"/>
    </row>
    <row r="296" ht="14.25" customHeight="1">
      <c r="C296" s="21"/>
    </row>
    <row r="297" ht="14.25" customHeight="1">
      <c r="C297" s="21"/>
    </row>
    <row r="298" ht="14.25" customHeight="1">
      <c r="C298" s="21"/>
    </row>
    <row r="299" ht="14.25" customHeight="1">
      <c r="C299" s="21"/>
    </row>
    <row r="300" ht="14.25" customHeight="1">
      <c r="C300" s="21"/>
    </row>
    <row r="301" ht="14.25" customHeight="1">
      <c r="C301" s="21"/>
    </row>
    <row r="302" ht="14.25" customHeight="1">
      <c r="C302" s="21"/>
    </row>
    <row r="303" ht="14.25" customHeight="1">
      <c r="C303" s="21"/>
    </row>
    <row r="304" ht="14.25" customHeight="1">
      <c r="C304" s="21"/>
    </row>
    <row r="305" ht="14.25" customHeight="1">
      <c r="C305" s="21"/>
    </row>
    <row r="306" ht="14.25" customHeight="1">
      <c r="C306" s="21"/>
    </row>
    <row r="307" ht="14.25" customHeight="1">
      <c r="C307" s="21"/>
    </row>
    <row r="308" ht="14.25" customHeight="1">
      <c r="C308" s="21"/>
    </row>
    <row r="309" ht="14.25" customHeight="1">
      <c r="C309" s="21"/>
    </row>
    <row r="310" ht="14.25" customHeight="1">
      <c r="C310" s="21"/>
    </row>
    <row r="311" ht="14.25" customHeight="1">
      <c r="C311" s="21"/>
    </row>
    <row r="312" ht="14.25" customHeight="1">
      <c r="C312" s="21"/>
    </row>
    <row r="313" ht="14.25" customHeight="1">
      <c r="C313" s="21"/>
    </row>
    <row r="314" ht="14.25" customHeight="1">
      <c r="C314" s="21"/>
    </row>
    <row r="315" ht="14.25" customHeight="1">
      <c r="C315" s="21"/>
    </row>
    <row r="316" ht="14.25" customHeight="1">
      <c r="C316" s="21"/>
    </row>
    <row r="317" ht="14.25" customHeight="1">
      <c r="C317" s="21"/>
    </row>
    <row r="318" ht="14.25" customHeight="1">
      <c r="C318" s="21"/>
    </row>
    <row r="319" ht="14.25" customHeight="1">
      <c r="C319" s="21"/>
    </row>
    <row r="320" ht="14.25" customHeight="1">
      <c r="C320" s="21"/>
    </row>
    <row r="321" ht="14.25" customHeight="1">
      <c r="C321" s="21"/>
    </row>
    <row r="322" ht="14.25" customHeight="1">
      <c r="C322" s="21"/>
    </row>
    <row r="323" ht="14.25" customHeight="1">
      <c r="C323" s="21"/>
    </row>
    <row r="324" ht="14.25" customHeight="1">
      <c r="C324" s="21"/>
    </row>
    <row r="325" ht="14.25" customHeight="1">
      <c r="C325" s="21"/>
    </row>
    <row r="326" ht="14.25" customHeight="1">
      <c r="C326" s="21"/>
    </row>
    <row r="327" ht="14.25" customHeight="1">
      <c r="C327" s="21"/>
    </row>
    <row r="328" ht="14.25" customHeight="1">
      <c r="C328" s="21"/>
    </row>
    <row r="329" ht="14.25" customHeight="1">
      <c r="C329" s="21"/>
    </row>
    <row r="330" ht="14.25" customHeight="1">
      <c r="C330" s="21"/>
    </row>
    <row r="331" ht="14.25" customHeight="1">
      <c r="C331" s="21"/>
    </row>
    <row r="332" ht="14.25" customHeight="1">
      <c r="C332" s="21"/>
    </row>
    <row r="333" ht="14.25" customHeight="1">
      <c r="C333" s="21"/>
    </row>
    <row r="334" ht="14.25" customHeight="1">
      <c r="C334" s="21"/>
    </row>
    <row r="335" ht="14.25" customHeight="1">
      <c r="C335" s="21"/>
    </row>
    <row r="336" ht="14.25" customHeight="1">
      <c r="C336" s="21"/>
    </row>
    <row r="337" ht="14.25" customHeight="1">
      <c r="C337" s="21"/>
    </row>
    <row r="338" ht="14.25" customHeight="1">
      <c r="C338" s="21"/>
    </row>
    <row r="339" ht="14.25" customHeight="1">
      <c r="C339" s="21"/>
    </row>
    <row r="340" ht="14.25" customHeight="1">
      <c r="C340" s="21"/>
    </row>
    <row r="341" ht="14.25" customHeight="1">
      <c r="C341" s="21"/>
    </row>
    <row r="342" ht="14.25" customHeight="1">
      <c r="C342" s="21"/>
    </row>
    <row r="343" ht="14.25" customHeight="1">
      <c r="C343" s="21"/>
    </row>
    <row r="344" ht="14.25" customHeight="1">
      <c r="C344" s="21"/>
    </row>
    <row r="345" ht="14.25" customHeight="1">
      <c r="C345" s="21"/>
    </row>
    <row r="346" ht="14.25" customHeight="1">
      <c r="C346" s="21"/>
    </row>
    <row r="347" ht="14.25" customHeight="1">
      <c r="C347" s="21"/>
    </row>
    <row r="348" ht="14.25" customHeight="1">
      <c r="C348" s="21"/>
    </row>
    <row r="349" ht="14.25" customHeight="1">
      <c r="C349" s="21"/>
    </row>
    <row r="350" ht="14.25" customHeight="1">
      <c r="C350" s="21"/>
    </row>
    <row r="351" ht="14.25" customHeight="1">
      <c r="C351" s="21"/>
    </row>
    <row r="352" ht="14.25" customHeight="1">
      <c r="C352" s="21"/>
    </row>
    <row r="353" ht="14.25" customHeight="1">
      <c r="C353" s="21"/>
    </row>
    <row r="354" ht="14.25" customHeight="1">
      <c r="C354" s="21"/>
    </row>
    <row r="355" ht="14.25" customHeight="1">
      <c r="C355" s="21"/>
    </row>
    <row r="356" ht="14.25" customHeight="1">
      <c r="C356" s="21"/>
    </row>
    <row r="357" ht="14.25" customHeight="1">
      <c r="C357" s="21"/>
    </row>
    <row r="358" ht="14.25" customHeight="1">
      <c r="C358" s="21"/>
    </row>
    <row r="359" ht="14.25" customHeight="1">
      <c r="C359" s="21"/>
    </row>
    <row r="360" ht="14.25" customHeight="1">
      <c r="C360" s="21"/>
    </row>
    <row r="361" ht="14.25" customHeight="1">
      <c r="C361" s="21"/>
    </row>
    <row r="362" ht="14.25" customHeight="1">
      <c r="C362" s="21"/>
    </row>
    <row r="363" ht="14.25" customHeight="1">
      <c r="C363" s="21"/>
    </row>
    <row r="364" ht="14.25" customHeight="1">
      <c r="C364" s="21"/>
    </row>
    <row r="365" ht="14.25" customHeight="1">
      <c r="C365" s="21"/>
    </row>
    <row r="366" ht="14.25" customHeight="1">
      <c r="C366" s="21"/>
    </row>
    <row r="367" ht="14.25" customHeight="1">
      <c r="C367" s="21"/>
    </row>
    <row r="368" ht="14.25" customHeight="1">
      <c r="C368" s="21"/>
    </row>
    <row r="369" ht="14.25" customHeight="1">
      <c r="C369" s="21"/>
    </row>
    <row r="370" ht="14.25" customHeight="1">
      <c r="C370" s="21"/>
    </row>
    <row r="371" ht="14.25" customHeight="1">
      <c r="C371" s="21"/>
    </row>
    <row r="372" ht="14.25" customHeight="1">
      <c r="C372" s="21"/>
    </row>
    <row r="373" ht="14.25" customHeight="1">
      <c r="C373" s="21"/>
    </row>
    <row r="374" ht="14.25" customHeight="1">
      <c r="C374" s="21"/>
    </row>
    <row r="375" ht="14.25" customHeight="1">
      <c r="C375" s="21"/>
    </row>
    <row r="376" ht="14.25" customHeight="1">
      <c r="C376" s="21"/>
    </row>
    <row r="377" ht="14.25" customHeight="1">
      <c r="C377" s="21"/>
    </row>
    <row r="378" ht="14.25" customHeight="1">
      <c r="C378" s="21"/>
    </row>
    <row r="379" ht="14.25" customHeight="1">
      <c r="C379" s="21"/>
    </row>
    <row r="380" ht="14.25" customHeight="1">
      <c r="C380" s="21"/>
    </row>
    <row r="381" ht="14.25" customHeight="1">
      <c r="C381" s="21"/>
    </row>
    <row r="382" ht="14.25" customHeight="1">
      <c r="C382" s="21"/>
    </row>
    <row r="383" ht="14.25" customHeight="1">
      <c r="C383" s="21"/>
    </row>
    <row r="384" ht="14.25" customHeight="1">
      <c r="C384" s="21"/>
    </row>
    <row r="385" ht="14.25" customHeight="1">
      <c r="C385" s="21"/>
    </row>
    <row r="386" ht="14.25" customHeight="1">
      <c r="C386" s="21"/>
    </row>
    <row r="387" ht="14.25" customHeight="1">
      <c r="C387" s="21"/>
    </row>
    <row r="388" ht="14.25" customHeight="1">
      <c r="C388" s="21"/>
    </row>
    <row r="389" ht="14.25" customHeight="1">
      <c r="C389" s="21"/>
    </row>
    <row r="390" ht="14.25" customHeight="1">
      <c r="C390" s="21"/>
    </row>
    <row r="391" ht="14.25" customHeight="1">
      <c r="C391" s="21"/>
    </row>
    <row r="392" ht="14.25" customHeight="1">
      <c r="C392" s="21"/>
    </row>
    <row r="393" ht="14.25" customHeight="1">
      <c r="C393" s="21"/>
    </row>
    <row r="394" ht="14.25" customHeight="1">
      <c r="C394" s="21"/>
    </row>
    <row r="395" ht="14.25" customHeight="1">
      <c r="C395" s="21"/>
    </row>
    <row r="396" ht="14.25" customHeight="1">
      <c r="C396" s="21"/>
    </row>
    <row r="397" ht="14.25" customHeight="1">
      <c r="C397" s="21"/>
    </row>
    <row r="398" ht="14.25" customHeight="1">
      <c r="C398" s="21"/>
    </row>
    <row r="399" ht="14.25" customHeight="1">
      <c r="C399" s="21"/>
    </row>
    <row r="400" ht="14.25" customHeight="1">
      <c r="C400" s="21"/>
    </row>
    <row r="401" ht="14.25" customHeight="1">
      <c r="C401" s="21"/>
    </row>
    <row r="402" ht="14.25" customHeight="1">
      <c r="C402" s="21"/>
    </row>
    <row r="403" ht="14.25" customHeight="1">
      <c r="C403" s="21"/>
    </row>
    <row r="404" ht="14.25" customHeight="1">
      <c r="C404" s="21"/>
    </row>
    <row r="405" ht="14.25" customHeight="1">
      <c r="C405" s="21"/>
    </row>
    <row r="406" ht="14.25" customHeight="1">
      <c r="C406" s="21"/>
    </row>
    <row r="407" ht="14.25" customHeight="1">
      <c r="C407" s="21"/>
    </row>
    <row r="408" ht="14.25" customHeight="1">
      <c r="C408" s="21"/>
    </row>
    <row r="409" ht="14.25" customHeight="1">
      <c r="C409" s="21"/>
    </row>
    <row r="410" ht="14.25" customHeight="1">
      <c r="C410" s="21"/>
    </row>
    <row r="411" ht="14.25" customHeight="1">
      <c r="C411" s="21"/>
    </row>
    <row r="412" ht="14.25" customHeight="1">
      <c r="C412" s="21"/>
    </row>
    <row r="413" ht="14.25" customHeight="1">
      <c r="C413" s="21"/>
    </row>
    <row r="414" ht="14.25" customHeight="1">
      <c r="C414" s="21"/>
    </row>
    <row r="415" ht="14.25" customHeight="1">
      <c r="C415" s="21"/>
    </row>
    <row r="416" ht="14.25" customHeight="1">
      <c r="C416" s="21"/>
    </row>
    <row r="417" ht="14.25" customHeight="1">
      <c r="C417" s="21"/>
    </row>
    <row r="418" ht="14.25" customHeight="1">
      <c r="C418" s="21"/>
    </row>
    <row r="419" ht="14.25" customHeight="1">
      <c r="C419" s="21"/>
    </row>
    <row r="420" ht="14.25" customHeight="1">
      <c r="C420" s="21"/>
    </row>
    <row r="421" ht="14.25" customHeight="1">
      <c r="C421" s="21"/>
    </row>
    <row r="422" ht="14.25" customHeight="1">
      <c r="C422" s="21"/>
    </row>
    <row r="423" ht="14.25" customHeight="1">
      <c r="C423" s="21"/>
    </row>
    <row r="424" ht="14.25" customHeight="1">
      <c r="C424" s="21"/>
    </row>
    <row r="425" ht="14.25" customHeight="1">
      <c r="C425" s="21"/>
    </row>
    <row r="426" ht="14.25" customHeight="1">
      <c r="C426" s="21"/>
    </row>
    <row r="427" ht="14.25" customHeight="1">
      <c r="C427" s="21"/>
    </row>
    <row r="428" ht="14.25" customHeight="1">
      <c r="C428" s="21"/>
    </row>
    <row r="429" ht="14.25" customHeight="1">
      <c r="C429" s="21"/>
    </row>
    <row r="430" ht="14.25" customHeight="1">
      <c r="C430" s="21"/>
    </row>
    <row r="431" ht="14.25" customHeight="1">
      <c r="C431" s="21"/>
    </row>
    <row r="432" ht="14.25" customHeight="1">
      <c r="C432" s="21"/>
    </row>
    <row r="433" ht="14.25" customHeight="1">
      <c r="C433" s="21"/>
    </row>
    <row r="434" ht="14.25" customHeight="1">
      <c r="C434" s="21"/>
    </row>
    <row r="435" ht="14.25" customHeight="1">
      <c r="C435" s="21"/>
    </row>
    <row r="436" ht="14.25" customHeight="1">
      <c r="C436" s="21"/>
    </row>
    <row r="437" ht="14.25" customHeight="1">
      <c r="C437" s="21"/>
    </row>
    <row r="438" ht="14.25" customHeight="1">
      <c r="C438" s="21"/>
    </row>
    <row r="439" ht="14.25" customHeight="1">
      <c r="C439" s="21"/>
    </row>
    <row r="440" ht="14.25" customHeight="1">
      <c r="C440" s="21"/>
    </row>
    <row r="441" ht="14.25" customHeight="1">
      <c r="C441" s="21"/>
    </row>
    <row r="442" ht="14.25" customHeight="1">
      <c r="C442" s="21"/>
    </row>
    <row r="443" ht="14.25" customHeight="1">
      <c r="C443" s="21"/>
    </row>
    <row r="444" ht="14.25" customHeight="1">
      <c r="C444" s="21"/>
    </row>
    <row r="445" ht="14.25" customHeight="1">
      <c r="C445" s="21"/>
    </row>
    <row r="446" ht="14.25" customHeight="1">
      <c r="C446" s="21"/>
    </row>
    <row r="447" ht="14.25" customHeight="1">
      <c r="C447" s="21"/>
    </row>
    <row r="448" ht="14.25" customHeight="1">
      <c r="C448" s="21"/>
    </row>
    <row r="449" ht="14.25" customHeight="1">
      <c r="C449" s="21"/>
    </row>
    <row r="450" ht="14.25" customHeight="1">
      <c r="C450" s="21"/>
    </row>
    <row r="451" ht="14.25" customHeight="1">
      <c r="C451" s="21"/>
    </row>
    <row r="452" ht="14.25" customHeight="1">
      <c r="C452" s="21"/>
    </row>
    <row r="453" ht="14.25" customHeight="1">
      <c r="C453" s="21"/>
    </row>
    <row r="454" ht="14.25" customHeight="1">
      <c r="C454" s="21"/>
    </row>
    <row r="455" ht="14.25" customHeight="1">
      <c r="C455" s="21"/>
    </row>
    <row r="456" ht="14.25" customHeight="1">
      <c r="C456" s="21"/>
    </row>
    <row r="457" ht="14.25" customHeight="1">
      <c r="C457" s="21"/>
    </row>
    <row r="458" ht="14.25" customHeight="1">
      <c r="C458" s="21"/>
    </row>
    <row r="459" ht="14.25" customHeight="1">
      <c r="C459" s="21"/>
    </row>
    <row r="460" ht="14.25" customHeight="1">
      <c r="C460" s="21"/>
    </row>
    <row r="461" ht="14.25" customHeight="1">
      <c r="C461" s="21"/>
    </row>
    <row r="462" ht="14.25" customHeight="1">
      <c r="C462" s="21"/>
    </row>
    <row r="463" ht="14.25" customHeight="1">
      <c r="C463" s="21"/>
    </row>
    <row r="464" ht="14.25" customHeight="1">
      <c r="C464" s="21"/>
    </row>
    <row r="465" ht="14.25" customHeight="1">
      <c r="C465" s="21"/>
    </row>
    <row r="466" ht="14.25" customHeight="1">
      <c r="C466" s="21"/>
    </row>
    <row r="467" ht="14.25" customHeight="1">
      <c r="C467" s="21"/>
    </row>
    <row r="468" ht="14.25" customHeight="1">
      <c r="C468" s="21"/>
    </row>
    <row r="469" ht="14.25" customHeight="1">
      <c r="C469" s="21"/>
    </row>
    <row r="470" ht="14.25" customHeight="1">
      <c r="C470" s="21"/>
    </row>
    <row r="471" ht="14.25" customHeight="1">
      <c r="C471" s="21"/>
    </row>
    <row r="472" ht="14.25" customHeight="1">
      <c r="C472" s="21"/>
    </row>
    <row r="473" ht="14.25" customHeight="1">
      <c r="C473" s="21"/>
    </row>
    <row r="474" ht="14.25" customHeight="1">
      <c r="C474" s="21"/>
    </row>
    <row r="475" ht="14.25" customHeight="1">
      <c r="C475" s="21"/>
    </row>
    <row r="476" ht="14.25" customHeight="1">
      <c r="C476" s="21"/>
    </row>
    <row r="477" ht="14.25" customHeight="1">
      <c r="C477" s="21"/>
    </row>
    <row r="478" ht="14.25" customHeight="1">
      <c r="C478" s="21"/>
    </row>
    <row r="479" ht="14.25" customHeight="1">
      <c r="C479" s="21"/>
    </row>
    <row r="480" ht="14.25" customHeight="1">
      <c r="C480" s="21"/>
    </row>
    <row r="481" ht="14.25" customHeight="1">
      <c r="C481" s="21"/>
    </row>
    <row r="482" ht="14.25" customHeight="1">
      <c r="C482" s="21"/>
    </row>
    <row r="483" ht="14.25" customHeight="1">
      <c r="C483" s="21"/>
    </row>
    <row r="484" ht="14.25" customHeight="1">
      <c r="C484" s="21"/>
    </row>
    <row r="485" ht="14.25" customHeight="1">
      <c r="C485" s="21"/>
    </row>
    <row r="486" ht="14.25" customHeight="1">
      <c r="C486" s="21"/>
    </row>
    <row r="487" ht="14.25" customHeight="1">
      <c r="C487" s="21"/>
    </row>
    <row r="488" ht="14.25" customHeight="1">
      <c r="C488" s="21"/>
    </row>
    <row r="489" ht="14.25" customHeight="1">
      <c r="C489" s="21"/>
    </row>
    <row r="490" ht="14.25" customHeight="1">
      <c r="C490" s="21"/>
    </row>
    <row r="491" ht="14.25" customHeight="1">
      <c r="C491" s="21"/>
    </row>
    <row r="492" ht="14.25" customHeight="1">
      <c r="C492" s="21"/>
    </row>
    <row r="493" ht="14.25" customHeight="1">
      <c r="C493" s="21"/>
    </row>
    <row r="494" ht="14.25" customHeight="1">
      <c r="C494" s="21"/>
    </row>
    <row r="495" ht="14.25" customHeight="1">
      <c r="C495" s="21"/>
    </row>
    <row r="496" ht="14.25" customHeight="1">
      <c r="C496" s="21"/>
    </row>
    <row r="497" ht="14.25" customHeight="1">
      <c r="C497" s="21"/>
    </row>
    <row r="498" ht="14.25" customHeight="1">
      <c r="C498" s="21"/>
    </row>
    <row r="499" ht="14.25" customHeight="1">
      <c r="C499" s="21"/>
    </row>
    <row r="500" ht="14.25" customHeight="1">
      <c r="C500" s="21"/>
    </row>
    <row r="501" ht="14.25" customHeight="1">
      <c r="C501" s="21"/>
    </row>
    <row r="502" ht="14.25" customHeight="1">
      <c r="C502" s="21"/>
    </row>
    <row r="503" ht="14.25" customHeight="1">
      <c r="C503" s="21"/>
    </row>
    <row r="504" ht="14.25" customHeight="1">
      <c r="C504" s="21"/>
    </row>
    <row r="505" ht="14.25" customHeight="1">
      <c r="C505" s="21"/>
    </row>
    <row r="506" ht="14.25" customHeight="1">
      <c r="C506" s="21"/>
    </row>
    <row r="507" ht="14.25" customHeight="1">
      <c r="C507" s="21"/>
    </row>
    <row r="508" ht="14.25" customHeight="1">
      <c r="C508" s="21"/>
    </row>
    <row r="509" ht="14.25" customHeight="1">
      <c r="C509" s="21"/>
    </row>
    <row r="510" ht="14.25" customHeight="1">
      <c r="C510" s="21"/>
    </row>
    <row r="511" ht="14.25" customHeight="1">
      <c r="C511" s="21"/>
    </row>
    <row r="512" ht="14.25" customHeight="1">
      <c r="C512" s="21"/>
    </row>
    <row r="513" ht="14.25" customHeight="1">
      <c r="C513" s="21"/>
    </row>
    <row r="514" ht="14.25" customHeight="1">
      <c r="C514" s="21"/>
    </row>
    <row r="515" ht="14.25" customHeight="1">
      <c r="C515" s="21"/>
    </row>
    <row r="516" ht="14.25" customHeight="1">
      <c r="C516" s="21"/>
    </row>
    <row r="517" ht="14.25" customHeight="1">
      <c r="C517" s="21"/>
    </row>
    <row r="518" ht="14.25" customHeight="1">
      <c r="C518" s="21"/>
    </row>
    <row r="519" ht="14.25" customHeight="1">
      <c r="C519" s="21"/>
    </row>
    <row r="520" ht="14.25" customHeight="1">
      <c r="C520" s="21"/>
    </row>
    <row r="521" ht="14.25" customHeight="1">
      <c r="C521" s="21"/>
    </row>
    <row r="522" ht="14.25" customHeight="1">
      <c r="C522" s="21"/>
    </row>
    <row r="523" ht="14.25" customHeight="1">
      <c r="C523" s="21"/>
    </row>
    <row r="524" ht="14.25" customHeight="1">
      <c r="C524" s="21"/>
    </row>
    <row r="525" ht="14.25" customHeight="1">
      <c r="C525" s="21"/>
    </row>
    <row r="526" ht="14.25" customHeight="1">
      <c r="C526" s="21"/>
    </row>
    <row r="527" ht="14.25" customHeight="1">
      <c r="C527" s="21"/>
    </row>
    <row r="528" ht="14.25" customHeight="1">
      <c r="C528" s="21"/>
    </row>
    <row r="529" ht="14.25" customHeight="1">
      <c r="C529" s="21"/>
    </row>
    <row r="530" ht="14.25" customHeight="1">
      <c r="C530" s="21"/>
    </row>
    <row r="531" ht="14.25" customHeight="1">
      <c r="C531" s="21"/>
    </row>
    <row r="532" ht="14.25" customHeight="1">
      <c r="C532" s="21"/>
    </row>
    <row r="533" ht="14.25" customHeight="1">
      <c r="C533" s="21"/>
    </row>
    <row r="534" ht="14.25" customHeight="1">
      <c r="C534" s="21"/>
    </row>
    <row r="535" ht="14.25" customHeight="1">
      <c r="C535" s="21"/>
    </row>
    <row r="536" ht="14.25" customHeight="1">
      <c r="C536" s="21"/>
    </row>
    <row r="537" ht="14.25" customHeight="1">
      <c r="C537" s="21"/>
    </row>
    <row r="538" ht="14.25" customHeight="1">
      <c r="C538" s="21"/>
    </row>
    <row r="539" ht="14.25" customHeight="1">
      <c r="C539" s="21"/>
    </row>
    <row r="540" ht="14.25" customHeight="1">
      <c r="C540" s="21"/>
    </row>
    <row r="541" ht="14.25" customHeight="1">
      <c r="C541" s="21"/>
    </row>
    <row r="542" ht="14.25" customHeight="1">
      <c r="C542" s="21"/>
    </row>
    <row r="543" ht="14.25" customHeight="1">
      <c r="C543" s="21"/>
    </row>
    <row r="544" ht="14.25" customHeight="1">
      <c r="C544" s="21"/>
    </row>
    <row r="545" ht="14.25" customHeight="1">
      <c r="C545" s="21"/>
    </row>
    <row r="546" ht="14.25" customHeight="1">
      <c r="C546" s="21"/>
    </row>
    <row r="547" ht="14.25" customHeight="1">
      <c r="C547" s="21"/>
    </row>
    <row r="548" ht="14.25" customHeight="1">
      <c r="C548" s="21"/>
    </row>
    <row r="549" ht="14.25" customHeight="1">
      <c r="C549" s="21"/>
    </row>
    <row r="550" ht="14.25" customHeight="1">
      <c r="C550" s="21"/>
    </row>
    <row r="551" ht="14.25" customHeight="1">
      <c r="C551" s="21"/>
    </row>
    <row r="552" ht="14.25" customHeight="1">
      <c r="C552" s="21"/>
    </row>
    <row r="553" ht="14.25" customHeight="1">
      <c r="C553" s="21"/>
    </row>
    <row r="554" ht="14.25" customHeight="1">
      <c r="C554" s="21"/>
    </row>
    <row r="555" ht="14.25" customHeight="1">
      <c r="C555" s="21"/>
    </row>
    <row r="556" ht="14.25" customHeight="1">
      <c r="C556" s="21"/>
    </row>
    <row r="557" ht="14.25" customHeight="1">
      <c r="C557" s="21"/>
    </row>
    <row r="558" ht="14.25" customHeight="1">
      <c r="C558" s="21"/>
    </row>
    <row r="559" ht="14.25" customHeight="1">
      <c r="C559" s="21"/>
    </row>
    <row r="560" ht="14.25" customHeight="1">
      <c r="C560" s="21"/>
    </row>
    <row r="561" ht="14.25" customHeight="1">
      <c r="C561" s="21"/>
    </row>
    <row r="562" ht="14.25" customHeight="1">
      <c r="C562" s="21"/>
    </row>
    <row r="563" ht="14.25" customHeight="1">
      <c r="C563" s="21"/>
    </row>
    <row r="564" ht="14.25" customHeight="1">
      <c r="C564" s="21"/>
    </row>
    <row r="565" ht="14.25" customHeight="1">
      <c r="C565" s="21"/>
    </row>
    <row r="566" ht="14.25" customHeight="1">
      <c r="C566" s="21"/>
    </row>
    <row r="567" ht="14.25" customHeight="1">
      <c r="C567" s="21"/>
    </row>
    <row r="568" ht="14.25" customHeight="1">
      <c r="C568" s="21"/>
    </row>
    <row r="569" ht="14.25" customHeight="1">
      <c r="C569" s="21"/>
    </row>
    <row r="570" ht="14.25" customHeight="1">
      <c r="C570" s="21"/>
    </row>
    <row r="571" ht="14.25" customHeight="1">
      <c r="C571" s="21"/>
    </row>
    <row r="572" ht="14.25" customHeight="1">
      <c r="C572" s="21"/>
    </row>
    <row r="573" ht="14.25" customHeight="1">
      <c r="C573" s="21"/>
    </row>
    <row r="574" ht="14.25" customHeight="1">
      <c r="C574" s="21"/>
    </row>
    <row r="575" ht="14.25" customHeight="1">
      <c r="C575" s="21"/>
    </row>
    <row r="576" ht="14.25" customHeight="1">
      <c r="C576" s="21"/>
    </row>
    <row r="577" ht="14.25" customHeight="1">
      <c r="C577" s="21"/>
    </row>
    <row r="578" ht="14.25" customHeight="1">
      <c r="C578" s="21"/>
    </row>
    <row r="579" ht="14.25" customHeight="1">
      <c r="C579" s="21"/>
    </row>
    <row r="580" ht="14.25" customHeight="1">
      <c r="C580" s="21"/>
    </row>
    <row r="581" ht="14.25" customHeight="1">
      <c r="C581" s="21"/>
    </row>
    <row r="582" ht="14.25" customHeight="1">
      <c r="C582" s="21"/>
    </row>
    <row r="583" ht="14.25" customHeight="1">
      <c r="C583" s="21"/>
    </row>
    <row r="584" ht="14.25" customHeight="1">
      <c r="C584" s="21"/>
    </row>
    <row r="585" ht="14.25" customHeight="1">
      <c r="C585" s="21"/>
    </row>
    <row r="586" ht="14.25" customHeight="1">
      <c r="C586" s="21"/>
    </row>
    <row r="587" ht="14.25" customHeight="1">
      <c r="C587" s="21"/>
    </row>
    <row r="588" ht="14.25" customHeight="1">
      <c r="C588" s="21"/>
    </row>
    <row r="589" ht="14.25" customHeight="1">
      <c r="C589" s="21"/>
    </row>
    <row r="590" ht="14.25" customHeight="1">
      <c r="C590" s="21"/>
    </row>
    <row r="591" ht="14.25" customHeight="1">
      <c r="C591" s="21"/>
    </row>
    <row r="592" ht="14.25" customHeight="1">
      <c r="C592" s="21"/>
    </row>
    <row r="593" ht="14.25" customHeight="1">
      <c r="C593" s="21"/>
    </row>
    <row r="594" ht="14.25" customHeight="1">
      <c r="C594" s="21"/>
    </row>
    <row r="595" ht="14.25" customHeight="1">
      <c r="C595" s="21"/>
    </row>
    <row r="596" ht="14.25" customHeight="1">
      <c r="C596" s="21"/>
    </row>
    <row r="597" ht="14.25" customHeight="1">
      <c r="C597" s="21"/>
    </row>
    <row r="598" ht="14.25" customHeight="1">
      <c r="C598" s="21"/>
    </row>
    <row r="599" ht="14.25" customHeight="1">
      <c r="C599" s="21"/>
    </row>
    <row r="600" ht="14.25" customHeight="1">
      <c r="C600" s="21"/>
    </row>
    <row r="601" ht="14.25" customHeight="1">
      <c r="C601" s="21"/>
    </row>
    <row r="602" ht="14.25" customHeight="1">
      <c r="C602" s="21"/>
    </row>
    <row r="603" ht="14.25" customHeight="1">
      <c r="C603" s="21"/>
    </row>
    <row r="604" ht="14.25" customHeight="1">
      <c r="C604" s="21"/>
    </row>
    <row r="605" ht="14.25" customHeight="1">
      <c r="C605" s="21"/>
    </row>
    <row r="606" ht="14.25" customHeight="1">
      <c r="C606" s="21"/>
    </row>
    <row r="607" ht="14.25" customHeight="1">
      <c r="C607" s="21"/>
    </row>
    <row r="608" ht="14.25" customHeight="1">
      <c r="C608" s="21"/>
    </row>
    <row r="609" ht="14.25" customHeight="1">
      <c r="C609" s="21"/>
    </row>
    <row r="610" ht="14.25" customHeight="1">
      <c r="C610" s="21"/>
    </row>
    <row r="611" ht="14.25" customHeight="1">
      <c r="C611" s="21"/>
    </row>
    <row r="612" ht="14.25" customHeight="1">
      <c r="C612" s="21"/>
    </row>
    <row r="613" ht="14.25" customHeight="1">
      <c r="C613" s="21"/>
    </row>
    <row r="614" ht="14.25" customHeight="1">
      <c r="C614" s="21"/>
    </row>
    <row r="615" ht="14.25" customHeight="1">
      <c r="C615" s="21"/>
    </row>
    <row r="616" ht="14.25" customHeight="1">
      <c r="C616" s="21"/>
    </row>
    <row r="617" ht="14.25" customHeight="1">
      <c r="C617" s="21"/>
    </row>
    <row r="618" ht="14.25" customHeight="1">
      <c r="C618" s="21"/>
    </row>
    <row r="619" ht="14.25" customHeight="1">
      <c r="C619" s="21"/>
    </row>
    <row r="620" ht="14.25" customHeight="1">
      <c r="C620" s="21"/>
    </row>
    <row r="621" ht="14.25" customHeight="1">
      <c r="C621" s="21"/>
    </row>
    <row r="622" ht="14.25" customHeight="1">
      <c r="C622" s="21"/>
    </row>
    <row r="623" ht="14.25" customHeight="1">
      <c r="C623" s="21"/>
    </row>
    <row r="624" ht="14.25" customHeight="1">
      <c r="C624" s="21"/>
    </row>
    <row r="625" ht="14.25" customHeight="1">
      <c r="C625" s="21"/>
    </row>
    <row r="626" ht="14.25" customHeight="1">
      <c r="C626" s="21"/>
    </row>
    <row r="627" ht="14.25" customHeight="1">
      <c r="C627" s="21"/>
    </row>
    <row r="628" ht="14.25" customHeight="1">
      <c r="C628" s="21"/>
    </row>
    <row r="629" ht="14.25" customHeight="1">
      <c r="C629" s="21"/>
    </row>
    <row r="630" ht="14.25" customHeight="1">
      <c r="C630" s="21"/>
    </row>
    <row r="631" ht="14.25" customHeight="1">
      <c r="C631" s="21"/>
    </row>
    <row r="632" ht="14.25" customHeight="1">
      <c r="C632" s="21"/>
    </row>
    <row r="633" ht="14.25" customHeight="1">
      <c r="C633" s="21"/>
    </row>
    <row r="634" ht="14.25" customHeight="1">
      <c r="C634" s="21"/>
    </row>
    <row r="635" ht="14.25" customHeight="1">
      <c r="C635" s="21"/>
    </row>
    <row r="636" ht="14.25" customHeight="1">
      <c r="C636" s="21"/>
    </row>
    <row r="637" ht="14.25" customHeight="1">
      <c r="C637" s="21"/>
    </row>
    <row r="638" ht="14.25" customHeight="1">
      <c r="C638" s="21"/>
    </row>
    <row r="639" ht="14.25" customHeight="1">
      <c r="C639" s="21"/>
    </row>
    <row r="640" ht="14.25" customHeight="1">
      <c r="C640" s="21"/>
    </row>
    <row r="641" ht="14.25" customHeight="1">
      <c r="C641" s="21"/>
    </row>
    <row r="642" ht="14.25" customHeight="1">
      <c r="C642" s="21"/>
    </row>
    <row r="643" ht="14.25" customHeight="1">
      <c r="C643" s="21"/>
    </row>
    <row r="644" ht="14.25" customHeight="1">
      <c r="C644" s="21"/>
    </row>
    <row r="645" ht="14.25" customHeight="1">
      <c r="C645" s="21"/>
    </row>
    <row r="646" ht="14.25" customHeight="1">
      <c r="C646" s="21"/>
    </row>
    <row r="647" ht="14.25" customHeight="1">
      <c r="C647" s="21"/>
    </row>
    <row r="648" ht="14.25" customHeight="1">
      <c r="C648" s="21"/>
    </row>
    <row r="649" ht="14.25" customHeight="1">
      <c r="C649" s="21"/>
    </row>
    <row r="650" ht="14.25" customHeight="1">
      <c r="C650" s="21"/>
    </row>
    <row r="651" ht="14.25" customHeight="1">
      <c r="C651" s="21"/>
    </row>
    <row r="652" ht="14.25" customHeight="1">
      <c r="C652" s="21"/>
    </row>
    <row r="653" ht="14.25" customHeight="1">
      <c r="C653" s="21"/>
    </row>
    <row r="654" ht="14.25" customHeight="1">
      <c r="C654" s="21"/>
    </row>
    <row r="655" ht="14.25" customHeight="1">
      <c r="C655" s="21"/>
    </row>
    <row r="656" ht="14.25" customHeight="1">
      <c r="C656" s="21"/>
    </row>
    <row r="657" ht="14.25" customHeight="1">
      <c r="C657" s="21"/>
    </row>
    <row r="658" ht="14.25" customHeight="1">
      <c r="C658" s="21"/>
    </row>
    <row r="659" ht="14.25" customHeight="1">
      <c r="C659" s="21"/>
    </row>
    <row r="660" ht="14.25" customHeight="1">
      <c r="C660" s="21"/>
    </row>
    <row r="661" ht="14.25" customHeight="1">
      <c r="C661" s="21"/>
    </row>
    <row r="662" ht="14.25" customHeight="1">
      <c r="C662" s="21"/>
    </row>
    <row r="663" ht="14.25" customHeight="1">
      <c r="C663" s="21"/>
    </row>
    <row r="664" ht="14.25" customHeight="1">
      <c r="C664" s="21"/>
    </row>
    <row r="665" ht="14.25" customHeight="1">
      <c r="C665" s="21"/>
    </row>
    <row r="666" ht="14.25" customHeight="1">
      <c r="C666" s="21"/>
    </row>
    <row r="667" ht="14.25" customHeight="1">
      <c r="C667" s="21"/>
    </row>
    <row r="668" ht="14.25" customHeight="1">
      <c r="C668" s="21"/>
    </row>
    <row r="669" ht="14.25" customHeight="1">
      <c r="C669" s="21"/>
    </row>
    <row r="670" ht="14.25" customHeight="1">
      <c r="C670" s="21"/>
    </row>
    <row r="671" ht="14.25" customHeight="1">
      <c r="C671" s="21"/>
    </row>
    <row r="672" ht="14.25" customHeight="1">
      <c r="C672" s="21"/>
    </row>
    <row r="673" ht="14.25" customHeight="1">
      <c r="C673" s="21"/>
    </row>
    <row r="674" ht="14.25" customHeight="1">
      <c r="C674" s="21"/>
    </row>
    <row r="675" ht="14.25" customHeight="1">
      <c r="C675" s="21"/>
    </row>
    <row r="676" ht="14.25" customHeight="1">
      <c r="C676" s="21"/>
    </row>
    <row r="677" ht="14.25" customHeight="1">
      <c r="C677" s="21"/>
    </row>
    <row r="678" ht="14.25" customHeight="1">
      <c r="C678" s="21"/>
    </row>
    <row r="679" ht="14.25" customHeight="1">
      <c r="C679" s="21"/>
    </row>
    <row r="680" ht="14.25" customHeight="1">
      <c r="C680" s="21"/>
    </row>
    <row r="681" ht="14.25" customHeight="1">
      <c r="C681" s="21"/>
    </row>
    <row r="682" ht="14.25" customHeight="1">
      <c r="C682" s="21"/>
    </row>
    <row r="683" ht="14.25" customHeight="1">
      <c r="C683" s="21"/>
    </row>
    <row r="684" ht="14.25" customHeight="1">
      <c r="C684" s="21"/>
    </row>
    <row r="685" ht="14.25" customHeight="1">
      <c r="C685" s="21"/>
    </row>
    <row r="686" ht="14.25" customHeight="1">
      <c r="C686" s="21"/>
    </row>
    <row r="687" ht="14.25" customHeight="1">
      <c r="C687" s="21"/>
    </row>
    <row r="688" ht="14.25" customHeight="1">
      <c r="C688" s="21"/>
    </row>
    <row r="689" ht="14.25" customHeight="1">
      <c r="C689" s="21"/>
    </row>
    <row r="690" ht="14.25" customHeight="1">
      <c r="C690" s="21"/>
    </row>
    <row r="691" ht="14.25" customHeight="1">
      <c r="C691" s="21"/>
    </row>
    <row r="692" ht="14.25" customHeight="1">
      <c r="C692" s="21"/>
    </row>
    <row r="693" ht="14.25" customHeight="1">
      <c r="C693" s="21"/>
    </row>
    <row r="694" ht="14.25" customHeight="1">
      <c r="C694" s="21"/>
    </row>
    <row r="695" ht="14.25" customHeight="1">
      <c r="C695" s="21"/>
    </row>
    <row r="696" ht="14.25" customHeight="1">
      <c r="C696" s="21"/>
    </row>
    <row r="697" ht="14.25" customHeight="1">
      <c r="C697" s="21"/>
    </row>
    <row r="698" ht="14.25" customHeight="1">
      <c r="C698" s="21"/>
    </row>
    <row r="699" ht="14.25" customHeight="1">
      <c r="C699" s="21"/>
    </row>
    <row r="700" ht="14.25" customHeight="1">
      <c r="C700" s="21"/>
    </row>
    <row r="701" ht="14.25" customHeight="1">
      <c r="C701" s="21"/>
    </row>
    <row r="702" ht="14.25" customHeight="1">
      <c r="C702" s="21"/>
    </row>
    <row r="703" ht="14.25" customHeight="1">
      <c r="C703" s="21"/>
    </row>
    <row r="704" ht="14.25" customHeight="1">
      <c r="C704" s="21"/>
    </row>
    <row r="705" ht="14.25" customHeight="1">
      <c r="C705" s="21"/>
    </row>
    <row r="706" ht="14.25" customHeight="1">
      <c r="C706" s="21"/>
    </row>
    <row r="707" ht="14.25" customHeight="1">
      <c r="C707" s="21"/>
    </row>
    <row r="708" ht="14.25" customHeight="1">
      <c r="C708" s="21"/>
    </row>
    <row r="709" ht="14.25" customHeight="1">
      <c r="C709" s="21"/>
    </row>
    <row r="710" ht="14.25" customHeight="1">
      <c r="C710" s="21"/>
    </row>
    <row r="711" ht="14.25" customHeight="1">
      <c r="C711" s="21"/>
    </row>
    <row r="712" ht="14.25" customHeight="1">
      <c r="C712" s="21"/>
    </row>
    <row r="713" ht="14.25" customHeight="1">
      <c r="C713" s="21"/>
    </row>
    <row r="714" ht="14.25" customHeight="1">
      <c r="C714" s="21"/>
    </row>
    <row r="715" ht="14.25" customHeight="1">
      <c r="C715" s="21"/>
    </row>
    <row r="716" ht="14.25" customHeight="1">
      <c r="C716" s="21"/>
    </row>
    <row r="717" ht="14.25" customHeight="1">
      <c r="C717" s="21"/>
    </row>
    <row r="718" ht="14.25" customHeight="1">
      <c r="C718" s="21"/>
    </row>
    <row r="719" ht="14.25" customHeight="1">
      <c r="C719" s="21"/>
    </row>
    <row r="720" ht="14.25" customHeight="1">
      <c r="C720" s="21"/>
    </row>
    <row r="721" ht="14.25" customHeight="1">
      <c r="C721" s="21"/>
    </row>
    <row r="722" ht="14.25" customHeight="1">
      <c r="C722" s="21"/>
    </row>
    <row r="723" ht="14.25" customHeight="1">
      <c r="C723" s="21"/>
    </row>
    <row r="724" ht="14.25" customHeight="1">
      <c r="C724" s="21"/>
    </row>
    <row r="725" ht="14.25" customHeight="1">
      <c r="C725" s="21"/>
    </row>
    <row r="726" ht="14.25" customHeight="1">
      <c r="C726" s="21"/>
    </row>
    <row r="727" ht="14.25" customHeight="1">
      <c r="C727" s="21"/>
    </row>
    <row r="728" ht="14.25" customHeight="1">
      <c r="C728" s="21"/>
    </row>
    <row r="729" ht="14.25" customHeight="1">
      <c r="C729" s="21"/>
    </row>
    <row r="730" ht="14.25" customHeight="1">
      <c r="C730" s="21"/>
    </row>
    <row r="731" ht="14.25" customHeight="1">
      <c r="C731" s="21"/>
    </row>
    <row r="732" ht="14.25" customHeight="1">
      <c r="C732" s="21"/>
    </row>
    <row r="733" ht="14.25" customHeight="1">
      <c r="C733" s="21"/>
    </row>
    <row r="734" ht="14.25" customHeight="1">
      <c r="C734" s="21"/>
    </row>
    <row r="735" ht="14.25" customHeight="1">
      <c r="C735" s="21"/>
    </row>
    <row r="736" ht="14.25" customHeight="1">
      <c r="C736" s="21"/>
    </row>
    <row r="737" ht="14.25" customHeight="1">
      <c r="C737" s="21"/>
    </row>
    <row r="738" ht="14.25" customHeight="1">
      <c r="C738" s="21"/>
    </row>
    <row r="739" ht="14.25" customHeight="1">
      <c r="C739" s="21"/>
    </row>
    <row r="740" ht="14.25" customHeight="1">
      <c r="C740" s="21"/>
    </row>
    <row r="741" ht="14.25" customHeight="1">
      <c r="C741" s="21"/>
    </row>
    <row r="742" ht="14.25" customHeight="1">
      <c r="C742" s="21"/>
    </row>
    <row r="743" ht="14.25" customHeight="1">
      <c r="C743" s="21"/>
    </row>
    <row r="744" ht="14.25" customHeight="1">
      <c r="C744" s="21"/>
    </row>
    <row r="745" ht="14.25" customHeight="1">
      <c r="C745" s="21"/>
    </row>
    <row r="746" ht="14.25" customHeight="1">
      <c r="C746" s="21"/>
    </row>
    <row r="747" ht="14.25" customHeight="1">
      <c r="C747" s="21"/>
    </row>
    <row r="748" ht="14.25" customHeight="1">
      <c r="C748" s="21"/>
    </row>
    <row r="749" ht="14.25" customHeight="1">
      <c r="C749" s="21"/>
    </row>
    <row r="750" ht="14.25" customHeight="1">
      <c r="C750" s="21"/>
    </row>
    <row r="751" ht="14.25" customHeight="1">
      <c r="C751" s="21"/>
    </row>
    <row r="752" ht="14.25" customHeight="1">
      <c r="C752" s="21"/>
    </row>
    <row r="753" ht="14.25" customHeight="1">
      <c r="C753" s="21"/>
    </row>
    <row r="754" ht="14.25" customHeight="1">
      <c r="C754" s="21"/>
    </row>
    <row r="755" ht="14.25" customHeight="1">
      <c r="C755" s="21"/>
    </row>
    <row r="756" ht="14.25" customHeight="1">
      <c r="C756" s="21"/>
    </row>
    <row r="757" ht="14.25" customHeight="1">
      <c r="C757" s="21"/>
    </row>
    <row r="758" ht="14.25" customHeight="1">
      <c r="C758" s="21"/>
    </row>
    <row r="759" ht="14.25" customHeight="1">
      <c r="C759" s="21"/>
    </row>
    <row r="760" ht="14.25" customHeight="1">
      <c r="C760" s="21"/>
    </row>
    <row r="761" ht="14.25" customHeight="1">
      <c r="C761" s="21"/>
    </row>
    <row r="762" ht="14.25" customHeight="1">
      <c r="C762" s="21"/>
    </row>
    <row r="763" ht="14.25" customHeight="1">
      <c r="C763" s="21"/>
    </row>
    <row r="764" ht="14.25" customHeight="1">
      <c r="C764" s="21"/>
    </row>
    <row r="765" ht="14.25" customHeight="1">
      <c r="C765" s="21"/>
    </row>
    <row r="766" ht="14.25" customHeight="1">
      <c r="C766" s="21"/>
    </row>
    <row r="767" ht="14.25" customHeight="1">
      <c r="C767" s="21"/>
    </row>
    <row r="768" ht="14.25" customHeight="1">
      <c r="C768" s="21"/>
    </row>
    <row r="769" ht="14.25" customHeight="1">
      <c r="C769" s="21"/>
    </row>
    <row r="770" ht="14.25" customHeight="1">
      <c r="C770" s="21"/>
    </row>
    <row r="771" ht="14.25" customHeight="1">
      <c r="C771" s="21"/>
    </row>
    <row r="772" ht="14.25" customHeight="1">
      <c r="C772" s="21"/>
    </row>
    <row r="773" ht="14.25" customHeight="1">
      <c r="C773" s="21"/>
    </row>
    <row r="774" ht="14.25" customHeight="1">
      <c r="C774" s="21"/>
    </row>
    <row r="775" ht="14.25" customHeight="1">
      <c r="C775" s="21"/>
    </row>
    <row r="776" ht="14.25" customHeight="1">
      <c r="C776" s="21"/>
    </row>
    <row r="777" ht="14.25" customHeight="1">
      <c r="C777" s="21"/>
    </row>
    <row r="778" ht="14.25" customHeight="1">
      <c r="C778" s="21"/>
    </row>
    <row r="779" ht="14.25" customHeight="1">
      <c r="C779" s="21"/>
    </row>
    <row r="780" ht="14.25" customHeight="1">
      <c r="C780" s="21"/>
    </row>
    <row r="781" ht="14.25" customHeight="1">
      <c r="C781" s="21"/>
    </row>
    <row r="782" ht="14.25" customHeight="1">
      <c r="C782" s="21"/>
    </row>
    <row r="783" ht="14.25" customHeight="1">
      <c r="C783" s="21"/>
    </row>
    <row r="784" ht="14.25" customHeight="1">
      <c r="C784" s="21"/>
    </row>
    <row r="785" ht="14.25" customHeight="1">
      <c r="C785" s="21"/>
    </row>
    <row r="786" ht="14.25" customHeight="1">
      <c r="C786" s="21"/>
    </row>
    <row r="787" ht="14.25" customHeight="1">
      <c r="C787" s="21"/>
    </row>
    <row r="788" ht="14.25" customHeight="1">
      <c r="C788" s="21"/>
    </row>
    <row r="789" ht="14.25" customHeight="1">
      <c r="C789" s="21"/>
    </row>
    <row r="790" ht="14.25" customHeight="1">
      <c r="C790" s="21"/>
    </row>
    <row r="791" ht="14.25" customHeight="1">
      <c r="C791" s="21"/>
    </row>
    <row r="792" ht="14.25" customHeight="1">
      <c r="C792" s="21"/>
    </row>
    <row r="793" ht="14.25" customHeight="1">
      <c r="C793" s="21"/>
    </row>
    <row r="794" ht="14.25" customHeight="1">
      <c r="C794" s="21"/>
    </row>
    <row r="795" ht="14.25" customHeight="1">
      <c r="C795" s="21"/>
    </row>
    <row r="796" ht="14.25" customHeight="1">
      <c r="C796" s="21"/>
    </row>
    <row r="797" ht="14.25" customHeight="1">
      <c r="C797" s="21"/>
    </row>
    <row r="798" ht="14.25" customHeight="1">
      <c r="C798" s="21"/>
    </row>
    <row r="799" ht="14.25" customHeight="1">
      <c r="C799" s="21"/>
    </row>
    <row r="800" ht="14.25" customHeight="1">
      <c r="C800" s="21"/>
    </row>
    <row r="801" ht="14.25" customHeight="1">
      <c r="C801" s="21"/>
    </row>
    <row r="802" ht="14.25" customHeight="1">
      <c r="C802" s="21"/>
    </row>
    <row r="803" ht="14.25" customHeight="1">
      <c r="C803" s="21"/>
    </row>
    <row r="804" ht="14.25" customHeight="1">
      <c r="C804" s="21"/>
    </row>
    <row r="805" ht="14.25" customHeight="1">
      <c r="C805" s="21"/>
    </row>
    <row r="806" ht="14.25" customHeight="1">
      <c r="C806" s="21"/>
    </row>
    <row r="807" ht="14.25" customHeight="1">
      <c r="C807" s="21"/>
    </row>
    <row r="808" ht="14.25" customHeight="1">
      <c r="C808" s="21"/>
    </row>
    <row r="809" ht="14.25" customHeight="1">
      <c r="C809" s="21"/>
    </row>
    <row r="810" ht="14.25" customHeight="1">
      <c r="C810" s="21"/>
    </row>
    <row r="811" ht="14.25" customHeight="1">
      <c r="C811" s="21"/>
    </row>
    <row r="812" ht="14.25" customHeight="1">
      <c r="C812" s="21"/>
    </row>
    <row r="813" ht="14.25" customHeight="1">
      <c r="C813" s="21"/>
    </row>
    <row r="814" ht="14.25" customHeight="1">
      <c r="C814" s="21"/>
    </row>
    <row r="815" ht="14.25" customHeight="1">
      <c r="C815" s="21"/>
    </row>
    <row r="816" ht="14.25" customHeight="1">
      <c r="C816" s="21"/>
    </row>
    <row r="817" ht="14.25" customHeight="1">
      <c r="C817" s="21"/>
    </row>
    <row r="818" ht="14.25" customHeight="1">
      <c r="C818" s="21"/>
    </row>
    <row r="819" ht="14.25" customHeight="1">
      <c r="C819" s="21"/>
    </row>
    <row r="820" ht="14.25" customHeight="1">
      <c r="C820" s="21"/>
    </row>
    <row r="821" ht="14.25" customHeight="1">
      <c r="C821" s="21"/>
    </row>
    <row r="822" ht="14.25" customHeight="1">
      <c r="C822" s="21"/>
    </row>
    <row r="823" ht="14.25" customHeight="1">
      <c r="C823" s="21"/>
    </row>
    <row r="824" ht="14.25" customHeight="1">
      <c r="C824" s="21"/>
    </row>
    <row r="825" ht="14.25" customHeight="1">
      <c r="C825" s="21"/>
    </row>
    <row r="826" ht="14.25" customHeight="1">
      <c r="C826" s="21"/>
    </row>
    <row r="827" ht="14.25" customHeight="1">
      <c r="C827" s="21"/>
    </row>
    <row r="828" ht="14.25" customHeight="1">
      <c r="C828" s="21"/>
    </row>
    <row r="829" ht="14.25" customHeight="1">
      <c r="C829" s="21"/>
    </row>
    <row r="830" ht="14.25" customHeight="1">
      <c r="C830" s="21"/>
    </row>
    <row r="831" ht="14.25" customHeight="1">
      <c r="C831" s="21"/>
    </row>
    <row r="832" ht="14.25" customHeight="1">
      <c r="C832" s="21"/>
    </row>
    <row r="833" ht="14.25" customHeight="1">
      <c r="C833" s="21"/>
    </row>
    <row r="834" ht="14.25" customHeight="1">
      <c r="C834" s="21"/>
    </row>
    <row r="835" ht="14.25" customHeight="1">
      <c r="C835" s="21"/>
    </row>
    <row r="836" ht="14.25" customHeight="1">
      <c r="C836" s="21"/>
    </row>
    <row r="837" ht="14.25" customHeight="1">
      <c r="C837" s="21"/>
    </row>
    <row r="838" ht="14.25" customHeight="1">
      <c r="C838" s="21"/>
    </row>
    <row r="839" ht="14.25" customHeight="1">
      <c r="C839" s="21"/>
    </row>
    <row r="840" ht="14.25" customHeight="1">
      <c r="C840" s="21"/>
    </row>
    <row r="841" ht="14.25" customHeight="1">
      <c r="C841" s="21"/>
    </row>
    <row r="842" ht="14.25" customHeight="1">
      <c r="C842" s="21"/>
    </row>
    <row r="843" ht="14.25" customHeight="1">
      <c r="C843" s="21"/>
    </row>
    <row r="844" ht="14.25" customHeight="1">
      <c r="C844" s="21"/>
    </row>
    <row r="845" ht="14.25" customHeight="1">
      <c r="C845" s="21"/>
    </row>
    <row r="846" ht="14.25" customHeight="1">
      <c r="C846" s="21"/>
    </row>
    <row r="847" ht="14.25" customHeight="1">
      <c r="C847" s="21"/>
    </row>
    <row r="848" ht="14.25" customHeight="1">
      <c r="C848" s="21"/>
    </row>
    <row r="849" ht="14.25" customHeight="1">
      <c r="C849" s="21"/>
    </row>
    <row r="850" ht="14.25" customHeight="1">
      <c r="C850" s="21"/>
    </row>
    <row r="851" ht="14.25" customHeight="1">
      <c r="C851" s="21"/>
    </row>
    <row r="852" ht="14.25" customHeight="1">
      <c r="C852" s="21"/>
    </row>
    <row r="853" ht="14.25" customHeight="1">
      <c r="C853" s="21"/>
    </row>
    <row r="854" ht="14.25" customHeight="1">
      <c r="C854" s="21"/>
    </row>
    <row r="855" ht="14.25" customHeight="1">
      <c r="C855" s="21"/>
    </row>
    <row r="856" ht="14.25" customHeight="1">
      <c r="C856" s="21"/>
    </row>
    <row r="857" ht="14.25" customHeight="1">
      <c r="C857" s="21"/>
    </row>
    <row r="858" ht="14.25" customHeight="1">
      <c r="C858" s="21"/>
    </row>
    <row r="859" ht="14.25" customHeight="1">
      <c r="C859" s="21"/>
    </row>
    <row r="860" ht="14.25" customHeight="1">
      <c r="C860" s="21"/>
    </row>
    <row r="861" ht="14.25" customHeight="1">
      <c r="C861" s="21"/>
    </row>
    <row r="862" ht="14.25" customHeight="1">
      <c r="C862" s="21"/>
    </row>
    <row r="863" ht="14.25" customHeight="1">
      <c r="C863" s="21"/>
    </row>
    <row r="864" ht="14.25" customHeight="1">
      <c r="C864" s="21"/>
    </row>
    <row r="865" ht="14.25" customHeight="1">
      <c r="C865" s="21"/>
    </row>
    <row r="866" ht="14.25" customHeight="1">
      <c r="C866" s="21"/>
    </row>
    <row r="867" ht="14.25" customHeight="1">
      <c r="C867" s="21"/>
    </row>
    <row r="868" ht="14.25" customHeight="1">
      <c r="C868" s="21"/>
    </row>
    <row r="869" ht="14.25" customHeight="1">
      <c r="C869" s="21"/>
    </row>
    <row r="870" ht="14.25" customHeight="1">
      <c r="C870" s="21"/>
    </row>
    <row r="871" ht="14.25" customHeight="1">
      <c r="C871" s="21"/>
    </row>
    <row r="872" ht="14.25" customHeight="1">
      <c r="C872" s="21"/>
    </row>
    <row r="873" ht="14.25" customHeight="1">
      <c r="C873" s="21"/>
    </row>
    <row r="874" ht="14.25" customHeight="1">
      <c r="C874" s="21"/>
    </row>
    <row r="875" ht="14.25" customHeight="1">
      <c r="C875" s="21"/>
    </row>
    <row r="876" ht="14.25" customHeight="1">
      <c r="C876" s="21"/>
    </row>
    <row r="877" ht="14.25" customHeight="1">
      <c r="C877" s="21"/>
    </row>
    <row r="878" ht="14.25" customHeight="1">
      <c r="C878" s="21"/>
    </row>
    <row r="879" ht="14.25" customHeight="1">
      <c r="C879" s="21"/>
    </row>
    <row r="880" ht="14.25" customHeight="1">
      <c r="C880" s="21"/>
    </row>
    <row r="881" ht="14.25" customHeight="1">
      <c r="C881" s="21"/>
    </row>
    <row r="882" ht="14.25" customHeight="1">
      <c r="C882" s="21"/>
    </row>
    <row r="883" ht="14.25" customHeight="1">
      <c r="C883" s="21"/>
    </row>
    <row r="884" ht="14.25" customHeight="1">
      <c r="C884" s="21"/>
    </row>
    <row r="885" ht="14.25" customHeight="1">
      <c r="C885" s="21"/>
    </row>
    <row r="886" ht="14.25" customHeight="1">
      <c r="C886" s="21"/>
    </row>
    <row r="887" ht="14.25" customHeight="1">
      <c r="C887" s="21"/>
    </row>
    <row r="888" ht="14.25" customHeight="1">
      <c r="C888" s="21"/>
    </row>
    <row r="889" ht="14.25" customHeight="1">
      <c r="C889" s="21"/>
    </row>
    <row r="890" ht="14.25" customHeight="1">
      <c r="C890" s="21"/>
    </row>
    <row r="891" ht="14.25" customHeight="1">
      <c r="C891" s="21"/>
    </row>
    <row r="892" ht="14.25" customHeight="1">
      <c r="C892" s="21"/>
    </row>
    <row r="893" ht="14.25" customHeight="1">
      <c r="C893" s="21"/>
    </row>
    <row r="894" ht="14.25" customHeight="1">
      <c r="C894" s="21"/>
    </row>
    <row r="895" ht="14.25" customHeight="1">
      <c r="C895" s="21"/>
    </row>
    <row r="896" ht="14.25" customHeight="1">
      <c r="C896" s="21"/>
    </row>
    <row r="897" ht="14.25" customHeight="1">
      <c r="C897" s="21"/>
    </row>
    <row r="898" ht="14.25" customHeight="1">
      <c r="C898" s="21"/>
    </row>
    <row r="899" ht="14.25" customHeight="1">
      <c r="C899" s="21"/>
    </row>
    <row r="900" ht="14.25" customHeight="1">
      <c r="C900" s="21"/>
    </row>
    <row r="901" ht="14.25" customHeight="1">
      <c r="C901" s="21"/>
    </row>
    <row r="902" ht="14.25" customHeight="1">
      <c r="C902" s="21"/>
    </row>
    <row r="903" ht="14.25" customHeight="1">
      <c r="C903" s="21"/>
    </row>
    <row r="904" ht="14.25" customHeight="1">
      <c r="C904" s="21"/>
    </row>
    <row r="905" ht="14.25" customHeight="1">
      <c r="C905" s="21"/>
    </row>
    <row r="906" ht="14.25" customHeight="1">
      <c r="C906" s="21"/>
    </row>
    <row r="907" ht="14.25" customHeight="1">
      <c r="C907" s="21"/>
    </row>
    <row r="908" ht="14.25" customHeight="1">
      <c r="C908" s="21"/>
    </row>
    <row r="909" ht="14.25" customHeight="1">
      <c r="C909" s="21"/>
    </row>
    <row r="910" ht="14.25" customHeight="1">
      <c r="C910" s="21"/>
    </row>
    <row r="911" ht="14.25" customHeight="1">
      <c r="C911" s="21"/>
    </row>
    <row r="912" ht="14.25" customHeight="1">
      <c r="C912" s="21"/>
    </row>
    <row r="913" ht="14.25" customHeight="1">
      <c r="C913" s="21"/>
    </row>
    <row r="914" ht="14.25" customHeight="1">
      <c r="C914" s="21"/>
    </row>
    <row r="915" ht="14.25" customHeight="1">
      <c r="C915" s="21"/>
    </row>
    <row r="916" ht="14.25" customHeight="1">
      <c r="C916" s="21"/>
    </row>
    <row r="917" ht="14.25" customHeight="1">
      <c r="C917" s="21"/>
    </row>
    <row r="918" ht="14.25" customHeight="1">
      <c r="C918" s="21"/>
    </row>
    <row r="919" ht="14.25" customHeight="1">
      <c r="C919" s="21"/>
    </row>
    <row r="920" ht="14.25" customHeight="1">
      <c r="C920" s="21"/>
    </row>
    <row r="921" ht="14.25" customHeight="1">
      <c r="C921" s="21"/>
    </row>
    <row r="922" ht="14.25" customHeight="1">
      <c r="C922" s="21"/>
    </row>
    <row r="923" ht="14.25" customHeight="1">
      <c r="C923" s="21"/>
    </row>
    <row r="924" ht="14.25" customHeight="1">
      <c r="C924" s="21"/>
    </row>
    <row r="925" ht="14.25" customHeight="1">
      <c r="C925" s="21"/>
    </row>
    <row r="926" ht="14.25" customHeight="1">
      <c r="C926" s="21"/>
    </row>
    <row r="927" ht="14.25" customHeight="1">
      <c r="C927" s="21"/>
    </row>
    <row r="928" ht="14.25" customHeight="1">
      <c r="C928" s="21"/>
    </row>
    <row r="929" ht="14.25" customHeight="1">
      <c r="C929" s="21"/>
    </row>
    <row r="930" ht="14.25" customHeight="1">
      <c r="C930" s="21"/>
    </row>
    <row r="931" ht="14.25" customHeight="1">
      <c r="C931" s="21"/>
    </row>
    <row r="932" ht="14.25" customHeight="1">
      <c r="C932" s="21"/>
    </row>
    <row r="933" ht="14.25" customHeight="1">
      <c r="C933" s="21"/>
    </row>
    <row r="934" ht="14.25" customHeight="1">
      <c r="C934" s="21"/>
    </row>
    <row r="935" ht="14.25" customHeight="1">
      <c r="C935" s="21"/>
    </row>
    <row r="936" ht="14.25" customHeight="1">
      <c r="C936" s="21"/>
    </row>
    <row r="937" ht="14.25" customHeight="1">
      <c r="C937" s="21"/>
    </row>
    <row r="938" ht="14.25" customHeight="1">
      <c r="C938" s="21"/>
    </row>
    <row r="939" ht="14.25" customHeight="1">
      <c r="C939" s="21"/>
    </row>
    <row r="940" ht="14.25" customHeight="1">
      <c r="C940" s="21"/>
    </row>
    <row r="941" ht="14.25" customHeight="1">
      <c r="C941" s="21"/>
    </row>
    <row r="942" ht="14.25" customHeight="1">
      <c r="C942" s="21"/>
    </row>
    <row r="943" ht="14.25" customHeight="1">
      <c r="C943" s="21"/>
    </row>
    <row r="944" ht="14.25" customHeight="1">
      <c r="C944" s="21"/>
    </row>
    <row r="945" ht="14.25" customHeight="1">
      <c r="C945" s="21"/>
    </row>
    <row r="946" ht="14.25" customHeight="1">
      <c r="C946" s="21"/>
    </row>
    <row r="947" ht="14.25" customHeight="1">
      <c r="C947" s="21"/>
    </row>
    <row r="948" ht="14.25" customHeight="1">
      <c r="C948" s="21"/>
    </row>
    <row r="949" ht="14.25" customHeight="1">
      <c r="C949" s="21"/>
    </row>
    <row r="950" ht="14.25" customHeight="1">
      <c r="C950" s="21"/>
    </row>
    <row r="951" ht="14.25" customHeight="1">
      <c r="C951" s="21"/>
    </row>
    <row r="952" ht="14.25" customHeight="1">
      <c r="C952" s="21"/>
    </row>
    <row r="953" ht="14.25" customHeight="1">
      <c r="C953" s="21"/>
    </row>
    <row r="954" ht="14.25" customHeight="1">
      <c r="C954" s="21"/>
    </row>
    <row r="955" ht="14.25" customHeight="1">
      <c r="C955" s="21"/>
    </row>
    <row r="956" ht="14.25" customHeight="1">
      <c r="C956" s="21"/>
    </row>
    <row r="957" ht="14.25" customHeight="1">
      <c r="C957" s="21"/>
    </row>
    <row r="958" ht="14.25" customHeight="1">
      <c r="C958" s="21"/>
    </row>
    <row r="959" ht="14.25" customHeight="1">
      <c r="C959" s="21"/>
    </row>
    <row r="960" ht="14.25" customHeight="1">
      <c r="C960" s="21"/>
    </row>
    <row r="961" ht="14.25" customHeight="1">
      <c r="C961" s="21"/>
    </row>
    <row r="962" ht="14.25" customHeight="1">
      <c r="C962" s="21"/>
    </row>
    <row r="963" ht="14.25" customHeight="1">
      <c r="C963" s="21"/>
    </row>
    <row r="964" ht="14.25" customHeight="1">
      <c r="C964" s="21"/>
    </row>
    <row r="965" ht="14.25" customHeight="1">
      <c r="C965" s="21"/>
    </row>
    <row r="966" ht="14.25" customHeight="1">
      <c r="C966" s="21"/>
    </row>
    <row r="967" ht="14.25" customHeight="1">
      <c r="C967" s="21"/>
    </row>
    <row r="968" ht="14.25" customHeight="1">
      <c r="C968" s="21"/>
    </row>
    <row r="969" ht="14.25" customHeight="1">
      <c r="C969" s="21"/>
    </row>
    <row r="970" ht="14.25" customHeight="1">
      <c r="C970" s="21"/>
    </row>
    <row r="971" ht="14.25" customHeight="1">
      <c r="C971" s="21"/>
    </row>
    <row r="972" ht="14.25" customHeight="1">
      <c r="C972" s="21"/>
    </row>
    <row r="973" ht="14.25" customHeight="1">
      <c r="C973" s="21"/>
    </row>
    <row r="974" ht="14.25" customHeight="1">
      <c r="C974" s="21"/>
    </row>
    <row r="975" ht="14.25" customHeight="1">
      <c r="C975" s="21"/>
    </row>
    <row r="976" ht="14.25" customHeight="1">
      <c r="C976" s="21"/>
    </row>
    <row r="977" ht="14.25" customHeight="1">
      <c r="C977" s="21"/>
    </row>
    <row r="978" ht="14.25" customHeight="1">
      <c r="C978" s="21"/>
    </row>
    <row r="979" ht="14.25" customHeight="1">
      <c r="C979" s="21"/>
    </row>
    <row r="980" ht="14.25" customHeight="1">
      <c r="C980" s="21"/>
    </row>
    <row r="981" ht="14.25" customHeight="1">
      <c r="C981" s="21"/>
    </row>
    <row r="982" ht="14.25" customHeight="1">
      <c r="C982" s="21"/>
    </row>
    <row r="983" ht="14.25" customHeight="1">
      <c r="C983" s="21"/>
    </row>
    <row r="984" ht="14.25" customHeight="1">
      <c r="C984" s="21"/>
    </row>
    <row r="985" ht="14.25" customHeight="1">
      <c r="C985" s="21"/>
    </row>
    <row r="986" ht="14.25" customHeight="1">
      <c r="C986" s="21"/>
    </row>
    <row r="987" ht="14.25" customHeight="1">
      <c r="C987" s="21"/>
    </row>
    <row r="988" ht="14.25" customHeight="1">
      <c r="C988" s="21"/>
    </row>
    <row r="989" ht="14.25" customHeight="1">
      <c r="C989" s="21"/>
    </row>
    <row r="990" ht="14.25" customHeight="1">
      <c r="C990" s="21"/>
    </row>
    <row r="991" ht="14.25" customHeight="1">
      <c r="C991" s="21"/>
    </row>
    <row r="992" ht="14.25" customHeight="1">
      <c r="C992" s="21"/>
    </row>
    <row r="993" ht="14.25" customHeight="1">
      <c r="C993" s="21"/>
    </row>
    <row r="994" ht="14.25" customHeight="1">
      <c r="C994" s="21"/>
    </row>
    <row r="995" ht="14.25" customHeight="1">
      <c r="C995" s="21"/>
    </row>
    <row r="996" ht="14.25" customHeight="1">
      <c r="C996" s="21"/>
    </row>
    <row r="997" ht="14.25" customHeight="1">
      <c r="C997" s="21"/>
    </row>
    <row r="998" ht="14.25" customHeight="1">
      <c r="C998" s="21"/>
    </row>
    <row r="999" ht="14.25" customHeight="1">
      <c r="C999" s="21"/>
    </row>
    <row r="1000" ht="14.25" customHeight="1">
      <c r="C1000" s="21"/>
    </row>
  </sheetData>
  <mergeCells count="1">
    <mergeCell ref="A1:A2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3.86"/>
    <col customWidth="1" min="2" max="2" width="17.86"/>
    <col customWidth="1" min="3" max="3" width="14.14"/>
    <col customWidth="1" min="4" max="4" width="15.14"/>
    <col customWidth="1" min="5" max="5" width="20.86"/>
    <col customWidth="1" min="6" max="6" width="12.57"/>
    <col customWidth="1" min="7" max="7" width="14.14"/>
    <col customWidth="1" min="8" max="8" width="10.43"/>
    <col customWidth="1" min="9" max="26" width="9.14"/>
  </cols>
  <sheetData>
    <row r="1" ht="25.5" customHeight="1">
      <c r="A1" s="27" t="s">
        <v>0</v>
      </c>
      <c r="B1" s="28" t="s">
        <v>39</v>
      </c>
      <c r="C1" s="28" t="s">
        <v>40</v>
      </c>
      <c r="D1" s="28" t="s">
        <v>3</v>
      </c>
      <c r="E1" s="29" t="s">
        <v>41</v>
      </c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ht="15.0" customHeight="1">
      <c r="A2" s="31" t="s">
        <v>42</v>
      </c>
      <c r="B2" s="32">
        <v>1.373826394E7</v>
      </c>
      <c r="C2" s="33">
        <f t="shared" ref="C2:C18" si="1">B2/B$19</f>
        <v>0.1914139505</v>
      </c>
      <c r="D2" s="32">
        <f>B2/Executivo!H$10</f>
        <v>504.1984945</v>
      </c>
      <c r="E2" s="34">
        <f t="shared" ref="E2:E18" si="2">B2/H$7</f>
        <v>188195.3964</v>
      </c>
      <c r="F2" s="30"/>
      <c r="G2" s="35" t="s">
        <v>43</v>
      </c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ht="15.0" customHeight="1">
      <c r="A3" s="36" t="s">
        <v>44</v>
      </c>
      <c r="B3" s="37">
        <v>402746.2</v>
      </c>
      <c r="C3" s="38">
        <f t="shared" si="1"/>
        <v>0.005611425251</v>
      </c>
      <c r="D3" s="37">
        <f>B3/Executivo!H$10</f>
        <v>14.7809089</v>
      </c>
      <c r="E3" s="39">
        <f t="shared" si="2"/>
        <v>5517.071233</v>
      </c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 ht="15.0" customHeight="1">
      <c r="A4" s="31" t="s">
        <v>9</v>
      </c>
      <c r="B4" s="32">
        <v>1817696.57</v>
      </c>
      <c r="C4" s="33">
        <f t="shared" si="1"/>
        <v>0.02532579682</v>
      </c>
      <c r="D4" s="32">
        <f>B4/Executivo!H$10</f>
        <v>66.71002086</v>
      </c>
      <c r="E4" s="34">
        <f t="shared" si="2"/>
        <v>24899.95301</v>
      </c>
      <c r="F4" s="30"/>
      <c r="G4" s="40">
        <v>1232826.961</v>
      </c>
      <c r="H4" s="41" t="s">
        <v>45</v>
      </c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ht="15.0" customHeight="1">
      <c r="A5" s="36" t="s">
        <v>11</v>
      </c>
      <c r="B5" s="37">
        <v>1.201232418E7</v>
      </c>
      <c r="C5" s="38">
        <f t="shared" si="1"/>
        <v>0.1673665927</v>
      </c>
      <c r="D5" s="37">
        <f>B5/Executivo!H$10</f>
        <v>440.8559767</v>
      </c>
      <c r="E5" s="39">
        <f t="shared" si="2"/>
        <v>164552.386</v>
      </c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ht="15.0" customHeight="1">
      <c r="A6" s="31" t="s">
        <v>13</v>
      </c>
      <c r="B6" s="32">
        <v>1630504.11</v>
      </c>
      <c r="C6" s="33">
        <f t="shared" si="1"/>
        <v>0.02271766173</v>
      </c>
      <c r="D6" s="32">
        <f>B6/Executivo!H$10</f>
        <v>59.84000024</v>
      </c>
      <c r="E6" s="34">
        <f t="shared" si="2"/>
        <v>22335.67274</v>
      </c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ht="15.0" customHeight="1">
      <c r="A7" s="36" t="s">
        <v>15</v>
      </c>
      <c r="B7" s="37">
        <f>4313372.95+2583129.65+1185081.04</f>
        <v>8081583.64</v>
      </c>
      <c r="C7" s="38">
        <f t="shared" si="1"/>
        <v>0.1125999513</v>
      </c>
      <c r="D7" s="37">
        <f>B7/Executivo!H$10</f>
        <v>296.5965949</v>
      </c>
      <c r="E7" s="39">
        <f t="shared" si="2"/>
        <v>110706.6252</v>
      </c>
      <c r="F7" s="30"/>
      <c r="G7" s="30"/>
      <c r="H7" s="30">
        <v>73.0</v>
      </c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ht="12.75" customHeight="1">
      <c r="A8" s="31" t="s">
        <v>46</v>
      </c>
      <c r="B8" s="42">
        <v>5300000.0</v>
      </c>
      <c r="C8" s="33">
        <f t="shared" si="1"/>
        <v>0.0738444058</v>
      </c>
      <c r="D8" s="32">
        <f>B8/Executivo!H$10</f>
        <v>194.5116233</v>
      </c>
      <c r="E8" s="34">
        <f t="shared" si="2"/>
        <v>72602.73973</v>
      </c>
      <c r="F8" s="30"/>
      <c r="G8" s="43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ht="15.0" customHeight="1">
      <c r="A9" s="36" t="s">
        <v>47</v>
      </c>
      <c r="B9" s="37">
        <v>631079.0</v>
      </c>
      <c r="C9" s="38">
        <f t="shared" si="1"/>
        <v>0.008792764862</v>
      </c>
      <c r="D9" s="37">
        <f>B9/Executivo!H$10</f>
        <v>23.16079259</v>
      </c>
      <c r="E9" s="39">
        <f t="shared" si="2"/>
        <v>8644.917808</v>
      </c>
      <c r="F9" s="30"/>
      <c r="G9" s="25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ht="15.0" customHeight="1">
      <c r="A10" s="31" t="s">
        <v>21</v>
      </c>
      <c r="B10" s="32">
        <v>2973692.41</v>
      </c>
      <c r="C10" s="33">
        <f t="shared" si="1"/>
        <v>0.04143217907</v>
      </c>
      <c r="D10" s="32">
        <f>B10/Executivo!H$10</f>
        <v>109.1354223</v>
      </c>
      <c r="E10" s="34">
        <f t="shared" si="2"/>
        <v>40735.51247</v>
      </c>
      <c r="F10" s="30"/>
      <c r="G10" s="25"/>
      <c r="H10" s="44">
        <v>27247.729</v>
      </c>
      <c r="I10" s="45" t="s">
        <v>21</v>
      </c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 ht="12.75" customHeight="1">
      <c r="A11" s="36" t="s">
        <v>23</v>
      </c>
      <c r="B11" s="37">
        <v>1874320.02</v>
      </c>
      <c r="C11" s="38">
        <f t="shared" si="1"/>
        <v>0.02611472607</v>
      </c>
      <c r="D11" s="37">
        <f>B11/Executivo!H$10</f>
        <v>68.78811882</v>
      </c>
      <c r="E11" s="39">
        <f t="shared" si="2"/>
        <v>25675.61671</v>
      </c>
      <c r="F11" s="30"/>
      <c r="G11" s="25"/>
      <c r="H11" s="30"/>
      <c r="I11" s="46" t="s">
        <v>23</v>
      </c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 ht="15.0" customHeight="1">
      <c r="A12" s="31" t="s">
        <v>25</v>
      </c>
      <c r="B12" s="32">
        <v>6182015.17</v>
      </c>
      <c r="C12" s="33">
        <f t="shared" si="1"/>
        <v>0.08613344092</v>
      </c>
      <c r="D12" s="32">
        <f>B12/Executivo!H$10</f>
        <v>226.8818502</v>
      </c>
      <c r="E12" s="34">
        <f t="shared" si="2"/>
        <v>84685.13932</v>
      </c>
      <c r="F12" s="30"/>
      <c r="G12" s="47"/>
      <c r="H12" s="30"/>
      <c r="I12" s="45" t="s">
        <v>25</v>
      </c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ht="15.0" customHeight="1">
      <c r="A13" s="36" t="s">
        <v>27</v>
      </c>
      <c r="B13" s="37">
        <v>1899511.77</v>
      </c>
      <c r="C13" s="38">
        <f t="shared" si="1"/>
        <v>0.02646572037</v>
      </c>
      <c r="D13" s="37">
        <f>B13/Executivo!H$10</f>
        <v>69.71266376</v>
      </c>
      <c r="E13" s="39">
        <f t="shared" si="2"/>
        <v>26020.70918</v>
      </c>
      <c r="F13" s="30"/>
      <c r="G13" s="30"/>
      <c r="H13" s="30"/>
      <c r="I13" s="46" t="s">
        <v>27</v>
      </c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ht="15.0" customHeight="1">
      <c r="A14" s="31" t="s">
        <v>29</v>
      </c>
      <c r="B14" s="32">
        <v>9858822.34</v>
      </c>
      <c r="C14" s="33">
        <f t="shared" si="1"/>
        <v>0.1373620524</v>
      </c>
      <c r="D14" s="32">
        <f>B14/Executivo!H$10</f>
        <v>361.8217995</v>
      </c>
      <c r="E14" s="34">
        <f t="shared" si="2"/>
        <v>135052.3608</v>
      </c>
      <c r="F14" s="30"/>
      <c r="G14" s="25"/>
      <c r="H14" s="30"/>
      <c r="I14" s="45" t="s">
        <v>29</v>
      </c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ht="15.0" customHeight="1">
      <c r="A15" s="36" t="s">
        <v>31</v>
      </c>
      <c r="B15" s="37">
        <v>93469.78</v>
      </c>
      <c r="C15" s="38">
        <f t="shared" si="1"/>
        <v>0.001302305729</v>
      </c>
      <c r="D15" s="37">
        <f>B15/Executivo!H$10</f>
        <v>3.430369555</v>
      </c>
      <c r="E15" s="39">
        <f t="shared" si="2"/>
        <v>1280.407945</v>
      </c>
      <c r="F15" s="30"/>
      <c r="G15" s="25"/>
      <c r="H15" s="30"/>
      <c r="I15" s="48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ht="15.0" customHeight="1">
      <c r="A16" s="31" t="s">
        <v>33</v>
      </c>
      <c r="B16" s="32">
        <v>1908550.34</v>
      </c>
      <c r="C16" s="33">
        <f t="shared" si="1"/>
        <v>0.02659165393</v>
      </c>
      <c r="D16" s="32">
        <f>B16/Executivo!H$10</f>
        <v>70.04438205</v>
      </c>
      <c r="E16" s="34">
        <f t="shared" si="2"/>
        <v>26144.52521</v>
      </c>
      <c r="F16" s="49"/>
      <c r="G16" s="25"/>
      <c r="H16" s="30"/>
      <c r="I16" s="30" t="s">
        <v>31</v>
      </c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ht="15.0" customHeight="1">
      <c r="A17" s="36" t="s">
        <v>48</v>
      </c>
      <c r="B17" s="37">
        <f>3367952.82-B18</f>
        <v>2307275</v>
      </c>
      <c r="C17" s="38">
        <f t="shared" si="1"/>
        <v>0.03214704743</v>
      </c>
      <c r="D17" s="37">
        <f>B17/Executivo!H$10</f>
        <v>84.67769919</v>
      </c>
      <c r="E17" s="39">
        <f t="shared" si="2"/>
        <v>31606.50685</v>
      </c>
      <c r="F17" s="50"/>
      <c r="G17" s="25"/>
      <c r="H17" s="30"/>
      <c r="I17" s="30" t="s">
        <v>33</v>
      </c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ht="15.0" customHeight="1">
      <c r="A18" s="31" t="s">
        <v>49</v>
      </c>
      <c r="B18" s="32">
        <v>1060677.82</v>
      </c>
      <c r="C18" s="33">
        <f t="shared" si="1"/>
        <v>0.01477832516</v>
      </c>
      <c r="D18" s="32">
        <f>B18/Executivo!H$10</f>
        <v>38.92720087</v>
      </c>
      <c r="E18" s="34">
        <f t="shared" si="2"/>
        <v>14529.83315</v>
      </c>
      <c r="F18" s="30"/>
      <c r="G18" s="25"/>
      <c r="H18" s="30"/>
      <c r="I18" s="30" t="s">
        <v>31</v>
      </c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ht="15.0" customHeight="1">
      <c r="A19" s="51" t="s">
        <v>37</v>
      </c>
      <c r="B19" s="52">
        <f t="shared" ref="B19:E19" si="3">SUM(B2:B18)</f>
        <v>71772532.29</v>
      </c>
      <c r="C19" s="53">
        <f t="shared" si="3"/>
        <v>1</v>
      </c>
      <c r="D19" s="52">
        <f t="shared" si="3"/>
        <v>2634.073918</v>
      </c>
      <c r="E19" s="54">
        <f t="shared" si="3"/>
        <v>983185.3738</v>
      </c>
      <c r="F19" s="30"/>
      <c r="G19" s="25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 ht="15.0" customHeight="1">
      <c r="A20" s="55" t="s">
        <v>50</v>
      </c>
      <c r="B20" s="56">
        <v>2470.83</v>
      </c>
      <c r="C20" s="57">
        <v>44708.0</v>
      </c>
      <c r="D20" s="58">
        <f>+D19/B20</f>
        <v>1.066068454</v>
      </c>
      <c r="E20" s="59" t="s">
        <v>51</v>
      </c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ht="15.0" customHeight="1">
      <c r="A21" s="30"/>
      <c r="B21" s="30"/>
      <c r="C21" s="30"/>
      <c r="D21" s="30"/>
      <c r="E21" s="30"/>
      <c r="F21" s="60">
        <v>45684.0</v>
      </c>
      <c r="G21" s="61">
        <v>44835.0</v>
      </c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ht="12.75" customHeight="1">
      <c r="A22" s="30"/>
      <c r="B22" s="62"/>
      <c r="C22" s="30"/>
      <c r="D22" s="30"/>
      <c r="E22" s="30"/>
      <c r="F22" s="30"/>
      <c r="G22" s="30"/>
      <c r="H22" s="30"/>
      <c r="I22" s="62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ht="12.75" customHeight="1">
      <c r="A23" s="30"/>
      <c r="B23" s="30"/>
      <c r="C23" s="30"/>
      <c r="D23" s="30"/>
      <c r="E23" s="30"/>
      <c r="F23" s="30"/>
      <c r="G23" s="62">
        <f>F21-G21</f>
        <v>849</v>
      </c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ht="12.75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ht="12.75" customHeight="1">
      <c r="A25" s="30"/>
      <c r="B25" s="30"/>
      <c r="C25" s="30"/>
      <c r="D25" s="30"/>
      <c r="E25" s="30"/>
      <c r="F25" s="30"/>
      <c r="G25" s="62">
        <f>B19*0.015</f>
        <v>1076587.984</v>
      </c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ht="12.75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ht="12.75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ht="12.75" customHeight="1">
      <c r="A28" s="30"/>
      <c r="B28" s="30"/>
      <c r="C28" s="30"/>
      <c r="D28" s="30"/>
      <c r="E28" s="30"/>
      <c r="F28" s="30"/>
      <c r="G28" s="30"/>
      <c r="H28" s="30"/>
      <c r="I28" s="62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ht="12.75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ht="12.75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ht="12.75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ht="12.75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ht="12.75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ht="12.75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 ht="12.75" customHeight="1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ht="12.75" customHeight="1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ht="12.75" customHeight="1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ht="12.75" customHeight="1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ht="12.75" customHeight="1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ht="12.75" customHeight="1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12.75" customHeight="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ht="12.75" customHeight="1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ht="12.75" customHeight="1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ht="12.75" customHeight="1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ht="12.75" customHeight="1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ht="12.75" customHeight="1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 ht="12.75" customHeight="1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ht="12.75" customHeight="1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ht="12.75" customHeight="1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ht="12.75" customHeight="1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ht="12.75" customHeight="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 ht="12.75" customHeight="1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ht="12.75" customHeight="1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 ht="12.75" customHeight="1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 ht="12.75" customHeight="1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ht="12.75" customHeight="1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 ht="12.75" customHeight="1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 ht="12.75" customHeight="1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 ht="12.75" customHeight="1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 ht="12.75" customHeight="1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ht="12.75" customHeight="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ht="12.75" customHeight="1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 ht="12.75" customHeight="1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 ht="12.75" customHeight="1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ht="12.75" customHeight="1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 ht="12.75" customHeight="1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 ht="12.75" customHeight="1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ht="12.75" customHeight="1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ht="12.75" customHeight="1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 ht="12.75" customHeight="1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 ht="12.75" customHeight="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 ht="12.75" customHeight="1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 ht="12.75" customHeight="1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ht="12.75" customHeight="1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 ht="12.75" customHeight="1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 ht="12.75" customHeight="1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 ht="12.75" customHeight="1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 ht="12.75" customHeight="1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ht="12.75" customHeight="1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 ht="12.75" customHeight="1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 ht="12.75" customHeight="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 ht="12.75" customHeight="1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 ht="12.75" customHeight="1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ht="12.75" customHeight="1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 ht="12.75" customHeight="1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 ht="12.75" customHeight="1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 ht="12.75" customHeight="1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ht="12.75" customHeight="1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 ht="12.75" customHeight="1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 ht="12.75" customHeight="1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 ht="12.75" customHeight="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 ht="12.75" customHeight="1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 ht="12.75" customHeight="1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 ht="12.75" customHeight="1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 ht="12.75" customHeight="1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 ht="12.75" customHeight="1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 ht="12.75" customHeight="1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 ht="12.75" customHeight="1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 ht="12.75" customHeight="1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 ht="12.75" customHeight="1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 ht="12.75" customHeight="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 ht="12.75" customHeight="1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 ht="12.75" customHeight="1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 ht="12.75" customHeight="1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 ht="12.75" customHeight="1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 ht="12.75" customHeight="1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 ht="12.75" customHeight="1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 ht="12.75" customHeight="1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 ht="12.75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 ht="12.75" customHeight="1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 ht="12.75" customHeight="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 ht="12.75" customHeight="1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 ht="12.75" customHeight="1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 ht="12.75" customHeight="1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 ht="12.75" customHeight="1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 ht="12.75" customHeight="1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 ht="12.75" customHeight="1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 ht="12.75" customHeight="1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 ht="12.75" customHeight="1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 ht="12.75" customHeight="1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 ht="12.75" customHeight="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 ht="12.75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 ht="12.75" customHeight="1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 ht="12.75" customHeight="1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 ht="12.75" customHeight="1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 ht="12.75" customHeight="1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 ht="12.75" customHeight="1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 ht="12.75" customHeight="1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 ht="12.75" customHeight="1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 ht="12.75" customHeight="1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 ht="12.75" customHeight="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 ht="12.75" customHeight="1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 ht="12.75" customHeight="1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 ht="12.75" customHeight="1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 ht="12.75" customHeight="1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 ht="12.75" customHeight="1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 ht="12.75" customHeight="1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 ht="12.75" customHeight="1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 ht="12.75" customHeight="1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 ht="12.75" customHeight="1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 ht="12.75" customHeight="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 ht="12.75" customHeight="1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 ht="12.75" customHeight="1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 ht="12.75" customHeight="1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 ht="12.75" customHeight="1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 ht="12.75" customHeight="1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 ht="12.75" customHeight="1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 ht="12.75" customHeight="1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 ht="12.75" customHeight="1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 ht="12.75" customHeight="1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 ht="12.75" customHeight="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 ht="12.75" customHeight="1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 ht="12.75" customHeight="1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 ht="12.75" customHeight="1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 ht="12.75" customHeight="1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 ht="12.75" customHeight="1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 ht="12.75" customHeight="1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 ht="12.75" customHeight="1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 ht="12.75" customHeight="1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 ht="12.75" customHeight="1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 ht="12.75" customHeight="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 ht="12.75" customHeight="1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 ht="12.75" customHeight="1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 ht="12.75" customHeight="1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 ht="12.75" customHeight="1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 ht="12.75" customHeight="1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 ht="12.75" customHeight="1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 ht="12.75" customHeight="1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 ht="12.75" customHeight="1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 ht="12.75" customHeight="1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 ht="12.75" customHeight="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 ht="12.75" customHeight="1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 ht="12.75" customHeight="1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 ht="12.75" customHeight="1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 ht="12.75" customHeight="1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 ht="12.75" customHeight="1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 ht="12.75" customHeight="1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 ht="12.75" customHeight="1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 ht="12.75" customHeight="1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 ht="12.75" customHeight="1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 ht="12.75" customHeight="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 ht="12.75" customHeight="1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 ht="12.75" customHeight="1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 ht="12.75" customHeight="1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 ht="12.75" customHeight="1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 ht="12.75" customHeight="1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 ht="12.75" customHeight="1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 ht="12.75" customHeight="1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 ht="12.75" customHeight="1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 ht="12.75" customHeight="1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 ht="12.75" customHeight="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 ht="12.75" customHeight="1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 ht="12.75" customHeight="1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 ht="12.75" customHeight="1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 ht="12.75" customHeight="1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 ht="12.75" customHeight="1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 ht="12.75" customHeight="1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 ht="12.75" customHeight="1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 ht="12.75" customHeight="1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 ht="12.75" customHeight="1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 ht="12.75" customHeight="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 ht="12.75" customHeight="1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 ht="12.75" customHeight="1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 ht="12.75" customHeight="1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 ht="12.75" customHeight="1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 ht="12.75" customHeight="1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 ht="12.75" customHeight="1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 ht="12.75" customHeight="1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 ht="12.75" customHeight="1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 ht="12.75" customHeight="1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 ht="12.75" customHeight="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 ht="12.75" customHeight="1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 ht="12.75" customHeight="1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 ht="12.75" customHeight="1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 ht="12.75" customHeight="1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 ht="12.75" customHeight="1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 ht="12.75" customHeight="1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 ht="12.75" customHeight="1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 ht="12.75" customHeight="1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 ht="12.75" customHeight="1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 ht="12.75" customHeight="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 ht="12.75" customHeight="1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 ht="12.75" customHeight="1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 ht="12.75" customHeight="1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 ht="12.75" customHeight="1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 ht="12.75" customHeight="1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 ht="12.75" customHeight="1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 ht="12.75" customHeight="1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 ht="12.75" customHeight="1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 ht="12.75" customHeight="1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 ht="12.75" customHeight="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 ht="12.75" customHeight="1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 ht="12.75" customHeight="1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 ht="12.75" customHeight="1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 ht="12.75" customHeight="1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 ht="12.75" customHeight="1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 ht="12.75" customHeight="1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 ht="12.75" customHeight="1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 ht="12.75" customHeight="1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 ht="12.75" customHeight="1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 ht="12.75" customHeight="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 ht="12.75" customHeight="1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 ht="12.75" customHeight="1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 ht="12.75" customHeight="1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 ht="12.75" customHeight="1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 ht="12.75" customHeight="1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 ht="12.75" customHeight="1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 ht="12.75" customHeight="1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 ht="12.75" customHeight="1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 ht="12.75" customHeight="1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 ht="12.75" customHeight="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 ht="12.75" customHeight="1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 ht="12.75" customHeight="1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 ht="12.75" customHeight="1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 ht="12.75" customHeight="1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 ht="12.75" customHeight="1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 ht="12.75" customHeight="1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 ht="12.75" customHeight="1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 ht="12.75" customHeight="1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 ht="12.75" customHeight="1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 ht="12.75" customHeight="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 ht="12.75" customHeight="1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 ht="12.75" customHeight="1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 ht="12.75" customHeight="1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 ht="12.75" customHeight="1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 ht="12.75" customHeight="1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 ht="12.75" customHeight="1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 ht="12.75" customHeight="1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 ht="12.75" customHeight="1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 ht="12.75" customHeight="1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 ht="12.75" customHeight="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 ht="12.75" customHeight="1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 ht="12.75" customHeight="1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 ht="12.75" customHeight="1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 ht="12.75" customHeight="1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 ht="12.75" customHeight="1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 ht="12.75" customHeight="1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 ht="12.75" customHeight="1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 ht="12.75" customHeight="1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 ht="12.75" customHeight="1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 ht="12.75" customHeight="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 ht="12.75" customHeight="1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 ht="12.75" customHeight="1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 ht="12.75" customHeight="1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 ht="12.75" customHeight="1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 ht="12.75" customHeight="1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 ht="12.75" customHeight="1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 ht="12.75" customHeight="1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 ht="12.75" customHeight="1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 ht="12.75" customHeight="1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 ht="12.75" customHeight="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 ht="12.75" customHeight="1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 ht="12.75" customHeight="1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 ht="12.75" customHeight="1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 ht="12.75" customHeight="1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 ht="12.75" customHeight="1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 ht="12.75" customHeight="1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 ht="12.75" customHeight="1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 ht="12.75" customHeight="1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 ht="12.75" customHeight="1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 ht="12.75" customHeight="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 ht="12.75" customHeight="1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 ht="12.75" customHeight="1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 ht="12.75" customHeight="1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 ht="12.75" customHeight="1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 ht="12.75" customHeight="1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 ht="12.75" customHeight="1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 ht="12.75" customHeight="1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 ht="12.75" customHeight="1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 ht="12.75" customHeight="1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 ht="12.75" customHeight="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 ht="12.75" customHeight="1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 ht="12.75" customHeight="1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 ht="12.75" customHeight="1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 ht="12.75" customHeight="1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 ht="12.75" customHeight="1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 ht="12.75" customHeight="1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 ht="12.75" customHeight="1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 ht="12.75" customHeight="1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 ht="12.75" customHeight="1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 ht="12.75" customHeight="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 ht="12.75" customHeight="1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 ht="12.75" customHeight="1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 ht="12.75" customHeight="1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 ht="12.75" customHeight="1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 ht="12.75" customHeight="1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 ht="12.75" customHeight="1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 ht="12.75" customHeight="1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 ht="12.75" customHeight="1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 ht="12.75" customHeight="1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 ht="12.75" customHeight="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 ht="12.75" customHeight="1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 ht="12.75" customHeight="1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 ht="12.75" customHeight="1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 ht="12.75" customHeight="1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 ht="12.75" customHeight="1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 ht="12.75" customHeight="1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 ht="12.75" customHeight="1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 ht="12.75" customHeight="1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 ht="12.75" customHeight="1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 ht="12.75" customHeight="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 ht="12.75" customHeight="1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 ht="12.75" customHeight="1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 ht="12.75" customHeight="1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 ht="12.75" customHeight="1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 ht="12.75" customHeight="1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 ht="12.75" customHeight="1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 ht="12.75" customHeight="1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 ht="12.75" customHeight="1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 ht="12.75" customHeight="1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 ht="12.75" customHeight="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 ht="12.75" customHeight="1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 ht="12.75" customHeight="1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 ht="12.75" customHeight="1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 ht="12.75" customHeight="1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 ht="12.75" customHeight="1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 ht="12.75" customHeight="1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 ht="12.75" customHeight="1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 ht="12.75" customHeight="1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 ht="12.75" customHeight="1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 ht="12.75" customHeight="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 ht="12.75" customHeight="1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 ht="12.75" customHeight="1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 ht="12.75" customHeight="1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 ht="12.75" customHeight="1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 ht="12.75" customHeight="1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 ht="12.75" customHeight="1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 ht="12.75" customHeight="1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 ht="12.75" customHeight="1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 ht="12.75" customHeight="1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 ht="12.75" customHeight="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 ht="12.75" customHeight="1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 ht="12.75" customHeight="1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 ht="12.75" customHeight="1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 ht="12.75" customHeight="1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 ht="12.75" customHeight="1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 ht="12.75" customHeight="1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 ht="12.75" customHeight="1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 ht="12.75" customHeight="1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 ht="12.75" customHeight="1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 ht="12.75" customHeight="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 ht="12.75" customHeight="1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 ht="12.75" customHeight="1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 ht="12.75" customHeight="1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 ht="12.75" customHeight="1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 ht="12.75" customHeight="1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 ht="12.75" customHeight="1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 ht="12.75" customHeight="1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 ht="12.75" customHeight="1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 ht="12.75" customHeight="1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 ht="12.75" customHeight="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 ht="12.75" customHeight="1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 ht="12.75" customHeight="1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 ht="12.75" customHeight="1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 ht="12.75" customHeight="1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 ht="12.75" customHeight="1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 ht="12.75" customHeight="1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 ht="12.75" customHeight="1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 ht="12.75" customHeight="1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 ht="12.75" customHeight="1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 ht="12.75" customHeight="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 ht="12.75" customHeight="1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 ht="12.75" customHeight="1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 ht="12.75" customHeight="1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 ht="12.75" customHeight="1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 ht="12.75" customHeight="1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 ht="12.75" customHeight="1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 ht="12.75" customHeight="1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 ht="12.75" customHeight="1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 ht="12.75" customHeight="1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 ht="12.75" customHeight="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 ht="12.75" customHeight="1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 ht="12.75" customHeight="1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 ht="12.75" customHeight="1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 ht="12.75" customHeight="1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 ht="12.75" customHeight="1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 ht="12.75" customHeight="1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 ht="12.75" customHeight="1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 ht="12.75" customHeight="1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 ht="12.75" customHeight="1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 ht="12.75" customHeight="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 ht="12.75" customHeight="1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 ht="12.75" customHeight="1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 ht="12.75" customHeight="1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 ht="12.75" customHeight="1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 ht="12.75" customHeight="1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 ht="12.75" customHeight="1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 ht="12.75" customHeight="1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 ht="12.75" customHeight="1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 ht="12.75" customHeight="1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 ht="12.75" customHeight="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 ht="12.75" customHeight="1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 ht="12.75" customHeight="1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 ht="12.75" customHeight="1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 ht="12.75" customHeight="1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 ht="12.75" customHeight="1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 ht="12.75" customHeight="1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 ht="12.75" customHeight="1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 ht="12.75" customHeight="1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 ht="12.75" customHeight="1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 ht="12.75" customHeight="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 ht="12.75" customHeight="1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 ht="12.75" customHeight="1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 ht="12.75" customHeight="1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 ht="12.75" customHeight="1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 ht="12.75" customHeight="1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 ht="12.75" customHeight="1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 ht="12.75" customHeight="1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 ht="12.75" customHeight="1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 ht="12.75" customHeight="1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 ht="12.75" customHeight="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 ht="12.75" customHeight="1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 ht="12.75" customHeight="1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 ht="12.75" customHeight="1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 ht="12.75" customHeight="1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 ht="12.75" customHeight="1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 ht="12.75" customHeight="1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 ht="12.75" customHeight="1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 ht="12.75" customHeight="1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 ht="12.75" customHeight="1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 ht="12.75" customHeight="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 ht="12.75" customHeight="1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 ht="12.75" customHeight="1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 ht="12.75" customHeight="1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 ht="12.75" customHeight="1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 ht="12.75" customHeight="1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 ht="12.75" customHeight="1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 ht="12.75" customHeight="1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 ht="12.75" customHeight="1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 ht="12.75" customHeight="1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 ht="12.75" customHeight="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 ht="12.75" customHeight="1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 ht="12.75" customHeight="1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 ht="12.75" customHeight="1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 ht="12.75" customHeight="1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 ht="12.75" customHeight="1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 ht="12.75" customHeight="1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 ht="12.75" customHeight="1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 ht="12.75" customHeight="1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 ht="12.75" customHeight="1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 ht="12.75" customHeight="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 ht="12.75" customHeight="1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 ht="12.75" customHeight="1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 ht="12.75" customHeight="1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 ht="12.75" customHeight="1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 ht="12.75" customHeight="1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 ht="12.75" customHeight="1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 ht="12.75" customHeight="1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 ht="12.75" customHeight="1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 ht="12.75" customHeight="1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 ht="12.75" customHeight="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 ht="12.75" customHeight="1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 ht="12.75" customHeight="1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 ht="12.75" customHeight="1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 ht="12.75" customHeight="1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 ht="12.75" customHeight="1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 ht="12.75" customHeight="1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 ht="12.75" customHeight="1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 ht="12.75" customHeight="1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 ht="12.75" customHeight="1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 ht="12.75" customHeight="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 ht="12.75" customHeight="1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 ht="12.75" customHeight="1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 ht="12.75" customHeight="1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 ht="12.75" customHeight="1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 ht="12.75" customHeight="1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 ht="12.75" customHeight="1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 ht="12.75" customHeight="1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 ht="12.75" customHeight="1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 ht="12.75" customHeight="1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 ht="12.75" customHeight="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 ht="12.75" customHeight="1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 ht="12.75" customHeight="1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 ht="12.75" customHeight="1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 ht="12.75" customHeight="1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 ht="12.75" customHeight="1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 ht="12.75" customHeight="1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 ht="12.75" customHeight="1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 ht="12.75" customHeight="1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 ht="12.75" customHeight="1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 ht="12.75" customHeight="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 ht="12.75" customHeight="1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 ht="12.75" customHeight="1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 ht="12.75" customHeight="1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 ht="12.75" customHeight="1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 ht="12.75" customHeight="1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 ht="12.75" customHeight="1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 ht="12.75" customHeight="1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 ht="12.75" customHeight="1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 ht="12.75" customHeight="1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 ht="12.75" customHeight="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 ht="12.75" customHeight="1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 ht="12.75" customHeight="1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 ht="12.75" customHeight="1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 ht="12.75" customHeight="1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 ht="12.75" customHeight="1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 ht="12.75" customHeight="1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 ht="12.75" customHeight="1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 ht="12.75" customHeight="1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 ht="12.75" customHeight="1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 ht="12.75" customHeight="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 ht="12.75" customHeight="1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 ht="12.75" customHeight="1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 ht="12.75" customHeight="1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 ht="12.75" customHeight="1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 ht="12.75" customHeight="1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 ht="12.75" customHeight="1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 ht="12.75" customHeight="1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 ht="12.75" customHeight="1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 ht="12.75" customHeight="1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 ht="12.75" customHeight="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 ht="12.75" customHeight="1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 ht="12.75" customHeight="1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 ht="12.75" customHeight="1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 ht="12.75" customHeight="1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 ht="12.75" customHeight="1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 ht="12.75" customHeight="1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 ht="12.75" customHeight="1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 ht="12.75" customHeight="1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 ht="12.75" customHeight="1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 ht="12.75" customHeight="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 ht="12.75" customHeight="1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 ht="12.75" customHeight="1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 ht="12.75" customHeight="1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 ht="12.75" customHeight="1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 ht="12.75" customHeight="1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 ht="12.75" customHeight="1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 ht="12.75" customHeight="1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 ht="12.75" customHeight="1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 ht="12.75" customHeight="1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 ht="12.75" customHeight="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 ht="12.75" customHeight="1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 ht="12.75" customHeight="1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 ht="12.75" customHeight="1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 ht="12.75" customHeight="1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 ht="12.75" customHeight="1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 ht="12.75" customHeight="1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 ht="12.75" customHeight="1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 ht="12.75" customHeight="1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 ht="12.75" customHeight="1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 ht="12.75" customHeight="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 ht="12.75" customHeight="1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 ht="12.75" customHeight="1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 ht="12.75" customHeight="1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 ht="12.75" customHeight="1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 ht="12.75" customHeight="1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 ht="12.75" customHeight="1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 ht="12.75" customHeight="1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 ht="12.75" customHeight="1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 ht="12.75" customHeight="1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 ht="12.75" customHeight="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 ht="12.75" customHeight="1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 ht="12.75" customHeight="1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 ht="12.75" customHeight="1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 ht="12.75" customHeight="1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 ht="12.75" customHeight="1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 ht="12.75" customHeight="1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 ht="12.75" customHeight="1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 ht="12.75" customHeight="1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 ht="12.75" customHeight="1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 ht="12.75" customHeight="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 ht="12.75" customHeight="1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 ht="12.75" customHeight="1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 ht="12.75" customHeight="1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 ht="12.75" customHeight="1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 ht="12.75" customHeight="1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 ht="12.75" customHeight="1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 ht="12.75" customHeight="1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 ht="12.75" customHeight="1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 ht="12.75" customHeight="1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 ht="12.75" customHeight="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 ht="12.75" customHeight="1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 ht="12.75" customHeight="1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 ht="12.75" customHeight="1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 ht="12.75" customHeight="1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 ht="12.75" customHeight="1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 ht="12.75" customHeight="1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 ht="12.75" customHeight="1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 ht="12.75" customHeight="1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 ht="12.75" customHeight="1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 ht="12.75" customHeight="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 ht="12.75" customHeight="1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 ht="12.75" customHeight="1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 ht="12.75" customHeight="1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 ht="12.75" customHeight="1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 ht="12.75" customHeight="1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 ht="12.75" customHeight="1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 ht="12.75" customHeight="1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 ht="12.75" customHeight="1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 ht="12.75" customHeight="1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 ht="12.75" customHeight="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 ht="12.75" customHeight="1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 ht="12.75" customHeight="1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 ht="12.75" customHeight="1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 ht="12.75" customHeight="1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 ht="12.75" customHeight="1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 ht="12.75" customHeight="1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 ht="12.75" customHeight="1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 ht="12.75" customHeight="1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 ht="12.75" customHeight="1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 ht="12.75" customHeight="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 ht="12.75" customHeight="1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 ht="12.75" customHeight="1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 ht="12.75" customHeight="1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 ht="12.75" customHeight="1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 ht="12.75" customHeight="1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 ht="12.75" customHeight="1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 ht="12.75" customHeight="1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 ht="12.75" customHeight="1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 ht="12.75" customHeight="1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 ht="12.75" customHeight="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 ht="12.75" customHeight="1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</row>
    <row r="653" ht="12.75" customHeight="1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 ht="12.75" customHeight="1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 ht="12.75" customHeight="1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 ht="12.75" customHeight="1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 ht="12.75" customHeight="1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 ht="12.75" customHeight="1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 ht="12.75" customHeight="1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 ht="12.75" customHeight="1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 ht="12.75" customHeight="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 ht="12.75" customHeight="1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 ht="12.75" customHeight="1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 ht="12.75" customHeight="1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 ht="12.75" customHeight="1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 ht="12.75" customHeight="1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 ht="12.75" customHeight="1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 ht="12.75" customHeight="1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 ht="12.75" customHeight="1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 ht="12.75" customHeight="1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 ht="12.75" customHeight="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 ht="12.75" customHeight="1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 ht="12.75" customHeight="1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 ht="12.75" customHeight="1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 ht="12.75" customHeight="1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 ht="12.75" customHeight="1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 ht="12.75" customHeight="1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 ht="12.75" customHeight="1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 ht="12.75" customHeight="1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 ht="12.75" customHeight="1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 ht="12.75" customHeight="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 ht="12.75" customHeight="1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 ht="12.75" customHeight="1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 ht="12.75" customHeight="1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 ht="12.75" customHeight="1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 ht="12.75" customHeight="1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 ht="12.75" customHeight="1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 ht="12.75" customHeight="1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 ht="12.75" customHeight="1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 ht="12.75" customHeight="1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 ht="12.75" customHeight="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 ht="12.75" customHeight="1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 ht="12.75" customHeight="1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 ht="12.75" customHeight="1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 ht="12.75" customHeight="1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 ht="12.75" customHeight="1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 ht="12.75" customHeight="1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 ht="12.75" customHeight="1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 ht="12.75" customHeight="1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 ht="12.75" customHeight="1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 ht="12.75" customHeight="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 ht="12.75" customHeight="1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 ht="12.75" customHeight="1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 ht="12.75" customHeight="1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 ht="12.75" customHeight="1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 ht="12.75" customHeight="1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 ht="12.75" customHeight="1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 ht="12.75" customHeight="1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 ht="12.75" customHeight="1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 ht="12.75" customHeight="1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 ht="12.75" customHeight="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 ht="12.75" customHeight="1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 ht="12.75" customHeight="1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 ht="12.75" customHeight="1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 ht="12.75" customHeight="1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 ht="12.75" customHeight="1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 ht="12.75" customHeight="1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 ht="12.75" customHeight="1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 ht="12.75" customHeight="1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 ht="12.75" customHeight="1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 ht="12.75" customHeight="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 ht="12.75" customHeight="1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 ht="12.75" customHeight="1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 ht="12.75" customHeight="1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 ht="12.75" customHeight="1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 ht="12.75" customHeight="1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 ht="12.75" customHeight="1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 ht="12.75" customHeight="1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 ht="12.75" customHeight="1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 ht="12.75" customHeight="1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 ht="12.75" customHeight="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 ht="12.75" customHeight="1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 ht="12.75" customHeight="1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 ht="12.75" customHeight="1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 ht="12.75" customHeight="1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 ht="12.75" customHeight="1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 ht="12.75" customHeight="1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 ht="12.75" customHeight="1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 ht="12.75" customHeight="1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 ht="12.75" customHeight="1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 ht="12.75" customHeight="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 ht="12.75" customHeight="1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 ht="12.75" customHeight="1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 ht="12.75" customHeight="1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 ht="12.75" customHeight="1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 ht="12.75" customHeight="1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 ht="12.75" customHeight="1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 ht="12.75" customHeight="1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 ht="12.75" customHeight="1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 ht="12.75" customHeight="1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 ht="12.75" customHeight="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 ht="12.75" customHeight="1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 ht="12.75" customHeight="1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 ht="12.75" customHeight="1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 ht="12.75" customHeight="1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 ht="12.75" customHeight="1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 ht="12.75" customHeight="1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 ht="12.75" customHeight="1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 ht="12.75" customHeight="1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 ht="12.75" customHeight="1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 ht="12.75" customHeight="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 ht="12.75" customHeight="1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 ht="12.75" customHeight="1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 ht="12.75" customHeight="1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 ht="12.75" customHeight="1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 ht="12.75" customHeight="1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 ht="12.75" customHeight="1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 ht="12.75" customHeight="1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 ht="12.75" customHeight="1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 ht="12.75" customHeight="1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 ht="12.75" customHeight="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 ht="12.75" customHeight="1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 ht="12.75" customHeight="1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 ht="12.75" customHeight="1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 ht="12.75" customHeight="1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 ht="12.75" customHeight="1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 ht="12.75" customHeight="1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 ht="12.75" customHeight="1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 ht="12.75" customHeight="1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 ht="12.75" customHeight="1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 ht="12.75" customHeight="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 ht="12.75" customHeight="1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 ht="12.75" customHeight="1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 ht="12.75" customHeight="1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 ht="12.75" customHeight="1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 ht="12.75" customHeight="1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 ht="12.75" customHeight="1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 ht="12.75" customHeight="1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 ht="12.75" customHeight="1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 ht="12.75" customHeight="1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 ht="12.75" customHeight="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 ht="12.75" customHeight="1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 ht="12.75" customHeight="1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 ht="12.75" customHeight="1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 ht="12.75" customHeight="1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 ht="12.75" customHeight="1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 ht="12.75" customHeight="1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 ht="12.75" customHeight="1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 ht="12.75" customHeight="1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 ht="12.75" customHeight="1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 ht="12.75" customHeight="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 ht="12.75" customHeight="1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 ht="12.75" customHeight="1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 ht="12.75" customHeight="1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 ht="12.75" customHeight="1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 ht="12.75" customHeight="1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 ht="12.75" customHeight="1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 ht="12.75" customHeight="1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 ht="12.75" customHeight="1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 ht="12.75" customHeight="1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 ht="12.75" customHeight="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 ht="12.75" customHeight="1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 ht="12.75" customHeight="1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 ht="12.75" customHeight="1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 ht="12.75" customHeight="1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 ht="12.75" customHeight="1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 ht="12.75" customHeight="1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 ht="12.75" customHeight="1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 ht="12.75" customHeight="1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 ht="12.75" customHeight="1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 ht="12.75" customHeight="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 ht="12.75" customHeight="1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 ht="12.75" customHeight="1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 ht="12.75" customHeight="1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 ht="12.75" customHeight="1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 ht="12.75" customHeight="1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 ht="12.75" customHeight="1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 ht="12.75" customHeight="1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 ht="12.75" customHeight="1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 ht="12.75" customHeight="1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 ht="12.75" customHeight="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 ht="12.75" customHeight="1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 ht="12.75" customHeight="1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 ht="12.75" customHeight="1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 ht="12.75" customHeight="1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 ht="12.75" customHeight="1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 ht="12.75" customHeight="1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 ht="12.75" customHeight="1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 ht="12.75" customHeight="1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 ht="12.75" customHeight="1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 ht="12.75" customHeight="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 ht="12.75" customHeight="1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 ht="12.75" customHeight="1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 ht="12.75" customHeight="1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 ht="12.75" customHeight="1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 ht="12.75" customHeight="1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 ht="12.75" customHeight="1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 ht="12.75" customHeight="1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 ht="12.75" customHeight="1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 ht="12.75" customHeight="1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 ht="12.75" customHeight="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 ht="12.75" customHeight="1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 ht="12.75" customHeight="1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 ht="12.75" customHeight="1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 ht="12.75" customHeight="1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 ht="12.75" customHeight="1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 ht="12.75" customHeight="1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 ht="12.75" customHeight="1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 ht="12.75" customHeight="1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 ht="12.75" customHeight="1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 ht="12.75" customHeight="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 ht="12.75" customHeight="1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 ht="12.75" customHeight="1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 ht="12.75" customHeight="1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 ht="12.75" customHeight="1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 ht="12.75" customHeight="1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 ht="12.75" customHeight="1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 ht="12.75" customHeight="1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 ht="12.75" customHeight="1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 ht="12.75" customHeight="1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 ht="12.75" customHeight="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 ht="12.75" customHeight="1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 ht="12.75" customHeight="1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 ht="12.75" customHeight="1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 ht="12.75" customHeight="1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 ht="12.75" customHeight="1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 ht="12.75" customHeight="1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 ht="12.75" customHeight="1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 ht="12.75" customHeight="1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 ht="12.75" customHeight="1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 ht="12.75" customHeight="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 ht="12.75" customHeight="1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 ht="12.75" customHeight="1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 ht="12.75" customHeight="1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 ht="12.75" customHeight="1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 ht="12.75" customHeight="1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 ht="12.75" customHeight="1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 ht="12.75" customHeight="1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 ht="12.75" customHeight="1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 ht="12.75" customHeight="1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 ht="12.75" customHeight="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 ht="12.75" customHeight="1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 ht="12.75" customHeight="1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 ht="12.75" customHeight="1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 ht="12.75" customHeight="1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 ht="12.75" customHeight="1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 ht="12.75" customHeight="1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 ht="12.75" customHeight="1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 ht="12.75" customHeight="1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 ht="12.75" customHeight="1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 ht="12.75" customHeight="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 ht="12.75" customHeight="1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 ht="12.75" customHeight="1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 ht="12.75" customHeight="1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 ht="12.75" customHeight="1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 ht="12.75" customHeight="1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 ht="12.75" customHeight="1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 ht="12.75" customHeight="1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 ht="12.75" customHeight="1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 ht="12.75" customHeight="1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 ht="12.75" customHeight="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 ht="12.75" customHeight="1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 ht="12.75" customHeight="1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 ht="12.75" customHeight="1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 ht="12.75" customHeight="1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 ht="12.75" customHeight="1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 ht="12.75" customHeight="1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 ht="12.75" customHeight="1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 ht="12.75" customHeight="1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 ht="12.75" customHeight="1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 ht="12.75" customHeight="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  <row r="922" ht="12.75" customHeight="1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</row>
    <row r="923" ht="12.75" customHeight="1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 ht="12.75" customHeight="1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 ht="12.75" customHeight="1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</row>
    <row r="926" ht="12.75" customHeight="1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</row>
    <row r="927" ht="12.75" customHeight="1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</row>
    <row r="928" ht="12.75" customHeight="1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</row>
    <row r="929" ht="12.75" customHeight="1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</row>
    <row r="930" ht="12.75" customHeight="1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</row>
    <row r="931" ht="12.75" customHeight="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</row>
    <row r="932" ht="12.75" customHeight="1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</row>
    <row r="933" ht="12.75" customHeight="1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</row>
    <row r="934" ht="12.75" customHeight="1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</row>
    <row r="935" ht="12.75" customHeight="1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</row>
    <row r="936" ht="12.75" customHeight="1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</row>
    <row r="937" ht="12.75" customHeight="1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</row>
    <row r="938" ht="12.75" customHeight="1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</row>
    <row r="939" ht="12.75" customHeight="1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</row>
    <row r="940" ht="12.75" customHeight="1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</row>
    <row r="941" ht="12.75" customHeight="1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</row>
    <row r="942" ht="12.75" customHeight="1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</row>
    <row r="943" ht="12.75" customHeight="1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</row>
    <row r="944" ht="12.75" customHeight="1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</row>
    <row r="945" ht="12.75" customHeight="1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</row>
    <row r="946" ht="12.75" customHeight="1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</row>
    <row r="947" ht="12.75" customHeight="1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</row>
    <row r="948" ht="12.75" customHeight="1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</row>
    <row r="949" ht="12.75" customHeight="1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</row>
    <row r="950" ht="12.75" customHeight="1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</row>
    <row r="951" ht="12.75" customHeight="1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</row>
    <row r="952" ht="12.75" customHeight="1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</row>
    <row r="953" ht="12.75" customHeight="1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</row>
    <row r="954" ht="12.75" customHeight="1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</row>
    <row r="955" ht="12.75" customHeight="1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</row>
    <row r="956" ht="12.75" customHeight="1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</row>
    <row r="957" ht="12.75" customHeight="1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</row>
    <row r="958" ht="12.75" customHeight="1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</row>
    <row r="959" ht="12.75" customHeight="1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</row>
    <row r="960" ht="12.75" customHeight="1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</row>
    <row r="961" ht="12.75" customHeight="1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</row>
    <row r="962" ht="12.75" customHeight="1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</row>
    <row r="963" ht="12.75" customHeight="1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</row>
    <row r="964" ht="12.75" customHeight="1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</row>
    <row r="965" ht="12.75" customHeight="1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</row>
    <row r="966" ht="12.75" customHeight="1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</row>
    <row r="967" ht="12.75" customHeight="1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</row>
    <row r="968" ht="12.75" customHeight="1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</row>
    <row r="969" ht="12.75" customHeight="1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</row>
    <row r="970" ht="12.75" customHeight="1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</row>
    <row r="971" ht="12.75" customHeight="1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</row>
    <row r="972" ht="12.75" customHeight="1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</row>
    <row r="973" ht="12.75" customHeight="1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</row>
    <row r="974" ht="12.75" customHeight="1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</row>
    <row r="975" ht="12.75" customHeight="1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</row>
    <row r="976" ht="12.75" customHeight="1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</row>
    <row r="977" ht="12.75" customHeight="1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</row>
    <row r="978" ht="12.75" customHeight="1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</row>
    <row r="979" ht="12.75" customHeight="1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</row>
    <row r="980" ht="12.75" customHeight="1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</row>
    <row r="981" ht="12.75" customHeight="1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</row>
    <row r="982" ht="12.75" customHeight="1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</row>
    <row r="983" ht="12.75" customHeight="1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</row>
    <row r="984" ht="12.75" customHeight="1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</row>
    <row r="985" ht="12.75" customHeight="1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</row>
    <row r="986" ht="12.75" customHeight="1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</row>
    <row r="987" ht="12.75" customHeight="1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</row>
    <row r="988" ht="12.75" customHeight="1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</row>
    <row r="989" ht="12.75" customHeight="1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</row>
    <row r="990" ht="12.75" customHeight="1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</row>
    <row r="991" ht="12.75" customHeight="1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</row>
    <row r="992" ht="12.75" customHeight="1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</row>
    <row r="993" ht="12.75" customHeight="1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</row>
    <row r="994" ht="12.75" customHeight="1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</row>
    <row r="995" ht="12.75" customHeight="1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</row>
    <row r="996" ht="12.75" customHeight="1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</row>
    <row r="997" ht="12.75" customHeight="1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</row>
    <row r="998" ht="12.75" customHeight="1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</row>
    <row r="999" ht="12.75" customHeight="1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</row>
    <row r="1000" ht="12.75" customHeight="1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</row>
  </sheetData>
  <printOptions/>
  <pageMargins bottom="0.787401575" footer="0.0" header="0.0" left="0.511811024" right="0.511811024" top="0.787401575"/>
  <pageSetup paperSize="9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4.43"/>
    <col customWidth="1" min="2" max="2" width="13.14"/>
    <col customWidth="1" min="3" max="3" width="30.0"/>
    <col customWidth="1" min="4" max="4" width="9.14"/>
    <col customWidth="1" min="5" max="5" width="30.0"/>
    <col customWidth="1" min="6" max="6" width="12.0"/>
    <col customWidth="1" min="7" max="26" width="9.14"/>
  </cols>
  <sheetData>
    <row r="1" ht="12.0" customHeight="1">
      <c r="A1" s="63" t="s">
        <v>52</v>
      </c>
      <c r="B1" s="63" t="s">
        <v>53</v>
      </c>
      <c r="C1" s="63" t="s">
        <v>54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</row>
    <row r="2" ht="12.0" customHeight="1">
      <c r="A2" s="64" t="s">
        <v>55</v>
      </c>
      <c r="B2" s="65">
        <v>1797638.4</v>
      </c>
      <c r="C2" s="63" t="s">
        <v>56</v>
      </c>
      <c r="D2" s="63"/>
      <c r="E2" s="63" t="s">
        <v>56</v>
      </c>
      <c r="F2" s="66">
        <f t="shared" ref="F2:F8" si="1">SUMIF($C$2:$C$418,E2,$B$2:$B$418)</f>
        <v>6599033.83</v>
      </c>
      <c r="G2" s="67">
        <f t="shared" ref="G2:G9" si="2">+F2/$F$9</f>
        <v>0.2682350206</v>
      </c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</row>
    <row r="3" ht="12.0" customHeight="1">
      <c r="A3" s="68" t="s">
        <v>57</v>
      </c>
      <c r="B3" s="69">
        <v>890507.44</v>
      </c>
      <c r="C3" s="70" t="s">
        <v>58</v>
      </c>
      <c r="D3" s="63"/>
      <c r="E3" s="63" t="s">
        <v>58</v>
      </c>
      <c r="F3" s="66">
        <f t="shared" si="1"/>
        <v>10596923.45</v>
      </c>
      <c r="G3" s="67">
        <f t="shared" si="2"/>
        <v>0.4307397194</v>
      </c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</row>
    <row r="4" ht="12.0" customHeight="1">
      <c r="A4" s="71" t="s">
        <v>59</v>
      </c>
      <c r="B4" s="72">
        <v>675000.0</v>
      </c>
      <c r="C4" s="73" t="s">
        <v>35</v>
      </c>
      <c r="D4" s="63"/>
      <c r="E4" s="63" t="s">
        <v>60</v>
      </c>
      <c r="F4" s="66">
        <f t="shared" si="1"/>
        <v>3563262.2</v>
      </c>
      <c r="G4" s="67">
        <f t="shared" si="2"/>
        <v>0.1448381285</v>
      </c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</row>
    <row r="5" ht="12.0" customHeight="1">
      <c r="A5" s="68" t="s">
        <v>61</v>
      </c>
      <c r="B5" s="69">
        <v>584807.88</v>
      </c>
      <c r="C5" s="70" t="s">
        <v>58</v>
      </c>
      <c r="D5" s="63"/>
      <c r="E5" s="63" t="s">
        <v>35</v>
      </c>
      <c r="F5" s="66">
        <f t="shared" si="1"/>
        <v>1282500</v>
      </c>
      <c r="G5" s="67">
        <f t="shared" si="2"/>
        <v>0.05213057288</v>
      </c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</row>
    <row r="6" ht="12.0" customHeight="1">
      <c r="A6" s="64" t="s">
        <v>62</v>
      </c>
      <c r="B6" s="74">
        <v>531382.5</v>
      </c>
      <c r="C6" s="63" t="s">
        <v>56</v>
      </c>
      <c r="D6" s="63"/>
      <c r="E6" s="75" t="s">
        <v>63</v>
      </c>
      <c r="F6" s="66">
        <f t="shared" si="1"/>
        <v>838800</v>
      </c>
      <c r="G6" s="67">
        <f t="shared" si="2"/>
        <v>0.0340952238</v>
      </c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</row>
    <row r="7" ht="12.0" customHeight="1">
      <c r="A7" s="64" t="s">
        <v>64</v>
      </c>
      <c r="B7" s="74">
        <v>456361.65</v>
      </c>
      <c r="C7" s="63" t="s">
        <v>56</v>
      </c>
      <c r="D7" s="63"/>
      <c r="E7" s="63" t="s">
        <v>65</v>
      </c>
      <c r="F7" s="66">
        <f t="shared" si="1"/>
        <v>1042077.52</v>
      </c>
      <c r="G7" s="67">
        <f t="shared" si="2"/>
        <v>0.04235797123</v>
      </c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</row>
    <row r="8" ht="12.0" customHeight="1">
      <c r="A8" s="76" t="s">
        <v>66</v>
      </c>
      <c r="B8" s="77">
        <v>432000.0</v>
      </c>
      <c r="C8" s="75" t="s">
        <v>63</v>
      </c>
      <c r="D8" s="63"/>
      <c r="E8" s="63" t="s">
        <v>67</v>
      </c>
      <c r="F8" s="66">
        <f t="shared" si="1"/>
        <v>679089.29</v>
      </c>
      <c r="G8" s="67">
        <f t="shared" si="2"/>
        <v>0.02760336353</v>
      </c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</row>
    <row r="9" ht="12.0" customHeight="1">
      <c r="A9" s="64" t="s">
        <v>68</v>
      </c>
      <c r="B9" s="74">
        <v>389358.92</v>
      </c>
      <c r="C9" s="63" t="s">
        <v>56</v>
      </c>
      <c r="D9" s="63"/>
      <c r="E9" s="63"/>
      <c r="F9" s="66">
        <f>SUM(F2:F8)</f>
        <v>24601686.29</v>
      </c>
      <c r="G9" s="67">
        <f t="shared" si="2"/>
        <v>1</v>
      </c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</row>
    <row r="10" ht="12.0" customHeight="1">
      <c r="A10" s="64" t="s">
        <v>69</v>
      </c>
      <c r="B10" s="74">
        <v>378132.5</v>
      </c>
      <c r="C10" s="63" t="s">
        <v>56</v>
      </c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</row>
    <row r="11" ht="12.0" customHeight="1">
      <c r="A11" s="71" t="s">
        <v>70</v>
      </c>
      <c r="B11" s="72">
        <v>345000.0</v>
      </c>
      <c r="C11" s="73" t="s">
        <v>35</v>
      </c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</row>
    <row r="12" ht="12.0" customHeight="1">
      <c r="A12" s="68" t="s">
        <v>71</v>
      </c>
      <c r="B12" s="69">
        <v>314496.0</v>
      </c>
      <c r="C12" s="70" t="s">
        <v>58</v>
      </c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</row>
    <row r="13" ht="12.0" customHeight="1">
      <c r="A13" s="68" t="s">
        <v>72</v>
      </c>
      <c r="B13" s="69">
        <v>310081.2</v>
      </c>
      <c r="C13" s="70" t="s">
        <v>58</v>
      </c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</row>
    <row r="14" ht="12.0" customHeight="1">
      <c r="A14" s="78" t="s">
        <v>73</v>
      </c>
      <c r="B14" s="79">
        <v>280000.0</v>
      </c>
      <c r="C14" s="80" t="s">
        <v>60</v>
      </c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</row>
    <row r="15" ht="12.0" customHeight="1">
      <c r="A15" s="68" t="s">
        <v>74</v>
      </c>
      <c r="B15" s="69">
        <v>277224.04</v>
      </c>
      <c r="C15" s="70" t="s">
        <v>58</v>
      </c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</row>
    <row r="16" ht="12.0" customHeight="1">
      <c r="A16" s="78" t="s">
        <v>75</v>
      </c>
      <c r="B16" s="79">
        <v>262548.0</v>
      </c>
      <c r="C16" s="80" t="s">
        <v>60</v>
      </c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</row>
    <row r="17" ht="12.0" customHeight="1">
      <c r="A17" s="68" t="s">
        <v>76</v>
      </c>
      <c r="B17" s="69">
        <v>261966.43</v>
      </c>
      <c r="C17" s="70" t="s">
        <v>58</v>
      </c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</row>
    <row r="18" ht="12.0" customHeight="1">
      <c r="A18" s="64" t="s">
        <v>77</v>
      </c>
      <c r="B18" s="74">
        <v>255137.12</v>
      </c>
      <c r="C18" s="63" t="s">
        <v>56</v>
      </c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</row>
    <row r="19" ht="12.0" customHeight="1">
      <c r="A19" s="68" t="s">
        <v>78</v>
      </c>
      <c r="B19" s="69">
        <v>241776.87</v>
      </c>
      <c r="C19" s="70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</row>
    <row r="20" ht="12.0" customHeight="1">
      <c r="A20" s="78" t="s">
        <v>79</v>
      </c>
      <c r="B20" s="79">
        <v>233449.95</v>
      </c>
      <c r="C20" s="80" t="s">
        <v>60</v>
      </c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</row>
    <row r="21" ht="12.0" customHeight="1">
      <c r="A21" s="68" t="s">
        <v>80</v>
      </c>
      <c r="B21" s="69">
        <v>219342.11</v>
      </c>
      <c r="C21" s="70" t="s">
        <v>58</v>
      </c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</row>
    <row r="22" ht="12.0" customHeight="1">
      <c r="A22" s="81" t="s">
        <v>81</v>
      </c>
      <c r="B22" s="82">
        <v>210000.0</v>
      </c>
      <c r="C22" s="83" t="s">
        <v>67</v>
      </c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</row>
    <row r="23" ht="12.0" customHeight="1">
      <c r="A23" s="78" t="s">
        <v>82</v>
      </c>
      <c r="B23" s="79">
        <v>198511.99</v>
      </c>
      <c r="C23" s="80" t="s">
        <v>60</v>
      </c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</row>
    <row r="24" ht="12.0" customHeight="1">
      <c r="A24" s="68" t="s">
        <v>83</v>
      </c>
      <c r="B24" s="69">
        <v>198312.75</v>
      </c>
      <c r="C24" s="70" t="s">
        <v>58</v>
      </c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</row>
    <row r="25" ht="12.0" customHeight="1">
      <c r="A25" s="68" t="s">
        <v>84</v>
      </c>
      <c r="B25" s="69">
        <v>197376.57</v>
      </c>
      <c r="C25" s="70" t="s">
        <v>58</v>
      </c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</row>
    <row r="26" ht="12.0" customHeight="1">
      <c r="A26" s="64" t="s">
        <v>85</v>
      </c>
      <c r="B26" s="74">
        <v>195873.3</v>
      </c>
      <c r="C26" s="63" t="s">
        <v>56</v>
      </c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</row>
    <row r="27" ht="12.0" customHeight="1">
      <c r="A27" s="68" t="s">
        <v>86</v>
      </c>
      <c r="B27" s="69">
        <v>189556.35</v>
      </c>
      <c r="C27" s="70" t="s">
        <v>58</v>
      </c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</row>
    <row r="28" ht="12.0" customHeight="1">
      <c r="A28" s="78" t="s">
        <v>87</v>
      </c>
      <c r="B28" s="79">
        <v>185083.16</v>
      </c>
      <c r="C28" s="80" t="s">
        <v>60</v>
      </c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</row>
    <row r="29" ht="12.0" customHeight="1">
      <c r="A29" s="78" t="s">
        <v>88</v>
      </c>
      <c r="B29" s="79">
        <v>180000.0</v>
      </c>
      <c r="C29" s="80" t="s">
        <v>60</v>
      </c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</row>
    <row r="30" ht="12.0" customHeight="1">
      <c r="A30" s="68" t="s">
        <v>89</v>
      </c>
      <c r="B30" s="69">
        <v>178538.05</v>
      </c>
      <c r="C30" s="70" t="s">
        <v>58</v>
      </c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</row>
    <row r="31" ht="12.0" customHeight="1">
      <c r="A31" s="68" t="s">
        <v>90</v>
      </c>
      <c r="B31" s="69">
        <v>178198.4</v>
      </c>
      <c r="C31" s="70" t="s">
        <v>58</v>
      </c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</row>
    <row r="32" ht="12.0" customHeight="1">
      <c r="A32" s="64" t="s">
        <v>91</v>
      </c>
      <c r="B32" s="74">
        <v>174708.24</v>
      </c>
      <c r="C32" s="63" t="s">
        <v>56</v>
      </c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</row>
    <row r="33" ht="12.0" customHeight="1">
      <c r="A33" s="68" t="s">
        <v>92</v>
      </c>
      <c r="B33" s="69">
        <v>173932.17</v>
      </c>
      <c r="C33" s="70" t="s">
        <v>58</v>
      </c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</row>
    <row r="34" ht="12.0" customHeight="1">
      <c r="A34" s="68" t="s">
        <v>93</v>
      </c>
      <c r="B34" s="69">
        <v>168125.06</v>
      </c>
      <c r="C34" s="70" t="s">
        <v>58</v>
      </c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</row>
    <row r="35" ht="12.0" customHeight="1">
      <c r="A35" s="68" t="s">
        <v>94</v>
      </c>
      <c r="B35" s="69">
        <v>165000.0</v>
      </c>
      <c r="C35" s="70" t="s">
        <v>58</v>
      </c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</row>
    <row r="36" ht="12.0" customHeight="1">
      <c r="A36" s="64" t="s">
        <v>95</v>
      </c>
      <c r="B36" s="74">
        <v>159556.54</v>
      </c>
      <c r="C36" s="63" t="s">
        <v>56</v>
      </c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</row>
    <row r="37" ht="12.0" customHeight="1">
      <c r="A37" s="68" t="s">
        <v>96</v>
      </c>
      <c r="B37" s="69">
        <v>159525.53</v>
      </c>
      <c r="C37" s="70" t="s">
        <v>58</v>
      </c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</row>
    <row r="38" ht="12.0" customHeight="1">
      <c r="A38" s="68" t="s">
        <v>97</v>
      </c>
      <c r="B38" s="69">
        <v>158048.12</v>
      </c>
      <c r="C38" s="70" t="s">
        <v>58</v>
      </c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</row>
    <row r="39" ht="12.0" customHeight="1">
      <c r="A39" s="73" t="s">
        <v>98</v>
      </c>
      <c r="B39" s="73">
        <v>150000.0</v>
      </c>
      <c r="C39" s="73" t="s">
        <v>35</v>
      </c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</row>
    <row r="40" ht="12.0" customHeight="1">
      <c r="A40" s="78" t="s">
        <v>99</v>
      </c>
      <c r="B40" s="79">
        <v>150000.0</v>
      </c>
      <c r="C40" s="80" t="s">
        <v>60</v>
      </c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</row>
    <row r="41" ht="12.0" customHeight="1">
      <c r="A41" s="68" t="s">
        <v>100</v>
      </c>
      <c r="B41" s="69">
        <v>146835.53</v>
      </c>
      <c r="C41" s="70" t="s">
        <v>58</v>
      </c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</row>
    <row r="42" ht="12.0" customHeight="1">
      <c r="A42" s="78" t="s">
        <v>101</v>
      </c>
      <c r="B42" s="79">
        <v>146486.56</v>
      </c>
      <c r="C42" s="80" t="s">
        <v>60</v>
      </c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</row>
    <row r="43" ht="12.0" customHeight="1">
      <c r="A43" s="78" t="s">
        <v>102</v>
      </c>
      <c r="B43" s="79">
        <v>146486.56</v>
      </c>
      <c r="C43" s="80" t="s">
        <v>60</v>
      </c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</row>
    <row r="44" ht="12.0" customHeight="1">
      <c r="A44" s="64" t="s">
        <v>103</v>
      </c>
      <c r="B44" s="74">
        <v>145945.84</v>
      </c>
      <c r="C44" s="63" t="s">
        <v>56</v>
      </c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</row>
    <row r="45" ht="12.0" customHeight="1">
      <c r="A45" s="68" t="s">
        <v>104</v>
      </c>
      <c r="B45" s="69">
        <v>145511.64</v>
      </c>
      <c r="C45" s="70" t="s">
        <v>58</v>
      </c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</row>
    <row r="46" ht="12.0" customHeight="1">
      <c r="A46" s="76" t="s">
        <v>105</v>
      </c>
      <c r="B46" s="77">
        <v>144000.0</v>
      </c>
      <c r="C46" s="75" t="s">
        <v>63</v>
      </c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</row>
    <row r="47" ht="12.0" customHeight="1">
      <c r="A47" s="68" t="s">
        <v>106</v>
      </c>
      <c r="B47" s="69">
        <v>140000.0</v>
      </c>
      <c r="C47" s="70" t="s">
        <v>58</v>
      </c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</row>
    <row r="48" ht="12.0" customHeight="1">
      <c r="A48" s="68" t="s">
        <v>107</v>
      </c>
      <c r="B48" s="69">
        <v>140000.0</v>
      </c>
      <c r="C48" s="70" t="s">
        <v>58</v>
      </c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</row>
    <row r="49" ht="12.0" customHeight="1">
      <c r="A49" s="68" t="s">
        <v>108</v>
      </c>
      <c r="B49" s="69">
        <v>137343.36</v>
      </c>
      <c r="C49" s="70" t="s">
        <v>58</v>
      </c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</row>
    <row r="50" ht="12.0" customHeight="1">
      <c r="A50" s="68" t="s">
        <v>109</v>
      </c>
      <c r="B50" s="69">
        <v>134032.83</v>
      </c>
      <c r="C50" s="70" t="s">
        <v>58</v>
      </c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</row>
    <row r="51" ht="12.0" customHeight="1">
      <c r="A51" s="64" t="s">
        <v>110</v>
      </c>
      <c r="B51" s="74">
        <v>132682.19</v>
      </c>
      <c r="C51" s="63" t="s">
        <v>56</v>
      </c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</row>
    <row r="52" ht="12.0" customHeight="1">
      <c r="A52" s="78" t="s">
        <v>111</v>
      </c>
      <c r="B52" s="79">
        <v>131363.33</v>
      </c>
      <c r="C52" s="80" t="s">
        <v>60</v>
      </c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</row>
    <row r="53" ht="12.0" customHeight="1">
      <c r="A53" s="68" t="s">
        <v>112</v>
      </c>
      <c r="B53" s="69">
        <v>130832.81</v>
      </c>
      <c r="C53" s="70" t="s">
        <v>58</v>
      </c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</row>
    <row r="54" ht="12.0" customHeight="1">
      <c r="A54" s="68" t="s">
        <v>113</v>
      </c>
      <c r="B54" s="69">
        <v>129089.98</v>
      </c>
      <c r="C54" s="70" t="s">
        <v>58</v>
      </c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</row>
    <row r="55" ht="12.0" customHeight="1">
      <c r="A55" s="68" t="s">
        <v>114</v>
      </c>
      <c r="B55" s="69">
        <v>126168.55</v>
      </c>
      <c r="C55" s="70" t="s">
        <v>58</v>
      </c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</row>
    <row r="56" ht="12.0" customHeight="1">
      <c r="A56" s="81" t="s">
        <v>115</v>
      </c>
      <c r="B56" s="82">
        <v>126000.0</v>
      </c>
      <c r="C56" s="83" t="s">
        <v>67</v>
      </c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</row>
    <row r="57" ht="12.0" customHeight="1">
      <c r="A57" s="68" t="s">
        <v>116</v>
      </c>
      <c r="B57" s="69">
        <v>123189.86</v>
      </c>
      <c r="C57" s="70" t="s">
        <v>58</v>
      </c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</row>
    <row r="58" ht="12.0" customHeight="1">
      <c r="A58" s="68" t="s">
        <v>117</v>
      </c>
      <c r="B58" s="69">
        <v>121603.39</v>
      </c>
      <c r="C58" s="70" t="s">
        <v>58</v>
      </c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</row>
    <row r="59" ht="12.0" customHeight="1">
      <c r="A59" s="78" t="s">
        <v>118</v>
      </c>
      <c r="B59" s="79">
        <v>120000.0</v>
      </c>
      <c r="C59" s="80" t="s">
        <v>60</v>
      </c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</row>
    <row r="60" ht="12.0" customHeight="1">
      <c r="A60" s="78" t="s">
        <v>119</v>
      </c>
      <c r="B60" s="79">
        <v>120000.0</v>
      </c>
      <c r="C60" s="80" t="s">
        <v>60</v>
      </c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</row>
    <row r="61" ht="12.0" customHeight="1">
      <c r="A61" s="78" t="s">
        <v>120</v>
      </c>
      <c r="B61" s="79">
        <v>120000.0</v>
      </c>
      <c r="C61" s="80" t="s">
        <v>60</v>
      </c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</row>
    <row r="62" ht="12.0" customHeight="1">
      <c r="A62" s="78" t="s">
        <v>121</v>
      </c>
      <c r="B62" s="79">
        <v>120000.0</v>
      </c>
      <c r="C62" s="80" t="s">
        <v>60</v>
      </c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</row>
    <row r="63" ht="12.0" customHeight="1">
      <c r="A63" s="68" t="s">
        <v>122</v>
      </c>
      <c r="B63" s="69">
        <v>120000.0</v>
      </c>
      <c r="C63" s="70" t="s">
        <v>58</v>
      </c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</row>
    <row r="64" ht="12.0" customHeight="1">
      <c r="A64" s="64" t="s">
        <v>123</v>
      </c>
      <c r="B64" s="74">
        <v>113666.69</v>
      </c>
      <c r="C64" s="63" t="s">
        <v>56</v>
      </c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</row>
    <row r="65" ht="12.0" customHeight="1">
      <c r="A65" s="64" t="s">
        <v>124</v>
      </c>
      <c r="B65" s="74">
        <v>113535.58</v>
      </c>
      <c r="C65" s="63" t="s">
        <v>56</v>
      </c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</row>
    <row r="66" ht="12.0" customHeight="1">
      <c r="A66" s="68" t="s">
        <v>125</v>
      </c>
      <c r="B66" s="69">
        <v>112683.08</v>
      </c>
      <c r="C66" s="70" t="s">
        <v>58</v>
      </c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</row>
    <row r="67" ht="12.0" customHeight="1">
      <c r="A67" s="68" t="s">
        <v>126</v>
      </c>
      <c r="B67" s="69">
        <v>110422.25</v>
      </c>
      <c r="C67" s="70" t="s">
        <v>58</v>
      </c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</row>
    <row r="68" ht="12.0" customHeight="1">
      <c r="A68" s="68" t="s">
        <v>127</v>
      </c>
      <c r="B68" s="69">
        <v>102161.61</v>
      </c>
      <c r="C68" s="70" t="s">
        <v>58</v>
      </c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</row>
    <row r="69" ht="12.0" customHeight="1">
      <c r="A69" s="68" t="s">
        <v>128</v>
      </c>
      <c r="B69" s="69">
        <v>100928.59</v>
      </c>
      <c r="C69" s="70" t="s">
        <v>58</v>
      </c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</row>
    <row r="70" ht="12.0" customHeight="1">
      <c r="A70" s="68" t="s">
        <v>129</v>
      </c>
      <c r="B70" s="84">
        <v>99640.61</v>
      </c>
      <c r="C70" s="70" t="s">
        <v>58</v>
      </c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</row>
    <row r="71" ht="12.0" customHeight="1">
      <c r="A71" s="68" t="s">
        <v>130</v>
      </c>
      <c r="B71" s="84">
        <v>98123.6</v>
      </c>
      <c r="C71" s="70" t="s">
        <v>58</v>
      </c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</row>
    <row r="72" ht="12.0" customHeight="1">
      <c r="A72" s="68" t="s">
        <v>131</v>
      </c>
      <c r="B72" s="84">
        <v>97226.3</v>
      </c>
      <c r="C72" s="70" t="s">
        <v>58</v>
      </c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</row>
    <row r="73" ht="12.0" customHeight="1">
      <c r="A73" s="76" t="s">
        <v>132</v>
      </c>
      <c r="B73" s="85">
        <v>96000.0</v>
      </c>
      <c r="C73" s="75" t="s">
        <v>63</v>
      </c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</row>
    <row r="74" ht="12.0" customHeight="1">
      <c r="A74" s="78" t="s">
        <v>133</v>
      </c>
      <c r="B74" s="86">
        <v>96000.0</v>
      </c>
      <c r="C74" s="80" t="s">
        <v>60</v>
      </c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</row>
    <row r="75" ht="12.0" customHeight="1">
      <c r="A75" s="68" t="s">
        <v>134</v>
      </c>
      <c r="B75" s="84">
        <v>94400.2</v>
      </c>
      <c r="C75" s="70" t="s">
        <v>58</v>
      </c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</row>
    <row r="76" ht="12.0" customHeight="1">
      <c r="A76" s="64" t="s">
        <v>135</v>
      </c>
      <c r="B76" s="87">
        <v>93024.13</v>
      </c>
      <c r="C76" s="63" t="s">
        <v>56</v>
      </c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</row>
    <row r="77" ht="12.0" customHeight="1">
      <c r="A77" s="68" t="s">
        <v>136</v>
      </c>
      <c r="B77" s="84">
        <v>92826.64</v>
      </c>
      <c r="C77" s="70" t="s">
        <v>58</v>
      </c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</row>
    <row r="78" ht="12.0" customHeight="1">
      <c r="A78" s="78" t="s">
        <v>137</v>
      </c>
      <c r="B78" s="86">
        <v>92233.6</v>
      </c>
      <c r="C78" s="80" t="s">
        <v>60</v>
      </c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</row>
    <row r="79" ht="12.0" customHeight="1">
      <c r="A79" s="68" t="s">
        <v>138</v>
      </c>
      <c r="B79" s="84">
        <v>91409.69</v>
      </c>
      <c r="C79" s="70" t="s">
        <v>58</v>
      </c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</row>
    <row r="80" ht="12.0" customHeight="1">
      <c r="A80" s="76" t="s">
        <v>139</v>
      </c>
      <c r="B80" s="85">
        <v>90000.0</v>
      </c>
      <c r="C80" s="75" t="s">
        <v>63</v>
      </c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</row>
    <row r="81" ht="12.0" customHeight="1">
      <c r="A81" s="88" t="s">
        <v>140</v>
      </c>
      <c r="B81" s="89">
        <v>90000.0</v>
      </c>
      <c r="C81" s="90" t="s">
        <v>58</v>
      </c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</row>
    <row r="82" ht="12.0" customHeight="1">
      <c r="A82" s="91" t="s">
        <v>141</v>
      </c>
      <c r="B82" s="92">
        <v>90000.0</v>
      </c>
      <c r="C82" s="93" t="s">
        <v>65</v>
      </c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</row>
    <row r="83" ht="12.0" customHeight="1">
      <c r="A83" s="64" t="s">
        <v>142</v>
      </c>
      <c r="B83" s="87">
        <v>86927.52</v>
      </c>
      <c r="C83" s="63" t="s">
        <v>56</v>
      </c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</row>
    <row r="84" ht="12.0" customHeight="1">
      <c r="A84" s="68" t="s">
        <v>143</v>
      </c>
      <c r="B84" s="84">
        <v>86141.72</v>
      </c>
      <c r="C84" s="70" t="s">
        <v>58</v>
      </c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</row>
    <row r="85" ht="12.0" customHeight="1">
      <c r="A85" s="64" t="s">
        <v>144</v>
      </c>
      <c r="B85" s="87">
        <v>81431.64</v>
      </c>
      <c r="C85" s="63" t="s">
        <v>56</v>
      </c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</row>
    <row r="86" ht="12.0" customHeight="1">
      <c r="A86" s="64" t="s">
        <v>145</v>
      </c>
      <c r="B86" s="87">
        <v>80914.09</v>
      </c>
      <c r="C86" s="63" t="s">
        <v>56</v>
      </c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</row>
    <row r="87" ht="12.0" customHeight="1">
      <c r="A87" s="68" t="s">
        <v>146</v>
      </c>
      <c r="B87" s="84">
        <v>79010.71</v>
      </c>
      <c r="C87" s="70" t="s">
        <v>58</v>
      </c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</row>
    <row r="88" ht="12.0" customHeight="1">
      <c r="A88" s="64" t="s">
        <v>147</v>
      </c>
      <c r="B88" s="87">
        <v>78922.16</v>
      </c>
      <c r="C88" s="63" t="s">
        <v>56</v>
      </c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</row>
    <row r="89" ht="12.0" customHeight="1">
      <c r="A89" s="78" t="s">
        <v>148</v>
      </c>
      <c r="B89" s="86">
        <v>78524.09</v>
      </c>
      <c r="C89" s="80" t="s">
        <v>60</v>
      </c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</row>
    <row r="90" ht="12.0" customHeight="1">
      <c r="A90" s="76" t="s">
        <v>149</v>
      </c>
      <c r="B90" s="85">
        <v>76800.0</v>
      </c>
      <c r="C90" s="75" t="s">
        <v>63</v>
      </c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</row>
    <row r="91" ht="12.0" customHeight="1">
      <c r="A91" s="64" t="s">
        <v>150</v>
      </c>
      <c r="B91" s="87">
        <v>76580.28</v>
      </c>
      <c r="C91" s="63" t="s">
        <v>56</v>
      </c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</row>
    <row r="92" ht="12.0" customHeight="1">
      <c r="A92" s="64" t="s">
        <v>151</v>
      </c>
      <c r="B92" s="87">
        <v>76500.0</v>
      </c>
      <c r="C92" s="63" t="s">
        <v>56</v>
      </c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</row>
    <row r="93" ht="12.0" customHeight="1">
      <c r="A93" s="64" t="s">
        <v>152</v>
      </c>
      <c r="B93" s="87">
        <v>73112.94</v>
      </c>
      <c r="C93" s="63" t="s">
        <v>56</v>
      </c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</row>
    <row r="94" ht="12.0" customHeight="1">
      <c r="A94" s="91" t="s">
        <v>153</v>
      </c>
      <c r="B94" s="92">
        <v>72000.0</v>
      </c>
      <c r="C94" s="93" t="s">
        <v>65</v>
      </c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</row>
    <row r="95" ht="12.0" customHeight="1">
      <c r="A95" s="68" t="s">
        <v>154</v>
      </c>
      <c r="B95" s="84">
        <v>70094.35</v>
      </c>
      <c r="C95" s="70" t="s">
        <v>58</v>
      </c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</row>
    <row r="96" ht="12.0" customHeight="1">
      <c r="A96" s="64" t="s">
        <v>155</v>
      </c>
      <c r="B96" s="87">
        <v>69589.07</v>
      </c>
      <c r="C96" s="63" t="s">
        <v>56</v>
      </c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</row>
    <row r="97" ht="12.0" customHeight="1">
      <c r="A97" s="64" t="s">
        <v>156</v>
      </c>
      <c r="B97" s="87">
        <v>69079.94</v>
      </c>
      <c r="C97" s="63" t="s">
        <v>56</v>
      </c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</row>
    <row r="98" ht="12.0" customHeight="1">
      <c r="A98" s="68" t="s">
        <v>157</v>
      </c>
      <c r="B98" s="84">
        <v>68209.77</v>
      </c>
      <c r="C98" s="70" t="s">
        <v>58</v>
      </c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</row>
    <row r="99" ht="12.0" customHeight="1">
      <c r="A99" s="68" t="s">
        <v>158</v>
      </c>
      <c r="B99" s="84">
        <v>68156.23</v>
      </c>
      <c r="C99" s="70" t="s">
        <v>58</v>
      </c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</row>
    <row r="100" ht="12.0" customHeight="1">
      <c r="A100" s="78" t="s">
        <v>159</v>
      </c>
      <c r="B100" s="86">
        <v>67560.16</v>
      </c>
      <c r="C100" s="80" t="s">
        <v>60</v>
      </c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</row>
    <row r="101" ht="12.0" customHeight="1">
      <c r="A101" s="78" t="s">
        <v>160</v>
      </c>
      <c r="B101" s="86">
        <v>64980.0</v>
      </c>
      <c r="C101" s="80" t="s">
        <v>60</v>
      </c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</row>
    <row r="102" ht="12.0" customHeight="1">
      <c r="A102" s="68" t="s">
        <v>161</v>
      </c>
      <c r="B102" s="84">
        <v>64703.16</v>
      </c>
      <c r="C102" s="70" t="s">
        <v>58</v>
      </c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</row>
    <row r="103" ht="12.0" customHeight="1">
      <c r="A103" s="64" t="s">
        <v>162</v>
      </c>
      <c r="B103" s="87">
        <v>62550.0</v>
      </c>
      <c r="C103" s="63" t="s">
        <v>56</v>
      </c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</row>
    <row r="104" ht="12.0" customHeight="1">
      <c r="A104" s="68" t="s">
        <v>163</v>
      </c>
      <c r="B104" s="84">
        <v>62301.01</v>
      </c>
      <c r="C104" s="70" t="s">
        <v>58</v>
      </c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</row>
    <row r="105" ht="12.0" customHeight="1">
      <c r="A105" s="68" t="s">
        <v>164</v>
      </c>
      <c r="B105" s="84">
        <v>62156.75</v>
      </c>
      <c r="C105" s="70" t="s">
        <v>58</v>
      </c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</row>
    <row r="106" ht="12.0" customHeight="1">
      <c r="A106" s="78" t="s">
        <v>165</v>
      </c>
      <c r="B106" s="86">
        <v>61750.0</v>
      </c>
      <c r="C106" s="80" t="s">
        <v>60</v>
      </c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</row>
    <row r="107" ht="12.0" customHeight="1">
      <c r="A107" s="68" t="s">
        <v>166</v>
      </c>
      <c r="B107" s="84">
        <v>60291.93</v>
      </c>
      <c r="C107" s="70" t="s">
        <v>58</v>
      </c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</row>
    <row r="108" ht="12.0" customHeight="1">
      <c r="A108" s="64" t="s">
        <v>167</v>
      </c>
      <c r="B108" s="87">
        <v>59767.46</v>
      </c>
      <c r="C108" s="63" t="s">
        <v>56</v>
      </c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</row>
    <row r="109" ht="12.0" customHeight="1">
      <c r="A109" s="78" t="s">
        <v>168</v>
      </c>
      <c r="B109" s="86">
        <v>58857.2</v>
      </c>
      <c r="C109" s="80" t="s">
        <v>60</v>
      </c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</row>
    <row r="110" ht="12.0" customHeight="1">
      <c r="A110" s="71" t="s">
        <v>169</v>
      </c>
      <c r="B110" s="94">
        <v>55000.0</v>
      </c>
      <c r="C110" s="73" t="s">
        <v>35</v>
      </c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</row>
    <row r="111" ht="12.0" customHeight="1">
      <c r="A111" s="68" t="s">
        <v>170</v>
      </c>
      <c r="B111" s="84">
        <v>54360.74</v>
      </c>
      <c r="C111" s="70" t="s">
        <v>58</v>
      </c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</row>
    <row r="112" ht="12.0" customHeight="1">
      <c r="A112" s="68" t="s">
        <v>171</v>
      </c>
      <c r="B112" s="84">
        <v>54000.0</v>
      </c>
      <c r="C112" s="70" t="s">
        <v>58</v>
      </c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</row>
    <row r="113" ht="12.0" customHeight="1">
      <c r="A113" s="78" t="s">
        <v>172</v>
      </c>
      <c r="B113" s="86">
        <v>53728.5</v>
      </c>
      <c r="C113" s="80" t="s">
        <v>60</v>
      </c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</row>
    <row r="114" ht="12.0" customHeight="1">
      <c r="A114" s="68" t="s">
        <v>173</v>
      </c>
      <c r="B114" s="84">
        <v>52956.55</v>
      </c>
      <c r="C114" s="70" t="s">
        <v>58</v>
      </c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</row>
    <row r="115" ht="12.0" customHeight="1">
      <c r="A115" s="64" t="s">
        <v>174</v>
      </c>
      <c r="B115" s="87">
        <v>52081.39</v>
      </c>
      <c r="C115" s="63" t="s">
        <v>56</v>
      </c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</row>
    <row r="116" ht="12.0" customHeight="1">
      <c r="A116" s="64" t="s">
        <v>175</v>
      </c>
      <c r="B116" s="87">
        <v>51249.8</v>
      </c>
      <c r="C116" s="63" t="s">
        <v>56</v>
      </c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</row>
    <row r="117" ht="12.0" customHeight="1">
      <c r="A117" s="68" t="s">
        <v>176</v>
      </c>
      <c r="B117" s="84">
        <v>50873.71</v>
      </c>
      <c r="C117" s="70" t="s">
        <v>58</v>
      </c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</row>
    <row r="118" ht="12.0" customHeight="1">
      <c r="A118" s="64" t="s">
        <v>177</v>
      </c>
      <c r="B118" s="87">
        <v>50484.78</v>
      </c>
      <c r="C118" s="63" t="s">
        <v>56</v>
      </c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</row>
    <row r="119" ht="12.0" customHeight="1">
      <c r="A119" s="78" t="s">
        <v>178</v>
      </c>
      <c r="B119" s="86">
        <v>50000.0</v>
      </c>
      <c r="C119" s="80" t="s">
        <v>60</v>
      </c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</row>
    <row r="120" ht="12.0" customHeight="1">
      <c r="A120" s="78" t="s">
        <v>179</v>
      </c>
      <c r="B120" s="86">
        <v>50000.0</v>
      </c>
      <c r="C120" s="80" t="s">
        <v>60</v>
      </c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</row>
    <row r="121" ht="12.0" customHeight="1">
      <c r="A121" s="68" t="s">
        <v>180</v>
      </c>
      <c r="B121" s="84">
        <v>49451.58</v>
      </c>
      <c r="C121" s="70" t="s">
        <v>58</v>
      </c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</row>
    <row r="122" ht="12.0" customHeight="1">
      <c r="A122" s="68" t="s">
        <v>181</v>
      </c>
      <c r="B122" s="84">
        <v>49090.35</v>
      </c>
      <c r="C122" s="70" t="s">
        <v>58</v>
      </c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</row>
    <row r="123" ht="12.0" customHeight="1">
      <c r="A123" s="68" t="s">
        <v>182</v>
      </c>
      <c r="B123" s="84">
        <v>48961.36</v>
      </c>
      <c r="C123" s="70" t="s">
        <v>58</v>
      </c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</row>
    <row r="124" ht="12.0" customHeight="1">
      <c r="A124" s="68" t="s">
        <v>183</v>
      </c>
      <c r="B124" s="84">
        <v>48956.12</v>
      </c>
      <c r="C124" s="70" t="s">
        <v>58</v>
      </c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</row>
    <row r="125" ht="12.0" customHeight="1">
      <c r="A125" s="68" t="s">
        <v>184</v>
      </c>
      <c r="B125" s="84">
        <v>48663.99</v>
      </c>
      <c r="C125" s="70" t="s">
        <v>58</v>
      </c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</row>
    <row r="126" ht="12.0" customHeight="1">
      <c r="A126" s="91" t="s">
        <v>185</v>
      </c>
      <c r="B126" s="92">
        <v>48600.0</v>
      </c>
      <c r="C126" s="93" t="s">
        <v>65</v>
      </c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</row>
    <row r="127" ht="12.0" customHeight="1">
      <c r="A127" s="64" t="s">
        <v>186</v>
      </c>
      <c r="B127" s="87">
        <v>48363.0</v>
      </c>
      <c r="C127" s="63" t="s">
        <v>56</v>
      </c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</row>
    <row r="128" ht="12.0" customHeight="1">
      <c r="A128" s="68" t="s">
        <v>187</v>
      </c>
      <c r="B128" s="84">
        <v>48316.8</v>
      </c>
      <c r="C128" s="70" t="s">
        <v>58</v>
      </c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</row>
    <row r="129" ht="12.0" customHeight="1">
      <c r="A129" s="68" t="s">
        <v>188</v>
      </c>
      <c r="B129" s="84">
        <v>48316.8</v>
      </c>
      <c r="C129" s="70" t="s">
        <v>58</v>
      </c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</row>
    <row r="130" ht="12.0" customHeight="1">
      <c r="A130" s="68" t="s">
        <v>189</v>
      </c>
      <c r="B130" s="84">
        <v>47505.37</v>
      </c>
      <c r="C130" s="70" t="s">
        <v>58</v>
      </c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</row>
    <row r="131" ht="12.0" customHeight="1">
      <c r="A131" s="68" t="s">
        <v>190</v>
      </c>
      <c r="B131" s="84">
        <v>47250.54</v>
      </c>
      <c r="C131" s="70" t="s">
        <v>58</v>
      </c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</row>
    <row r="132" ht="12.0" customHeight="1">
      <c r="A132" s="81" t="s">
        <v>191</v>
      </c>
      <c r="B132" s="95">
        <v>46797.14</v>
      </c>
      <c r="C132" s="83" t="s">
        <v>67</v>
      </c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</row>
    <row r="133" ht="12.0" customHeight="1">
      <c r="A133" s="81" t="s">
        <v>192</v>
      </c>
      <c r="B133" s="95">
        <v>46591.68</v>
      </c>
      <c r="C133" s="83" t="s">
        <v>67</v>
      </c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</row>
    <row r="134" ht="12.0" customHeight="1">
      <c r="A134" s="64" t="s">
        <v>193</v>
      </c>
      <c r="B134" s="87">
        <v>46150.0</v>
      </c>
      <c r="C134" s="63" t="s">
        <v>56</v>
      </c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</row>
    <row r="135" ht="12.0" customHeight="1">
      <c r="A135" s="81" t="s">
        <v>194</v>
      </c>
      <c r="B135" s="95">
        <v>46015.89</v>
      </c>
      <c r="C135" s="83" t="s">
        <v>67</v>
      </c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</row>
    <row r="136" ht="12.0" customHeight="1">
      <c r="A136" s="78" t="s">
        <v>195</v>
      </c>
      <c r="B136" s="86">
        <v>45900.0</v>
      </c>
      <c r="C136" s="80" t="s">
        <v>60</v>
      </c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</row>
    <row r="137" ht="12.0" customHeight="1">
      <c r="A137" s="81" t="s">
        <v>196</v>
      </c>
      <c r="B137" s="95">
        <v>45642.34</v>
      </c>
      <c r="C137" s="83" t="s">
        <v>67</v>
      </c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</row>
    <row r="138" ht="12.0" customHeight="1">
      <c r="A138" s="64" t="s">
        <v>197</v>
      </c>
      <c r="B138" s="87">
        <v>45543.5</v>
      </c>
      <c r="C138" s="63" t="s">
        <v>56</v>
      </c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</row>
    <row r="139" ht="12.0" customHeight="1">
      <c r="A139" s="68" t="s">
        <v>198</v>
      </c>
      <c r="B139" s="84">
        <v>44754.09</v>
      </c>
      <c r="C139" s="70" t="s">
        <v>58</v>
      </c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</row>
    <row r="140" ht="12.0" customHeight="1">
      <c r="A140" s="64" t="s">
        <v>199</v>
      </c>
      <c r="B140" s="87">
        <v>44702.85</v>
      </c>
      <c r="C140" s="63" t="s">
        <v>56</v>
      </c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</row>
    <row r="141" ht="12.0" customHeight="1">
      <c r="A141" s="78" t="s">
        <v>200</v>
      </c>
      <c r="B141" s="86">
        <v>43750.0</v>
      </c>
      <c r="C141" s="80" t="s">
        <v>60</v>
      </c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</row>
    <row r="142" ht="12.0" customHeight="1">
      <c r="A142" s="68" t="s">
        <v>201</v>
      </c>
      <c r="B142" s="84">
        <v>43168.37</v>
      </c>
      <c r="C142" s="70" t="s">
        <v>58</v>
      </c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</row>
    <row r="143" ht="12.0" customHeight="1">
      <c r="A143" s="68" t="s">
        <v>202</v>
      </c>
      <c r="B143" s="84">
        <v>42904.59</v>
      </c>
      <c r="C143" s="70" t="s">
        <v>58</v>
      </c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</row>
    <row r="144" ht="12.0" customHeight="1">
      <c r="A144" s="64" t="s">
        <v>203</v>
      </c>
      <c r="B144" s="87">
        <v>42143.9</v>
      </c>
      <c r="C144" s="63" t="s">
        <v>56</v>
      </c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</row>
    <row r="145" ht="12.0" customHeight="1">
      <c r="A145" s="64" t="s">
        <v>204</v>
      </c>
      <c r="B145" s="87">
        <v>42133.25</v>
      </c>
      <c r="C145" s="63" t="s">
        <v>56</v>
      </c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</row>
    <row r="146" ht="12.0" customHeight="1">
      <c r="A146" s="64" t="s">
        <v>205</v>
      </c>
      <c r="B146" s="87">
        <v>41580.0</v>
      </c>
      <c r="C146" s="63" t="s">
        <v>56</v>
      </c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</row>
    <row r="147" ht="12.0" customHeight="1">
      <c r="A147" s="68" t="s">
        <v>206</v>
      </c>
      <c r="B147" s="84">
        <v>40724.01</v>
      </c>
      <c r="C147" s="70" t="s">
        <v>58</v>
      </c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</row>
    <row r="148" ht="12.0" customHeight="1">
      <c r="A148" s="68" t="s">
        <v>207</v>
      </c>
      <c r="B148" s="84">
        <v>39644.04</v>
      </c>
      <c r="C148" s="70" t="s">
        <v>58</v>
      </c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</row>
    <row r="149" ht="12.0" customHeight="1">
      <c r="A149" s="68" t="s">
        <v>208</v>
      </c>
      <c r="B149" s="84">
        <v>39414.36</v>
      </c>
      <c r="C149" s="70" t="s">
        <v>58</v>
      </c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</row>
    <row r="150" ht="12.0" customHeight="1">
      <c r="A150" s="64" t="s">
        <v>209</v>
      </c>
      <c r="B150" s="87">
        <v>38971.62</v>
      </c>
      <c r="C150" s="63" t="s">
        <v>56</v>
      </c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</row>
    <row r="151" ht="12.0" customHeight="1">
      <c r="A151" s="91" t="s">
        <v>210</v>
      </c>
      <c r="B151" s="92">
        <v>38160.0</v>
      </c>
      <c r="C151" s="93" t="s">
        <v>65</v>
      </c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</row>
    <row r="152" ht="12.0" customHeight="1">
      <c r="A152" s="78" t="s">
        <v>211</v>
      </c>
      <c r="B152" s="86">
        <v>37594.0</v>
      </c>
      <c r="C152" s="80" t="s">
        <v>60</v>
      </c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</row>
    <row r="153" ht="12.0" customHeight="1">
      <c r="A153" s="81" t="s">
        <v>212</v>
      </c>
      <c r="B153" s="95">
        <v>37500.0</v>
      </c>
      <c r="C153" s="83" t="s">
        <v>67</v>
      </c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</row>
    <row r="154" ht="12.0" customHeight="1">
      <c r="A154" s="68" t="s">
        <v>213</v>
      </c>
      <c r="B154" s="84">
        <v>37343.85</v>
      </c>
      <c r="C154" s="70" t="s">
        <v>58</v>
      </c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</row>
    <row r="155" ht="12.0" customHeight="1">
      <c r="A155" s="68" t="s">
        <v>214</v>
      </c>
      <c r="B155" s="84">
        <v>35895.44</v>
      </c>
      <c r="C155" s="70" t="s">
        <v>58</v>
      </c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</row>
    <row r="156" ht="12.0" customHeight="1">
      <c r="A156" s="78" t="s">
        <v>215</v>
      </c>
      <c r="B156" s="86">
        <v>35590.0</v>
      </c>
      <c r="C156" s="80" t="s">
        <v>60</v>
      </c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</row>
    <row r="157" ht="12.0" customHeight="1">
      <c r="A157" s="68" t="s">
        <v>216</v>
      </c>
      <c r="B157" s="84">
        <v>35313.7</v>
      </c>
      <c r="C157" s="70" t="s">
        <v>58</v>
      </c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</row>
    <row r="158" ht="12.0" customHeight="1">
      <c r="A158" s="91" t="s">
        <v>217</v>
      </c>
      <c r="B158" s="92">
        <v>35000.0</v>
      </c>
      <c r="C158" s="93" t="s">
        <v>65</v>
      </c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</row>
    <row r="159" ht="12.0" customHeight="1">
      <c r="A159" s="78" t="s">
        <v>218</v>
      </c>
      <c r="B159" s="86">
        <v>35000.0</v>
      </c>
      <c r="C159" s="80" t="s">
        <v>60</v>
      </c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</row>
    <row r="160" ht="12.0" customHeight="1">
      <c r="A160" s="78" t="s">
        <v>219</v>
      </c>
      <c r="B160" s="86">
        <v>35000.0</v>
      </c>
      <c r="C160" s="80" t="s">
        <v>60</v>
      </c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</row>
    <row r="161" ht="12.0" customHeight="1">
      <c r="A161" s="68" t="s">
        <v>220</v>
      </c>
      <c r="B161" s="84">
        <v>34875.02</v>
      </c>
      <c r="C161" s="70" t="s">
        <v>58</v>
      </c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</row>
    <row r="162" ht="12.0" customHeight="1">
      <c r="A162" s="78" t="s">
        <v>221</v>
      </c>
      <c r="B162" s="86">
        <v>34800.0</v>
      </c>
      <c r="C162" s="80" t="s">
        <v>60</v>
      </c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</row>
    <row r="163" ht="12.0" customHeight="1">
      <c r="A163" s="64" t="s">
        <v>222</v>
      </c>
      <c r="B163" s="87">
        <v>34608.7</v>
      </c>
      <c r="C163" s="63" t="s">
        <v>56</v>
      </c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</row>
    <row r="164" ht="12.0" customHeight="1">
      <c r="A164" s="68" t="s">
        <v>223</v>
      </c>
      <c r="B164" s="84">
        <v>34509.4</v>
      </c>
      <c r="C164" s="70" t="s">
        <v>58</v>
      </c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</row>
    <row r="165" ht="12.0" customHeight="1">
      <c r="A165" s="68" t="s">
        <v>224</v>
      </c>
      <c r="B165" s="84">
        <v>34004.19</v>
      </c>
      <c r="C165" s="70" t="s">
        <v>58</v>
      </c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</row>
    <row r="166" ht="12.0" customHeight="1">
      <c r="A166" s="68" t="s">
        <v>225</v>
      </c>
      <c r="B166" s="84">
        <v>33581.3</v>
      </c>
      <c r="C166" s="70" t="s">
        <v>58</v>
      </c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</row>
    <row r="167" ht="12.0" customHeight="1">
      <c r="A167" s="68" t="s">
        <v>226</v>
      </c>
      <c r="B167" s="84">
        <v>33282.76</v>
      </c>
      <c r="C167" s="70" t="s">
        <v>58</v>
      </c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</row>
    <row r="168" ht="12.0" customHeight="1">
      <c r="A168" s="68" t="s">
        <v>227</v>
      </c>
      <c r="B168" s="84">
        <v>32651.44</v>
      </c>
      <c r="C168" s="70" t="s">
        <v>58</v>
      </c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</row>
    <row r="169" ht="12.0" customHeight="1">
      <c r="A169" s="68" t="s">
        <v>228</v>
      </c>
      <c r="B169" s="84">
        <v>32632.99</v>
      </c>
      <c r="C169" s="70" t="s">
        <v>58</v>
      </c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</row>
    <row r="170" ht="12.0" customHeight="1">
      <c r="A170" s="64" t="s">
        <v>229</v>
      </c>
      <c r="B170" s="87">
        <v>32600.0</v>
      </c>
      <c r="C170" s="63" t="s">
        <v>56</v>
      </c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</row>
    <row r="171" ht="12.0" customHeight="1">
      <c r="A171" s="68" t="s">
        <v>230</v>
      </c>
      <c r="B171" s="84">
        <v>32120.63</v>
      </c>
      <c r="C171" s="70" t="s">
        <v>58</v>
      </c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</row>
    <row r="172" ht="12.0" customHeight="1">
      <c r="A172" s="68" t="s">
        <v>231</v>
      </c>
      <c r="B172" s="84">
        <v>30780.27</v>
      </c>
      <c r="C172" s="70" t="s">
        <v>58</v>
      </c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</row>
    <row r="173" ht="12.0" customHeight="1">
      <c r="A173" s="78" t="s">
        <v>232</v>
      </c>
      <c r="B173" s="86">
        <v>30595.26</v>
      </c>
      <c r="C173" s="80" t="s">
        <v>60</v>
      </c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</row>
    <row r="174" ht="12.0" customHeight="1">
      <c r="A174" s="91" t="s">
        <v>233</v>
      </c>
      <c r="B174" s="92">
        <v>30500.0</v>
      </c>
      <c r="C174" s="93" t="s">
        <v>65</v>
      </c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</row>
    <row r="175" ht="12.0" customHeight="1">
      <c r="A175" s="68" t="s">
        <v>234</v>
      </c>
      <c r="B175" s="84">
        <v>29921.64</v>
      </c>
      <c r="C175" s="70" t="s">
        <v>58</v>
      </c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</row>
    <row r="176" ht="12.0" customHeight="1">
      <c r="A176" s="68" t="s">
        <v>235</v>
      </c>
      <c r="B176" s="84">
        <v>29801.04</v>
      </c>
      <c r="C176" s="70" t="s">
        <v>58</v>
      </c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</row>
    <row r="177" ht="12.0" customHeight="1">
      <c r="A177" s="68" t="s">
        <v>236</v>
      </c>
      <c r="B177" s="84">
        <v>29038.32</v>
      </c>
      <c r="C177" s="70" t="s">
        <v>58</v>
      </c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</row>
    <row r="178" ht="12.0" customHeight="1">
      <c r="A178" s="91" t="s">
        <v>237</v>
      </c>
      <c r="B178" s="92">
        <v>28700.0</v>
      </c>
      <c r="C178" s="93" t="s">
        <v>65</v>
      </c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</row>
    <row r="179" ht="12.0" customHeight="1">
      <c r="A179" s="68" t="s">
        <v>238</v>
      </c>
      <c r="B179" s="84">
        <v>28636.06</v>
      </c>
      <c r="C179" s="70" t="s">
        <v>58</v>
      </c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</row>
    <row r="180" ht="12.0" customHeight="1">
      <c r="A180" s="68" t="s">
        <v>239</v>
      </c>
      <c r="B180" s="84">
        <v>26072.8</v>
      </c>
      <c r="C180" s="70" t="s">
        <v>58</v>
      </c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</row>
    <row r="181" ht="12.0" customHeight="1">
      <c r="A181" s="64" t="s">
        <v>240</v>
      </c>
      <c r="B181" s="87">
        <v>25500.0</v>
      </c>
      <c r="C181" s="63" t="s">
        <v>56</v>
      </c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</row>
    <row r="182" ht="12.0" customHeight="1">
      <c r="A182" s="81" t="s">
        <v>241</v>
      </c>
      <c r="B182" s="95">
        <v>25308.23</v>
      </c>
      <c r="C182" s="83" t="s">
        <v>67</v>
      </c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</row>
    <row r="183" ht="12.0" customHeight="1">
      <c r="A183" s="91" t="s">
        <v>242</v>
      </c>
      <c r="B183" s="92">
        <v>25000.0</v>
      </c>
      <c r="C183" s="93" t="s">
        <v>65</v>
      </c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</row>
    <row r="184" ht="12.0" customHeight="1">
      <c r="A184" s="91" t="s">
        <v>243</v>
      </c>
      <c r="B184" s="92">
        <v>25000.0</v>
      </c>
      <c r="C184" s="93" t="s">
        <v>65</v>
      </c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</row>
    <row r="185" ht="12.0" customHeight="1">
      <c r="A185" s="68" t="s">
        <v>244</v>
      </c>
      <c r="B185" s="84">
        <v>25000.0</v>
      </c>
      <c r="C185" s="70" t="s">
        <v>58</v>
      </c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</row>
    <row r="186" ht="12.0" customHeight="1">
      <c r="A186" s="91" t="s">
        <v>245</v>
      </c>
      <c r="B186" s="92">
        <v>25000.0</v>
      </c>
      <c r="C186" s="93" t="s">
        <v>65</v>
      </c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</row>
    <row r="187" ht="12.0" customHeight="1">
      <c r="A187" s="91" t="s">
        <v>246</v>
      </c>
      <c r="B187" s="92">
        <v>25000.0</v>
      </c>
      <c r="C187" s="93" t="s">
        <v>65</v>
      </c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</row>
    <row r="188" ht="12.0" customHeight="1">
      <c r="A188" s="91" t="s">
        <v>247</v>
      </c>
      <c r="B188" s="92">
        <v>25000.0</v>
      </c>
      <c r="C188" s="93" t="s">
        <v>65</v>
      </c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</row>
    <row r="189" ht="12.0" customHeight="1">
      <c r="A189" s="91" t="s">
        <v>248</v>
      </c>
      <c r="B189" s="92">
        <v>25000.0</v>
      </c>
      <c r="C189" s="93" t="s">
        <v>65</v>
      </c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</row>
    <row r="190" ht="12.0" customHeight="1">
      <c r="A190" s="71" t="s">
        <v>249</v>
      </c>
      <c r="B190" s="94">
        <v>25000.0</v>
      </c>
      <c r="C190" s="73" t="s">
        <v>35</v>
      </c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</row>
    <row r="191" ht="12.0" customHeight="1">
      <c r="A191" s="68" t="s">
        <v>250</v>
      </c>
      <c r="B191" s="84">
        <v>24971.92</v>
      </c>
      <c r="C191" s="70" t="s">
        <v>58</v>
      </c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</row>
    <row r="192" ht="12.0" customHeight="1">
      <c r="A192" s="68" t="s">
        <v>251</v>
      </c>
      <c r="B192" s="84">
        <v>24581.61</v>
      </c>
      <c r="C192" s="70" t="s">
        <v>58</v>
      </c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</row>
    <row r="193" ht="12.0" customHeight="1">
      <c r="A193" s="68" t="s">
        <v>252</v>
      </c>
      <c r="B193" s="84">
        <v>24558.46</v>
      </c>
      <c r="C193" s="70" t="s">
        <v>58</v>
      </c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</row>
    <row r="194" ht="12.0" customHeight="1">
      <c r="A194" s="68" t="s">
        <v>253</v>
      </c>
      <c r="B194" s="84">
        <v>24487.58</v>
      </c>
      <c r="C194" s="70" t="s">
        <v>58</v>
      </c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</row>
    <row r="195" ht="12.0" customHeight="1">
      <c r="A195" s="68" t="s">
        <v>254</v>
      </c>
      <c r="B195" s="84">
        <v>24466.13</v>
      </c>
      <c r="C195" s="70" t="s">
        <v>58</v>
      </c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</row>
    <row r="196" ht="12.0" customHeight="1">
      <c r="A196" s="64" t="s">
        <v>255</v>
      </c>
      <c r="B196" s="87">
        <v>24323.26</v>
      </c>
      <c r="C196" s="63" t="s">
        <v>56</v>
      </c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</row>
    <row r="197" ht="12.0" customHeight="1">
      <c r="A197" s="68" t="s">
        <v>256</v>
      </c>
      <c r="B197" s="84">
        <v>24072.72</v>
      </c>
      <c r="C197" s="70" t="s">
        <v>58</v>
      </c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</row>
    <row r="198" ht="12.0" customHeight="1">
      <c r="A198" s="78" t="s">
        <v>257</v>
      </c>
      <c r="B198" s="86">
        <v>23995.44</v>
      </c>
      <c r="C198" s="80" t="s">
        <v>60</v>
      </c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</row>
    <row r="199" ht="12.0" customHeight="1">
      <c r="A199" s="91" t="s">
        <v>258</v>
      </c>
      <c r="B199" s="92">
        <v>23500.0</v>
      </c>
      <c r="C199" s="93" t="s">
        <v>65</v>
      </c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</row>
    <row r="200" ht="12.0" customHeight="1">
      <c r="A200" s="68" t="s">
        <v>259</v>
      </c>
      <c r="B200" s="84">
        <v>23247.7</v>
      </c>
      <c r="C200" s="70" t="s">
        <v>58</v>
      </c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</row>
    <row r="201" ht="12.0" customHeight="1">
      <c r="A201" s="81" t="s">
        <v>260</v>
      </c>
      <c r="B201" s="95">
        <v>23100.0</v>
      </c>
      <c r="C201" s="83" t="s">
        <v>67</v>
      </c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</row>
    <row r="202" ht="12.0" customHeight="1">
      <c r="A202" s="64" t="s">
        <v>261</v>
      </c>
      <c r="B202" s="87">
        <v>22851.9</v>
      </c>
      <c r="C202" s="63" t="s">
        <v>56</v>
      </c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</row>
    <row r="203" ht="12.0" customHeight="1">
      <c r="A203" s="68" t="s">
        <v>262</v>
      </c>
      <c r="B203" s="84">
        <v>22569.52</v>
      </c>
      <c r="C203" s="70" t="s">
        <v>58</v>
      </c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</row>
    <row r="204" ht="12.0" customHeight="1">
      <c r="A204" s="91" t="s">
        <v>263</v>
      </c>
      <c r="B204" s="92">
        <v>22500.0</v>
      </c>
      <c r="C204" s="93" t="s">
        <v>65</v>
      </c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</row>
    <row r="205" ht="12.0" customHeight="1">
      <c r="A205" s="91" t="s">
        <v>264</v>
      </c>
      <c r="B205" s="92">
        <v>22388.21</v>
      </c>
      <c r="C205" s="93" t="s">
        <v>65</v>
      </c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</row>
    <row r="206" ht="12.0" customHeight="1">
      <c r="A206" s="68" t="s">
        <v>265</v>
      </c>
      <c r="B206" s="84">
        <v>22195.7</v>
      </c>
      <c r="C206" s="70" t="s">
        <v>58</v>
      </c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</row>
    <row r="207" ht="12.0" customHeight="1">
      <c r="A207" s="68" t="s">
        <v>266</v>
      </c>
      <c r="B207" s="84">
        <v>22027.43</v>
      </c>
      <c r="C207" s="70" t="s">
        <v>58</v>
      </c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</row>
    <row r="208" ht="12.0" customHeight="1">
      <c r="A208" s="68" t="s">
        <v>267</v>
      </c>
      <c r="B208" s="84">
        <v>21921.67</v>
      </c>
      <c r="C208" s="70" t="s">
        <v>58</v>
      </c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</row>
    <row r="209" ht="12.0" customHeight="1">
      <c r="A209" s="68" t="s">
        <v>268</v>
      </c>
      <c r="B209" s="84">
        <v>21554.2</v>
      </c>
      <c r="C209" s="70" t="s">
        <v>58</v>
      </c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</row>
    <row r="210" ht="12.0" customHeight="1">
      <c r="A210" s="68" t="s">
        <v>269</v>
      </c>
      <c r="B210" s="84">
        <v>21520.29</v>
      </c>
      <c r="C210" s="70" t="s">
        <v>58</v>
      </c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</row>
    <row r="211" ht="12.0" customHeight="1">
      <c r="A211" s="64" t="s">
        <v>270</v>
      </c>
      <c r="B211" s="87">
        <v>21426.48</v>
      </c>
      <c r="C211" s="63" t="s">
        <v>56</v>
      </c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</row>
    <row r="212" ht="12.0" customHeight="1">
      <c r="A212" s="64" t="s">
        <v>271</v>
      </c>
      <c r="B212" s="87">
        <v>21219.14</v>
      </c>
      <c r="C212" s="63" t="s">
        <v>56</v>
      </c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</row>
    <row r="213" ht="12.0" customHeight="1">
      <c r="A213" s="81" t="s">
        <v>272</v>
      </c>
      <c r="B213" s="95">
        <v>20281.65</v>
      </c>
      <c r="C213" s="83" t="s">
        <v>67</v>
      </c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</row>
    <row r="214" ht="12.0" customHeight="1">
      <c r="A214" s="64" t="s">
        <v>273</v>
      </c>
      <c r="B214" s="87">
        <v>20277.75</v>
      </c>
      <c r="C214" s="63" t="s">
        <v>56</v>
      </c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</row>
    <row r="215" ht="12.0" customHeight="1">
      <c r="A215" s="68" t="s">
        <v>274</v>
      </c>
      <c r="B215" s="84">
        <v>20161.03</v>
      </c>
      <c r="C215" s="70" t="s">
        <v>58</v>
      </c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</row>
    <row r="216" ht="12.0" customHeight="1">
      <c r="A216" s="91" t="s">
        <v>275</v>
      </c>
      <c r="B216" s="92">
        <v>20000.0</v>
      </c>
      <c r="C216" s="93" t="s">
        <v>65</v>
      </c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</row>
    <row r="217" ht="12.0" customHeight="1">
      <c r="A217" s="78" t="s">
        <v>276</v>
      </c>
      <c r="B217" s="86">
        <v>20000.0</v>
      </c>
      <c r="C217" s="80" t="s">
        <v>60</v>
      </c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</row>
    <row r="218" ht="12.0" customHeight="1">
      <c r="A218" s="78" t="s">
        <v>277</v>
      </c>
      <c r="B218" s="86">
        <v>20000.0</v>
      </c>
      <c r="C218" s="80" t="s">
        <v>60</v>
      </c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</row>
    <row r="219" ht="12.0" customHeight="1">
      <c r="A219" s="68" t="s">
        <v>278</v>
      </c>
      <c r="B219" s="84">
        <v>19832.95</v>
      </c>
      <c r="C219" s="70" t="s">
        <v>58</v>
      </c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</row>
    <row r="220" ht="12.0" customHeight="1">
      <c r="A220" s="68" t="s">
        <v>279</v>
      </c>
      <c r="B220" s="84">
        <v>19811.08</v>
      </c>
      <c r="C220" s="70" t="s">
        <v>58</v>
      </c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</row>
    <row r="221" ht="12.0" customHeight="1">
      <c r="A221" s="91" t="s">
        <v>280</v>
      </c>
      <c r="B221" s="92">
        <v>19800.0</v>
      </c>
      <c r="C221" s="93" t="s">
        <v>65</v>
      </c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</row>
    <row r="222" ht="12.0" customHeight="1">
      <c r="A222" s="91" t="s">
        <v>281</v>
      </c>
      <c r="B222" s="92">
        <v>19296.0</v>
      </c>
      <c r="C222" s="93" t="s">
        <v>65</v>
      </c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</row>
    <row r="223" ht="12.0" customHeight="1">
      <c r="A223" s="91" t="s">
        <v>282</v>
      </c>
      <c r="B223" s="92">
        <v>19296.0</v>
      </c>
      <c r="C223" s="93" t="s">
        <v>65</v>
      </c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</row>
    <row r="224" ht="12.0" customHeight="1">
      <c r="A224" s="91" t="s">
        <v>283</v>
      </c>
      <c r="B224" s="92">
        <v>18950.0</v>
      </c>
      <c r="C224" s="93" t="s">
        <v>65</v>
      </c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</row>
    <row r="225" ht="12.0" customHeight="1">
      <c r="A225" s="68" t="s">
        <v>284</v>
      </c>
      <c r="B225" s="84">
        <v>18922.49</v>
      </c>
      <c r="C225" s="70" t="s">
        <v>58</v>
      </c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</row>
    <row r="226" ht="12.0" customHeight="1">
      <c r="A226" s="64" t="s">
        <v>285</v>
      </c>
      <c r="B226" s="87">
        <v>18845.48</v>
      </c>
      <c r="C226" s="63" t="s">
        <v>56</v>
      </c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</row>
    <row r="227" ht="12.0" customHeight="1">
      <c r="A227" s="64" t="s">
        <v>286</v>
      </c>
      <c r="B227" s="87">
        <v>17876.16</v>
      </c>
      <c r="C227" s="63" t="s">
        <v>56</v>
      </c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</row>
    <row r="228" ht="12.0" customHeight="1">
      <c r="A228" s="68" t="s">
        <v>287</v>
      </c>
      <c r="B228" s="84">
        <v>17661.28</v>
      </c>
      <c r="C228" s="70" t="s">
        <v>58</v>
      </c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</row>
    <row r="229" ht="12.0" customHeight="1">
      <c r="A229" s="91" t="s">
        <v>288</v>
      </c>
      <c r="B229" s="92">
        <v>17650.0</v>
      </c>
      <c r="C229" s="93" t="s">
        <v>65</v>
      </c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</row>
    <row r="230" ht="12.0" customHeight="1">
      <c r="A230" s="91" t="s">
        <v>289</v>
      </c>
      <c r="B230" s="92">
        <v>17500.0</v>
      </c>
      <c r="C230" s="93" t="s">
        <v>65</v>
      </c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</row>
    <row r="231" ht="12.0" customHeight="1">
      <c r="A231" s="71" t="s">
        <v>290</v>
      </c>
      <c r="B231" s="94">
        <v>17500.0</v>
      </c>
      <c r="C231" s="73" t="s">
        <v>35</v>
      </c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</row>
    <row r="232" ht="12.0" customHeight="1">
      <c r="A232" s="68" t="s">
        <v>291</v>
      </c>
      <c r="B232" s="84">
        <v>16638.47</v>
      </c>
      <c r="C232" s="70" t="s">
        <v>58</v>
      </c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</row>
    <row r="233" ht="12.0" customHeight="1">
      <c r="A233" s="68" t="s">
        <v>292</v>
      </c>
      <c r="B233" s="84">
        <v>16585.54</v>
      </c>
      <c r="C233" s="70" t="s">
        <v>58</v>
      </c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</row>
    <row r="234" ht="12.0" customHeight="1">
      <c r="A234" s="68" t="s">
        <v>293</v>
      </c>
      <c r="B234" s="84">
        <v>16418.04</v>
      </c>
      <c r="C234" s="70" t="s">
        <v>58</v>
      </c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</row>
    <row r="235" ht="12.0" customHeight="1">
      <c r="A235" s="81" t="s">
        <v>294</v>
      </c>
      <c r="B235" s="95">
        <v>15684.85</v>
      </c>
      <c r="C235" s="83" t="s">
        <v>67</v>
      </c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</row>
    <row r="236" ht="12.0" customHeight="1">
      <c r="A236" s="91" t="s">
        <v>295</v>
      </c>
      <c r="B236" s="92">
        <v>15500.0</v>
      </c>
      <c r="C236" s="93" t="s">
        <v>65</v>
      </c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</row>
    <row r="237" ht="12.0" customHeight="1">
      <c r="A237" s="91" t="s">
        <v>296</v>
      </c>
      <c r="B237" s="92">
        <v>15400.0</v>
      </c>
      <c r="C237" s="93" t="s">
        <v>65</v>
      </c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</row>
    <row r="238" ht="12.0" customHeight="1">
      <c r="A238" s="91" t="s">
        <v>297</v>
      </c>
      <c r="B238" s="92">
        <v>15000.0</v>
      </c>
      <c r="C238" s="93" t="s">
        <v>65</v>
      </c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</row>
    <row r="239" ht="12.0" customHeight="1">
      <c r="A239" s="91" t="s">
        <v>298</v>
      </c>
      <c r="B239" s="92">
        <v>15000.0</v>
      </c>
      <c r="C239" s="93" t="s">
        <v>65</v>
      </c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</row>
    <row r="240" ht="12.0" customHeight="1">
      <c r="A240" s="91" t="s">
        <v>299</v>
      </c>
      <c r="B240" s="92">
        <v>15000.0</v>
      </c>
      <c r="C240" s="93" t="s">
        <v>65</v>
      </c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</row>
    <row r="241" ht="12.0" customHeight="1">
      <c r="A241" s="91" t="s">
        <v>300</v>
      </c>
      <c r="B241" s="92">
        <v>15000.0</v>
      </c>
      <c r="C241" s="93" t="s">
        <v>65</v>
      </c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</row>
    <row r="242" ht="12.0" customHeight="1">
      <c r="A242" s="71" t="s">
        <v>301</v>
      </c>
      <c r="B242" s="94">
        <v>15000.0</v>
      </c>
      <c r="C242" s="73" t="s">
        <v>35</v>
      </c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</row>
    <row r="243" ht="12.0" customHeight="1">
      <c r="A243" s="78" t="s">
        <v>302</v>
      </c>
      <c r="B243" s="86">
        <v>15000.0</v>
      </c>
      <c r="C243" s="80" t="s">
        <v>60</v>
      </c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</row>
    <row r="244" ht="12.0" customHeight="1">
      <c r="A244" s="78" t="s">
        <v>303</v>
      </c>
      <c r="B244" s="86">
        <v>15000.0</v>
      </c>
      <c r="C244" s="80" t="s">
        <v>60</v>
      </c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</row>
    <row r="245" ht="12.0" customHeight="1">
      <c r="A245" s="91" t="s">
        <v>304</v>
      </c>
      <c r="B245" s="92">
        <v>14760.0</v>
      </c>
      <c r="C245" s="93" t="s">
        <v>65</v>
      </c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</row>
    <row r="246" ht="12.0" customHeight="1">
      <c r="A246" s="68" t="s">
        <v>305</v>
      </c>
      <c r="B246" s="84">
        <v>13528.79</v>
      </c>
      <c r="C246" s="70" t="s">
        <v>58</v>
      </c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</row>
    <row r="247" ht="12.0" customHeight="1">
      <c r="A247" s="91" t="s">
        <v>306</v>
      </c>
      <c r="B247" s="92">
        <v>13500.0</v>
      </c>
      <c r="C247" s="93" t="s">
        <v>65</v>
      </c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</row>
    <row r="248" ht="12.0" customHeight="1">
      <c r="A248" s="78" t="s">
        <v>307</v>
      </c>
      <c r="B248" s="86">
        <v>13366.8</v>
      </c>
      <c r="C248" s="80" t="s">
        <v>60</v>
      </c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</row>
    <row r="249" ht="12.0" customHeight="1">
      <c r="A249" s="68" t="s">
        <v>308</v>
      </c>
      <c r="B249" s="84">
        <v>13125.0</v>
      </c>
      <c r="C249" s="70" t="s">
        <v>58</v>
      </c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</row>
    <row r="250" ht="12.0" customHeight="1">
      <c r="A250" s="68" t="s">
        <v>309</v>
      </c>
      <c r="B250" s="84">
        <v>13081.74</v>
      </c>
      <c r="C250" s="70" t="s">
        <v>58</v>
      </c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  <c r="Z250" s="63"/>
    </row>
    <row r="251" ht="12.0" customHeight="1">
      <c r="A251" s="68" t="s">
        <v>310</v>
      </c>
      <c r="B251" s="84">
        <v>12971.69</v>
      </c>
      <c r="C251" s="70" t="s">
        <v>58</v>
      </c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</row>
    <row r="252" ht="12.0" customHeight="1">
      <c r="A252" s="68" t="s">
        <v>311</v>
      </c>
      <c r="B252" s="84">
        <v>12963.93</v>
      </c>
      <c r="C252" s="70" t="s">
        <v>58</v>
      </c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</row>
    <row r="253" ht="12.0" customHeight="1">
      <c r="A253" s="68" t="s">
        <v>312</v>
      </c>
      <c r="B253" s="84">
        <v>12925.63</v>
      </c>
      <c r="C253" s="70" t="s">
        <v>58</v>
      </c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</row>
    <row r="254" ht="12.0" customHeight="1">
      <c r="A254" s="68" t="s">
        <v>313</v>
      </c>
      <c r="B254" s="84">
        <v>12852.84</v>
      </c>
      <c r="C254" s="70" t="s">
        <v>58</v>
      </c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</row>
    <row r="255" ht="12.0" customHeight="1">
      <c r="A255" s="68" t="s">
        <v>314</v>
      </c>
      <c r="B255" s="84">
        <v>12766.08</v>
      </c>
      <c r="C255" s="70" t="s">
        <v>58</v>
      </c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</row>
    <row r="256" ht="12.0" customHeight="1">
      <c r="A256" s="64" t="s">
        <v>315</v>
      </c>
      <c r="B256" s="87">
        <v>12742.88</v>
      </c>
      <c r="C256" s="63" t="s">
        <v>56</v>
      </c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  <c r="Z256" s="63"/>
    </row>
    <row r="257" ht="12.0" customHeight="1">
      <c r="A257" s="78" t="s">
        <v>316</v>
      </c>
      <c r="B257" s="86">
        <v>12650.0</v>
      </c>
      <c r="C257" s="80" t="s">
        <v>60</v>
      </c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</row>
    <row r="258" ht="12.0" customHeight="1">
      <c r="A258" s="78" t="s">
        <v>317</v>
      </c>
      <c r="B258" s="86">
        <v>12650.0</v>
      </c>
      <c r="C258" s="80" t="s">
        <v>60</v>
      </c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  <c r="Y258" s="63"/>
      <c r="Z258" s="63"/>
    </row>
    <row r="259" ht="12.0" customHeight="1">
      <c r="A259" s="91" t="s">
        <v>318</v>
      </c>
      <c r="B259" s="92">
        <v>12500.0</v>
      </c>
      <c r="C259" s="93" t="s">
        <v>65</v>
      </c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</row>
    <row r="260" ht="12.0" customHeight="1">
      <c r="A260" s="64" t="s">
        <v>319</v>
      </c>
      <c r="B260" s="87">
        <v>12344.2</v>
      </c>
      <c r="C260" s="63" t="s">
        <v>56</v>
      </c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  <c r="Y260" s="63"/>
      <c r="Z260" s="63"/>
    </row>
    <row r="261" ht="12.0" customHeight="1">
      <c r="A261" s="68" t="s">
        <v>320</v>
      </c>
      <c r="B261" s="84">
        <v>12235.63</v>
      </c>
      <c r="C261" s="70" t="s">
        <v>58</v>
      </c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</row>
    <row r="262" ht="12.0" customHeight="1">
      <c r="A262" s="68" t="s">
        <v>321</v>
      </c>
      <c r="B262" s="84">
        <v>12182.0</v>
      </c>
      <c r="C262" s="70" t="s">
        <v>58</v>
      </c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  <c r="Y262" s="63"/>
      <c r="Z262" s="63"/>
    </row>
    <row r="263" ht="12.0" customHeight="1">
      <c r="A263" s="68" t="s">
        <v>322</v>
      </c>
      <c r="B263" s="84">
        <v>12096.5</v>
      </c>
      <c r="C263" s="70" t="s">
        <v>58</v>
      </c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</row>
    <row r="264" ht="12.0" customHeight="1">
      <c r="A264" s="68" t="s">
        <v>323</v>
      </c>
      <c r="B264" s="84">
        <v>12079.2</v>
      </c>
      <c r="C264" s="70" t="s">
        <v>58</v>
      </c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  <c r="Y264" s="63"/>
      <c r="Z264" s="63"/>
    </row>
    <row r="265" ht="12.0" customHeight="1">
      <c r="A265" s="68" t="s">
        <v>324</v>
      </c>
      <c r="B265" s="84">
        <v>12021.16</v>
      </c>
      <c r="C265" s="70" t="s">
        <v>58</v>
      </c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  <c r="Z265" s="63"/>
    </row>
    <row r="266" ht="12.0" customHeight="1">
      <c r="A266" s="78" t="s">
        <v>325</v>
      </c>
      <c r="B266" s="86">
        <v>12000.0</v>
      </c>
      <c r="C266" s="80" t="s">
        <v>60</v>
      </c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3"/>
    </row>
    <row r="267" ht="12.0" customHeight="1">
      <c r="A267" s="68" t="s">
        <v>326</v>
      </c>
      <c r="B267" s="84">
        <v>11964.6</v>
      </c>
      <c r="C267" s="70" t="s">
        <v>58</v>
      </c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</row>
    <row r="268" ht="12.0" customHeight="1">
      <c r="A268" s="64" t="s">
        <v>327</v>
      </c>
      <c r="B268" s="87">
        <v>11910.56</v>
      </c>
      <c r="C268" s="63" t="s">
        <v>56</v>
      </c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  <c r="Z268" s="63"/>
    </row>
    <row r="269" ht="12.0" customHeight="1">
      <c r="A269" s="68" t="s">
        <v>328</v>
      </c>
      <c r="B269" s="84">
        <v>11888.57</v>
      </c>
      <c r="C269" s="70" t="s">
        <v>58</v>
      </c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</row>
    <row r="270" ht="12.0" customHeight="1">
      <c r="A270" s="68" t="s">
        <v>329</v>
      </c>
      <c r="B270" s="84">
        <v>11852.96</v>
      </c>
      <c r="C270" s="70" t="s">
        <v>58</v>
      </c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  <c r="Z270" s="63"/>
    </row>
    <row r="271" ht="12.0" customHeight="1">
      <c r="A271" s="64" t="s">
        <v>330</v>
      </c>
      <c r="B271" s="87">
        <v>10901.76</v>
      </c>
      <c r="C271" s="63" t="s">
        <v>56</v>
      </c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</row>
    <row r="272" ht="12.0" customHeight="1">
      <c r="A272" s="68" t="s">
        <v>331</v>
      </c>
      <c r="B272" s="84">
        <v>10800.0</v>
      </c>
      <c r="C272" s="70" t="s">
        <v>58</v>
      </c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  <c r="Z272" s="63"/>
    </row>
    <row r="273" ht="12.0" customHeight="1">
      <c r="A273" s="91" t="s">
        <v>332</v>
      </c>
      <c r="B273" s="92">
        <v>10750.0</v>
      </c>
      <c r="C273" s="93" t="s">
        <v>65</v>
      </c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</row>
    <row r="274" ht="12.0" customHeight="1">
      <c r="A274" s="64" t="s">
        <v>333</v>
      </c>
      <c r="B274" s="87">
        <v>10620.0</v>
      </c>
      <c r="C274" s="63" t="s">
        <v>56</v>
      </c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  <c r="Z274" s="63"/>
    </row>
    <row r="275" ht="12.0" customHeight="1">
      <c r="A275" s="68" t="s">
        <v>334</v>
      </c>
      <c r="B275" s="84">
        <v>10575.98</v>
      </c>
      <c r="C275" s="70" t="s">
        <v>58</v>
      </c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</row>
    <row r="276" ht="12.0" customHeight="1">
      <c r="A276" s="64" t="s">
        <v>335</v>
      </c>
      <c r="B276" s="87">
        <v>10564.09</v>
      </c>
      <c r="C276" s="63" t="s">
        <v>56</v>
      </c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  <c r="Z276" s="63"/>
    </row>
    <row r="277" ht="12.0" customHeight="1">
      <c r="A277" s="81" t="s">
        <v>336</v>
      </c>
      <c r="B277" s="95">
        <v>10500.0</v>
      </c>
      <c r="C277" s="83" t="s">
        <v>67</v>
      </c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</row>
    <row r="278" ht="12.0" customHeight="1">
      <c r="A278" s="68" t="s">
        <v>337</v>
      </c>
      <c r="B278" s="84">
        <v>10353.94</v>
      </c>
      <c r="C278" s="70" t="s">
        <v>58</v>
      </c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  <c r="Z278" s="63"/>
    </row>
    <row r="279" ht="12.0" customHeight="1">
      <c r="A279" s="68" t="s">
        <v>338</v>
      </c>
      <c r="B279" s="84">
        <v>10341.61</v>
      </c>
      <c r="C279" s="70" t="s">
        <v>58</v>
      </c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</row>
    <row r="280" ht="12.0" customHeight="1">
      <c r="A280" s="91" t="s">
        <v>339</v>
      </c>
      <c r="B280" s="92">
        <v>10250.0</v>
      </c>
      <c r="C280" s="93" t="s">
        <v>65</v>
      </c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  <c r="Y280" s="63"/>
      <c r="Z280" s="63"/>
    </row>
    <row r="281" ht="12.0" customHeight="1">
      <c r="A281" s="91" t="s">
        <v>340</v>
      </c>
      <c r="B281" s="92">
        <v>10250.0</v>
      </c>
      <c r="C281" s="93" t="s">
        <v>65</v>
      </c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</row>
    <row r="282" ht="12.0" customHeight="1">
      <c r="A282" s="68" t="s">
        <v>341</v>
      </c>
      <c r="B282" s="84">
        <v>10054.57</v>
      </c>
      <c r="C282" s="70" t="s">
        <v>58</v>
      </c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  <c r="Z282" s="63"/>
    </row>
    <row r="283" ht="12.0" customHeight="1">
      <c r="A283" s="91" t="s">
        <v>342</v>
      </c>
      <c r="B283" s="92">
        <v>10000.0</v>
      </c>
      <c r="C283" s="93" t="s">
        <v>65</v>
      </c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  <c r="Z283" s="63"/>
    </row>
    <row r="284" ht="12.0" customHeight="1">
      <c r="A284" s="91" t="s">
        <v>343</v>
      </c>
      <c r="B284" s="92">
        <v>10000.0</v>
      </c>
      <c r="C284" s="93" t="s">
        <v>65</v>
      </c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  <c r="Y284" s="63"/>
      <c r="Z284" s="63"/>
    </row>
    <row r="285" ht="12.0" customHeight="1">
      <c r="A285" s="91" t="s">
        <v>344</v>
      </c>
      <c r="B285" s="92">
        <v>10000.0</v>
      </c>
      <c r="C285" s="93" t="s">
        <v>65</v>
      </c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  <c r="Z285" s="63"/>
    </row>
    <row r="286" ht="12.0" customHeight="1">
      <c r="A286" s="68" t="s">
        <v>345</v>
      </c>
      <c r="B286" s="96">
        <v>9875.0</v>
      </c>
      <c r="C286" s="70" t="s">
        <v>58</v>
      </c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  <c r="Y286" s="63"/>
      <c r="Z286" s="63"/>
    </row>
    <row r="287" ht="12.0" customHeight="1">
      <c r="A287" s="68" t="s">
        <v>346</v>
      </c>
      <c r="B287" s="96">
        <v>9708.21</v>
      </c>
      <c r="C287" s="70" t="s">
        <v>58</v>
      </c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  <c r="Z287" s="63"/>
    </row>
    <row r="288" ht="12.0" customHeight="1">
      <c r="A288" s="91" t="s">
        <v>347</v>
      </c>
      <c r="B288" s="97">
        <v>9250.0</v>
      </c>
      <c r="C288" s="93" t="s">
        <v>65</v>
      </c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  <c r="Y288" s="63"/>
      <c r="Z288" s="63"/>
    </row>
    <row r="289" ht="12.0" customHeight="1">
      <c r="A289" s="68" t="s">
        <v>348</v>
      </c>
      <c r="B289" s="96">
        <v>9146.74</v>
      </c>
      <c r="C289" s="70" t="s">
        <v>58</v>
      </c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</row>
    <row r="290" ht="12.0" customHeight="1">
      <c r="A290" s="91" t="s">
        <v>349</v>
      </c>
      <c r="B290" s="97">
        <v>9070.0</v>
      </c>
      <c r="C290" s="93" t="s">
        <v>65</v>
      </c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  <c r="Y290" s="63"/>
      <c r="Z290" s="63"/>
    </row>
    <row r="291" ht="12.0" customHeight="1">
      <c r="A291" s="91" t="s">
        <v>350</v>
      </c>
      <c r="B291" s="97">
        <v>8750.0</v>
      </c>
      <c r="C291" s="93" t="s">
        <v>65</v>
      </c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</row>
    <row r="292" ht="12.0" customHeight="1">
      <c r="A292" s="91" t="s">
        <v>351</v>
      </c>
      <c r="B292" s="97">
        <v>8500.0</v>
      </c>
      <c r="C292" s="93" t="s">
        <v>65</v>
      </c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  <c r="Z292" s="63"/>
    </row>
    <row r="293" ht="12.0" customHeight="1">
      <c r="A293" s="81" t="s">
        <v>352</v>
      </c>
      <c r="B293" s="98">
        <v>8438.07</v>
      </c>
      <c r="C293" s="83" t="s">
        <v>67</v>
      </c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</row>
    <row r="294" ht="12.0" customHeight="1">
      <c r="A294" s="78" t="s">
        <v>353</v>
      </c>
      <c r="B294" s="99">
        <v>8400.0</v>
      </c>
      <c r="C294" s="80" t="s">
        <v>60</v>
      </c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  <c r="Z294" s="63"/>
    </row>
    <row r="295" ht="12.0" customHeight="1">
      <c r="A295" s="68" t="s">
        <v>354</v>
      </c>
      <c r="B295" s="96">
        <v>8250.0</v>
      </c>
      <c r="C295" s="70" t="s">
        <v>58</v>
      </c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</row>
    <row r="296" ht="12.0" customHeight="1">
      <c r="A296" s="81" t="s">
        <v>355</v>
      </c>
      <c r="B296" s="98">
        <v>8239.16</v>
      </c>
      <c r="C296" s="83" t="s">
        <v>67</v>
      </c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3"/>
    </row>
    <row r="297" ht="12.0" customHeight="1">
      <c r="A297" s="64" t="s">
        <v>356</v>
      </c>
      <c r="B297" s="100">
        <v>8031.75</v>
      </c>
      <c r="C297" s="63" t="s">
        <v>56</v>
      </c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</row>
    <row r="298" ht="12.0" customHeight="1">
      <c r="A298" s="68" t="s">
        <v>357</v>
      </c>
      <c r="B298" s="96">
        <v>7942.52</v>
      </c>
      <c r="C298" s="70" t="s">
        <v>58</v>
      </c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  <c r="Y298" s="63"/>
      <c r="Z298" s="63"/>
    </row>
    <row r="299" ht="12.0" customHeight="1">
      <c r="A299" s="91" t="s">
        <v>358</v>
      </c>
      <c r="B299" s="97">
        <v>7920.0</v>
      </c>
      <c r="C299" s="93" t="s">
        <v>65</v>
      </c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</row>
    <row r="300" ht="12.0" customHeight="1">
      <c r="A300" s="91" t="s">
        <v>359</v>
      </c>
      <c r="B300" s="97">
        <v>7750.0</v>
      </c>
      <c r="C300" s="93" t="s">
        <v>65</v>
      </c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  <c r="Y300" s="63"/>
      <c r="Z300" s="63"/>
    </row>
    <row r="301" ht="12.0" customHeight="1">
      <c r="A301" s="68" t="s">
        <v>360</v>
      </c>
      <c r="B301" s="96">
        <v>7745.51</v>
      </c>
      <c r="C301" s="70" t="s">
        <v>58</v>
      </c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</row>
    <row r="302" ht="12.0" customHeight="1">
      <c r="A302" s="68" t="s">
        <v>361</v>
      </c>
      <c r="B302" s="96">
        <v>7510.01</v>
      </c>
      <c r="C302" s="70" t="s">
        <v>58</v>
      </c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/>
      <c r="Y302" s="63"/>
      <c r="Z302" s="63"/>
    </row>
    <row r="303" ht="12.0" customHeight="1">
      <c r="A303" s="68" t="s">
        <v>362</v>
      </c>
      <c r="B303" s="96">
        <v>7500.0</v>
      </c>
      <c r="C303" s="70" t="s">
        <v>58</v>
      </c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  <c r="Z303" s="63"/>
    </row>
    <row r="304" ht="12.0" customHeight="1">
      <c r="A304" s="91" t="s">
        <v>363</v>
      </c>
      <c r="B304" s="97">
        <v>7500.0</v>
      </c>
      <c r="C304" s="93" t="s">
        <v>65</v>
      </c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  <c r="Y304" s="63"/>
      <c r="Z304" s="63"/>
    </row>
    <row r="305" ht="12.0" customHeight="1">
      <c r="A305" s="68" t="s">
        <v>364</v>
      </c>
      <c r="B305" s="96">
        <v>7500.0</v>
      </c>
      <c r="C305" s="70" t="s">
        <v>58</v>
      </c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</row>
    <row r="306" ht="12.0" customHeight="1">
      <c r="A306" s="68" t="s">
        <v>365</v>
      </c>
      <c r="B306" s="96">
        <v>7500.0</v>
      </c>
      <c r="C306" s="70" t="s">
        <v>58</v>
      </c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  <c r="Z306" s="63"/>
    </row>
    <row r="307" ht="12.0" customHeight="1">
      <c r="A307" s="78" t="s">
        <v>366</v>
      </c>
      <c r="B307" s="99">
        <v>7497.66</v>
      </c>
      <c r="C307" s="80" t="s">
        <v>60</v>
      </c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</row>
    <row r="308" ht="12.0" customHeight="1">
      <c r="A308" s="68" t="s">
        <v>367</v>
      </c>
      <c r="B308" s="96">
        <v>7253.21</v>
      </c>
      <c r="C308" s="70" t="s">
        <v>58</v>
      </c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  <c r="Y308" s="63"/>
      <c r="Z308" s="63"/>
    </row>
    <row r="309" ht="12.0" customHeight="1">
      <c r="A309" s="81" t="s">
        <v>368</v>
      </c>
      <c r="B309" s="98">
        <v>7200.0</v>
      </c>
      <c r="C309" s="83" t="s">
        <v>67</v>
      </c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  <c r="Z309" s="63"/>
    </row>
    <row r="310" ht="12.0" customHeight="1">
      <c r="A310" s="68" t="s">
        <v>369</v>
      </c>
      <c r="B310" s="96">
        <v>6730.54</v>
      </c>
      <c r="C310" s="70" t="s">
        <v>58</v>
      </c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  <c r="Y310" s="63"/>
      <c r="Z310" s="63"/>
    </row>
    <row r="311" ht="12.0" customHeight="1">
      <c r="A311" s="91" t="s">
        <v>370</v>
      </c>
      <c r="B311" s="97">
        <v>6500.0</v>
      </c>
      <c r="C311" s="93" t="s">
        <v>65</v>
      </c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</row>
    <row r="312" ht="12.0" customHeight="1">
      <c r="A312" s="91" t="s">
        <v>371</v>
      </c>
      <c r="B312" s="97">
        <v>6500.0</v>
      </c>
      <c r="C312" s="93" t="s">
        <v>65</v>
      </c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  <c r="Z312" s="63"/>
    </row>
    <row r="313" ht="12.0" customHeight="1">
      <c r="A313" s="91" t="s">
        <v>372</v>
      </c>
      <c r="B313" s="97">
        <v>6500.0</v>
      </c>
      <c r="C313" s="93" t="s">
        <v>65</v>
      </c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  <c r="Z313" s="63"/>
    </row>
    <row r="314" ht="12.0" customHeight="1">
      <c r="A314" s="91" t="s">
        <v>373</v>
      </c>
      <c r="B314" s="97">
        <v>6500.0</v>
      </c>
      <c r="C314" s="93" t="s">
        <v>65</v>
      </c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  <c r="Y314" s="63"/>
      <c r="Z314" s="63"/>
    </row>
    <row r="315" ht="12.0" customHeight="1">
      <c r="A315" s="91" t="s">
        <v>374</v>
      </c>
      <c r="B315" s="97">
        <v>6500.0</v>
      </c>
      <c r="C315" s="93" t="s">
        <v>65</v>
      </c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</row>
    <row r="316" ht="12.0" customHeight="1">
      <c r="A316" s="91" t="s">
        <v>375</v>
      </c>
      <c r="B316" s="97">
        <v>6300.0</v>
      </c>
      <c r="C316" s="93" t="s">
        <v>65</v>
      </c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  <c r="Z316" s="63"/>
    </row>
    <row r="317" ht="12.0" customHeight="1">
      <c r="A317" s="68" t="s">
        <v>376</v>
      </c>
      <c r="B317" s="96">
        <v>6216.8</v>
      </c>
      <c r="C317" s="70" t="s">
        <v>58</v>
      </c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/>
    </row>
    <row r="318" ht="12.0" customHeight="1">
      <c r="A318" s="68" t="s">
        <v>377</v>
      </c>
      <c r="B318" s="96">
        <v>6075.37</v>
      </c>
      <c r="C318" s="70" t="s">
        <v>58</v>
      </c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  <c r="Z318" s="63"/>
    </row>
    <row r="319" ht="12.0" customHeight="1">
      <c r="A319" s="64" t="s">
        <v>378</v>
      </c>
      <c r="B319" s="100">
        <v>5985.0</v>
      </c>
      <c r="C319" s="63" t="s">
        <v>56</v>
      </c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  <c r="Y319" s="63"/>
      <c r="Z319" s="63"/>
    </row>
    <row r="320" ht="12.0" customHeight="1">
      <c r="A320" s="68" t="s">
        <v>379</v>
      </c>
      <c r="B320" s="96">
        <v>5908.8</v>
      </c>
      <c r="C320" s="70" t="s">
        <v>58</v>
      </c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  <c r="Z320" s="63"/>
    </row>
    <row r="321" ht="12.0" customHeight="1">
      <c r="A321" s="68" t="s">
        <v>380</v>
      </c>
      <c r="B321" s="96">
        <v>5829.3</v>
      </c>
      <c r="C321" s="70" t="s">
        <v>58</v>
      </c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  <c r="Z321" s="63"/>
    </row>
    <row r="322" ht="12.0" customHeight="1">
      <c r="A322" s="68" t="s">
        <v>381</v>
      </c>
      <c r="B322" s="96">
        <v>5600.0</v>
      </c>
      <c r="C322" s="70" t="s">
        <v>58</v>
      </c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  <c r="Z322" s="63"/>
    </row>
    <row r="323" ht="12.0" customHeight="1">
      <c r="A323" s="68" t="s">
        <v>382</v>
      </c>
      <c r="B323" s="96">
        <v>5521.03</v>
      </c>
      <c r="C323" s="70" t="s">
        <v>58</v>
      </c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  <c r="Y323" s="63"/>
      <c r="Z323" s="63"/>
    </row>
    <row r="324" ht="12.0" customHeight="1">
      <c r="A324" s="78" t="s">
        <v>383</v>
      </c>
      <c r="B324" s="99">
        <v>5500.0</v>
      </c>
      <c r="C324" s="80" t="s">
        <v>60</v>
      </c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  <c r="Y324" s="63"/>
      <c r="Z324" s="63"/>
    </row>
    <row r="325" ht="12.0" customHeight="1">
      <c r="A325" s="68" t="s">
        <v>384</v>
      </c>
      <c r="B325" s="96">
        <v>5387.52</v>
      </c>
      <c r="C325" s="70" t="s">
        <v>58</v>
      </c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  <c r="Y325" s="63"/>
      <c r="Z325" s="63"/>
    </row>
    <row r="326" ht="12.0" customHeight="1">
      <c r="A326" s="68" t="s">
        <v>385</v>
      </c>
      <c r="B326" s="96">
        <v>5313.85</v>
      </c>
      <c r="C326" s="70" t="s">
        <v>58</v>
      </c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  <c r="Y326" s="63"/>
      <c r="Z326" s="63"/>
    </row>
    <row r="327" ht="12.0" customHeight="1">
      <c r="A327" s="64" t="s">
        <v>386</v>
      </c>
      <c r="B327" s="100">
        <v>5176.6</v>
      </c>
      <c r="C327" s="63" t="s">
        <v>56</v>
      </c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  <c r="Y327" s="63"/>
      <c r="Z327" s="63"/>
    </row>
    <row r="328" ht="12.0" customHeight="1">
      <c r="A328" s="91" t="s">
        <v>387</v>
      </c>
      <c r="B328" s="97">
        <v>5000.0</v>
      </c>
      <c r="C328" s="93" t="s">
        <v>65</v>
      </c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  <c r="Y328" s="63"/>
      <c r="Z328" s="63"/>
    </row>
    <row r="329" ht="12.0" customHeight="1">
      <c r="A329" s="91" t="s">
        <v>388</v>
      </c>
      <c r="B329" s="97">
        <v>5000.0</v>
      </c>
      <c r="C329" s="93" t="s">
        <v>65</v>
      </c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</row>
    <row r="330" ht="12.0" customHeight="1">
      <c r="A330" s="91" t="s">
        <v>389</v>
      </c>
      <c r="B330" s="97">
        <v>5000.0</v>
      </c>
      <c r="C330" s="93" t="s">
        <v>65</v>
      </c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  <c r="Z330" s="63"/>
    </row>
    <row r="331" ht="12.0" customHeight="1">
      <c r="A331" s="91" t="s">
        <v>390</v>
      </c>
      <c r="B331" s="97">
        <v>5000.0</v>
      </c>
      <c r="C331" s="93" t="s">
        <v>65</v>
      </c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  <c r="Z331" s="63"/>
    </row>
    <row r="332" ht="12.0" customHeight="1">
      <c r="A332" s="91" t="s">
        <v>391</v>
      </c>
      <c r="B332" s="97">
        <v>5000.0</v>
      </c>
      <c r="C332" s="93" t="s">
        <v>65</v>
      </c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/>
      <c r="Y332" s="63"/>
      <c r="Z332" s="63"/>
    </row>
    <row r="333" ht="12.0" customHeight="1">
      <c r="A333" s="91" t="s">
        <v>392</v>
      </c>
      <c r="B333" s="97">
        <v>5000.0</v>
      </c>
      <c r="C333" s="93" t="s">
        <v>65</v>
      </c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  <c r="Z333" s="63"/>
    </row>
    <row r="334" ht="12.0" customHeight="1">
      <c r="A334" s="78" t="s">
        <v>393</v>
      </c>
      <c r="B334" s="99">
        <v>5000.0</v>
      </c>
      <c r="C334" s="80" t="s">
        <v>60</v>
      </c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  <c r="Y334" s="63"/>
      <c r="Z334" s="63"/>
    </row>
    <row r="335" ht="12.0" customHeight="1">
      <c r="A335" s="78" t="s">
        <v>394</v>
      </c>
      <c r="B335" s="99">
        <v>5000.0</v>
      </c>
      <c r="C335" s="80" t="s">
        <v>60</v>
      </c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</row>
    <row r="336" ht="12.0" customHeight="1">
      <c r="A336" s="78" t="s">
        <v>395</v>
      </c>
      <c r="B336" s="99">
        <v>5000.0</v>
      </c>
      <c r="C336" s="80" t="s">
        <v>60</v>
      </c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/>
      <c r="Y336" s="63"/>
      <c r="Z336" s="63"/>
    </row>
    <row r="337" ht="12.0" customHeight="1">
      <c r="A337" s="78" t="s">
        <v>396</v>
      </c>
      <c r="B337" s="99">
        <v>5000.0</v>
      </c>
      <c r="C337" s="80" t="s">
        <v>60</v>
      </c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</row>
    <row r="338" ht="12.0" customHeight="1">
      <c r="A338" s="68" t="s">
        <v>397</v>
      </c>
      <c r="B338" s="96">
        <v>4860.63</v>
      </c>
      <c r="C338" s="70" t="s">
        <v>58</v>
      </c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3"/>
      <c r="Y338" s="63"/>
      <c r="Z338" s="63"/>
    </row>
    <row r="339" ht="12.0" customHeight="1">
      <c r="A339" s="68" t="s">
        <v>398</v>
      </c>
      <c r="B339" s="96">
        <v>4849.25</v>
      </c>
      <c r="C339" s="70" t="s">
        <v>58</v>
      </c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</row>
    <row r="340" ht="12.0" customHeight="1">
      <c r="A340" s="64" t="s">
        <v>399</v>
      </c>
      <c r="B340" s="100">
        <v>4664.1</v>
      </c>
      <c r="C340" s="63" t="s">
        <v>56</v>
      </c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/>
      <c r="Y340" s="63"/>
      <c r="Z340" s="63"/>
    </row>
    <row r="341" ht="12.0" customHeight="1">
      <c r="A341" s="68" t="s">
        <v>400</v>
      </c>
      <c r="B341" s="96">
        <v>4643.06</v>
      </c>
      <c r="C341" s="70" t="s">
        <v>58</v>
      </c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</row>
    <row r="342" ht="12.0" customHeight="1">
      <c r="A342" s="68" t="s">
        <v>401</v>
      </c>
      <c r="B342" s="96">
        <v>4494.45</v>
      </c>
      <c r="C342" s="70" t="s">
        <v>58</v>
      </c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/>
      <c r="Y342" s="63"/>
      <c r="Z342" s="63"/>
    </row>
    <row r="343" ht="12.0" customHeight="1">
      <c r="A343" s="68" t="s">
        <v>402</v>
      </c>
      <c r="B343" s="96">
        <v>4267.94</v>
      </c>
      <c r="C343" s="70" t="s">
        <v>58</v>
      </c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3"/>
    </row>
    <row r="344" ht="12.0" customHeight="1">
      <c r="A344" s="78" t="s">
        <v>403</v>
      </c>
      <c r="B344" s="99">
        <v>4134.34</v>
      </c>
      <c r="C344" s="80" t="s">
        <v>60</v>
      </c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  <c r="Z344" s="63"/>
    </row>
    <row r="345" ht="12.0" customHeight="1">
      <c r="A345" s="68" t="s">
        <v>404</v>
      </c>
      <c r="B345" s="96">
        <v>4100.0</v>
      </c>
      <c r="C345" s="70" t="s">
        <v>58</v>
      </c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  <c r="Z345" s="63"/>
    </row>
    <row r="346" ht="12.0" customHeight="1">
      <c r="A346" s="68" t="s">
        <v>405</v>
      </c>
      <c r="B346" s="96">
        <v>3924.04</v>
      </c>
      <c r="C346" s="70" t="s">
        <v>58</v>
      </c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/>
      <c r="Y346" s="63"/>
      <c r="Z346" s="63"/>
    </row>
    <row r="347" ht="12.0" customHeight="1">
      <c r="A347" s="68" t="s">
        <v>406</v>
      </c>
      <c r="B347" s="96">
        <v>3804.76</v>
      </c>
      <c r="C347" s="70" t="s">
        <v>58</v>
      </c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  <c r="Z347" s="63"/>
    </row>
    <row r="348" ht="12.0" customHeight="1">
      <c r="A348" s="91" t="s">
        <v>407</v>
      </c>
      <c r="B348" s="97">
        <v>3800.0</v>
      </c>
      <c r="C348" s="93" t="s">
        <v>65</v>
      </c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3"/>
      <c r="Y348" s="63"/>
      <c r="Z348" s="63"/>
    </row>
    <row r="349" ht="12.0" customHeight="1">
      <c r="A349" s="64" t="s">
        <v>408</v>
      </c>
      <c r="B349" s="100">
        <v>3757.82</v>
      </c>
      <c r="C349" s="63" t="s">
        <v>56</v>
      </c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  <c r="Z349" s="63"/>
    </row>
    <row r="350" ht="12.0" customHeight="1">
      <c r="A350" s="68" t="s">
        <v>409</v>
      </c>
      <c r="B350" s="96">
        <v>3711.4</v>
      </c>
      <c r="C350" s="70" t="s">
        <v>58</v>
      </c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  <c r="Z350" s="63"/>
    </row>
    <row r="351" ht="12.0" customHeight="1">
      <c r="A351" s="68" t="s">
        <v>410</v>
      </c>
      <c r="B351" s="96">
        <v>3659.6</v>
      </c>
      <c r="C351" s="70" t="s">
        <v>58</v>
      </c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  <c r="Z351" s="63"/>
    </row>
    <row r="352" ht="12.0" customHeight="1">
      <c r="A352" s="68" t="s">
        <v>411</v>
      </c>
      <c r="B352" s="96">
        <v>3600.49</v>
      </c>
      <c r="C352" s="70" t="s">
        <v>58</v>
      </c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  <c r="Y352" s="63"/>
      <c r="Z352" s="63"/>
    </row>
    <row r="353" ht="12.0" customHeight="1">
      <c r="A353" s="91" t="s">
        <v>412</v>
      </c>
      <c r="B353" s="97">
        <v>3600.0</v>
      </c>
      <c r="C353" s="93" t="s">
        <v>65</v>
      </c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</row>
    <row r="354" ht="12.0" customHeight="1">
      <c r="A354" s="91" t="s">
        <v>413</v>
      </c>
      <c r="B354" s="97">
        <v>3500.0</v>
      </c>
      <c r="C354" s="93" t="s">
        <v>65</v>
      </c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  <c r="Z354" s="63"/>
    </row>
    <row r="355" ht="12.0" customHeight="1">
      <c r="A355" s="68" t="s">
        <v>414</v>
      </c>
      <c r="B355" s="96">
        <v>3483.22</v>
      </c>
      <c r="C355" s="70" t="s">
        <v>58</v>
      </c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  <c r="Z355" s="63"/>
    </row>
    <row r="356" ht="12.0" customHeight="1">
      <c r="A356" s="68" t="s">
        <v>415</v>
      </c>
      <c r="B356" s="96">
        <v>3307.95</v>
      </c>
      <c r="C356" s="70" t="s">
        <v>58</v>
      </c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</row>
    <row r="357" ht="12.0" customHeight="1">
      <c r="A357" s="68" t="s">
        <v>416</v>
      </c>
      <c r="B357" s="96">
        <v>3000.0</v>
      </c>
      <c r="C357" s="70" t="s">
        <v>58</v>
      </c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</row>
    <row r="358" ht="12.0" customHeight="1">
      <c r="A358" s="91" t="s">
        <v>417</v>
      </c>
      <c r="B358" s="97">
        <v>3000.0</v>
      </c>
      <c r="C358" s="93" t="s">
        <v>65</v>
      </c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  <c r="Y358" s="63"/>
      <c r="Z358" s="63"/>
    </row>
    <row r="359" ht="12.0" customHeight="1">
      <c r="A359" s="68" t="s">
        <v>418</v>
      </c>
      <c r="B359" s="96">
        <v>2949.31</v>
      </c>
      <c r="C359" s="70" t="s">
        <v>58</v>
      </c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  <c r="Y359" s="63"/>
      <c r="Z359" s="63"/>
    </row>
    <row r="360" ht="12.0" customHeight="1">
      <c r="A360" s="68" t="s">
        <v>419</v>
      </c>
      <c r="B360" s="96">
        <v>2862.73</v>
      </c>
      <c r="C360" s="70" t="s">
        <v>58</v>
      </c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3"/>
    </row>
    <row r="361" ht="12.0" customHeight="1">
      <c r="A361" s="64" t="s">
        <v>420</v>
      </c>
      <c r="B361" s="100">
        <v>2825.28</v>
      </c>
      <c r="C361" s="63" t="s">
        <v>56</v>
      </c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  <c r="Y361" s="63"/>
      <c r="Z361" s="63"/>
    </row>
    <row r="362" ht="12.0" customHeight="1">
      <c r="A362" s="78" t="s">
        <v>421</v>
      </c>
      <c r="B362" s="99">
        <v>2714.4</v>
      </c>
      <c r="C362" s="80" t="s">
        <v>60</v>
      </c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/>
      <c r="Y362" s="63"/>
      <c r="Z362" s="63"/>
    </row>
    <row r="363" ht="12.0" customHeight="1">
      <c r="A363" s="68" t="s">
        <v>422</v>
      </c>
      <c r="B363" s="96">
        <v>2614.03</v>
      </c>
      <c r="C363" s="70" t="s">
        <v>58</v>
      </c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  <c r="Z363" s="63"/>
    </row>
    <row r="364" ht="12.0" customHeight="1">
      <c r="A364" s="68" t="s">
        <v>423</v>
      </c>
      <c r="B364" s="96">
        <v>2594.93</v>
      </c>
      <c r="C364" s="70" t="s">
        <v>58</v>
      </c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  <c r="Y364" s="63"/>
      <c r="Z364" s="63"/>
    </row>
    <row r="365" ht="12.0" customHeight="1">
      <c r="A365" s="68" t="s">
        <v>424</v>
      </c>
      <c r="B365" s="96">
        <v>2508.41</v>
      </c>
      <c r="C365" s="70" t="s">
        <v>58</v>
      </c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  <c r="Z365" s="63"/>
    </row>
    <row r="366" ht="12.0" customHeight="1">
      <c r="A366" s="91" t="s">
        <v>425</v>
      </c>
      <c r="B366" s="97">
        <v>2500.0</v>
      </c>
      <c r="C366" s="93" t="s">
        <v>65</v>
      </c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  <c r="Y366" s="63"/>
      <c r="Z366" s="63"/>
    </row>
    <row r="367" ht="12.0" customHeight="1">
      <c r="A367" s="91" t="s">
        <v>426</v>
      </c>
      <c r="B367" s="97">
        <v>2500.0</v>
      </c>
      <c r="C367" s="93" t="s">
        <v>65</v>
      </c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</row>
    <row r="368" ht="12.0" customHeight="1">
      <c r="A368" s="68" t="s">
        <v>427</v>
      </c>
      <c r="B368" s="96">
        <v>2463.78</v>
      </c>
      <c r="C368" s="70" t="s">
        <v>58</v>
      </c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  <c r="Y368" s="63"/>
      <c r="Z368" s="63"/>
    </row>
    <row r="369" ht="12.0" customHeight="1">
      <c r="A369" s="68" t="s">
        <v>428</v>
      </c>
      <c r="B369" s="96">
        <v>2396.15</v>
      </c>
      <c r="C369" s="70" t="s">
        <v>58</v>
      </c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</row>
    <row r="370" ht="12.0" customHeight="1">
      <c r="A370" s="68" t="s">
        <v>429</v>
      </c>
      <c r="B370" s="96">
        <v>2364.77</v>
      </c>
      <c r="C370" s="70" t="s">
        <v>58</v>
      </c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  <c r="Z370" s="63"/>
    </row>
    <row r="371" ht="12.0" customHeight="1">
      <c r="A371" s="68" t="s">
        <v>430</v>
      </c>
      <c r="B371" s="96">
        <v>2236.03</v>
      </c>
      <c r="C371" s="70" t="s">
        <v>58</v>
      </c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</row>
    <row r="372" ht="12.0" customHeight="1">
      <c r="A372" s="68" t="s">
        <v>431</v>
      </c>
      <c r="B372" s="96">
        <v>2120.0</v>
      </c>
      <c r="C372" s="70" t="s">
        <v>58</v>
      </c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  <c r="Y372" s="63"/>
      <c r="Z372" s="63"/>
    </row>
    <row r="373" ht="12.0" customHeight="1">
      <c r="A373" s="64" t="s">
        <v>432</v>
      </c>
      <c r="B373" s="100">
        <v>2055.75</v>
      </c>
      <c r="C373" s="63" t="s">
        <v>56</v>
      </c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</row>
    <row r="374" ht="12.0" customHeight="1">
      <c r="A374" s="68" t="s">
        <v>433</v>
      </c>
      <c r="B374" s="96">
        <v>2026.33</v>
      </c>
      <c r="C374" s="70" t="s">
        <v>58</v>
      </c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/>
      <c r="Y374" s="63"/>
      <c r="Z374" s="63"/>
    </row>
    <row r="375" ht="12.0" customHeight="1">
      <c r="A375" s="91" t="s">
        <v>434</v>
      </c>
      <c r="B375" s="97">
        <v>2000.0</v>
      </c>
      <c r="C375" s="93" t="s">
        <v>65</v>
      </c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3"/>
    </row>
    <row r="376" ht="12.0" customHeight="1">
      <c r="A376" s="68" t="s">
        <v>435</v>
      </c>
      <c r="B376" s="96">
        <v>1946.02</v>
      </c>
      <c r="C376" s="70" t="s">
        <v>58</v>
      </c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  <c r="Z376" s="63"/>
    </row>
    <row r="377" ht="12.0" customHeight="1">
      <c r="A377" s="91" t="s">
        <v>436</v>
      </c>
      <c r="B377" s="97">
        <v>1914.46</v>
      </c>
      <c r="C377" s="93" t="s">
        <v>65</v>
      </c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  <c r="Z377" s="63"/>
    </row>
    <row r="378" ht="12.0" customHeight="1">
      <c r="A378" s="68" t="s">
        <v>437</v>
      </c>
      <c r="B378" s="96">
        <v>1908.89</v>
      </c>
      <c r="C378" s="70" t="s">
        <v>58</v>
      </c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  <c r="Z378" s="63"/>
    </row>
    <row r="379" ht="12.0" customHeight="1">
      <c r="A379" s="68" t="s">
        <v>438</v>
      </c>
      <c r="B379" s="96">
        <v>1900.0</v>
      </c>
      <c r="C379" s="70" t="s">
        <v>58</v>
      </c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  <c r="Z379" s="63"/>
    </row>
    <row r="380" ht="12.0" customHeight="1">
      <c r="A380" s="78" t="s">
        <v>439</v>
      </c>
      <c r="B380" s="99">
        <v>1827.0</v>
      </c>
      <c r="C380" s="80" t="s">
        <v>60</v>
      </c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  <c r="Y380" s="63"/>
      <c r="Z380" s="63"/>
    </row>
    <row r="381" ht="12.0" customHeight="1">
      <c r="A381" s="78" t="s">
        <v>440</v>
      </c>
      <c r="B381" s="99">
        <v>1827.0</v>
      </c>
      <c r="C381" s="80" t="s">
        <v>60</v>
      </c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  <c r="Z381" s="63"/>
    </row>
    <row r="382" ht="12.0" customHeight="1">
      <c r="A382" s="68" t="s">
        <v>441</v>
      </c>
      <c r="B382" s="96">
        <v>1797.22</v>
      </c>
      <c r="C382" s="70" t="s">
        <v>58</v>
      </c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  <c r="Z382" s="63"/>
    </row>
    <row r="383" ht="12.0" customHeight="1">
      <c r="A383" s="68" t="s">
        <v>442</v>
      </c>
      <c r="B383" s="96">
        <v>1776.41</v>
      </c>
      <c r="C383" s="70" t="s">
        <v>58</v>
      </c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  <c r="Y383" s="63"/>
      <c r="Z383" s="63"/>
    </row>
    <row r="384" ht="12.0" customHeight="1">
      <c r="A384" s="64" t="s">
        <v>443</v>
      </c>
      <c r="B384" s="100">
        <v>1569.56</v>
      </c>
      <c r="C384" s="63" t="s">
        <v>56</v>
      </c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  <c r="Z384" s="63"/>
    </row>
    <row r="385" ht="12.0" customHeight="1">
      <c r="A385" s="68" t="s">
        <v>444</v>
      </c>
      <c r="B385" s="96">
        <v>1554.11</v>
      </c>
      <c r="C385" s="70" t="s">
        <v>58</v>
      </c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</row>
    <row r="386" ht="12.0" customHeight="1">
      <c r="A386" s="91" t="s">
        <v>445</v>
      </c>
      <c r="B386" s="97">
        <v>1500.0</v>
      </c>
      <c r="C386" s="93" t="s">
        <v>65</v>
      </c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  <c r="Y386" s="63"/>
      <c r="Z386" s="63"/>
    </row>
    <row r="387" ht="12.0" customHeight="1">
      <c r="A387" s="68" t="s">
        <v>446</v>
      </c>
      <c r="B387" s="96">
        <v>1326.72</v>
      </c>
      <c r="C387" s="70" t="s">
        <v>58</v>
      </c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  <c r="Z387" s="63"/>
    </row>
    <row r="388" ht="12.0" customHeight="1">
      <c r="A388" s="68" t="s">
        <v>447</v>
      </c>
      <c r="B388" s="96">
        <v>1275.34</v>
      </c>
      <c r="C388" s="70" t="s">
        <v>58</v>
      </c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  <c r="Y388" s="63"/>
      <c r="Z388" s="63"/>
    </row>
    <row r="389" ht="12.0" customHeight="1">
      <c r="A389" s="91" t="s">
        <v>448</v>
      </c>
      <c r="B389" s="97">
        <v>1260.0</v>
      </c>
      <c r="C389" s="93" t="s">
        <v>65</v>
      </c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  <c r="Y389" s="63"/>
      <c r="Z389" s="63"/>
    </row>
    <row r="390" ht="12.0" customHeight="1">
      <c r="A390" s="91" t="s">
        <v>449</v>
      </c>
      <c r="B390" s="97">
        <v>1200.0</v>
      </c>
      <c r="C390" s="93" t="s">
        <v>65</v>
      </c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  <c r="Z390" s="63"/>
    </row>
    <row r="391" ht="12.0" customHeight="1">
      <c r="A391" s="68" t="s">
        <v>450</v>
      </c>
      <c r="B391" s="96">
        <v>1042.48</v>
      </c>
      <c r="C391" s="70" t="s">
        <v>58</v>
      </c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  <c r="Z391" s="63"/>
    </row>
    <row r="392" ht="12.0" customHeight="1">
      <c r="A392" s="91" t="s">
        <v>451</v>
      </c>
      <c r="B392" s="97">
        <v>1000.0</v>
      </c>
      <c r="C392" s="93" t="s">
        <v>65</v>
      </c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  <c r="Y392" s="63"/>
      <c r="Z392" s="63"/>
    </row>
    <row r="393" ht="12.0" customHeight="1">
      <c r="A393" s="68" t="s">
        <v>452</v>
      </c>
      <c r="B393" s="101">
        <v>944.35</v>
      </c>
      <c r="C393" s="70" t="s">
        <v>58</v>
      </c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  <c r="Y393" s="63"/>
      <c r="Z393" s="63"/>
    </row>
    <row r="394" ht="12.0" customHeight="1">
      <c r="A394" s="78" t="s">
        <v>453</v>
      </c>
      <c r="B394" s="102">
        <v>907.2</v>
      </c>
      <c r="C394" s="80" t="s">
        <v>60</v>
      </c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  <c r="Y394" s="63"/>
      <c r="Z394" s="63"/>
    </row>
    <row r="395" ht="12.0" customHeight="1">
      <c r="A395" s="81" t="s">
        <v>454</v>
      </c>
      <c r="B395" s="103">
        <v>897.11</v>
      </c>
      <c r="C395" s="83" t="s">
        <v>67</v>
      </c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  <c r="Z395" s="63"/>
    </row>
    <row r="396" ht="12.0" customHeight="1">
      <c r="A396" s="81" t="s">
        <v>455</v>
      </c>
      <c r="B396" s="103">
        <v>893.17</v>
      </c>
      <c r="C396" s="83" t="s">
        <v>67</v>
      </c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  <c r="Y396" s="63"/>
      <c r="Z396" s="63"/>
    </row>
    <row r="397" ht="12.0" customHeight="1">
      <c r="A397" s="68" t="s">
        <v>456</v>
      </c>
      <c r="B397" s="101">
        <v>885.93</v>
      </c>
      <c r="C397" s="70" t="s">
        <v>58</v>
      </c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  <c r="Z397" s="63"/>
    </row>
    <row r="398" ht="12.0" customHeight="1">
      <c r="A398" s="68" t="s">
        <v>457</v>
      </c>
      <c r="B398" s="101">
        <v>873.33</v>
      </c>
      <c r="C398" s="70" t="s">
        <v>58</v>
      </c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  <c r="Z398" s="63"/>
    </row>
    <row r="399" ht="12.0" customHeight="1">
      <c r="A399" s="68" t="s">
        <v>458</v>
      </c>
      <c r="B399" s="101">
        <v>871.61</v>
      </c>
      <c r="C399" s="70" t="s">
        <v>58</v>
      </c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  <c r="Z399" s="63"/>
    </row>
    <row r="400" ht="12.0" customHeight="1">
      <c r="A400" s="68" t="s">
        <v>459</v>
      </c>
      <c r="B400" s="101">
        <v>728.43</v>
      </c>
      <c r="C400" s="70" t="s">
        <v>58</v>
      </c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  <c r="Z400" s="63"/>
    </row>
    <row r="401" ht="12.0" customHeight="1">
      <c r="A401" s="68" t="s">
        <v>460</v>
      </c>
      <c r="B401" s="101">
        <v>670.87</v>
      </c>
      <c r="C401" s="70" t="s">
        <v>58</v>
      </c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  <c r="Z401" s="63"/>
    </row>
    <row r="402" ht="12.0" customHeight="1">
      <c r="A402" s="68" t="s">
        <v>461</v>
      </c>
      <c r="B402" s="101">
        <v>668.42</v>
      </c>
      <c r="C402" s="70" t="s">
        <v>58</v>
      </c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  <c r="Z402" s="63"/>
    </row>
    <row r="403" ht="12.0" customHeight="1">
      <c r="A403" s="68" t="s">
        <v>462</v>
      </c>
      <c r="B403" s="101">
        <v>612.68</v>
      </c>
      <c r="C403" s="70" t="s">
        <v>58</v>
      </c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  <c r="Z403" s="63"/>
    </row>
    <row r="404" ht="12.0" customHeight="1">
      <c r="A404" s="68" t="s">
        <v>463</v>
      </c>
      <c r="B404" s="101">
        <v>607.58</v>
      </c>
      <c r="C404" s="70" t="s">
        <v>58</v>
      </c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  <c r="Z404" s="63"/>
    </row>
    <row r="405" ht="12.0" customHeight="1">
      <c r="A405" s="68" t="s">
        <v>464</v>
      </c>
      <c r="B405" s="101">
        <v>555.68</v>
      </c>
      <c r="C405" s="70" t="s">
        <v>58</v>
      </c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  <c r="Z405" s="63"/>
    </row>
    <row r="406" ht="12.0" customHeight="1">
      <c r="A406" s="64" t="s">
        <v>465</v>
      </c>
      <c r="B406" s="104">
        <v>393.68</v>
      </c>
      <c r="C406" s="63" t="s">
        <v>56</v>
      </c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  <c r="Y406" s="63"/>
      <c r="Z406" s="63"/>
    </row>
    <row r="407" ht="12.0" customHeight="1">
      <c r="A407" s="68" t="s">
        <v>466</v>
      </c>
      <c r="B407" s="101">
        <v>384.88</v>
      </c>
      <c r="C407" s="70" t="s">
        <v>58</v>
      </c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</row>
    <row r="408" ht="12.0" customHeight="1">
      <c r="A408" s="68" t="s">
        <v>467</v>
      </c>
      <c r="B408" s="101">
        <v>323.05</v>
      </c>
      <c r="C408" s="70" t="s">
        <v>58</v>
      </c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  <c r="Z408" s="63"/>
    </row>
    <row r="409" ht="12.0" customHeight="1">
      <c r="A409" s="68" t="s">
        <v>468</v>
      </c>
      <c r="B409" s="101">
        <v>296.2</v>
      </c>
      <c r="C409" s="70" t="s">
        <v>58</v>
      </c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  <c r="Z409" s="63"/>
    </row>
    <row r="410" ht="12.0" customHeight="1">
      <c r="A410" s="68" t="s">
        <v>469</v>
      </c>
      <c r="B410" s="101">
        <v>224.71</v>
      </c>
      <c r="C410" s="70" t="s">
        <v>58</v>
      </c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  <c r="Y410" s="63"/>
      <c r="Z410" s="63"/>
    </row>
    <row r="411" ht="12.0" customHeight="1">
      <c r="A411" s="64" t="s">
        <v>470</v>
      </c>
      <c r="B411" s="104">
        <v>179.14</v>
      </c>
      <c r="C411" s="63" t="s">
        <v>56</v>
      </c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  <c r="Z411" s="63"/>
    </row>
    <row r="412" ht="12.0" customHeight="1">
      <c r="A412" s="68" t="s">
        <v>471</v>
      </c>
      <c r="B412" s="101">
        <v>140.35</v>
      </c>
      <c r="C412" s="70" t="s">
        <v>58</v>
      </c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  <c r="Z412" s="63"/>
    </row>
    <row r="413" ht="12.0" customHeight="1">
      <c r="A413" s="68" t="s">
        <v>472</v>
      </c>
      <c r="B413" s="101">
        <v>135.0</v>
      </c>
      <c r="C413" s="70" t="s">
        <v>58</v>
      </c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  <c r="Z413" s="63"/>
    </row>
    <row r="414" ht="12.0" customHeight="1">
      <c r="A414" s="68" t="s">
        <v>473</v>
      </c>
      <c r="B414" s="105">
        <v>64.81</v>
      </c>
      <c r="C414" s="70" t="s">
        <v>58</v>
      </c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3"/>
    </row>
    <row r="415" ht="12.0" customHeight="1">
      <c r="A415" s="68" t="s">
        <v>474</v>
      </c>
      <c r="B415" s="105">
        <v>46.58</v>
      </c>
      <c r="C415" s="70" t="s">
        <v>58</v>
      </c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  <c r="Z415" s="63"/>
    </row>
    <row r="416" ht="12.0" customHeight="1">
      <c r="A416" s="68" t="s">
        <v>475</v>
      </c>
      <c r="B416" s="105">
        <v>40.82</v>
      </c>
      <c r="C416" s="70" t="s">
        <v>58</v>
      </c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  <c r="Z416" s="63"/>
    </row>
    <row r="417" ht="12.0" customHeight="1">
      <c r="A417" s="91" t="s">
        <v>476</v>
      </c>
      <c r="B417" s="106">
        <v>12.85</v>
      </c>
      <c r="C417" s="93" t="s">
        <v>65</v>
      </c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  <c r="Z417" s="63"/>
    </row>
    <row r="418" ht="12.0" customHeight="1">
      <c r="A418" s="68" t="s">
        <v>477</v>
      </c>
      <c r="B418" s="107">
        <v>9.74</v>
      </c>
      <c r="C418" s="70" t="s">
        <v>58</v>
      </c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  <c r="Z418" s="63"/>
    </row>
    <row r="419" ht="12.0" customHeight="1">
      <c r="A419" s="63"/>
      <c r="B419" s="63"/>
      <c r="C419" s="63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  <c r="Y419" s="63"/>
      <c r="Z419" s="63"/>
    </row>
    <row r="420" ht="12.0" customHeight="1">
      <c r="A420" s="63"/>
      <c r="B420" s="63"/>
      <c r="C420" s="63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</row>
    <row r="421" ht="12.0" customHeight="1">
      <c r="A421" s="63"/>
      <c r="B421" s="63"/>
      <c r="C421" s="63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  <c r="Z421" s="63"/>
    </row>
    <row r="422" ht="12.0" customHeight="1">
      <c r="A422" s="63"/>
      <c r="B422" s="63"/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  <c r="Z422" s="63"/>
    </row>
    <row r="423" ht="12.0" customHeight="1">
      <c r="A423" s="63"/>
      <c r="B423" s="63"/>
      <c r="C423" s="63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  <c r="Z423" s="63"/>
    </row>
    <row r="424" ht="12.0" customHeight="1">
      <c r="A424" s="63"/>
      <c r="B424" s="63"/>
      <c r="C424" s="63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  <c r="Z424" s="63"/>
    </row>
    <row r="425" ht="12.0" customHeight="1">
      <c r="A425" s="63"/>
      <c r="B425" s="63"/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  <c r="Z425" s="63"/>
    </row>
    <row r="426" ht="12.0" customHeight="1">
      <c r="A426" s="63"/>
      <c r="B426" s="63"/>
      <c r="C426" s="63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  <c r="Z426" s="63"/>
    </row>
    <row r="427" ht="12.0" customHeight="1">
      <c r="A427" s="63"/>
      <c r="B427" s="63"/>
      <c r="C427" s="63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  <c r="Z427" s="63"/>
    </row>
    <row r="428" ht="12.0" customHeight="1">
      <c r="A428" s="63"/>
      <c r="B428" s="63"/>
      <c r="C428" s="63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  <c r="Z428" s="63"/>
    </row>
    <row r="429" ht="12.0" customHeight="1">
      <c r="A429" s="63"/>
      <c r="B429" s="63"/>
      <c r="C429" s="63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  <c r="Z429" s="63"/>
    </row>
    <row r="430" ht="12.0" customHeight="1">
      <c r="A430" s="63"/>
      <c r="B430" s="63"/>
      <c r="C430" s="63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</row>
    <row r="431" ht="12.0" customHeight="1">
      <c r="A431" s="63"/>
      <c r="B431" s="63"/>
      <c r="C431" s="63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</row>
    <row r="432" ht="12.0" customHeight="1">
      <c r="A432" s="63"/>
      <c r="B432" s="63"/>
      <c r="C432" s="63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</row>
    <row r="433" ht="12.0" customHeight="1">
      <c r="A433" s="63"/>
      <c r="B433" s="63"/>
      <c r="C433" s="63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</row>
    <row r="434" ht="12.0" customHeight="1">
      <c r="A434" s="63"/>
      <c r="B434" s="63"/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</row>
    <row r="435" ht="12.0" customHeight="1">
      <c r="A435" s="63"/>
      <c r="B435" s="63"/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</row>
    <row r="436" ht="12.0" customHeight="1">
      <c r="A436" s="63"/>
      <c r="B436" s="63"/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</row>
    <row r="437" ht="12.0" customHeight="1">
      <c r="A437" s="63"/>
      <c r="B437" s="63"/>
      <c r="C437" s="63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</row>
    <row r="438" ht="12.0" customHeight="1">
      <c r="A438" s="63"/>
      <c r="B438" s="63"/>
      <c r="C438" s="63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  <c r="Z438" s="63"/>
    </row>
    <row r="439" ht="12.0" customHeight="1">
      <c r="A439" s="63"/>
      <c r="B439" s="63"/>
      <c r="C439" s="63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  <c r="Y439" s="63"/>
      <c r="Z439" s="63"/>
    </row>
    <row r="440" ht="12.0" customHeight="1">
      <c r="A440" s="63"/>
      <c r="B440" s="63"/>
      <c r="C440" s="63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  <c r="Z440" s="63"/>
    </row>
    <row r="441" ht="12.0" customHeight="1">
      <c r="A441" s="63"/>
      <c r="B441" s="63"/>
      <c r="C441" s="63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  <c r="Z441" s="63"/>
    </row>
    <row r="442" ht="12.0" customHeight="1">
      <c r="A442" s="63"/>
      <c r="B442" s="63"/>
      <c r="C442" s="63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  <c r="Z442" s="63"/>
    </row>
    <row r="443" ht="12.0" customHeight="1">
      <c r="A443" s="63"/>
      <c r="B443" s="63"/>
      <c r="C443" s="63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  <c r="Z443" s="63"/>
    </row>
    <row r="444" ht="12.0" customHeight="1">
      <c r="A444" s="63"/>
      <c r="B444" s="63"/>
      <c r="C444" s="63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</row>
    <row r="445" ht="12.0" customHeight="1">
      <c r="A445" s="63"/>
      <c r="B445" s="63"/>
      <c r="C445" s="63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</row>
    <row r="446" ht="12.0" customHeight="1">
      <c r="A446" s="63"/>
      <c r="B446" s="63"/>
      <c r="C446" s="63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</row>
    <row r="447" ht="12.0" customHeight="1">
      <c r="A447" s="63"/>
      <c r="B447" s="63"/>
      <c r="C447" s="63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  <c r="Z447" s="63"/>
    </row>
    <row r="448" ht="12.0" customHeight="1">
      <c r="A448" s="63"/>
      <c r="B448" s="63"/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  <c r="Z448" s="63"/>
    </row>
    <row r="449" ht="12.0" customHeight="1">
      <c r="A449" s="63"/>
      <c r="B449" s="63"/>
      <c r="C449" s="63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  <c r="Z449" s="63"/>
    </row>
    <row r="450" ht="12.0" customHeight="1">
      <c r="A450" s="63"/>
      <c r="B450" s="63"/>
      <c r="C450" s="63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</row>
    <row r="451" ht="12.0" customHeight="1">
      <c r="A451" s="63"/>
      <c r="B451" s="63"/>
      <c r="C451" s="63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  <c r="Z451" s="63"/>
    </row>
    <row r="452" ht="12.0" customHeight="1">
      <c r="A452" s="63"/>
      <c r="B452" s="63"/>
      <c r="C452" s="63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  <c r="Z452" s="63"/>
    </row>
    <row r="453" ht="12.0" customHeight="1">
      <c r="A453" s="63"/>
      <c r="B453" s="63"/>
      <c r="C453" s="63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  <c r="Z453" s="63"/>
    </row>
    <row r="454" ht="12.0" customHeight="1">
      <c r="A454" s="63"/>
      <c r="B454" s="63"/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  <c r="Y454" s="63"/>
      <c r="Z454" s="63"/>
    </row>
    <row r="455" ht="12.0" customHeight="1">
      <c r="A455" s="63"/>
      <c r="B455" s="63"/>
      <c r="C455" s="63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  <c r="Z455" s="63"/>
    </row>
    <row r="456" ht="12.0" customHeight="1">
      <c r="A456" s="63"/>
      <c r="B456" s="63"/>
      <c r="C456" s="63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63"/>
      <c r="Z456" s="63"/>
    </row>
    <row r="457" ht="12.0" customHeight="1">
      <c r="A457" s="63"/>
      <c r="B457" s="63"/>
      <c r="C457" s="63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  <c r="Z457" s="63"/>
    </row>
    <row r="458" ht="12.0" customHeight="1">
      <c r="A458" s="63"/>
      <c r="B458" s="63"/>
      <c r="C458" s="63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  <c r="Z458" s="63"/>
    </row>
    <row r="459" ht="12.0" customHeight="1">
      <c r="A459" s="63"/>
      <c r="B459" s="63"/>
      <c r="C459" s="63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  <c r="Z459" s="63"/>
    </row>
    <row r="460" ht="12.0" customHeight="1">
      <c r="A460" s="63"/>
      <c r="B460" s="63"/>
      <c r="C460" s="63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  <c r="Y460" s="63"/>
      <c r="Z460" s="63"/>
    </row>
    <row r="461" ht="12.0" customHeight="1">
      <c r="A461" s="63"/>
      <c r="B461" s="63"/>
      <c r="C461" s="63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  <c r="Z461" s="63"/>
    </row>
    <row r="462" ht="12.0" customHeight="1">
      <c r="A462" s="63"/>
      <c r="B462" s="63"/>
      <c r="C462" s="63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  <c r="Z462" s="63"/>
    </row>
    <row r="463" ht="12.0" customHeight="1">
      <c r="A463" s="63"/>
      <c r="B463" s="63"/>
      <c r="C463" s="63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  <c r="Y463" s="63"/>
      <c r="Z463" s="63"/>
    </row>
    <row r="464" ht="12.0" customHeight="1">
      <c r="A464" s="63"/>
      <c r="B464" s="63"/>
      <c r="C464" s="63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  <c r="Y464" s="63"/>
      <c r="Z464" s="63"/>
    </row>
    <row r="465" ht="12.0" customHeight="1">
      <c r="A465" s="63"/>
      <c r="B465" s="63"/>
      <c r="C465" s="63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  <c r="Z465" s="63"/>
    </row>
    <row r="466" ht="12.0" customHeight="1">
      <c r="A466" s="63"/>
      <c r="B466" s="63"/>
      <c r="C466" s="63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  <c r="Z466" s="63"/>
    </row>
    <row r="467" ht="12.0" customHeight="1">
      <c r="A467" s="63"/>
      <c r="B467" s="63"/>
      <c r="C467" s="63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  <c r="Y467" s="63"/>
      <c r="Z467" s="63"/>
    </row>
    <row r="468" ht="12.0" customHeight="1">
      <c r="A468" s="63"/>
      <c r="B468" s="63"/>
      <c r="C468" s="63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  <c r="Z468" s="63"/>
    </row>
    <row r="469" ht="12.0" customHeight="1">
      <c r="A469" s="63"/>
      <c r="B469" s="63"/>
      <c r="C469" s="63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  <c r="Z469" s="63"/>
    </row>
    <row r="470" ht="12.0" customHeight="1">
      <c r="A470" s="63"/>
      <c r="B470" s="63"/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  <c r="Z470" s="63"/>
    </row>
    <row r="471" ht="12.0" customHeight="1">
      <c r="A471" s="63"/>
      <c r="B471" s="63"/>
      <c r="C471" s="63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  <c r="Y471" s="63"/>
      <c r="Z471" s="63"/>
    </row>
    <row r="472" ht="12.0" customHeight="1">
      <c r="A472" s="63"/>
      <c r="B472" s="63"/>
      <c r="C472" s="63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  <c r="Y472" s="63"/>
      <c r="Z472" s="63"/>
    </row>
    <row r="473" ht="12.0" customHeight="1">
      <c r="A473" s="63"/>
      <c r="B473" s="63"/>
      <c r="C473" s="63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  <c r="Z473" s="63"/>
    </row>
    <row r="474" ht="12.0" customHeight="1">
      <c r="A474" s="63"/>
      <c r="B474" s="63"/>
      <c r="C474" s="63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  <c r="Z474" s="63"/>
    </row>
    <row r="475" ht="12.0" customHeight="1">
      <c r="A475" s="63"/>
      <c r="B475" s="63"/>
      <c r="C475" s="63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  <c r="Y475" s="63"/>
      <c r="Z475" s="63"/>
    </row>
    <row r="476" ht="12.0" customHeight="1">
      <c r="A476" s="63"/>
      <c r="B476" s="63"/>
      <c r="C476" s="63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  <c r="Z476" s="63"/>
    </row>
    <row r="477" ht="12.0" customHeight="1">
      <c r="A477" s="63"/>
      <c r="B477" s="63"/>
      <c r="C477" s="63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</row>
    <row r="478" ht="12.0" customHeight="1">
      <c r="A478" s="63"/>
      <c r="B478" s="63"/>
      <c r="C478" s="63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  <c r="Y478" s="63"/>
      <c r="Z478" s="63"/>
    </row>
    <row r="479" ht="12.0" customHeight="1">
      <c r="A479" s="63"/>
      <c r="B479" s="63"/>
      <c r="C479" s="63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  <c r="Y479" s="63"/>
      <c r="Z479" s="63"/>
    </row>
    <row r="480" ht="12.0" customHeight="1">
      <c r="A480" s="63"/>
      <c r="B480" s="63"/>
      <c r="C480" s="63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  <c r="Z480" s="63"/>
    </row>
    <row r="481" ht="12.0" customHeight="1">
      <c r="A481" s="63"/>
      <c r="B481" s="63"/>
      <c r="C481" s="63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  <c r="Z481" s="63"/>
    </row>
    <row r="482" ht="12.0" customHeight="1">
      <c r="A482" s="63"/>
      <c r="B482" s="63"/>
      <c r="C482" s="63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  <c r="Y482" s="63"/>
      <c r="Z482" s="63"/>
    </row>
    <row r="483" ht="12.0" customHeight="1">
      <c r="A483" s="63"/>
      <c r="B483" s="63"/>
      <c r="C483" s="63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  <c r="Z483" s="63"/>
    </row>
    <row r="484" ht="12.0" customHeight="1">
      <c r="A484" s="63"/>
      <c r="B484" s="63"/>
      <c r="C484" s="63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  <c r="Z484" s="63"/>
    </row>
    <row r="485" ht="12.0" customHeight="1">
      <c r="A485" s="63"/>
      <c r="B485" s="63"/>
      <c r="C485" s="63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  <c r="Y485" s="63"/>
      <c r="Z485" s="63"/>
    </row>
    <row r="486" ht="12.0" customHeight="1">
      <c r="A486" s="63"/>
      <c r="B486" s="63"/>
      <c r="C486" s="63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  <c r="Z486" s="63"/>
    </row>
    <row r="487" ht="12.0" customHeight="1">
      <c r="A487" s="63"/>
      <c r="B487" s="63"/>
      <c r="C487" s="63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  <c r="Y487" s="63"/>
      <c r="Z487" s="63"/>
    </row>
    <row r="488" ht="12.0" customHeight="1">
      <c r="A488" s="63"/>
      <c r="B488" s="63"/>
      <c r="C488" s="63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  <c r="Y488" s="63"/>
      <c r="Z488" s="63"/>
    </row>
    <row r="489" ht="12.0" customHeight="1">
      <c r="A489" s="63"/>
      <c r="B489" s="63"/>
      <c r="C489" s="63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  <c r="Z489" s="63"/>
    </row>
    <row r="490" ht="12.0" customHeight="1">
      <c r="A490" s="63"/>
      <c r="B490" s="63"/>
      <c r="C490" s="63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  <c r="Z490" s="63"/>
    </row>
    <row r="491" ht="12.0" customHeight="1">
      <c r="A491" s="63"/>
      <c r="B491" s="63"/>
      <c r="C491" s="63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  <c r="Z491" s="63"/>
    </row>
    <row r="492" ht="12.0" customHeight="1">
      <c r="A492" s="63"/>
      <c r="B492" s="63"/>
      <c r="C492" s="63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  <c r="Z492" s="63"/>
    </row>
    <row r="493" ht="12.0" customHeight="1">
      <c r="A493" s="63"/>
      <c r="B493" s="63"/>
      <c r="C493" s="63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  <c r="Z493" s="63"/>
    </row>
    <row r="494" ht="12.0" customHeight="1">
      <c r="A494" s="63"/>
      <c r="B494" s="63"/>
      <c r="C494" s="63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  <c r="Y494" s="63"/>
      <c r="Z494" s="63"/>
    </row>
    <row r="495" ht="12.0" customHeight="1">
      <c r="A495" s="63"/>
      <c r="B495" s="63"/>
      <c r="C495" s="63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  <c r="Y495" s="63"/>
      <c r="Z495" s="63"/>
    </row>
    <row r="496" ht="12.0" customHeight="1">
      <c r="A496" s="63"/>
      <c r="B496" s="63"/>
      <c r="C496" s="63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  <c r="Y496" s="63"/>
      <c r="Z496" s="63"/>
    </row>
    <row r="497" ht="12.0" customHeight="1">
      <c r="A497" s="63"/>
      <c r="B497" s="63"/>
      <c r="C497" s="63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  <c r="Z497" s="63"/>
    </row>
    <row r="498" ht="12.0" customHeight="1">
      <c r="A498" s="63"/>
      <c r="B498" s="63"/>
      <c r="C498" s="63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  <c r="Z498" s="63"/>
    </row>
    <row r="499" ht="12.0" customHeight="1">
      <c r="A499" s="63"/>
      <c r="B499" s="63"/>
      <c r="C499" s="63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  <c r="Y499" s="63"/>
      <c r="Z499" s="63"/>
    </row>
    <row r="500" ht="12.0" customHeight="1">
      <c r="A500" s="63"/>
      <c r="B500" s="63"/>
      <c r="C500" s="63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  <c r="Z500" s="63"/>
    </row>
    <row r="501" ht="12.0" customHeight="1">
      <c r="A501" s="63"/>
      <c r="B501" s="63"/>
      <c r="C501" s="63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  <c r="Y501" s="63"/>
      <c r="Z501" s="63"/>
    </row>
    <row r="502" ht="12.0" customHeight="1">
      <c r="A502" s="63"/>
      <c r="B502" s="63"/>
      <c r="C502" s="63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  <c r="Z502" s="63"/>
    </row>
    <row r="503" ht="12.0" customHeight="1">
      <c r="A503" s="63"/>
      <c r="B503" s="63"/>
      <c r="C503" s="63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  <c r="Y503" s="63"/>
      <c r="Z503" s="63"/>
    </row>
    <row r="504" ht="12.0" customHeight="1">
      <c r="A504" s="63"/>
      <c r="B504" s="63"/>
      <c r="C504" s="63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  <c r="Z504" s="63"/>
    </row>
    <row r="505" ht="12.0" customHeight="1">
      <c r="A505" s="63"/>
      <c r="B505" s="63"/>
      <c r="C505" s="63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  <c r="Y505" s="63"/>
      <c r="Z505" s="63"/>
    </row>
    <row r="506" ht="12.0" customHeight="1">
      <c r="A506" s="63"/>
      <c r="B506" s="63"/>
      <c r="C506" s="63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  <c r="Y506" s="63"/>
      <c r="Z506" s="63"/>
    </row>
    <row r="507" ht="12.0" customHeight="1">
      <c r="A507" s="63"/>
      <c r="B507" s="63"/>
      <c r="C507" s="63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  <c r="Y507" s="63"/>
      <c r="Z507" s="63"/>
    </row>
    <row r="508" ht="12.0" customHeight="1">
      <c r="A508" s="63"/>
      <c r="B508" s="63"/>
      <c r="C508" s="63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  <c r="Y508" s="63"/>
      <c r="Z508" s="63"/>
    </row>
    <row r="509" ht="12.0" customHeight="1">
      <c r="A509" s="63"/>
      <c r="B509" s="63"/>
      <c r="C509" s="63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  <c r="Y509" s="63"/>
      <c r="Z509" s="63"/>
    </row>
    <row r="510" ht="12.0" customHeight="1">
      <c r="A510" s="63"/>
      <c r="B510" s="63"/>
      <c r="C510" s="63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  <c r="Z510" s="63"/>
    </row>
    <row r="511" ht="12.0" customHeight="1">
      <c r="A511" s="63"/>
      <c r="B511" s="63"/>
      <c r="C511" s="63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  <c r="Z511" s="63"/>
    </row>
    <row r="512" ht="12.0" customHeight="1">
      <c r="A512" s="63"/>
      <c r="B512" s="63"/>
      <c r="C512" s="63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  <c r="Y512" s="63"/>
      <c r="Z512" s="63"/>
    </row>
    <row r="513" ht="12.0" customHeight="1">
      <c r="A513" s="63"/>
      <c r="B513" s="63"/>
      <c r="C513" s="63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  <c r="Z513" s="63"/>
    </row>
    <row r="514" ht="12.0" customHeight="1">
      <c r="A514" s="63"/>
      <c r="B514" s="63"/>
      <c r="C514" s="63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  <c r="Y514" s="63"/>
      <c r="Z514" s="63"/>
    </row>
    <row r="515" ht="12.0" customHeight="1">
      <c r="A515" s="63"/>
      <c r="B515" s="63"/>
      <c r="C515" s="63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  <c r="Y515" s="63"/>
      <c r="Z515" s="63"/>
    </row>
    <row r="516" ht="12.0" customHeight="1">
      <c r="A516" s="63"/>
      <c r="B516" s="63"/>
      <c r="C516" s="63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  <c r="Y516" s="63"/>
      <c r="Z516" s="63"/>
    </row>
    <row r="517" ht="12.0" customHeight="1">
      <c r="A517" s="63"/>
      <c r="B517" s="63"/>
      <c r="C517" s="63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  <c r="Y517" s="63"/>
      <c r="Z517" s="63"/>
    </row>
    <row r="518" ht="12.0" customHeight="1">
      <c r="A518" s="63"/>
      <c r="B518" s="63"/>
      <c r="C518" s="63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  <c r="Y518" s="63"/>
      <c r="Z518" s="63"/>
    </row>
    <row r="519" ht="12.0" customHeight="1">
      <c r="A519" s="63"/>
      <c r="B519" s="63"/>
      <c r="C519" s="63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  <c r="Z519" s="63"/>
    </row>
    <row r="520" ht="12.0" customHeight="1">
      <c r="A520" s="63"/>
      <c r="B520" s="63"/>
      <c r="C520" s="63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  <c r="Z520" s="63"/>
    </row>
    <row r="521" ht="12.0" customHeight="1">
      <c r="A521" s="63"/>
      <c r="B521" s="63"/>
      <c r="C521" s="63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  <c r="Z521" s="63"/>
    </row>
    <row r="522" ht="12.0" customHeight="1">
      <c r="A522" s="63"/>
      <c r="B522" s="63"/>
      <c r="C522" s="63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  <c r="Z522" s="63"/>
    </row>
    <row r="523" ht="12.0" customHeight="1">
      <c r="A523" s="63"/>
      <c r="B523" s="63"/>
      <c r="C523" s="63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  <c r="Z523" s="63"/>
    </row>
    <row r="524" ht="12.0" customHeight="1">
      <c r="A524" s="63"/>
      <c r="B524" s="63"/>
      <c r="C524" s="63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  <c r="Z524" s="63"/>
    </row>
    <row r="525" ht="12.0" customHeight="1">
      <c r="A525" s="63"/>
      <c r="B525" s="63"/>
      <c r="C525" s="63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  <c r="Z525" s="63"/>
    </row>
    <row r="526" ht="12.0" customHeight="1">
      <c r="A526" s="63"/>
      <c r="B526" s="63"/>
      <c r="C526" s="63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  <c r="Z526" s="63"/>
    </row>
    <row r="527" ht="12.0" customHeight="1">
      <c r="A527" s="63"/>
      <c r="B527" s="63"/>
      <c r="C527" s="63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  <c r="Y527" s="63"/>
      <c r="Z527" s="63"/>
    </row>
    <row r="528" ht="12.0" customHeight="1">
      <c r="A528" s="63"/>
      <c r="B528" s="63"/>
      <c r="C528" s="63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  <c r="Y528" s="63"/>
      <c r="Z528" s="63"/>
    </row>
    <row r="529" ht="12.0" customHeight="1">
      <c r="A529" s="63"/>
      <c r="B529" s="63"/>
      <c r="C529" s="63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  <c r="Y529" s="63"/>
      <c r="Z529" s="63"/>
    </row>
    <row r="530" ht="12.0" customHeight="1">
      <c r="A530" s="63"/>
      <c r="B530" s="63"/>
      <c r="C530" s="63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  <c r="Z530" s="63"/>
    </row>
    <row r="531" ht="12.0" customHeight="1">
      <c r="A531" s="63"/>
      <c r="B531" s="63"/>
      <c r="C531" s="63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  <c r="Y531" s="63"/>
      <c r="Z531" s="63"/>
    </row>
    <row r="532" ht="12.0" customHeight="1">
      <c r="A532" s="63"/>
      <c r="B532" s="63"/>
      <c r="C532" s="63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  <c r="Y532" s="63"/>
      <c r="Z532" s="63"/>
    </row>
    <row r="533" ht="12.0" customHeight="1">
      <c r="A533" s="63"/>
      <c r="B533" s="63"/>
      <c r="C533" s="63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  <c r="Z533" s="63"/>
    </row>
    <row r="534" ht="12.0" customHeight="1">
      <c r="A534" s="63"/>
      <c r="B534" s="63"/>
      <c r="C534" s="63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  <c r="Z534" s="63"/>
    </row>
    <row r="535" ht="12.0" customHeight="1">
      <c r="A535" s="63"/>
      <c r="B535" s="63"/>
      <c r="C535" s="63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  <c r="Z535" s="63"/>
    </row>
    <row r="536" ht="12.0" customHeight="1">
      <c r="A536" s="63"/>
      <c r="B536" s="63"/>
      <c r="C536" s="63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  <c r="Y536" s="63"/>
      <c r="Z536" s="63"/>
    </row>
    <row r="537" ht="12.0" customHeight="1">
      <c r="A537" s="63"/>
      <c r="B537" s="63"/>
      <c r="C537" s="63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  <c r="Y537" s="63"/>
      <c r="Z537" s="63"/>
    </row>
    <row r="538" ht="12.0" customHeight="1">
      <c r="A538" s="63"/>
      <c r="B538" s="63"/>
      <c r="C538" s="63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  <c r="Y538" s="63"/>
      <c r="Z538" s="63"/>
    </row>
    <row r="539" ht="12.0" customHeight="1">
      <c r="A539" s="63"/>
      <c r="B539" s="63"/>
      <c r="C539" s="63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  <c r="Y539" s="63"/>
      <c r="Z539" s="63"/>
    </row>
    <row r="540" ht="12.0" customHeight="1">
      <c r="A540" s="63"/>
      <c r="B540" s="63"/>
      <c r="C540" s="63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  <c r="Y540" s="63"/>
      <c r="Z540" s="63"/>
    </row>
    <row r="541" ht="12.0" customHeight="1">
      <c r="A541" s="63"/>
      <c r="B541" s="63"/>
      <c r="C541" s="63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  <c r="Y541" s="63"/>
      <c r="Z541" s="63"/>
    </row>
    <row r="542" ht="12.0" customHeight="1">
      <c r="A542" s="63"/>
      <c r="B542" s="63"/>
      <c r="C542" s="63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  <c r="Y542" s="63"/>
      <c r="Z542" s="63"/>
    </row>
    <row r="543" ht="12.0" customHeight="1">
      <c r="A543" s="63"/>
      <c r="B543" s="63"/>
      <c r="C543" s="63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  <c r="Y543" s="63"/>
      <c r="Z543" s="63"/>
    </row>
    <row r="544" ht="12.0" customHeight="1">
      <c r="A544" s="63"/>
      <c r="B544" s="63"/>
      <c r="C544" s="63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  <c r="Y544" s="63"/>
      <c r="Z544" s="63"/>
    </row>
    <row r="545" ht="12.0" customHeight="1">
      <c r="A545" s="63"/>
      <c r="B545" s="63"/>
      <c r="C545" s="63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  <c r="Y545" s="63"/>
      <c r="Z545" s="63"/>
    </row>
    <row r="546" ht="12.0" customHeight="1">
      <c r="A546" s="63"/>
      <c r="B546" s="63"/>
      <c r="C546" s="63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  <c r="Z546" s="63"/>
    </row>
    <row r="547" ht="12.0" customHeight="1">
      <c r="A547" s="63"/>
      <c r="B547" s="63"/>
      <c r="C547" s="63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  <c r="Y547" s="63"/>
      <c r="Z547" s="63"/>
    </row>
    <row r="548" ht="12.0" customHeight="1">
      <c r="A548" s="63"/>
      <c r="B548" s="63"/>
      <c r="C548" s="63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  <c r="Z548" s="63"/>
    </row>
    <row r="549" ht="12.0" customHeight="1">
      <c r="A549" s="63"/>
      <c r="B549" s="63"/>
      <c r="C549" s="63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  <c r="Y549" s="63"/>
      <c r="Z549" s="63"/>
    </row>
    <row r="550" ht="12.0" customHeight="1">
      <c r="A550" s="63"/>
      <c r="B550" s="63"/>
      <c r="C550" s="63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  <c r="Y550" s="63"/>
      <c r="Z550" s="63"/>
    </row>
    <row r="551" ht="12.0" customHeight="1">
      <c r="A551" s="63"/>
      <c r="B551" s="63"/>
      <c r="C551" s="63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  <c r="Y551" s="63"/>
      <c r="Z551" s="63"/>
    </row>
    <row r="552" ht="12.0" customHeight="1">
      <c r="A552" s="63"/>
      <c r="B552" s="63"/>
      <c r="C552" s="63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  <c r="Z552" s="63"/>
    </row>
    <row r="553" ht="12.0" customHeight="1">
      <c r="A553" s="63"/>
      <c r="B553" s="63"/>
      <c r="C553" s="63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63"/>
      <c r="Z553" s="63"/>
    </row>
    <row r="554" ht="12.0" customHeight="1">
      <c r="A554" s="63"/>
      <c r="B554" s="63"/>
      <c r="C554" s="63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  <c r="Y554" s="63"/>
      <c r="Z554" s="63"/>
    </row>
    <row r="555" ht="12.0" customHeight="1">
      <c r="A555" s="63"/>
      <c r="B555" s="63"/>
      <c r="C555" s="63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  <c r="Z555" s="63"/>
    </row>
    <row r="556" ht="12.0" customHeight="1">
      <c r="A556" s="63"/>
      <c r="B556" s="63"/>
      <c r="C556" s="63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  <c r="Y556" s="63"/>
      <c r="Z556" s="63"/>
    </row>
    <row r="557" ht="12.0" customHeight="1">
      <c r="A557" s="63"/>
      <c r="B557" s="63"/>
      <c r="C557" s="63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  <c r="Z557" s="63"/>
    </row>
    <row r="558" ht="12.0" customHeight="1">
      <c r="A558" s="63"/>
      <c r="B558" s="63"/>
      <c r="C558" s="63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  <c r="Z558" s="63"/>
    </row>
    <row r="559" ht="12.0" customHeight="1">
      <c r="A559" s="63"/>
      <c r="B559" s="63"/>
      <c r="C559" s="63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  <c r="Y559" s="63"/>
      <c r="Z559" s="63"/>
    </row>
    <row r="560" ht="12.0" customHeight="1">
      <c r="A560" s="63"/>
      <c r="B560" s="63"/>
      <c r="C560" s="63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  <c r="Y560" s="63"/>
      <c r="Z560" s="63"/>
    </row>
    <row r="561" ht="12.0" customHeight="1">
      <c r="A561" s="63"/>
      <c r="B561" s="63"/>
      <c r="C561" s="63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  <c r="Y561" s="63"/>
      <c r="Z561" s="63"/>
    </row>
    <row r="562" ht="12.0" customHeight="1">
      <c r="A562" s="63"/>
      <c r="B562" s="63"/>
      <c r="C562" s="63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  <c r="Y562" s="63"/>
      <c r="Z562" s="63"/>
    </row>
    <row r="563" ht="12.0" customHeight="1">
      <c r="A563" s="63"/>
      <c r="B563" s="63"/>
      <c r="C563" s="63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  <c r="Y563" s="63"/>
      <c r="Z563" s="63"/>
    </row>
    <row r="564" ht="12.0" customHeight="1">
      <c r="A564" s="63"/>
      <c r="B564" s="63"/>
      <c r="C564" s="63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  <c r="Y564" s="63"/>
      <c r="Z564" s="63"/>
    </row>
    <row r="565" ht="12.0" customHeight="1">
      <c r="A565" s="63"/>
      <c r="B565" s="63"/>
      <c r="C565" s="63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  <c r="Z565" s="63"/>
    </row>
    <row r="566" ht="12.0" customHeight="1">
      <c r="A566" s="63"/>
      <c r="B566" s="63"/>
      <c r="C566" s="63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  <c r="Y566" s="63"/>
      <c r="Z566" s="63"/>
    </row>
    <row r="567" ht="12.0" customHeight="1">
      <c r="A567" s="63"/>
      <c r="B567" s="63"/>
      <c r="C567" s="63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  <c r="Y567" s="63"/>
      <c r="Z567" s="63"/>
    </row>
    <row r="568" ht="12.0" customHeight="1">
      <c r="A568" s="63"/>
      <c r="B568" s="63"/>
      <c r="C568" s="63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  <c r="Y568" s="63"/>
      <c r="Z568" s="63"/>
    </row>
    <row r="569" ht="12.0" customHeight="1">
      <c r="A569" s="63"/>
      <c r="B569" s="63"/>
      <c r="C569" s="63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  <c r="Z569" s="63"/>
    </row>
    <row r="570" ht="12.0" customHeight="1">
      <c r="A570" s="63"/>
      <c r="B570" s="63"/>
      <c r="C570" s="63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  <c r="Y570" s="63"/>
      <c r="Z570" s="63"/>
    </row>
    <row r="571" ht="12.0" customHeight="1">
      <c r="A571" s="63"/>
      <c r="B571" s="63"/>
      <c r="C571" s="63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  <c r="Z571" s="63"/>
    </row>
    <row r="572" ht="12.0" customHeight="1">
      <c r="A572" s="63"/>
      <c r="B572" s="63"/>
      <c r="C572" s="63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  <c r="Z572" s="63"/>
    </row>
    <row r="573" ht="12.0" customHeight="1">
      <c r="A573" s="63"/>
      <c r="B573" s="63"/>
      <c r="C573" s="63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  <c r="Z573" s="63"/>
    </row>
    <row r="574" ht="12.0" customHeight="1">
      <c r="A574" s="63"/>
      <c r="B574" s="63"/>
      <c r="C574" s="63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  <c r="Z574" s="63"/>
    </row>
    <row r="575" ht="12.0" customHeight="1">
      <c r="A575" s="63"/>
      <c r="B575" s="63"/>
      <c r="C575" s="63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  <c r="Y575" s="63"/>
      <c r="Z575" s="63"/>
    </row>
    <row r="576" ht="12.0" customHeight="1">
      <c r="A576" s="63"/>
      <c r="B576" s="63"/>
      <c r="C576" s="63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  <c r="Y576" s="63"/>
      <c r="Z576" s="63"/>
    </row>
    <row r="577" ht="12.0" customHeight="1">
      <c r="A577" s="63"/>
      <c r="B577" s="63"/>
      <c r="C577" s="63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  <c r="Z577" s="63"/>
    </row>
    <row r="578" ht="12.0" customHeight="1">
      <c r="A578" s="63"/>
      <c r="B578" s="63"/>
      <c r="C578" s="63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  <c r="Y578" s="63"/>
      <c r="Z578" s="63"/>
    </row>
    <row r="579" ht="12.0" customHeight="1">
      <c r="A579" s="63"/>
      <c r="B579" s="63"/>
      <c r="C579" s="63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  <c r="Y579" s="63"/>
      <c r="Z579" s="63"/>
    </row>
    <row r="580" ht="12.0" customHeight="1">
      <c r="A580" s="63"/>
      <c r="B580" s="63"/>
      <c r="C580" s="63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  <c r="Y580" s="63"/>
      <c r="Z580" s="63"/>
    </row>
    <row r="581" ht="12.0" customHeight="1">
      <c r="A581" s="63"/>
      <c r="B581" s="63"/>
      <c r="C581" s="63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  <c r="Y581" s="63"/>
      <c r="Z581" s="63"/>
    </row>
    <row r="582" ht="12.0" customHeight="1">
      <c r="A582" s="63"/>
      <c r="B582" s="63"/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  <c r="Z582" s="63"/>
    </row>
    <row r="583" ht="12.0" customHeight="1">
      <c r="A583" s="63"/>
      <c r="B583" s="63"/>
      <c r="C583" s="63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  <c r="Y583" s="63"/>
      <c r="Z583" s="63"/>
    </row>
    <row r="584" ht="12.0" customHeight="1">
      <c r="A584" s="63"/>
      <c r="B584" s="63"/>
      <c r="C584" s="63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  <c r="Y584" s="63"/>
      <c r="Z584" s="63"/>
    </row>
    <row r="585" ht="12.0" customHeight="1">
      <c r="A585" s="63"/>
      <c r="B585" s="63"/>
      <c r="C585" s="63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  <c r="Y585" s="63"/>
      <c r="Z585" s="63"/>
    </row>
    <row r="586" ht="12.0" customHeight="1">
      <c r="A586" s="63"/>
      <c r="B586" s="63"/>
      <c r="C586" s="63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  <c r="Y586" s="63"/>
      <c r="Z586" s="63"/>
    </row>
    <row r="587" ht="12.0" customHeight="1">
      <c r="A587" s="63"/>
      <c r="B587" s="63"/>
      <c r="C587" s="63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  <c r="Y587" s="63"/>
      <c r="Z587" s="63"/>
    </row>
    <row r="588" ht="12.0" customHeight="1">
      <c r="A588" s="63"/>
      <c r="B588" s="63"/>
      <c r="C588" s="63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  <c r="Y588" s="63"/>
      <c r="Z588" s="63"/>
    </row>
    <row r="589" ht="12.0" customHeight="1">
      <c r="A589" s="63"/>
      <c r="B589" s="63"/>
      <c r="C589" s="63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  <c r="Y589" s="63"/>
      <c r="Z589" s="63"/>
    </row>
    <row r="590" ht="12.0" customHeight="1">
      <c r="A590" s="63"/>
      <c r="B590" s="63"/>
      <c r="C590" s="63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  <c r="Y590" s="63"/>
      <c r="Z590" s="63"/>
    </row>
    <row r="591" ht="12.0" customHeight="1">
      <c r="A591" s="63"/>
      <c r="B591" s="63"/>
      <c r="C591" s="63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  <c r="Y591" s="63"/>
      <c r="Z591" s="63"/>
    </row>
    <row r="592" ht="12.0" customHeight="1">
      <c r="A592" s="63"/>
      <c r="B592" s="63"/>
      <c r="C592" s="63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  <c r="Y592" s="63"/>
      <c r="Z592" s="63"/>
    </row>
    <row r="593" ht="12.0" customHeight="1">
      <c r="A593" s="63"/>
      <c r="B593" s="63"/>
      <c r="C593" s="63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  <c r="Y593" s="63"/>
      <c r="Z593" s="63"/>
    </row>
    <row r="594" ht="12.0" customHeight="1">
      <c r="A594" s="63"/>
      <c r="B594" s="63"/>
      <c r="C594" s="63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  <c r="Y594" s="63"/>
      <c r="Z594" s="63"/>
    </row>
    <row r="595" ht="12.0" customHeight="1">
      <c r="A595" s="63"/>
      <c r="B595" s="63"/>
      <c r="C595" s="63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  <c r="Z595" s="63"/>
    </row>
    <row r="596" ht="12.0" customHeight="1">
      <c r="A596" s="63"/>
      <c r="B596" s="63"/>
      <c r="C596" s="63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  <c r="Y596" s="63"/>
      <c r="Z596" s="63"/>
    </row>
    <row r="597" ht="12.0" customHeight="1">
      <c r="A597" s="63"/>
      <c r="B597" s="63"/>
      <c r="C597" s="63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  <c r="Z597" s="63"/>
    </row>
    <row r="598" ht="12.0" customHeight="1">
      <c r="A598" s="63"/>
      <c r="B598" s="63"/>
      <c r="C598" s="63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  <c r="Y598" s="63"/>
      <c r="Z598" s="63"/>
    </row>
    <row r="599" ht="12.0" customHeight="1">
      <c r="A599" s="63"/>
      <c r="B599" s="63"/>
      <c r="C599" s="63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  <c r="Y599" s="63"/>
      <c r="Z599" s="63"/>
    </row>
    <row r="600" ht="12.0" customHeight="1">
      <c r="A600" s="63"/>
      <c r="B600" s="63"/>
      <c r="C600" s="63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  <c r="Y600" s="63"/>
      <c r="Z600" s="63"/>
    </row>
    <row r="601" ht="12.0" customHeight="1">
      <c r="A601" s="63"/>
      <c r="B601" s="63"/>
      <c r="C601" s="63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  <c r="Z601" s="63"/>
    </row>
    <row r="602" ht="12.0" customHeight="1">
      <c r="A602" s="63"/>
      <c r="B602" s="63"/>
      <c r="C602" s="63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  <c r="Y602" s="63"/>
      <c r="Z602" s="63"/>
    </row>
    <row r="603" ht="12.0" customHeight="1">
      <c r="A603" s="63"/>
      <c r="B603" s="63"/>
      <c r="C603" s="63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  <c r="Y603" s="63"/>
      <c r="Z603" s="63"/>
    </row>
    <row r="604" ht="12.0" customHeight="1">
      <c r="A604" s="63"/>
      <c r="B604" s="63"/>
      <c r="C604" s="63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  <c r="Z604" s="63"/>
    </row>
    <row r="605" ht="12.0" customHeight="1">
      <c r="A605" s="63"/>
      <c r="B605" s="63"/>
      <c r="C605" s="63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  <c r="Y605" s="63"/>
      <c r="Z605" s="63"/>
    </row>
    <row r="606" ht="12.0" customHeight="1">
      <c r="A606" s="63"/>
      <c r="B606" s="63"/>
      <c r="C606" s="63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  <c r="Z606" s="63"/>
    </row>
    <row r="607" ht="12.0" customHeight="1">
      <c r="A607" s="63"/>
      <c r="B607" s="63"/>
      <c r="C607" s="63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  <c r="Z607" s="63"/>
    </row>
    <row r="608" ht="12.0" customHeight="1">
      <c r="A608" s="63"/>
      <c r="B608" s="63"/>
      <c r="C608" s="63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/>
    </row>
    <row r="609" ht="12.0" customHeight="1">
      <c r="A609" s="63"/>
      <c r="B609" s="63"/>
      <c r="C609" s="63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  <c r="Z609" s="63"/>
    </row>
    <row r="610" ht="12.0" customHeight="1">
      <c r="A610" s="63"/>
      <c r="B610" s="63"/>
      <c r="C610" s="63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  <c r="Z610" s="63"/>
    </row>
    <row r="611" ht="12.0" customHeight="1">
      <c r="A611" s="63"/>
      <c r="B611" s="63"/>
      <c r="C611" s="63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  <c r="Z611" s="63"/>
    </row>
    <row r="612" ht="12.0" customHeight="1">
      <c r="A612" s="63"/>
      <c r="B612" s="63"/>
      <c r="C612" s="63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  <c r="Z612" s="63"/>
    </row>
    <row r="613" ht="12.0" customHeight="1">
      <c r="A613" s="63"/>
      <c r="B613" s="63"/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  <c r="Z613" s="63"/>
    </row>
    <row r="614" ht="12.0" customHeight="1">
      <c r="A614" s="63"/>
      <c r="B614" s="63"/>
      <c r="C614" s="63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  <c r="Z614" s="63"/>
    </row>
    <row r="615" ht="12.0" customHeight="1">
      <c r="A615" s="63"/>
      <c r="B615" s="63"/>
      <c r="C615" s="63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  <c r="Z615" s="63"/>
    </row>
    <row r="616" ht="12.0" customHeight="1">
      <c r="A616" s="63"/>
      <c r="B616" s="63"/>
      <c r="C616" s="63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  <c r="Y616" s="63"/>
      <c r="Z616" s="63"/>
    </row>
    <row r="617" ht="12.0" customHeight="1">
      <c r="A617" s="63"/>
      <c r="B617" s="63"/>
      <c r="C617" s="63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  <c r="Y617" s="63"/>
      <c r="Z617" s="63"/>
    </row>
    <row r="618" ht="12.0" customHeight="1">
      <c r="A618" s="63"/>
      <c r="B618" s="63"/>
      <c r="C618" s="63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  <c r="Y618" s="63"/>
      <c r="Z618" s="63"/>
    </row>
    <row r="619" ht="12.0" customHeight="1">
      <c r="A619" s="63"/>
      <c r="B619" s="63"/>
      <c r="C619" s="63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  <c r="Z619" s="63"/>
    </row>
    <row r="620" ht="12.0" customHeight="1">
      <c r="A620" s="63"/>
      <c r="B620" s="63"/>
      <c r="C620" s="63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  <c r="Y620" s="63"/>
      <c r="Z620" s="63"/>
    </row>
    <row r="621" ht="12.0" customHeight="1">
      <c r="A621" s="63"/>
      <c r="B621" s="63"/>
      <c r="C621" s="63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  <c r="Y621" s="63"/>
      <c r="Z621" s="63"/>
    </row>
    <row r="622" ht="12.0" customHeight="1">
      <c r="A622" s="63"/>
      <c r="B622" s="63"/>
      <c r="C622" s="63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  <c r="Z622" s="63"/>
    </row>
    <row r="623" ht="12.0" customHeight="1">
      <c r="A623" s="63"/>
      <c r="B623" s="63"/>
      <c r="C623" s="63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  <c r="Z623" s="63"/>
    </row>
    <row r="624" ht="12.0" customHeight="1">
      <c r="A624" s="63"/>
      <c r="B624" s="63"/>
      <c r="C624" s="63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  <c r="Z624" s="63"/>
    </row>
    <row r="625" ht="12.0" customHeight="1">
      <c r="A625" s="63"/>
      <c r="B625" s="63"/>
      <c r="C625" s="63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  <c r="Z625" s="63"/>
    </row>
    <row r="626" ht="12.0" customHeight="1">
      <c r="A626" s="63"/>
      <c r="B626" s="63"/>
      <c r="C626" s="63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  <c r="Y626" s="63"/>
      <c r="Z626" s="63"/>
    </row>
    <row r="627" ht="12.0" customHeight="1">
      <c r="A627" s="63"/>
      <c r="B627" s="63"/>
      <c r="C627" s="63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  <c r="Z627" s="63"/>
    </row>
    <row r="628" ht="12.0" customHeight="1">
      <c r="A628" s="63"/>
      <c r="B628" s="63"/>
      <c r="C628" s="63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  <c r="Y628" s="63"/>
      <c r="Z628" s="63"/>
    </row>
    <row r="629" ht="12.0" customHeight="1">
      <c r="A629" s="63"/>
      <c r="B629" s="63"/>
      <c r="C629" s="63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  <c r="Y629" s="63"/>
      <c r="Z629" s="63"/>
    </row>
    <row r="630" ht="12.0" customHeight="1">
      <c r="A630" s="63"/>
      <c r="B630" s="63"/>
      <c r="C630" s="63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  <c r="Y630" s="63"/>
      <c r="Z630" s="63"/>
    </row>
    <row r="631" ht="12.0" customHeight="1">
      <c r="A631" s="63"/>
      <c r="B631" s="63"/>
      <c r="C631" s="63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  <c r="Y631" s="63"/>
      <c r="Z631" s="63"/>
    </row>
    <row r="632" ht="12.0" customHeight="1">
      <c r="A632" s="63"/>
      <c r="B632" s="63"/>
      <c r="C632" s="63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  <c r="Y632" s="63"/>
      <c r="Z632" s="63"/>
    </row>
    <row r="633" ht="12.0" customHeight="1">
      <c r="A633" s="63"/>
      <c r="B633" s="63"/>
      <c r="C633" s="63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  <c r="Y633" s="63"/>
      <c r="Z633" s="63"/>
    </row>
    <row r="634" ht="12.0" customHeight="1">
      <c r="A634" s="63"/>
      <c r="B634" s="63"/>
      <c r="C634" s="63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  <c r="Y634" s="63"/>
      <c r="Z634" s="63"/>
    </row>
    <row r="635" ht="12.0" customHeight="1">
      <c r="A635" s="63"/>
      <c r="B635" s="63"/>
      <c r="C635" s="63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  <c r="Y635" s="63"/>
      <c r="Z635" s="63"/>
    </row>
    <row r="636" ht="12.0" customHeight="1">
      <c r="A636" s="63"/>
      <c r="B636" s="63"/>
      <c r="C636" s="63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  <c r="Y636" s="63"/>
      <c r="Z636" s="63"/>
    </row>
    <row r="637" ht="12.0" customHeight="1">
      <c r="A637" s="63"/>
      <c r="B637" s="63"/>
      <c r="C637" s="63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  <c r="Y637" s="63"/>
      <c r="Z637" s="63"/>
    </row>
    <row r="638" ht="12.0" customHeight="1">
      <c r="A638" s="63"/>
      <c r="B638" s="63"/>
      <c r="C638" s="63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  <c r="Y638" s="63"/>
      <c r="Z638" s="63"/>
    </row>
    <row r="639" ht="12.0" customHeight="1">
      <c r="A639" s="63"/>
      <c r="B639" s="63"/>
      <c r="C639" s="63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  <c r="Y639" s="63"/>
      <c r="Z639" s="63"/>
    </row>
    <row r="640" ht="12.0" customHeight="1">
      <c r="A640" s="63"/>
      <c r="B640" s="63"/>
      <c r="C640" s="63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  <c r="Y640" s="63"/>
      <c r="Z640" s="63"/>
    </row>
    <row r="641" ht="12.0" customHeight="1">
      <c r="A641" s="63"/>
      <c r="B641" s="63"/>
      <c r="C641" s="63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  <c r="Y641" s="63"/>
      <c r="Z641" s="63"/>
    </row>
    <row r="642" ht="12.0" customHeight="1">
      <c r="A642" s="63"/>
      <c r="B642" s="63"/>
      <c r="C642" s="63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  <c r="Y642" s="63"/>
      <c r="Z642" s="63"/>
    </row>
    <row r="643" ht="12.0" customHeight="1">
      <c r="A643" s="63"/>
      <c r="B643" s="63"/>
      <c r="C643" s="63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  <c r="Y643" s="63"/>
      <c r="Z643" s="63"/>
    </row>
    <row r="644" ht="12.0" customHeight="1">
      <c r="A644" s="63"/>
      <c r="B644" s="63"/>
      <c r="C644" s="63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  <c r="Y644" s="63"/>
      <c r="Z644" s="63"/>
    </row>
    <row r="645" ht="12.0" customHeight="1">
      <c r="A645" s="63"/>
      <c r="B645" s="63"/>
      <c r="C645" s="63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  <c r="Z645" s="63"/>
    </row>
    <row r="646" ht="12.0" customHeight="1">
      <c r="A646" s="63"/>
      <c r="B646" s="63"/>
      <c r="C646" s="63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  <c r="Y646" s="63"/>
      <c r="Z646" s="63"/>
    </row>
    <row r="647" ht="12.0" customHeight="1">
      <c r="A647" s="63"/>
      <c r="B647" s="63"/>
      <c r="C647" s="63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  <c r="Z647" s="63"/>
    </row>
    <row r="648" ht="12.0" customHeight="1">
      <c r="A648" s="63"/>
      <c r="B648" s="63"/>
      <c r="C648" s="63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  <c r="Z648" s="63"/>
    </row>
    <row r="649" ht="12.0" customHeight="1">
      <c r="A649" s="63"/>
      <c r="B649" s="63"/>
      <c r="C649" s="63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  <c r="Y649" s="63"/>
      <c r="Z649" s="63"/>
    </row>
    <row r="650" ht="12.0" customHeight="1">
      <c r="A650" s="63"/>
      <c r="B650" s="63"/>
      <c r="C650" s="63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  <c r="Z650" s="63"/>
    </row>
    <row r="651" ht="12.0" customHeight="1">
      <c r="A651" s="63"/>
      <c r="B651" s="63"/>
      <c r="C651" s="63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  <c r="Y651" s="63"/>
      <c r="Z651" s="63"/>
    </row>
    <row r="652" ht="12.0" customHeight="1">
      <c r="A652" s="63"/>
      <c r="B652" s="63"/>
      <c r="C652" s="63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  <c r="Z652" s="63"/>
    </row>
    <row r="653" ht="12.0" customHeight="1">
      <c r="A653" s="63"/>
      <c r="B653" s="63"/>
      <c r="C653" s="63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  <c r="Y653" s="63"/>
      <c r="Z653" s="63"/>
    </row>
    <row r="654" ht="12.0" customHeight="1">
      <c r="A654" s="63"/>
      <c r="B654" s="63"/>
      <c r="C654" s="63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  <c r="Z654" s="63"/>
    </row>
    <row r="655" ht="12.0" customHeight="1">
      <c r="A655" s="63"/>
      <c r="B655" s="63"/>
      <c r="C655" s="63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  <c r="Y655" s="63"/>
      <c r="Z655" s="63"/>
    </row>
    <row r="656" ht="12.0" customHeight="1">
      <c r="A656" s="63"/>
      <c r="B656" s="63"/>
      <c r="C656" s="63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  <c r="Y656" s="63"/>
      <c r="Z656" s="63"/>
    </row>
    <row r="657" ht="12.0" customHeight="1">
      <c r="A657" s="63"/>
      <c r="B657" s="63"/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  <c r="Z657" s="63"/>
    </row>
    <row r="658" ht="12.0" customHeight="1">
      <c r="A658" s="63"/>
      <c r="B658" s="63"/>
      <c r="C658" s="63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  <c r="Y658" s="63"/>
      <c r="Z658" s="63"/>
    </row>
    <row r="659" ht="12.0" customHeight="1">
      <c r="A659" s="63"/>
      <c r="B659" s="63"/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  <c r="Y659" s="63"/>
      <c r="Z659" s="63"/>
    </row>
    <row r="660" ht="12.0" customHeight="1">
      <c r="A660" s="63"/>
      <c r="B660" s="63"/>
      <c r="C660" s="63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  <c r="Y660" s="63"/>
      <c r="Z660" s="63"/>
    </row>
    <row r="661" ht="12.0" customHeight="1">
      <c r="A661" s="63"/>
      <c r="B661" s="63"/>
      <c r="C661" s="63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  <c r="Z661" s="63"/>
    </row>
    <row r="662" ht="12.0" customHeight="1">
      <c r="A662" s="63"/>
      <c r="B662" s="63"/>
      <c r="C662" s="63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  <c r="Z662" s="63"/>
    </row>
    <row r="663" ht="12.0" customHeight="1">
      <c r="A663" s="63"/>
      <c r="B663" s="63"/>
      <c r="C663" s="63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  <c r="Z663" s="63"/>
    </row>
    <row r="664" ht="12.0" customHeight="1">
      <c r="A664" s="63"/>
      <c r="B664" s="63"/>
      <c r="C664" s="63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  <c r="Z664" s="63"/>
    </row>
    <row r="665" ht="12.0" customHeight="1">
      <c r="A665" s="63"/>
      <c r="B665" s="63"/>
      <c r="C665" s="63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  <c r="Y665" s="63"/>
      <c r="Z665" s="63"/>
    </row>
    <row r="666" ht="12.0" customHeight="1">
      <c r="A666" s="63"/>
      <c r="B666" s="63"/>
      <c r="C666" s="63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  <c r="Z666" s="63"/>
    </row>
    <row r="667" ht="12.0" customHeight="1">
      <c r="A667" s="63"/>
      <c r="B667" s="63"/>
      <c r="C667" s="63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63"/>
      <c r="Z667" s="63"/>
    </row>
    <row r="668" ht="12.0" customHeight="1">
      <c r="A668" s="63"/>
      <c r="B668" s="63"/>
      <c r="C668" s="63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  <c r="Z668" s="63"/>
    </row>
    <row r="669" ht="12.0" customHeight="1">
      <c r="A669" s="63"/>
      <c r="B669" s="63"/>
      <c r="C669" s="63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  <c r="Z669" s="63"/>
    </row>
    <row r="670" ht="12.0" customHeight="1">
      <c r="A670" s="63"/>
      <c r="B670" s="63"/>
      <c r="C670" s="63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  <c r="Y670" s="63"/>
      <c r="Z670" s="63"/>
    </row>
    <row r="671" ht="12.0" customHeight="1">
      <c r="A671" s="63"/>
      <c r="B671" s="63"/>
      <c r="C671" s="63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  <c r="Z671" s="63"/>
    </row>
    <row r="672" ht="12.0" customHeight="1">
      <c r="A672" s="63"/>
      <c r="B672" s="63"/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  <c r="Y672" s="63"/>
      <c r="Z672" s="63"/>
    </row>
    <row r="673" ht="12.0" customHeight="1">
      <c r="A673" s="63"/>
      <c r="B673" s="63"/>
      <c r="C673" s="63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  <c r="Z673" s="63"/>
    </row>
    <row r="674" ht="12.0" customHeight="1">
      <c r="A674" s="63"/>
      <c r="B674" s="63"/>
      <c r="C674" s="63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  <c r="Y674" s="63"/>
      <c r="Z674" s="63"/>
    </row>
    <row r="675" ht="12.0" customHeight="1">
      <c r="A675" s="63"/>
      <c r="B675" s="63"/>
      <c r="C675" s="63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  <c r="Z675" s="63"/>
    </row>
    <row r="676" ht="12.0" customHeight="1">
      <c r="A676" s="63"/>
      <c r="B676" s="63"/>
      <c r="C676" s="63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  <c r="Y676" s="63"/>
      <c r="Z676" s="63"/>
    </row>
    <row r="677" ht="12.0" customHeight="1">
      <c r="A677" s="63"/>
      <c r="B677" s="63"/>
      <c r="C677" s="63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  <c r="Y677" s="63"/>
      <c r="Z677" s="63"/>
    </row>
    <row r="678" ht="12.0" customHeight="1">
      <c r="A678" s="63"/>
      <c r="B678" s="63"/>
      <c r="C678" s="63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  <c r="Y678" s="63"/>
      <c r="Z678" s="63"/>
    </row>
    <row r="679" ht="12.0" customHeight="1">
      <c r="A679" s="63"/>
      <c r="B679" s="63"/>
      <c r="C679" s="63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  <c r="Y679" s="63"/>
      <c r="Z679" s="63"/>
    </row>
    <row r="680" ht="12.0" customHeight="1">
      <c r="A680" s="63"/>
      <c r="B680" s="63"/>
      <c r="C680" s="63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  <c r="Y680" s="63"/>
      <c r="Z680" s="63"/>
    </row>
    <row r="681" ht="12.0" customHeight="1">
      <c r="A681" s="63"/>
      <c r="B681" s="63"/>
      <c r="C681" s="63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  <c r="Y681" s="63"/>
      <c r="Z681" s="63"/>
    </row>
    <row r="682" ht="12.0" customHeight="1">
      <c r="A682" s="63"/>
      <c r="B682" s="63"/>
      <c r="C682" s="63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  <c r="Y682" s="63"/>
      <c r="Z682" s="63"/>
    </row>
    <row r="683" ht="12.0" customHeight="1">
      <c r="A683" s="63"/>
      <c r="B683" s="63"/>
      <c r="C683" s="63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  <c r="Y683" s="63"/>
      <c r="Z683" s="63"/>
    </row>
    <row r="684" ht="12.0" customHeight="1">
      <c r="A684" s="63"/>
      <c r="B684" s="63"/>
      <c r="C684" s="63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  <c r="Y684" s="63"/>
      <c r="Z684" s="63"/>
    </row>
    <row r="685" ht="12.0" customHeight="1">
      <c r="A685" s="63"/>
      <c r="B685" s="63"/>
      <c r="C685" s="63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  <c r="Y685" s="63"/>
      <c r="Z685" s="63"/>
    </row>
    <row r="686" ht="12.0" customHeight="1">
      <c r="A686" s="63"/>
      <c r="B686" s="63"/>
      <c r="C686" s="63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  <c r="Y686" s="63"/>
      <c r="Z686" s="63"/>
    </row>
    <row r="687" ht="12.0" customHeight="1">
      <c r="A687" s="63"/>
      <c r="B687" s="63"/>
      <c r="C687" s="63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  <c r="Y687" s="63"/>
      <c r="Z687" s="63"/>
    </row>
    <row r="688" ht="12.0" customHeight="1">
      <c r="A688" s="63"/>
      <c r="B688" s="63"/>
      <c r="C688" s="63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  <c r="Y688" s="63"/>
      <c r="Z688" s="63"/>
    </row>
    <row r="689" ht="12.0" customHeight="1">
      <c r="A689" s="63"/>
      <c r="B689" s="63"/>
      <c r="C689" s="63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  <c r="Y689" s="63"/>
      <c r="Z689" s="63"/>
    </row>
    <row r="690" ht="12.0" customHeight="1">
      <c r="A690" s="63"/>
      <c r="B690" s="63"/>
      <c r="C690" s="63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  <c r="Y690" s="63"/>
      <c r="Z690" s="63"/>
    </row>
    <row r="691" ht="12.0" customHeight="1">
      <c r="A691" s="63"/>
      <c r="B691" s="63"/>
      <c r="C691" s="63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  <c r="Y691" s="63"/>
      <c r="Z691" s="63"/>
    </row>
    <row r="692" ht="12.0" customHeight="1">
      <c r="A692" s="63"/>
      <c r="B692" s="63"/>
      <c r="C692" s="63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  <c r="Y692" s="63"/>
      <c r="Z692" s="63"/>
    </row>
    <row r="693" ht="12.0" customHeight="1">
      <c r="A693" s="63"/>
      <c r="B693" s="63"/>
      <c r="C693" s="63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  <c r="Y693" s="63"/>
      <c r="Z693" s="63"/>
    </row>
    <row r="694" ht="12.0" customHeight="1">
      <c r="A694" s="63"/>
      <c r="B694" s="63"/>
      <c r="C694" s="63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  <c r="Y694" s="63"/>
      <c r="Z694" s="63"/>
    </row>
    <row r="695" ht="12.0" customHeight="1">
      <c r="A695" s="63"/>
      <c r="B695" s="63"/>
      <c r="C695" s="63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  <c r="Z695" s="63"/>
    </row>
    <row r="696" ht="12.0" customHeight="1">
      <c r="A696" s="63"/>
      <c r="B696" s="63"/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  <c r="Z696" s="63"/>
    </row>
    <row r="697" ht="12.0" customHeight="1">
      <c r="A697" s="63"/>
      <c r="B697" s="63"/>
      <c r="C697" s="63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  <c r="Z697" s="63"/>
    </row>
    <row r="698" ht="12.0" customHeight="1">
      <c r="A698" s="63"/>
      <c r="B698" s="63"/>
      <c r="C698" s="63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  <c r="Z698" s="63"/>
    </row>
    <row r="699" ht="12.0" customHeight="1">
      <c r="A699" s="63"/>
      <c r="B699" s="63"/>
      <c r="C699" s="63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  <c r="Z699" s="63"/>
    </row>
    <row r="700" ht="12.0" customHeight="1">
      <c r="A700" s="63"/>
      <c r="B700" s="63"/>
      <c r="C700" s="63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  <c r="Z700" s="63"/>
    </row>
    <row r="701" ht="12.0" customHeight="1">
      <c r="A701" s="63"/>
      <c r="B701" s="63"/>
      <c r="C701" s="63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  <c r="Z701" s="63"/>
    </row>
    <row r="702" ht="12.0" customHeight="1">
      <c r="A702" s="63"/>
      <c r="B702" s="63"/>
      <c r="C702" s="63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  <c r="Z702" s="63"/>
    </row>
    <row r="703" ht="12.0" customHeight="1">
      <c r="A703" s="63"/>
      <c r="B703" s="63"/>
      <c r="C703" s="63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  <c r="Z703" s="63"/>
    </row>
    <row r="704" ht="12.0" customHeight="1">
      <c r="A704" s="63"/>
      <c r="B704" s="63"/>
      <c r="C704" s="63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  <c r="Z704" s="63"/>
    </row>
    <row r="705" ht="12.0" customHeight="1">
      <c r="A705" s="63"/>
      <c r="B705" s="63"/>
      <c r="C705" s="63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  <c r="Y705" s="63"/>
      <c r="Z705" s="63"/>
    </row>
    <row r="706" ht="12.0" customHeight="1">
      <c r="A706" s="63"/>
      <c r="B706" s="63"/>
      <c r="C706" s="63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  <c r="Y706" s="63"/>
      <c r="Z706" s="63"/>
    </row>
    <row r="707" ht="12.0" customHeight="1">
      <c r="A707" s="63"/>
      <c r="B707" s="63"/>
      <c r="C707" s="63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  <c r="Y707" s="63"/>
      <c r="Z707" s="63"/>
    </row>
    <row r="708" ht="12.0" customHeight="1">
      <c r="A708" s="63"/>
      <c r="B708" s="63"/>
      <c r="C708" s="63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  <c r="Y708" s="63"/>
      <c r="Z708" s="63"/>
    </row>
    <row r="709" ht="12.0" customHeight="1">
      <c r="A709" s="63"/>
      <c r="B709" s="63"/>
      <c r="C709" s="63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  <c r="Y709" s="63"/>
      <c r="Z709" s="63"/>
    </row>
    <row r="710" ht="12.0" customHeight="1">
      <c r="A710" s="63"/>
      <c r="B710" s="63"/>
      <c r="C710" s="63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  <c r="Y710" s="63"/>
      <c r="Z710" s="63"/>
    </row>
    <row r="711" ht="12.0" customHeight="1">
      <c r="A711" s="63"/>
      <c r="B711" s="63"/>
      <c r="C711" s="63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  <c r="Z711" s="63"/>
    </row>
    <row r="712" ht="12.0" customHeight="1">
      <c r="A712" s="63"/>
      <c r="B712" s="63"/>
      <c r="C712" s="63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  <c r="Z712" s="63"/>
    </row>
    <row r="713" ht="12.0" customHeight="1">
      <c r="A713" s="63"/>
      <c r="B713" s="63"/>
      <c r="C713" s="63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  <c r="Z713" s="63"/>
    </row>
    <row r="714" ht="12.0" customHeight="1">
      <c r="A714" s="63"/>
      <c r="B714" s="63"/>
      <c r="C714" s="63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  <c r="Y714" s="63"/>
      <c r="Z714" s="63"/>
    </row>
    <row r="715" ht="12.0" customHeight="1">
      <c r="A715" s="63"/>
      <c r="B715" s="63"/>
      <c r="C715" s="63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  <c r="Y715" s="63"/>
      <c r="Z715" s="63"/>
    </row>
    <row r="716" ht="12.0" customHeight="1">
      <c r="A716" s="63"/>
      <c r="B716" s="63"/>
      <c r="C716" s="63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  <c r="Y716" s="63"/>
      <c r="Z716" s="63"/>
    </row>
    <row r="717" ht="12.0" customHeight="1">
      <c r="A717" s="63"/>
      <c r="B717" s="63"/>
      <c r="C717" s="63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  <c r="Z717" s="63"/>
    </row>
    <row r="718" ht="12.0" customHeight="1">
      <c r="A718" s="63"/>
      <c r="B718" s="63"/>
      <c r="C718" s="63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  <c r="Y718" s="63"/>
      <c r="Z718" s="63"/>
    </row>
    <row r="719" ht="12.0" customHeight="1">
      <c r="A719" s="63"/>
      <c r="B719" s="63"/>
      <c r="C719" s="63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  <c r="Z719" s="63"/>
    </row>
    <row r="720" ht="12.0" customHeight="1">
      <c r="A720" s="63"/>
      <c r="B720" s="63"/>
      <c r="C720" s="63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  <c r="Z720" s="63"/>
    </row>
    <row r="721" ht="12.0" customHeight="1">
      <c r="A721" s="63"/>
      <c r="B721" s="63"/>
      <c r="C721" s="63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  <c r="Y721" s="63"/>
      <c r="Z721" s="63"/>
    </row>
    <row r="722" ht="12.0" customHeight="1">
      <c r="A722" s="63"/>
      <c r="B722" s="63"/>
      <c r="C722" s="63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  <c r="Y722" s="63"/>
      <c r="Z722" s="63"/>
    </row>
    <row r="723" ht="12.0" customHeight="1">
      <c r="A723" s="63"/>
      <c r="B723" s="63"/>
      <c r="C723" s="63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  <c r="Y723" s="63"/>
      <c r="Z723" s="63"/>
    </row>
    <row r="724" ht="12.0" customHeight="1">
      <c r="A724" s="63"/>
      <c r="B724" s="63"/>
      <c r="C724" s="63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  <c r="Y724" s="63"/>
      <c r="Z724" s="63"/>
    </row>
    <row r="725" ht="12.0" customHeight="1">
      <c r="A725" s="63"/>
      <c r="B725" s="63"/>
      <c r="C725" s="63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  <c r="Y725" s="63"/>
      <c r="Z725" s="63"/>
    </row>
    <row r="726" ht="12.0" customHeight="1">
      <c r="A726" s="63"/>
      <c r="B726" s="63"/>
      <c r="C726" s="63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  <c r="Y726" s="63"/>
      <c r="Z726" s="63"/>
    </row>
    <row r="727" ht="12.0" customHeight="1">
      <c r="A727" s="63"/>
      <c r="B727" s="63"/>
      <c r="C727" s="63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  <c r="Y727" s="63"/>
      <c r="Z727" s="63"/>
    </row>
    <row r="728" ht="12.0" customHeight="1">
      <c r="A728" s="63"/>
      <c r="B728" s="63"/>
      <c r="C728" s="63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  <c r="Y728" s="63"/>
      <c r="Z728" s="63"/>
    </row>
    <row r="729" ht="12.0" customHeight="1">
      <c r="A729" s="63"/>
      <c r="B729" s="63"/>
      <c r="C729" s="63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  <c r="Y729" s="63"/>
      <c r="Z729" s="63"/>
    </row>
    <row r="730" ht="12.0" customHeight="1">
      <c r="A730" s="63"/>
      <c r="B730" s="63"/>
      <c r="C730" s="63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  <c r="Y730" s="63"/>
      <c r="Z730" s="63"/>
    </row>
    <row r="731" ht="12.0" customHeight="1">
      <c r="A731" s="63"/>
      <c r="B731" s="63"/>
      <c r="C731" s="63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  <c r="Y731" s="63"/>
      <c r="Z731" s="63"/>
    </row>
    <row r="732" ht="12.0" customHeight="1">
      <c r="A732" s="63"/>
      <c r="B732" s="63"/>
      <c r="C732" s="63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  <c r="Y732" s="63"/>
      <c r="Z732" s="63"/>
    </row>
    <row r="733" ht="12.0" customHeight="1">
      <c r="A733" s="63"/>
      <c r="B733" s="63"/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  <c r="Y733" s="63"/>
      <c r="Z733" s="63"/>
    </row>
    <row r="734" ht="12.0" customHeight="1">
      <c r="A734" s="63"/>
      <c r="B734" s="63"/>
      <c r="C734" s="63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  <c r="Y734" s="63"/>
      <c r="Z734" s="63"/>
    </row>
    <row r="735" ht="12.0" customHeight="1">
      <c r="A735" s="63"/>
      <c r="B735" s="63"/>
      <c r="C735" s="63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  <c r="Y735" s="63"/>
      <c r="Z735" s="63"/>
    </row>
    <row r="736" ht="12.0" customHeight="1">
      <c r="A736" s="63"/>
      <c r="B736" s="63"/>
      <c r="C736" s="63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  <c r="Y736" s="63"/>
      <c r="Z736" s="63"/>
    </row>
    <row r="737" ht="12.0" customHeight="1">
      <c r="A737" s="63"/>
      <c r="B737" s="63"/>
      <c r="C737" s="63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  <c r="Y737" s="63"/>
      <c r="Z737" s="63"/>
    </row>
    <row r="738" ht="12.0" customHeight="1">
      <c r="A738" s="63"/>
      <c r="B738" s="63"/>
      <c r="C738" s="63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  <c r="Y738" s="63"/>
      <c r="Z738" s="63"/>
    </row>
    <row r="739" ht="12.0" customHeight="1">
      <c r="A739" s="63"/>
      <c r="B739" s="63"/>
      <c r="C739" s="63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  <c r="Y739" s="63"/>
      <c r="Z739" s="63"/>
    </row>
    <row r="740" ht="12.0" customHeight="1">
      <c r="A740" s="63"/>
      <c r="B740" s="63"/>
      <c r="C740" s="63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  <c r="Y740" s="63"/>
      <c r="Z740" s="63"/>
    </row>
    <row r="741" ht="12.0" customHeight="1">
      <c r="A741" s="63"/>
      <c r="B741" s="63"/>
      <c r="C741" s="63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  <c r="Y741" s="63"/>
      <c r="Z741" s="63"/>
    </row>
    <row r="742" ht="12.0" customHeight="1">
      <c r="A742" s="63"/>
      <c r="B742" s="63"/>
      <c r="C742" s="63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  <c r="Y742" s="63"/>
      <c r="Z742" s="63"/>
    </row>
    <row r="743" ht="12.0" customHeight="1">
      <c r="A743" s="63"/>
      <c r="B743" s="63"/>
      <c r="C743" s="63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3"/>
      <c r="Y743" s="63"/>
      <c r="Z743" s="63"/>
    </row>
    <row r="744" ht="12.0" customHeight="1">
      <c r="A744" s="63"/>
      <c r="B744" s="63"/>
      <c r="C744" s="63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3"/>
      <c r="Y744" s="63"/>
      <c r="Z744" s="63"/>
    </row>
    <row r="745" ht="12.0" customHeight="1">
      <c r="A745" s="63"/>
      <c r="B745" s="63"/>
      <c r="C745" s="63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3"/>
      <c r="Y745" s="63"/>
      <c r="Z745" s="63"/>
    </row>
    <row r="746" ht="12.0" customHeight="1">
      <c r="A746" s="63"/>
      <c r="B746" s="63"/>
      <c r="C746" s="63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3"/>
      <c r="Y746" s="63"/>
      <c r="Z746" s="63"/>
    </row>
    <row r="747" ht="12.0" customHeight="1">
      <c r="A747" s="63"/>
      <c r="B747" s="63"/>
      <c r="C747" s="63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3"/>
      <c r="Y747" s="63"/>
      <c r="Z747" s="63"/>
    </row>
    <row r="748" ht="12.0" customHeight="1">
      <c r="A748" s="63"/>
      <c r="B748" s="63"/>
      <c r="C748" s="63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3"/>
      <c r="Y748" s="63"/>
      <c r="Z748" s="63"/>
    </row>
    <row r="749" ht="12.0" customHeight="1">
      <c r="A749" s="63"/>
      <c r="B749" s="63"/>
      <c r="C749" s="63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3"/>
      <c r="Y749" s="63"/>
      <c r="Z749" s="63"/>
    </row>
    <row r="750" ht="12.0" customHeight="1">
      <c r="A750" s="63"/>
      <c r="B750" s="63"/>
      <c r="C750" s="63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3"/>
      <c r="Y750" s="63"/>
      <c r="Z750" s="63"/>
    </row>
    <row r="751" ht="12.0" customHeight="1">
      <c r="A751" s="63"/>
      <c r="B751" s="63"/>
      <c r="C751" s="63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3"/>
      <c r="Y751" s="63"/>
      <c r="Z751" s="63"/>
    </row>
    <row r="752" ht="12.0" customHeight="1">
      <c r="A752" s="63"/>
      <c r="B752" s="63"/>
      <c r="C752" s="63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3"/>
      <c r="Y752" s="63"/>
      <c r="Z752" s="63"/>
    </row>
    <row r="753" ht="12.0" customHeight="1">
      <c r="A753" s="63"/>
      <c r="B753" s="63"/>
      <c r="C753" s="63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3"/>
      <c r="Y753" s="63"/>
      <c r="Z753" s="63"/>
    </row>
    <row r="754" ht="12.0" customHeight="1">
      <c r="A754" s="63"/>
      <c r="B754" s="63"/>
      <c r="C754" s="63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3"/>
      <c r="Y754" s="63"/>
      <c r="Z754" s="63"/>
    </row>
    <row r="755" ht="12.0" customHeight="1">
      <c r="A755" s="63"/>
      <c r="B755" s="63"/>
      <c r="C755" s="63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3"/>
      <c r="Y755" s="63"/>
      <c r="Z755" s="63"/>
    </row>
    <row r="756" ht="12.0" customHeight="1">
      <c r="A756" s="63"/>
      <c r="B756" s="63"/>
      <c r="C756" s="63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3"/>
      <c r="Y756" s="63"/>
      <c r="Z756" s="63"/>
    </row>
    <row r="757" ht="12.0" customHeight="1">
      <c r="A757" s="63"/>
      <c r="B757" s="63"/>
      <c r="C757" s="63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3"/>
      <c r="Y757" s="63"/>
      <c r="Z757" s="63"/>
    </row>
    <row r="758" ht="12.0" customHeight="1">
      <c r="A758" s="63"/>
      <c r="B758" s="63"/>
      <c r="C758" s="63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3"/>
      <c r="Y758" s="63"/>
      <c r="Z758" s="63"/>
    </row>
    <row r="759" ht="12.0" customHeight="1">
      <c r="A759" s="63"/>
      <c r="B759" s="63"/>
      <c r="C759" s="63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3"/>
      <c r="Y759" s="63"/>
      <c r="Z759" s="63"/>
    </row>
    <row r="760" ht="12.0" customHeight="1">
      <c r="A760" s="63"/>
      <c r="B760" s="63"/>
      <c r="C760" s="63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3"/>
      <c r="Y760" s="63"/>
      <c r="Z760" s="63"/>
    </row>
    <row r="761" ht="12.0" customHeight="1">
      <c r="A761" s="63"/>
      <c r="B761" s="63"/>
      <c r="C761" s="63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3"/>
      <c r="Y761" s="63"/>
      <c r="Z761" s="63"/>
    </row>
    <row r="762" ht="12.0" customHeight="1">
      <c r="A762" s="63"/>
      <c r="B762" s="63"/>
      <c r="C762" s="63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3"/>
      <c r="Y762" s="63"/>
      <c r="Z762" s="63"/>
    </row>
    <row r="763" ht="12.0" customHeight="1">
      <c r="A763" s="63"/>
      <c r="B763" s="63"/>
      <c r="C763" s="63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3"/>
      <c r="Y763" s="63"/>
      <c r="Z763" s="63"/>
    </row>
    <row r="764" ht="12.0" customHeight="1">
      <c r="A764" s="63"/>
      <c r="B764" s="63"/>
      <c r="C764" s="63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3"/>
      <c r="Y764" s="63"/>
      <c r="Z764" s="63"/>
    </row>
    <row r="765" ht="12.0" customHeight="1">
      <c r="A765" s="63"/>
      <c r="B765" s="63"/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3"/>
      <c r="Y765" s="63"/>
      <c r="Z765" s="63"/>
    </row>
    <row r="766" ht="12.0" customHeight="1">
      <c r="A766" s="63"/>
      <c r="B766" s="63"/>
      <c r="C766" s="63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3"/>
      <c r="Y766" s="63"/>
      <c r="Z766" s="63"/>
    </row>
    <row r="767" ht="12.0" customHeight="1">
      <c r="A767" s="63"/>
      <c r="B767" s="63"/>
      <c r="C767" s="63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3"/>
      <c r="Y767" s="63"/>
      <c r="Z767" s="63"/>
    </row>
    <row r="768" ht="12.0" customHeight="1">
      <c r="A768" s="63"/>
      <c r="B768" s="63"/>
      <c r="C768" s="63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3"/>
      <c r="Y768" s="63"/>
      <c r="Z768" s="63"/>
    </row>
    <row r="769" ht="12.0" customHeight="1">
      <c r="A769" s="63"/>
      <c r="B769" s="63"/>
      <c r="C769" s="63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3"/>
      <c r="Y769" s="63"/>
      <c r="Z769" s="63"/>
    </row>
    <row r="770" ht="12.0" customHeight="1">
      <c r="A770" s="63"/>
      <c r="B770" s="63"/>
      <c r="C770" s="63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3"/>
      <c r="Y770" s="63"/>
      <c r="Z770" s="63"/>
    </row>
    <row r="771" ht="12.0" customHeight="1">
      <c r="A771" s="63"/>
      <c r="B771" s="63"/>
      <c r="C771" s="63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3"/>
      <c r="Y771" s="63"/>
      <c r="Z771" s="63"/>
    </row>
    <row r="772" ht="12.0" customHeight="1">
      <c r="A772" s="63"/>
      <c r="B772" s="63"/>
      <c r="C772" s="63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3"/>
      <c r="Y772" s="63"/>
      <c r="Z772" s="63"/>
    </row>
    <row r="773" ht="12.0" customHeight="1">
      <c r="A773" s="63"/>
      <c r="B773" s="63"/>
      <c r="C773" s="63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3"/>
      <c r="Y773" s="63"/>
      <c r="Z773" s="63"/>
    </row>
    <row r="774" ht="12.0" customHeight="1">
      <c r="A774" s="63"/>
      <c r="B774" s="63"/>
      <c r="C774" s="63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3"/>
      <c r="Y774" s="63"/>
      <c r="Z774" s="63"/>
    </row>
    <row r="775" ht="12.0" customHeight="1">
      <c r="A775" s="63"/>
      <c r="B775" s="63"/>
      <c r="C775" s="63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3"/>
      <c r="Y775" s="63"/>
      <c r="Z775" s="63"/>
    </row>
    <row r="776" ht="12.0" customHeight="1">
      <c r="A776" s="63"/>
      <c r="B776" s="63"/>
      <c r="C776" s="63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  <c r="Y776" s="63"/>
      <c r="Z776" s="63"/>
    </row>
    <row r="777" ht="12.0" customHeight="1">
      <c r="A777" s="63"/>
      <c r="B777" s="63"/>
      <c r="C777" s="63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3"/>
      <c r="Y777" s="63"/>
      <c r="Z777" s="63"/>
    </row>
    <row r="778" ht="12.0" customHeight="1">
      <c r="A778" s="63"/>
      <c r="B778" s="63"/>
      <c r="C778" s="63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  <c r="Y778" s="63"/>
      <c r="Z778" s="63"/>
    </row>
    <row r="779" ht="12.0" customHeight="1">
      <c r="A779" s="63"/>
      <c r="B779" s="63"/>
      <c r="C779" s="63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3"/>
      <c r="Y779" s="63"/>
      <c r="Z779" s="63"/>
    </row>
    <row r="780" ht="12.0" customHeight="1">
      <c r="A780" s="63"/>
      <c r="B780" s="63"/>
      <c r="C780" s="63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  <c r="Y780" s="63"/>
      <c r="Z780" s="63"/>
    </row>
    <row r="781" ht="12.0" customHeight="1">
      <c r="A781" s="63"/>
      <c r="B781" s="63"/>
      <c r="C781" s="63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3"/>
      <c r="Y781" s="63"/>
      <c r="Z781" s="63"/>
    </row>
    <row r="782" ht="12.0" customHeight="1">
      <c r="A782" s="63"/>
      <c r="B782" s="63"/>
      <c r="C782" s="63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  <c r="Y782" s="63"/>
      <c r="Z782" s="63"/>
    </row>
    <row r="783" ht="12.0" customHeight="1">
      <c r="A783" s="63"/>
      <c r="B783" s="63"/>
      <c r="C783" s="63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3"/>
      <c r="Y783" s="63"/>
      <c r="Z783" s="63"/>
    </row>
    <row r="784" ht="12.0" customHeight="1">
      <c r="A784" s="63"/>
      <c r="B784" s="63"/>
      <c r="C784" s="63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3"/>
      <c r="Y784" s="63"/>
      <c r="Z784" s="63"/>
    </row>
    <row r="785" ht="12.0" customHeight="1">
      <c r="A785" s="63"/>
      <c r="B785" s="63"/>
      <c r="C785" s="63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3"/>
      <c r="Y785" s="63"/>
      <c r="Z785" s="63"/>
    </row>
    <row r="786" ht="12.0" customHeight="1">
      <c r="A786" s="63"/>
      <c r="B786" s="63"/>
      <c r="C786" s="63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3"/>
      <c r="Y786" s="63"/>
      <c r="Z786" s="63"/>
    </row>
    <row r="787" ht="12.0" customHeight="1">
      <c r="A787" s="63"/>
      <c r="B787" s="63"/>
      <c r="C787" s="63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  <c r="Z787" s="63"/>
    </row>
    <row r="788" ht="12.0" customHeight="1">
      <c r="A788" s="63"/>
      <c r="B788" s="63"/>
      <c r="C788" s="63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  <c r="Y788" s="63"/>
      <c r="Z788" s="63"/>
    </row>
    <row r="789" ht="12.0" customHeight="1">
      <c r="A789" s="63"/>
      <c r="B789" s="63"/>
      <c r="C789" s="63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3"/>
      <c r="Y789" s="63"/>
      <c r="Z789" s="63"/>
    </row>
    <row r="790" ht="12.0" customHeight="1">
      <c r="A790" s="63"/>
      <c r="B790" s="63"/>
      <c r="C790" s="63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3"/>
      <c r="Y790" s="63"/>
      <c r="Z790" s="63"/>
    </row>
    <row r="791" ht="12.0" customHeight="1">
      <c r="A791" s="63"/>
      <c r="B791" s="63"/>
      <c r="C791" s="63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3"/>
      <c r="Y791" s="63"/>
      <c r="Z791" s="63"/>
    </row>
    <row r="792" ht="12.0" customHeight="1">
      <c r="A792" s="63"/>
      <c r="B792" s="63"/>
      <c r="C792" s="63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  <c r="Y792" s="63"/>
      <c r="Z792" s="63"/>
    </row>
    <row r="793" ht="12.0" customHeight="1">
      <c r="A793" s="63"/>
      <c r="B793" s="63"/>
      <c r="C793" s="63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3"/>
      <c r="Y793" s="63"/>
      <c r="Z793" s="63"/>
    </row>
    <row r="794" ht="12.0" customHeight="1">
      <c r="A794" s="63"/>
      <c r="B794" s="63"/>
      <c r="C794" s="63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3"/>
      <c r="Y794" s="63"/>
      <c r="Z794" s="63"/>
    </row>
    <row r="795" ht="12.0" customHeight="1">
      <c r="A795" s="63"/>
      <c r="B795" s="63"/>
      <c r="C795" s="63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3"/>
      <c r="Y795" s="63"/>
      <c r="Z795" s="63"/>
    </row>
    <row r="796" ht="12.0" customHeight="1">
      <c r="A796" s="63"/>
      <c r="B796" s="63"/>
      <c r="C796" s="63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3"/>
      <c r="Y796" s="63"/>
      <c r="Z796" s="63"/>
    </row>
    <row r="797" ht="12.0" customHeight="1">
      <c r="A797" s="63"/>
      <c r="B797" s="63"/>
      <c r="C797" s="63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3"/>
      <c r="Y797" s="63"/>
      <c r="Z797" s="63"/>
    </row>
    <row r="798" ht="12.0" customHeight="1">
      <c r="A798" s="63"/>
      <c r="B798" s="63"/>
      <c r="C798" s="63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3"/>
      <c r="Y798" s="63"/>
      <c r="Z798" s="63"/>
    </row>
    <row r="799" ht="12.0" customHeight="1">
      <c r="A799" s="63"/>
      <c r="B799" s="63"/>
      <c r="C799" s="63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3"/>
      <c r="Y799" s="63"/>
      <c r="Z799" s="63"/>
    </row>
    <row r="800" ht="12.0" customHeight="1">
      <c r="A800" s="63"/>
      <c r="B800" s="63"/>
      <c r="C800" s="63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3"/>
      <c r="Y800" s="63"/>
      <c r="Z800" s="63"/>
    </row>
    <row r="801" ht="12.0" customHeight="1">
      <c r="A801" s="63"/>
      <c r="B801" s="63"/>
      <c r="C801" s="63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3"/>
      <c r="Y801" s="63"/>
      <c r="Z801" s="63"/>
    </row>
    <row r="802" ht="12.0" customHeight="1">
      <c r="A802" s="63"/>
      <c r="B802" s="63"/>
      <c r="C802" s="63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3"/>
      <c r="Y802" s="63"/>
      <c r="Z802" s="63"/>
    </row>
    <row r="803" ht="12.0" customHeight="1">
      <c r="A803" s="63"/>
      <c r="B803" s="63"/>
      <c r="C803" s="63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3"/>
      <c r="Y803" s="63"/>
      <c r="Z803" s="63"/>
    </row>
    <row r="804" ht="12.0" customHeight="1">
      <c r="A804" s="63"/>
      <c r="B804" s="63"/>
      <c r="C804" s="63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3"/>
      <c r="Y804" s="63"/>
      <c r="Z804" s="63"/>
    </row>
    <row r="805" ht="12.0" customHeight="1">
      <c r="A805" s="63"/>
      <c r="B805" s="63"/>
      <c r="C805" s="63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3"/>
      <c r="Y805" s="63"/>
      <c r="Z805" s="63"/>
    </row>
    <row r="806" ht="12.0" customHeight="1">
      <c r="A806" s="63"/>
      <c r="B806" s="63"/>
      <c r="C806" s="63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3"/>
      <c r="Y806" s="63"/>
      <c r="Z806" s="63"/>
    </row>
    <row r="807" ht="12.0" customHeight="1">
      <c r="A807" s="63"/>
      <c r="B807" s="63"/>
      <c r="C807" s="63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3"/>
      <c r="Y807" s="63"/>
      <c r="Z807" s="63"/>
    </row>
    <row r="808" ht="12.0" customHeight="1">
      <c r="A808" s="63"/>
      <c r="B808" s="63"/>
      <c r="C808" s="63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3"/>
      <c r="Y808" s="63"/>
      <c r="Z808" s="63"/>
    </row>
    <row r="809" ht="12.0" customHeight="1">
      <c r="A809" s="63"/>
      <c r="B809" s="63"/>
      <c r="C809" s="63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3"/>
      <c r="Y809" s="63"/>
      <c r="Z809" s="63"/>
    </row>
    <row r="810" ht="12.0" customHeight="1">
      <c r="A810" s="63"/>
      <c r="B810" s="63"/>
      <c r="C810" s="63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3"/>
      <c r="Y810" s="63"/>
      <c r="Z810" s="63"/>
    </row>
    <row r="811" ht="12.0" customHeight="1">
      <c r="A811" s="63"/>
      <c r="B811" s="63"/>
      <c r="C811" s="63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3"/>
      <c r="Y811" s="63"/>
      <c r="Z811" s="63"/>
    </row>
    <row r="812" ht="12.0" customHeight="1">
      <c r="A812" s="63"/>
      <c r="B812" s="63"/>
      <c r="C812" s="63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3"/>
      <c r="Y812" s="63"/>
      <c r="Z812" s="63"/>
    </row>
    <row r="813" ht="12.0" customHeight="1">
      <c r="A813" s="63"/>
      <c r="B813" s="63"/>
      <c r="C813" s="63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3"/>
      <c r="Y813" s="63"/>
      <c r="Z813" s="63"/>
    </row>
    <row r="814" ht="12.0" customHeight="1">
      <c r="A814" s="63"/>
      <c r="B814" s="63"/>
      <c r="C814" s="63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3"/>
      <c r="Y814" s="63"/>
      <c r="Z814" s="63"/>
    </row>
    <row r="815" ht="12.0" customHeight="1">
      <c r="A815" s="63"/>
      <c r="B815" s="63"/>
      <c r="C815" s="63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3"/>
      <c r="Y815" s="63"/>
      <c r="Z815" s="63"/>
    </row>
    <row r="816" ht="12.0" customHeight="1">
      <c r="A816" s="63"/>
      <c r="B816" s="63"/>
      <c r="C816" s="63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3"/>
      <c r="Y816" s="63"/>
      <c r="Z816" s="63"/>
    </row>
    <row r="817" ht="12.0" customHeight="1">
      <c r="A817" s="63"/>
      <c r="B817" s="63"/>
      <c r="C817" s="63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3"/>
      <c r="Y817" s="63"/>
      <c r="Z817" s="63"/>
    </row>
    <row r="818" ht="12.0" customHeight="1">
      <c r="A818" s="63"/>
      <c r="B818" s="63"/>
      <c r="C818" s="63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  <c r="Y818" s="63"/>
      <c r="Z818" s="63"/>
    </row>
    <row r="819" ht="12.0" customHeight="1">
      <c r="A819" s="63"/>
      <c r="B819" s="63"/>
      <c r="C819" s="63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3"/>
      <c r="Y819" s="63"/>
      <c r="Z819" s="63"/>
    </row>
    <row r="820" ht="12.0" customHeight="1">
      <c r="A820" s="63"/>
      <c r="B820" s="63"/>
      <c r="C820" s="63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  <c r="Y820" s="63"/>
      <c r="Z820" s="63"/>
    </row>
    <row r="821" ht="12.0" customHeight="1">
      <c r="A821" s="63"/>
      <c r="B821" s="63"/>
      <c r="C821" s="63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3"/>
      <c r="Y821" s="63"/>
      <c r="Z821" s="63"/>
    </row>
    <row r="822" ht="12.0" customHeight="1">
      <c r="A822" s="63"/>
      <c r="B822" s="63"/>
      <c r="C822" s="63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  <c r="Y822" s="63"/>
      <c r="Z822" s="63"/>
    </row>
    <row r="823" ht="12.0" customHeight="1">
      <c r="A823" s="63"/>
      <c r="B823" s="63"/>
      <c r="C823" s="63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3"/>
      <c r="Y823" s="63"/>
      <c r="Z823" s="63"/>
    </row>
    <row r="824" ht="12.0" customHeight="1">
      <c r="A824" s="63"/>
      <c r="B824" s="63"/>
      <c r="C824" s="63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3"/>
      <c r="Y824" s="63"/>
      <c r="Z824" s="63"/>
    </row>
    <row r="825" ht="12.0" customHeight="1">
      <c r="A825" s="63"/>
      <c r="B825" s="63"/>
      <c r="C825" s="63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3"/>
      <c r="Y825" s="63"/>
      <c r="Z825" s="63"/>
    </row>
    <row r="826" ht="12.0" customHeight="1">
      <c r="A826" s="63"/>
      <c r="B826" s="63"/>
      <c r="C826" s="63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3"/>
      <c r="Y826" s="63"/>
      <c r="Z826" s="63"/>
    </row>
    <row r="827" ht="12.0" customHeight="1">
      <c r="A827" s="63"/>
      <c r="B827" s="63"/>
      <c r="C827" s="63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3"/>
      <c r="Y827" s="63"/>
      <c r="Z827" s="63"/>
    </row>
    <row r="828" ht="12.0" customHeight="1">
      <c r="A828" s="63"/>
      <c r="B828" s="63"/>
      <c r="C828" s="63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  <c r="Y828" s="63"/>
      <c r="Z828" s="63"/>
    </row>
    <row r="829" ht="12.0" customHeight="1">
      <c r="A829" s="63"/>
      <c r="B829" s="63"/>
      <c r="C829" s="63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3"/>
      <c r="Y829" s="63"/>
      <c r="Z829" s="63"/>
    </row>
    <row r="830" ht="12.0" customHeight="1">
      <c r="A830" s="63"/>
      <c r="B830" s="63"/>
      <c r="C830" s="63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  <c r="Y830" s="63"/>
      <c r="Z830" s="63"/>
    </row>
    <row r="831" ht="12.0" customHeight="1">
      <c r="A831" s="63"/>
      <c r="B831" s="63"/>
      <c r="C831" s="63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3"/>
      <c r="Y831" s="63"/>
      <c r="Z831" s="63"/>
    </row>
    <row r="832" ht="12.0" customHeight="1">
      <c r="A832" s="63"/>
      <c r="B832" s="63"/>
      <c r="C832" s="63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  <c r="Y832" s="63"/>
      <c r="Z832" s="63"/>
    </row>
    <row r="833" ht="12.0" customHeight="1">
      <c r="A833" s="63"/>
      <c r="B833" s="63"/>
      <c r="C833" s="63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3"/>
      <c r="Y833" s="63"/>
      <c r="Z833" s="63"/>
    </row>
    <row r="834" ht="12.0" customHeight="1">
      <c r="A834" s="63"/>
      <c r="B834" s="63"/>
      <c r="C834" s="63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  <c r="Y834" s="63"/>
      <c r="Z834" s="63"/>
    </row>
    <row r="835" ht="12.0" customHeight="1">
      <c r="A835" s="63"/>
      <c r="B835" s="63"/>
      <c r="C835" s="63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3"/>
      <c r="Y835" s="63"/>
      <c r="Z835" s="63"/>
    </row>
    <row r="836" ht="12.0" customHeight="1">
      <c r="A836" s="63"/>
      <c r="B836" s="63"/>
      <c r="C836" s="63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  <c r="Y836" s="63"/>
      <c r="Z836" s="63"/>
    </row>
    <row r="837" ht="12.0" customHeight="1">
      <c r="A837" s="63"/>
      <c r="B837" s="63"/>
      <c r="C837" s="63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  <c r="Y837" s="63"/>
      <c r="Z837" s="63"/>
    </row>
    <row r="838" ht="12.0" customHeight="1">
      <c r="A838" s="63"/>
      <c r="B838" s="63"/>
      <c r="C838" s="63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  <c r="Y838" s="63"/>
      <c r="Z838" s="63"/>
    </row>
    <row r="839" ht="12.0" customHeight="1">
      <c r="A839" s="63"/>
      <c r="B839" s="63"/>
      <c r="C839" s="63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3"/>
      <c r="Y839" s="63"/>
      <c r="Z839" s="63"/>
    </row>
    <row r="840" ht="12.0" customHeight="1">
      <c r="A840" s="63"/>
      <c r="B840" s="63"/>
      <c r="C840" s="63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  <c r="Y840" s="63"/>
      <c r="Z840" s="63"/>
    </row>
    <row r="841" ht="12.0" customHeight="1">
      <c r="A841" s="63"/>
      <c r="B841" s="63"/>
      <c r="C841" s="63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  <c r="Y841" s="63"/>
      <c r="Z841" s="63"/>
    </row>
    <row r="842" ht="12.0" customHeight="1">
      <c r="A842" s="63"/>
      <c r="B842" s="63"/>
      <c r="C842" s="63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  <c r="Y842" s="63"/>
      <c r="Z842" s="63"/>
    </row>
    <row r="843" ht="12.0" customHeight="1">
      <c r="A843" s="63"/>
      <c r="B843" s="63"/>
      <c r="C843" s="63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  <c r="Z843" s="63"/>
    </row>
    <row r="844" ht="12.0" customHeight="1">
      <c r="A844" s="63"/>
      <c r="B844" s="63"/>
      <c r="C844" s="63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  <c r="Y844" s="63"/>
      <c r="Z844" s="63"/>
    </row>
    <row r="845" ht="12.0" customHeight="1">
      <c r="A845" s="63"/>
      <c r="B845" s="63"/>
      <c r="C845" s="63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  <c r="Y845" s="63"/>
      <c r="Z845" s="63"/>
    </row>
    <row r="846" ht="12.0" customHeight="1">
      <c r="A846" s="63"/>
      <c r="B846" s="63"/>
      <c r="C846" s="63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  <c r="Y846" s="63"/>
      <c r="Z846" s="63"/>
    </row>
    <row r="847" ht="12.0" customHeight="1">
      <c r="A847" s="63"/>
      <c r="B847" s="63"/>
      <c r="C847" s="63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3"/>
      <c r="Y847" s="63"/>
      <c r="Z847" s="63"/>
    </row>
    <row r="848" ht="12.0" customHeight="1">
      <c r="A848" s="63"/>
      <c r="B848" s="63"/>
      <c r="C848" s="63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3"/>
      <c r="Y848" s="63"/>
      <c r="Z848" s="63"/>
    </row>
    <row r="849" ht="12.0" customHeight="1">
      <c r="A849" s="63"/>
      <c r="B849" s="63"/>
      <c r="C849" s="63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3"/>
      <c r="Y849" s="63"/>
      <c r="Z849" s="63"/>
    </row>
    <row r="850" ht="12.0" customHeight="1">
      <c r="A850" s="63"/>
      <c r="B850" s="63"/>
      <c r="C850" s="63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3"/>
      <c r="Y850" s="63"/>
      <c r="Z850" s="63"/>
    </row>
    <row r="851" ht="12.0" customHeight="1">
      <c r="A851" s="63"/>
      <c r="B851" s="63"/>
      <c r="C851" s="63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3"/>
      <c r="Y851" s="63"/>
      <c r="Z851" s="63"/>
    </row>
    <row r="852" ht="12.0" customHeight="1">
      <c r="A852" s="63"/>
      <c r="B852" s="63"/>
      <c r="C852" s="63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3"/>
      <c r="Y852" s="63"/>
      <c r="Z852" s="63"/>
    </row>
    <row r="853" ht="12.0" customHeight="1">
      <c r="A853" s="63"/>
      <c r="B853" s="63"/>
      <c r="C853" s="63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3"/>
      <c r="Y853" s="63"/>
      <c r="Z853" s="63"/>
    </row>
    <row r="854" ht="12.0" customHeight="1">
      <c r="A854" s="63"/>
      <c r="B854" s="63"/>
      <c r="C854" s="63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3"/>
      <c r="Y854" s="63"/>
      <c r="Z854" s="63"/>
    </row>
    <row r="855" ht="12.0" customHeight="1">
      <c r="A855" s="63"/>
      <c r="B855" s="63"/>
      <c r="C855" s="63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3"/>
      <c r="Y855" s="63"/>
      <c r="Z855" s="63"/>
    </row>
    <row r="856" ht="12.0" customHeight="1">
      <c r="A856" s="63"/>
      <c r="B856" s="63"/>
      <c r="C856" s="63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3"/>
      <c r="Y856" s="63"/>
      <c r="Z856" s="63"/>
    </row>
    <row r="857" ht="12.0" customHeight="1">
      <c r="A857" s="63"/>
      <c r="B857" s="63"/>
      <c r="C857" s="63"/>
      <c r="D857" s="63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63"/>
      <c r="R857" s="63"/>
      <c r="S857" s="63"/>
      <c r="T857" s="63"/>
      <c r="U857" s="63"/>
      <c r="V857" s="63"/>
      <c r="W857" s="63"/>
      <c r="X857" s="63"/>
      <c r="Y857" s="63"/>
      <c r="Z857" s="63"/>
    </row>
    <row r="858" ht="12.0" customHeight="1">
      <c r="A858" s="63"/>
      <c r="B858" s="63"/>
      <c r="C858" s="63"/>
      <c r="D858" s="63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63"/>
      <c r="R858" s="63"/>
      <c r="S858" s="63"/>
      <c r="T858" s="63"/>
      <c r="U858" s="63"/>
      <c r="V858" s="63"/>
      <c r="W858" s="63"/>
      <c r="X858" s="63"/>
      <c r="Y858" s="63"/>
      <c r="Z858" s="63"/>
    </row>
    <row r="859" ht="12.0" customHeight="1">
      <c r="A859" s="63"/>
      <c r="B859" s="63"/>
      <c r="C859" s="63"/>
      <c r="D859" s="63"/>
      <c r="E859" s="63"/>
      <c r="F859" s="63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63"/>
      <c r="R859" s="63"/>
      <c r="S859" s="63"/>
      <c r="T859" s="63"/>
      <c r="U859" s="63"/>
      <c r="V859" s="63"/>
      <c r="W859" s="63"/>
      <c r="X859" s="63"/>
      <c r="Y859" s="63"/>
      <c r="Z859" s="63"/>
    </row>
    <row r="860" ht="12.0" customHeight="1">
      <c r="A860" s="63"/>
      <c r="B860" s="63"/>
      <c r="C860" s="63"/>
      <c r="D860" s="63"/>
      <c r="E860" s="63"/>
      <c r="F860" s="63"/>
      <c r="G860" s="63"/>
      <c r="H860" s="63"/>
      <c r="I860" s="63"/>
      <c r="J860" s="63"/>
      <c r="K860" s="63"/>
      <c r="L860" s="63"/>
      <c r="M860" s="63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3"/>
      <c r="Y860" s="63"/>
      <c r="Z860" s="63"/>
    </row>
    <row r="861" ht="12.0" customHeight="1">
      <c r="A861" s="63"/>
      <c r="B861" s="63"/>
      <c r="C861" s="63"/>
      <c r="D861" s="63"/>
      <c r="E861" s="63"/>
      <c r="F861" s="63"/>
      <c r="G861" s="63"/>
      <c r="H861" s="63"/>
      <c r="I861" s="63"/>
      <c r="J861" s="63"/>
      <c r="K861" s="63"/>
      <c r="L861" s="63"/>
      <c r="M861" s="63"/>
      <c r="N861" s="63"/>
      <c r="O861" s="63"/>
      <c r="P861" s="63"/>
      <c r="Q861" s="63"/>
      <c r="R861" s="63"/>
      <c r="S861" s="63"/>
      <c r="T861" s="63"/>
      <c r="U861" s="63"/>
      <c r="V861" s="63"/>
      <c r="W861" s="63"/>
      <c r="X861" s="63"/>
      <c r="Y861" s="63"/>
      <c r="Z861" s="63"/>
    </row>
    <row r="862" ht="12.0" customHeight="1">
      <c r="A862" s="63"/>
      <c r="B862" s="63"/>
      <c r="C862" s="63"/>
      <c r="D862" s="63"/>
      <c r="E862" s="63"/>
      <c r="F862" s="63"/>
      <c r="G862" s="63"/>
      <c r="H862" s="63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3"/>
      <c r="Y862" s="63"/>
      <c r="Z862" s="63"/>
    </row>
    <row r="863" ht="12.0" customHeight="1">
      <c r="A863" s="63"/>
      <c r="B863" s="63"/>
      <c r="C863" s="63"/>
      <c r="D863" s="63"/>
      <c r="E863" s="63"/>
      <c r="F863" s="63"/>
      <c r="G863" s="63"/>
      <c r="H863" s="63"/>
      <c r="I863" s="63"/>
      <c r="J863" s="63"/>
      <c r="K863" s="63"/>
      <c r="L863" s="63"/>
      <c r="M863" s="63"/>
      <c r="N863" s="63"/>
      <c r="O863" s="63"/>
      <c r="P863" s="63"/>
      <c r="Q863" s="63"/>
      <c r="R863" s="63"/>
      <c r="S863" s="63"/>
      <c r="T863" s="63"/>
      <c r="U863" s="63"/>
      <c r="V863" s="63"/>
      <c r="W863" s="63"/>
      <c r="X863" s="63"/>
      <c r="Y863" s="63"/>
      <c r="Z863" s="63"/>
    </row>
    <row r="864" ht="12.0" customHeight="1">
      <c r="A864" s="63"/>
      <c r="B864" s="63"/>
      <c r="C864" s="63"/>
      <c r="D864" s="63"/>
      <c r="E864" s="63"/>
      <c r="F864" s="63"/>
      <c r="G864" s="63"/>
      <c r="H864" s="63"/>
      <c r="I864" s="63"/>
      <c r="J864" s="63"/>
      <c r="K864" s="63"/>
      <c r="L864" s="63"/>
      <c r="M864" s="63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3"/>
      <c r="Y864" s="63"/>
      <c r="Z864" s="63"/>
    </row>
    <row r="865" ht="12.0" customHeight="1">
      <c r="A865" s="63"/>
      <c r="B865" s="63"/>
      <c r="C865" s="63"/>
      <c r="D865" s="63"/>
      <c r="E865" s="63"/>
      <c r="F865" s="63"/>
      <c r="G865" s="63"/>
      <c r="H865" s="63"/>
      <c r="I865" s="63"/>
      <c r="J865" s="63"/>
      <c r="K865" s="63"/>
      <c r="L865" s="63"/>
      <c r="M865" s="63"/>
      <c r="N865" s="63"/>
      <c r="O865" s="63"/>
      <c r="P865" s="63"/>
      <c r="Q865" s="63"/>
      <c r="R865" s="63"/>
      <c r="S865" s="63"/>
      <c r="T865" s="63"/>
      <c r="U865" s="63"/>
      <c r="V865" s="63"/>
      <c r="W865" s="63"/>
      <c r="X865" s="63"/>
      <c r="Y865" s="63"/>
      <c r="Z865" s="63"/>
    </row>
    <row r="866" ht="12.0" customHeight="1">
      <c r="A866" s="63"/>
      <c r="B866" s="63"/>
      <c r="C866" s="63"/>
      <c r="D866" s="63"/>
      <c r="E866" s="63"/>
      <c r="F866" s="63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3"/>
      <c r="Y866" s="63"/>
      <c r="Z866" s="63"/>
    </row>
    <row r="867" ht="12.0" customHeight="1">
      <c r="A867" s="63"/>
      <c r="B867" s="63"/>
      <c r="C867" s="63"/>
      <c r="D867" s="63"/>
      <c r="E867" s="63"/>
      <c r="F867" s="63"/>
      <c r="G867" s="63"/>
      <c r="H867" s="63"/>
      <c r="I867" s="63"/>
      <c r="J867" s="63"/>
      <c r="K867" s="63"/>
      <c r="L867" s="63"/>
      <c r="M867" s="63"/>
      <c r="N867" s="63"/>
      <c r="O867" s="63"/>
      <c r="P867" s="63"/>
      <c r="Q867" s="63"/>
      <c r="R867" s="63"/>
      <c r="S867" s="63"/>
      <c r="T867" s="63"/>
      <c r="U867" s="63"/>
      <c r="V867" s="63"/>
      <c r="W867" s="63"/>
      <c r="X867" s="63"/>
      <c r="Y867" s="63"/>
      <c r="Z867" s="63"/>
    </row>
    <row r="868" ht="12.0" customHeight="1">
      <c r="A868" s="63"/>
      <c r="B868" s="63"/>
      <c r="C868" s="63"/>
      <c r="D868" s="63"/>
      <c r="E868" s="63"/>
      <c r="F868" s="63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63"/>
      <c r="R868" s="63"/>
      <c r="S868" s="63"/>
      <c r="T868" s="63"/>
      <c r="U868" s="63"/>
      <c r="V868" s="63"/>
      <c r="W868" s="63"/>
      <c r="X868" s="63"/>
      <c r="Y868" s="63"/>
      <c r="Z868" s="63"/>
    </row>
    <row r="869" ht="12.0" customHeight="1">
      <c r="A869" s="63"/>
      <c r="B869" s="63"/>
      <c r="C869" s="63"/>
      <c r="D869" s="63"/>
      <c r="E869" s="63"/>
      <c r="F869" s="63"/>
      <c r="G869" s="63"/>
      <c r="H869" s="63"/>
      <c r="I869" s="63"/>
      <c r="J869" s="63"/>
      <c r="K869" s="63"/>
      <c r="L869" s="63"/>
      <c r="M869" s="63"/>
      <c r="N869" s="63"/>
      <c r="O869" s="63"/>
      <c r="P869" s="63"/>
      <c r="Q869" s="63"/>
      <c r="R869" s="63"/>
      <c r="S869" s="63"/>
      <c r="T869" s="63"/>
      <c r="U869" s="63"/>
      <c r="V869" s="63"/>
      <c r="W869" s="63"/>
      <c r="X869" s="63"/>
      <c r="Y869" s="63"/>
      <c r="Z869" s="63"/>
    </row>
    <row r="870" ht="12.0" customHeight="1">
      <c r="A870" s="63"/>
      <c r="B870" s="63"/>
      <c r="C870" s="63"/>
      <c r="D870" s="63"/>
      <c r="E870" s="63"/>
      <c r="F870" s="63"/>
      <c r="G870" s="63"/>
      <c r="H870" s="63"/>
      <c r="I870" s="63"/>
      <c r="J870" s="63"/>
      <c r="K870" s="63"/>
      <c r="L870" s="63"/>
      <c r="M870" s="63"/>
      <c r="N870" s="63"/>
      <c r="O870" s="63"/>
      <c r="P870" s="63"/>
      <c r="Q870" s="63"/>
      <c r="R870" s="63"/>
      <c r="S870" s="63"/>
      <c r="T870" s="63"/>
      <c r="U870" s="63"/>
      <c r="V870" s="63"/>
      <c r="W870" s="63"/>
      <c r="X870" s="63"/>
      <c r="Y870" s="63"/>
      <c r="Z870" s="63"/>
    </row>
    <row r="871" ht="12.0" customHeight="1">
      <c r="A871" s="63"/>
      <c r="B871" s="63"/>
      <c r="C871" s="63"/>
      <c r="D871" s="63"/>
      <c r="E871" s="63"/>
      <c r="F871" s="63"/>
      <c r="G871" s="63"/>
      <c r="H871" s="63"/>
      <c r="I871" s="63"/>
      <c r="J871" s="63"/>
      <c r="K871" s="63"/>
      <c r="L871" s="63"/>
      <c r="M871" s="63"/>
      <c r="N871" s="63"/>
      <c r="O871" s="63"/>
      <c r="P871" s="63"/>
      <c r="Q871" s="63"/>
      <c r="R871" s="63"/>
      <c r="S871" s="63"/>
      <c r="T871" s="63"/>
      <c r="U871" s="63"/>
      <c r="V871" s="63"/>
      <c r="W871" s="63"/>
      <c r="X871" s="63"/>
      <c r="Y871" s="63"/>
      <c r="Z871" s="63"/>
    </row>
    <row r="872" ht="12.0" customHeight="1">
      <c r="A872" s="63"/>
      <c r="B872" s="63"/>
      <c r="C872" s="63"/>
      <c r="D872" s="63"/>
      <c r="E872" s="63"/>
      <c r="F872" s="63"/>
      <c r="G872" s="63"/>
      <c r="H872" s="63"/>
      <c r="I872" s="63"/>
      <c r="J872" s="63"/>
      <c r="K872" s="63"/>
      <c r="L872" s="63"/>
      <c r="M872" s="63"/>
      <c r="N872" s="63"/>
      <c r="O872" s="63"/>
      <c r="P872" s="63"/>
      <c r="Q872" s="63"/>
      <c r="R872" s="63"/>
      <c r="S872" s="63"/>
      <c r="T872" s="63"/>
      <c r="U872" s="63"/>
      <c r="V872" s="63"/>
      <c r="W872" s="63"/>
      <c r="X872" s="63"/>
      <c r="Y872" s="63"/>
      <c r="Z872" s="63"/>
    </row>
    <row r="873" ht="12.0" customHeight="1">
      <c r="A873" s="63"/>
      <c r="B873" s="63"/>
      <c r="C873" s="63"/>
      <c r="D873" s="63"/>
      <c r="E873" s="63"/>
      <c r="F873" s="63"/>
      <c r="G873" s="63"/>
      <c r="H873" s="63"/>
      <c r="I873" s="63"/>
      <c r="J873" s="63"/>
      <c r="K873" s="63"/>
      <c r="L873" s="63"/>
      <c r="M873" s="63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3"/>
      <c r="Y873" s="63"/>
      <c r="Z873" s="63"/>
    </row>
    <row r="874" ht="12.0" customHeight="1">
      <c r="A874" s="63"/>
      <c r="B874" s="63"/>
      <c r="C874" s="63"/>
      <c r="D874" s="63"/>
      <c r="E874" s="63"/>
      <c r="F874" s="63"/>
      <c r="G874" s="63"/>
      <c r="H874" s="63"/>
      <c r="I874" s="63"/>
      <c r="J874" s="63"/>
      <c r="K874" s="63"/>
      <c r="L874" s="63"/>
      <c r="M874" s="63"/>
      <c r="N874" s="63"/>
      <c r="O874" s="63"/>
      <c r="P874" s="63"/>
      <c r="Q874" s="63"/>
      <c r="R874" s="63"/>
      <c r="S874" s="63"/>
      <c r="T874" s="63"/>
      <c r="U874" s="63"/>
      <c r="V874" s="63"/>
      <c r="W874" s="63"/>
      <c r="X874" s="63"/>
      <c r="Y874" s="63"/>
      <c r="Z874" s="63"/>
    </row>
    <row r="875" ht="12.0" customHeight="1">
      <c r="A875" s="63"/>
      <c r="B875" s="63"/>
      <c r="C875" s="63"/>
      <c r="D875" s="63"/>
      <c r="E875" s="63"/>
      <c r="F875" s="63"/>
      <c r="G875" s="63"/>
      <c r="H875" s="63"/>
      <c r="I875" s="63"/>
      <c r="J875" s="63"/>
      <c r="K875" s="63"/>
      <c r="L875" s="63"/>
      <c r="M875" s="63"/>
      <c r="N875" s="63"/>
      <c r="O875" s="63"/>
      <c r="P875" s="63"/>
      <c r="Q875" s="63"/>
      <c r="R875" s="63"/>
      <c r="S875" s="63"/>
      <c r="T875" s="63"/>
      <c r="U875" s="63"/>
      <c r="V875" s="63"/>
      <c r="W875" s="63"/>
      <c r="X875" s="63"/>
      <c r="Y875" s="63"/>
      <c r="Z875" s="63"/>
    </row>
    <row r="876" ht="12.0" customHeight="1">
      <c r="A876" s="63"/>
      <c r="B876" s="63"/>
      <c r="C876" s="63"/>
      <c r="D876" s="63"/>
      <c r="E876" s="63"/>
      <c r="F876" s="63"/>
      <c r="G876" s="63"/>
      <c r="H876" s="63"/>
      <c r="I876" s="63"/>
      <c r="J876" s="63"/>
      <c r="K876" s="63"/>
      <c r="L876" s="63"/>
      <c r="M876" s="63"/>
      <c r="N876" s="63"/>
      <c r="O876" s="63"/>
      <c r="P876" s="63"/>
      <c r="Q876" s="63"/>
      <c r="R876" s="63"/>
      <c r="S876" s="63"/>
      <c r="T876" s="63"/>
      <c r="U876" s="63"/>
      <c r="V876" s="63"/>
      <c r="W876" s="63"/>
      <c r="X876" s="63"/>
      <c r="Y876" s="63"/>
      <c r="Z876" s="63"/>
    </row>
    <row r="877" ht="12.0" customHeight="1">
      <c r="A877" s="63"/>
      <c r="B877" s="63"/>
      <c r="C877" s="63"/>
      <c r="D877" s="63"/>
      <c r="E877" s="63"/>
      <c r="F877" s="63"/>
      <c r="G877" s="63"/>
      <c r="H877" s="63"/>
      <c r="I877" s="63"/>
      <c r="J877" s="63"/>
      <c r="K877" s="63"/>
      <c r="L877" s="63"/>
      <c r="M877" s="63"/>
      <c r="N877" s="63"/>
      <c r="O877" s="63"/>
      <c r="P877" s="63"/>
      <c r="Q877" s="63"/>
      <c r="R877" s="63"/>
      <c r="S877" s="63"/>
      <c r="T877" s="63"/>
      <c r="U877" s="63"/>
      <c r="V877" s="63"/>
      <c r="W877" s="63"/>
      <c r="X877" s="63"/>
      <c r="Y877" s="63"/>
      <c r="Z877" s="63"/>
    </row>
    <row r="878" ht="12.0" customHeight="1">
      <c r="A878" s="63"/>
      <c r="B878" s="63"/>
      <c r="C878" s="63"/>
      <c r="D878" s="63"/>
      <c r="E878" s="63"/>
      <c r="F878" s="63"/>
      <c r="G878" s="63"/>
      <c r="H878" s="63"/>
      <c r="I878" s="63"/>
      <c r="J878" s="63"/>
      <c r="K878" s="63"/>
      <c r="L878" s="63"/>
      <c r="M878" s="63"/>
      <c r="N878" s="63"/>
      <c r="O878" s="63"/>
      <c r="P878" s="63"/>
      <c r="Q878" s="63"/>
      <c r="R878" s="63"/>
      <c r="S878" s="63"/>
      <c r="T878" s="63"/>
      <c r="U878" s="63"/>
      <c r="V878" s="63"/>
      <c r="W878" s="63"/>
      <c r="X878" s="63"/>
      <c r="Y878" s="63"/>
      <c r="Z878" s="63"/>
    </row>
    <row r="879" ht="12.0" customHeight="1">
      <c r="A879" s="63"/>
      <c r="B879" s="63"/>
      <c r="C879" s="63"/>
      <c r="D879" s="63"/>
      <c r="E879" s="63"/>
      <c r="F879" s="63"/>
      <c r="G879" s="63"/>
      <c r="H879" s="63"/>
      <c r="I879" s="63"/>
      <c r="J879" s="63"/>
      <c r="K879" s="63"/>
      <c r="L879" s="63"/>
      <c r="M879" s="63"/>
      <c r="N879" s="63"/>
      <c r="O879" s="63"/>
      <c r="P879" s="63"/>
      <c r="Q879" s="63"/>
      <c r="R879" s="63"/>
      <c r="S879" s="63"/>
      <c r="T879" s="63"/>
      <c r="U879" s="63"/>
      <c r="V879" s="63"/>
      <c r="W879" s="63"/>
      <c r="X879" s="63"/>
      <c r="Y879" s="63"/>
      <c r="Z879" s="63"/>
    </row>
    <row r="880" ht="12.0" customHeight="1">
      <c r="A880" s="63"/>
      <c r="B880" s="63"/>
      <c r="C880" s="63"/>
      <c r="D880" s="63"/>
      <c r="E880" s="63"/>
      <c r="F880" s="63"/>
      <c r="G880" s="63"/>
      <c r="H880" s="63"/>
      <c r="I880" s="63"/>
      <c r="J880" s="63"/>
      <c r="K880" s="63"/>
      <c r="L880" s="63"/>
      <c r="M880" s="63"/>
      <c r="N880" s="63"/>
      <c r="O880" s="63"/>
      <c r="P880" s="63"/>
      <c r="Q880" s="63"/>
      <c r="R880" s="63"/>
      <c r="S880" s="63"/>
      <c r="T880" s="63"/>
      <c r="U880" s="63"/>
      <c r="V880" s="63"/>
      <c r="W880" s="63"/>
      <c r="X880" s="63"/>
      <c r="Y880" s="63"/>
      <c r="Z880" s="63"/>
    </row>
    <row r="881" ht="12.0" customHeight="1">
      <c r="A881" s="63"/>
      <c r="B881" s="63"/>
      <c r="C881" s="63"/>
      <c r="D881" s="63"/>
      <c r="E881" s="63"/>
      <c r="F881" s="63"/>
      <c r="G881" s="63"/>
      <c r="H881" s="63"/>
      <c r="I881" s="63"/>
      <c r="J881" s="63"/>
      <c r="K881" s="63"/>
      <c r="L881" s="63"/>
      <c r="M881" s="63"/>
      <c r="N881" s="63"/>
      <c r="O881" s="63"/>
      <c r="P881" s="63"/>
      <c r="Q881" s="63"/>
      <c r="R881" s="63"/>
      <c r="S881" s="63"/>
      <c r="T881" s="63"/>
      <c r="U881" s="63"/>
      <c r="V881" s="63"/>
      <c r="W881" s="63"/>
      <c r="X881" s="63"/>
      <c r="Y881" s="63"/>
      <c r="Z881" s="63"/>
    </row>
    <row r="882" ht="12.0" customHeight="1">
      <c r="A882" s="63"/>
      <c r="B882" s="63"/>
      <c r="C882" s="63"/>
      <c r="D882" s="63"/>
      <c r="E882" s="63"/>
      <c r="F882" s="63"/>
      <c r="G882" s="63"/>
      <c r="H882" s="63"/>
      <c r="I882" s="63"/>
      <c r="J882" s="63"/>
      <c r="K882" s="63"/>
      <c r="L882" s="63"/>
      <c r="M882" s="63"/>
      <c r="N882" s="63"/>
      <c r="O882" s="63"/>
      <c r="P882" s="63"/>
      <c r="Q882" s="63"/>
      <c r="R882" s="63"/>
      <c r="S882" s="63"/>
      <c r="T882" s="63"/>
      <c r="U882" s="63"/>
      <c r="V882" s="63"/>
      <c r="W882" s="63"/>
      <c r="X882" s="63"/>
      <c r="Y882" s="63"/>
      <c r="Z882" s="63"/>
    </row>
    <row r="883" ht="12.0" customHeight="1">
      <c r="A883" s="63"/>
      <c r="B883" s="63"/>
      <c r="C883" s="63"/>
      <c r="D883" s="63"/>
      <c r="E883" s="63"/>
      <c r="F883" s="63"/>
      <c r="G883" s="63"/>
      <c r="H883" s="63"/>
      <c r="I883" s="63"/>
      <c r="J883" s="63"/>
      <c r="K883" s="63"/>
      <c r="L883" s="63"/>
      <c r="M883" s="63"/>
      <c r="N883" s="63"/>
      <c r="O883" s="63"/>
      <c r="P883" s="63"/>
      <c r="Q883" s="63"/>
      <c r="R883" s="63"/>
      <c r="S883" s="63"/>
      <c r="T883" s="63"/>
      <c r="U883" s="63"/>
      <c r="V883" s="63"/>
      <c r="W883" s="63"/>
      <c r="X883" s="63"/>
      <c r="Y883" s="63"/>
      <c r="Z883" s="63"/>
    </row>
    <row r="884" ht="12.0" customHeight="1">
      <c r="A884" s="63"/>
      <c r="B884" s="63"/>
      <c r="C884" s="63"/>
      <c r="D884" s="63"/>
      <c r="E884" s="63"/>
      <c r="F884" s="63"/>
      <c r="G884" s="63"/>
      <c r="H884" s="63"/>
      <c r="I884" s="63"/>
      <c r="J884" s="63"/>
      <c r="K884" s="63"/>
      <c r="L884" s="63"/>
      <c r="M884" s="63"/>
      <c r="N884" s="63"/>
      <c r="O884" s="63"/>
      <c r="P884" s="63"/>
      <c r="Q884" s="63"/>
      <c r="R884" s="63"/>
      <c r="S884" s="63"/>
      <c r="T884" s="63"/>
      <c r="U884" s="63"/>
      <c r="V884" s="63"/>
      <c r="W884" s="63"/>
      <c r="X884" s="63"/>
      <c r="Y884" s="63"/>
      <c r="Z884" s="63"/>
    </row>
    <row r="885" ht="12.0" customHeight="1">
      <c r="A885" s="63"/>
      <c r="B885" s="63"/>
      <c r="C885" s="63"/>
      <c r="D885" s="63"/>
      <c r="E885" s="63"/>
      <c r="F885" s="63"/>
      <c r="G885" s="63"/>
      <c r="H885" s="63"/>
      <c r="I885" s="63"/>
      <c r="J885" s="63"/>
      <c r="K885" s="63"/>
      <c r="L885" s="63"/>
      <c r="M885" s="63"/>
      <c r="N885" s="63"/>
      <c r="O885" s="63"/>
      <c r="P885" s="63"/>
      <c r="Q885" s="63"/>
      <c r="R885" s="63"/>
      <c r="S885" s="63"/>
      <c r="T885" s="63"/>
      <c r="U885" s="63"/>
      <c r="V885" s="63"/>
      <c r="W885" s="63"/>
      <c r="X885" s="63"/>
      <c r="Y885" s="63"/>
      <c r="Z885" s="63"/>
    </row>
    <row r="886" ht="12.0" customHeight="1">
      <c r="A886" s="63"/>
      <c r="B886" s="63"/>
      <c r="C886" s="63"/>
      <c r="D886" s="63"/>
      <c r="E886" s="63"/>
      <c r="F886" s="63"/>
      <c r="G886" s="63"/>
      <c r="H886" s="63"/>
      <c r="I886" s="63"/>
      <c r="J886" s="63"/>
      <c r="K886" s="63"/>
      <c r="L886" s="63"/>
      <c r="M886" s="63"/>
      <c r="N886" s="63"/>
      <c r="O886" s="63"/>
      <c r="P886" s="63"/>
      <c r="Q886" s="63"/>
      <c r="R886" s="63"/>
      <c r="S886" s="63"/>
      <c r="T886" s="63"/>
      <c r="U886" s="63"/>
      <c r="V886" s="63"/>
      <c r="W886" s="63"/>
      <c r="X886" s="63"/>
      <c r="Y886" s="63"/>
      <c r="Z886" s="63"/>
    </row>
    <row r="887" ht="12.0" customHeight="1">
      <c r="A887" s="63"/>
      <c r="B887" s="63"/>
      <c r="C887" s="63"/>
      <c r="D887" s="63"/>
      <c r="E887" s="63"/>
      <c r="F887" s="63"/>
      <c r="G887" s="63"/>
      <c r="H887" s="63"/>
      <c r="I887" s="63"/>
      <c r="J887" s="63"/>
      <c r="K887" s="63"/>
      <c r="L887" s="63"/>
      <c r="M887" s="63"/>
      <c r="N887" s="63"/>
      <c r="O887" s="63"/>
      <c r="P887" s="63"/>
      <c r="Q887" s="63"/>
      <c r="R887" s="63"/>
      <c r="S887" s="63"/>
      <c r="T887" s="63"/>
      <c r="U887" s="63"/>
      <c r="V887" s="63"/>
      <c r="W887" s="63"/>
      <c r="X887" s="63"/>
      <c r="Y887" s="63"/>
      <c r="Z887" s="63"/>
    </row>
    <row r="888" ht="12.0" customHeight="1">
      <c r="A888" s="63"/>
      <c r="B888" s="63"/>
      <c r="C888" s="63"/>
      <c r="D888" s="63"/>
      <c r="E888" s="63"/>
      <c r="F888" s="63"/>
      <c r="G888" s="63"/>
      <c r="H888" s="63"/>
      <c r="I888" s="63"/>
      <c r="J888" s="63"/>
      <c r="K888" s="63"/>
      <c r="L888" s="63"/>
      <c r="M888" s="63"/>
      <c r="N888" s="63"/>
      <c r="O888" s="63"/>
      <c r="P888" s="63"/>
      <c r="Q888" s="63"/>
      <c r="R888" s="63"/>
      <c r="S888" s="63"/>
      <c r="T888" s="63"/>
      <c r="U888" s="63"/>
      <c r="V888" s="63"/>
      <c r="W888" s="63"/>
      <c r="X888" s="63"/>
      <c r="Y888" s="63"/>
      <c r="Z888" s="63"/>
    </row>
    <row r="889" ht="12.0" customHeight="1">
      <c r="A889" s="63"/>
      <c r="B889" s="63"/>
      <c r="C889" s="63"/>
      <c r="D889" s="63"/>
      <c r="E889" s="63"/>
      <c r="F889" s="63"/>
      <c r="G889" s="63"/>
      <c r="H889" s="63"/>
      <c r="I889" s="63"/>
      <c r="J889" s="63"/>
      <c r="K889" s="63"/>
      <c r="L889" s="63"/>
      <c r="M889" s="63"/>
      <c r="N889" s="63"/>
      <c r="O889" s="63"/>
      <c r="P889" s="63"/>
      <c r="Q889" s="63"/>
      <c r="R889" s="63"/>
      <c r="S889" s="63"/>
      <c r="T889" s="63"/>
      <c r="U889" s="63"/>
      <c r="V889" s="63"/>
      <c r="W889" s="63"/>
      <c r="X889" s="63"/>
      <c r="Y889" s="63"/>
      <c r="Z889" s="63"/>
    </row>
    <row r="890" ht="12.0" customHeight="1">
      <c r="A890" s="63"/>
      <c r="B890" s="63"/>
      <c r="C890" s="63"/>
      <c r="D890" s="63"/>
      <c r="E890" s="63"/>
      <c r="F890" s="63"/>
      <c r="G890" s="63"/>
      <c r="H890" s="63"/>
      <c r="I890" s="63"/>
      <c r="J890" s="63"/>
      <c r="K890" s="63"/>
      <c r="L890" s="63"/>
      <c r="M890" s="63"/>
      <c r="N890" s="63"/>
      <c r="O890" s="63"/>
      <c r="P890" s="63"/>
      <c r="Q890" s="63"/>
      <c r="R890" s="63"/>
      <c r="S890" s="63"/>
      <c r="T890" s="63"/>
      <c r="U890" s="63"/>
      <c r="V890" s="63"/>
      <c r="W890" s="63"/>
      <c r="X890" s="63"/>
      <c r="Y890" s="63"/>
      <c r="Z890" s="63"/>
    </row>
    <row r="891" ht="12.0" customHeight="1">
      <c r="A891" s="63"/>
      <c r="B891" s="63"/>
      <c r="C891" s="63"/>
      <c r="D891" s="63"/>
      <c r="E891" s="63"/>
      <c r="F891" s="63"/>
      <c r="G891" s="63"/>
      <c r="H891" s="63"/>
      <c r="I891" s="63"/>
      <c r="J891" s="63"/>
      <c r="K891" s="63"/>
      <c r="L891" s="63"/>
      <c r="M891" s="63"/>
      <c r="N891" s="63"/>
      <c r="O891" s="63"/>
      <c r="P891" s="63"/>
      <c r="Q891" s="63"/>
      <c r="R891" s="63"/>
      <c r="S891" s="63"/>
      <c r="T891" s="63"/>
      <c r="U891" s="63"/>
      <c r="V891" s="63"/>
      <c r="W891" s="63"/>
      <c r="X891" s="63"/>
      <c r="Y891" s="63"/>
      <c r="Z891" s="63"/>
    </row>
    <row r="892" ht="12.0" customHeight="1">
      <c r="A892" s="63"/>
      <c r="B892" s="63"/>
      <c r="C892" s="63"/>
      <c r="D892" s="63"/>
      <c r="E892" s="63"/>
      <c r="F892" s="63"/>
      <c r="G892" s="63"/>
      <c r="H892" s="63"/>
      <c r="I892" s="63"/>
      <c r="J892" s="63"/>
      <c r="K892" s="63"/>
      <c r="L892" s="63"/>
      <c r="M892" s="63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3"/>
      <c r="Y892" s="63"/>
      <c r="Z892" s="63"/>
    </row>
    <row r="893" ht="12.0" customHeight="1">
      <c r="A893" s="63"/>
      <c r="B893" s="63"/>
      <c r="C893" s="63"/>
      <c r="D893" s="63"/>
      <c r="E893" s="63"/>
      <c r="F893" s="63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63"/>
      <c r="R893" s="63"/>
      <c r="S893" s="63"/>
      <c r="T893" s="63"/>
      <c r="U893" s="63"/>
      <c r="V893" s="63"/>
      <c r="W893" s="63"/>
      <c r="X893" s="63"/>
      <c r="Y893" s="63"/>
      <c r="Z893" s="63"/>
    </row>
    <row r="894" ht="12.0" customHeight="1">
      <c r="A894" s="63"/>
      <c r="B894" s="63"/>
      <c r="C894" s="63"/>
      <c r="D894" s="63"/>
      <c r="E894" s="63"/>
      <c r="F894" s="63"/>
      <c r="G894" s="63"/>
      <c r="H894" s="63"/>
      <c r="I894" s="63"/>
      <c r="J894" s="63"/>
      <c r="K894" s="63"/>
      <c r="L894" s="63"/>
      <c r="M894" s="63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3"/>
      <c r="Y894" s="63"/>
      <c r="Z894" s="63"/>
    </row>
    <row r="895" ht="12.0" customHeight="1">
      <c r="A895" s="63"/>
      <c r="B895" s="63"/>
      <c r="C895" s="63"/>
      <c r="D895" s="63"/>
      <c r="E895" s="63"/>
      <c r="F895" s="63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3"/>
      <c r="T895" s="63"/>
      <c r="U895" s="63"/>
      <c r="V895" s="63"/>
      <c r="W895" s="63"/>
      <c r="X895" s="63"/>
      <c r="Y895" s="63"/>
      <c r="Z895" s="63"/>
    </row>
    <row r="896" ht="12.0" customHeight="1">
      <c r="A896" s="63"/>
      <c r="B896" s="63"/>
      <c r="C896" s="63"/>
      <c r="D896" s="63"/>
      <c r="E896" s="63"/>
      <c r="F896" s="63"/>
      <c r="G896" s="63"/>
      <c r="H896" s="63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3"/>
      <c r="Y896" s="63"/>
      <c r="Z896" s="63"/>
    </row>
    <row r="897" ht="12.0" customHeight="1">
      <c r="A897" s="63"/>
      <c r="B897" s="63"/>
      <c r="C897" s="63"/>
      <c r="D897" s="63"/>
      <c r="E897" s="63"/>
      <c r="F897" s="63"/>
      <c r="G897" s="63"/>
      <c r="H897" s="63"/>
      <c r="I897" s="63"/>
      <c r="J897" s="63"/>
      <c r="K897" s="63"/>
      <c r="L897" s="63"/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3"/>
      <c r="Y897" s="63"/>
      <c r="Z897" s="63"/>
    </row>
    <row r="898" ht="12.0" customHeight="1">
      <c r="A898" s="63"/>
      <c r="B898" s="63"/>
      <c r="C898" s="63"/>
      <c r="D898" s="63"/>
      <c r="E898" s="63"/>
      <c r="F898" s="63"/>
      <c r="G898" s="63"/>
      <c r="H898" s="63"/>
      <c r="I898" s="63"/>
      <c r="J898" s="63"/>
      <c r="K898" s="63"/>
      <c r="L898" s="63"/>
      <c r="M898" s="63"/>
      <c r="N898" s="63"/>
      <c r="O898" s="63"/>
      <c r="P898" s="63"/>
      <c r="Q898" s="63"/>
      <c r="R898" s="63"/>
      <c r="S898" s="63"/>
      <c r="T898" s="63"/>
      <c r="U898" s="63"/>
      <c r="V898" s="63"/>
      <c r="W898" s="63"/>
      <c r="X898" s="63"/>
      <c r="Y898" s="63"/>
      <c r="Z898" s="63"/>
    </row>
    <row r="899" ht="12.0" customHeight="1">
      <c r="A899" s="63"/>
      <c r="B899" s="63"/>
      <c r="C899" s="63"/>
      <c r="D899" s="63"/>
      <c r="E899" s="63"/>
      <c r="F899" s="63"/>
      <c r="G899" s="63"/>
      <c r="H899" s="63"/>
      <c r="I899" s="63"/>
      <c r="J899" s="63"/>
      <c r="K899" s="63"/>
      <c r="L899" s="63"/>
      <c r="M899" s="63"/>
      <c r="N899" s="63"/>
      <c r="O899" s="63"/>
      <c r="P899" s="63"/>
      <c r="Q899" s="63"/>
      <c r="R899" s="63"/>
      <c r="S899" s="63"/>
      <c r="T899" s="63"/>
      <c r="U899" s="63"/>
      <c r="V899" s="63"/>
      <c r="W899" s="63"/>
      <c r="X899" s="63"/>
      <c r="Y899" s="63"/>
      <c r="Z899" s="63"/>
    </row>
    <row r="900" ht="12.0" customHeight="1">
      <c r="A900" s="63"/>
      <c r="B900" s="63"/>
      <c r="C900" s="63"/>
      <c r="D900" s="63"/>
      <c r="E900" s="63"/>
      <c r="F900" s="63"/>
      <c r="G900" s="63"/>
      <c r="H900" s="63"/>
      <c r="I900" s="63"/>
      <c r="J900" s="63"/>
      <c r="K900" s="63"/>
      <c r="L900" s="63"/>
      <c r="M900" s="63"/>
      <c r="N900" s="63"/>
      <c r="O900" s="63"/>
      <c r="P900" s="63"/>
      <c r="Q900" s="63"/>
      <c r="R900" s="63"/>
      <c r="S900" s="63"/>
      <c r="T900" s="63"/>
      <c r="U900" s="63"/>
      <c r="V900" s="63"/>
      <c r="W900" s="63"/>
      <c r="X900" s="63"/>
      <c r="Y900" s="63"/>
      <c r="Z900" s="63"/>
    </row>
    <row r="901" ht="12.0" customHeight="1">
      <c r="A901" s="63"/>
      <c r="B901" s="63"/>
      <c r="C901" s="63"/>
      <c r="D901" s="63"/>
      <c r="E901" s="63"/>
      <c r="F901" s="63"/>
      <c r="G901" s="63"/>
      <c r="H901" s="63"/>
      <c r="I901" s="63"/>
      <c r="J901" s="63"/>
      <c r="K901" s="63"/>
      <c r="L901" s="63"/>
      <c r="M901" s="63"/>
      <c r="N901" s="63"/>
      <c r="O901" s="63"/>
      <c r="P901" s="63"/>
      <c r="Q901" s="63"/>
      <c r="R901" s="63"/>
      <c r="S901" s="63"/>
      <c r="T901" s="63"/>
      <c r="U901" s="63"/>
      <c r="V901" s="63"/>
      <c r="W901" s="63"/>
      <c r="X901" s="63"/>
      <c r="Y901" s="63"/>
      <c r="Z901" s="63"/>
    </row>
    <row r="902" ht="12.0" customHeight="1">
      <c r="A902" s="63"/>
      <c r="B902" s="63"/>
      <c r="C902" s="63"/>
      <c r="D902" s="63"/>
      <c r="E902" s="63"/>
      <c r="F902" s="63"/>
      <c r="G902" s="63"/>
      <c r="H902" s="63"/>
      <c r="I902" s="63"/>
      <c r="J902" s="63"/>
      <c r="K902" s="63"/>
      <c r="L902" s="63"/>
      <c r="M902" s="63"/>
      <c r="N902" s="63"/>
      <c r="O902" s="63"/>
      <c r="P902" s="63"/>
      <c r="Q902" s="63"/>
      <c r="R902" s="63"/>
      <c r="S902" s="63"/>
      <c r="T902" s="63"/>
      <c r="U902" s="63"/>
      <c r="V902" s="63"/>
      <c r="W902" s="63"/>
      <c r="X902" s="63"/>
      <c r="Y902" s="63"/>
      <c r="Z902" s="63"/>
    </row>
    <row r="903" ht="12.0" customHeight="1">
      <c r="A903" s="63"/>
      <c r="B903" s="63"/>
      <c r="C903" s="63"/>
      <c r="D903" s="63"/>
      <c r="E903" s="63"/>
      <c r="F903" s="63"/>
      <c r="G903" s="63"/>
      <c r="H903" s="63"/>
      <c r="I903" s="63"/>
      <c r="J903" s="63"/>
      <c r="K903" s="63"/>
      <c r="L903" s="63"/>
      <c r="M903" s="63"/>
      <c r="N903" s="63"/>
      <c r="O903" s="63"/>
      <c r="P903" s="63"/>
      <c r="Q903" s="63"/>
      <c r="R903" s="63"/>
      <c r="S903" s="63"/>
      <c r="T903" s="63"/>
      <c r="U903" s="63"/>
      <c r="V903" s="63"/>
      <c r="W903" s="63"/>
      <c r="X903" s="63"/>
      <c r="Y903" s="63"/>
      <c r="Z903" s="63"/>
    </row>
    <row r="904" ht="12.0" customHeight="1">
      <c r="A904" s="63"/>
      <c r="B904" s="63"/>
      <c r="C904" s="63"/>
      <c r="D904" s="63"/>
      <c r="E904" s="63"/>
      <c r="F904" s="63"/>
      <c r="G904" s="63"/>
      <c r="H904" s="63"/>
      <c r="I904" s="63"/>
      <c r="J904" s="63"/>
      <c r="K904" s="63"/>
      <c r="L904" s="63"/>
      <c r="M904" s="63"/>
      <c r="N904" s="63"/>
      <c r="O904" s="63"/>
      <c r="P904" s="63"/>
      <c r="Q904" s="63"/>
      <c r="R904" s="63"/>
      <c r="S904" s="63"/>
      <c r="T904" s="63"/>
      <c r="U904" s="63"/>
      <c r="V904" s="63"/>
      <c r="W904" s="63"/>
      <c r="X904" s="63"/>
      <c r="Y904" s="63"/>
      <c r="Z904" s="63"/>
    </row>
    <row r="905" ht="12.0" customHeight="1">
      <c r="A905" s="63"/>
      <c r="B905" s="63"/>
      <c r="C905" s="63"/>
      <c r="D905" s="63"/>
      <c r="E905" s="63"/>
      <c r="F905" s="63"/>
      <c r="G905" s="63"/>
      <c r="H905" s="63"/>
      <c r="I905" s="63"/>
      <c r="J905" s="63"/>
      <c r="K905" s="63"/>
      <c r="L905" s="63"/>
      <c r="M905" s="63"/>
      <c r="N905" s="63"/>
      <c r="O905" s="63"/>
      <c r="P905" s="63"/>
      <c r="Q905" s="63"/>
      <c r="R905" s="63"/>
      <c r="S905" s="63"/>
      <c r="T905" s="63"/>
      <c r="U905" s="63"/>
      <c r="V905" s="63"/>
      <c r="W905" s="63"/>
      <c r="X905" s="63"/>
      <c r="Y905" s="63"/>
      <c r="Z905" s="63"/>
    </row>
    <row r="906" ht="12.0" customHeight="1">
      <c r="A906" s="63"/>
      <c r="B906" s="63"/>
      <c r="C906" s="63"/>
      <c r="D906" s="63"/>
      <c r="E906" s="63"/>
      <c r="F906" s="63"/>
      <c r="G906" s="63"/>
      <c r="H906" s="63"/>
      <c r="I906" s="63"/>
      <c r="J906" s="63"/>
      <c r="K906" s="63"/>
      <c r="L906" s="63"/>
      <c r="M906" s="63"/>
      <c r="N906" s="63"/>
      <c r="O906" s="63"/>
      <c r="P906" s="63"/>
      <c r="Q906" s="63"/>
      <c r="R906" s="63"/>
      <c r="S906" s="63"/>
      <c r="T906" s="63"/>
      <c r="U906" s="63"/>
      <c r="V906" s="63"/>
      <c r="W906" s="63"/>
      <c r="X906" s="63"/>
      <c r="Y906" s="63"/>
      <c r="Z906" s="63"/>
    </row>
    <row r="907" ht="12.0" customHeight="1">
      <c r="A907" s="63"/>
      <c r="B907" s="63"/>
      <c r="C907" s="63"/>
      <c r="D907" s="63"/>
      <c r="E907" s="63"/>
      <c r="F907" s="63"/>
      <c r="G907" s="63"/>
      <c r="H907" s="63"/>
      <c r="I907" s="63"/>
      <c r="J907" s="63"/>
      <c r="K907" s="63"/>
      <c r="L907" s="63"/>
      <c r="M907" s="63"/>
      <c r="N907" s="63"/>
      <c r="O907" s="63"/>
      <c r="P907" s="63"/>
      <c r="Q907" s="63"/>
      <c r="R907" s="63"/>
      <c r="S907" s="63"/>
      <c r="T907" s="63"/>
      <c r="U907" s="63"/>
      <c r="V907" s="63"/>
      <c r="W907" s="63"/>
      <c r="X907" s="63"/>
      <c r="Y907" s="63"/>
      <c r="Z907" s="63"/>
    </row>
    <row r="908" ht="12.0" customHeight="1">
      <c r="A908" s="63"/>
      <c r="B908" s="63"/>
      <c r="C908" s="63"/>
      <c r="D908" s="63"/>
      <c r="E908" s="63"/>
      <c r="F908" s="63"/>
      <c r="G908" s="63"/>
      <c r="H908" s="63"/>
      <c r="I908" s="63"/>
      <c r="J908" s="63"/>
      <c r="K908" s="63"/>
      <c r="L908" s="63"/>
      <c r="M908" s="63"/>
      <c r="N908" s="63"/>
      <c r="O908" s="63"/>
      <c r="P908" s="63"/>
      <c r="Q908" s="63"/>
      <c r="R908" s="63"/>
      <c r="S908" s="63"/>
      <c r="T908" s="63"/>
      <c r="U908" s="63"/>
      <c r="V908" s="63"/>
      <c r="W908" s="63"/>
      <c r="X908" s="63"/>
      <c r="Y908" s="63"/>
      <c r="Z908" s="63"/>
    </row>
    <row r="909" ht="12.0" customHeight="1">
      <c r="A909" s="63"/>
      <c r="B909" s="63"/>
      <c r="C909" s="63"/>
      <c r="D909" s="63"/>
      <c r="E909" s="63"/>
      <c r="F909" s="63"/>
      <c r="G909" s="63"/>
      <c r="H909" s="63"/>
      <c r="I909" s="63"/>
      <c r="J909" s="63"/>
      <c r="K909" s="63"/>
      <c r="L909" s="63"/>
      <c r="M909" s="63"/>
      <c r="N909" s="63"/>
      <c r="O909" s="63"/>
      <c r="P909" s="63"/>
      <c r="Q909" s="63"/>
      <c r="R909" s="63"/>
      <c r="S909" s="63"/>
      <c r="T909" s="63"/>
      <c r="U909" s="63"/>
      <c r="V909" s="63"/>
      <c r="W909" s="63"/>
      <c r="X909" s="63"/>
      <c r="Y909" s="63"/>
      <c r="Z909" s="63"/>
    </row>
    <row r="910" ht="12.0" customHeight="1">
      <c r="A910" s="63"/>
      <c r="B910" s="63"/>
      <c r="C910" s="63"/>
      <c r="D910" s="63"/>
      <c r="E910" s="63"/>
      <c r="F910" s="63"/>
      <c r="G910" s="63"/>
      <c r="H910" s="63"/>
      <c r="I910" s="63"/>
      <c r="J910" s="63"/>
      <c r="K910" s="63"/>
      <c r="L910" s="63"/>
      <c r="M910" s="63"/>
      <c r="N910" s="63"/>
      <c r="O910" s="63"/>
      <c r="P910" s="63"/>
      <c r="Q910" s="63"/>
      <c r="R910" s="63"/>
      <c r="S910" s="63"/>
      <c r="T910" s="63"/>
      <c r="U910" s="63"/>
      <c r="V910" s="63"/>
      <c r="W910" s="63"/>
      <c r="X910" s="63"/>
      <c r="Y910" s="63"/>
      <c r="Z910" s="63"/>
    </row>
    <row r="911" ht="12.0" customHeight="1">
      <c r="A911" s="63"/>
      <c r="B911" s="63"/>
      <c r="C911" s="63"/>
      <c r="D911" s="63"/>
      <c r="E911" s="63"/>
      <c r="F911" s="63"/>
      <c r="G911" s="63"/>
      <c r="H911" s="63"/>
      <c r="I911" s="63"/>
      <c r="J911" s="63"/>
      <c r="K911" s="63"/>
      <c r="L911" s="63"/>
      <c r="M911" s="63"/>
      <c r="N911" s="63"/>
      <c r="O911" s="63"/>
      <c r="P911" s="63"/>
      <c r="Q911" s="63"/>
      <c r="R911" s="63"/>
      <c r="S911" s="63"/>
      <c r="T911" s="63"/>
      <c r="U911" s="63"/>
      <c r="V911" s="63"/>
      <c r="W911" s="63"/>
      <c r="X911" s="63"/>
      <c r="Y911" s="63"/>
      <c r="Z911" s="63"/>
    </row>
    <row r="912" ht="12.0" customHeight="1">
      <c r="A912" s="63"/>
      <c r="B912" s="63"/>
      <c r="C912" s="63"/>
      <c r="D912" s="63"/>
      <c r="E912" s="63"/>
      <c r="F912" s="63"/>
      <c r="G912" s="63"/>
      <c r="H912" s="63"/>
      <c r="I912" s="63"/>
      <c r="J912" s="63"/>
      <c r="K912" s="63"/>
      <c r="L912" s="63"/>
      <c r="M912" s="63"/>
      <c r="N912" s="63"/>
      <c r="O912" s="63"/>
      <c r="P912" s="63"/>
      <c r="Q912" s="63"/>
      <c r="R912" s="63"/>
      <c r="S912" s="63"/>
      <c r="T912" s="63"/>
      <c r="U912" s="63"/>
      <c r="V912" s="63"/>
      <c r="W912" s="63"/>
      <c r="X912" s="63"/>
      <c r="Y912" s="63"/>
      <c r="Z912" s="63"/>
    </row>
    <row r="913" ht="12.0" customHeight="1">
      <c r="A913" s="63"/>
      <c r="B913" s="63"/>
      <c r="C913" s="63"/>
      <c r="D913" s="63"/>
      <c r="E913" s="63"/>
      <c r="F913" s="63"/>
      <c r="G913" s="63"/>
      <c r="H913" s="63"/>
      <c r="I913" s="63"/>
      <c r="J913" s="63"/>
      <c r="K913" s="63"/>
      <c r="L913" s="63"/>
      <c r="M913" s="63"/>
      <c r="N913" s="63"/>
      <c r="O913" s="63"/>
      <c r="P913" s="63"/>
      <c r="Q913" s="63"/>
      <c r="R913" s="63"/>
      <c r="S913" s="63"/>
      <c r="T913" s="63"/>
      <c r="U913" s="63"/>
      <c r="V913" s="63"/>
      <c r="W913" s="63"/>
      <c r="X913" s="63"/>
      <c r="Y913" s="63"/>
      <c r="Z913" s="63"/>
    </row>
    <row r="914" ht="12.0" customHeight="1">
      <c r="A914" s="63"/>
      <c r="B914" s="63"/>
      <c r="C914" s="63"/>
      <c r="D914" s="63"/>
      <c r="E914" s="63"/>
      <c r="F914" s="63"/>
      <c r="G914" s="63"/>
      <c r="H914" s="63"/>
      <c r="I914" s="63"/>
      <c r="J914" s="63"/>
      <c r="K914" s="63"/>
      <c r="L914" s="63"/>
      <c r="M914" s="63"/>
      <c r="N914" s="63"/>
      <c r="O914" s="63"/>
      <c r="P914" s="63"/>
      <c r="Q914" s="63"/>
      <c r="R914" s="63"/>
      <c r="S914" s="63"/>
      <c r="T914" s="63"/>
      <c r="U914" s="63"/>
      <c r="V914" s="63"/>
      <c r="W914" s="63"/>
      <c r="X914" s="63"/>
      <c r="Y914" s="63"/>
      <c r="Z914" s="63"/>
    </row>
    <row r="915" ht="12.0" customHeight="1">
      <c r="A915" s="63"/>
      <c r="B915" s="63"/>
      <c r="C915" s="63"/>
      <c r="D915" s="63"/>
      <c r="E915" s="63"/>
      <c r="F915" s="63"/>
      <c r="G915" s="63"/>
      <c r="H915" s="63"/>
      <c r="I915" s="63"/>
      <c r="J915" s="63"/>
      <c r="K915" s="63"/>
      <c r="L915" s="63"/>
      <c r="M915" s="63"/>
      <c r="N915" s="63"/>
      <c r="O915" s="63"/>
      <c r="P915" s="63"/>
      <c r="Q915" s="63"/>
      <c r="R915" s="63"/>
      <c r="S915" s="63"/>
      <c r="T915" s="63"/>
      <c r="U915" s="63"/>
      <c r="V915" s="63"/>
      <c r="W915" s="63"/>
      <c r="X915" s="63"/>
      <c r="Y915" s="63"/>
      <c r="Z915" s="63"/>
    </row>
    <row r="916" ht="12.0" customHeight="1">
      <c r="A916" s="63"/>
      <c r="B916" s="63"/>
      <c r="C916" s="63"/>
      <c r="D916" s="63"/>
      <c r="E916" s="63"/>
      <c r="F916" s="63"/>
      <c r="G916" s="63"/>
      <c r="H916" s="63"/>
      <c r="I916" s="63"/>
      <c r="J916" s="63"/>
      <c r="K916" s="63"/>
      <c r="L916" s="63"/>
      <c r="M916" s="63"/>
      <c r="N916" s="63"/>
      <c r="O916" s="63"/>
      <c r="P916" s="63"/>
      <c r="Q916" s="63"/>
      <c r="R916" s="63"/>
      <c r="S916" s="63"/>
      <c r="T916" s="63"/>
      <c r="U916" s="63"/>
      <c r="V916" s="63"/>
      <c r="W916" s="63"/>
      <c r="X916" s="63"/>
      <c r="Y916" s="63"/>
      <c r="Z916" s="63"/>
    </row>
    <row r="917" ht="12.0" customHeight="1">
      <c r="A917" s="63"/>
      <c r="B917" s="63"/>
      <c r="C917" s="63"/>
      <c r="D917" s="63"/>
      <c r="E917" s="63"/>
      <c r="F917" s="63"/>
      <c r="G917" s="63"/>
      <c r="H917" s="63"/>
      <c r="I917" s="63"/>
      <c r="J917" s="63"/>
      <c r="K917" s="63"/>
      <c r="L917" s="63"/>
      <c r="M917" s="63"/>
      <c r="N917" s="63"/>
      <c r="O917" s="63"/>
      <c r="P917" s="63"/>
      <c r="Q917" s="63"/>
      <c r="R917" s="63"/>
      <c r="S917" s="63"/>
      <c r="T917" s="63"/>
      <c r="U917" s="63"/>
      <c r="V917" s="63"/>
      <c r="W917" s="63"/>
      <c r="X917" s="63"/>
      <c r="Y917" s="63"/>
      <c r="Z917" s="63"/>
    </row>
    <row r="918" ht="12.0" customHeight="1">
      <c r="A918" s="63"/>
      <c r="B918" s="63"/>
      <c r="C918" s="63"/>
      <c r="D918" s="63"/>
      <c r="E918" s="63"/>
      <c r="F918" s="63"/>
      <c r="G918" s="63"/>
      <c r="H918" s="63"/>
      <c r="I918" s="63"/>
      <c r="J918" s="63"/>
      <c r="K918" s="63"/>
      <c r="L918" s="63"/>
      <c r="M918" s="63"/>
      <c r="N918" s="63"/>
      <c r="O918" s="63"/>
      <c r="P918" s="63"/>
      <c r="Q918" s="63"/>
      <c r="R918" s="63"/>
      <c r="S918" s="63"/>
      <c r="T918" s="63"/>
      <c r="U918" s="63"/>
      <c r="V918" s="63"/>
      <c r="W918" s="63"/>
      <c r="X918" s="63"/>
      <c r="Y918" s="63"/>
      <c r="Z918" s="63"/>
    </row>
    <row r="919" ht="12.0" customHeight="1">
      <c r="A919" s="63"/>
      <c r="B919" s="63"/>
      <c r="C919" s="63"/>
      <c r="D919" s="63"/>
      <c r="E919" s="63"/>
      <c r="F919" s="63"/>
      <c r="G919" s="63"/>
      <c r="H919" s="63"/>
      <c r="I919" s="63"/>
      <c r="J919" s="63"/>
      <c r="K919" s="63"/>
      <c r="L919" s="63"/>
      <c r="M919" s="63"/>
      <c r="N919" s="63"/>
      <c r="O919" s="63"/>
      <c r="P919" s="63"/>
      <c r="Q919" s="63"/>
      <c r="R919" s="63"/>
      <c r="S919" s="63"/>
      <c r="T919" s="63"/>
      <c r="U919" s="63"/>
      <c r="V919" s="63"/>
      <c r="W919" s="63"/>
      <c r="X919" s="63"/>
      <c r="Y919" s="63"/>
      <c r="Z919" s="63"/>
    </row>
    <row r="920" ht="12.0" customHeight="1">
      <c r="A920" s="63"/>
      <c r="B920" s="63"/>
      <c r="C920" s="63"/>
      <c r="D920" s="63"/>
      <c r="E920" s="63"/>
      <c r="F920" s="63"/>
      <c r="G920" s="63"/>
      <c r="H920" s="63"/>
      <c r="I920" s="63"/>
      <c r="J920" s="63"/>
      <c r="K920" s="63"/>
      <c r="L920" s="63"/>
      <c r="M920" s="63"/>
      <c r="N920" s="63"/>
      <c r="O920" s="63"/>
      <c r="P920" s="63"/>
      <c r="Q920" s="63"/>
      <c r="R920" s="63"/>
      <c r="S920" s="63"/>
      <c r="T920" s="63"/>
      <c r="U920" s="63"/>
      <c r="V920" s="63"/>
      <c r="W920" s="63"/>
      <c r="X920" s="63"/>
      <c r="Y920" s="63"/>
      <c r="Z920" s="63"/>
    </row>
    <row r="921" ht="12.0" customHeight="1">
      <c r="A921" s="63"/>
      <c r="B921" s="63"/>
      <c r="C921" s="63"/>
      <c r="D921" s="63"/>
      <c r="E921" s="63"/>
      <c r="F921" s="63"/>
      <c r="G921" s="63"/>
      <c r="H921" s="63"/>
      <c r="I921" s="63"/>
      <c r="J921" s="63"/>
      <c r="K921" s="63"/>
      <c r="L921" s="63"/>
      <c r="M921" s="63"/>
      <c r="N921" s="63"/>
      <c r="O921" s="63"/>
      <c r="P921" s="63"/>
      <c r="Q921" s="63"/>
      <c r="R921" s="63"/>
      <c r="S921" s="63"/>
      <c r="T921" s="63"/>
      <c r="U921" s="63"/>
      <c r="V921" s="63"/>
      <c r="W921" s="63"/>
      <c r="X921" s="63"/>
      <c r="Y921" s="63"/>
      <c r="Z921" s="63"/>
    </row>
    <row r="922" ht="12.0" customHeight="1">
      <c r="A922" s="63"/>
      <c r="B922" s="63"/>
      <c r="C922" s="63"/>
      <c r="D922" s="63"/>
      <c r="E922" s="63"/>
      <c r="F922" s="63"/>
      <c r="G922" s="63"/>
      <c r="H922" s="63"/>
      <c r="I922" s="63"/>
      <c r="J922" s="63"/>
      <c r="K922" s="63"/>
      <c r="L922" s="63"/>
      <c r="M922" s="63"/>
      <c r="N922" s="63"/>
      <c r="O922" s="63"/>
      <c r="P922" s="63"/>
      <c r="Q922" s="63"/>
      <c r="R922" s="63"/>
      <c r="S922" s="63"/>
      <c r="T922" s="63"/>
      <c r="U922" s="63"/>
      <c r="V922" s="63"/>
      <c r="W922" s="63"/>
      <c r="X922" s="63"/>
      <c r="Y922" s="63"/>
      <c r="Z922" s="63"/>
    </row>
    <row r="923" ht="12.0" customHeight="1">
      <c r="A923" s="63"/>
      <c r="B923" s="63"/>
      <c r="C923" s="63"/>
      <c r="D923" s="63"/>
      <c r="E923" s="63"/>
      <c r="F923" s="63"/>
      <c r="G923" s="63"/>
      <c r="H923" s="63"/>
      <c r="I923" s="63"/>
      <c r="J923" s="63"/>
      <c r="K923" s="63"/>
      <c r="L923" s="63"/>
      <c r="M923" s="63"/>
      <c r="N923" s="63"/>
      <c r="O923" s="63"/>
      <c r="P923" s="63"/>
      <c r="Q923" s="63"/>
      <c r="R923" s="63"/>
      <c r="S923" s="63"/>
      <c r="T923" s="63"/>
      <c r="U923" s="63"/>
      <c r="V923" s="63"/>
      <c r="W923" s="63"/>
      <c r="X923" s="63"/>
      <c r="Y923" s="63"/>
      <c r="Z923" s="63"/>
    </row>
    <row r="924" ht="12.0" customHeight="1">
      <c r="A924" s="63"/>
      <c r="B924" s="63"/>
      <c r="C924" s="63"/>
      <c r="D924" s="63"/>
      <c r="E924" s="63"/>
      <c r="F924" s="63"/>
      <c r="G924" s="63"/>
      <c r="H924" s="63"/>
      <c r="I924" s="63"/>
      <c r="J924" s="63"/>
      <c r="K924" s="63"/>
      <c r="L924" s="63"/>
      <c r="M924" s="63"/>
      <c r="N924" s="63"/>
      <c r="O924" s="63"/>
      <c r="P924" s="63"/>
      <c r="Q924" s="63"/>
      <c r="R924" s="63"/>
      <c r="S924" s="63"/>
      <c r="T924" s="63"/>
      <c r="U924" s="63"/>
      <c r="V924" s="63"/>
      <c r="W924" s="63"/>
      <c r="X924" s="63"/>
      <c r="Y924" s="63"/>
      <c r="Z924" s="63"/>
    </row>
    <row r="925" ht="12.0" customHeight="1">
      <c r="A925" s="63"/>
      <c r="B925" s="63"/>
      <c r="C925" s="63"/>
      <c r="D925" s="63"/>
      <c r="E925" s="63"/>
      <c r="F925" s="63"/>
      <c r="G925" s="63"/>
      <c r="H925" s="63"/>
      <c r="I925" s="63"/>
      <c r="J925" s="63"/>
      <c r="K925" s="63"/>
      <c r="L925" s="63"/>
      <c r="M925" s="63"/>
      <c r="N925" s="63"/>
      <c r="O925" s="63"/>
      <c r="P925" s="63"/>
      <c r="Q925" s="63"/>
      <c r="R925" s="63"/>
      <c r="S925" s="63"/>
      <c r="T925" s="63"/>
      <c r="U925" s="63"/>
      <c r="V925" s="63"/>
      <c r="W925" s="63"/>
      <c r="X925" s="63"/>
      <c r="Y925" s="63"/>
      <c r="Z925" s="63"/>
    </row>
    <row r="926" ht="12.0" customHeight="1">
      <c r="A926" s="63"/>
      <c r="B926" s="63"/>
      <c r="C926" s="63"/>
      <c r="D926" s="63"/>
      <c r="E926" s="63"/>
      <c r="F926" s="63"/>
      <c r="G926" s="63"/>
      <c r="H926" s="63"/>
      <c r="I926" s="63"/>
      <c r="J926" s="63"/>
      <c r="K926" s="63"/>
      <c r="L926" s="63"/>
      <c r="M926" s="63"/>
      <c r="N926" s="63"/>
      <c r="O926" s="63"/>
      <c r="P926" s="63"/>
      <c r="Q926" s="63"/>
      <c r="R926" s="63"/>
      <c r="S926" s="63"/>
      <c r="T926" s="63"/>
      <c r="U926" s="63"/>
      <c r="V926" s="63"/>
      <c r="W926" s="63"/>
      <c r="X926" s="63"/>
      <c r="Y926" s="63"/>
      <c r="Z926" s="63"/>
    </row>
    <row r="927" ht="12.0" customHeight="1">
      <c r="A927" s="63"/>
      <c r="B927" s="63"/>
      <c r="C927" s="63"/>
      <c r="D927" s="63"/>
      <c r="E927" s="63"/>
      <c r="F927" s="63"/>
      <c r="G927" s="63"/>
      <c r="H927" s="63"/>
      <c r="I927" s="63"/>
      <c r="J927" s="63"/>
      <c r="K927" s="63"/>
      <c r="L927" s="63"/>
      <c r="M927" s="63"/>
      <c r="N927" s="63"/>
      <c r="O927" s="63"/>
      <c r="P927" s="63"/>
      <c r="Q927" s="63"/>
      <c r="R927" s="63"/>
      <c r="S927" s="63"/>
      <c r="T927" s="63"/>
      <c r="U927" s="63"/>
      <c r="V927" s="63"/>
      <c r="W927" s="63"/>
      <c r="X927" s="63"/>
      <c r="Y927" s="63"/>
      <c r="Z927" s="63"/>
    </row>
    <row r="928" ht="12.0" customHeight="1">
      <c r="A928" s="63"/>
      <c r="B928" s="63"/>
      <c r="C928" s="63"/>
      <c r="D928" s="63"/>
      <c r="E928" s="63"/>
      <c r="F928" s="63"/>
      <c r="G928" s="63"/>
      <c r="H928" s="63"/>
      <c r="I928" s="63"/>
      <c r="J928" s="63"/>
      <c r="K928" s="63"/>
      <c r="L928" s="63"/>
      <c r="M928" s="63"/>
      <c r="N928" s="63"/>
      <c r="O928" s="63"/>
      <c r="P928" s="63"/>
      <c r="Q928" s="63"/>
      <c r="R928" s="63"/>
      <c r="S928" s="63"/>
      <c r="T928" s="63"/>
      <c r="U928" s="63"/>
      <c r="V928" s="63"/>
      <c r="W928" s="63"/>
      <c r="X928" s="63"/>
      <c r="Y928" s="63"/>
      <c r="Z928" s="63"/>
    </row>
    <row r="929" ht="12.0" customHeight="1">
      <c r="A929" s="63"/>
      <c r="B929" s="63"/>
      <c r="C929" s="63"/>
      <c r="D929" s="63"/>
      <c r="E929" s="63"/>
      <c r="F929" s="63"/>
      <c r="G929" s="63"/>
      <c r="H929" s="63"/>
      <c r="I929" s="63"/>
      <c r="J929" s="63"/>
      <c r="K929" s="63"/>
      <c r="L929" s="63"/>
      <c r="M929" s="63"/>
      <c r="N929" s="63"/>
      <c r="O929" s="63"/>
      <c r="P929" s="63"/>
      <c r="Q929" s="63"/>
      <c r="R929" s="63"/>
      <c r="S929" s="63"/>
      <c r="T929" s="63"/>
      <c r="U929" s="63"/>
      <c r="V929" s="63"/>
      <c r="W929" s="63"/>
      <c r="X929" s="63"/>
      <c r="Y929" s="63"/>
      <c r="Z929" s="63"/>
    </row>
    <row r="930" ht="12.0" customHeight="1">
      <c r="A930" s="63"/>
      <c r="B930" s="63"/>
      <c r="C930" s="63"/>
      <c r="D930" s="63"/>
      <c r="E930" s="63"/>
      <c r="F930" s="63"/>
      <c r="G930" s="63"/>
      <c r="H930" s="63"/>
      <c r="I930" s="63"/>
      <c r="J930" s="63"/>
      <c r="K930" s="63"/>
      <c r="L930" s="63"/>
      <c r="M930" s="63"/>
      <c r="N930" s="63"/>
      <c r="O930" s="63"/>
      <c r="P930" s="63"/>
      <c r="Q930" s="63"/>
      <c r="R930" s="63"/>
      <c r="S930" s="63"/>
      <c r="T930" s="63"/>
      <c r="U930" s="63"/>
      <c r="V930" s="63"/>
      <c r="W930" s="63"/>
      <c r="X930" s="63"/>
      <c r="Y930" s="63"/>
      <c r="Z930" s="63"/>
    </row>
    <row r="931" ht="12.0" customHeight="1">
      <c r="A931" s="63"/>
      <c r="B931" s="63"/>
      <c r="C931" s="63"/>
      <c r="D931" s="63"/>
      <c r="E931" s="63"/>
      <c r="F931" s="63"/>
      <c r="G931" s="63"/>
      <c r="H931" s="63"/>
      <c r="I931" s="63"/>
      <c r="J931" s="63"/>
      <c r="K931" s="63"/>
      <c r="L931" s="63"/>
      <c r="M931" s="63"/>
      <c r="N931" s="63"/>
      <c r="O931" s="63"/>
      <c r="P931" s="63"/>
      <c r="Q931" s="63"/>
      <c r="R931" s="63"/>
      <c r="S931" s="63"/>
      <c r="T931" s="63"/>
      <c r="U931" s="63"/>
      <c r="V931" s="63"/>
      <c r="W931" s="63"/>
      <c r="X931" s="63"/>
      <c r="Y931" s="63"/>
      <c r="Z931" s="63"/>
    </row>
    <row r="932" ht="12.0" customHeight="1">
      <c r="A932" s="63"/>
      <c r="B932" s="63"/>
      <c r="C932" s="63"/>
      <c r="D932" s="63"/>
      <c r="E932" s="63"/>
      <c r="F932" s="63"/>
      <c r="G932" s="63"/>
      <c r="H932" s="63"/>
      <c r="I932" s="63"/>
      <c r="J932" s="63"/>
      <c r="K932" s="63"/>
      <c r="L932" s="63"/>
      <c r="M932" s="63"/>
      <c r="N932" s="63"/>
      <c r="O932" s="63"/>
      <c r="P932" s="63"/>
      <c r="Q932" s="63"/>
      <c r="R932" s="63"/>
      <c r="S932" s="63"/>
      <c r="T932" s="63"/>
      <c r="U932" s="63"/>
      <c r="V932" s="63"/>
      <c r="W932" s="63"/>
      <c r="X932" s="63"/>
      <c r="Y932" s="63"/>
      <c r="Z932" s="63"/>
    </row>
    <row r="933" ht="12.0" customHeight="1">
      <c r="A933" s="63"/>
      <c r="B933" s="63"/>
      <c r="C933" s="63"/>
      <c r="D933" s="63"/>
      <c r="E933" s="63"/>
      <c r="F933" s="63"/>
      <c r="G933" s="63"/>
      <c r="H933" s="63"/>
      <c r="I933" s="63"/>
      <c r="J933" s="63"/>
      <c r="K933" s="63"/>
      <c r="L933" s="63"/>
      <c r="M933" s="63"/>
      <c r="N933" s="63"/>
      <c r="O933" s="63"/>
      <c r="P933" s="63"/>
      <c r="Q933" s="63"/>
      <c r="R933" s="63"/>
      <c r="S933" s="63"/>
      <c r="T933" s="63"/>
      <c r="U933" s="63"/>
      <c r="V933" s="63"/>
      <c r="W933" s="63"/>
      <c r="X933" s="63"/>
      <c r="Y933" s="63"/>
      <c r="Z933" s="63"/>
    </row>
    <row r="934" ht="12.0" customHeight="1">
      <c r="A934" s="63"/>
      <c r="B934" s="63"/>
      <c r="C934" s="63"/>
      <c r="D934" s="63"/>
      <c r="E934" s="63"/>
      <c r="F934" s="63"/>
      <c r="G934" s="63"/>
      <c r="H934" s="63"/>
      <c r="I934" s="63"/>
      <c r="J934" s="63"/>
      <c r="K934" s="63"/>
      <c r="L934" s="63"/>
      <c r="M934" s="63"/>
      <c r="N934" s="63"/>
      <c r="O934" s="63"/>
      <c r="P934" s="63"/>
      <c r="Q934" s="63"/>
      <c r="R934" s="63"/>
      <c r="S934" s="63"/>
      <c r="T934" s="63"/>
      <c r="U934" s="63"/>
      <c r="V934" s="63"/>
      <c r="W934" s="63"/>
      <c r="X934" s="63"/>
      <c r="Y934" s="63"/>
      <c r="Z934" s="63"/>
    </row>
    <row r="935" ht="12.0" customHeight="1">
      <c r="A935" s="63"/>
      <c r="B935" s="63"/>
      <c r="C935" s="63"/>
      <c r="D935" s="63"/>
      <c r="E935" s="63"/>
      <c r="F935" s="63"/>
      <c r="G935" s="63"/>
      <c r="H935" s="63"/>
      <c r="I935" s="63"/>
      <c r="J935" s="63"/>
      <c r="K935" s="63"/>
      <c r="L935" s="63"/>
      <c r="M935" s="63"/>
      <c r="N935" s="63"/>
      <c r="O935" s="63"/>
      <c r="P935" s="63"/>
      <c r="Q935" s="63"/>
      <c r="R935" s="63"/>
      <c r="S935" s="63"/>
      <c r="T935" s="63"/>
      <c r="U935" s="63"/>
      <c r="V935" s="63"/>
      <c r="W935" s="63"/>
      <c r="X935" s="63"/>
      <c r="Y935" s="63"/>
      <c r="Z935" s="63"/>
    </row>
    <row r="936" ht="12.0" customHeight="1">
      <c r="A936" s="63"/>
      <c r="B936" s="63"/>
      <c r="C936" s="63"/>
      <c r="D936" s="63"/>
      <c r="E936" s="63"/>
      <c r="F936" s="63"/>
      <c r="G936" s="63"/>
      <c r="H936" s="63"/>
      <c r="I936" s="63"/>
      <c r="J936" s="63"/>
      <c r="K936" s="63"/>
      <c r="L936" s="63"/>
      <c r="M936" s="63"/>
      <c r="N936" s="63"/>
      <c r="O936" s="63"/>
      <c r="P936" s="63"/>
      <c r="Q936" s="63"/>
      <c r="R936" s="63"/>
      <c r="S936" s="63"/>
      <c r="T936" s="63"/>
      <c r="U936" s="63"/>
      <c r="V936" s="63"/>
      <c r="W936" s="63"/>
      <c r="X936" s="63"/>
      <c r="Y936" s="63"/>
      <c r="Z936" s="63"/>
    </row>
    <row r="937" ht="12.0" customHeight="1">
      <c r="A937" s="63"/>
      <c r="B937" s="63"/>
      <c r="C937" s="63"/>
      <c r="D937" s="63"/>
      <c r="E937" s="63"/>
      <c r="F937" s="63"/>
      <c r="G937" s="63"/>
      <c r="H937" s="63"/>
      <c r="I937" s="63"/>
      <c r="J937" s="63"/>
      <c r="K937" s="63"/>
      <c r="L937" s="63"/>
      <c r="M937" s="63"/>
      <c r="N937" s="63"/>
      <c r="O937" s="63"/>
      <c r="P937" s="63"/>
      <c r="Q937" s="63"/>
      <c r="R937" s="63"/>
      <c r="S937" s="63"/>
      <c r="T937" s="63"/>
      <c r="U937" s="63"/>
      <c r="V937" s="63"/>
      <c r="W937" s="63"/>
      <c r="X937" s="63"/>
      <c r="Y937" s="63"/>
      <c r="Z937" s="63"/>
    </row>
    <row r="938" ht="12.0" customHeight="1">
      <c r="A938" s="63"/>
      <c r="B938" s="63"/>
      <c r="C938" s="63"/>
      <c r="D938" s="63"/>
      <c r="E938" s="63"/>
      <c r="F938" s="63"/>
      <c r="G938" s="63"/>
      <c r="H938" s="63"/>
      <c r="I938" s="63"/>
      <c r="J938" s="63"/>
      <c r="K938" s="63"/>
      <c r="L938" s="63"/>
      <c r="M938" s="63"/>
      <c r="N938" s="63"/>
      <c r="O938" s="63"/>
      <c r="P938" s="63"/>
      <c r="Q938" s="63"/>
      <c r="R938" s="63"/>
      <c r="S938" s="63"/>
      <c r="T938" s="63"/>
      <c r="U938" s="63"/>
      <c r="V938" s="63"/>
      <c r="W938" s="63"/>
      <c r="X938" s="63"/>
      <c r="Y938" s="63"/>
      <c r="Z938" s="63"/>
    </row>
    <row r="939" ht="12.0" customHeight="1">
      <c r="A939" s="63"/>
      <c r="B939" s="63"/>
      <c r="C939" s="63"/>
      <c r="D939" s="63"/>
      <c r="E939" s="63"/>
      <c r="F939" s="63"/>
      <c r="G939" s="63"/>
      <c r="H939" s="63"/>
      <c r="I939" s="63"/>
      <c r="J939" s="63"/>
      <c r="K939" s="63"/>
      <c r="L939" s="63"/>
      <c r="M939" s="63"/>
      <c r="N939" s="63"/>
      <c r="O939" s="63"/>
      <c r="P939" s="63"/>
      <c r="Q939" s="63"/>
      <c r="R939" s="63"/>
      <c r="S939" s="63"/>
      <c r="T939" s="63"/>
      <c r="U939" s="63"/>
      <c r="V939" s="63"/>
      <c r="W939" s="63"/>
      <c r="X939" s="63"/>
      <c r="Y939" s="63"/>
      <c r="Z939" s="63"/>
    </row>
    <row r="940" ht="12.0" customHeight="1">
      <c r="A940" s="63"/>
      <c r="B940" s="63"/>
      <c r="C940" s="63"/>
      <c r="D940" s="63"/>
      <c r="E940" s="63"/>
      <c r="F940" s="63"/>
      <c r="G940" s="63"/>
      <c r="H940" s="63"/>
      <c r="I940" s="63"/>
      <c r="J940" s="63"/>
      <c r="K940" s="63"/>
      <c r="L940" s="63"/>
      <c r="M940" s="63"/>
      <c r="N940" s="63"/>
      <c r="O940" s="63"/>
      <c r="P940" s="63"/>
      <c r="Q940" s="63"/>
      <c r="R940" s="63"/>
      <c r="S940" s="63"/>
      <c r="T940" s="63"/>
      <c r="U940" s="63"/>
      <c r="V940" s="63"/>
      <c r="W940" s="63"/>
      <c r="X940" s="63"/>
      <c r="Y940" s="63"/>
      <c r="Z940" s="63"/>
    </row>
    <row r="941" ht="12.0" customHeight="1">
      <c r="A941" s="63"/>
      <c r="B941" s="63"/>
      <c r="C941" s="63"/>
      <c r="D941" s="63"/>
      <c r="E941" s="63"/>
      <c r="F941" s="63"/>
      <c r="G941" s="63"/>
      <c r="H941" s="63"/>
      <c r="I941" s="63"/>
      <c r="J941" s="63"/>
      <c r="K941" s="63"/>
      <c r="L941" s="63"/>
      <c r="M941" s="63"/>
      <c r="N941" s="63"/>
      <c r="O941" s="63"/>
      <c r="P941" s="63"/>
      <c r="Q941" s="63"/>
      <c r="R941" s="63"/>
      <c r="S941" s="63"/>
      <c r="T941" s="63"/>
      <c r="U941" s="63"/>
      <c r="V941" s="63"/>
      <c r="W941" s="63"/>
      <c r="X941" s="63"/>
      <c r="Y941" s="63"/>
      <c r="Z941" s="63"/>
    </row>
    <row r="942" ht="12.0" customHeight="1">
      <c r="A942" s="63"/>
      <c r="B942" s="63"/>
      <c r="C942" s="63"/>
      <c r="D942" s="63"/>
      <c r="E942" s="63"/>
      <c r="F942" s="63"/>
      <c r="G942" s="63"/>
      <c r="H942" s="63"/>
      <c r="I942" s="63"/>
      <c r="J942" s="63"/>
      <c r="K942" s="63"/>
      <c r="L942" s="63"/>
      <c r="M942" s="63"/>
      <c r="N942" s="63"/>
      <c r="O942" s="63"/>
      <c r="P942" s="63"/>
      <c r="Q942" s="63"/>
      <c r="R942" s="63"/>
      <c r="S942" s="63"/>
      <c r="T942" s="63"/>
      <c r="U942" s="63"/>
      <c r="V942" s="63"/>
      <c r="W942" s="63"/>
      <c r="X942" s="63"/>
      <c r="Y942" s="63"/>
      <c r="Z942" s="63"/>
    </row>
    <row r="943" ht="12.0" customHeight="1">
      <c r="A943" s="63"/>
      <c r="B943" s="63"/>
      <c r="C943" s="63"/>
      <c r="D943" s="63"/>
      <c r="E943" s="63"/>
      <c r="F943" s="63"/>
      <c r="G943" s="63"/>
      <c r="H943" s="63"/>
      <c r="I943" s="63"/>
      <c r="J943" s="63"/>
      <c r="K943" s="63"/>
      <c r="L943" s="63"/>
      <c r="M943" s="63"/>
      <c r="N943" s="63"/>
      <c r="O943" s="63"/>
      <c r="P943" s="63"/>
      <c r="Q943" s="63"/>
      <c r="R943" s="63"/>
      <c r="S943" s="63"/>
      <c r="T943" s="63"/>
      <c r="U943" s="63"/>
      <c r="V943" s="63"/>
      <c r="W943" s="63"/>
      <c r="X943" s="63"/>
      <c r="Y943" s="63"/>
      <c r="Z943" s="63"/>
    </row>
    <row r="944" ht="12.0" customHeight="1">
      <c r="A944" s="63"/>
      <c r="B944" s="63"/>
      <c r="C944" s="63"/>
      <c r="D944" s="63"/>
      <c r="E944" s="63"/>
      <c r="F944" s="63"/>
      <c r="G944" s="63"/>
      <c r="H944" s="63"/>
      <c r="I944" s="63"/>
      <c r="J944" s="63"/>
      <c r="K944" s="63"/>
      <c r="L944" s="63"/>
      <c r="M944" s="63"/>
      <c r="N944" s="63"/>
      <c r="O944" s="63"/>
      <c r="P944" s="63"/>
      <c r="Q944" s="63"/>
      <c r="R944" s="63"/>
      <c r="S944" s="63"/>
      <c r="T944" s="63"/>
      <c r="U944" s="63"/>
      <c r="V944" s="63"/>
      <c r="W944" s="63"/>
      <c r="X944" s="63"/>
      <c r="Y944" s="63"/>
      <c r="Z944" s="63"/>
    </row>
    <row r="945" ht="12.0" customHeight="1">
      <c r="A945" s="63"/>
      <c r="B945" s="63"/>
      <c r="C945" s="63"/>
      <c r="D945" s="63"/>
      <c r="E945" s="63"/>
      <c r="F945" s="63"/>
      <c r="G945" s="63"/>
      <c r="H945" s="63"/>
      <c r="I945" s="63"/>
      <c r="J945" s="63"/>
      <c r="K945" s="63"/>
      <c r="L945" s="63"/>
      <c r="M945" s="63"/>
      <c r="N945" s="63"/>
      <c r="O945" s="63"/>
      <c r="P945" s="63"/>
      <c r="Q945" s="63"/>
      <c r="R945" s="63"/>
      <c r="S945" s="63"/>
      <c r="T945" s="63"/>
      <c r="U945" s="63"/>
      <c r="V945" s="63"/>
      <c r="W945" s="63"/>
      <c r="X945" s="63"/>
      <c r="Y945" s="63"/>
      <c r="Z945" s="63"/>
    </row>
    <row r="946" ht="12.0" customHeight="1">
      <c r="A946" s="63"/>
      <c r="B946" s="63"/>
      <c r="C946" s="63"/>
      <c r="D946" s="63"/>
      <c r="E946" s="63"/>
      <c r="F946" s="63"/>
      <c r="G946" s="63"/>
      <c r="H946" s="63"/>
      <c r="I946" s="63"/>
      <c r="J946" s="63"/>
      <c r="K946" s="63"/>
      <c r="L946" s="63"/>
      <c r="M946" s="63"/>
      <c r="N946" s="63"/>
      <c r="O946" s="63"/>
      <c r="P946" s="63"/>
      <c r="Q946" s="63"/>
      <c r="R946" s="63"/>
      <c r="S946" s="63"/>
      <c r="T946" s="63"/>
      <c r="U946" s="63"/>
      <c r="V946" s="63"/>
      <c r="W946" s="63"/>
      <c r="X946" s="63"/>
      <c r="Y946" s="63"/>
      <c r="Z946" s="63"/>
    </row>
    <row r="947" ht="12.0" customHeight="1">
      <c r="A947" s="63"/>
      <c r="B947" s="63"/>
      <c r="C947" s="63"/>
      <c r="D947" s="63"/>
      <c r="E947" s="63"/>
      <c r="F947" s="63"/>
      <c r="G947" s="63"/>
      <c r="H947" s="63"/>
      <c r="I947" s="63"/>
      <c r="J947" s="63"/>
      <c r="K947" s="63"/>
      <c r="L947" s="63"/>
      <c r="M947" s="63"/>
      <c r="N947" s="63"/>
      <c r="O947" s="63"/>
      <c r="P947" s="63"/>
      <c r="Q947" s="63"/>
      <c r="R947" s="63"/>
      <c r="S947" s="63"/>
      <c r="T947" s="63"/>
      <c r="U947" s="63"/>
      <c r="V947" s="63"/>
      <c r="W947" s="63"/>
      <c r="X947" s="63"/>
      <c r="Y947" s="63"/>
      <c r="Z947" s="63"/>
    </row>
    <row r="948" ht="12.0" customHeight="1">
      <c r="A948" s="63"/>
      <c r="B948" s="63"/>
      <c r="C948" s="63"/>
      <c r="D948" s="63"/>
      <c r="E948" s="63"/>
      <c r="F948" s="63"/>
      <c r="G948" s="63"/>
      <c r="H948" s="63"/>
      <c r="I948" s="63"/>
      <c r="J948" s="63"/>
      <c r="K948" s="63"/>
      <c r="L948" s="63"/>
      <c r="M948" s="63"/>
      <c r="N948" s="63"/>
      <c r="O948" s="63"/>
      <c r="P948" s="63"/>
      <c r="Q948" s="63"/>
      <c r="R948" s="63"/>
      <c r="S948" s="63"/>
      <c r="T948" s="63"/>
      <c r="U948" s="63"/>
      <c r="V948" s="63"/>
      <c r="W948" s="63"/>
      <c r="X948" s="63"/>
      <c r="Y948" s="63"/>
      <c r="Z948" s="63"/>
    </row>
    <row r="949" ht="12.0" customHeight="1">
      <c r="A949" s="63"/>
      <c r="B949" s="63"/>
      <c r="C949" s="63"/>
      <c r="D949" s="63"/>
      <c r="E949" s="63"/>
      <c r="F949" s="63"/>
      <c r="G949" s="63"/>
      <c r="H949" s="63"/>
      <c r="I949" s="63"/>
      <c r="J949" s="63"/>
      <c r="K949" s="63"/>
      <c r="L949" s="63"/>
      <c r="M949" s="63"/>
      <c r="N949" s="63"/>
      <c r="O949" s="63"/>
      <c r="P949" s="63"/>
      <c r="Q949" s="63"/>
      <c r="R949" s="63"/>
      <c r="S949" s="63"/>
      <c r="T949" s="63"/>
      <c r="U949" s="63"/>
      <c r="V949" s="63"/>
      <c r="W949" s="63"/>
      <c r="X949" s="63"/>
      <c r="Y949" s="63"/>
      <c r="Z949" s="63"/>
    </row>
    <row r="950" ht="12.0" customHeight="1">
      <c r="A950" s="63"/>
      <c r="B950" s="63"/>
      <c r="C950" s="63"/>
      <c r="D950" s="63"/>
      <c r="E950" s="63"/>
      <c r="F950" s="63"/>
      <c r="G950" s="63"/>
      <c r="H950" s="63"/>
      <c r="I950" s="63"/>
      <c r="J950" s="63"/>
      <c r="K950" s="63"/>
      <c r="L950" s="63"/>
      <c r="M950" s="63"/>
      <c r="N950" s="63"/>
      <c r="O950" s="63"/>
      <c r="P950" s="63"/>
      <c r="Q950" s="63"/>
      <c r="R950" s="63"/>
      <c r="S950" s="63"/>
      <c r="T950" s="63"/>
      <c r="U950" s="63"/>
      <c r="V950" s="63"/>
      <c r="W950" s="63"/>
      <c r="X950" s="63"/>
      <c r="Y950" s="63"/>
      <c r="Z950" s="63"/>
    </row>
    <row r="951" ht="12.0" customHeight="1">
      <c r="A951" s="63"/>
      <c r="B951" s="63"/>
      <c r="C951" s="63"/>
      <c r="D951" s="63"/>
      <c r="E951" s="63"/>
      <c r="F951" s="63"/>
      <c r="G951" s="63"/>
      <c r="H951" s="63"/>
      <c r="I951" s="63"/>
      <c r="J951" s="63"/>
      <c r="K951" s="63"/>
      <c r="L951" s="63"/>
      <c r="M951" s="63"/>
      <c r="N951" s="63"/>
      <c r="O951" s="63"/>
      <c r="P951" s="63"/>
      <c r="Q951" s="63"/>
      <c r="R951" s="63"/>
      <c r="S951" s="63"/>
      <c r="T951" s="63"/>
      <c r="U951" s="63"/>
      <c r="V951" s="63"/>
      <c r="W951" s="63"/>
      <c r="X951" s="63"/>
      <c r="Y951" s="63"/>
      <c r="Z951" s="63"/>
    </row>
    <row r="952" ht="12.0" customHeight="1">
      <c r="A952" s="63"/>
      <c r="B952" s="63"/>
      <c r="C952" s="63"/>
      <c r="D952" s="63"/>
      <c r="E952" s="63"/>
      <c r="F952" s="63"/>
      <c r="G952" s="63"/>
      <c r="H952" s="63"/>
      <c r="I952" s="63"/>
      <c r="J952" s="63"/>
      <c r="K952" s="63"/>
      <c r="L952" s="63"/>
      <c r="M952" s="63"/>
      <c r="N952" s="63"/>
      <c r="O952" s="63"/>
      <c r="P952" s="63"/>
      <c r="Q952" s="63"/>
      <c r="R952" s="63"/>
      <c r="S952" s="63"/>
      <c r="T952" s="63"/>
      <c r="U952" s="63"/>
      <c r="V952" s="63"/>
      <c r="W952" s="63"/>
      <c r="X952" s="63"/>
      <c r="Y952" s="63"/>
      <c r="Z952" s="63"/>
    </row>
    <row r="953" ht="12.0" customHeight="1">
      <c r="A953" s="63"/>
      <c r="B953" s="63"/>
      <c r="C953" s="63"/>
      <c r="D953" s="63"/>
      <c r="E953" s="63"/>
      <c r="F953" s="63"/>
      <c r="G953" s="63"/>
      <c r="H953" s="63"/>
      <c r="I953" s="63"/>
      <c r="J953" s="63"/>
      <c r="K953" s="63"/>
      <c r="L953" s="63"/>
      <c r="M953" s="63"/>
      <c r="N953" s="63"/>
      <c r="O953" s="63"/>
      <c r="P953" s="63"/>
      <c r="Q953" s="63"/>
      <c r="R953" s="63"/>
      <c r="S953" s="63"/>
      <c r="T953" s="63"/>
      <c r="U953" s="63"/>
      <c r="V953" s="63"/>
      <c r="W953" s="63"/>
      <c r="X953" s="63"/>
      <c r="Y953" s="63"/>
      <c r="Z953" s="63"/>
    </row>
    <row r="954" ht="12.0" customHeight="1">
      <c r="A954" s="63"/>
      <c r="B954" s="63"/>
      <c r="C954" s="63"/>
      <c r="D954" s="63"/>
      <c r="E954" s="63"/>
      <c r="F954" s="63"/>
      <c r="G954" s="63"/>
      <c r="H954" s="63"/>
      <c r="I954" s="63"/>
      <c r="J954" s="63"/>
      <c r="K954" s="63"/>
      <c r="L954" s="63"/>
      <c r="M954" s="63"/>
      <c r="N954" s="63"/>
      <c r="O954" s="63"/>
      <c r="P954" s="63"/>
      <c r="Q954" s="63"/>
      <c r="R954" s="63"/>
      <c r="S954" s="63"/>
      <c r="T954" s="63"/>
      <c r="U954" s="63"/>
      <c r="V954" s="63"/>
      <c r="W954" s="63"/>
      <c r="X954" s="63"/>
      <c r="Y954" s="63"/>
      <c r="Z954" s="63"/>
    </row>
    <row r="955" ht="12.0" customHeight="1">
      <c r="A955" s="63"/>
      <c r="B955" s="63"/>
      <c r="C955" s="63"/>
      <c r="D955" s="63"/>
      <c r="E955" s="63"/>
      <c r="F955" s="63"/>
      <c r="G955" s="63"/>
      <c r="H955" s="63"/>
      <c r="I955" s="63"/>
      <c r="J955" s="63"/>
      <c r="K955" s="63"/>
      <c r="L955" s="63"/>
      <c r="M955" s="63"/>
      <c r="N955" s="63"/>
      <c r="O955" s="63"/>
      <c r="P955" s="63"/>
      <c r="Q955" s="63"/>
      <c r="R955" s="63"/>
      <c r="S955" s="63"/>
      <c r="T955" s="63"/>
      <c r="U955" s="63"/>
      <c r="V955" s="63"/>
      <c r="W955" s="63"/>
      <c r="X955" s="63"/>
      <c r="Y955" s="63"/>
      <c r="Z955" s="63"/>
    </row>
    <row r="956" ht="12.0" customHeight="1">
      <c r="A956" s="63"/>
      <c r="B956" s="63"/>
      <c r="C956" s="63"/>
      <c r="D956" s="63"/>
      <c r="E956" s="63"/>
      <c r="F956" s="63"/>
      <c r="G956" s="63"/>
      <c r="H956" s="63"/>
      <c r="I956" s="63"/>
      <c r="J956" s="63"/>
      <c r="K956" s="63"/>
      <c r="L956" s="63"/>
      <c r="M956" s="63"/>
      <c r="N956" s="63"/>
      <c r="O956" s="63"/>
      <c r="P956" s="63"/>
      <c r="Q956" s="63"/>
      <c r="R956" s="63"/>
      <c r="S956" s="63"/>
      <c r="T956" s="63"/>
      <c r="U956" s="63"/>
      <c r="V956" s="63"/>
      <c r="W956" s="63"/>
      <c r="X956" s="63"/>
      <c r="Y956" s="63"/>
      <c r="Z956" s="63"/>
    </row>
    <row r="957" ht="12.0" customHeight="1">
      <c r="A957" s="63"/>
      <c r="B957" s="63"/>
      <c r="C957" s="63"/>
      <c r="D957" s="63"/>
      <c r="E957" s="63"/>
      <c r="F957" s="63"/>
      <c r="G957" s="63"/>
      <c r="H957" s="63"/>
      <c r="I957" s="63"/>
      <c r="J957" s="63"/>
      <c r="K957" s="63"/>
      <c r="L957" s="63"/>
      <c r="M957" s="63"/>
      <c r="N957" s="63"/>
      <c r="O957" s="63"/>
      <c r="P957" s="63"/>
      <c r="Q957" s="63"/>
      <c r="R957" s="63"/>
      <c r="S957" s="63"/>
      <c r="T957" s="63"/>
      <c r="U957" s="63"/>
      <c r="V957" s="63"/>
      <c r="W957" s="63"/>
      <c r="X957" s="63"/>
      <c r="Y957" s="63"/>
      <c r="Z957" s="63"/>
    </row>
    <row r="958" ht="12.0" customHeight="1">
      <c r="A958" s="63"/>
      <c r="B958" s="63"/>
      <c r="C958" s="63"/>
      <c r="D958" s="63"/>
      <c r="E958" s="63"/>
      <c r="F958" s="63"/>
      <c r="G958" s="63"/>
      <c r="H958" s="63"/>
      <c r="I958" s="63"/>
      <c r="J958" s="63"/>
      <c r="K958" s="63"/>
      <c r="L958" s="63"/>
      <c r="M958" s="63"/>
      <c r="N958" s="63"/>
      <c r="O958" s="63"/>
      <c r="P958" s="63"/>
      <c r="Q958" s="63"/>
      <c r="R958" s="63"/>
      <c r="S958" s="63"/>
      <c r="T958" s="63"/>
      <c r="U958" s="63"/>
      <c r="V958" s="63"/>
      <c r="W958" s="63"/>
      <c r="X958" s="63"/>
      <c r="Y958" s="63"/>
      <c r="Z958" s="63"/>
    </row>
    <row r="959" ht="12.0" customHeight="1">
      <c r="A959" s="63"/>
      <c r="B959" s="63"/>
      <c r="C959" s="63"/>
      <c r="D959" s="63"/>
      <c r="E959" s="63"/>
      <c r="F959" s="63"/>
      <c r="G959" s="63"/>
      <c r="H959" s="63"/>
      <c r="I959" s="63"/>
      <c r="J959" s="63"/>
      <c r="K959" s="63"/>
      <c r="L959" s="63"/>
      <c r="M959" s="63"/>
      <c r="N959" s="63"/>
      <c r="O959" s="63"/>
      <c r="P959" s="63"/>
      <c r="Q959" s="63"/>
      <c r="R959" s="63"/>
      <c r="S959" s="63"/>
      <c r="T959" s="63"/>
      <c r="U959" s="63"/>
      <c r="V959" s="63"/>
      <c r="W959" s="63"/>
      <c r="X959" s="63"/>
      <c r="Y959" s="63"/>
      <c r="Z959" s="63"/>
    </row>
    <row r="960" ht="12.0" customHeight="1">
      <c r="A960" s="63"/>
      <c r="B960" s="63"/>
      <c r="C960" s="63"/>
      <c r="D960" s="63"/>
      <c r="E960" s="63"/>
      <c r="F960" s="63"/>
      <c r="G960" s="63"/>
      <c r="H960" s="63"/>
      <c r="I960" s="63"/>
      <c r="J960" s="63"/>
      <c r="K960" s="63"/>
      <c r="L960" s="63"/>
      <c r="M960" s="63"/>
      <c r="N960" s="63"/>
      <c r="O960" s="63"/>
      <c r="P960" s="63"/>
      <c r="Q960" s="63"/>
      <c r="R960" s="63"/>
      <c r="S960" s="63"/>
      <c r="T960" s="63"/>
      <c r="U960" s="63"/>
      <c r="V960" s="63"/>
      <c r="W960" s="63"/>
      <c r="X960" s="63"/>
      <c r="Y960" s="63"/>
      <c r="Z960" s="63"/>
    </row>
    <row r="961" ht="12.0" customHeight="1">
      <c r="A961" s="63"/>
      <c r="B961" s="63"/>
      <c r="C961" s="63"/>
      <c r="D961" s="63"/>
      <c r="E961" s="63"/>
      <c r="F961" s="63"/>
      <c r="G961" s="63"/>
      <c r="H961" s="63"/>
      <c r="I961" s="63"/>
      <c r="J961" s="63"/>
      <c r="K961" s="63"/>
      <c r="L961" s="63"/>
      <c r="M961" s="63"/>
      <c r="N961" s="63"/>
      <c r="O961" s="63"/>
      <c r="P961" s="63"/>
      <c r="Q961" s="63"/>
      <c r="R961" s="63"/>
      <c r="S961" s="63"/>
      <c r="T961" s="63"/>
      <c r="U961" s="63"/>
      <c r="V961" s="63"/>
      <c r="W961" s="63"/>
      <c r="X961" s="63"/>
      <c r="Y961" s="63"/>
      <c r="Z961" s="63"/>
    </row>
    <row r="962" ht="12.0" customHeight="1">
      <c r="A962" s="63"/>
      <c r="B962" s="63"/>
      <c r="C962" s="63"/>
      <c r="D962" s="63"/>
      <c r="E962" s="63"/>
      <c r="F962" s="63"/>
      <c r="G962" s="63"/>
      <c r="H962" s="63"/>
      <c r="I962" s="63"/>
      <c r="J962" s="63"/>
      <c r="K962" s="63"/>
      <c r="L962" s="63"/>
      <c r="M962" s="63"/>
      <c r="N962" s="63"/>
      <c r="O962" s="63"/>
      <c r="P962" s="63"/>
      <c r="Q962" s="63"/>
      <c r="R962" s="63"/>
      <c r="S962" s="63"/>
      <c r="T962" s="63"/>
      <c r="U962" s="63"/>
      <c r="V962" s="63"/>
      <c r="W962" s="63"/>
      <c r="X962" s="63"/>
      <c r="Y962" s="63"/>
      <c r="Z962" s="63"/>
    </row>
    <row r="963" ht="12.0" customHeight="1">
      <c r="A963" s="63"/>
      <c r="B963" s="63"/>
      <c r="C963" s="63"/>
      <c r="D963" s="63"/>
      <c r="E963" s="63"/>
      <c r="F963" s="63"/>
      <c r="G963" s="63"/>
      <c r="H963" s="63"/>
      <c r="I963" s="63"/>
      <c r="J963" s="63"/>
      <c r="K963" s="63"/>
      <c r="L963" s="63"/>
      <c r="M963" s="63"/>
      <c r="N963" s="63"/>
      <c r="O963" s="63"/>
      <c r="P963" s="63"/>
      <c r="Q963" s="63"/>
      <c r="R963" s="63"/>
      <c r="S963" s="63"/>
      <c r="T963" s="63"/>
      <c r="U963" s="63"/>
      <c r="V963" s="63"/>
      <c r="W963" s="63"/>
      <c r="X963" s="63"/>
      <c r="Y963" s="63"/>
      <c r="Z963" s="63"/>
    </row>
    <row r="964" ht="12.0" customHeight="1">
      <c r="A964" s="63"/>
      <c r="B964" s="63"/>
      <c r="C964" s="63"/>
      <c r="D964" s="63"/>
      <c r="E964" s="63"/>
      <c r="F964" s="63"/>
      <c r="G964" s="63"/>
      <c r="H964" s="63"/>
      <c r="I964" s="63"/>
      <c r="J964" s="63"/>
      <c r="K964" s="63"/>
      <c r="L964" s="63"/>
      <c r="M964" s="63"/>
      <c r="N964" s="63"/>
      <c r="O964" s="63"/>
      <c r="P964" s="63"/>
      <c r="Q964" s="63"/>
      <c r="R964" s="63"/>
      <c r="S964" s="63"/>
      <c r="T964" s="63"/>
      <c r="U964" s="63"/>
      <c r="V964" s="63"/>
      <c r="W964" s="63"/>
      <c r="X964" s="63"/>
      <c r="Y964" s="63"/>
      <c r="Z964" s="63"/>
    </row>
    <row r="965" ht="12.0" customHeight="1">
      <c r="A965" s="63"/>
      <c r="B965" s="63"/>
      <c r="C965" s="63"/>
      <c r="D965" s="63"/>
      <c r="E965" s="63"/>
      <c r="F965" s="63"/>
      <c r="G965" s="63"/>
      <c r="H965" s="63"/>
      <c r="I965" s="63"/>
      <c r="J965" s="63"/>
      <c r="K965" s="63"/>
      <c r="L965" s="63"/>
      <c r="M965" s="63"/>
      <c r="N965" s="63"/>
      <c r="O965" s="63"/>
      <c r="P965" s="63"/>
      <c r="Q965" s="63"/>
      <c r="R965" s="63"/>
      <c r="S965" s="63"/>
      <c r="T965" s="63"/>
      <c r="U965" s="63"/>
      <c r="V965" s="63"/>
      <c r="W965" s="63"/>
      <c r="X965" s="63"/>
      <c r="Y965" s="63"/>
      <c r="Z965" s="63"/>
    </row>
    <row r="966" ht="12.0" customHeight="1">
      <c r="A966" s="63"/>
      <c r="B966" s="63"/>
      <c r="C966" s="63"/>
      <c r="D966" s="63"/>
      <c r="E966" s="63"/>
      <c r="F966" s="63"/>
      <c r="G966" s="63"/>
      <c r="H966" s="63"/>
      <c r="I966" s="63"/>
      <c r="J966" s="63"/>
      <c r="K966" s="63"/>
      <c r="L966" s="63"/>
      <c r="M966" s="63"/>
      <c r="N966" s="63"/>
      <c r="O966" s="63"/>
      <c r="P966" s="63"/>
      <c r="Q966" s="63"/>
      <c r="R966" s="63"/>
      <c r="S966" s="63"/>
      <c r="T966" s="63"/>
      <c r="U966" s="63"/>
      <c r="V966" s="63"/>
      <c r="W966" s="63"/>
      <c r="X966" s="63"/>
      <c r="Y966" s="63"/>
      <c r="Z966" s="63"/>
    </row>
    <row r="967" ht="12.0" customHeight="1">
      <c r="A967" s="63"/>
      <c r="B967" s="63"/>
      <c r="C967" s="63"/>
      <c r="D967" s="63"/>
      <c r="E967" s="63"/>
      <c r="F967" s="63"/>
      <c r="G967" s="63"/>
      <c r="H967" s="63"/>
      <c r="I967" s="63"/>
      <c r="J967" s="63"/>
      <c r="K967" s="63"/>
      <c r="L967" s="63"/>
      <c r="M967" s="63"/>
      <c r="N967" s="63"/>
      <c r="O967" s="63"/>
      <c r="P967" s="63"/>
      <c r="Q967" s="63"/>
      <c r="R967" s="63"/>
      <c r="S967" s="63"/>
      <c r="T967" s="63"/>
      <c r="U967" s="63"/>
      <c r="V967" s="63"/>
      <c r="W967" s="63"/>
      <c r="X967" s="63"/>
      <c r="Y967" s="63"/>
      <c r="Z967" s="63"/>
    </row>
    <row r="968" ht="12.0" customHeight="1">
      <c r="A968" s="63"/>
      <c r="B968" s="63"/>
      <c r="C968" s="63"/>
      <c r="D968" s="63"/>
      <c r="E968" s="63"/>
      <c r="F968" s="63"/>
      <c r="G968" s="63"/>
      <c r="H968" s="63"/>
      <c r="I968" s="63"/>
      <c r="J968" s="63"/>
      <c r="K968" s="63"/>
      <c r="L968" s="63"/>
      <c r="M968" s="63"/>
      <c r="N968" s="63"/>
      <c r="O968" s="63"/>
      <c r="P968" s="63"/>
      <c r="Q968" s="63"/>
      <c r="R968" s="63"/>
      <c r="S968" s="63"/>
      <c r="T968" s="63"/>
      <c r="U968" s="63"/>
      <c r="V968" s="63"/>
      <c r="W968" s="63"/>
      <c r="X968" s="63"/>
      <c r="Y968" s="63"/>
      <c r="Z968" s="63"/>
    </row>
    <row r="969" ht="12.0" customHeight="1">
      <c r="A969" s="63"/>
      <c r="B969" s="63"/>
      <c r="C969" s="63"/>
      <c r="D969" s="63"/>
      <c r="E969" s="63"/>
      <c r="F969" s="63"/>
      <c r="G969" s="63"/>
      <c r="H969" s="63"/>
      <c r="I969" s="63"/>
      <c r="J969" s="63"/>
      <c r="K969" s="63"/>
      <c r="L969" s="63"/>
      <c r="M969" s="63"/>
      <c r="N969" s="63"/>
      <c r="O969" s="63"/>
      <c r="P969" s="63"/>
      <c r="Q969" s="63"/>
      <c r="R969" s="63"/>
      <c r="S969" s="63"/>
      <c r="T969" s="63"/>
      <c r="U969" s="63"/>
      <c r="V969" s="63"/>
      <c r="W969" s="63"/>
      <c r="X969" s="63"/>
      <c r="Y969" s="63"/>
      <c r="Z969" s="63"/>
    </row>
    <row r="970" ht="12.0" customHeight="1">
      <c r="A970" s="63"/>
      <c r="B970" s="63"/>
      <c r="C970" s="63"/>
      <c r="D970" s="63"/>
      <c r="E970" s="63"/>
      <c r="F970" s="63"/>
      <c r="G970" s="63"/>
      <c r="H970" s="63"/>
      <c r="I970" s="63"/>
      <c r="J970" s="63"/>
      <c r="K970" s="63"/>
      <c r="L970" s="63"/>
      <c r="M970" s="63"/>
      <c r="N970" s="63"/>
      <c r="O970" s="63"/>
      <c r="P970" s="63"/>
      <c r="Q970" s="63"/>
      <c r="R970" s="63"/>
      <c r="S970" s="63"/>
      <c r="T970" s="63"/>
      <c r="U970" s="63"/>
      <c r="V970" s="63"/>
      <c r="W970" s="63"/>
      <c r="X970" s="63"/>
      <c r="Y970" s="63"/>
      <c r="Z970" s="63"/>
    </row>
    <row r="971" ht="12.0" customHeight="1">
      <c r="A971" s="63"/>
      <c r="B971" s="63"/>
      <c r="C971" s="63"/>
      <c r="D971" s="63"/>
      <c r="E971" s="63"/>
      <c r="F971" s="63"/>
      <c r="G971" s="63"/>
      <c r="H971" s="63"/>
      <c r="I971" s="63"/>
      <c r="J971" s="63"/>
      <c r="K971" s="63"/>
      <c r="L971" s="63"/>
      <c r="M971" s="63"/>
      <c r="N971" s="63"/>
      <c r="O971" s="63"/>
      <c r="P971" s="63"/>
      <c r="Q971" s="63"/>
      <c r="R971" s="63"/>
      <c r="S971" s="63"/>
      <c r="T971" s="63"/>
      <c r="U971" s="63"/>
      <c r="V971" s="63"/>
      <c r="W971" s="63"/>
      <c r="X971" s="63"/>
      <c r="Y971" s="63"/>
      <c r="Z971" s="63"/>
    </row>
    <row r="972" ht="12.0" customHeight="1">
      <c r="A972" s="63"/>
      <c r="B972" s="63"/>
      <c r="C972" s="63"/>
      <c r="D972" s="63"/>
      <c r="E972" s="63"/>
      <c r="F972" s="63"/>
      <c r="G972" s="63"/>
      <c r="H972" s="63"/>
      <c r="I972" s="63"/>
      <c r="J972" s="63"/>
      <c r="K972" s="63"/>
      <c r="L972" s="63"/>
      <c r="M972" s="63"/>
      <c r="N972" s="63"/>
      <c r="O972" s="63"/>
      <c r="P972" s="63"/>
      <c r="Q972" s="63"/>
      <c r="R972" s="63"/>
      <c r="S972" s="63"/>
      <c r="T972" s="63"/>
      <c r="U972" s="63"/>
      <c r="V972" s="63"/>
      <c r="W972" s="63"/>
      <c r="X972" s="63"/>
      <c r="Y972" s="63"/>
      <c r="Z972" s="63"/>
    </row>
    <row r="973" ht="12.0" customHeight="1">
      <c r="A973" s="63"/>
      <c r="B973" s="63"/>
      <c r="C973" s="63"/>
      <c r="D973" s="63"/>
      <c r="E973" s="63"/>
      <c r="F973" s="63"/>
      <c r="G973" s="63"/>
      <c r="H973" s="63"/>
      <c r="I973" s="63"/>
      <c r="J973" s="63"/>
      <c r="K973" s="63"/>
      <c r="L973" s="63"/>
      <c r="M973" s="63"/>
      <c r="N973" s="63"/>
      <c r="O973" s="63"/>
      <c r="P973" s="63"/>
      <c r="Q973" s="63"/>
      <c r="R973" s="63"/>
      <c r="S973" s="63"/>
      <c r="T973" s="63"/>
      <c r="U973" s="63"/>
      <c r="V973" s="63"/>
      <c r="W973" s="63"/>
      <c r="X973" s="63"/>
      <c r="Y973" s="63"/>
      <c r="Z973" s="63"/>
    </row>
    <row r="974" ht="12.0" customHeight="1">
      <c r="A974" s="63"/>
      <c r="B974" s="63"/>
      <c r="C974" s="63"/>
      <c r="D974" s="63"/>
      <c r="E974" s="63"/>
      <c r="F974" s="63"/>
      <c r="G974" s="63"/>
      <c r="H974" s="63"/>
      <c r="I974" s="63"/>
      <c r="J974" s="63"/>
      <c r="K974" s="63"/>
      <c r="L974" s="63"/>
      <c r="M974" s="63"/>
      <c r="N974" s="63"/>
      <c r="O974" s="63"/>
      <c r="P974" s="63"/>
      <c r="Q974" s="63"/>
      <c r="R974" s="63"/>
      <c r="S974" s="63"/>
      <c r="T974" s="63"/>
      <c r="U974" s="63"/>
      <c r="V974" s="63"/>
      <c r="W974" s="63"/>
      <c r="X974" s="63"/>
      <c r="Y974" s="63"/>
      <c r="Z974" s="63"/>
    </row>
    <row r="975" ht="12.0" customHeight="1">
      <c r="A975" s="63"/>
      <c r="B975" s="63"/>
      <c r="C975" s="63"/>
      <c r="D975" s="63"/>
      <c r="E975" s="63"/>
      <c r="F975" s="63"/>
      <c r="G975" s="63"/>
      <c r="H975" s="63"/>
      <c r="I975" s="63"/>
      <c r="J975" s="63"/>
      <c r="K975" s="63"/>
      <c r="L975" s="63"/>
      <c r="M975" s="63"/>
      <c r="N975" s="63"/>
      <c r="O975" s="63"/>
      <c r="P975" s="63"/>
      <c r="Q975" s="63"/>
      <c r="R975" s="63"/>
      <c r="S975" s="63"/>
      <c r="T975" s="63"/>
      <c r="U975" s="63"/>
      <c r="V975" s="63"/>
      <c r="W975" s="63"/>
      <c r="X975" s="63"/>
      <c r="Y975" s="63"/>
      <c r="Z975" s="63"/>
    </row>
    <row r="976" ht="12.0" customHeight="1">
      <c r="A976" s="63"/>
      <c r="B976" s="63"/>
      <c r="C976" s="63"/>
      <c r="D976" s="63"/>
      <c r="E976" s="63"/>
      <c r="F976" s="63"/>
      <c r="G976" s="63"/>
      <c r="H976" s="63"/>
      <c r="I976" s="63"/>
      <c r="J976" s="63"/>
      <c r="K976" s="63"/>
      <c r="L976" s="63"/>
      <c r="M976" s="63"/>
      <c r="N976" s="63"/>
      <c r="O976" s="63"/>
      <c r="P976" s="63"/>
      <c r="Q976" s="63"/>
      <c r="R976" s="63"/>
      <c r="S976" s="63"/>
      <c r="T976" s="63"/>
      <c r="U976" s="63"/>
      <c r="V976" s="63"/>
      <c r="W976" s="63"/>
      <c r="X976" s="63"/>
      <c r="Y976" s="63"/>
      <c r="Z976" s="63"/>
    </row>
    <row r="977" ht="12.0" customHeight="1">
      <c r="A977" s="63"/>
      <c r="B977" s="63"/>
      <c r="C977" s="63"/>
      <c r="D977" s="63"/>
      <c r="E977" s="63"/>
      <c r="F977" s="63"/>
      <c r="G977" s="63"/>
      <c r="H977" s="63"/>
      <c r="I977" s="63"/>
      <c r="J977" s="63"/>
      <c r="K977" s="63"/>
      <c r="L977" s="63"/>
      <c r="M977" s="63"/>
      <c r="N977" s="63"/>
      <c r="O977" s="63"/>
      <c r="P977" s="63"/>
      <c r="Q977" s="63"/>
      <c r="R977" s="63"/>
      <c r="S977" s="63"/>
      <c r="T977" s="63"/>
      <c r="U977" s="63"/>
      <c r="V977" s="63"/>
      <c r="W977" s="63"/>
      <c r="X977" s="63"/>
      <c r="Y977" s="63"/>
      <c r="Z977" s="63"/>
    </row>
    <row r="978" ht="12.0" customHeight="1">
      <c r="A978" s="63"/>
      <c r="B978" s="63"/>
      <c r="C978" s="63"/>
      <c r="D978" s="63"/>
      <c r="E978" s="63"/>
      <c r="F978" s="63"/>
      <c r="G978" s="63"/>
      <c r="H978" s="63"/>
      <c r="I978" s="63"/>
      <c r="J978" s="63"/>
      <c r="K978" s="63"/>
      <c r="L978" s="63"/>
      <c r="M978" s="63"/>
      <c r="N978" s="63"/>
      <c r="O978" s="63"/>
      <c r="P978" s="63"/>
      <c r="Q978" s="63"/>
      <c r="R978" s="63"/>
      <c r="S978" s="63"/>
      <c r="T978" s="63"/>
      <c r="U978" s="63"/>
      <c r="V978" s="63"/>
      <c r="W978" s="63"/>
      <c r="X978" s="63"/>
      <c r="Y978" s="63"/>
      <c r="Z978" s="63"/>
    </row>
    <row r="979" ht="12.0" customHeight="1">
      <c r="A979" s="63"/>
      <c r="B979" s="63"/>
      <c r="C979" s="63"/>
      <c r="D979" s="63"/>
      <c r="E979" s="63"/>
      <c r="F979" s="63"/>
      <c r="G979" s="63"/>
      <c r="H979" s="63"/>
      <c r="I979" s="63"/>
      <c r="J979" s="63"/>
      <c r="K979" s="63"/>
      <c r="L979" s="63"/>
      <c r="M979" s="63"/>
      <c r="N979" s="63"/>
      <c r="O979" s="63"/>
      <c r="P979" s="63"/>
      <c r="Q979" s="63"/>
      <c r="R979" s="63"/>
      <c r="S979" s="63"/>
      <c r="T979" s="63"/>
      <c r="U979" s="63"/>
      <c r="V979" s="63"/>
      <c r="W979" s="63"/>
      <c r="X979" s="63"/>
      <c r="Y979" s="63"/>
      <c r="Z979" s="63"/>
    </row>
    <row r="980" ht="12.0" customHeight="1">
      <c r="A980" s="63"/>
      <c r="B980" s="63"/>
      <c r="C980" s="63"/>
      <c r="D980" s="63"/>
      <c r="E980" s="63"/>
      <c r="F980" s="63"/>
      <c r="G980" s="63"/>
      <c r="H980" s="63"/>
      <c r="I980" s="63"/>
      <c r="J980" s="63"/>
      <c r="K980" s="63"/>
      <c r="L980" s="63"/>
      <c r="M980" s="63"/>
      <c r="N980" s="63"/>
      <c r="O980" s="63"/>
      <c r="P980" s="63"/>
      <c r="Q980" s="63"/>
      <c r="R980" s="63"/>
      <c r="S980" s="63"/>
      <c r="T980" s="63"/>
      <c r="U980" s="63"/>
      <c r="V980" s="63"/>
      <c r="W980" s="63"/>
      <c r="X980" s="63"/>
      <c r="Y980" s="63"/>
      <c r="Z980" s="63"/>
    </row>
    <row r="981" ht="12.0" customHeight="1">
      <c r="A981" s="63"/>
      <c r="B981" s="63"/>
      <c r="C981" s="63"/>
      <c r="D981" s="63"/>
      <c r="E981" s="63"/>
      <c r="F981" s="63"/>
      <c r="G981" s="63"/>
      <c r="H981" s="63"/>
      <c r="I981" s="63"/>
      <c r="J981" s="63"/>
      <c r="K981" s="63"/>
      <c r="L981" s="63"/>
      <c r="M981" s="63"/>
      <c r="N981" s="63"/>
      <c r="O981" s="63"/>
      <c r="P981" s="63"/>
      <c r="Q981" s="63"/>
      <c r="R981" s="63"/>
      <c r="S981" s="63"/>
      <c r="T981" s="63"/>
      <c r="U981" s="63"/>
      <c r="V981" s="63"/>
      <c r="W981" s="63"/>
      <c r="X981" s="63"/>
      <c r="Y981" s="63"/>
      <c r="Z981" s="63"/>
    </row>
    <row r="982" ht="12.0" customHeight="1">
      <c r="A982" s="63"/>
      <c r="B982" s="63"/>
      <c r="C982" s="63"/>
      <c r="D982" s="63"/>
      <c r="E982" s="63"/>
      <c r="F982" s="63"/>
      <c r="G982" s="63"/>
      <c r="H982" s="63"/>
      <c r="I982" s="63"/>
      <c r="J982" s="63"/>
      <c r="K982" s="63"/>
      <c r="L982" s="63"/>
      <c r="M982" s="63"/>
      <c r="N982" s="63"/>
      <c r="O982" s="63"/>
      <c r="P982" s="63"/>
      <c r="Q982" s="63"/>
      <c r="R982" s="63"/>
      <c r="S982" s="63"/>
      <c r="T982" s="63"/>
      <c r="U982" s="63"/>
      <c r="V982" s="63"/>
      <c r="W982" s="63"/>
      <c r="X982" s="63"/>
      <c r="Y982" s="63"/>
      <c r="Z982" s="63"/>
    </row>
    <row r="983" ht="12.0" customHeight="1">
      <c r="A983" s="63"/>
      <c r="B983" s="63"/>
      <c r="C983" s="63"/>
      <c r="D983" s="63"/>
      <c r="E983" s="63"/>
      <c r="F983" s="63"/>
      <c r="G983" s="63"/>
      <c r="H983" s="63"/>
      <c r="I983" s="63"/>
      <c r="J983" s="63"/>
      <c r="K983" s="63"/>
      <c r="L983" s="63"/>
      <c r="M983" s="63"/>
      <c r="N983" s="63"/>
      <c r="O983" s="63"/>
      <c r="P983" s="63"/>
      <c r="Q983" s="63"/>
      <c r="R983" s="63"/>
      <c r="S983" s="63"/>
      <c r="T983" s="63"/>
      <c r="U983" s="63"/>
      <c r="V983" s="63"/>
      <c r="W983" s="63"/>
      <c r="X983" s="63"/>
      <c r="Y983" s="63"/>
      <c r="Z983" s="63"/>
    </row>
    <row r="984" ht="12.0" customHeight="1">
      <c r="A984" s="63"/>
      <c r="B984" s="63"/>
      <c r="C984" s="63"/>
      <c r="D984" s="63"/>
      <c r="E984" s="63"/>
      <c r="F984" s="63"/>
      <c r="G984" s="63"/>
      <c r="H984" s="63"/>
      <c r="I984" s="63"/>
      <c r="J984" s="63"/>
      <c r="K984" s="63"/>
      <c r="L984" s="63"/>
      <c r="M984" s="63"/>
      <c r="N984" s="63"/>
      <c r="O984" s="63"/>
      <c r="P984" s="63"/>
      <c r="Q984" s="63"/>
      <c r="R984" s="63"/>
      <c r="S984" s="63"/>
      <c r="T984" s="63"/>
      <c r="U984" s="63"/>
      <c r="V984" s="63"/>
      <c r="W984" s="63"/>
      <c r="X984" s="63"/>
      <c r="Y984" s="63"/>
      <c r="Z984" s="63"/>
    </row>
    <row r="985" ht="12.0" customHeight="1">
      <c r="A985" s="63"/>
      <c r="B985" s="63"/>
      <c r="C985" s="63"/>
      <c r="D985" s="63"/>
      <c r="E985" s="63"/>
      <c r="F985" s="63"/>
      <c r="G985" s="63"/>
      <c r="H985" s="63"/>
      <c r="I985" s="63"/>
      <c r="J985" s="63"/>
      <c r="K985" s="63"/>
      <c r="L985" s="63"/>
      <c r="M985" s="63"/>
      <c r="N985" s="63"/>
      <c r="O985" s="63"/>
      <c r="P985" s="63"/>
      <c r="Q985" s="63"/>
      <c r="R985" s="63"/>
      <c r="S985" s="63"/>
      <c r="T985" s="63"/>
      <c r="U985" s="63"/>
      <c r="V985" s="63"/>
      <c r="W985" s="63"/>
      <c r="X985" s="63"/>
      <c r="Y985" s="63"/>
      <c r="Z985" s="63"/>
    </row>
    <row r="986" ht="12.0" customHeight="1">
      <c r="A986" s="63"/>
      <c r="B986" s="63"/>
      <c r="C986" s="63"/>
      <c r="D986" s="63"/>
      <c r="E986" s="63"/>
      <c r="F986" s="63"/>
      <c r="G986" s="63"/>
      <c r="H986" s="63"/>
      <c r="I986" s="63"/>
      <c r="J986" s="63"/>
      <c r="K986" s="63"/>
      <c r="L986" s="63"/>
      <c r="M986" s="63"/>
      <c r="N986" s="63"/>
      <c r="O986" s="63"/>
      <c r="P986" s="63"/>
      <c r="Q986" s="63"/>
      <c r="R986" s="63"/>
      <c r="S986" s="63"/>
      <c r="T986" s="63"/>
      <c r="U986" s="63"/>
      <c r="V986" s="63"/>
      <c r="W986" s="63"/>
      <c r="X986" s="63"/>
      <c r="Y986" s="63"/>
      <c r="Z986" s="63"/>
    </row>
    <row r="987" ht="12.0" customHeight="1">
      <c r="A987" s="63"/>
      <c r="B987" s="63"/>
      <c r="C987" s="63"/>
      <c r="D987" s="63"/>
      <c r="E987" s="63"/>
      <c r="F987" s="63"/>
      <c r="G987" s="63"/>
      <c r="H987" s="63"/>
      <c r="I987" s="63"/>
      <c r="J987" s="63"/>
      <c r="K987" s="63"/>
      <c r="L987" s="63"/>
      <c r="M987" s="63"/>
      <c r="N987" s="63"/>
      <c r="O987" s="63"/>
      <c r="P987" s="63"/>
      <c r="Q987" s="63"/>
      <c r="R987" s="63"/>
      <c r="S987" s="63"/>
      <c r="T987" s="63"/>
      <c r="U987" s="63"/>
      <c r="V987" s="63"/>
      <c r="W987" s="63"/>
      <c r="X987" s="63"/>
      <c r="Y987" s="63"/>
      <c r="Z987" s="63"/>
    </row>
    <row r="988" ht="12.0" customHeight="1">
      <c r="A988" s="63"/>
      <c r="B988" s="63"/>
      <c r="C988" s="63"/>
      <c r="D988" s="63"/>
      <c r="E988" s="63"/>
      <c r="F988" s="63"/>
      <c r="G988" s="63"/>
      <c r="H988" s="63"/>
      <c r="I988" s="63"/>
      <c r="J988" s="63"/>
      <c r="K988" s="63"/>
      <c r="L988" s="63"/>
      <c r="M988" s="63"/>
      <c r="N988" s="63"/>
      <c r="O988" s="63"/>
      <c r="P988" s="63"/>
      <c r="Q988" s="63"/>
      <c r="R988" s="63"/>
      <c r="S988" s="63"/>
      <c r="T988" s="63"/>
      <c r="U988" s="63"/>
      <c r="V988" s="63"/>
      <c r="W988" s="63"/>
      <c r="X988" s="63"/>
      <c r="Y988" s="63"/>
      <c r="Z988" s="63"/>
    </row>
    <row r="989" ht="12.0" customHeight="1">
      <c r="A989" s="63"/>
      <c r="B989" s="63"/>
      <c r="C989" s="63"/>
      <c r="D989" s="63"/>
      <c r="E989" s="63"/>
      <c r="F989" s="63"/>
      <c r="G989" s="63"/>
      <c r="H989" s="63"/>
      <c r="I989" s="63"/>
      <c r="J989" s="63"/>
      <c r="K989" s="63"/>
      <c r="L989" s="63"/>
      <c r="M989" s="63"/>
      <c r="N989" s="63"/>
      <c r="O989" s="63"/>
      <c r="P989" s="63"/>
      <c r="Q989" s="63"/>
      <c r="R989" s="63"/>
      <c r="S989" s="63"/>
      <c r="T989" s="63"/>
      <c r="U989" s="63"/>
      <c r="V989" s="63"/>
      <c r="W989" s="63"/>
      <c r="X989" s="63"/>
      <c r="Y989" s="63"/>
      <c r="Z989" s="63"/>
    </row>
    <row r="990" ht="12.0" customHeight="1">
      <c r="A990" s="63"/>
      <c r="B990" s="63"/>
      <c r="C990" s="63"/>
      <c r="D990" s="63"/>
      <c r="E990" s="63"/>
      <c r="F990" s="63"/>
      <c r="G990" s="63"/>
      <c r="H990" s="63"/>
      <c r="I990" s="63"/>
      <c r="J990" s="63"/>
      <c r="K990" s="63"/>
      <c r="L990" s="63"/>
      <c r="M990" s="63"/>
      <c r="N990" s="63"/>
      <c r="O990" s="63"/>
      <c r="P990" s="63"/>
      <c r="Q990" s="63"/>
      <c r="R990" s="63"/>
      <c r="S990" s="63"/>
      <c r="T990" s="63"/>
      <c r="U990" s="63"/>
      <c r="V990" s="63"/>
      <c r="W990" s="63"/>
      <c r="X990" s="63"/>
      <c r="Y990" s="63"/>
      <c r="Z990" s="63"/>
    </row>
    <row r="991" ht="12.0" customHeight="1">
      <c r="A991" s="63"/>
      <c r="B991" s="63"/>
      <c r="C991" s="63"/>
      <c r="D991" s="63"/>
      <c r="E991" s="63"/>
      <c r="F991" s="63"/>
      <c r="G991" s="63"/>
      <c r="H991" s="63"/>
      <c r="I991" s="63"/>
      <c r="J991" s="63"/>
      <c r="K991" s="63"/>
      <c r="L991" s="63"/>
      <c r="M991" s="63"/>
      <c r="N991" s="63"/>
      <c r="O991" s="63"/>
      <c r="P991" s="63"/>
      <c r="Q991" s="63"/>
      <c r="R991" s="63"/>
      <c r="S991" s="63"/>
      <c r="T991" s="63"/>
      <c r="U991" s="63"/>
      <c r="V991" s="63"/>
      <c r="W991" s="63"/>
      <c r="X991" s="63"/>
      <c r="Y991" s="63"/>
      <c r="Z991" s="63"/>
    </row>
    <row r="992" ht="12.0" customHeight="1">
      <c r="A992" s="63"/>
      <c r="B992" s="63"/>
      <c r="C992" s="63"/>
      <c r="D992" s="63"/>
      <c r="E992" s="63"/>
      <c r="F992" s="63"/>
      <c r="G992" s="63"/>
      <c r="H992" s="63"/>
      <c r="I992" s="63"/>
      <c r="J992" s="63"/>
      <c r="K992" s="63"/>
      <c r="L992" s="63"/>
      <c r="M992" s="63"/>
      <c r="N992" s="63"/>
      <c r="O992" s="63"/>
      <c r="P992" s="63"/>
      <c r="Q992" s="63"/>
      <c r="R992" s="63"/>
      <c r="S992" s="63"/>
      <c r="T992" s="63"/>
      <c r="U992" s="63"/>
      <c r="V992" s="63"/>
      <c r="W992" s="63"/>
      <c r="X992" s="63"/>
      <c r="Y992" s="63"/>
      <c r="Z992" s="63"/>
    </row>
    <row r="993" ht="12.0" customHeight="1">
      <c r="A993" s="63"/>
      <c r="B993" s="63"/>
      <c r="C993" s="63"/>
      <c r="D993" s="63"/>
      <c r="E993" s="63"/>
      <c r="F993" s="63"/>
      <c r="G993" s="63"/>
      <c r="H993" s="63"/>
      <c r="I993" s="63"/>
      <c r="J993" s="63"/>
      <c r="K993" s="63"/>
      <c r="L993" s="63"/>
      <c r="M993" s="63"/>
      <c r="N993" s="63"/>
      <c r="O993" s="63"/>
      <c r="P993" s="63"/>
      <c r="Q993" s="63"/>
      <c r="R993" s="63"/>
      <c r="S993" s="63"/>
      <c r="T993" s="63"/>
      <c r="U993" s="63"/>
      <c r="V993" s="63"/>
      <c r="W993" s="63"/>
      <c r="X993" s="63"/>
      <c r="Y993" s="63"/>
      <c r="Z993" s="63"/>
    </row>
    <row r="994" ht="12.0" customHeight="1">
      <c r="A994" s="63"/>
      <c r="B994" s="63"/>
      <c r="C994" s="63"/>
      <c r="D994" s="63"/>
      <c r="E994" s="63"/>
      <c r="F994" s="63"/>
      <c r="G994" s="63"/>
      <c r="H994" s="63"/>
      <c r="I994" s="63"/>
      <c r="J994" s="63"/>
      <c r="K994" s="63"/>
      <c r="L994" s="63"/>
      <c r="M994" s="63"/>
      <c r="N994" s="63"/>
      <c r="O994" s="63"/>
      <c r="P994" s="63"/>
      <c r="Q994" s="63"/>
      <c r="R994" s="63"/>
      <c r="S994" s="63"/>
      <c r="T994" s="63"/>
      <c r="U994" s="63"/>
      <c r="V994" s="63"/>
      <c r="W994" s="63"/>
      <c r="X994" s="63"/>
      <c r="Y994" s="63"/>
      <c r="Z994" s="63"/>
    </row>
    <row r="995" ht="12.0" customHeight="1">
      <c r="A995" s="63"/>
      <c r="B995" s="63"/>
      <c r="C995" s="63"/>
      <c r="D995" s="63"/>
      <c r="E995" s="63"/>
      <c r="F995" s="63"/>
      <c r="G995" s="63"/>
      <c r="H995" s="63"/>
      <c r="I995" s="63"/>
      <c r="J995" s="63"/>
      <c r="K995" s="63"/>
      <c r="L995" s="63"/>
      <c r="M995" s="63"/>
      <c r="N995" s="63"/>
      <c r="O995" s="63"/>
      <c r="P995" s="63"/>
      <c r="Q995" s="63"/>
      <c r="R995" s="63"/>
      <c r="S995" s="63"/>
      <c r="T995" s="63"/>
      <c r="U995" s="63"/>
      <c r="V995" s="63"/>
      <c r="W995" s="63"/>
      <c r="X995" s="63"/>
      <c r="Y995" s="63"/>
      <c r="Z995" s="63"/>
    </row>
    <row r="996" ht="12.0" customHeight="1">
      <c r="A996" s="63"/>
      <c r="B996" s="63"/>
      <c r="C996" s="63"/>
      <c r="D996" s="63"/>
      <c r="E996" s="63"/>
      <c r="F996" s="63"/>
      <c r="G996" s="63"/>
      <c r="H996" s="63"/>
      <c r="I996" s="63"/>
      <c r="J996" s="63"/>
      <c r="K996" s="63"/>
      <c r="L996" s="63"/>
      <c r="M996" s="63"/>
      <c r="N996" s="63"/>
      <c r="O996" s="63"/>
      <c r="P996" s="63"/>
      <c r="Q996" s="63"/>
      <c r="R996" s="63"/>
      <c r="S996" s="63"/>
      <c r="T996" s="63"/>
      <c r="U996" s="63"/>
      <c r="V996" s="63"/>
      <c r="W996" s="63"/>
      <c r="X996" s="63"/>
      <c r="Y996" s="63"/>
      <c r="Z996" s="63"/>
    </row>
    <row r="997" ht="12.0" customHeight="1">
      <c r="A997" s="63"/>
      <c r="B997" s="63"/>
      <c r="C997" s="63"/>
      <c r="D997" s="63"/>
      <c r="E997" s="63"/>
      <c r="F997" s="63"/>
      <c r="G997" s="63"/>
      <c r="H997" s="63"/>
      <c r="I997" s="63"/>
      <c r="J997" s="63"/>
      <c r="K997" s="63"/>
      <c r="L997" s="63"/>
      <c r="M997" s="63"/>
      <c r="N997" s="63"/>
      <c r="O997" s="63"/>
      <c r="P997" s="63"/>
      <c r="Q997" s="63"/>
      <c r="R997" s="63"/>
      <c r="S997" s="63"/>
      <c r="T997" s="63"/>
      <c r="U997" s="63"/>
      <c r="V997" s="63"/>
      <c r="W997" s="63"/>
      <c r="X997" s="63"/>
      <c r="Y997" s="63"/>
      <c r="Z997" s="63"/>
    </row>
    <row r="998" ht="12.0" customHeight="1">
      <c r="A998" s="63"/>
      <c r="B998" s="63"/>
      <c r="C998" s="63"/>
      <c r="D998" s="63"/>
      <c r="E998" s="63"/>
      <c r="F998" s="63"/>
      <c r="G998" s="63"/>
      <c r="H998" s="63"/>
      <c r="I998" s="63"/>
      <c r="J998" s="63"/>
      <c r="K998" s="63"/>
      <c r="L998" s="63"/>
      <c r="M998" s="63"/>
      <c r="N998" s="63"/>
      <c r="O998" s="63"/>
      <c r="P998" s="63"/>
      <c r="Q998" s="63"/>
      <c r="R998" s="63"/>
      <c r="S998" s="63"/>
      <c r="T998" s="63"/>
      <c r="U998" s="63"/>
      <c r="V998" s="63"/>
      <c r="W998" s="63"/>
      <c r="X998" s="63"/>
      <c r="Y998" s="63"/>
      <c r="Z998" s="63"/>
    </row>
    <row r="999" ht="12.0" customHeight="1">
      <c r="A999" s="63"/>
      <c r="B999" s="63"/>
      <c r="C999" s="63"/>
      <c r="D999" s="63"/>
      <c r="E999" s="63"/>
      <c r="F999" s="63"/>
      <c r="G999" s="63"/>
      <c r="H999" s="63"/>
      <c r="I999" s="63"/>
      <c r="J999" s="63"/>
      <c r="K999" s="63"/>
      <c r="L999" s="63"/>
      <c r="M999" s="63"/>
      <c r="N999" s="63"/>
      <c r="O999" s="63"/>
      <c r="P999" s="63"/>
      <c r="Q999" s="63"/>
      <c r="R999" s="63"/>
      <c r="S999" s="63"/>
      <c r="T999" s="63"/>
      <c r="U999" s="63"/>
      <c r="V999" s="63"/>
      <c r="W999" s="63"/>
      <c r="X999" s="63"/>
      <c r="Y999" s="63"/>
      <c r="Z999" s="63"/>
    </row>
    <row r="1000" ht="12.0" customHeight="1">
      <c r="A1000" s="63"/>
      <c r="B1000" s="63"/>
      <c r="C1000" s="63"/>
      <c r="D1000" s="63"/>
      <c r="E1000" s="63"/>
      <c r="F1000" s="63"/>
      <c r="G1000" s="63"/>
      <c r="H1000" s="63"/>
      <c r="I1000" s="63"/>
      <c r="J1000" s="63"/>
      <c r="K1000" s="63"/>
      <c r="L1000" s="63"/>
      <c r="M1000" s="63"/>
      <c r="N1000" s="63"/>
      <c r="O1000" s="63"/>
      <c r="P1000" s="63"/>
      <c r="Q1000" s="63"/>
      <c r="R1000" s="63"/>
      <c r="S1000" s="63"/>
      <c r="T1000" s="63"/>
      <c r="U1000" s="63"/>
      <c r="V1000" s="63"/>
      <c r="W1000" s="63"/>
      <c r="X1000" s="63"/>
      <c r="Y1000" s="63"/>
      <c r="Z1000" s="63"/>
    </row>
  </sheetData>
  <autoFilter ref="$A$1:$C$418">
    <sortState ref="A1:C418">
      <sortCondition ref="C1:C418"/>
    </sortState>
  </autoFilter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2021-06-30T18:49:34Z</dcterms:created>
  <dc:creator>Methodo</dc:creator>
</cp:coreProperties>
</file>