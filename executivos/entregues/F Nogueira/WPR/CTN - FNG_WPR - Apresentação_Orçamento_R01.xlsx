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iZ8rUm35Zn56XYM-i8iXhX2N0qBWZksE\F Nogueira - 01.2022\Residencial WPR\03. Custo\03.5 Custo - Determinação do orçamento\Entrega 2022.08.05\"/>
    </mc:Choice>
  </mc:AlternateContent>
  <xr:revisionPtr revIDLastSave="0" documentId="13_ncr:1_{FC234A12-69DF-467E-89D6-4D773252E49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erenciamento executivo " sheetId="3" r:id="rId1"/>
    <sheet name="Executivo" sheetId="1" r:id="rId2"/>
    <sheet name="Planilha3" sheetId="6" r:id="rId3"/>
  </sheets>
  <definedNames>
    <definedName name="_xlnm._FilterDatabase" localSheetId="2" hidden="1">Planilha3!$A$1:$C$418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" i="1" l="1"/>
  <c r="D2" i="1"/>
  <c r="E2" i="1"/>
  <c r="B6" i="1"/>
  <c r="E18" i="3" l="1"/>
  <c r="D18" i="3"/>
  <c r="E18" i="1"/>
  <c r="D18" i="1"/>
  <c r="B19" i="1" l="1"/>
  <c r="C18" i="1" l="1"/>
  <c r="G25" i="1"/>
  <c r="G23" i="1" l="1"/>
  <c r="E7" i="1" l="1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D16" i="1" l="1"/>
  <c r="D15" i="1" l="1"/>
  <c r="B15" i="3" s="1"/>
  <c r="E15" i="1"/>
  <c r="D21" i="3" l="1"/>
  <c r="D22" i="3" l="1"/>
  <c r="D23" i="3"/>
  <c r="D24" i="3"/>
  <c r="D25" i="3"/>
  <c r="D26" i="3"/>
  <c r="D27" i="3"/>
  <c r="D28" i="3"/>
  <c r="D29" i="3"/>
  <c r="D30" i="3"/>
  <c r="D31" i="3"/>
  <c r="D32" i="3"/>
  <c r="D33" i="3"/>
  <c r="D4" i="1"/>
  <c r="F8" i="6" l="1"/>
  <c r="F5" i="6"/>
  <c r="F6" i="6"/>
  <c r="F7" i="6"/>
  <c r="F3" i="6"/>
  <c r="F4" i="6"/>
  <c r="F2" i="6"/>
  <c r="E3" i="1"/>
  <c r="D5" i="1"/>
  <c r="B5" i="3" s="1"/>
  <c r="E4" i="1"/>
  <c r="E12" i="1"/>
  <c r="E14" i="1"/>
  <c r="B16" i="3"/>
  <c r="E10" i="1"/>
  <c r="D9" i="1"/>
  <c r="E11" i="1"/>
  <c r="D11" i="1"/>
  <c r="B11" i="3" s="1"/>
  <c r="D6" i="1"/>
  <c r="B6" i="3" s="1"/>
  <c r="B9" i="3" l="1"/>
  <c r="F9" i="6"/>
  <c r="G3" i="6" s="1"/>
  <c r="B7" i="3"/>
  <c r="E6" i="1"/>
  <c r="E16" i="1"/>
  <c r="D12" i="1"/>
  <c r="B12" i="3" s="1"/>
  <c r="E9" i="1"/>
  <c r="D13" i="1"/>
  <c r="B13" i="3" s="1"/>
  <c r="E13" i="1"/>
  <c r="E5" i="1"/>
  <c r="B4" i="3"/>
  <c r="D14" i="1"/>
  <c r="D10" i="1"/>
  <c r="B10" i="3" s="1"/>
  <c r="D3" i="1"/>
  <c r="B3" i="3" s="1"/>
  <c r="D17" i="1"/>
  <c r="B17" i="3" s="1"/>
  <c r="E17" i="1"/>
  <c r="G2" i="6" l="1"/>
  <c r="G9" i="6"/>
  <c r="G4" i="6"/>
  <c r="G7" i="6"/>
  <c r="G8" i="6"/>
  <c r="G6" i="6"/>
  <c r="G5" i="6"/>
  <c r="B14" i="3"/>
  <c r="C17" i="1"/>
  <c r="E8" i="1"/>
  <c r="E19" i="1" s="1"/>
  <c r="D8" i="1"/>
  <c r="B8" i="3" s="1"/>
  <c r="D19" i="1" l="1"/>
  <c r="D20" i="1" s="1"/>
  <c r="B18" i="3"/>
  <c r="C14" i="1"/>
  <c r="C10" i="1"/>
  <c r="C7" i="1"/>
  <c r="C8" i="1"/>
  <c r="C16" i="1"/>
  <c r="C12" i="1"/>
  <c r="C13" i="1"/>
  <c r="C9" i="1"/>
  <c r="C2" i="1"/>
  <c r="C15" i="1"/>
  <c r="C6" i="1"/>
  <c r="C11" i="1"/>
  <c r="C5" i="1"/>
  <c r="C3" i="1"/>
  <c r="C4" i="1"/>
  <c r="C1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4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785000
</t>
        </r>
      </text>
    </comment>
  </commentList>
</comments>
</file>

<file path=xl/sharedStrings.xml><?xml version="1.0" encoding="utf-8"?>
<sst xmlns="http://schemas.openxmlformats.org/spreadsheetml/2006/main" count="919" uniqueCount="478">
  <si>
    <t>ETAPA</t>
  </si>
  <si>
    <t>MOVIMENTAÇÃO DE TERRA</t>
  </si>
  <si>
    <t>INFRAESTRUTURA</t>
  </si>
  <si>
    <t>SUPRAESTRUTURA</t>
  </si>
  <si>
    <t>ALVENARIA</t>
  </si>
  <si>
    <t>REVESTIMENTOS E ACABAMENTOS INTERNOS EM TETO</t>
  </si>
  <si>
    <t>PINTURA INTERNA</t>
  </si>
  <si>
    <t>TOTAL</t>
  </si>
  <si>
    <t>CUB/SC</t>
  </si>
  <si>
    <t>VALOR ORÇADO</t>
  </si>
  <si>
    <t>%</t>
  </si>
  <si>
    <t>VALOR / m²</t>
  </si>
  <si>
    <t>VALOR / UNIDADE</t>
  </si>
  <si>
    <t>REVESTIMENTOS INTERNOS EM PISO E PAREDE</t>
  </si>
  <si>
    <t>ACABAMENTOS EM PISO E PAREDE</t>
  </si>
  <si>
    <t>REVESTIMENTOS E ACABAMENTOS DE FACHADA</t>
  </si>
  <si>
    <t>SERVIÇOS COMPLEMENTARES</t>
  </si>
  <si>
    <t>SISTEMAS E EQUIPAMENTOS ESPECIAIS</t>
  </si>
  <si>
    <t>ESQUADRIAS, VIDROS E FERRAGENS</t>
  </si>
  <si>
    <t>IMPERMEABILIZAÇÃO</t>
  </si>
  <si>
    <t>Valor 1</t>
  </si>
  <si>
    <t>Valor 2</t>
  </si>
  <si>
    <t>INSTALAÇÕES ELÉTRICAS, HIDRÁULICAS, GLP E PREVENTIVAS</t>
  </si>
  <si>
    <t>CUBs</t>
  </si>
  <si>
    <t>COBERTURA</t>
  </si>
  <si>
    <t>MÃO DE OBRA EMPREITADA PARA EXECUÇÃO DE ESTRUTURA DE CONCRETO ARMADO EM SUPRAESTRUTURA*</t>
  </si>
  <si>
    <t>CONCRETO USINADO BOMBEÁVEL, PARA SUPRAESTRUTURA, FCK 35MPA, SLUMP 10+/- 2, INCLUINDO SERVIÇO DE BOMBEAMENTO*</t>
  </si>
  <si>
    <t>MOBILIARIO E DECORAÇÃO*</t>
  </si>
  <si>
    <t>ARMAÇÃO AÇO CA-50, DIÂMETRO 6,3MM PARA SUPRAESTRUTURA - CORTADO E DOBRADO EM INDÚSTRIA*</t>
  </si>
  <si>
    <t>MÃO DE OBRA EMPREITADA PARA INSTALAÇÕES HIDRÁULICAS E SANITÁRIAS*</t>
  </si>
  <si>
    <t>MÃO DE OBRA EMPREITADA PARA INSTALAÇÕES ELÉTRICAS*</t>
  </si>
  <si>
    <t>EXECUCAO TAPUME METALICO H=3,00M</t>
  </si>
  <si>
    <t>EXECUCAO SAPATAS (0,5 x 0,5 x 0,4m) PARA CONTAINER DE PLANTAO DE VENDAS</t>
  </si>
  <si>
    <t>EXECUCAO DE VIGA DE CONCRETO (0,2 X 0,3M) PARA TRILHO DE PORTAO DE OBRA</t>
  </si>
  <si>
    <t xml:space="preserve">EXECUCAO DE GUIA DE TRAVAMENTO PARA PAVER </t>
  </si>
  <si>
    <t>EXECUCAO DE MEIO FIO</t>
  </si>
  <si>
    <t>FABRICAÇÃO, MONTAGEM E DESMONTAGEM DE FORMA PARA BLOCOS DE COROAMENTO E VIGAS BALDRAMES, EM COMPENSADO RESINADO 17MM</t>
  </si>
  <si>
    <t>IMPERMEABILIZAÇÃO DE BALDRAMES COM TINTA ASFÁLTICA*</t>
  </si>
  <si>
    <t>PREPARACAO SUBSTRATO PARA RECEBIMENTO PISO DE CONCRETO (LONA+BRITA)</t>
  </si>
  <si>
    <t>TOPOGRAFO PARA LOCACAO DAS ESTACAS E PILARES</t>
  </si>
  <si>
    <t>CHAPISCO INTERNO DE ARGAMASSA CIMENTO E AREIA (1:3), APLICADO EM ALVENARIAS, COM COLHER DE PEDREIRO*</t>
  </si>
  <si>
    <t>CONTRAPISO COMUM EM ARGAMASSA TRACO 1:4 ESPESSURA 5CM</t>
  </si>
  <si>
    <t>CHAPISCO INTERNO DE ARGAMASSA PRÉ-FABRICADA ADESIVA DE CIMENTO COLANTE, APLICADO EM ESTRUTURA DE CONCRETO ARMADO, COM DESEMPENADEIRA DENTADA*</t>
  </si>
  <si>
    <t>ESPACADOR ARMADURA ROLETE R75 PARA ESTACA</t>
  </si>
  <si>
    <t>ESTACA HELICE CONTINUA DN40CM</t>
  </si>
  <si>
    <t>ESTACA HELICE CONTINUA DN50CM</t>
  </si>
  <si>
    <t>ESTACA HELICE CONTINUA DN60CM</t>
  </si>
  <si>
    <t>CONCRETO USINADO BOMBEÁVEL, PARA ESTACAS, FCK 30MPA, SLUMP 22+-3CM BRITA 0, INCLUI SERVIÇO DE BOMBEAMENTO*</t>
  </si>
  <si>
    <t>SERVICO DE LIMPEZA E REMOCAO DO EXCENDENTE DE SOLO DURANTE A PERFURACAO DAS ESTACAS, BLOCOS E BALDRAMES</t>
  </si>
  <si>
    <t>EXECUCAO DE GABARITO DE FUNDACAO EM MADEIRA PINUS</t>
  </si>
  <si>
    <t>REGULARIZACAO TERRENO CANTEIRO</t>
  </si>
  <si>
    <t>CARREGAMENTO, ESPALHAMENTO E COMPACTACAO DE MATERIAL GRANULAR EM CANTEIRO</t>
  </si>
  <si>
    <t>SEGURANCA DO TRABALHO - ACOMPANHAMENTO MENSAL</t>
  </si>
  <si>
    <t>PROJETO ESTRUTURAL</t>
  </si>
  <si>
    <t>PROJETO ELETRICO</t>
  </si>
  <si>
    <t>PROJETO HIDROSSANITARIO</t>
  </si>
  <si>
    <t>MEMORIAL DESCRITIVO*</t>
  </si>
  <si>
    <t>LEVANTAMENTO TOPOGRÁFICO*</t>
  </si>
  <si>
    <t>ESTUDO GEOLÓGICO*</t>
  </si>
  <si>
    <t>ESTUDO AMBIENTAL*</t>
  </si>
  <si>
    <t>SONDAGEM DO TERRENO*</t>
  </si>
  <si>
    <t>PROJETO DE CANTEIRO*</t>
  </si>
  <si>
    <t>LEGALIZAÇÃO DE INCORPORAÇÃO*</t>
  </si>
  <si>
    <t>PROJETO ARQUITETÔNICO LEGAL*</t>
  </si>
  <si>
    <t>PROJETO ARQUITETÔNICO EXECUTIVO *</t>
  </si>
  <si>
    <t>PROJETO ARQUITETÔNICO INTERIORES / AMBIENTAÇÃO *</t>
  </si>
  <si>
    <t>PROJETO ARQUITETÔNICO DE FACHADA*</t>
  </si>
  <si>
    <t>PROJETO TÉCNICO DE FACHADA*</t>
  </si>
  <si>
    <t>PROJETO DE FUNDAÇÃO*</t>
  </si>
  <si>
    <t>PROJETO PREVENTIVO*</t>
  </si>
  <si>
    <t>PROJETO TELECOMUNICACOES*</t>
  </si>
  <si>
    <t>PROJETO DE AUTOMAÇÃO*</t>
  </si>
  <si>
    <t>PROJETO DE CLIMATIZAÇÃO E EXAUSTÃO*</t>
  </si>
  <si>
    <t>PROJETO DE GÁS*</t>
  </si>
  <si>
    <t>PROJETO DE SEGURANÇA*</t>
  </si>
  <si>
    <t>PROJETO DE IMPERMEABILIZAÇÃO*</t>
  </si>
  <si>
    <t>PROJETO DE PAISAGISMO*</t>
  </si>
  <si>
    <t>ORCAMENTO E PLANEJAMENTO*</t>
  </si>
  <si>
    <t>CONSULTORIAS DIVERSAS*</t>
  </si>
  <si>
    <t>LAUDO DE VISTORIA TÉCNICA*</t>
  </si>
  <si>
    <t>LAUDO PREVENTIVO DE DANOS À VIZINHANÇA*</t>
  </si>
  <si>
    <t>CONTROLE TECNOLÓGICO DE CONCRETO*</t>
  </si>
  <si>
    <t>ENSAIOS E LAUDOS*</t>
  </si>
  <si>
    <t>TAXAS DE APROVAÇÃO E LEGALIZAÇÃO*</t>
  </si>
  <si>
    <t>DEPESAS DE SEGURO DE OBRA*</t>
  </si>
  <si>
    <t>TAXAS DE ART*</t>
  </si>
  <si>
    <t>TAXA DE ALVARÁ</t>
  </si>
  <si>
    <t>DESPESAS CARTÓRIO, LICENÇAS, CERTIDÕES E JURÍDICAS*</t>
  </si>
  <si>
    <t>INCORPORAÇÃO*</t>
  </si>
  <si>
    <t>IPTU*</t>
  </si>
  <si>
    <t>TAXA HABITE-SE*</t>
  </si>
  <si>
    <t>AS BUILT*</t>
  </si>
  <si>
    <t>MANUAIS TÉCNICOS - CONDOMÍNIO/PROPRIETÁRIOS*</t>
  </si>
  <si>
    <t>TREINAMENTOS DE SEGURANÇA DO TRABALHO*</t>
  </si>
  <si>
    <t>EQUIPAMENTO DE PROTEÇÃO INDIVIDUAL - EPI*</t>
  </si>
  <si>
    <t>BANDEJA DE PROTEÇÃO PRIMÁRIA*</t>
  </si>
  <si>
    <t>GUARDA-CORPO DE VÃOS, FIXADO EM FORMA DE MADEIRA, EM TRAMA DE MADEIRA COM TELA DE POLIPROPILENO*</t>
  </si>
  <si>
    <t>GUARDA-CORPO EM LAJE PÓS-DESFÔRMA COM PONTALETE DE MADEIRA, TRAVESSÕES E TELA*</t>
  </si>
  <si>
    <t>FECHAMENTO REMOVÍVEL DE VÃOS DE PORTA DE ELEVADOR EM MADEIRA*</t>
  </si>
  <si>
    <t>FECHAMENTO REMOVÍVEL DE ABERTURA NO PISO DO ELEVADOR EM MADEIRA*</t>
  </si>
  <si>
    <t>COBERTURA PARA PROTEÇÃO DE PEDESTRES*</t>
  </si>
  <si>
    <t>VARAL DE SEGURANÇA COM CABO DE AÇO*</t>
  </si>
  <si>
    <t>SINALIZAÇÃO GERAL DA OBRA*</t>
  </si>
  <si>
    <t>TELA FACHADEIRA*</t>
  </si>
  <si>
    <t>ELABORAÇÃO DO PROGRAMA DE PREVENÇÃO DOS RISCOS AMBIENTAIS (PPRA)*</t>
  </si>
  <si>
    <t>ELABORAÇÃO DO PROGRAMA DE CONTROLE MÉDICO DE SAÚDE OCUPACIONAL (PCMSO)*</t>
  </si>
  <si>
    <t>ELABORAÇÃO DO PROGRAMA DE CONDIÇÕES E MEIO AMBIENTE DE TRABALHO NA INDÚSTRIA DE CONSTRUÇÃO (PCMAT)*</t>
  </si>
  <si>
    <t>MEDICAMENTOS PREVENTIVOS E DE EMERGÊNCIA*</t>
  </si>
  <si>
    <t>DEDETIZAÇÃO, DESRATIZAÇÃO E SANITIZAÇÃO DOS AMBIENTES*</t>
  </si>
  <si>
    <t>MESTRE DE OBRAS*</t>
  </si>
  <si>
    <t>TÉCNICO DE EDIFICAÇÕES*</t>
  </si>
  <si>
    <t>ALMOXARIFE*</t>
  </si>
  <si>
    <t>GUINCHEIRO*</t>
  </si>
  <si>
    <t>VIGILÂNCIA / PORTARIA*</t>
  </si>
  <si>
    <t>LIMPEZA DE OBRA*</t>
  </si>
  <si>
    <t>ARMAÇÃO AÇO CA-50, DIÂMETRO 12,5MM PARA ESTACAS - CORTADO E DOBRADO EM INDÚSTRIA*</t>
  </si>
  <si>
    <t>ARMAÇÃO AÇO CA-50, DIÂMETRO 6,3MM PARA ESTACAS - CORTADO E DOBRADO EM INDÚSTRIA*</t>
  </si>
  <si>
    <t>ARMAÇÃO AÇO CA-50, DIÂMETRO 16,0MM PARA ESTACAS - CORTADO E DOBRADO EM INDÚSTRIA*</t>
  </si>
  <si>
    <t>ARMAÇÃO AÇO CA-50, DIÂMETRO 6,3MM PARA BLOCOS E BALDRAMES - CORTADO E DOBRADO EM INDÚSTRIA*</t>
  </si>
  <si>
    <t>ARMAÇÃO AÇO CA-50, DIÂMETRO 8,0MM PARA BLOCOS E BALDRAMES - CORTADO E DOBRADO EM INDÚSTRIA*</t>
  </si>
  <si>
    <t>ARMAÇÃO AÇO CA-50, DIÂMETRO 10,0MM PARA BLOCOS E BALDRAMES - CORTADO E DOBRADO EM INDÚSTRIA*</t>
  </si>
  <si>
    <t>ARMAÇÃO AÇO CA-50, DIÂMETRO 12,5MM PARA BLOCOS E BALDRAMES - CORTADO E DOBRADO EM INDÚSTRIA*</t>
  </si>
  <si>
    <t>ARMAÇÃO AÇO CA-50, DIÂMETRO 16,0MM PARA BLOCOS E BALDRAMES - CORTADO E DOBRADO EM INDÚSTRIA*</t>
  </si>
  <si>
    <t>ARMAÇÃO AÇO CA-50, DIÂMETRO 20,0MM PARA BLOCOS E BALDRAMES - CORTADO E DOBRADO EM INDÚSTRIA*</t>
  </si>
  <si>
    <t>ARMAÇÃO AÇO CA-50, DIÂMETRO 25,0MM PARA BLOCOS E BALDRAMES - CORTADO E DOBRADO EM INDÚSTRIA*</t>
  </si>
  <si>
    <t>ARMAÇÃO AÇO CA-60, DIÂMETRO 5,0MM PARA BLOCOS E BALDRAMES - CORTADO E DOBRADO EM INDÚSTRIA*</t>
  </si>
  <si>
    <t>LASTRO DE MATERIAL GRANULAR</t>
  </si>
  <si>
    <t>PISO DE CONCRETO SOBRE SOLO, ESPESSURA 15 CM</t>
  </si>
  <si>
    <t>ESCAVAÇÃO MECANIZADA PARA BLOCOS DE FUNDAÇÃO E VIGAS BALDRAME, COM PREVISÃO DE FÔRMA, COM RETROESCAVADEIRA</t>
  </si>
  <si>
    <t>REATERRO MECANIZADO DE VALAS PARA BLOCOS E BALDRAMES, COM RETROESCAVADEIRA</t>
  </si>
  <si>
    <t>CONCRETO USINADO BOMBEÁVEL, PARA BLOCOS E BALDRAMES, FCK 35MPA, SLUMP 10+/- 2, INCLUINDO SERVIÇO DE BOMBEAMENTO*</t>
  </si>
  <si>
    <t>ALVENARIA DE VEDAÇÃO DE BLOCOS CERÂMICOS FURADOS NA HORIZONTAL DE 09X19X19CM (ESPESSURA 09CM) COM ARGAMASSA ESTABILIZADA DE ASSENTAMENTO*</t>
  </si>
  <si>
    <t>ALVENARIA DE VEDAÇÃO DE BLOCOS CERÂMICOS FURADOS NA HORIZONTAL DE 11,5X19X19CM (ESPESSURA 11,5CM) COM ARGAMASSA ESTABILIZADA DE ASSENTAMENTO*</t>
  </si>
  <si>
    <t>ALVENARIA DE VEDAÇÃO DE BLOCOS CERÂMICOS FURADOS NA HORIZONTAL DE 19X19X19CM (ESPESSURA 19CM) COM ARGAMASSA ESTABILIZADA DE ASSENTAMENTO *</t>
  </si>
  <si>
    <t>ALVENARIA DE VEDAÇÃO DE BLOCOS DE CONCRETO 9X19X39CM (ESPESSURA 9CM) COM ARGAMASSA ESTABILIZADA DE ASSENTAMENTO*</t>
  </si>
  <si>
    <t>TELA SOLDADA PARA LIGAÇÃO ALVENARIA/ESTRUTURA - PARA BLOCOS DE 09 A 14CM*</t>
  </si>
  <si>
    <t>TELA SOLDADA PARA LIGAÇÃO ALVENARIA/ESTRUTURA - PARA BLOCOS DE 14 A 19CM*</t>
  </si>
  <si>
    <t>ENCUNHAMENTO DE ALVENARIA DE VEDAÇÃO COM ARGAMASSA EXPANSIVA*</t>
  </si>
  <si>
    <t>VERGA/CONTRAVERGA DE CONCRETO, MOLDADA IN LOCO*</t>
  </si>
  <si>
    <t>MÃO DE OBRA EMPREITADA PARA FECHAMENTO DE SHAFTS*</t>
  </si>
  <si>
    <t>MÃO DE OBRA CRITÉRIO DE VÃOS - ASSENTAMENTO DE BLOCOS DE CONCRETO*</t>
  </si>
  <si>
    <t>MÃO DE OBRA CRITÉRIO DE VÃOS - ASSENTAMENTO BLOCOS CERÂMICOS*</t>
  </si>
  <si>
    <t>MÃO DE OBRA EMPREITADA VEDAÇÕES INTERNAS E EXTERNAS - ASSENTAMENTO DE BLOCOS DE CONCRETO*</t>
  </si>
  <si>
    <t>MÃO DE OBRA EMPREITADA VEDAÇÕES INTERNAS E EXTERNAS - ASSENTAMENTO BLOCOS CERÂMICOS*</t>
  </si>
  <si>
    <t>REGULARIZAÇÃO DE SUPERFÍCIE PARA IMPERMEABILIZAÇÃO*</t>
  </si>
  <si>
    <t>PROTEÇÃO MECÂNICA COM ARGAMASSA DE CIMENTO E AREIA, TRAÇO 1:3, ESPESSURA 5CM, COM CAMADA SEPARADORA DE POLIETILENO*</t>
  </si>
  <si>
    <t>MANTA ASFÁLTICA ESPESSURA 5MM, ACABAMENTO PP, TIPO II, CLASSE C, UMA CAMADA, APLICAÇÃO COM PRIMER ASFÁLTICO*</t>
  </si>
  <si>
    <t>IMPERMEABILIZAÇÃO COM ARGAMASSA POLIMÉRICA, 4 DEMÃOS COM VÉU DE POLIÉSTER*</t>
  </si>
  <si>
    <t>IMPERMEABILIZAÇÃO COM MANTA LÍQUIDA EM PEITORIS*</t>
  </si>
  <si>
    <t>MÃO DE OBRA EMPREITADA PARA REGULARIZAÇÃO DE SUPERFÍCIE*</t>
  </si>
  <si>
    <t>MÃO DE OBRA EMPREITADA PARA IMPERMEABILIZAÇÃO DE MANTA ASFÁLTICA*</t>
  </si>
  <si>
    <t>MÃO DE OBRA EMPREITADA PARA IMPERMEABILIZAÇÃO COM ARGAMASSA POLIMÉRICA*</t>
  </si>
  <si>
    <t>MÃO DE OBRA EMPREITADA PARA EXECUÇÃO DE PROTEÇÃO MECÂNICA EM SUPERFÍCIE IMPERMEABILIZADA*</t>
  </si>
  <si>
    <t>MÃO DE OBRA EMPREITADA PARA TRATAMENTO DE RALO*</t>
  </si>
  <si>
    <t>TRATAMENTO DE RALO COM ARGAMASSA POLIMÉRICA COM FIBRAS E VÉU DE POLIÉSTER*</t>
  </si>
  <si>
    <t>REGULARIZAÇÃO DE PISO EM ARGAMASSA INDUSTRIALIZADA, ESPESSURA 2 CM*</t>
  </si>
  <si>
    <t>REGULARIZAÇÃO DE PISO PARA COLOCAÇÃO DE PISO VINILICO/LAMINADO EM ARGAMASSA INDUSTRIALIZADA, ESPESSURA 2 CM*</t>
  </si>
  <si>
    <t>PISO DE CONCRETO POLIDO, ACABAMENTO CAMURÇADO, ESPESSURA 2 CM*</t>
  </si>
  <si>
    <t>MASSA ÚNICA INTERNA EM ARGAMASSA ESTABILIZADA, APLICAÇÃO MANUAL EM PAREDES, ESPESSURA DE 2 CM*</t>
  </si>
  <si>
    <t>ESTUCAMENTO DE ESTRUTURA DE CONCRETO EM PILARES E EM VIGAS*</t>
  </si>
  <si>
    <t>MÃO DE OBRA EMPREITADA PARA EXECUÇÃO CONTRAPISO COMUM*</t>
  </si>
  <si>
    <t>MÃO DE OBRA EMPREITADA PARA EXECUÇÃO CONTRAPISO ACÚSTICO*'</t>
  </si>
  <si>
    <t>MÃO DE OBRA EMPREITADA PARA EXECUÇÃO DE PISO DE CONCRETO SOBRE O SOLO*</t>
  </si>
  <si>
    <t xml:space="preserve">MÃO DE OBRA EMPREITADA PARA POLIMENTO DE PISO DE CONCRETO*     </t>
  </si>
  <si>
    <t>MÃO DE OBRA MISTA PARA REBOCO INTERNO EM PAREDES, INCLUSO CHAPISCO*</t>
  </si>
  <si>
    <t>MÃO DE OBRA EMPREITADA PARA ESTUCAMENTO DE ESTRUTURA DE CONCRETO*</t>
  </si>
  <si>
    <t>CHAPISCO INTERNO DE ARGAMASSA CIMENTO E AREIA (1:4), APLICADO EM TETO, COM DESEMPENADEIRA DENTADA*</t>
  </si>
  <si>
    <t>MASSA ÚNICA INTERNA EM ARGAMASSA ESTABILIZADA, APLICAÇÃO MANUAL EM TETO, ESPESSURA DE 2CM*</t>
  </si>
  <si>
    <t>ESTUCAMENTO DE ESTRUTURA DE CONCRETO EM TETO*</t>
  </si>
  <si>
    <t>FORRO DE GESSO ACARTONADO, APLICAÇÃO EM ÁREAS SECAS - MATERIAL E MÃO DE OBRA*</t>
  </si>
  <si>
    <t>FORRO DE GESSO ACARTONADO, APLICAÇÃO EM ÁREAS MOLHADAS - MATERIAL E MÃO E OBRA*</t>
  </si>
  <si>
    <t>GESSO NEGATIVO - MATERIAL E MÃO DE OBRA*</t>
  </si>
  <si>
    <t>MÃO DE OBRA EMPREITADA PARA REBOCO INTERNO EM TETO, INCLUSO CHAPISCO*</t>
  </si>
  <si>
    <t>FECHAMENTO DOS SHAFTS EM PLACA CIMENTÍCIA</t>
  </si>
  <si>
    <t>MÃO DE OBRA EMPREITADA PARA IMPERMEABILIZAÇÃO DE PEITORIS COM MANTA LÍQUIDA*</t>
  </si>
  <si>
    <t>PINTURA COM TINTA LÁTEX ACRÍLICA EM PAREDES INTERNAS, ACABAMENTO FOSCO, 3 DEMÃOS*</t>
  </si>
  <si>
    <t>PINTURA COM TINTA LÁTEX ACRÍLICA EM FOSSO DO ELEVADOR, 1 DEMÃO*</t>
  </si>
  <si>
    <t>PINTURA EPÓXI EM PISO, APLICAÇÃO MANUAL, 2 DEMÃOS*</t>
  </si>
  <si>
    <t xml:space="preserve">PINTURA EPÓXI EM PARA FAIXAS DE DEMARCAÇÃO EM PISO, COR AMARELA, APLICAÇÃO MANUAL, 2 DEMÃOS* </t>
  </si>
  <si>
    <t xml:space="preserve">MÃO DE OBRA EMPREITADA PARA PINTURA EPÓXI EM PISO, 2 DEMÃOS* </t>
  </si>
  <si>
    <t xml:space="preserve">MÃO DE OBRA EMPREITADA PARA FAIXAS DE DEMARCAÇÃO EM PISO* </t>
  </si>
  <si>
    <t xml:space="preserve">MÃO DE OBRA EMPREITADA PARA APLICAÇÃO DE FUNDO PREPARADOR EM PAREDES INTERNAS, 1 DEMÃO* </t>
  </si>
  <si>
    <t>MÃO DE OBRA EMPREITADA PARA APLICAÇÃO E LIXAMENTO DE MASSA EM PAREDES*</t>
  </si>
  <si>
    <t xml:space="preserve">MÃO DE OBRA EMPREITADA PARA PINTURA ACRÍLICA EM PAREDE INTERNA 3 DEMÃOS* </t>
  </si>
  <si>
    <t xml:space="preserve">MÃO DE OBRA EMPREITADA PARA REGULARIZAÇÃO E PINTURA DO FOSSO DO ELEVADOR* </t>
  </si>
  <si>
    <t xml:space="preserve">MÃO DE OBRA EMPREITADA PARA APLICAÇÃO E LIXAMENTO DE MASSA EM TETO* </t>
  </si>
  <si>
    <t>MÃO DE OBRA EMPREITADA PARA PINTURA ACRÍLICA EM TETO, 2 DEMÃOS*</t>
  </si>
  <si>
    <t xml:space="preserve">MÃO DE OBRA EMPREITADA PARA TRATAMENTO DE JUNTAS EM REBOCO* </t>
  </si>
  <si>
    <t>MÃO DE OBRA EMPREITADA PARA EXECUÇÃO DE CHAPISCO EXTERNO*</t>
  </si>
  <si>
    <t>ARMAÇÃO AÇO CA-60, DIÂMETRO 5,0MM PARA SUPRAESTRUTURA - CORTADO E DOBRADO EM INDÚSTRIA*</t>
  </si>
  <si>
    <t>ARMAÇÃO AÇO CA-50, DIÂMETRO 8,0MM PARA SUPRAESTRUTURA - CORTADO E DOBRADO EM INDÚSTRIA*</t>
  </si>
  <si>
    <t>ARMAÇÃO AÇO CA-50, DIÂMETRO 10,0MM PARA SUPRAESTRUTURA - CORTADO E DOBRADO EM INDÚSTRIA*</t>
  </si>
  <si>
    <t>ARMAÇÃO AÇO CA-50, DIÂMETRO 12,5MM PARA SUPRAESTRUTURA - CORTADO E DOBRADO EM INDÚSTRIA*</t>
  </si>
  <si>
    <t>ARMAÇÃO AÇO CA-50, DIÂMETRO 16,0MM PARA SUPRAESTRUTURA - CORTADO E DOBRADO EM INDÚSTRIA*</t>
  </si>
  <si>
    <t>ARMAÇÃO AÇO CA-50, DIÂMETRO 20,0MM PARA SUPRAESTRUTURA - CORTADO E DOBRADO EM INDÚSTRIA*</t>
  </si>
  <si>
    <t>ARMAÇÃO AÇO CA-50, DIÂMETRO 25,0MM PARA SUPRAESTRUTURA - CORTADO E DOBRADO EM INDÚSTRIA*</t>
  </si>
  <si>
    <t>FABRICAÇÃO DE FÔRMA PARA PILARES, EM CHAPAS DE MADEIRA COMPENSADA PLASTIFICADA, E=18MM*</t>
  </si>
  <si>
    <t>FABRICAÇÃO DE FÔRMA PARA VIGAS, EM CHAPAS DE MADEIRA COMPENSADA PLASTIFICADA, E=18MM*</t>
  </si>
  <si>
    <t>FABRICAÇÃO DE FÔRMA PARA LAJES, EM CHAPAS DE MADEIRA COMPENSADA PLASTIFICADA, E=18MM*</t>
  </si>
  <si>
    <t>MONTAGEM E DESMONTAGEM DE FÔRMA DE PILARES, EM CHAPA DE MADEIRA COMPENSADA PLASTIFICADA*</t>
  </si>
  <si>
    <t>MONTAGEM E DESMONTAGEM DE FÔRMA DE VIGA, EM CHAPA DE MADEIRA PLASTIFICADA*</t>
  </si>
  <si>
    <t>MONTAGEM E DESMONTAGEM DE FÔRMA DE LAJE, EM CHAPA DE MADEIRA PLASTIFICADA*</t>
  </si>
  <si>
    <t>MÃO DE OBRA EMPREITADA PARA EXECUÇÃO DE BLOCOS E BALDRAMES*</t>
  </si>
  <si>
    <t>PASSEIO EM CONCRETO ESTAMPADO*</t>
  </si>
  <si>
    <t>MÃO DE OBRA EMPREITADA PARA EXECUÇÃO DE PASSEIO EM CONCRETO ESTAMPADO*</t>
  </si>
  <si>
    <t>PISO TÁTIL*</t>
  </si>
  <si>
    <t>REVESTIMENTO INTERNO DE PISO CERÂMICO, PLACA 45X45, APLICAÇÃO EM LIXEIRA*</t>
  </si>
  <si>
    <t>REVESTIMENTO INTERNO DE PISO PORCELANATO, PLACA 60X60, APLICAÇÃO EM ÁREAS DESCOBERTAS DO CONDOMÍNIO*</t>
  </si>
  <si>
    <t>REVESTIMENTO INTERNO DE PISO PORCELANATO, PLACA 60X60, APLICAÇÃO EM ÁREAS SALAS COMERCIAIS*</t>
  </si>
  <si>
    <t>REVESTIMENTO INTERNO DE PISO PORCELANATO, PLACA 60X60, APLICAÇÃO EM ÁREAS SOCIAIS DO CONDOMÍNIO*</t>
  </si>
  <si>
    <t>RODAPÉ EM POLIESTIRENO, ALTURA 10 CM*</t>
  </si>
  <si>
    <t>RODAPÉ EM PORCELANATO, ALTURA 10CM, COM PLACA 60X60, APLICAÇÃO EM ÁREAS SOCIAIS DO CONDOMÍNIO*</t>
  </si>
  <si>
    <t>SOLEIRA EM PEDRA NATURAL E/OU SINTÉTICA*</t>
  </si>
  <si>
    <t>REVESTIMENTO INTERNO DE PAREDE EM CERÂMICA, PLACA 30X60, APLICAÇÃO EM LIXEIRA*</t>
  </si>
  <si>
    <t>PEITORIL EM PEDRA NATURAL E/OU SINTÉTICA*</t>
  </si>
  <si>
    <t>PINGADEIRA EM PEDRA NATURAL E/OU SINTÉTICA</t>
  </si>
  <si>
    <t>MÃO DE OBRA PARA COLOCAÇÃO E REJUNTAMENTO DE PISO CERÂMICO*</t>
  </si>
  <si>
    <t>MÃO DE OBRA PARA COLOCAÇÃO E REJUNTAMENTO DE PISO PORCELANATO*</t>
  </si>
  <si>
    <t>MÃO DE OBRA EMPREITADA PARA COLOCAÇÃO DE RODAPÉ DE POLIESTIRENO*</t>
  </si>
  <si>
    <t>MÃO DE OBRA EMPREITADA PARA COLOCAÇÃO DE RODAPÉ CERÂMICO / PORCELANATO*</t>
  </si>
  <si>
    <t>MÃO DE OBRA EMPREITADA PARA COLOCAÇÃO DE SOLEIRAS*</t>
  </si>
  <si>
    <t>MÃO DE OBRA EMPREITADA PARA COLOCAÇÃO DE PEITORIS*</t>
  </si>
  <si>
    <t>MÃO DE OBRA EMPREITADA PARA COLOCAÇÃO DE PINGADEIRA*</t>
  </si>
  <si>
    <t>MÃO DE OBRA EMPREITADA PARA COLOCAÇÃO E REJUNTAMENTO DE REVESTIMENTO CERÂMICO EM PAREDE*</t>
  </si>
  <si>
    <t>MÃO DE OBRA EMPREITADA PARA INSTALAÇÕES DE GÁS*</t>
  </si>
  <si>
    <t>MÃO DE OBRA EMPREITADA PARA INSTALAÇÕES PREVENTIVAS*</t>
  </si>
  <si>
    <t>MÃO DE OBRA EMPREITADA PARA INSTALAÇÕES SPDA*</t>
  </si>
  <si>
    <t>ELEVADOR SOCIAL - 2 PARADAS*</t>
  </si>
  <si>
    <t>ELEVADOR SOCIAL*</t>
  </si>
  <si>
    <t>VENTOKIT*</t>
  </si>
  <si>
    <t>ASSENTAMENTO DE TIJOLOS REFRATÁRIOS DE 6,3X11,4X22,9CM COM ARGAMASSA REFRATÁRIA*</t>
  </si>
  <si>
    <t>MÃO DE ORBA EMPREITADA PARA ASSENTAMENTO DE TIJOLOS REFRATÁRIOS*</t>
  </si>
  <si>
    <t>TRATAMENTO DE JUNTA DE DILATAÇÃO COM MANTA ASFÁLTICA*</t>
  </si>
  <si>
    <t>MÃO DE OBRA EMPREITADA PARA TRATAMENTO DE JUNTA DE DILATAÇÃO COM MANTA ASFÁTILCA*</t>
  </si>
  <si>
    <t>PASTILHA CERÂMICA, APLICAÇÃO EM, PISCINAS*</t>
  </si>
  <si>
    <t>MÃO DE OBRA EMPREITADA PARA ASSENTAMENTO E REJUNTAMENTO DE PASTILHAS EM PISCINA*</t>
  </si>
  <si>
    <t>DECK DE MADEIRA - MATERIAL E MÃO DE OBRA*</t>
  </si>
  <si>
    <t>GRAMA SINTÉTICA - MATERIAL E MÃO DE OBRA*</t>
  </si>
  <si>
    <t>REVESTIMENTO INTERNO DE VINÍLICO, APLICAÇÃO EM DORMITÓRIOS*</t>
  </si>
  <si>
    <t>REVESTIMENTO INTERNO DE VINÍLICO, APLICAÇÃO EM ÁREAS SOCIAIS DO CONDOMÍNIO*</t>
  </si>
  <si>
    <t>MÃO DE OBRA EMPREITADA PARA COLOCAÇÃO DE PISO VINÍLICO*</t>
  </si>
  <si>
    <t>MÃO DE OBRA EMPREITADA PARA APLICAÇÃO DE FUNDO PREPARADOR EM TETO, 1 DEMÃO*</t>
  </si>
  <si>
    <t>MÃO DE OBRA EMPREITADA PARA APLICAÇÃO TEXTURA ACRÍLICA EM PAREDES*</t>
  </si>
  <si>
    <t>MÃO DE OBRA EMPREITADA PARA APLICAÇÃO TEXTURA ACRÍLICA EM TETO*</t>
  </si>
  <si>
    <t>MÃO DE OBRA EMPREITADA PARA PINTURA ACRÍLICA EM PAREDE INTERNA 2 DEMÃOS*</t>
  </si>
  <si>
    <t>PINTURA COM TINTA ACRÍLICA ESPECIAL PARA PISO*</t>
  </si>
  <si>
    <t>FUNDO PREPARADOR DE SUPERFÍCIES, APLICAÇÃO EM PAREDES INTERNAS, 1 DEMÃO*</t>
  </si>
  <si>
    <t>FUNDO PREPARADOR DE SUPERFÍCIES, APLICAÇÃO EM PAREDES TETO, 1 DEMÃO*</t>
  </si>
  <si>
    <t>MÃO DE OBRA EMPREITADA PARA PINTURA ACRÍLICA EM PISO, 2 DEMÃOS*</t>
  </si>
  <si>
    <t>APLICAÇÃO E LIXAMENTO DE MASSA LÁTEX ACRÍLICA EM PAREDES, 2 DEMÃOS*</t>
  </si>
  <si>
    <t xml:space="preserve">PINTURA COM TINTA LÁTEX ACRÍLICA EM PAREDES INTERNAS, ACABAMENTO FOSCO, 2 DEMÃOS*         </t>
  </si>
  <si>
    <t>TEXTURA ACRÍLICA, APLICAÇÃO EM PAREDES INTERNAS DA ESCADARIA, 1 DEMÃO</t>
  </si>
  <si>
    <t>TEXTURA ACRÍLICA, APLICAÇÃO EM PAREDES INTERNAS DAS ÁREAS COMUNS, 1 DEMÃO</t>
  </si>
  <si>
    <t>TEXTURA ACRÍLICA, APLICAÇÃO EM TETO, 1 DEMÃO</t>
  </si>
  <si>
    <t>APLICAÇÃO E LIXAMENTO DE MASSA LÁTEX ACRÍLICA EM TETO, 2 DEMÃOS*</t>
  </si>
  <si>
    <t>PINTURA COM TINTA LÁTEX ACRÍLICA EM TETO, ACABAMENTO FOSCO, 2 DEMÃOS*</t>
  </si>
  <si>
    <t>MÃO DE OBRA EMPREITADA PARA FAIXAS DE DEMARCAÇÃO EM PAREDES*</t>
  </si>
  <si>
    <t xml:space="preserve">PINTURA COM TINTA LÁTEX ACRÍLICA PARA FAIXAS DE DEMARCAÇÃO EM PAREDES*  </t>
  </si>
  <si>
    <t>CONTRAMARCO DE ALUMÍNIO, FIXAÇÃO COM ARGAMASSA*</t>
  </si>
  <si>
    <t>CONTRAMARCO DE AÇO GALVANIZADO, FIXAÇÃO COM ARGAMASSA*</t>
  </si>
  <si>
    <t>MÃO DE OBRA EMPREITADA PARA FIXAÇÃO DE CONTRAMARCO*</t>
  </si>
  <si>
    <t>MÃO DE OBRA EMPREITADA PARA INSTALAÇÃO DE PORTA DE MADEIRA*</t>
  </si>
  <si>
    <t>FECHADURA DE EMBUTIR COM CILINDRO, BANHEIRO*</t>
  </si>
  <si>
    <t>FECHADURA DE EMBUTIR COM CILINDRO, PORTAS INTERNAS*</t>
  </si>
  <si>
    <t>FECHADURA DE EMBUTIR COM CILINDRO, PORTAS EXTERNAS*</t>
  </si>
  <si>
    <t>PORTA CORTA FOGO P60, 100X210CM, PINTURA PRONTA, COM DOBRADIÇAS E MAÇANETA - FORNECIMENTO E INSTALAÇÃO*</t>
  </si>
  <si>
    <t>TELA TIPO GRADE PARA EXTRAÇÃO DE FUMAÇA 1,20X0,70 CM*</t>
  </si>
  <si>
    <t>FECHADURA ELETRÔNICA - MATERIAL E MÃO DE OBRA*</t>
  </si>
  <si>
    <t>PUXADOR PARA PORTA*</t>
  </si>
  <si>
    <t>GUARDA-CORPO DE ALUMÍNIO COM VIDRO LAMINADO, FIXAÇÃO COM ADESIVO EPÓXI*</t>
  </si>
  <si>
    <t>CORRIMÃO DE AÇO GALVANIZADO SIMPLES*</t>
  </si>
  <si>
    <t>PORTA DE MADEIRA, DE ABRIR 60X210CM, FIXAÇÃO COM ESPUMA EXPANSIVA*</t>
  </si>
  <si>
    <t>PORTA DE MADEIRA, DE ABRIR 80X210CM, FIXAÇÃO COM ESPUMA EXPANSIVA*</t>
  </si>
  <si>
    <t>GRADIL TIPO BRISE</t>
  </si>
  <si>
    <t>PELE DE VIDRO*</t>
  </si>
  <si>
    <t>MÃO DE OBRA EMPREITADA PARA EXECUÇÃO DE REBOCO EXTERNO*</t>
  </si>
  <si>
    <t>MÃO DE OBRA EMPREITADA PARA APLICAÇÃO DE FUNDO SELADOR EM PAREDES EXTERNAS*</t>
  </si>
  <si>
    <t>MÃO DE OBRA EMPREITADA PARA APLICAÇÃO DE TEXTURA PROJETADA EM PAREDES EXTERNAS*</t>
  </si>
  <si>
    <t>MÃO DE OBRA EMPREITADA PARA COLOCAÇÃO DE PASTILHA CERÂMICA EM PAREDES EXTERNAS*</t>
  </si>
  <si>
    <t>CHAPISCO EXTERNO DE ARGAMASSA PRÉ-FABRICADA ADESIVA DE CIMENTO COLANTE, APLICADO EM ESTRUTURA DE CONCRETO ARMADO, COM DESEMPENADEIRA DENTADA*</t>
  </si>
  <si>
    <t>CHAPISCO EXTERNO DE ARGAMASSA INDUSTRIALIZADA, APLICADO EM ALVENARIA*</t>
  </si>
  <si>
    <t>MASSA ÚNICA PARA EMBOÇO E REBOCO EM PAREDES EXTERNAS EM ARGAMASSA ESTABILIZADA, ESPESSURA 3CM*</t>
  </si>
  <si>
    <t>TELA SOLDADA PARA LIGAÇÃO ALVENARIA/ESTRUTURA EM CHAPISCO EXTERNO*</t>
  </si>
  <si>
    <t xml:space="preserve">FUNDO PREPARADOR DE SUPERFÍCIES, APLICAÇÃO EM PAREDES EXTERNAS, 1 DEMÃO* </t>
  </si>
  <si>
    <t>TEXTURA PROJETADA, COR CINZA ESCURO*</t>
  </si>
  <si>
    <t>TEXTURA PROJETADA, COR CINZA CLARO*</t>
  </si>
  <si>
    <t>TEXTURA PROJETADA, COR BRANCA*</t>
  </si>
  <si>
    <t>PASTILHA CERÂMICA TIPO TIJOLETA, APLICAÇÃO EM PAREDES EXTERNAS*</t>
  </si>
  <si>
    <t>TRATAMENTO DE JUNTAS DE DILATAÇÃO COM TARUGO, SELANTE E MEMBRANA*</t>
  </si>
  <si>
    <t>ISOLAMENTO TÉRMICO DE COBERTURA COM EPS*</t>
  </si>
  <si>
    <t>MÃO DE OBRA EMPREITADA PARA ISOLAMENTO TÉRMICO EM COBERTURA*</t>
  </si>
  <si>
    <t>REVESTIMENTO INTERNO DE PAREDE EM PORCELANATO, PLACA 30X60, APLICAÇÃO EM BANHEIROS DOS APARTAMENTOS*</t>
  </si>
  <si>
    <t>REVESTIMENTO INTERNO DE PAREDE EM PORCELANATO, PLACA 30X60, APLICAÇÃO EM COZINHA/ÁREA DE SERVIÇO DOS APARTAMENTOS*</t>
  </si>
  <si>
    <t>REVESTIMENTO INTERNO DE PISO PORCELANATO, PLACA 60X60, APLICAÇÃO EM ÁREAS SOCIAIS DO APARTAMENTO*</t>
  </si>
  <si>
    <t>REVESTIMENTO INTERNO DE PISO PORCELANATO, PLACA 60X60, APLICAÇÃO EM BANHEIROS*</t>
  </si>
  <si>
    <t>REVESTIMENTO INTERNO DE PISO PORCELANATO, PLACA 60X60, APLICAÇÃO EM TERRAÇOS E SACADAS*</t>
  </si>
  <si>
    <t>CALHAS E RUFOS*</t>
  </si>
  <si>
    <t>MÃO DE OBRA EMPREITADA PARA AEXECUÇÃO DE COBERTURA COM ESTRUTURA METÁLICA E TELHAS DE FIBROCIMENTO*</t>
  </si>
  <si>
    <t>DESPESAS DE CONSUMO - ÁGUA*</t>
  </si>
  <si>
    <t>DESPESAS DE CONSUMO - LUZ*</t>
  </si>
  <si>
    <t>DESPESAS DE CONSUMO - INTERNET*</t>
  </si>
  <si>
    <t>DESPESAS DE CONSUMO - COLETA DE LIXO*</t>
  </si>
  <si>
    <t>DESPESAS DE CONSUMO - MATERIAL DE EXPEDIENTE*</t>
  </si>
  <si>
    <t>DESPESAS DE CONSUMO - MATERIAL DE LIMPEZA*</t>
  </si>
  <si>
    <t>DESPESAS DE CONSUMO - ALIMENTAÇÃO*</t>
  </si>
  <si>
    <t>MANUTENÇÃO PROVISÓRIA DO CANTEIRO*</t>
  </si>
  <si>
    <t>REMOÇÃO ORDINÁRIA DE ENTULHOS, COM TRANSPORTE PARA BOTA-FORA*</t>
  </si>
  <si>
    <t>ESGOTAMENTO DE SISTEMA SANITÁRIO TEMPORÁRIO*</t>
  </si>
  <si>
    <t>DESPESAS COM VIZINHOS*</t>
  </si>
  <si>
    <t>CONTROLE DE ACESSO*</t>
  </si>
  <si>
    <t>FRETES E CARRETOS*</t>
  </si>
  <si>
    <t>CÓPIAS E PLOTAGENS*</t>
  </si>
  <si>
    <t>EQUIPAMENTOS DE ESCRITÓRIO*</t>
  </si>
  <si>
    <t>ELEVADOR CREMALHEIRA - LOCAÇÃO*</t>
  </si>
  <si>
    <t>ELEVADOR DE CARGA - AQUISIÇÃO*</t>
  </si>
  <si>
    <t>GUINCHO DE COLUNA - LOCAÇÃO*</t>
  </si>
  <si>
    <t>MINI GRUA - LOCAÇÃO*</t>
  </si>
  <si>
    <t>ANDAIME TUBULAR TIPO TORRE - LOCAÇÃO*</t>
  </si>
  <si>
    <t>LOCAÇÃO DE BALANCIM ELÉTRICO - LOCAÇÃO*</t>
  </si>
  <si>
    <t>LOCAÇÃO DE BANHEIRO QUÍMICO*</t>
  </si>
  <si>
    <t>FERRAMENTAS*</t>
  </si>
  <si>
    <t>EQUIPAMENTOS / ACESSÓRIOS DE APOIO AO CANTEIRO DE OBRA (CARRINHOS, GIRICAS, ETC.)*</t>
  </si>
  <si>
    <t>CONDUTOR DE ENTULHO VERTICAL - AQUISIÇÃO*</t>
  </si>
  <si>
    <t>MANUTENÇÕES PREVENTIVAS*</t>
  </si>
  <si>
    <t>MANUTENÇÕES CORRETIVAS*</t>
  </si>
  <si>
    <t>EQUIPAMENTOS DE LAZER*</t>
  </si>
  <si>
    <t>COMUNICACAO VISUAL*</t>
  </si>
  <si>
    <t>PAISAGISMO*</t>
  </si>
  <si>
    <t>LIMPEZA FINAL*</t>
  </si>
  <si>
    <t>DESMOBILIZAÇÃO DE M.O*</t>
  </si>
  <si>
    <t>IMPREVISTOS E CONTINGÊNCIAS*</t>
  </si>
  <si>
    <t>MOBILIÁRIO DE APOIO A OBRA*</t>
  </si>
  <si>
    <t>INSTALACOES  PROVISORIAS CANTEIRO DE OBRAS - BARRACOS, BAIS E AFINS*</t>
  </si>
  <si>
    <t>EXECUÇÃO DE PASSEIO EM PISO INTERTRAVADO, COM PAVER RETANGULAR COR NATURAL DE 20 x 10 CM, ESPESSURA 6 CM</t>
  </si>
  <si>
    <t>LIGACAO DE AGUA E ESGOTO CONTAINER</t>
  </si>
  <si>
    <t>LIGACAO PROVISORIA DE ENERGIA PARA PLANTAO DE VENDAS</t>
  </si>
  <si>
    <t>INSTALACOES ELETRICAS PROVISORIAS CANTEIRO DE OBRAS</t>
  </si>
  <si>
    <t>INSTALACOES HIDRAULICAS PROVISORIAS CANTEIRO DE OBRAS</t>
  </si>
  <si>
    <t>LOCAÇÃO DE ESCORAMENTO METÁLICO - MEZANINO*</t>
  </si>
  <si>
    <t>LOCAÇÃO DE ESCORAMENTO METÁLICO - GARAGEM EPP*</t>
  </si>
  <si>
    <t>LOCAÇÃO DE ESCORAMENTO METÁLICO - GARAGEM 2*</t>
  </si>
  <si>
    <t>LOCAÇÃO DE ESCORAMENTO METÁLICO - LAZER*</t>
  </si>
  <si>
    <t>LOCAÇÃO DE ESCORAMENTO METÁLICO - PAV. TIPO (4X) - TORRE A*</t>
  </si>
  <si>
    <t>LOCAÇÃO DE ESCORAMENTO METÁLICO - TIPO DIFERENCIADO - TORRE A*</t>
  </si>
  <si>
    <t>LOCAÇÃO DE ESCORAMENTO METÁLICO - CASA DE MÁQUINAS - TORRE A*</t>
  </si>
  <si>
    <t>LOCAÇÃO DE ESCORAMENTO METÁLICO - RESERVATÓRIO - TORRE A*</t>
  </si>
  <si>
    <t>LOCAÇÃO DE ESCORAMENTO METÁLICO - PAV. TIPO (4X) - TORRE B*</t>
  </si>
  <si>
    <t>LOCAÇÃO DE ESCORAMENTO METÁLICO - CASA DE MÁQUINAS - TORRE B*</t>
  </si>
  <si>
    <t>LOCAÇÃO DE ESCORAMENTO METÁLICO - RESERVATÓRIO - TORRE B*</t>
  </si>
  <si>
    <t>QUADROS ELÉTRICOS, CAIXAS E DISJUNTORES - EMBASAMENTO/CONDOMÍNIO*</t>
  </si>
  <si>
    <t>ELETRODUTOS E ELETROCALHAS - EMBASAMENTO/CONDOMÍNIO*</t>
  </si>
  <si>
    <t>FIOS E CABOS ELÉTRICOS - EMBASAMENTO/CONDOMÍNIO*</t>
  </si>
  <si>
    <t>PONTOS DE TOMADAS E INTERRUPTORES - EMBASAMENTO/CONDOMÍNIO*</t>
  </si>
  <si>
    <t>LUMINÁRIAS, LÂMPADAS E ACESSÓRIOS ? EMBASAMENTO/CONDOMÍNIO*</t>
  </si>
  <si>
    <t>INSTALAÇÕES DE ÁGUA FRIA - TÉRREO*</t>
  </si>
  <si>
    <t>INSTALAÇÕES DE ÁGUA QUENTE - TÉRREO*</t>
  </si>
  <si>
    <t>INSTALAÇÕES DE ESGOTO E ÁGUAS PLUVIAIS - TÉRREO*</t>
  </si>
  <si>
    <t>APARELHOS SANITÁRIOS, LOUÇAS, METAIS E ACESSÓRIOS - TÉRREO*</t>
  </si>
  <si>
    <t>INSTALAÇÕES DE ÁGUA FRIA - MEZANINO*</t>
  </si>
  <si>
    <t>INSTALAÇÕES DE ÁGUA QUENTE - MEZANINO*</t>
  </si>
  <si>
    <t>INSTALAÇÕES DE ESGOTO - MEZANINO*</t>
  </si>
  <si>
    <t>APARELHOS SANITÁRIOS, LOUÇAS, METAIS E ACESSÓRIOS - MEZANINO*</t>
  </si>
  <si>
    <t>INSTALAÇÕES DE ÁGUA QUENTE - GARAGEM*</t>
  </si>
  <si>
    <t>INSTALAÇÕES DE ESGOTO - GARAGEM EPP*</t>
  </si>
  <si>
    <t>INSTALAÇÕES DE ÁGUA FRIA - GARAGEM*</t>
  </si>
  <si>
    <t>INSTALAÇÕES DE ESGOTO - GARAGEM*</t>
  </si>
  <si>
    <t>INSTALAÇÕES DE ÁGUA FRIA - LAZER*</t>
  </si>
  <si>
    <t>INSTALAÇÕES DE ÁGUA QUENTE - LAZER*</t>
  </si>
  <si>
    <t>INSTALAÇÕES DE ESGOTO - LAZER*</t>
  </si>
  <si>
    <t>APARELHOS SANITÁRIOS, LOUÇAS, METAIS E ACESSÓRIOS - LAZER*</t>
  </si>
  <si>
    <t>INSTALAÇÕES DE GÁS</t>
  </si>
  <si>
    <t>INSTALAÇÕES PREVENTIVAS*</t>
  </si>
  <si>
    <t>INSTALAÇÕES DE PROTEÇÃO E ATERRAMENTO - SPDA*</t>
  </si>
  <si>
    <t>AUTOMAÇÃO E SISTEMAS LÓGICOS E TELECOMUNICAÇÃO - EMBASAMENTO*</t>
  </si>
  <si>
    <t>SISTEMA DE DUTOS E EXAUSTÃO PARA CHURRASQUEIRAS - LAZER*</t>
  </si>
  <si>
    <t>SISTEMAS ESPECIAIS - EMBASAMENTO*</t>
  </si>
  <si>
    <t>INFRAESTRUTURA PARA AR CONDICIONADO - EMBASAMENTO*</t>
  </si>
  <si>
    <t>SERRALHERIAS - TÉRREO*</t>
  </si>
  <si>
    <t>ESQUADRIAS DE ALUMÍNIO COM VIDRO - TÉRREO*</t>
  </si>
  <si>
    <t>VIDROS TEMPERADOS - TÉRREO*</t>
  </si>
  <si>
    <t>PORTÕES BASCULANTES COM MOTOR - TÉRREO*</t>
  </si>
  <si>
    <t>ESQUADRIAS DE ALUMÍNIO COM VIDRO - MEZANINO*</t>
  </si>
  <si>
    <t>PORTÕES BASCULANTES COM MOTOR - GARAGEM EPP*</t>
  </si>
  <si>
    <t>PORTÕES BASCULANTES COM MOTOR - GARAGEM*</t>
  </si>
  <si>
    <t>VIDROS TEMPERADOS - GARAGEM EPP*</t>
  </si>
  <si>
    <t>VIDROS TEMPERADOS - GARAGEM*</t>
  </si>
  <si>
    <t>SERRALHERIAS - GARAGEM EPP*</t>
  </si>
  <si>
    <t>SERRALHERIAS - GARAGEM*</t>
  </si>
  <si>
    <t>ESQUADRIAS DE ALUMÍNIO COM VIDRO - LAZER*</t>
  </si>
  <si>
    <t>SERRALHERIAS - LAZER*</t>
  </si>
  <si>
    <t>GURDA CORPO PISCINA*</t>
  </si>
  <si>
    <t>QUADROS ELÉTRICOS, CAIXAS E DISJUNTORES - TORRE A*</t>
  </si>
  <si>
    <t>ELETRODUTOS E ELETROCALHAS- TORRE A*</t>
  </si>
  <si>
    <t>FIOS E CABOS ELÉTRICOS - TORRE A*</t>
  </si>
  <si>
    <t>PONTOS DE TOMADAS E INTERRUPTORES - TORRE A*</t>
  </si>
  <si>
    <t>LUMINÁRIAS, LÂMPADAS E ACESSÓRIOS - TORRE A*</t>
  </si>
  <si>
    <t>INSTALAÇÕES DE ÁGUA QUENTE - TIPO - TORRE A*</t>
  </si>
  <si>
    <t>INSTALAÇÕES DE ÁGUA FRIA - TIPO - TORRE A*</t>
  </si>
  <si>
    <t>INSTALAÇÕES DRENAGEM DE HVAC - TIPO - TORRE A*</t>
  </si>
  <si>
    <t>INSTALAÇÕES DE ESGOTO E ÁGUAS PLUVIAIS - TIPO DIFERENCIADO - TORRE A*</t>
  </si>
  <si>
    <t>INSTALAÇÕES DE ESGOTO E ÁGUAS PLUVIAIS - TIPO - TORRE A</t>
  </si>
  <si>
    <t>APARELHOS SANITÁRIOS, LOUÇAS, METAIS E ACESSÓRIOS - TIPO DIFERENCIADO - TORRE A*</t>
  </si>
  <si>
    <t>APARELHOS SANITÁRIOS, LOUÇAS, METAIS E ACESSÓRIOS - TIPO - TORRE A*</t>
  </si>
  <si>
    <t>INSTALAÇÕES DE ÁGUA FRIA - CASA DE MÁQUINAS - TORRE A*</t>
  </si>
  <si>
    <t>INSTALAÇÕES DE ÁGUA FRIA - RESERVATÓRIO - TORRE A*</t>
  </si>
  <si>
    <t>INSTALAÇÕES DE ESGOTO E ÁGUAS PLUVIAIS - CASA DE MÁQUINAS - TORRE A*</t>
  </si>
  <si>
    <t>INSTALAÇÕES DE ESGOTO E ÁGUAS PLUVIAIS - RESERVATÓRIO  - TORRE A*</t>
  </si>
  <si>
    <t>AUTOMAÇÃO E SISTEMAS LÓGICOS E TELECOMUNICAÇÃO - TORRE A*</t>
  </si>
  <si>
    <t>SISTEMAS ESPECIAIS - TORRE A*</t>
  </si>
  <si>
    <t>SISTEMA DE DUTOS E EXAUSTÃO PARA CHURRASQUEIRAS - TORRE A*</t>
  </si>
  <si>
    <t>INFRAESTRUTURA PARA AR CONDICIONADO - TORRE A*</t>
  </si>
  <si>
    <t>ESQUADRIAS DE ALUMÍNIO COM VIDRO - TIPO DIFERENCIADO*</t>
  </si>
  <si>
    <t>ESQUADRIAS DE ALUMÍNIO COM VIDRO - TIPO - TORRE A*</t>
  </si>
  <si>
    <t>SERRALHERIAS - CASA DE MÁQUINAS*</t>
  </si>
  <si>
    <t>ESQUADRIAS DE ALUMÍNIO COM VIDRO - CASA MÁQUINAS - TORRE A*</t>
  </si>
  <si>
    <t>ESTRUTURA E TRAMA METÁLICA PARA COBERTURA - TORRE A*</t>
  </si>
  <si>
    <t>TELHAS DE FIBROCIMENTO PARA COBERTURA - TORRE A*</t>
  </si>
  <si>
    <t>QUADROS ELÉTRICOS, CAIXAS E DISJUNTORES - TORRE B*</t>
  </si>
  <si>
    <t>ELETRODUTOS E ELETROCALHAS- TORRE B*</t>
  </si>
  <si>
    <t>FIOS E CABOS ELÉTRICOS - TORRE b*</t>
  </si>
  <si>
    <t>LUMINÁRIAS, LÂMPADAS E ACESSÓRIOS- TORRE B*</t>
  </si>
  <si>
    <t>PONTOS DE TOMADAS E INTERRUPTORES - TORRE B*</t>
  </si>
  <si>
    <t>INSTALAÇÕES DE ÁGUA FRIA - TIPO - TORRE B*</t>
  </si>
  <si>
    <t>INSTALAÇÕES DE ÁGUA QUENTE - TIPO - TORRE B*</t>
  </si>
  <si>
    <t>INSTALAÇÕES DRENAGEM DE HVAC - TIPO - TORRE B*</t>
  </si>
  <si>
    <t>INSTALAÇÕES DE ESGOTO E ÁGUAS PLUVIAIS - TIPO - TORRE B*</t>
  </si>
  <si>
    <t>APARELHOS SANITÁRIOS, LOUÇAS, METAIS E ACESSÓRIOS - TIPO - TORRE B*</t>
  </si>
  <si>
    <t>INSTALAÇÕES DE ÁGUA FRIA - CASA DE MÁQUINAS - TORRE B*</t>
  </si>
  <si>
    <t>INSTALAÇÕES DE ESGOTO E ÁGUAS PLUVIAIS - CASA DE MÁQUINAS - TORRE B*</t>
  </si>
  <si>
    <t>INSTALAÇÕES DE ÁGUA FRIA - RESERVATÓRIO - TORRE B*</t>
  </si>
  <si>
    <t>INSTALAÇÕES DE ESGOTO E ÁGUAS PLUVIAIS - RESERVATÓRIO - TORRE B*</t>
  </si>
  <si>
    <t>ESTRUTURA E TRAMA METÁLICA PARA COBERTURA - TORRE B*</t>
  </si>
  <si>
    <t>TELHAS DE FIBROCIMENTO PARA COBERTURA - TORRE B*</t>
  </si>
  <si>
    <t>ESQUADRIAS DE ALUMÍNIO COM VIDRO - TIPO - TORRE B*</t>
  </si>
  <si>
    <t>ESQUADRIAS DE ALUMÍNIO COM VIDRO - CASA MÁQUINAS - TORRE B*</t>
  </si>
  <si>
    <t>AUTOMAÇÃO E SISTEMAS LÓGICOS E TELECOMUNICAÇÃO - TORRE B*</t>
  </si>
  <si>
    <t>SISTEMAS ESPECIAIS - TORRE B*</t>
  </si>
  <si>
    <t>SISTEMA DE DUTOS E EXAUSTÃO PARA CHURRASQUEIRAS - TORRE B*</t>
  </si>
  <si>
    <t>INFRAESTRUTURA PARA AR CONDICIONADO - TORRE B*</t>
  </si>
  <si>
    <t>ITENS ADCIONAIS DE ELÉTRICA - EMBASAMENTO*</t>
  </si>
  <si>
    <t>ITENS ADICIONAIS ELÉTRICA - TORRE A*</t>
  </si>
  <si>
    <t>ITENS ADICIONAIS ELÉTRICA - TORRE B*</t>
  </si>
  <si>
    <t>DESCRIÇÃO</t>
  </si>
  <si>
    <t>MÃO DE OBRA</t>
  </si>
  <si>
    <t>SERVIÇOS - MATERIAL E MÃO DE OBRA</t>
  </si>
  <si>
    <t>MATERIAIS</t>
  </si>
  <si>
    <t>TIPO</t>
  </si>
  <si>
    <t>VALOR</t>
  </si>
  <si>
    <t>MÃO DE OBRA PRÓPRIA</t>
  </si>
  <si>
    <t>EQUIPAMENTOS</t>
  </si>
  <si>
    <t>DESPESAS INDIRETAS</t>
  </si>
  <si>
    <t>240-320</t>
  </si>
  <si>
    <t>Empreitada</t>
  </si>
  <si>
    <r>
      <t>SISTEMAS E EQUIPAMENTOS ESPECIAIS</t>
    </r>
    <r>
      <rPr>
        <sz val="11"/>
        <color rgb="FFFF0000"/>
        <rFont val="Roboto"/>
      </rPr>
      <t xml:space="preserve"> </t>
    </r>
  </si>
  <si>
    <t xml:space="preserve">IMPERMEABILIZAÇÃO </t>
  </si>
  <si>
    <t xml:space="preserve">MOVIMENTAÇÃO DE TERRA </t>
  </si>
  <si>
    <t xml:space="preserve">GERENCIAMENTO TÉCNICO E ADMINISTRATIVO </t>
  </si>
  <si>
    <t xml:space="preserve">SERVIÇOS COMPLEMENTARES </t>
  </si>
  <si>
    <t>Valor 3</t>
  </si>
  <si>
    <t>110,00 - 160,00</t>
  </si>
  <si>
    <t>480,00 - 520,00</t>
  </si>
  <si>
    <t>120,00 - 180,00</t>
  </si>
  <si>
    <t>100,00 - 200,00</t>
  </si>
  <si>
    <t>55,00 - 65,00</t>
  </si>
  <si>
    <t>140,00 - 190,00</t>
  </si>
  <si>
    <t>60,00 - 70,00</t>
  </si>
  <si>
    <t>160,00 - 180,00</t>
  </si>
  <si>
    <t>120,00 - 140,00</t>
  </si>
  <si>
    <t>250,00 - 300,00</t>
  </si>
  <si>
    <t>90,00 - 130,00</t>
  </si>
  <si>
    <t>80,00 - 140,00</t>
  </si>
  <si>
    <t>4,50 - 7,50</t>
  </si>
  <si>
    <t>4,00 - 5,50</t>
  </si>
  <si>
    <t>IMPREVISTOS E CONTINGÊNCIAS</t>
  </si>
  <si>
    <t>2.000,00 - 2560,00</t>
  </si>
  <si>
    <t>240,00 - 280,00</t>
  </si>
  <si>
    <t>OBRA SIMILAR</t>
  </si>
  <si>
    <t>WPR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</si>
</sst>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#,##0.00"/>
    <numFmt numFmtId="165" formatCode="###,##0.00"/>
    <numFmt numFmtId="166" formatCode="##,##0.00"/>
    <numFmt numFmtId="167" formatCode="##0.00"/>
    <numFmt numFmtId="168" formatCode="#0.00"/>
    <numFmt numFmtId="169" formatCode="0.0000"/>
    <numFmt numFmtId="170" formatCode="_-* #,##0.000_-;\-* #,##0.000_-;_-* &quot;-&quot;????_-;_-@_-"/>
    <numFmt numFmtId="171" formatCode="0.0%"/>
    <numFmt numFmtId="172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1"/>
      <color theme="0"/>
      <name val="Roboto"/>
    </font>
    <font>
      <sz val="11"/>
      <color theme="1"/>
      <name val="Roboto"/>
    </font>
    <font>
      <sz val="11"/>
      <name val="Roboto"/>
    </font>
    <font>
      <sz val="8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color rgb="FF010000"/>
      <name val="Arial"/>
      <family val="2"/>
    </font>
    <font>
      <b/>
      <sz val="16"/>
      <color rgb="FFFF0000"/>
      <name val="Roboto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FF0000"/>
      <name val="Roboto"/>
    </font>
    <font>
      <sz val="10"/>
      <color rgb="FFFF0000"/>
      <name val="Roboto"/>
    </font>
    <font>
      <sz val="11"/>
      <color rgb="FF1D1C1D"/>
      <name val="Arial"/>
      <family val="2"/>
    </font>
    <font>
      <sz val="12"/>
      <color rgb="FF58595B"/>
      <name val="Open Sans"/>
      <family val="2"/>
    </font>
    <font>
      <sz val="8"/>
      <color rgb="FF1D1C1D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hair">
        <color theme="1" tint="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34998626667073579"/>
      </right>
      <top/>
      <bottom style="hair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/>
      <bottom style="hair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hair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hair">
        <color indexed="64"/>
      </top>
      <bottom style="hair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hair">
        <color indexed="64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hair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43" fontId="4" fillId="2" borderId="1" xfId="1" applyFont="1" applyFill="1" applyBorder="1" applyAlignment="1">
      <alignment horizontal="center"/>
    </xf>
    <xf numFmtId="10" fontId="4" fillId="3" borderId="3" xfId="2" applyNumberFormat="1" applyFont="1" applyFill="1" applyBorder="1" applyAlignment="1">
      <alignment horizontal="center"/>
    </xf>
    <xf numFmtId="10" fontId="4" fillId="2" borderId="1" xfId="2" applyNumberFormat="1" applyFont="1" applyFill="1" applyBorder="1" applyAlignment="1">
      <alignment horizontal="center"/>
    </xf>
    <xf numFmtId="0" fontId="5" fillId="3" borderId="7" xfId="0" applyFont="1" applyFill="1" applyBorder="1"/>
    <xf numFmtId="0" fontId="5" fillId="2" borderId="7" xfId="0" applyFont="1" applyFill="1" applyBorder="1"/>
    <xf numFmtId="0" fontId="5" fillId="2" borderId="10" xfId="0" applyFont="1" applyFill="1" applyBorder="1"/>
    <xf numFmtId="43" fontId="2" fillId="0" borderId="0" xfId="0" applyNumberFormat="1" applyFont="1"/>
    <xf numFmtId="0" fontId="5" fillId="0" borderId="10" xfId="0" applyFont="1" applyBorder="1"/>
    <xf numFmtId="0" fontId="8" fillId="0" borderId="0" xfId="0" applyFont="1" applyAlignment="1">
      <alignment vertical="center"/>
    </xf>
    <xf numFmtId="0" fontId="9" fillId="4" borderId="17" xfId="3" applyFont="1" applyFill="1" applyBorder="1" applyAlignment="1">
      <alignment horizontal="left" vertical="center" wrapText="1"/>
    </xf>
    <xf numFmtId="164" fontId="9" fillId="4" borderId="17" xfId="3" applyNumberFormat="1" applyFont="1" applyFill="1" applyBorder="1" applyAlignment="1">
      <alignment horizontal="right" vertical="center" wrapText="1"/>
    </xf>
    <xf numFmtId="165" fontId="9" fillId="4" borderId="17" xfId="3" applyNumberFormat="1" applyFont="1" applyFill="1" applyBorder="1" applyAlignment="1">
      <alignment horizontal="right" vertical="center" wrapText="1"/>
    </xf>
    <xf numFmtId="0" fontId="9" fillId="5" borderId="17" xfId="3" applyFont="1" applyFill="1" applyBorder="1" applyAlignment="1">
      <alignment horizontal="left" vertical="center" wrapText="1"/>
    </xf>
    <xf numFmtId="165" fontId="9" fillId="5" borderId="17" xfId="3" applyNumberFormat="1" applyFont="1" applyFill="1" applyBorder="1" applyAlignment="1">
      <alignment horizontal="right" vertical="center" wrapText="1"/>
    </xf>
    <xf numFmtId="166" fontId="9" fillId="4" borderId="17" xfId="3" applyNumberFormat="1" applyFont="1" applyFill="1" applyBorder="1" applyAlignment="1">
      <alignment horizontal="right" vertical="center" wrapText="1"/>
    </xf>
    <xf numFmtId="166" fontId="9" fillId="5" borderId="17" xfId="3" applyNumberFormat="1" applyFont="1" applyFill="1" applyBorder="1" applyAlignment="1">
      <alignment horizontal="right" vertical="center" wrapText="1"/>
    </xf>
    <xf numFmtId="4" fontId="9" fillId="5" borderId="17" xfId="3" applyNumberFormat="1" applyFont="1" applyFill="1" applyBorder="1" applyAlignment="1">
      <alignment horizontal="right" vertical="center" wrapText="1"/>
    </xf>
    <xf numFmtId="4" fontId="9" fillId="4" borderId="17" xfId="3" applyNumberFormat="1" applyFont="1" applyFill="1" applyBorder="1" applyAlignment="1">
      <alignment horizontal="right" vertical="center" wrapText="1"/>
    </xf>
    <xf numFmtId="167" fontId="9" fillId="4" borderId="17" xfId="3" applyNumberFormat="1" applyFont="1" applyFill="1" applyBorder="1" applyAlignment="1">
      <alignment horizontal="right" vertical="center" wrapText="1"/>
    </xf>
    <xf numFmtId="43" fontId="8" fillId="0" borderId="0" xfId="1" applyFont="1" applyAlignment="1">
      <alignment vertical="center"/>
    </xf>
    <xf numFmtId="43" fontId="8" fillId="0" borderId="0" xfId="0" applyNumberFormat="1" applyFont="1" applyAlignment="1">
      <alignment vertical="center"/>
    </xf>
    <xf numFmtId="0" fontId="9" fillId="6" borderId="17" xfId="3" applyFont="1" applyFill="1" applyBorder="1" applyAlignment="1">
      <alignment horizontal="left" vertical="center" wrapText="1"/>
    </xf>
    <xf numFmtId="0" fontId="9" fillId="7" borderId="17" xfId="3" applyFont="1" applyFill="1" applyBorder="1" applyAlignment="1">
      <alignment horizontal="left" vertical="center" wrapText="1"/>
    </xf>
    <xf numFmtId="165" fontId="9" fillId="7" borderId="17" xfId="3" applyNumberFormat="1" applyFont="1" applyFill="1" applyBorder="1" applyAlignment="1">
      <alignment horizontal="right" vertical="center" wrapText="1"/>
    </xf>
    <xf numFmtId="0" fontId="8" fillId="7" borderId="0" xfId="0" applyFont="1" applyFill="1" applyAlignment="1">
      <alignment vertical="center"/>
    </xf>
    <xf numFmtId="166" fontId="9" fillId="7" borderId="17" xfId="3" applyNumberFormat="1" applyFont="1" applyFill="1" applyBorder="1" applyAlignment="1">
      <alignment horizontal="right" vertical="center" wrapText="1"/>
    </xf>
    <xf numFmtId="0" fontId="8" fillId="5" borderId="0" xfId="0" applyFont="1" applyFill="1" applyAlignment="1">
      <alignment vertical="center"/>
    </xf>
    <xf numFmtId="167" fontId="9" fillId="5" borderId="17" xfId="3" applyNumberFormat="1" applyFont="1" applyFill="1" applyBorder="1" applyAlignment="1">
      <alignment horizontal="right" vertical="center" wrapText="1"/>
    </xf>
    <xf numFmtId="0" fontId="9" fillId="8" borderId="17" xfId="3" applyFont="1" applyFill="1" applyBorder="1" applyAlignment="1">
      <alignment horizontal="left" vertical="center" wrapText="1"/>
    </xf>
    <xf numFmtId="165" fontId="9" fillId="8" borderId="17" xfId="3" applyNumberFormat="1" applyFont="1" applyFill="1" applyBorder="1" applyAlignment="1">
      <alignment horizontal="right" vertical="center" wrapText="1"/>
    </xf>
    <xf numFmtId="0" fontId="8" fillId="8" borderId="0" xfId="0" applyFont="1" applyFill="1" applyAlignment="1">
      <alignment vertical="center"/>
    </xf>
    <xf numFmtId="165" fontId="9" fillId="6" borderId="17" xfId="3" applyNumberFormat="1" applyFont="1" applyFill="1" applyBorder="1" applyAlignment="1">
      <alignment horizontal="right" vertical="center" wrapText="1"/>
    </xf>
    <xf numFmtId="0" fontId="8" fillId="6" borderId="0" xfId="0" applyFont="1" applyFill="1" applyAlignment="1">
      <alignment vertical="center"/>
    </xf>
    <xf numFmtId="0" fontId="9" fillId="9" borderId="17" xfId="3" applyFont="1" applyFill="1" applyBorder="1" applyAlignment="1">
      <alignment horizontal="left" vertical="center" wrapText="1"/>
    </xf>
    <xf numFmtId="165" fontId="9" fillId="9" borderId="17" xfId="3" applyNumberFormat="1" applyFont="1" applyFill="1" applyBorder="1" applyAlignment="1">
      <alignment horizontal="right" vertical="center" wrapText="1"/>
    </xf>
    <xf numFmtId="0" fontId="8" fillId="9" borderId="0" xfId="0" applyFont="1" applyFill="1" applyAlignment="1">
      <alignment vertical="center"/>
    </xf>
    <xf numFmtId="166" fontId="9" fillId="9" borderId="17" xfId="3" applyNumberFormat="1" applyFont="1" applyFill="1" applyBorder="1" applyAlignment="1">
      <alignment horizontal="right" vertical="center" wrapText="1"/>
    </xf>
    <xf numFmtId="0" fontId="9" fillId="10" borderId="17" xfId="3" applyFont="1" applyFill="1" applyBorder="1" applyAlignment="1">
      <alignment horizontal="left" vertical="center" wrapText="1"/>
    </xf>
    <xf numFmtId="166" fontId="9" fillId="10" borderId="17" xfId="3" applyNumberFormat="1" applyFont="1" applyFill="1" applyBorder="1" applyAlignment="1">
      <alignment horizontal="right" vertical="center" wrapText="1"/>
    </xf>
    <xf numFmtId="0" fontId="8" fillId="10" borderId="0" xfId="0" applyFont="1" applyFill="1" applyAlignment="1">
      <alignment vertical="center"/>
    </xf>
    <xf numFmtId="0" fontId="9" fillId="11" borderId="17" xfId="3" applyFont="1" applyFill="1" applyBorder="1" applyAlignment="1">
      <alignment horizontal="left" vertical="center" wrapText="1"/>
    </xf>
    <xf numFmtId="166" fontId="9" fillId="11" borderId="17" xfId="3" applyNumberFormat="1" applyFont="1" applyFill="1" applyBorder="1" applyAlignment="1">
      <alignment horizontal="right" vertical="center" wrapText="1"/>
    </xf>
    <xf numFmtId="0" fontId="8" fillId="11" borderId="0" xfId="0" applyFont="1" applyFill="1" applyAlignment="1">
      <alignment vertical="center"/>
    </xf>
    <xf numFmtId="166" fontId="9" fillId="6" borderId="17" xfId="3" applyNumberFormat="1" applyFont="1" applyFill="1" applyBorder="1" applyAlignment="1">
      <alignment horizontal="right" vertical="center" wrapText="1"/>
    </xf>
    <xf numFmtId="4" fontId="9" fillId="11" borderId="17" xfId="3" applyNumberFormat="1" applyFont="1" applyFill="1" applyBorder="1" applyAlignment="1">
      <alignment horizontal="right" vertical="center" wrapText="1"/>
    </xf>
    <xf numFmtId="166" fontId="9" fillId="8" borderId="17" xfId="3" applyNumberFormat="1" applyFont="1" applyFill="1" applyBorder="1" applyAlignment="1">
      <alignment horizontal="right" vertical="center" wrapText="1"/>
    </xf>
    <xf numFmtId="4" fontId="9" fillId="8" borderId="17" xfId="3" applyNumberFormat="1" applyFont="1" applyFill="1" applyBorder="1" applyAlignment="1">
      <alignment horizontal="right" vertical="center" wrapText="1"/>
    </xf>
    <xf numFmtId="167" fontId="9" fillId="8" borderId="17" xfId="3" applyNumberFormat="1" applyFont="1" applyFill="1" applyBorder="1" applyAlignment="1">
      <alignment horizontal="right" vertical="center" wrapText="1"/>
    </xf>
    <xf numFmtId="4" fontId="9" fillId="9" borderId="17" xfId="3" applyNumberFormat="1" applyFont="1" applyFill="1" applyBorder="1" applyAlignment="1">
      <alignment horizontal="right" vertical="center" wrapText="1"/>
    </xf>
    <xf numFmtId="167" fontId="9" fillId="9" borderId="17" xfId="3" applyNumberFormat="1" applyFont="1" applyFill="1" applyBorder="1" applyAlignment="1">
      <alignment horizontal="right" vertical="center" wrapText="1"/>
    </xf>
    <xf numFmtId="168" fontId="9" fillId="9" borderId="17" xfId="3" applyNumberFormat="1" applyFont="1" applyFill="1" applyBorder="1" applyAlignment="1">
      <alignment horizontal="right" vertical="center" wrapText="1"/>
    </xf>
    <xf numFmtId="2" fontId="9" fillId="9" borderId="17" xfId="3" applyNumberFormat="1" applyFont="1" applyFill="1" applyBorder="1" applyAlignment="1">
      <alignment horizontal="right" vertical="center" wrapText="1"/>
    </xf>
    <xf numFmtId="168" fontId="9" fillId="11" borderId="17" xfId="3" applyNumberFormat="1" applyFont="1" applyFill="1" applyBorder="1" applyAlignment="1">
      <alignment horizontal="right" vertical="center" wrapText="1"/>
    </xf>
    <xf numFmtId="9" fontId="8" fillId="0" borderId="0" xfId="2" applyFont="1" applyAlignment="1">
      <alignment vertical="center"/>
    </xf>
    <xf numFmtId="0" fontId="2" fillId="0" borderId="0" xfId="0" applyFont="1" applyAlignment="1">
      <alignment horizontal="center"/>
    </xf>
    <xf numFmtId="43" fontId="0" fillId="0" borderId="0" xfId="0" applyNumberFormat="1" applyAlignment="1">
      <alignment horizontal="center"/>
    </xf>
    <xf numFmtId="0" fontId="10" fillId="0" borderId="0" xfId="0" applyFont="1"/>
    <xf numFmtId="0" fontId="5" fillId="2" borderId="0" xfId="0" applyFont="1" applyFill="1"/>
    <xf numFmtId="4" fontId="0" fillId="0" borderId="0" xfId="0" applyNumberFormat="1"/>
    <xf numFmtId="4" fontId="2" fillId="0" borderId="0" xfId="0" applyNumberFormat="1" applyFont="1"/>
    <xf numFmtId="43" fontId="4" fillId="2" borderId="9" xfId="1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right"/>
    </xf>
    <xf numFmtId="43" fontId="3" fillId="12" borderId="2" xfId="0" applyNumberFormat="1" applyFont="1" applyFill="1" applyBorder="1" applyAlignment="1">
      <alignment horizontal="right"/>
    </xf>
    <xf numFmtId="10" fontId="3" fillId="12" borderId="2" xfId="0" applyNumberFormat="1" applyFont="1" applyFill="1" applyBorder="1" applyAlignment="1">
      <alignment horizontal="center"/>
    </xf>
    <xf numFmtId="43" fontId="3" fillId="12" borderId="12" xfId="0" applyNumberFormat="1" applyFont="1" applyFill="1" applyBorder="1" applyAlignment="1">
      <alignment horizontal="right"/>
    </xf>
    <xf numFmtId="43" fontId="3" fillId="12" borderId="14" xfId="1" applyFont="1" applyFill="1" applyBorder="1" applyAlignment="1">
      <alignment horizontal="right"/>
    </xf>
    <xf numFmtId="17" fontId="3" fillId="12" borderId="14" xfId="0" applyNumberFormat="1" applyFont="1" applyFill="1" applyBorder="1" applyAlignment="1">
      <alignment horizontal="center"/>
    </xf>
    <xf numFmtId="43" fontId="3" fillId="12" borderId="15" xfId="1" applyFont="1" applyFill="1" applyBorder="1" applyAlignment="1">
      <alignment horizontal="right"/>
    </xf>
    <xf numFmtId="0" fontId="3" fillId="12" borderId="16" xfId="0" applyFont="1" applyFill="1" applyBorder="1" applyAlignment="1">
      <alignment horizontal="left"/>
    </xf>
    <xf numFmtId="0" fontId="0" fillId="13" borderId="0" xfId="0" applyFill="1"/>
    <xf numFmtId="43" fontId="0" fillId="13" borderId="0" xfId="0" applyNumberFormat="1" applyFill="1"/>
    <xf numFmtId="0" fontId="3" fillId="12" borderId="13" xfId="0" applyFont="1" applyFill="1" applyBorder="1" applyAlignment="1">
      <alignment horizontal="right"/>
    </xf>
    <xf numFmtId="0" fontId="0" fillId="9" borderId="0" xfId="0" applyFill="1"/>
    <xf numFmtId="0" fontId="14" fillId="9" borderId="0" xfId="0" applyFont="1" applyFill="1"/>
    <xf numFmtId="44" fontId="14" fillId="9" borderId="0" xfId="9" applyFont="1" applyFill="1"/>
    <xf numFmtId="14" fontId="15" fillId="0" borderId="0" xfId="0" applyNumberFormat="1" applyFont="1"/>
    <xf numFmtId="17" fontId="15" fillId="0" borderId="0" xfId="0" applyNumberFormat="1" applyFont="1"/>
    <xf numFmtId="43" fontId="4" fillId="2" borderId="1" xfId="1" applyFont="1" applyFill="1" applyBorder="1" applyAlignment="1">
      <alignment horizontal="center" vertical="center"/>
    </xf>
    <xf numFmtId="43" fontId="4" fillId="3" borderId="3" xfId="0" applyNumberFormat="1" applyFont="1" applyFill="1" applyBorder="1" applyAlignment="1">
      <alignment horizontal="center" vertical="center"/>
    </xf>
    <xf numFmtId="43" fontId="4" fillId="3" borderId="8" xfId="0" applyNumberFormat="1" applyFont="1" applyFill="1" applyBorder="1" applyAlignment="1">
      <alignment horizontal="center" vertical="center"/>
    </xf>
    <xf numFmtId="43" fontId="4" fillId="3" borderId="3" xfId="1" applyFont="1" applyFill="1" applyBorder="1" applyAlignment="1">
      <alignment horizontal="center" vertical="center"/>
    </xf>
    <xf numFmtId="4" fontId="16" fillId="0" borderId="0" xfId="0" applyNumberFormat="1" applyFont="1"/>
    <xf numFmtId="169" fontId="0" fillId="0" borderId="0" xfId="0" applyNumberFormat="1"/>
    <xf numFmtId="170" fontId="0" fillId="0" borderId="0" xfId="0" applyNumberFormat="1" applyAlignment="1">
      <alignment horizontal="center"/>
    </xf>
    <xf numFmtId="0" fontId="3" fillId="12" borderId="21" xfId="0" applyFont="1" applyFill="1" applyBorder="1" applyAlignment="1">
      <alignment horizontal="center" vertical="center"/>
    </xf>
    <xf numFmtId="0" fontId="5" fillId="3" borderId="22" xfId="0" applyFont="1" applyFill="1" applyBorder="1"/>
    <xf numFmtId="43" fontId="4" fillId="3" borderId="23" xfId="1" applyFont="1" applyFill="1" applyBorder="1" applyAlignment="1">
      <alignment horizontal="center"/>
    </xf>
    <xf numFmtId="0" fontId="5" fillId="2" borderId="22" xfId="0" applyFont="1" applyFill="1" applyBorder="1"/>
    <xf numFmtId="43" fontId="4" fillId="2" borderId="23" xfId="1" applyFont="1" applyFill="1" applyBorder="1" applyAlignment="1">
      <alignment horizontal="center"/>
    </xf>
    <xf numFmtId="0" fontId="3" fillId="12" borderId="24" xfId="0" applyFont="1" applyFill="1" applyBorder="1" applyAlignment="1">
      <alignment horizontal="right"/>
    </xf>
    <xf numFmtId="43" fontId="3" fillId="12" borderId="25" xfId="1" applyFont="1" applyFill="1" applyBorder="1" applyAlignment="1">
      <alignment horizontal="right"/>
    </xf>
    <xf numFmtId="0" fontId="3" fillId="12" borderId="26" xfId="0" applyFont="1" applyFill="1" applyBorder="1" applyAlignment="1">
      <alignment horizontal="center" vertical="center"/>
    </xf>
    <xf numFmtId="0" fontId="3" fillId="12" borderId="27" xfId="0" applyFont="1" applyFill="1" applyBorder="1" applyAlignment="1">
      <alignment horizontal="center" vertical="center"/>
    </xf>
    <xf numFmtId="43" fontId="3" fillId="12" borderId="28" xfId="0" applyNumberFormat="1" applyFont="1" applyFill="1" applyBorder="1" applyAlignment="1">
      <alignment horizontal="center"/>
    </xf>
    <xf numFmtId="43" fontId="4" fillId="3" borderId="29" xfId="1" applyFont="1" applyFill="1" applyBorder="1" applyAlignment="1">
      <alignment horizontal="center" vertical="center"/>
    </xf>
    <xf numFmtId="43" fontId="4" fillId="2" borderId="29" xfId="1" applyFont="1" applyFill="1" applyBorder="1" applyAlignment="1">
      <alignment horizontal="center" vertical="center"/>
    </xf>
    <xf numFmtId="43" fontId="4" fillId="0" borderId="29" xfId="1" applyFont="1" applyFill="1" applyBorder="1" applyAlignment="1">
      <alignment horizontal="center" vertical="center"/>
    </xf>
    <xf numFmtId="171" fontId="2" fillId="0" borderId="0" xfId="2" applyNumberFormat="1" applyFont="1"/>
    <xf numFmtId="172" fontId="2" fillId="0" borderId="0" xfId="0" applyNumberFormat="1" applyFont="1"/>
    <xf numFmtId="0" fontId="17" fillId="0" borderId="0" xfId="0" applyFont="1"/>
    <xf numFmtId="0" fontId="3" fillId="12" borderId="19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</cellXfs>
  <cellStyles count="10">
    <cellStyle name="Comma" xfId="7" xr:uid="{00000000-0005-0000-0000-000000000000}"/>
    <cellStyle name="Comma [0]" xfId="8" xr:uid="{00000000-0005-0000-0000-000001000000}"/>
    <cellStyle name="Currency" xfId="5" xr:uid="{00000000-0005-0000-0000-000002000000}"/>
    <cellStyle name="Currency [0]" xfId="6" xr:uid="{00000000-0005-0000-0000-000003000000}"/>
    <cellStyle name="Moeda" xfId="9" builtinId="4"/>
    <cellStyle name="Normal" xfId="0" builtinId="0"/>
    <cellStyle name="Normal 2" xfId="3" xr:uid="{00000000-0005-0000-0000-000006000000}"/>
    <cellStyle name="Percent" xfId="4" xr:uid="{00000000-0005-0000-0000-000007000000}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FE3400"/>
      <color rgb="FF255AE5"/>
      <color rgb="FF121212"/>
      <color rgb="FF283549"/>
      <color rgb="FFBCBDC1"/>
      <color rgb="FF808183"/>
      <color rgb="FF211F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568484619175652E-2"/>
          <c:y val="0.10434178743288237"/>
          <c:w val="0.94143151538082437"/>
          <c:h val="0.512879562243136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'Gerenciamento executivo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'Gerenciamento executivo '!$A$3:$A$17</c:f>
              <c:strCache>
                <c:ptCount val="15"/>
                <c:pt idx="0">
                  <c:v>MOVIMENTAÇÃO DE TERRA</c:v>
                </c:pt>
                <c:pt idx="1">
                  <c:v>INFRAESTRUTURA</c:v>
                </c:pt>
                <c:pt idx="2">
                  <c:v>SUPRAESTRUTURA</c:v>
                </c:pt>
                <c:pt idx="3">
                  <c:v>ALVENARIA</c:v>
                </c:pt>
                <c:pt idx="4">
                  <c:v>INSTALAÇÕES ELÉTRICAS, HIDRÁULICAS, GLP E PREVENTIVAS</c:v>
                </c:pt>
                <c:pt idx="5">
                  <c:v>SISTEMAS E EQUIPAMENTOS ESPECIAIS</c:v>
                </c:pt>
                <c:pt idx="6">
                  <c:v>IMPERMEABILIZAÇÃO</c:v>
                </c:pt>
                <c:pt idx="7">
                  <c:v>REVESTIMENTOS INTERNOS EM PISO E PAREDE</c:v>
                </c:pt>
                <c:pt idx="8">
                  <c:v>REVESTIMENTOS E ACABAMENTOS INTERNOS EM TETO</c:v>
                </c:pt>
                <c:pt idx="9">
                  <c:v>ACABAMENTOS EM PISO E PAREDE</c:v>
                </c:pt>
                <c:pt idx="10">
                  <c:v>PINTURA INTERNA</c:v>
                </c:pt>
                <c:pt idx="11">
                  <c:v>ESQUADRIAS, VIDROS E FERRAGENS</c:v>
                </c:pt>
                <c:pt idx="12">
                  <c:v>COBERTURA</c:v>
                </c:pt>
                <c:pt idx="13">
                  <c:v>REVESTIMENTOS E ACABAMENTOS DE FACHADA</c:v>
                </c:pt>
                <c:pt idx="14">
                  <c:v>SERVIÇOS COMPLEMENTARES</c:v>
                </c:pt>
              </c:strCache>
            </c:strRef>
          </c:cat>
          <c:val>
            <c:numRef>
              <c:f>'Gerenciamento executivo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0715216"/>
        <c:axId val="4107158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'Gerenciamento executivo '!$E$2</c15:sqref>
                        </c15:formulaRef>
                      </c:ext>
                    </c:extLst>
                    <c:strCache>
                      <c:ptCount val="1"/>
                      <c:pt idx="0">
                        <c:v>Valor 2</c:v>
                      </c:pt>
                    </c:strCache>
                  </c:strRef>
                </c:tx>
                <c:spPr>
                  <a:solidFill>
                    <a:srgbClr val="FE3400"/>
                  </a:solidFill>
                  <a:ln>
                    <a:solidFill>
                      <a:schemeClr val="bg1">
                        <a:lumMod val="75000"/>
                      </a:schemeClr>
                    </a:solidFill>
                  </a:ln>
                  <a:effectLst>
                    <a:outerShdw blurRad="50800" dist="38100" dir="2700000" algn="tl" rotWithShape="0">
                      <a:prstClr val="black">
                        <a:alpha val="40000"/>
                      </a:prst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'Gerenciamento executivo '!$A$3:$A$17</c15:sqref>
                        </c15:formulaRef>
                      </c:ext>
                    </c:extLst>
                    <c:strCache>
                      <c:ptCount val="15"/>
                      <c:pt idx="0">
                        <c:v>MOVIMENTAÇÃO DE TERRA</c:v>
                      </c:pt>
                      <c:pt idx="1">
                        <c:v>INFRAESTRUTURA</c:v>
                      </c:pt>
                      <c:pt idx="2">
                        <c:v>SUPRAESTRUTURA</c:v>
                      </c:pt>
                      <c:pt idx="3">
                        <c:v>ALVENARIA</c:v>
                      </c:pt>
                      <c:pt idx="4">
                        <c:v>INSTALAÇÕES ELÉTRICAS, HIDRÁULICAS, GLP E PREVENTIVAS</c:v>
                      </c:pt>
                      <c:pt idx="5">
                        <c:v>SISTEMAS E EQUIPAMENTOS ESPECIAIS</c:v>
                      </c:pt>
                      <c:pt idx="6">
                        <c:v>IMPERMEABILIZAÇÃO</c:v>
                      </c:pt>
                      <c:pt idx="7">
                        <c:v>REVESTIMENTOS INTERNOS EM PISO E PAREDE</c:v>
                      </c:pt>
                      <c:pt idx="8">
                        <c:v>REVESTIMENTOS E ACABAMENTOS INTERNOS EM TETO</c:v>
                      </c:pt>
                      <c:pt idx="9">
                        <c:v>ACABAMENTOS EM PISO E PAREDE</c:v>
                      </c:pt>
                      <c:pt idx="10">
                        <c:v>PINTURA INTERNA</c:v>
                      </c:pt>
                      <c:pt idx="11">
                        <c:v>ESQUADRIAS, VIDROS E FERRAGENS</c:v>
                      </c:pt>
                      <c:pt idx="12">
                        <c:v>COBERTURA</c:v>
                      </c:pt>
                      <c:pt idx="13">
                        <c:v>REVESTIMENTOS E ACABAMENTOS DE FACHADA</c:v>
                      </c:pt>
                      <c:pt idx="14">
                        <c:v>SERVIÇOS COMPLEMENTARES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'Gerenciamento executivo '!$E$3:$E$18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7.5</c:v>
                      </c:pt>
                      <c:pt idx="1">
                        <c:v>160</c:v>
                      </c:pt>
                      <c:pt idx="2">
                        <c:v>520</c:v>
                      </c:pt>
                      <c:pt idx="3">
                        <c:v>180</c:v>
                      </c:pt>
                      <c:pt idx="4">
                        <c:v>280</c:v>
                      </c:pt>
                      <c:pt idx="5">
                        <c:v>200</c:v>
                      </c:pt>
                      <c:pt idx="6">
                        <c:v>65</c:v>
                      </c:pt>
                      <c:pt idx="7">
                        <c:v>190</c:v>
                      </c:pt>
                      <c:pt idx="8">
                        <c:v>70</c:v>
                      </c:pt>
                      <c:pt idx="9">
                        <c:v>180</c:v>
                      </c:pt>
                      <c:pt idx="10">
                        <c:v>140</c:v>
                      </c:pt>
                      <c:pt idx="11">
                        <c:v>300</c:v>
                      </c:pt>
                      <c:pt idx="12">
                        <c:v>5.5</c:v>
                      </c:pt>
                      <c:pt idx="13">
                        <c:v>130</c:v>
                      </c:pt>
                      <c:pt idx="14">
                        <c:v>140</c:v>
                      </c:pt>
                      <c:pt idx="15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B02-4A4E-8021-9846F645B96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'Gerenciamento executivo '!$B$2</c:f>
              <c:strCache>
                <c:ptCount val="1"/>
                <c:pt idx="0">
                  <c:v>VALOR / m²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121212"/>
              </a:solidFill>
              <a:ln w="31750">
                <a:noFill/>
              </a:ln>
              <a:effectLst/>
            </c:spPr>
          </c:marker>
          <c:val>
            <c:numRef>
              <c:f>'Gerenciamento executivo '!$B$3:$B$17</c:f>
              <c:numCache>
                <c:formatCode>_(* #,##0.00_);_(* \(#,##0.00\);_(* "-"??_);_(@_)</c:formatCode>
                <c:ptCount val="15"/>
                <c:pt idx="0">
                  <c:v>5.4684330172548803</c:v>
                </c:pt>
                <c:pt idx="1">
                  <c:v>95.872458168715625</c:v>
                </c:pt>
                <c:pt idx="2">
                  <c:v>310.01624669753022</c:v>
                </c:pt>
                <c:pt idx="3">
                  <c:v>113.35327829906166</c:v>
                </c:pt>
                <c:pt idx="4">
                  <c:v>332.11739865022594</c:v>
                </c:pt>
                <c:pt idx="5">
                  <c:v>254.78006077905076</c:v>
                </c:pt>
                <c:pt idx="6">
                  <c:v>34.007514010902455</c:v>
                </c:pt>
                <c:pt idx="7">
                  <c:v>65.179342219243722</c:v>
                </c:pt>
                <c:pt idx="8">
                  <c:v>69.401997315605271</c:v>
                </c:pt>
                <c:pt idx="9">
                  <c:v>231.88356044330135</c:v>
                </c:pt>
                <c:pt idx="10">
                  <c:v>62.328450182227776</c:v>
                </c:pt>
                <c:pt idx="11">
                  <c:v>200.80930232682226</c:v>
                </c:pt>
                <c:pt idx="12">
                  <c:v>3.6173955821937818</c:v>
                </c:pt>
                <c:pt idx="13">
                  <c:v>81.123705457175475</c:v>
                </c:pt>
                <c:pt idx="14">
                  <c:v>162.83256041155386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715216"/>
        <c:axId val="410715872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v>Valor 3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'Gerenciamento executivo '!$F$3:$F$17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018-446A-A195-256B5CAD6311}"/>
                  </c:ext>
                </c:extLst>
              </c15:ser>
            </c15:filteredLineSeries>
          </c:ext>
        </c:extLst>
      </c:lineChart>
      <c:catAx>
        <c:axId val="410715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0715872"/>
        <c:crosses val="autoZero"/>
        <c:auto val="1"/>
        <c:lblAlgn val="ctr"/>
        <c:lblOffset val="100"/>
        <c:noMultiLvlLbl val="0"/>
      </c:catAx>
      <c:valAx>
        <c:axId val="4107158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071521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REPRESENTAÇÃO DE CUSTOS POR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E34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Executivo!$A$2:$A$18</c:f>
              <c:strCache>
                <c:ptCount val="17"/>
                <c:pt idx="0">
                  <c:v>GERENCIAMENTO TÉCNICO E ADMINISTRATIVO </c:v>
                </c:pt>
                <c:pt idx="1">
                  <c:v>MOVIMENTAÇÃO DE TERRA </c:v>
                </c:pt>
                <c:pt idx="2">
                  <c:v>INFRAESTRUTURA</c:v>
                </c:pt>
                <c:pt idx="3">
                  <c:v>SUPRAESTRUTURA</c:v>
                </c:pt>
                <c:pt idx="4">
                  <c:v>ALVENARIA</c:v>
                </c:pt>
                <c:pt idx="5">
                  <c:v>INSTALAÇÕES ELÉTRICAS, HIDRÁULICAS, GLP E PREVENTIVAS</c:v>
                </c:pt>
                <c:pt idx="6">
                  <c:v>SISTEMAS E EQUIPAMENTOS ESPECIAIS </c:v>
                </c:pt>
                <c:pt idx="7">
                  <c:v>IMPERMEABILIZAÇÃO </c:v>
                </c:pt>
                <c:pt idx="8">
                  <c:v>REVESTIMENTOS INTERNOS EM PISO E PAREDE</c:v>
                </c:pt>
                <c:pt idx="9">
                  <c:v>REVESTIMENTOS E ACABAMENTOS INTERNOS EM TETO</c:v>
                </c:pt>
                <c:pt idx="10">
                  <c:v>ACABAMENTOS EM PISO E PAREDE</c:v>
                </c:pt>
                <c:pt idx="11">
                  <c:v>PINTURA INTERNA</c:v>
                </c:pt>
                <c:pt idx="12">
                  <c:v>ESQUADRIAS, VIDROS E FERRAGENS</c:v>
                </c:pt>
                <c:pt idx="13">
                  <c:v>COBERTURA</c:v>
                </c:pt>
                <c:pt idx="14">
                  <c:v>REVESTIMENTOS E ACABAMENTOS DE FACHADA</c:v>
                </c:pt>
                <c:pt idx="15">
                  <c:v>SERVIÇOS COMPLEMENTARES </c:v>
                </c:pt>
                <c:pt idx="16">
                  <c:v>IMPREVISTOS E CONTINGÊNCIAS</c:v>
                </c:pt>
              </c:strCache>
            </c:strRef>
          </c:cat>
          <c:val>
            <c:numRef>
              <c:f>Executivo!$C$2:$C$18</c:f>
              <c:numCache>
                <c:formatCode>0.00%</c:formatCode>
                <c:ptCount val="17"/>
                <c:pt idx="0">
                  <c:v>0.20646798768726429</c:v>
                </c:pt>
                <c:pt idx="1">
                  <c:v>2.1452414743153014E-3</c:v>
                </c:pt>
                <c:pt idx="2">
                  <c:v>3.761033057534504E-2</c:v>
                </c:pt>
                <c:pt idx="3">
                  <c:v>0.12161796771188427</c:v>
                </c:pt>
                <c:pt idx="4">
                  <c:v>4.4467977040125034E-2</c:v>
                </c:pt>
                <c:pt idx="5">
                  <c:v>0.13028814939820366</c:v>
                </c:pt>
                <c:pt idx="6">
                  <c:v>9.9949062462168559E-2</c:v>
                </c:pt>
                <c:pt idx="7">
                  <c:v>1.3340993528557339E-2</c:v>
                </c:pt>
                <c:pt idx="8">
                  <c:v>2.5569560376091701E-2</c:v>
                </c:pt>
                <c:pt idx="9">
                  <c:v>2.7226088821417898E-2</c:v>
                </c:pt>
                <c:pt idx="10">
                  <c:v>9.0966869211938153E-2</c:v>
                </c:pt>
                <c:pt idx="11">
                  <c:v>2.4451168358249641E-2</c:v>
                </c:pt>
                <c:pt idx="12">
                  <c:v>7.8776578668978636E-2</c:v>
                </c:pt>
                <c:pt idx="13">
                  <c:v>1.419087882660509E-3</c:v>
                </c:pt>
                <c:pt idx="14">
                  <c:v>3.1824461769531437E-2</c:v>
                </c:pt>
                <c:pt idx="15">
                  <c:v>4.4270631854970995E-2</c:v>
                </c:pt>
                <c:pt idx="16">
                  <c:v>1.9607843178297533E-2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B-4A28-BE49-41975BBBE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50"/>
        <c:axId val="879648639"/>
        <c:axId val="879640735"/>
      </c:barChart>
      <c:catAx>
        <c:axId val="879648639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9640735"/>
        <c:crosses val="autoZero"/>
        <c:auto val="1"/>
        <c:lblAlgn val="ctr"/>
        <c:lblOffset val="100"/>
        <c:noMultiLvlLbl val="0"/>
      </c:catAx>
      <c:valAx>
        <c:axId val="8796407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964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COMPOSIÇÃO</a:t>
            </a:r>
            <a:r>
              <a:rPr lang="pt-BR" baseline="0"/>
              <a:t> DO ORÇAMENTO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9-03C4-4426-BCD0-615069036F7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A-03C4-4426-BCD0-615069036F7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B-03C4-4426-BCD0-615069036F7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C-03C4-4426-BCD0-615069036F7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1D-03C4-4426-BCD0-615069036F7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E-03C4-4426-BCD0-615069036F7A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Planilha3!$E$2:$E$8</c:f>
              <c:strCache>
                <c:ptCount val="7"/>
                <c:pt idx="0">
                  <c:v>MÃO DE OBRA</c:v>
                </c:pt>
                <c:pt idx="1">
                  <c:v>MATERIAIS</c:v>
                </c:pt>
                <c:pt idx="2">
                  <c:v>SERVIÇOS - MATERIAL E MÃO DE OBRA</c:v>
                </c:pt>
                <c:pt idx="3">
                  <c:v>SERVIÇOS COMPLEMENTARES</c:v>
                </c:pt>
                <c:pt idx="4">
                  <c:v>MÃO DE OBRA PRÓPRIA</c:v>
                </c:pt>
                <c:pt idx="5">
                  <c:v>DESPESAS INDIRETAS</c:v>
                </c:pt>
                <c:pt idx="6">
                  <c:v>EQUIPAMENTOS</c:v>
                </c:pt>
              </c:strCache>
            </c:strRef>
          </c:cat>
          <c:val>
            <c:numRef>
              <c:f>Planilha3!$G$2:$G$8</c:f>
              <c:numCache>
                <c:formatCode>0%</c:formatCode>
                <c:ptCount val="7"/>
                <c:pt idx="0">
                  <c:v>0.2682350206490664</c:v>
                </c:pt>
                <c:pt idx="1">
                  <c:v>0.43073971942758216</c:v>
                </c:pt>
                <c:pt idx="2">
                  <c:v>0.14483812849237018</c:v>
                </c:pt>
                <c:pt idx="3">
                  <c:v>5.2130572875457998E-2</c:v>
                </c:pt>
                <c:pt idx="4">
                  <c:v>3.409522380345744E-2</c:v>
                </c:pt>
                <c:pt idx="5">
                  <c:v>4.235797122669515E-2</c:v>
                </c:pt>
                <c:pt idx="6">
                  <c:v>2.7603363525370784E-2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3C4-4426-BCD0-615069036F7A}"/>
            </c:ext>
          </c:extLst>
        </c:ser>
        <c:ser>
          <c:idx val="0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03C4-4426-BCD0-615069036F7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3C4-4426-BCD0-615069036F7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03C4-4426-BCD0-615069036F7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03C4-4426-BCD0-615069036F7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03C4-4426-BCD0-615069036F7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03C4-4426-BCD0-615069036F7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03C4-4426-BCD0-615069036F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Planilha3!$E$2:$E$8</c:f>
              <c:strCache>
                <c:ptCount val="7"/>
                <c:pt idx="0">
                  <c:v>MÃO DE OBRA</c:v>
                </c:pt>
                <c:pt idx="1">
                  <c:v>MATERIAIS</c:v>
                </c:pt>
                <c:pt idx="2">
                  <c:v>SERVIÇOS - MATERIAL E MÃO DE OBRA</c:v>
                </c:pt>
                <c:pt idx="3">
                  <c:v>SERVIÇOS COMPLEMENTARES</c:v>
                </c:pt>
                <c:pt idx="4">
                  <c:v>MÃO DE OBRA PRÓPRIA</c:v>
                </c:pt>
                <c:pt idx="5">
                  <c:v>DESPESAS INDIRETAS</c:v>
                </c:pt>
                <c:pt idx="6">
                  <c:v>EQUIPAMENTOS</c:v>
                </c:pt>
              </c:strCache>
            </c:strRef>
          </c:cat>
          <c:val>
            <c:numRef>
              <c:f>Planilha3!$G$2:$G$8</c:f>
              <c:numCache>
                <c:formatCode>0%</c:formatCode>
                <c:ptCount val="7"/>
                <c:pt idx="0">
                  <c:v>0.2682350206490664</c:v>
                </c:pt>
                <c:pt idx="1">
                  <c:v>0.43073971942758216</c:v>
                </c:pt>
                <c:pt idx="2">
                  <c:v>0.14483812849237018</c:v>
                </c:pt>
                <c:pt idx="3">
                  <c:v>5.2130572875457998E-2</c:v>
                </c:pt>
                <c:pt idx="4">
                  <c:v>3.409522380345744E-2</c:v>
                </c:pt>
                <c:pt idx="5">
                  <c:v>4.235797122669515E-2</c:v>
                </c:pt>
                <c:pt idx="6">
                  <c:v>2.7603363525370784E-2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3C4-4426-BCD0-615069036F7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1</xdr:row>
      <xdr:rowOff>173899</xdr:rowOff>
    </xdr:from>
    <xdr:to>
      <xdr:col>21</xdr:col>
      <xdr:colOff>368011</xdr:colOff>
      <xdr:row>19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C88E27-5B2B-429D-976F-09C836194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0.32643</cdr:x>
      <cdr:y>0.02118</cdr:y>
    </cdr:from>
    <cdr:to>
      <cdr:x>0.74936</cdr:x>
      <cdr:y>0.10047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2D004DF-4FC1-4B69-A73A-5C0C9B236050}"/>
            </a:ext>
          </a:extLst>
        </cdr:cNvPr>
        <cdr:cNvSpPr txBox="1"/>
      </cdr:nvSpPr>
      <cdr:spPr>
        <a:xfrm xmlns:a="http://schemas.openxmlformats.org/drawingml/2006/main">
          <a:off x="2971309" y="71767"/>
          <a:ext cx="3849694" cy="2686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i="0" baseline="0">
              <a:effectLst/>
              <a:latin typeface="Roboto" panose="02000000000000000000" pitchFamily="2" charset="0"/>
              <a:ea typeface="Roboto" panose="02000000000000000000" pitchFamily="2" charset="0"/>
              <a:cs typeface="+mn-cs"/>
            </a:rPr>
            <a:t>COMPARATIVO OBRAS SIMILARES</a:t>
          </a:r>
          <a:endParaRPr lang="pt-BR" sz="1400">
            <a:effectLst/>
            <a:latin typeface="Roboto" panose="02000000000000000000" pitchFamily="2" charset="0"/>
            <a:ea typeface="Roboto" panose="02000000000000000000" pitchFamily="2" charset="0"/>
          </a:endParaRPr>
        </a:p>
        <a:p xmlns:a="http://schemas.openxmlformats.org/drawingml/2006/main">
          <a:endParaRPr lang="pt-BR" sz="1400">
            <a:latin typeface="Roboto" panose="02000000000000000000" pitchFamily="2" charset="0"/>
            <a:ea typeface="Roboto" panose="02000000000000000000" pitchFamily="2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34638</xdr:colOff>
      <xdr:row>21</xdr:row>
      <xdr:rowOff>57149</xdr:rowOff>
    </xdr:from>
    <xdr:to>
      <xdr:col>4</xdr:col>
      <xdr:colOff>952502</xdr:colOff>
      <xdr:row>48</xdr:row>
      <xdr:rowOff>43294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0556647-49F7-4684-8A8F-77AD7DB60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171449</xdr:colOff>
      <xdr:row>9</xdr:row>
      <xdr:rowOff>400050</xdr:rowOff>
    </xdr:from>
    <xdr:to>
      <xdr:col>16</xdr:col>
      <xdr:colOff>76200</xdr:colOff>
      <xdr:row>24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F19849F-DB66-493F-AB54-B4F1A8FAC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zoomScaleNormal="100" workbookViewId="0">
      <selection activeCell="B3" sqref="B3"/>
    </sheetView>
  </sheetViews>
  <sheetFormatPr defaultRowHeight="14.5" x14ac:dyDescent="0.35"/>
  <cols>
    <col min="1" max="1" width="66.1796875" bestFit="1" customWidth="1"/>
    <col min="2" max="2" width="16.81640625" customWidth="1"/>
    <col min="3" max="3" width="20.81640625" style="1" customWidth="1"/>
  </cols>
  <sheetData>
    <row r="1" spans="1:6" ht="30.65" customHeight="1" x14ac:dyDescent="0.35">
      <c r="A1" s="107" t="s">
        <v>0</v>
      </c>
      <c r="B1" s="106" t="s">
        <v>477</v>
      </c>
      <c r="C1" s="97" t="s">
        <v>476</v>
      </c>
    </row>
    <row r="2" spans="1:6" ht="21" customHeight="1" x14ac:dyDescent="0.35">
      <c r="A2" s="108"/>
      <c r="B2" s="90" t="s">
        <v>11</v>
      </c>
      <c r="C2" s="98" t="s">
        <v>11</v>
      </c>
      <c r="D2" t="s">
        <v>20</v>
      </c>
      <c r="E2" t="s">
        <v>21</v>
      </c>
      <c r="F2" s="75" t="s">
        <v>458</v>
      </c>
    </row>
    <row r="3" spans="1:6" x14ac:dyDescent="0.35">
      <c r="A3" s="91" t="s">
        <v>1</v>
      </c>
      <c r="B3" s="92">
        <f>Executivo!D3</f>
        <v>5.4684330172548803</v>
      </c>
      <c r="C3" s="100" t="s">
        <v>471</v>
      </c>
      <c r="D3" s="78">
        <v>4.5</v>
      </c>
      <c r="E3" s="78">
        <v>7.5</v>
      </c>
      <c r="F3" s="76" t="e">
        <f>#REF!</f>
        <v>#REF!</v>
      </c>
    </row>
    <row r="4" spans="1:6" x14ac:dyDescent="0.35">
      <c r="A4" s="93" t="s">
        <v>2</v>
      </c>
      <c r="B4" s="94">
        <f>Executivo!D4</f>
        <v>95.872458168715625</v>
      </c>
      <c r="C4" s="101" t="s">
        <v>459</v>
      </c>
      <c r="D4" s="78">
        <v>110</v>
      </c>
      <c r="E4" s="78">
        <v>160</v>
      </c>
      <c r="F4" s="76" t="e">
        <f>#REF!</f>
        <v>#REF!</v>
      </c>
    </row>
    <row r="5" spans="1:6" x14ac:dyDescent="0.35">
      <c r="A5" s="91" t="s">
        <v>3</v>
      </c>
      <c r="B5" s="92">
        <f>Executivo!D5</f>
        <v>310.01624669753022</v>
      </c>
      <c r="C5" s="100" t="s">
        <v>460</v>
      </c>
      <c r="D5" s="78">
        <v>480</v>
      </c>
      <c r="E5" s="78">
        <v>520</v>
      </c>
      <c r="F5" s="76" t="e">
        <f>#REF!</f>
        <v>#REF!</v>
      </c>
    </row>
    <row r="6" spans="1:6" x14ac:dyDescent="0.35">
      <c r="A6" s="93" t="s">
        <v>4</v>
      </c>
      <c r="B6" s="94">
        <f>Executivo!D6</f>
        <v>113.35327829906166</v>
      </c>
      <c r="C6" s="101" t="s">
        <v>461</v>
      </c>
      <c r="D6" s="78">
        <v>120</v>
      </c>
      <c r="E6" s="78">
        <v>180</v>
      </c>
      <c r="F6" s="76" t="e">
        <f>#REF!</f>
        <v>#REF!</v>
      </c>
    </row>
    <row r="7" spans="1:6" x14ac:dyDescent="0.35">
      <c r="A7" s="91" t="s">
        <v>22</v>
      </c>
      <c r="B7" s="92">
        <f>Executivo!D7</f>
        <v>332.11739865022594</v>
      </c>
      <c r="C7" s="102" t="s">
        <v>475</v>
      </c>
      <c r="D7" s="78">
        <v>240</v>
      </c>
      <c r="E7" s="78">
        <v>280</v>
      </c>
      <c r="F7" s="76" t="e">
        <f>#REF!</f>
        <v>#REF!</v>
      </c>
    </row>
    <row r="8" spans="1:6" x14ac:dyDescent="0.35">
      <c r="A8" s="93" t="s">
        <v>17</v>
      </c>
      <c r="B8" s="94">
        <f>Executivo!D8</f>
        <v>254.78006077905076</v>
      </c>
      <c r="C8" s="101" t="s">
        <v>462</v>
      </c>
      <c r="D8" s="78">
        <v>100</v>
      </c>
      <c r="E8" s="78">
        <v>200</v>
      </c>
      <c r="F8" s="76" t="e">
        <f>#REF!</f>
        <v>#REF!</v>
      </c>
    </row>
    <row r="9" spans="1:6" x14ac:dyDescent="0.35">
      <c r="A9" s="91" t="s">
        <v>19</v>
      </c>
      <c r="B9" s="92">
        <f>Executivo!D9</f>
        <v>34.007514010902455</v>
      </c>
      <c r="C9" s="100" t="s">
        <v>463</v>
      </c>
      <c r="D9" s="78">
        <v>55</v>
      </c>
      <c r="E9" s="78">
        <v>65</v>
      </c>
      <c r="F9" s="76" t="e">
        <f>#REF!</f>
        <v>#REF!</v>
      </c>
    </row>
    <row r="10" spans="1:6" x14ac:dyDescent="0.35">
      <c r="A10" s="93" t="s">
        <v>13</v>
      </c>
      <c r="B10" s="94">
        <f>Executivo!D10</f>
        <v>65.179342219243722</v>
      </c>
      <c r="C10" s="101" t="s">
        <v>464</v>
      </c>
      <c r="D10" s="78">
        <v>140</v>
      </c>
      <c r="E10" s="78">
        <v>190</v>
      </c>
      <c r="F10" s="76" t="e">
        <f>#REF!</f>
        <v>#REF!</v>
      </c>
    </row>
    <row r="11" spans="1:6" x14ac:dyDescent="0.35">
      <c r="A11" s="91" t="s">
        <v>5</v>
      </c>
      <c r="B11" s="92">
        <f>Executivo!D11</f>
        <v>69.401997315605271</v>
      </c>
      <c r="C11" s="100" t="s">
        <v>465</v>
      </c>
      <c r="D11" s="78">
        <v>60</v>
      </c>
      <c r="E11" s="78">
        <v>70</v>
      </c>
      <c r="F11" s="76" t="e">
        <f>#REF!</f>
        <v>#REF!</v>
      </c>
    </row>
    <row r="12" spans="1:6" x14ac:dyDescent="0.35">
      <c r="A12" s="93" t="s">
        <v>14</v>
      </c>
      <c r="B12" s="94">
        <f>Executivo!D12</f>
        <v>231.88356044330135</v>
      </c>
      <c r="C12" s="101" t="s">
        <v>466</v>
      </c>
      <c r="D12" s="78">
        <v>160</v>
      </c>
      <c r="E12" s="78">
        <v>180</v>
      </c>
      <c r="F12" s="76" t="e">
        <f>#REF!</f>
        <v>#REF!</v>
      </c>
    </row>
    <row r="13" spans="1:6" x14ac:dyDescent="0.35">
      <c r="A13" s="91" t="s">
        <v>6</v>
      </c>
      <c r="B13" s="92">
        <f>Executivo!D13</f>
        <v>62.328450182227776</v>
      </c>
      <c r="C13" s="100" t="s">
        <v>467</v>
      </c>
      <c r="D13" s="78">
        <v>120</v>
      </c>
      <c r="E13" s="78">
        <v>140</v>
      </c>
      <c r="F13" s="76" t="e">
        <f>#REF!</f>
        <v>#REF!</v>
      </c>
    </row>
    <row r="14" spans="1:6" x14ac:dyDescent="0.35">
      <c r="A14" s="93" t="s">
        <v>18</v>
      </c>
      <c r="B14" s="94">
        <f>Executivo!D14</f>
        <v>200.80930232682226</v>
      </c>
      <c r="C14" s="101" t="s">
        <v>468</v>
      </c>
      <c r="D14" s="78">
        <v>250</v>
      </c>
      <c r="E14" s="78">
        <v>300</v>
      </c>
      <c r="F14" s="76" t="e">
        <f>#REF!</f>
        <v>#REF!</v>
      </c>
    </row>
    <row r="15" spans="1:6" x14ac:dyDescent="0.35">
      <c r="A15" s="91" t="s">
        <v>24</v>
      </c>
      <c r="B15" s="92">
        <f>Executivo!D15</f>
        <v>3.6173955821937818</v>
      </c>
      <c r="C15" s="100" t="s">
        <v>472</v>
      </c>
      <c r="D15" s="78">
        <v>4</v>
      </c>
      <c r="E15" s="78">
        <v>5.5</v>
      </c>
      <c r="F15" s="76" t="e">
        <f>#REF!</f>
        <v>#REF!</v>
      </c>
    </row>
    <row r="16" spans="1:6" x14ac:dyDescent="0.35">
      <c r="A16" s="93" t="s">
        <v>15</v>
      </c>
      <c r="B16" s="94">
        <f>Executivo!D16</f>
        <v>81.123705457175475</v>
      </c>
      <c r="C16" s="101" t="s">
        <v>469</v>
      </c>
      <c r="D16" s="78">
        <v>90</v>
      </c>
      <c r="E16" s="78">
        <v>130</v>
      </c>
      <c r="F16" s="76" t="e">
        <f>#REF!</f>
        <v>#REF!</v>
      </c>
    </row>
    <row r="17" spans="1:6" x14ac:dyDescent="0.35">
      <c r="A17" s="91" t="s">
        <v>16</v>
      </c>
      <c r="B17" s="92">
        <f>Executivo!D17+Executivo!D18</f>
        <v>162.83256041155386</v>
      </c>
      <c r="C17" s="100" t="s">
        <v>470</v>
      </c>
      <c r="D17" s="78">
        <v>80</v>
      </c>
      <c r="E17" s="78">
        <v>140</v>
      </c>
      <c r="F17" s="76" t="e">
        <f>#REF!</f>
        <v>#REF!</v>
      </c>
    </row>
    <row r="18" spans="1:6" ht="15" thickBot="1" x14ac:dyDescent="0.4">
      <c r="A18" s="95" t="s">
        <v>7</v>
      </c>
      <c r="B18" s="96">
        <f>SUM(B3:B17)</f>
        <v>2022.7917035608648</v>
      </c>
      <c r="C18" s="99" t="s">
        <v>474</v>
      </c>
      <c r="D18">
        <f>SUM(D3:D17)</f>
        <v>2013.5</v>
      </c>
      <c r="E18">
        <f>SUM(E3:E17)</f>
        <v>2568</v>
      </c>
    </row>
    <row r="21" spans="1:6" x14ac:dyDescent="0.35">
      <c r="B21">
        <v>150</v>
      </c>
      <c r="C21" s="58"/>
      <c r="D21" s="58">
        <f>B21*0.6</f>
        <v>90</v>
      </c>
    </row>
    <row r="22" spans="1:6" x14ac:dyDescent="0.35">
      <c r="B22">
        <v>580</v>
      </c>
      <c r="C22" s="58"/>
      <c r="D22" s="58">
        <f t="shared" ref="D22:D33" si="0">B22*0.6</f>
        <v>348</v>
      </c>
    </row>
    <row r="23" spans="1:6" x14ac:dyDescent="0.35">
      <c r="B23">
        <v>110</v>
      </c>
      <c r="C23" s="58"/>
      <c r="D23" s="58">
        <f t="shared" si="0"/>
        <v>66</v>
      </c>
    </row>
    <row r="24" spans="1:6" x14ac:dyDescent="0.35">
      <c r="B24">
        <v>270</v>
      </c>
      <c r="C24" s="58"/>
      <c r="D24" s="58">
        <f t="shared" si="0"/>
        <v>162</v>
      </c>
    </row>
    <row r="25" spans="1:6" x14ac:dyDescent="0.35">
      <c r="B25">
        <v>180</v>
      </c>
      <c r="C25" s="58"/>
      <c r="D25" s="58">
        <f t="shared" si="0"/>
        <v>108</v>
      </c>
    </row>
    <row r="26" spans="1:6" x14ac:dyDescent="0.35">
      <c r="B26">
        <v>45</v>
      </c>
      <c r="C26" s="58"/>
      <c r="D26" s="58">
        <f t="shared" si="0"/>
        <v>27</v>
      </c>
    </row>
    <row r="27" spans="1:6" x14ac:dyDescent="0.35">
      <c r="B27">
        <v>160</v>
      </c>
      <c r="C27" s="58"/>
      <c r="D27" s="58">
        <f t="shared" si="0"/>
        <v>96</v>
      </c>
    </row>
    <row r="28" spans="1:6" x14ac:dyDescent="0.35">
      <c r="B28">
        <v>75</v>
      </c>
      <c r="C28" s="58"/>
      <c r="D28" s="58">
        <f t="shared" si="0"/>
        <v>45</v>
      </c>
    </row>
    <row r="29" spans="1:6" x14ac:dyDescent="0.35">
      <c r="B29">
        <v>160</v>
      </c>
      <c r="C29" s="58"/>
      <c r="D29" s="58">
        <f t="shared" si="0"/>
        <v>96</v>
      </c>
    </row>
    <row r="30" spans="1:6" x14ac:dyDescent="0.35">
      <c r="B30">
        <v>90</v>
      </c>
      <c r="C30" s="58"/>
      <c r="D30" s="58">
        <f t="shared" si="0"/>
        <v>54</v>
      </c>
    </row>
    <row r="31" spans="1:6" x14ac:dyDescent="0.35">
      <c r="B31">
        <v>200</v>
      </c>
      <c r="C31" s="58"/>
      <c r="D31" s="58">
        <f t="shared" si="0"/>
        <v>120</v>
      </c>
    </row>
    <row r="32" spans="1:6" x14ac:dyDescent="0.35">
      <c r="B32">
        <v>120</v>
      </c>
      <c r="C32" s="58"/>
      <c r="D32" s="58">
        <f t="shared" si="0"/>
        <v>72</v>
      </c>
    </row>
    <row r="33" spans="2:4" x14ac:dyDescent="0.35">
      <c r="B33">
        <v>135</v>
      </c>
      <c r="C33" s="58"/>
      <c r="D33" s="58">
        <f t="shared" si="0"/>
        <v>81</v>
      </c>
    </row>
    <row r="43" spans="2:4" ht="18" x14ac:dyDescent="0.5">
      <c r="B43" s="87"/>
      <c r="C43" s="89"/>
    </row>
    <row r="44" spans="2:4" ht="18" x14ac:dyDescent="0.5">
      <c r="B44" s="87"/>
      <c r="C44" s="89"/>
    </row>
    <row r="45" spans="2:4" x14ac:dyDescent="0.35">
      <c r="B45" s="61"/>
      <c r="C45" s="89"/>
    </row>
    <row r="46" spans="2:4" x14ac:dyDescent="0.35">
      <c r="C46" s="89"/>
    </row>
    <row r="47" spans="2:4" x14ac:dyDescent="0.35">
      <c r="C47" s="89"/>
    </row>
    <row r="48" spans="2:4" x14ac:dyDescent="0.35">
      <c r="B48" s="88"/>
      <c r="C48" s="89"/>
    </row>
    <row r="49" spans="3:3" x14ac:dyDescent="0.35">
      <c r="C49" s="89"/>
    </row>
    <row r="50" spans="3:3" x14ac:dyDescent="0.35">
      <c r="C50" s="89"/>
    </row>
    <row r="51" spans="3:3" x14ac:dyDescent="0.35">
      <c r="C51" s="89"/>
    </row>
    <row r="52" spans="3:3" x14ac:dyDescent="0.35">
      <c r="C52" s="89"/>
    </row>
    <row r="53" spans="3:3" x14ac:dyDescent="0.35">
      <c r="C53" s="89"/>
    </row>
    <row r="54" spans="3:3" x14ac:dyDescent="0.35">
      <c r="C54" s="89"/>
    </row>
    <row r="55" spans="3:3" x14ac:dyDescent="0.35">
      <c r="C55" s="89"/>
    </row>
    <row r="56" spans="3:3" x14ac:dyDescent="0.35">
      <c r="C56" s="89"/>
    </row>
    <row r="57" spans="3:3" x14ac:dyDescent="0.35">
      <c r="C57" s="89"/>
    </row>
  </sheetData>
  <mergeCells count="1">
    <mergeCell ref="A1:A2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tabSelected="1" zoomScale="85" zoomScaleNormal="85" workbookViewId="0">
      <selection activeCell="D2" sqref="D2"/>
    </sheetView>
  </sheetViews>
  <sheetFormatPr defaultColWidth="9.1796875" defaultRowHeight="13" x14ac:dyDescent="0.3"/>
  <cols>
    <col min="1" max="1" width="73.81640625" style="2" bestFit="1" customWidth="1"/>
    <col min="2" max="2" width="17.81640625" style="2" bestFit="1" customWidth="1"/>
    <col min="3" max="3" width="14.1796875" style="2" customWidth="1"/>
    <col min="4" max="4" width="15.1796875" style="2" customWidth="1"/>
    <col min="5" max="5" width="20.81640625" style="2" customWidth="1"/>
    <col min="6" max="6" width="12.54296875" style="2" bestFit="1" customWidth="1"/>
    <col min="7" max="7" width="14.1796875" style="2" bestFit="1" customWidth="1"/>
    <col min="8" max="8" width="10.453125" style="2" customWidth="1"/>
    <col min="9" max="9" width="9.1796875" style="2" customWidth="1"/>
    <col min="10" max="16384" width="9.1796875" style="2"/>
  </cols>
  <sheetData>
    <row r="1" spans="1:9" ht="25.5" customHeight="1" x14ac:dyDescent="0.3">
      <c r="A1" s="64" t="s">
        <v>0</v>
      </c>
      <c r="B1" s="65" t="s">
        <v>9</v>
      </c>
      <c r="C1" s="65" t="s">
        <v>10</v>
      </c>
      <c r="D1" s="65" t="s">
        <v>11</v>
      </c>
      <c r="E1" s="66" t="s">
        <v>12</v>
      </c>
    </row>
    <row r="2" spans="1:9" ht="15" customHeight="1" x14ac:dyDescent="0.35">
      <c r="A2" s="7" t="s">
        <v>456</v>
      </c>
      <c r="B2" s="83">
        <v>19727741.649999999</v>
      </c>
      <c r="C2" s="5">
        <f t="shared" ref="C2:C17" si="0">B2/B$19</f>
        <v>0.20646798768726429</v>
      </c>
      <c r="D2" s="83">
        <f>B2/Executivo!H$10</f>
        <v>526.30735252569741</v>
      </c>
      <c r="E2" s="63">
        <f>B2/H$7</f>
        <v>270243.03630136984</v>
      </c>
      <c r="G2" s="57" t="s">
        <v>451</v>
      </c>
    </row>
    <row r="3" spans="1:9" ht="15" customHeight="1" x14ac:dyDescent="0.35">
      <c r="A3" s="6" t="s">
        <v>455</v>
      </c>
      <c r="B3" s="86">
        <v>204974.97</v>
      </c>
      <c r="C3" s="4">
        <f t="shared" si="0"/>
        <v>2.1452414743153014E-3</v>
      </c>
      <c r="D3" s="84">
        <f>B3/Executivo!H$10</f>
        <v>5.4684330172548803</v>
      </c>
      <c r="E3" s="85">
        <f t="shared" ref="E3:E17" si="1">B3/H$7</f>
        <v>2807.8763013698631</v>
      </c>
    </row>
    <row r="4" spans="1:9" ht="15" customHeight="1" x14ac:dyDescent="0.35">
      <c r="A4" s="7" t="s">
        <v>2</v>
      </c>
      <c r="B4" s="83">
        <v>3593617.07</v>
      </c>
      <c r="C4" s="5">
        <f t="shared" si="0"/>
        <v>3.761033057534504E-2</v>
      </c>
      <c r="D4" s="83">
        <f>B4/Executivo!H$10</f>
        <v>95.872458168715625</v>
      </c>
      <c r="E4" s="63">
        <f t="shared" si="1"/>
        <v>49227.631095890407</v>
      </c>
      <c r="G4" s="79">
        <v>1232826.9609999999</v>
      </c>
      <c r="H4" s="80" t="s">
        <v>452</v>
      </c>
    </row>
    <row r="5" spans="1:9" ht="15" customHeight="1" x14ac:dyDescent="0.35">
      <c r="A5" s="6" t="s">
        <v>3</v>
      </c>
      <c r="B5" s="84">
        <v>11620435.08</v>
      </c>
      <c r="C5" s="4">
        <f t="shared" si="0"/>
        <v>0.12161796771188427</v>
      </c>
      <c r="D5" s="84">
        <f>B5/Executivo!H$10</f>
        <v>310.01624669753022</v>
      </c>
      <c r="E5" s="85">
        <f t="shared" si="1"/>
        <v>159184.04219178081</v>
      </c>
    </row>
    <row r="6" spans="1:9" ht="15" customHeight="1" x14ac:dyDescent="0.35">
      <c r="A6" s="7" t="s">
        <v>4</v>
      </c>
      <c r="B6" s="83">
        <f>124324.01+226229.83+3898302.23</f>
        <v>4248856.07</v>
      </c>
      <c r="C6" s="5">
        <f t="shared" si="0"/>
        <v>4.4467977040125034E-2</v>
      </c>
      <c r="D6" s="83">
        <f>B6/Executivo!H$10</f>
        <v>113.35327829906166</v>
      </c>
      <c r="E6" s="63">
        <f t="shared" si="1"/>
        <v>58203.507808219183</v>
      </c>
    </row>
    <row r="7" spans="1:9" ht="15" customHeight="1" x14ac:dyDescent="0.35">
      <c r="A7" s="6" t="s">
        <v>22</v>
      </c>
      <c r="B7" s="84">
        <v>12448859.41</v>
      </c>
      <c r="C7" s="4">
        <f t="shared" si="0"/>
        <v>0.13028814939820366</v>
      </c>
      <c r="D7" s="84">
        <f>B7/Executivo!H$10</f>
        <v>332.11739865022594</v>
      </c>
      <c r="E7" s="85">
        <f t="shared" si="1"/>
        <v>170532.3206849315</v>
      </c>
      <c r="H7" s="2">
        <v>73</v>
      </c>
    </row>
    <row r="8" spans="1:9" ht="20.5" x14ac:dyDescent="0.45">
      <c r="A8" s="7" t="s">
        <v>453</v>
      </c>
      <c r="B8" s="3">
        <v>9550000</v>
      </c>
      <c r="C8" s="5">
        <f t="shared" si="0"/>
        <v>9.9949062462168559E-2</v>
      </c>
      <c r="D8" s="83">
        <f>B8/Executivo!H$10</f>
        <v>254.78006077905076</v>
      </c>
      <c r="E8" s="63">
        <f t="shared" si="1"/>
        <v>130821.91780821918</v>
      </c>
      <c r="G8" s="59"/>
    </row>
    <row r="9" spans="1:9" ht="15" customHeight="1" x14ac:dyDescent="0.35">
      <c r="A9" s="6" t="s">
        <v>454</v>
      </c>
      <c r="B9" s="84">
        <v>1274714.19</v>
      </c>
      <c r="C9" s="4">
        <f t="shared" si="0"/>
        <v>1.3340993528557339E-2</v>
      </c>
      <c r="D9" s="84">
        <f>B9/Executivo!H$10</f>
        <v>34.007514010902455</v>
      </c>
      <c r="E9" s="85">
        <f t="shared" si="1"/>
        <v>17461.83821917808</v>
      </c>
      <c r="G9" s="61"/>
    </row>
    <row r="10" spans="1:9" ht="15" customHeight="1" x14ac:dyDescent="0.35">
      <c r="A10" s="7" t="s">
        <v>13</v>
      </c>
      <c r="B10" s="83">
        <v>2443137.4900000002</v>
      </c>
      <c r="C10" s="5">
        <f t="shared" si="0"/>
        <v>2.5569560376091701E-2</v>
      </c>
      <c r="D10" s="83">
        <f>B10/Executivo!H$10</f>
        <v>65.179342219243722</v>
      </c>
      <c r="E10" s="63">
        <f t="shared" si="1"/>
        <v>33467.636849315073</v>
      </c>
      <c r="G10" s="61"/>
      <c r="H10" s="105">
        <v>37483.31</v>
      </c>
      <c r="I10" s="8" t="s">
        <v>13</v>
      </c>
    </row>
    <row r="11" spans="1:9" ht="14.5" x14ac:dyDescent="0.35">
      <c r="A11" s="6" t="s">
        <v>5</v>
      </c>
      <c r="B11" s="84">
        <v>2601416.58</v>
      </c>
      <c r="C11" s="4">
        <f t="shared" si="0"/>
        <v>2.7226088821417898E-2</v>
      </c>
      <c r="D11" s="84">
        <f>B11/Executivo!H$10</f>
        <v>69.401997315605271</v>
      </c>
      <c r="E11" s="85">
        <f t="shared" si="1"/>
        <v>35635.843561643836</v>
      </c>
      <c r="G11" s="61"/>
      <c r="I11" s="10" t="s">
        <v>5</v>
      </c>
    </row>
    <row r="12" spans="1:9" ht="15" customHeight="1" x14ac:dyDescent="0.35">
      <c r="A12" s="7" t="s">
        <v>14</v>
      </c>
      <c r="B12" s="83">
        <v>8691763.3800000008</v>
      </c>
      <c r="C12" s="5">
        <f t="shared" si="0"/>
        <v>9.0966869211938153E-2</v>
      </c>
      <c r="D12" s="83">
        <f>B12/Executivo!H$10</f>
        <v>231.88356044330135</v>
      </c>
      <c r="E12" s="63">
        <f t="shared" si="1"/>
        <v>119065.25178082193</v>
      </c>
      <c r="G12" s="62"/>
      <c r="I12" s="8" t="s">
        <v>14</v>
      </c>
    </row>
    <row r="13" spans="1:9" ht="15" customHeight="1" x14ac:dyDescent="0.35">
      <c r="A13" s="6" t="s">
        <v>6</v>
      </c>
      <c r="B13" s="84">
        <v>2336276.62</v>
      </c>
      <c r="C13" s="4">
        <f t="shared" si="0"/>
        <v>2.4451168358249641E-2</v>
      </c>
      <c r="D13" s="84">
        <f>B13/Executivo!H$10</f>
        <v>62.328450182227776</v>
      </c>
      <c r="E13" s="85">
        <f t="shared" si="1"/>
        <v>32003.789315068494</v>
      </c>
      <c r="I13" s="10" t="s">
        <v>6</v>
      </c>
    </row>
    <row r="14" spans="1:9" ht="15" customHeight="1" x14ac:dyDescent="0.35">
      <c r="A14" s="7" t="s">
        <v>18</v>
      </c>
      <c r="B14" s="83">
        <v>7526997.3300000001</v>
      </c>
      <c r="C14" s="5">
        <f t="shared" si="0"/>
        <v>7.8776578668978636E-2</v>
      </c>
      <c r="D14" s="83">
        <f>B14/Executivo!H$10</f>
        <v>200.80930232682226</v>
      </c>
      <c r="E14" s="63">
        <f t="shared" si="1"/>
        <v>103109.55246575343</v>
      </c>
      <c r="G14" s="61"/>
      <c r="I14" s="8" t="s">
        <v>18</v>
      </c>
    </row>
    <row r="15" spans="1:9" ht="15" customHeight="1" x14ac:dyDescent="0.35">
      <c r="A15" s="6" t="s">
        <v>24</v>
      </c>
      <c r="B15" s="84">
        <v>135591.96</v>
      </c>
      <c r="C15" s="4">
        <f t="shared" si="0"/>
        <v>1.419087882660509E-3</v>
      </c>
      <c r="D15" s="84">
        <f>B15/Executivo!H$10</f>
        <v>3.6173955821937818</v>
      </c>
      <c r="E15" s="85">
        <f t="shared" si="1"/>
        <v>1857.4241095890409</v>
      </c>
      <c r="G15" s="61"/>
      <c r="I15" s="60"/>
    </row>
    <row r="16" spans="1:9" ht="15" customHeight="1" x14ac:dyDescent="0.35">
      <c r="A16" s="7" t="s">
        <v>15</v>
      </c>
      <c r="B16" s="83">
        <v>3040785</v>
      </c>
      <c r="C16" s="5">
        <f t="shared" si="0"/>
        <v>3.1824461769531437E-2</v>
      </c>
      <c r="D16" s="83">
        <f>B16/Executivo!H$10</f>
        <v>81.123705457175475</v>
      </c>
      <c r="E16" s="63">
        <f t="shared" si="1"/>
        <v>41654.589041095889</v>
      </c>
      <c r="F16" s="103"/>
      <c r="G16" s="61"/>
      <c r="I16" s="2" t="s">
        <v>24</v>
      </c>
    </row>
    <row r="17" spans="1:9" ht="15" customHeight="1" x14ac:dyDescent="0.35">
      <c r="A17" s="6" t="s">
        <v>457</v>
      </c>
      <c r="B17" s="84">
        <v>4230000</v>
      </c>
      <c r="C17" s="4">
        <f t="shared" si="0"/>
        <v>4.4270631854970995E-2</v>
      </c>
      <c r="D17" s="84">
        <f>B17/Executivo!H$10</f>
        <v>112.85022587386227</v>
      </c>
      <c r="E17" s="85">
        <f t="shared" si="1"/>
        <v>57945.205479452052</v>
      </c>
      <c r="F17" s="104"/>
      <c r="G17" s="61"/>
      <c r="I17" s="2" t="s">
        <v>15</v>
      </c>
    </row>
    <row r="18" spans="1:9" ht="15" customHeight="1" x14ac:dyDescent="0.35">
      <c r="A18" s="7" t="s">
        <v>473</v>
      </c>
      <c r="B18" s="83">
        <v>1873503.34</v>
      </c>
      <c r="C18" s="5">
        <f t="shared" ref="C18" si="2">B18/B$19</f>
        <v>1.9607843178297533E-2</v>
      </c>
      <c r="D18" s="83">
        <f>B18/Executivo!H$10</f>
        <v>49.982334537691578</v>
      </c>
      <c r="E18" s="63">
        <f t="shared" ref="E18" si="3">B18/H$7</f>
        <v>25664.429315068493</v>
      </c>
      <c r="G18" s="61"/>
      <c r="I18" s="2" t="s">
        <v>24</v>
      </c>
    </row>
    <row r="19" spans="1:9" ht="15" customHeight="1" x14ac:dyDescent="0.35">
      <c r="A19" s="67" t="s">
        <v>7</v>
      </c>
      <c r="B19" s="68">
        <f>SUM(B2:B18)</f>
        <v>95548670.140000001</v>
      </c>
      <c r="C19" s="69">
        <f t="shared" ref="C19:D19" si="4">SUM(C2:C18)</f>
        <v>1</v>
      </c>
      <c r="D19" s="68">
        <f t="shared" si="4"/>
        <v>2549.099056086563</v>
      </c>
      <c r="E19" s="70">
        <f>SUM(E2:E18)</f>
        <v>1308885.8923287671</v>
      </c>
      <c r="G19" s="61"/>
    </row>
    <row r="20" spans="1:9" ht="15" customHeight="1" thickBot="1" x14ac:dyDescent="0.4">
      <c r="A20" s="77" t="s">
        <v>8</v>
      </c>
      <c r="B20" s="71">
        <v>2470.83</v>
      </c>
      <c r="C20" s="72">
        <v>44708</v>
      </c>
      <c r="D20" s="73">
        <f>+D19/B20</f>
        <v>1.0316772323820591</v>
      </c>
      <c r="E20" s="74" t="s">
        <v>23</v>
      </c>
    </row>
    <row r="21" spans="1:9" ht="15" customHeight="1" x14ac:dyDescent="0.3">
      <c r="F21" s="81">
        <v>45684</v>
      </c>
      <c r="G21" s="82">
        <v>44835</v>
      </c>
    </row>
    <row r="22" spans="1:9" x14ac:dyDescent="0.3">
      <c r="B22" s="9"/>
      <c r="I22" s="9"/>
    </row>
    <row r="23" spans="1:9" x14ac:dyDescent="0.3">
      <c r="G23" s="9">
        <f>F21-G21</f>
        <v>849</v>
      </c>
    </row>
    <row r="25" spans="1:9" x14ac:dyDescent="0.3">
      <c r="G25" s="9">
        <f>B19*0.015</f>
        <v>1433230.0521</v>
      </c>
    </row>
    <row r="28" spans="1:9" x14ac:dyDescent="0.3">
      <c r="I28" s="9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8"/>
  <sheetViews>
    <sheetView workbookViewId="0">
      <pane ySplit="1" topLeftCell="A2" activePane="bottomLeft" state="frozen"/>
      <selection pane="bottomLeft" activeCell="B8" sqref="B8"/>
    </sheetView>
  </sheetViews>
  <sheetFormatPr defaultColWidth="9.1796875" defaultRowHeight="12" x14ac:dyDescent="0.35"/>
  <cols>
    <col min="1" max="1" width="34.453125" style="11" customWidth="1"/>
    <col min="2" max="2" width="13.1796875" style="11" bestFit="1" customWidth="1"/>
    <col min="3" max="3" width="30" style="11" bestFit="1" customWidth="1"/>
    <col min="4" max="4" width="9.1796875" style="11"/>
    <col min="5" max="5" width="30" style="11" bestFit="1" customWidth="1"/>
    <col min="6" max="6" width="12" style="11" bestFit="1" customWidth="1"/>
    <col min="7" max="16384" width="9.1796875" style="11"/>
  </cols>
  <sheetData>
    <row r="1" spans="1:7" x14ac:dyDescent="0.35">
      <c r="A1" s="11" t="s">
        <v>442</v>
      </c>
      <c r="B1" s="11" t="s">
        <v>447</v>
      </c>
      <c r="C1" s="11" t="s">
        <v>446</v>
      </c>
    </row>
    <row r="2" spans="1:7" ht="46" x14ac:dyDescent="0.35">
      <c r="A2" s="12" t="s">
        <v>25</v>
      </c>
      <c r="B2" s="13">
        <v>1797638.4</v>
      </c>
      <c r="C2" s="11" t="s">
        <v>443</v>
      </c>
      <c r="E2" s="11" t="s">
        <v>443</v>
      </c>
      <c r="F2" s="22">
        <f>SUMIF($C$2:$C$418,E2,$B$2:$B$418)</f>
        <v>6599033.8300000001</v>
      </c>
      <c r="G2" s="56">
        <f>+F2/$F$9</f>
        <v>0.2682350206490664</v>
      </c>
    </row>
    <row r="3" spans="1:7" ht="46" x14ac:dyDescent="0.35">
      <c r="A3" s="36" t="s">
        <v>26</v>
      </c>
      <c r="B3" s="37">
        <v>890507.44</v>
      </c>
      <c r="C3" s="38" t="s">
        <v>445</v>
      </c>
      <c r="E3" s="11" t="s">
        <v>445</v>
      </c>
      <c r="F3" s="22">
        <f t="shared" ref="F3:F8" si="0">SUMIF($C$2:$C$418,E3,$B$2:$B$418)</f>
        <v>10596923.449999988</v>
      </c>
      <c r="G3" s="56">
        <f t="shared" ref="G3:G9" si="1">+F3/$F$9</f>
        <v>0.43073971942758216</v>
      </c>
    </row>
    <row r="4" spans="1:7" x14ac:dyDescent="0.35">
      <c r="A4" s="24" t="s">
        <v>27</v>
      </c>
      <c r="B4" s="34">
        <v>675000</v>
      </c>
      <c r="C4" s="35" t="s">
        <v>16</v>
      </c>
      <c r="E4" s="11" t="s">
        <v>444</v>
      </c>
      <c r="F4" s="22">
        <f t="shared" si="0"/>
        <v>3563262.1999999997</v>
      </c>
      <c r="G4" s="56">
        <f t="shared" si="1"/>
        <v>0.14483812849237018</v>
      </c>
    </row>
    <row r="5" spans="1:7" ht="34.5" x14ac:dyDescent="0.35">
      <c r="A5" s="36" t="s">
        <v>28</v>
      </c>
      <c r="B5" s="37">
        <v>584807.88</v>
      </c>
      <c r="C5" s="38" t="s">
        <v>445</v>
      </c>
      <c r="E5" s="11" t="s">
        <v>16</v>
      </c>
      <c r="F5" s="22">
        <f t="shared" si="0"/>
        <v>1282500</v>
      </c>
      <c r="G5" s="56">
        <f t="shared" si="1"/>
        <v>5.2130572875457998E-2</v>
      </c>
    </row>
    <row r="6" spans="1:7" ht="34.5" x14ac:dyDescent="0.35">
      <c r="A6" s="12" t="s">
        <v>29</v>
      </c>
      <c r="B6" s="14">
        <v>531382.5</v>
      </c>
      <c r="C6" s="11" t="s">
        <v>443</v>
      </c>
      <c r="E6" s="27" t="s">
        <v>448</v>
      </c>
      <c r="F6" s="22">
        <f t="shared" si="0"/>
        <v>838800</v>
      </c>
      <c r="G6" s="56">
        <f t="shared" si="1"/>
        <v>3.409522380345744E-2</v>
      </c>
    </row>
    <row r="7" spans="1:7" ht="23" x14ac:dyDescent="0.35">
      <c r="A7" s="12" t="s">
        <v>30</v>
      </c>
      <c r="B7" s="14">
        <v>456361.65</v>
      </c>
      <c r="C7" s="11" t="s">
        <v>443</v>
      </c>
      <c r="E7" s="11" t="s">
        <v>450</v>
      </c>
      <c r="F7" s="22">
        <f t="shared" si="0"/>
        <v>1042077.5199999999</v>
      </c>
      <c r="G7" s="56">
        <f t="shared" si="1"/>
        <v>4.235797122669515E-2</v>
      </c>
    </row>
    <row r="8" spans="1:7" x14ac:dyDescent="0.35">
      <c r="A8" s="25" t="s">
        <v>109</v>
      </c>
      <c r="B8" s="26">
        <v>432000</v>
      </c>
      <c r="C8" s="27" t="s">
        <v>448</v>
      </c>
      <c r="E8" s="11" t="s">
        <v>449</v>
      </c>
      <c r="F8" s="22">
        <f t="shared" si="0"/>
        <v>679089.29</v>
      </c>
      <c r="G8" s="56">
        <f t="shared" si="1"/>
        <v>2.7603363525370784E-2</v>
      </c>
    </row>
    <row r="9" spans="1:7" ht="34.5" x14ac:dyDescent="0.35">
      <c r="A9" s="12" t="s">
        <v>164</v>
      </c>
      <c r="B9" s="14">
        <v>389358.92</v>
      </c>
      <c r="C9" s="11" t="s">
        <v>443</v>
      </c>
      <c r="F9" s="23">
        <f>SUM(F2:F8)</f>
        <v>24601686.289999984</v>
      </c>
      <c r="G9" s="56">
        <f t="shared" si="1"/>
        <v>1</v>
      </c>
    </row>
    <row r="10" spans="1:7" ht="23" x14ac:dyDescent="0.35">
      <c r="A10" s="12" t="s">
        <v>202</v>
      </c>
      <c r="B10" s="14">
        <v>378132.5</v>
      </c>
      <c r="C10" s="11" t="s">
        <v>443</v>
      </c>
    </row>
    <row r="11" spans="1:7" x14ac:dyDescent="0.35">
      <c r="A11" s="24" t="s">
        <v>330</v>
      </c>
      <c r="B11" s="34">
        <v>345000</v>
      </c>
      <c r="C11" s="35" t="s">
        <v>16</v>
      </c>
    </row>
    <row r="12" spans="1:7" ht="46" x14ac:dyDescent="0.35">
      <c r="A12" s="36" t="s">
        <v>47</v>
      </c>
      <c r="B12" s="37">
        <v>314496</v>
      </c>
      <c r="C12" s="38" t="s">
        <v>445</v>
      </c>
    </row>
    <row r="13" spans="1:7" ht="34.5" x14ac:dyDescent="0.35">
      <c r="A13" s="36" t="s">
        <v>191</v>
      </c>
      <c r="B13" s="37">
        <v>310081.2</v>
      </c>
      <c r="C13" s="38" t="s">
        <v>445</v>
      </c>
    </row>
    <row r="14" spans="1:7" x14ac:dyDescent="0.35">
      <c r="A14" s="15" t="s">
        <v>228</v>
      </c>
      <c r="B14" s="16">
        <v>280000</v>
      </c>
      <c r="C14" s="29" t="s">
        <v>444</v>
      </c>
    </row>
    <row r="15" spans="1:7" ht="34.5" x14ac:dyDescent="0.35">
      <c r="A15" s="36" t="s">
        <v>272</v>
      </c>
      <c r="B15" s="37">
        <v>277224.03999999998</v>
      </c>
      <c r="C15" s="38" t="s">
        <v>445</v>
      </c>
    </row>
    <row r="16" spans="1:7" x14ac:dyDescent="0.35">
      <c r="A16" s="15" t="s">
        <v>274</v>
      </c>
      <c r="B16" s="16">
        <v>262548</v>
      </c>
      <c r="C16" s="29" t="s">
        <v>444</v>
      </c>
    </row>
    <row r="17" spans="1:3" ht="23" x14ac:dyDescent="0.35">
      <c r="A17" s="36" t="s">
        <v>127</v>
      </c>
      <c r="B17" s="37">
        <v>261966.43</v>
      </c>
      <c r="C17" s="38" t="s">
        <v>445</v>
      </c>
    </row>
    <row r="18" spans="1:3" ht="34.5" x14ac:dyDescent="0.35">
      <c r="A18" s="12" t="s">
        <v>143</v>
      </c>
      <c r="B18" s="14">
        <v>255137.12</v>
      </c>
      <c r="C18" s="11" t="s">
        <v>443</v>
      </c>
    </row>
    <row r="19" spans="1:3" ht="34.5" x14ac:dyDescent="0.35">
      <c r="A19" s="36" t="s">
        <v>198</v>
      </c>
      <c r="B19" s="37">
        <v>241776.87</v>
      </c>
      <c r="C19" s="38" t="s">
        <v>445</v>
      </c>
    </row>
    <row r="20" spans="1:3" ht="34.5" x14ac:dyDescent="0.35">
      <c r="A20" s="15" t="s">
        <v>269</v>
      </c>
      <c r="B20" s="16">
        <v>233449.95</v>
      </c>
      <c r="C20" s="29" t="s">
        <v>444</v>
      </c>
    </row>
    <row r="21" spans="1:3" ht="34.5" x14ac:dyDescent="0.35">
      <c r="A21" s="36" t="s">
        <v>271</v>
      </c>
      <c r="B21" s="37">
        <v>219342.11</v>
      </c>
      <c r="C21" s="38" t="s">
        <v>445</v>
      </c>
    </row>
    <row r="22" spans="1:3" x14ac:dyDescent="0.35">
      <c r="A22" s="31" t="s">
        <v>313</v>
      </c>
      <c r="B22" s="32">
        <v>210000</v>
      </c>
      <c r="C22" s="33" t="s">
        <v>449</v>
      </c>
    </row>
    <row r="23" spans="1:3" ht="23" x14ac:dyDescent="0.35">
      <c r="A23" s="15" t="s">
        <v>412</v>
      </c>
      <c r="B23" s="16">
        <v>198511.99</v>
      </c>
      <c r="C23" s="29" t="s">
        <v>444</v>
      </c>
    </row>
    <row r="24" spans="1:3" ht="57.5" x14ac:dyDescent="0.35">
      <c r="A24" s="36" t="s">
        <v>36</v>
      </c>
      <c r="B24" s="37">
        <v>198312.75</v>
      </c>
      <c r="C24" s="38" t="s">
        <v>445</v>
      </c>
    </row>
    <row r="25" spans="1:3" ht="23" x14ac:dyDescent="0.35">
      <c r="A25" s="36" t="s">
        <v>287</v>
      </c>
      <c r="B25" s="37">
        <v>197376.57</v>
      </c>
      <c r="C25" s="38" t="s">
        <v>445</v>
      </c>
    </row>
    <row r="26" spans="1:3" ht="23" x14ac:dyDescent="0.35">
      <c r="A26" s="12" t="s">
        <v>275</v>
      </c>
      <c r="B26" s="14">
        <v>195873.3</v>
      </c>
      <c r="C26" s="11" t="s">
        <v>443</v>
      </c>
    </row>
    <row r="27" spans="1:3" ht="34.5" x14ac:dyDescent="0.35">
      <c r="A27" s="36" t="s">
        <v>197</v>
      </c>
      <c r="B27" s="37">
        <v>189556.35</v>
      </c>
      <c r="C27" s="38" t="s">
        <v>445</v>
      </c>
    </row>
    <row r="28" spans="1:3" ht="23" x14ac:dyDescent="0.35">
      <c r="A28" s="15" t="s">
        <v>433</v>
      </c>
      <c r="B28" s="16">
        <v>185083.16</v>
      </c>
      <c r="C28" s="29" t="s">
        <v>444</v>
      </c>
    </row>
    <row r="29" spans="1:3" ht="23" x14ac:dyDescent="0.35">
      <c r="A29" s="15" t="s">
        <v>410</v>
      </c>
      <c r="B29" s="16">
        <v>180000</v>
      </c>
      <c r="C29" s="29" t="s">
        <v>444</v>
      </c>
    </row>
    <row r="30" spans="1:3" ht="34.5" x14ac:dyDescent="0.35">
      <c r="A30" s="36" t="s">
        <v>192</v>
      </c>
      <c r="B30" s="37">
        <v>178538.05</v>
      </c>
      <c r="C30" s="38" t="s">
        <v>445</v>
      </c>
    </row>
    <row r="31" spans="1:3" ht="57.5" x14ac:dyDescent="0.35">
      <c r="A31" s="36" t="s">
        <v>131</v>
      </c>
      <c r="B31" s="37">
        <v>178198.39999999999</v>
      </c>
      <c r="C31" s="38" t="s">
        <v>445</v>
      </c>
    </row>
    <row r="32" spans="1:3" ht="34.5" x14ac:dyDescent="0.35">
      <c r="A32" s="12" t="s">
        <v>217</v>
      </c>
      <c r="B32" s="14">
        <v>174708.24</v>
      </c>
      <c r="C32" s="11" t="s">
        <v>443</v>
      </c>
    </row>
    <row r="33" spans="1:3" ht="34.5" x14ac:dyDescent="0.35">
      <c r="A33" s="36" t="s">
        <v>195</v>
      </c>
      <c r="B33" s="37">
        <v>173932.17</v>
      </c>
      <c r="C33" s="38" t="s">
        <v>445</v>
      </c>
    </row>
    <row r="34" spans="1:3" ht="46" x14ac:dyDescent="0.35">
      <c r="A34" s="36" t="s">
        <v>293</v>
      </c>
      <c r="B34" s="37">
        <v>168125.06</v>
      </c>
      <c r="C34" s="38" t="s">
        <v>445</v>
      </c>
    </row>
    <row r="35" spans="1:3" ht="23" x14ac:dyDescent="0.35">
      <c r="A35" s="36" t="s">
        <v>438</v>
      </c>
      <c r="B35" s="37">
        <v>165000</v>
      </c>
      <c r="C35" s="38" t="s">
        <v>445</v>
      </c>
    </row>
    <row r="36" spans="1:3" ht="34.5" x14ac:dyDescent="0.35">
      <c r="A36" s="12" t="s">
        <v>277</v>
      </c>
      <c r="B36" s="14">
        <v>159556.54</v>
      </c>
      <c r="C36" s="11" t="s">
        <v>443</v>
      </c>
    </row>
    <row r="37" spans="1:3" ht="57.5" x14ac:dyDescent="0.35">
      <c r="A37" s="36" t="s">
        <v>132</v>
      </c>
      <c r="B37" s="37">
        <v>159525.53</v>
      </c>
      <c r="C37" s="38" t="s">
        <v>445</v>
      </c>
    </row>
    <row r="38" spans="1:3" ht="23" x14ac:dyDescent="0.35">
      <c r="A38" s="36" t="s">
        <v>238</v>
      </c>
      <c r="B38" s="37">
        <v>158048.12</v>
      </c>
      <c r="C38" s="38" t="s">
        <v>445</v>
      </c>
    </row>
    <row r="39" spans="1:3" x14ac:dyDescent="0.35">
      <c r="A39" s="35" t="s">
        <v>325</v>
      </c>
      <c r="B39" s="35">
        <v>150000</v>
      </c>
      <c r="C39" s="35" t="s">
        <v>16</v>
      </c>
    </row>
    <row r="40" spans="1:3" x14ac:dyDescent="0.35">
      <c r="A40" s="15" t="s">
        <v>375</v>
      </c>
      <c r="B40" s="16">
        <v>150000</v>
      </c>
      <c r="C40" s="29" t="s">
        <v>444</v>
      </c>
    </row>
    <row r="41" spans="1:3" ht="34.5" x14ac:dyDescent="0.35">
      <c r="A41" s="36" t="s">
        <v>158</v>
      </c>
      <c r="B41" s="37">
        <v>146835.53</v>
      </c>
      <c r="C41" s="38" t="s">
        <v>445</v>
      </c>
    </row>
    <row r="42" spans="1:3" x14ac:dyDescent="0.35">
      <c r="A42" s="15" t="s">
        <v>384</v>
      </c>
      <c r="B42" s="16">
        <v>146486.56</v>
      </c>
      <c r="C42" s="29" t="s">
        <v>444</v>
      </c>
    </row>
    <row r="43" spans="1:3" x14ac:dyDescent="0.35">
      <c r="A43" s="15" t="s">
        <v>385</v>
      </c>
      <c r="B43" s="16">
        <v>146486.56</v>
      </c>
      <c r="C43" s="29" t="s">
        <v>444</v>
      </c>
    </row>
    <row r="44" spans="1:3" ht="34.5" x14ac:dyDescent="0.35">
      <c r="A44" s="12" t="s">
        <v>183</v>
      </c>
      <c r="B44" s="14">
        <v>145945.84</v>
      </c>
      <c r="C44" s="11" t="s">
        <v>443</v>
      </c>
    </row>
    <row r="45" spans="1:3" ht="34.5" x14ac:dyDescent="0.35">
      <c r="A45" s="36" t="s">
        <v>196</v>
      </c>
      <c r="B45" s="37">
        <v>145511.64000000001</v>
      </c>
      <c r="C45" s="38" t="s">
        <v>445</v>
      </c>
    </row>
    <row r="46" spans="1:3" x14ac:dyDescent="0.35">
      <c r="A46" s="25" t="s">
        <v>111</v>
      </c>
      <c r="B46" s="26">
        <v>144000</v>
      </c>
      <c r="C46" s="27" t="s">
        <v>448</v>
      </c>
    </row>
    <row r="47" spans="1:3" x14ac:dyDescent="0.35">
      <c r="A47" s="36" t="s">
        <v>440</v>
      </c>
      <c r="B47" s="37">
        <v>140000</v>
      </c>
      <c r="C47" s="38" t="s">
        <v>445</v>
      </c>
    </row>
    <row r="48" spans="1:3" x14ac:dyDescent="0.35">
      <c r="A48" s="36" t="s">
        <v>441</v>
      </c>
      <c r="B48" s="37">
        <v>140000</v>
      </c>
      <c r="C48" s="38" t="s">
        <v>445</v>
      </c>
    </row>
    <row r="49" spans="1:3" ht="34.5" x14ac:dyDescent="0.35">
      <c r="A49" s="36" t="s">
        <v>193</v>
      </c>
      <c r="B49" s="37">
        <v>137343.35999999999</v>
      </c>
      <c r="C49" s="38" t="s">
        <v>445</v>
      </c>
    </row>
    <row r="50" spans="1:3" x14ac:dyDescent="0.35">
      <c r="A50" s="36" t="s">
        <v>286</v>
      </c>
      <c r="B50" s="37">
        <v>134032.82999999999</v>
      </c>
      <c r="C50" s="38" t="s">
        <v>445</v>
      </c>
    </row>
    <row r="51" spans="1:3" ht="34.5" x14ac:dyDescent="0.35">
      <c r="A51" s="12" t="s">
        <v>182</v>
      </c>
      <c r="B51" s="14">
        <v>132682.19</v>
      </c>
      <c r="C51" s="11" t="s">
        <v>443</v>
      </c>
    </row>
    <row r="52" spans="1:3" ht="23" x14ac:dyDescent="0.35">
      <c r="A52" s="15" t="s">
        <v>171</v>
      </c>
      <c r="B52" s="16">
        <v>131363.32999999999</v>
      </c>
      <c r="C52" s="29" t="s">
        <v>444</v>
      </c>
    </row>
    <row r="53" spans="1:3" ht="23" x14ac:dyDescent="0.35">
      <c r="A53" s="36" t="s">
        <v>431</v>
      </c>
      <c r="B53" s="37">
        <v>130832.81</v>
      </c>
      <c r="C53" s="38" t="s">
        <v>445</v>
      </c>
    </row>
    <row r="54" spans="1:3" ht="23" x14ac:dyDescent="0.35">
      <c r="A54" s="36" t="s">
        <v>41</v>
      </c>
      <c r="B54" s="37">
        <v>129089.98</v>
      </c>
      <c r="C54" s="38" t="s">
        <v>445</v>
      </c>
    </row>
    <row r="55" spans="1:3" ht="23" x14ac:dyDescent="0.35">
      <c r="A55" s="36" t="s">
        <v>415</v>
      </c>
      <c r="B55" s="37">
        <v>126168.55</v>
      </c>
      <c r="C55" s="38" t="s">
        <v>445</v>
      </c>
    </row>
    <row r="56" spans="1:3" ht="23" x14ac:dyDescent="0.35">
      <c r="A56" s="31" t="s">
        <v>318</v>
      </c>
      <c r="B56" s="32">
        <v>126000</v>
      </c>
      <c r="C56" s="33" t="s">
        <v>449</v>
      </c>
    </row>
    <row r="57" spans="1:3" ht="46" x14ac:dyDescent="0.35">
      <c r="A57" s="36" t="s">
        <v>208</v>
      </c>
      <c r="B57" s="37">
        <v>123189.86</v>
      </c>
      <c r="C57" s="38" t="s">
        <v>445</v>
      </c>
    </row>
    <row r="58" spans="1:3" ht="23" x14ac:dyDescent="0.35">
      <c r="A58" s="36" t="s">
        <v>215</v>
      </c>
      <c r="B58" s="37">
        <v>121603.39</v>
      </c>
      <c r="C58" s="38" t="s">
        <v>445</v>
      </c>
    </row>
    <row r="59" spans="1:3" ht="23" x14ac:dyDescent="0.35">
      <c r="A59" s="15" t="s">
        <v>376</v>
      </c>
      <c r="B59" s="16">
        <v>120000</v>
      </c>
      <c r="C59" s="29" t="s">
        <v>444</v>
      </c>
    </row>
    <row r="60" spans="1:3" x14ac:dyDescent="0.35">
      <c r="A60" s="15" t="s">
        <v>408</v>
      </c>
      <c r="B60" s="16">
        <v>120000</v>
      </c>
      <c r="C60" s="29" t="s">
        <v>444</v>
      </c>
    </row>
    <row r="61" spans="1:3" ht="23" x14ac:dyDescent="0.35">
      <c r="A61" s="15" t="s">
        <v>409</v>
      </c>
      <c r="B61" s="16">
        <v>120000</v>
      </c>
      <c r="C61" s="29" t="s">
        <v>444</v>
      </c>
    </row>
    <row r="62" spans="1:3" x14ac:dyDescent="0.35">
      <c r="A62" s="15" t="s">
        <v>436</v>
      </c>
      <c r="B62" s="16">
        <v>120000</v>
      </c>
      <c r="C62" s="29" t="s">
        <v>444</v>
      </c>
    </row>
    <row r="63" spans="1:3" ht="23" x14ac:dyDescent="0.35">
      <c r="A63" s="36" t="s">
        <v>439</v>
      </c>
      <c r="B63" s="37">
        <v>120000</v>
      </c>
      <c r="C63" s="38" t="s">
        <v>445</v>
      </c>
    </row>
    <row r="64" spans="1:3" ht="23" x14ac:dyDescent="0.35">
      <c r="A64" s="12" t="s">
        <v>186</v>
      </c>
      <c r="B64" s="14">
        <v>113666.69</v>
      </c>
      <c r="C64" s="11" t="s">
        <v>443</v>
      </c>
    </row>
    <row r="65" spans="1:3" ht="34.5" x14ac:dyDescent="0.35">
      <c r="A65" s="12" t="s">
        <v>242</v>
      </c>
      <c r="B65" s="14">
        <v>113535.58</v>
      </c>
      <c r="C65" s="11" t="s">
        <v>443</v>
      </c>
    </row>
    <row r="66" spans="1:3" ht="34.5" x14ac:dyDescent="0.35">
      <c r="A66" s="36" t="s">
        <v>194</v>
      </c>
      <c r="B66" s="37">
        <v>112683.08</v>
      </c>
      <c r="C66" s="38" t="s">
        <v>445</v>
      </c>
    </row>
    <row r="67" spans="1:3" ht="46" x14ac:dyDescent="0.35">
      <c r="A67" s="36" t="s">
        <v>291</v>
      </c>
      <c r="B67" s="37">
        <v>110422.25</v>
      </c>
      <c r="C67" s="38" t="s">
        <v>445</v>
      </c>
    </row>
    <row r="68" spans="1:3" ht="46" x14ac:dyDescent="0.35">
      <c r="A68" s="36" t="s">
        <v>146</v>
      </c>
      <c r="B68" s="37">
        <v>102161.61</v>
      </c>
      <c r="C68" s="38" t="s">
        <v>445</v>
      </c>
    </row>
    <row r="69" spans="1:3" ht="23" x14ac:dyDescent="0.35">
      <c r="A69" s="36" t="s">
        <v>285</v>
      </c>
      <c r="B69" s="37">
        <v>100928.59</v>
      </c>
      <c r="C69" s="38" t="s">
        <v>445</v>
      </c>
    </row>
    <row r="70" spans="1:3" ht="46" x14ac:dyDescent="0.35">
      <c r="A70" s="36" t="s">
        <v>130</v>
      </c>
      <c r="B70" s="39">
        <v>99640.61</v>
      </c>
      <c r="C70" s="38" t="s">
        <v>445</v>
      </c>
    </row>
    <row r="71" spans="1:3" ht="34.5" x14ac:dyDescent="0.35">
      <c r="A71" s="36" t="s">
        <v>190</v>
      </c>
      <c r="B71" s="39">
        <v>98123.6</v>
      </c>
      <c r="C71" s="38" t="s">
        <v>445</v>
      </c>
    </row>
    <row r="72" spans="1:3" ht="34.5" x14ac:dyDescent="0.35">
      <c r="A72" s="36" t="s">
        <v>189</v>
      </c>
      <c r="B72" s="39">
        <v>97226.3</v>
      </c>
      <c r="C72" s="38" t="s">
        <v>445</v>
      </c>
    </row>
    <row r="73" spans="1:3" x14ac:dyDescent="0.35">
      <c r="A73" s="25" t="s">
        <v>110</v>
      </c>
      <c r="B73" s="28">
        <v>96000</v>
      </c>
      <c r="C73" s="27" t="s">
        <v>448</v>
      </c>
    </row>
    <row r="74" spans="1:3" ht="23" x14ac:dyDescent="0.35">
      <c r="A74" s="15" t="s">
        <v>437</v>
      </c>
      <c r="B74" s="18">
        <v>96000</v>
      </c>
      <c r="C74" s="29" t="s">
        <v>444</v>
      </c>
    </row>
    <row r="75" spans="1:3" ht="46" x14ac:dyDescent="0.35">
      <c r="A75" s="36" t="s">
        <v>134</v>
      </c>
      <c r="B75" s="39">
        <v>94400.2</v>
      </c>
      <c r="C75" s="38" t="s">
        <v>445</v>
      </c>
    </row>
    <row r="76" spans="1:3" ht="34.5" x14ac:dyDescent="0.35">
      <c r="A76" s="12" t="s">
        <v>223</v>
      </c>
      <c r="B76" s="17">
        <v>93024.13</v>
      </c>
      <c r="C76" s="11" t="s">
        <v>443</v>
      </c>
    </row>
    <row r="77" spans="1:3" x14ac:dyDescent="0.35">
      <c r="A77" s="36" t="s">
        <v>371</v>
      </c>
      <c r="B77" s="39">
        <v>92826.64</v>
      </c>
      <c r="C77" s="38" t="s">
        <v>445</v>
      </c>
    </row>
    <row r="78" spans="1:3" ht="23" x14ac:dyDescent="0.35">
      <c r="A78" s="15" t="s">
        <v>270</v>
      </c>
      <c r="B78" s="18">
        <v>92233.600000000006</v>
      </c>
      <c r="C78" s="29" t="s">
        <v>444</v>
      </c>
    </row>
    <row r="79" spans="1:3" ht="23" x14ac:dyDescent="0.35">
      <c r="A79" s="36" t="s">
        <v>210</v>
      </c>
      <c r="B79" s="39">
        <v>91409.69</v>
      </c>
      <c r="C79" s="38" t="s">
        <v>445</v>
      </c>
    </row>
    <row r="80" spans="1:3" x14ac:dyDescent="0.35">
      <c r="A80" s="25" t="s">
        <v>113</v>
      </c>
      <c r="B80" s="28">
        <v>90000</v>
      </c>
      <c r="C80" s="27" t="s">
        <v>448</v>
      </c>
    </row>
    <row r="81" spans="1:3" x14ac:dyDescent="0.35">
      <c r="A81" s="40" t="s">
        <v>114</v>
      </c>
      <c r="B81" s="41">
        <v>90000</v>
      </c>
      <c r="C81" s="42" t="s">
        <v>445</v>
      </c>
    </row>
    <row r="82" spans="1:3" ht="23" x14ac:dyDescent="0.35">
      <c r="A82" s="43" t="s">
        <v>306</v>
      </c>
      <c r="B82" s="44">
        <v>90000</v>
      </c>
      <c r="C82" s="45" t="s">
        <v>450</v>
      </c>
    </row>
    <row r="83" spans="1:3" ht="34.5" x14ac:dyDescent="0.35">
      <c r="A83" s="12" t="s">
        <v>165</v>
      </c>
      <c r="B83" s="17">
        <v>86927.52</v>
      </c>
      <c r="C83" s="11" t="s">
        <v>443</v>
      </c>
    </row>
    <row r="84" spans="1:3" ht="23" x14ac:dyDescent="0.35">
      <c r="A84" s="36" t="s">
        <v>177</v>
      </c>
      <c r="B84" s="39">
        <v>86141.72</v>
      </c>
      <c r="C84" s="38" t="s">
        <v>445</v>
      </c>
    </row>
    <row r="85" spans="1:3" ht="23" x14ac:dyDescent="0.35">
      <c r="A85" s="12" t="s">
        <v>149</v>
      </c>
      <c r="B85" s="17">
        <v>81431.64</v>
      </c>
      <c r="C85" s="11" t="s">
        <v>443</v>
      </c>
    </row>
    <row r="86" spans="1:3" ht="34.5" x14ac:dyDescent="0.35">
      <c r="A86" s="12" t="s">
        <v>244</v>
      </c>
      <c r="B86" s="17">
        <v>80914.09</v>
      </c>
      <c r="C86" s="11" t="s">
        <v>443</v>
      </c>
    </row>
    <row r="87" spans="1:3" x14ac:dyDescent="0.35">
      <c r="A87" s="36" t="s">
        <v>95</v>
      </c>
      <c r="B87" s="39">
        <v>79010.710000000006</v>
      </c>
      <c r="C87" s="38" t="s">
        <v>445</v>
      </c>
    </row>
    <row r="88" spans="1:3" ht="34.5" x14ac:dyDescent="0.35">
      <c r="A88" s="12" t="s">
        <v>150</v>
      </c>
      <c r="B88" s="17">
        <v>78922.16</v>
      </c>
      <c r="C88" s="11" t="s">
        <v>443</v>
      </c>
    </row>
    <row r="89" spans="1:3" ht="23" x14ac:dyDescent="0.35">
      <c r="A89" s="15" t="s">
        <v>388</v>
      </c>
      <c r="B89" s="18">
        <v>78524.09</v>
      </c>
      <c r="C89" s="29" t="s">
        <v>444</v>
      </c>
    </row>
    <row r="90" spans="1:3" x14ac:dyDescent="0.35">
      <c r="A90" s="25" t="s">
        <v>112</v>
      </c>
      <c r="B90" s="28">
        <v>76800</v>
      </c>
      <c r="C90" s="27" t="s">
        <v>448</v>
      </c>
    </row>
    <row r="91" spans="1:3" ht="34.5" x14ac:dyDescent="0.35">
      <c r="A91" s="12" t="s">
        <v>278</v>
      </c>
      <c r="B91" s="17">
        <v>76580.28</v>
      </c>
      <c r="C91" s="11" t="s">
        <v>443</v>
      </c>
    </row>
    <row r="92" spans="1:3" ht="23" x14ac:dyDescent="0.35">
      <c r="A92" s="12" t="s">
        <v>225</v>
      </c>
      <c r="B92" s="17">
        <v>76500</v>
      </c>
      <c r="C92" s="11" t="s">
        <v>443</v>
      </c>
    </row>
    <row r="93" spans="1:3" ht="34.5" x14ac:dyDescent="0.35">
      <c r="A93" s="12" t="s">
        <v>152</v>
      </c>
      <c r="B93" s="17">
        <v>73112.94</v>
      </c>
      <c r="C93" s="11" t="s">
        <v>443</v>
      </c>
    </row>
    <row r="94" spans="1:3" ht="23" x14ac:dyDescent="0.35">
      <c r="A94" s="43" t="s">
        <v>52</v>
      </c>
      <c r="B94" s="44">
        <v>72000</v>
      </c>
      <c r="C94" s="45" t="s">
        <v>450</v>
      </c>
    </row>
    <row r="95" spans="1:3" ht="46" x14ac:dyDescent="0.35">
      <c r="A95" s="36" t="s">
        <v>281</v>
      </c>
      <c r="B95" s="39">
        <v>70094.350000000006</v>
      </c>
      <c r="C95" s="38" t="s">
        <v>445</v>
      </c>
    </row>
    <row r="96" spans="1:3" ht="34.5" x14ac:dyDescent="0.35">
      <c r="A96" s="12" t="s">
        <v>243</v>
      </c>
      <c r="B96" s="17">
        <v>69589.070000000007</v>
      </c>
      <c r="C96" s="11" t="s">
        <v>443</v>
      </c>
    </row>
    <row r="97" spans="1:3" ht="34.5" x14ac:dyDescent="0.35">
      <c r="A97" s="12" t="s">
        <v>218</v>
      </c>
      <c r="B97" s="17">
        <v>69079.94</v>
      </c>
      <c r="C97" s="11" t="s">
        <v>443</v>
      </c>
    </row>
    <row r="98" spans="1:3" ht="34.5" x14ac:dyDescent="0.35">
      <c r="A98" s="36" t="s">
        <v>230</v>
      </c>
      <c r="B98" s="39">
        <v>68209.77</v>
      </c>
      <c r="C98" s="38" t="s">
        <v>445</v>
      </c>
    </row>
    <row r="99" spans="1:3" ht="46" x14ac:dyDescent="0.35">
      <c r="A99" s="36" t="s">
        <v>145</v>
      </c>
      <c r="B99" s="39">
        <v>68156.23</v>
      </c>
      <c r="C99" s="38" t="s">
        <v>445</v>
      </c>
    </row>
    <row r="100" spans="1:3" ht="23" x14ac:dyDescent="0.35">
      <c r="A100" s="15" t="s">
        <v>411</v>
      </c>
      <c r="B100" s="18">
        <v>67560.160000000003</v>
      </c>
      <c r="C100" s="29" t="s">
        <v>444</v>
      </c>
    </row>
    <row r="101" spans="1:3" x14ac:dyDescent="0.35">
      <c r="A101" s="15" t="s">
        <v>46</v>
      </c>
      <c r="B101" s="18">
        <v>64980</v>
      </c>
      <c r="C101" s="29" t="s">
        <v>444</v>
      </c>
    </row>
    <row r="102" spans="1:3" x14ac:dyDescent="0.35">
      <c r="A102" s="36" t="s">
        <v>370</v>
      </c>
      <c r="B102" s="39">
        <v>64703.16</v>
      </c>
      <c r="C102" s="38" t="s">
        <v>445</v>
      </c>
    </row>
    <row r="103" spans="1:3" ht="23" x14ac:dyDescent="0.35">
      <c r="A103" s="12" t="s">
        <v>139</v>
      </c>
      <c r="B103" s="17">
        <v>62550</v>
      </c>
      <c r="C103" s="11" t="s">
        <v>443</v>
      </c>
    </row>
    <row r="104" spans="1:3" ht="34.5" x14ac:dyDescent="0.35">
      <c r="A104" s="36" t="s">
        <v>175</v>
      </c>
      <c r="B104" s="39">
        <v>62301.01</v>
      </c>
      <c r="C104" s="38" t="s">
        <v>445</v>
      </c>
    </row>
    <row r="105" spans="1:3" ht="46" x14ac:dyDescent="0.35">
      <c r="A105" s="36" t="s">
        <v>209</v>
      </c>
      <c r="B105" s="39">
        <v>62156.75</v>
      </c>
      <c r="C105" s="38" t="s">
        <v>445</v>
      </c>
    </row>
    <row r="106" spans="1:3" x14ac:dyDescent="0.35">
      <c r="A106" s="15" t="s">
        <v>45</v>
      </c>
      <c r="B106" s="18">
        <v>61750</v>
      </c>
      <c r="C106" s="29" t="s">
        <v>444</v>
      </c>
    </row>
    <row r="107" spans="1:3" ht="23" x14ac:dyDescent="0.35">
      <c r="A107" s="36" t="s">
        <v>214</v>
      </c>
      <c r="B107" s="39">
        <v>60291.93</v>
      </c>
      <c r="C107" s="38" t="s">
        <v>445</v>
      </c>
    </row>
    <row r="108" spans="1:3" ht="34.5" x14ac:dyDescent="0.35">
      <c r="A108" s="12" t="s">
        <v>185</v>
      </c>
      <c r="B108" s="17">
        <v>59767.46</v>
      </c>
      <c r="C108" s="11" t="s">
        <v>443</v>
      </c>
    </row>
    <row r="109" spans="1:3" ht="23" x14ac:dyDescent="0.35">
      <c r="A109" s="15" t="s">
        <v>378</v>
      </c>
      <c r="B109" s="18">
        <v>58857.2</v>
      </c>
      <c r="C109" s="29" t="s">
        <v>444</v>
      </c>
    </row>
    <row r="110" spans="1:3" x14ac:dyDescent="0.35">
      <c r="A110" s="24" t="s">
        <v>328</v>
      </c>
      <c r="B110" s="46">
        <v>55000</v>
      </c>
      <c r="C110" s="35" t="s">
        <v>16</v>
      </c>
    </row>
    <row r="111" spans="1:3" ht="23" x14ac:dyDescent="0.35">
      <c r="A111" s="36" t="s">
        <v>422</v>
      </c>
      <c r="B111" s="39">
        <v>54360.74</v>
      </c>
      <c r="C111" s="38" t="s">
        <v>445</v>
      </c>
    </row>
    <row r="112" spans="1:3" x14ac:dyDescent="0.35">
      <c r="A112" s="36" t="s">
        <v>323</v>
      </c>
      <c r="B112" s="39">
        <v>54000</v>
      </c>
      <c r="C112" s="38" t="s">
        <v>445</v>
      </c>
    </row>
    <row r="113" spans="1:3" x14ac:dyDescent="0.35">
      <c r="A113" s="15" t="s">
        <v>273</v>
      </c>
      <c r="B113" s="18">
        <v>53728.5</v>
      </c>
      <c r="C113" s="29" t="s">
        <v>444</v>
      </c>
    </row>
    <row r="114" spans="1:3" ht="23" x14ac:dyDescent="0.35">
      <c r="A114" s="36" t="s">
        <v>397</v>
      </c>
      <c r="B114" s="39">
        <v>52956.55</v>
      </c>
      <c r="C114" s="38" t="s">
        <v>445</v>
      </c>
    </row>
    <row r="115" spans="1:3" ht="46" x14ac:dyDescent="0.35">
      <c r="A115" s="12" t="s">
        <v>142</v>
      </c>
      <c r="B115" s="17">
        <v>52081.39</v>
      </c>
      <c r="C115" s="11" t="s">
        <v>443</v>
      </c>
    </row>
    <row r="116" spans="1:3" ht="34.5" x14ac:dyDescent="0.35">
      <c r="A116" s="12" t="s">
        <v>162</v>
      </c>
      <c r="B116" s="17">
        <v>51249.8</v>
      </c>
      <c r="C116" s="11" t="s">
        <v>443</v>
      </c>
    </row>
    <row r="117" spans="1:3" ht="46" x14ac:dyDescent="0.35">
      <c r="A117" s="36" t="s">
        <v>292</v>
      </c>
      <c r="B117" s="39">
        <v>50873.71</v>
      </c>
      <c r="C117" s="38" t="s">
        <v>445</v>
      </c>
    </row>
    <row r="118" spans="1:3" ht="23" x14ac:dyDescent="0.35">
      <c r="A118" s="12" t="s">
        <v>160</v>
      </c>
      <c r="B118" s="17">
        <v>50484.78</v>
      </c>
      <c r="C118" s="11" t="s">
        <v>443</v>
      </c>
    </row>
    <row r="119" spans="1:3" x14ac:dyDescent="0.35">
      <c r="A119" s="15" t="s">
        <v>227</v>
      </c>
      <c r="B119" s="18">
        <v>50000</v>
      </c>
      <c r="C119" s="29" t="s">
        <v>444</v>
      </c>
    </row>
    <row r="120" spans="1:3" ht="23" x14ac:dyDescent="0.35">
      <c r="A120" s="15" t="s">
        <v>373</v>
      </c>
      <c r="B120" s="18">
        <v>50000</v>
      </c>
      <c r="C120" s="29" t="s">
        <v>444</v>
      </c>
    </row>
    <row r="121" spans="1:3" ht="23" x14ac:dyDescent="0.35">
      <c r="A121" s="36" t="s">
        <v>289</v>
      </c>
      <c r="B121" s="39">
        <v>49451.58</v>
      </c>
      <c r="C121" s="38" t="s">
        <v>445</v>
      </c>
    </row>
    <row r="122" spans="1:3" ht="23" x14ac:dyDescent="0.35">
      <c r="A122" s="36" t="s">
        <v>138</v>
      </c>
      <c r="B122" s="39">
        <v>49090.35</v>
      </c>
      <c r="C122" s="38" t="s">
        <v>445</v>
      </c>
    </row>
    <row r="123" spans="1:3" x14ac:dyDescent="0.35">
      <c r="A123" s="36" t="s">
        <v>31</v>
      </c>
      <c r="B123" s="39">
        <v>48961.36</v>
      </c>
      <c r="C123" s="38" t="s">
        <v>445</v>
      </c>
    </row>
    <row r="124" spans="1:3" ht="34.5" x14ac:dyDescent="0.35">
      <c r="A124" s="36" t="s">
        <v>170</v>
      </c>
      <c r="B124" s="39">
        <v>48956.12</v>
      </c>
      <c r="C124" s="38" t="s">
        <v>445</v>
      </c>
    </row>
    <row r="125" spans="1:3" ht="34.5" x14ac:dyDescent="0.35">
      <c r="A125" s="36" t="s">
        <v>249</v>
      </c>
      <c r="B125" s="39">
        <v>48663.99</v>
      </c>
      <c r="C125" s="38" t="s">
        <v>445</v>
      </c>
    </row>
    <row r="126" spans="1:3" x14ac:dyDescent="0.35">
      <c r="A126" s="43" t="s">
        <v>299</v>
      </c>
      <c r="B126" s="44">
        <v>48600</v>
      </c>
      <c r="C126" s="45" t="s">
        <v>450</v>
      </c>
    </row>
    <row r="127" spans="1:3" ht="23" x14ac:dyDescent="0.35">
      <c r="A127" s="12" t="s">
        <v>141</v>
      </c>
      <c r="B127" s="17">
        <v>48363</v>
      </c>
      <c r="C127" s="11" t="s">
        <v>443</v>
      </c>
    </row>
    <row r="128" spans="1:3" ht="34.5" x14ac:dyDescent="0.35">
      <c r="A128" s="36" t="s">
        <v>402</v>
      </c>
      <c r="B128" s="39">
        <v>48316.800000000003</v>
      </c>
      <c r="C128" s="38" t="s">
        <v>445</v>
      </c>
    </row>
    <row r="129" spans="1:3" ht="34.5" x14ac:dyDescent="0.35">
      <c r="A129" s="36" t="s">
        <v>426</v>
      </c>
      <c r="B129" s="39">
        <v>48316.800000000003</v>
      </c>
      <c r="C129" s="38" t="s">
        <v>445</v>
      </c>
    </row>
    <row r="130" spans="1:3" ht="34.5" x14ac:dyDescent="0.35">
      <c r="A130" s="36" t="s">
        <v>288</v>
      </c>
      <c r="B130" s="39">
        <v>47505.37</v>
      </c>
      <c r="C130" s="38" t="s">
        <v>445</v>
      </c>
    </row>
    <row r="131" spans="1:3" x14ac:dyDescent="0.35">
      <c r="A131" s="36" t="s">
        <v>368</v>
      </c>
      <c r="B131" s="39">
        <v>47250.54</v>
      </c>
      <c r="C131" s="38" t="s">
        <v>445</v>
      </c>
    </row>
    <row r="132" spans="1:3" ht="23" x14ac:dyDescent="0.35">
      <c r="A132" s="31" t="s">
        <v>342</v>
      </c>
      <c r="B132" s="48">
        <v>46797.14</v>
      </c>
      <c r="C132" s="33" t="s">
        <v>449</v>
      </c>
    </row>
    <row r="133" spans="1:3" ht="23" x14ac:dyDescent="0.35">
      <c r="A133" s="31" t="s">
        <v>346</v>
      </c>
      <c r="B133" s="48">
        <v>46591.68</v>
      </c>
      <c r="C133" s="33" t="s">
        <v>449</v>
      </c>
    </row>
    <row r="134" spans="1:3" ht="23" x14ac:dyDescent="0.35">
      <c r="A134" s="12" t="s">
        <v>224</v>
      </c>
      <c r="B134" s="17">
        <v>46150</v>
      </c>
      <c r="C134" s="11" t="s">
        <v>443</v>
      </c>
    </row>
    <row r="135" spans="1:3" ht="23" x14ac:dyDescent="0.35">
      <c r="A135" s="31" t="s">
        <v>340</v>
      </c>
      <c r="B135" s="48">
        <v>46015.89</v>
      </c>
      <c r="C135" s="33" t="s">
        <v>449</v>
      </c>
    </row>
    <row r="136" spans="1:3" ht="23" x14ac:dyDescent="0.35">
      <c r="A136" s="15" t="s">
        <v>267</v>
      </c>
      <c r="B136" s="18">
        <v>45900</v>
      </c>
      <c r="C136" s="29" t="s">
        <v>444</v>
      </c>
    </row>
    <row r="137" spans="1:3" ht="23" x14ac:dyDescent="0.35">
      <c r="A137" s="31" t="s">
        <v>339</v>
      </c>
      <c r="B137" s="48">
        <v>45642.34</v>
      </c>
      <c r="C137" s="33" t="s">
        <v>449</v>
      </c>
    </row>
    <row r="138" spans="1:3" ht="23" x14ac:dyDescent="0.35">
      <c r="A138" s="12" t="s">
        <v>161</v>
      </c>
      <c r="B138" s="17">
        <v>45543.5</v>
      </c>
      <c r="C138" s="11" t="s">
        <v>443</v>
      </c>
    </row>
    <row r="139" spans="1:3" ht="34.5" x14ac:dyDescent="0.35">
      <c r="A139" s="36" t="s">
        <v>117</v>
      </c>
      <c r="B139" s="39">
        <v>44754.09</v>
      </c>
      <c r="C139" s="38" t="s">
        <v>445</v>
      </c>
    </row>
    <row r="140" spans="1:3" ht="23" x14ac:dyDescent="0.35">
      <c r="A140" s="12" t="s">
        <v>240</v>
      </c>
      <c r="B140" s="17">
        <v>44702.85</v>
      </c>
      <c r="C140" s="11" t="s">
        <v>443</v>
      </c>
    </row>
    <row r="141" spans="1:3" ht="46" x14ac:dyDescent="0.35">
      <c r="A141" s="15" t="s">
        <v>265</v>
      </c>
      <c r="B141" s="18">
        <v>43750</v>
      </c>
      <c r="C141" s="29" t="s">
        <v>444</v>
      </c>
    </row>
    <row r="142" spans="1:3" ht="34.5" x14ac:dyDescent="0.35">
      <c r="A142" s="36" t="s">
        <v>295</v>
      </c>
      <c r="B142" s="39">
        <v>43168.37</v>
      </c>
      <c r="C142" s="38" t="s">
        <v>445</v>
      </c>
    </row>
    <row r="143" spans="1:3" ht="23" x14ac:dyDescent="0.35">
      <c r="A143" s="36" t="s">
        <v>356</v>
      </c>
      <c r="B143" s="39">
        <v>42904.59</v>
      </c>
      <c r="C143" s="38" t="s">
        <v>445</v>
      </c>
    </row>
    <row r="144" spans="1:3" ht="34.5" x14ac:dyDescent="0.35">
      <c r="A144" s="12" t="s">
        <v>181</v>
      </c>
      <c r="B144" s="17">
        <v>42143.9</v>
      </c>
      <c r="C144" s="11" t="s">
        <v>443</v>
      </c>
    </row>
    <row r="145" spans="1:3" ht="23" x14ac:dyDescent="0.35">
      <c r="A145" s="12" t="s">
        <v>179</v>
      </c>
      <c r="B145" s="17">
        <v>42133.25</v>
      </c>
      <c r="C145" s="11" t="s">
        <v>443</v>
      </c>
    </row>
    <row r="146" spans="1:3" ht="23" x14ac:dyDescent="0.35">
      <c r="A146" s="12" t="s">
        <v>260</v>
      </c>
      <c r="B146" s="17">
        <v>41580</v>
      </c>
      <c r="C146" s="11" t="s">
        <v>443</v>
      </c>
    </row>
    <row r="147" spans="1:3" ht="23" x14ac:dyDescent="0.35">
      <c r="A147" s="36" t="s">
        <v>372</v>
      </c>
      <c r="B147" s="39">
        <v>40724.01</v>
      </c>
      <c r="C147" s="38" t="s">
        <v>445</v>
      </c>
    </row>
    <row r="148" spans="1:3" x14ac:dyDescent="0.35">
      <c r="A148" s="36" t="s">
        <v>419</v>
      </c>
      <c r="B148" s="39">
        <v>39644.04</v>
      </c>
      <c r="C148" s="38" t="s">
        <v>445</v>
      </c>
    </row>
    <row r="149" spans="1:3" ht="23" x14ac:dyDescent="0.35">
      <c r="A149" s="36" t="s">
        <v>212</v>
      </c>
      <c r="B149" s="39">
        <v>39414.36</v>
      </c>
      <c r="C149" s="38" t="s">
        <v>445</v>
      </c>
    </row>
    <row r="150" spans="1:3" ht="23" x14ac:dyDescent="0.35">
      <c r="A150" s="12" t="s">
        <v>163</v>
      </c>
      <c r="B150" s="17">
        <v>38971.620000000003</v>
      </c>
      <c r="C150" s="11" t="s">
        <v>443</v>
      </c>
    </row>
    <row r="151" spans="1:3" x14ac:dyDescent="0.35">
      <c r="A151" s="43" t="s">
        <v>298</v>
      </c>
      <c r="B151" s="44">
        <v>38160</v>
      </c>
      <c r="C151" s="45" t="s">
        <v>450</v>
      </c>
    </row>
    <row r="152" spans="1:3" x14ac:dyDescent="0.35">
      <c r="A152" s="15" t="s">
        <v>77</v>
      </c>
      <c r="B152" s="18">
        <v>37594</v>
      </c>
      <c r="C152" s="29" t="s">
        <v>444</v>
      </c>
    </row>
    <row r="153" spans="1:3" x14ac:dyDescent="0.35">
      <c r="A153" s="31" t="s">
        <v>316</v>
      </c>
      <c r="B153" s="48">
        <v>37500</v>
      </c>
      <c r="C153" s="33" t="s">
        <v>449</v>
      </c>
    </row>
    <row r="154" spans="1:3" ht="23" x14ac:dyDescent="0.35">
      <c r="A154" s="36" t="s">
        <v>425</v>
      </c>
      <c r="B154" s="39">
        <v>37343.85</v>
      </c>
      <c r="C154" s="38" t="s">
        <v>445</v>
      </c>
    </row>
    <row r="155" spans="1:3" ht="23" x14ac:dyDescent="0.35">
      <c r="A155" s="36" t="s">
        <v>258</v>
      </c>
      <c r="B155" s="39">
        <v>35895.440000000002</v>
      </c>
      <c r="C155" s="38" t="s">
        <v>445</v>
      </c>
    </row>
    <row r="156" spans="1:3" ht="23" x14ac:dyDescent="0.35">
      <c r="A156" s="15" t="s">
        <v>380</v>
      </c>
      <c r="B156" s="18">
        <v>35590</v>
      </c>
      <c r="C156" s="29" t="s">
        <v>444</v>
      </c>
    </row>
    <row r="157" spans="1:3" ht="23" x14ac:dyDescent="0.35">
      <c r="A157" s="36" t="s">
        <v>396</v>
      </c>
      <c r="B157" s="39">
        <v>35313.699999999997</v>
      </c>
      <c r="C157" s="38" t="s">
        <v>445</v>
      </c>
    </row>
    <row r="158" spans="1:3" x14ac:dyDescent="0.35">
      <c r="A158" s="43" t="s">
        <v>53</v>
      </c>
      <c r="B158" s="44">
        <v>35000</v>
      </c>
      <c r="C158" s="45" t="s">
        <v>450</v>
      </c>
    </row>
    <row r="159" spans="1:3" ht="23" x14ac:dyDescent="0.35">
      <c r="A159" s="15" t="s">
        <v>407</v>
      </c>
      <c r="B159" s="18">
        <v>35000</v>
      </c>
      <c r="C159" s="29" t="s">
        <v>444</v>
      </c>
    </row>
    <row r="160" spans="1:3" ht="23" x14ac:dyDescent="0.35">
      <c r="A160" s="15" t="s">
        <v>435</v>
      </c>
      <c r="B160" s="18">
        <v>35000</v>
      </c>
      <c r="C160" s="29" t="s">
        <v>444</v>
      </c>
    </row>
    <row r="161" spans="1:3" ht="23" x14ac:dyDescent="0.35">
      <c r="A161" s="36" t="s">
        <v>255</v>
      </c>
      <c r="B161" s="39">
        <v>34875.019999999997</v>
      </c>
      <c r="C161" s="38" t="s">
        <v>445</v>
      </c>
    </row>
    <row r="162" spans="1:3" ht="46" x14ac:dyDescent="0.35">
      <c r="A162" s="15" t="s">
        <v>48</v>
      </c>
      <c r="B162" s="18">
        <v>34800</v>
      </c>
      <c r="C162" s="29" t="s">
        <v>444</v>
      </c>
    </row>
    <row r="163" spans="1:3" ht="23" x14ac:dyDescent="0.35">
      <c r="A163" s="12" t="s">
        <v>256</v>
      </c>
      <c r="B163" s="17">
        <v>34608.699999999997</v>
      </c>
      <c r="C163" s="11" t="s">
        <v>443</v>
      </c>
    </row>
    <row r="164" spans="1:3" ht="46" x14ac:dyDescent="0.35">
      <c r="A164" s="36" t="s">
        <v>207</v>
      </c>
      <c r="B164" s="39">
        <v>34509.4</v>
      </c>
      <c r="C164" s="38" t="s">
        <v>445</v>
      </c>
    </row>
    <row r="165" spans="1:3" ht="34.5" x14ac:dyDescent="0.35">
      <c r="A165" s="36" t="s">
        <v>294</v>
      </c>
      <c r="B165" s="39">
        <v>34004.19</v>
      </c>
      <c r="C165" s="38" t="s">
        <v>445</v>
      </c>
    </row>
    <row r="166" spans="1:3" ht="34.5" x14ac:dyDescent="0.35">
      <c r="A166" s="36" t="s">
        <v>120</v>
      </c>
      <c r="B166" s="39">
        <v>33581.300000000003</v>
      </c>
      <c r="C166" s="38" t="s">
        <v>445</v>
      </c>
    </row>
    <row r="167" spans="1:3" ht="23" x14ac:dyDescent="0.35">
      <c r="A167" s="36" t="s">
        <v>400</v>
      </c>
      <c r="B167" s="39">
        <v>33282.76</v>
      </c>
      <c r="C167" s="38" t="s">
        <v>445</v>
      </c>
    </row>
    <row r="168" spans="1:3" ht="34.5" x14ac:dyDescent="0.35">
      <c r="A168" s="36" t="s">
        <v>252</v>
      </c>
      <c r="B168" s="39">
        <v>32651.439999999999</v>
      </c>
      <c r="C168" s="38" t="s">
        <v>445</v>
      </c>
    </row>
    <row r="169" spans="1:3" x14ac:dyDescent="0.35">
      <c r="A169" s="36" t="s">
        <v>203</v>
      </c>
      <c r="B169" s="39">
        <v>32632.99</v>
      </c>
      <c r="C169" s="38" t="s">
        <v>445</v>
      </c>
    </row>
    <row r="170" spans="1:3" ht="23" x14ac:dyDescent="0.35">
      <c r="A170" s="12" t="s">
        <v>261</v>
      </c>
      <c r="B170" s="17">
        <v>32600</v>
      </c>
      <c r="C170" s="11" t="s">
        <v>443</v>
      </c>
    </row>
    <row r="171" spans="1:3" x14ac:dyDescent="0.35">
      <c r="A171" s="36" t="s">
        <v>103</v>
      </c>
      <c r="B171" s="39">
        <v>32120.63</v>
      </c>
      <c r="C171" s="38" t="s">
        <v>445</v>
      </c>
    </row>
    <row r="172" spans="1:3" ht="46" x14ac:dyDescent="0.35">
      <c r="A172" s="36" t="s">
        <v>333</v>
      </c>
      <c r="B172" s="39">
        <v>30780.27</v>
      </c>
      <c r="C172" s="38" t="s">
        <v>445</v>
      </c>
    </row>
    <row r="173" spans="1:3" ht="34.5" x14ac:dyDescent="0.35">
      <c r="A173" s="15" t="s">
        <v>97</v>
      </c>
      <c r="B173" s="18">
        <v>30595.26</v>
      </c>
      <c r="C173" s="29" t="s">
        <v>444</v>
      </c>
    </row>
    <row r="174" spans="1:3" x14ac:dyDescent="0.35">
      <c r="A174" s="43" t="s">
        <v>310</v>
      </c>
      <c r="B174" s="44">
        <v>30500</v>
      </c>
      <c r="C174" s="45" t="s">
        <v>450</v>
      </c>
    </row>
    <row r="175" spans="1:3" ht="23" x14ac:dyDescent="0.35">
      <c r="A175" s="36" t="s">
        <v>391</v>
      </c>
      <c r="B175" s="39">
        <v>29921.64</v>
      </c>
      <c r="C175" s="38" t="s">
        <v>445</v>
      </c>
    </row>
    <row r="176" spans="1:3" ht="23" x14ac:dyDescent="0.35">
      <c r="A176" s="36" t="s">
        <v>423</v>
      </c>
      <c r="B176" s="39">
        <v>29801.040000000001</v>
      </c>
      <c r="C176" s="38" t="s">
        <v>445</v>
      </c>
    </row>
    <row r="177" spans="1:3" ht="23" x14ac:dyDescent="0.35">
      <c r="A177" s="36" t="s">
        <v>417</v>
      </c>
      <c r="B177" s="39">
        <v>29038.32</v>
      </c>
      <c r="C177" s="38" t="s">
        <v>445</v>
      </c>
    </row>
    <row r="178" spans="1:3" x14ac:dyDescent="0.35">
      <c r="A178" s="43" t="s">
        <v>55</v>
      </c>
      <c r="B178" s="44">
        <v>28700</v>
      </c>
      <c r="C178" s="45" t="s">
        <v>450</v>
      </c>
    </row>
    <row r="179" spans="1:3" x14ac:dyDescent="0.35">
      <c r="A179" s="36" t="s">
        <v>393</v>
      </c>
      <c r="B179" s="39">
        <v>28636.06</v>
      </c>
      <c r="C179" s="38" t="s">
        <v>445</v>
      </c>
    </row>
    <row r="180" spans="1:3" ht="34.5" x14ac:dyDescent="0.35">
      <c r="A180" s="36" t="s">
        <v>122</v>
      </c>
      <c r="B180" s="39">
        <v>26072.799999999999</v>
      </c>
      <c r="C180" s="38" t="s">
        <v>445</v>
      </c>
    </row>
    <row r="181" spans="1:3" ht="23" x14ac:dyDescent="0.35">
      <c r="A181" s="12" t="s">
        <v>226</v>
      </c>
      <c r="B181" s="17">
        <v>25500</v>
      </c>
      <c r="C181" s="11" t="s">
        <v>443</v>
      </c>
    </row>
    <row r="182" spans="1:3" ht="23" x14ac:dyDescent="0.35">
      <c r="A182" s="31" t="s">
        <v>341</v>
      </c>
      <c r="B182" s="48">
        <v>25308.23</v>
      </c>
      <c r="C182" s="33" t="s">
        <v>449</v>
      </c>
    </row>
    <row r="183" spans="1:3" x14ac:dyDescent="0.35">
      <c r="A183" s="43" t="s">
        <v>63</v>
      </c>
      <c r="B183" s="44">
        <v>25000</v>
      </c>
      <c r="C183" s="45" t="s">
        <v>450</v>
      </c>
    </row>
    <row r="184" spans="1:3" x14ac:dyDescent="0.35">
      <c r="A184" s="43" t="s">
        <v>78</v>
      </c>
      <c r="B184" s="44">
        <v>25000</v>
      </c>
      <c r="C184" s="45" t="s">
        <v>450</v>
      </c>
    </row>
    <row r="185" spans="1:3" ht="23" x14ac:dyDescent="0.35">
      <c r="A185" s="36" t="s">
        <v>81</v>
      </c>
      <c r="B185" s="39">
        <v>25000</v>
      </c>
      <c r="C185" s="38" t="s">
        <v>445</v>
      </c>
    </row>
    <row r="186" spans="1:3" x14ac:dyDescent="0.35">
      <c r="A186" s="43" t="s">
        <v>82</v>
      </c>
      <c r="B186" s="44">
        <v>25000</v>
      </c>
      <c r="C186" s="45" t="s">
        <v>450</v>
      </c>
    </row>
    <row r="187" spans="1:3" x14ac:dyDescent="0.35">
      <c r="A187" s="43" t="s">
        <v>83</v>
      </c>
      <c r="B187" s="44">
        <v>25000</v>
      </c>
      <c r="C187" s="45" t="s">
        <v>450</v>
      </c>
    </row>
    <row r="188" spans="1:3" ht="23" x14ac:dyDescent="0.35">
      <c r="A188" s="43" t="s">
        <v>92</v>
      </c>
      <c r="B188" s="44">
        <v>25000</v>
      </c>
      <c r="C188" s="45" t="s">
        <v>450</v>
      </c>
    </row>
    <row r="189" spans="1:3" x14ac:dyDescent="0.35">
      <c r="A189" s="43" t="s">
        <v>324</v>
      </c>
      <c r="B189" s="44">
        <v>25000</v>
      </c>
      <c r="C189" s="45" t="s">
        <v>450</v>
      </c>
    </row>
    <row r="190" spans="1:3" x14ac:dyDescent="0.35">
      <c r="A190" s="24" t="s">
        <v>327</v>
      </c>
      <c r="B190" s="46">
        <v>25000</v>
      </c>
      <c r="C190" s="35" t="s">
        <v>16</v>
      </c>
    </row>
    <row r="191" spans="1:3" ht="23" x14ac:dyDescent="0.35">
      <c r="A191" s="36" t="s">
        <v>351</v>
      </c>
      <c r="B191" s="39">
        <v>24971.919999999998</v>
      </c>
      <c r="C191" s="38" t="s">
        <v>445</v>
      </c>
    </row>
    <row r="192" spans="1:3" ht="23" x14ac:dyDescent="0.35">
      <c r="A192" s="36" t="s">
        <v>253</v>
      </c>
      <c r="B192" s="39">
        <v>24581.61</v>
      </c>
      <c r="C192" s="38" t="s">
        <v>445</v>
      </c>
    </row>
    <row r="193" spans="1:3" ht="34.5" x14ac:dyDescent="0.35">
      <c r="A193" s="36" t="s">
        <v>200</v>
      </c>
      <c r="B193" s="39">
        <v>24558.46</v>
      </c>
      <c r="C193" s="38" t="s">
        <v>445</v>
      </c>
    </row>
    <row r="194" spans="1:3" ht="34.5" x14ac:dyDescent="0.35">
      <c r="A194" s="36" t="s">
        <v>147</v>
      </c>
      <c r="B194" s="39">
        <v>24487.58</v>
      </c>
      <c r="C194" s="38" t="s">
        <v>445</v>
      </c>
    </row>
    <row r="195" spans="1:3" ht="34.5" x14ac:dyDescent="0.35">
      <c r="A195" s="36" t="s">
        <v>250</v>
      </c>
      <c r="B195" s="39">
        <v>24466.13</v>
      </c>
      <c r="C195" s="38" t="s">
        <v>445</v>
      </c>
    </row>
    <row r="196" spans="1:3" ht="23" x14ac:dyDescent="0.35">
      <c r="A196" s="12" t="s">
        <v>222</v>
      </c>
      <c r="B196" s="17">
        <v>24323.26</v>
      </c>
      <c r="C196" s="11" t="s">
        <v>443</v>
      </c>
    </row>
    <row r="197" spans="1:3" ht="34.5" x14ac:dyDescent="0.35">
      <c r="A197" s="36" t="s">
        <v>129</v>
      </c>
      <c r="B197" s="39">
        <v>24072.720000000001</v>
      </c>
      <c r="C197" s="38" t="s">
        <v>445</v>
      </c>
    </row>
    <row r="198" spans="1:3" ht="46" x14ac:dyDescent="0.35">
      <c r="A198" s="15" t="s">
        <v>128</v>
      </c>
      <c r="B198" s="18">
        <v>23995.439999999999</v>
      </c>
      <c r="C198" s="29" t="s">
        <v>444</v>
      </c>
    </row>
    <row r="199" spans="1:3" ht="23" x14ac:dyDescent="0.35">
      <c r="A199" s="43" t="s">
        <v>94</v>
      </c>
      <c r="B199" s="44">
        <v>23500</v>
      </c>
      <c r="C199" s="45" t="s">
        <v>450</v>
      </c>
    </row>
    <row r="200" spans="1:3" ht="34.5" x14ac:dyDescent="0.35">
      <c r="A200" s="36" t="s">
        <v>123</v>
      </c>
      <c r="B200" s="39">
        <v>23247.7</v>
      </c>
      <c r="C200" s="38" t="s">
        <v>445</v>
      </c>
    </row>
    <row r="201" spans="1:3" x14ac:dyDescent="0.35">
      <c r="A201" s="31" t="s">
        <v>319</v>
      </c>
      <c r="B201" s="48">
        <v>23100</v>
      </c>
      <c r="C201" s="33" t="s">
        <v>449</v>
      </c>
    </row>
    <row r="202" spans="1:3" ht="23" x14ac:dyDescent="0.35">
      <c r="A202" s="12" t="s">
        <v>188</v>
      </c>
      <c r="B202" s="17">
        <v>22851.9</v>
      </c>
      <c r="C202" s="11" t="s">
        <v>443</v>
      </c>
    </row>
    <row r="203" spans="1:3" ht="34.5" x14ac:dyDescent="0.35">
      <c r="A203" s="36" t="s">
        <v>282</v>
      </c>
      <c r="B203" s="39">
        <v>22569.52</v>
      </c>
      <c r="C203" s="38" t="s">
        <v>445</v>
      </c>
    </row>
    <row r="204" spans="1:3" ht="23" x14ac:dyDescent="0.35">
      <c r="A204" s="43" t="s">
        <v>87</v>
      </c>
      <c r="B204" s="44">
        <v>22500</v>
      </c>
      <c r="C204" s="45" t="s">
        <v>450</v>
      </c>
    </row>
    <row r="205" spans="1:3" ht="23" x14ac:dyDescent="0.35">
      <c r="A205" s="43" t="s">
        <v>284</v>
      </c>
      <c r="B205" s="44">
        <v>22388.21</v>
      </c>
      <c r="C205" s="45" t="s">
        <v>450</v>
      </c>
    </row>
    <row r="206" spans="1:3" ht="34.5" x14ac:dyDescent="0.35">
      <c r="A206" s="36" t="s">
        <v>121</v>
      </c>
      <c r="B206" s="39">
        <v>22195.7</v>
      </c>
      <c r="C206" s="38" t="s">
        <v>445</v>
      </c>
    </row>
    <row r="207" spans="1:3" ht="34.5" x14ac:dyDescent="0.35">
      <c r="A207" s="36" t="s">
        <v>157</v>
      </c>
      <c r="B207" s="39">
        <v>22027.43</v>
      </c>
      <c r="C207" s="38" t="s">
        <v>445</v>
      </c>
    </row>
    <row r="208" spans="1:3" ht="23" x14ac:dyDescent="0.35">
      <c r="A208" s="36" t="s">
        <v>254</v>
      </c>
      <c r="B208" s="39">
        <v>21921.67</v>
      </c>
      <c r="C208" s="38" t="s">
        <v>445</v>
      </c>
    </row>
    <row r="209" spans="1:3" ht="34.5" x14ac:dyDescent="0.35">
      <c r="A209" s="36" t="s">
        <v>38</v>
      </c>
      <c r="B209" s="39">
        <v>21554.2</v>
      </c>
      <c r="C209" s="38" t="s">
        <v>445</v>
      </c>
    </row>
    <row r="210" spans="1:3" ht="34.5" x14ac:dyDescent="0.35">
      <c r="A210" s="36" t="s">
        <v>246</v>
      </c>
      <c r="B210" s="39">
        <v>21520.29</v>
      </c>
      <c r="C210" s="38" t="s">
        <v>445</v>
      </c>
    </row>
    <row r="211" spans="1:3" ht="34.5" x14ac:dyDescent="0.35">
      <c r="A211" s="12" t="s">
        <v>241</v>
      </c>
      <c r="B211" s="17">
        <v>21426.48</v>
      </c>
      <c r="C211" s="11" t="s">
        <v>443</v>
      </c>
    </row>
    <row r="212" spans="1:3" ht="23" x14ac:dyDescent="0.35">
      <c r="A212" s="12" t="s">
        <v>187</v>
      </c>
      <c r="B212" s="17">
        <v>21219.14</v>
      </c>
      <c r="C212" s="11" t="s">
        <v>443</v>
      </c>
    </row>
    <row r="213" spans="1:3" ht="23" x14ac:dyDescent="0.35">
      <c r="A213" s="31" t="s">
        <v>343</v>
      </c>
      <c r="B213" s="48">
        <v>20281.650000000001</v>
      </c>
      <c r="C213" s="33" t="s">
        <v>449</v>
      </c>
    </row>
    <row r="214" spans="1:3" ht="34.5" x14ac:dyDescent="0.35">
      <c r="A214" s="12" t="s">
        <v>219</v>
      </c>
      <c r="B214" s="17">
        <v>20277.75</v>
      </c>
      <c r="C214" s="11" t="s">
        <v>443</v>
      </c>
    </row>
    <row r="215" spans="1:3" ht="46" x14ac:dyDescent="0.35">
      <c r="A215" s="36" t="s">
        <v>40</v>
      </c>
      <c r="B215" s="39">
        <v>20161.03</v>
      </c>
      <c r="C215" s="38" t="s">
        <v>445</v>
      </c>
    </row>
    <row r="216" spans="1:3" x14ac:dyDescent="0.35">
      <c r="A216" s="43" t="s">
        <v>88</v>
      </c>
      <c r="B216" s="44">
        <v>20000</v>
      </c>
      <c r="C216" s="45" t="s">
        <v>450</v>
      </c>
    </row>
    <row r="217" spans="1:3" x14ac:dyDescent="0.35">
      <c r="A217" s="15" t="s">
        <v>296</v>
      </c>
      <c r="B217" s="18">
        <v>20000</v>
      </c>
      <c r="C217" s="29" t="s">
        <v>444</v>
      </c>
    </row>
    <row r="218" spans="1:3" x14ac:dyDescent="0.35">
      <c r="A218" s="15" t="s">
        <v>413</v>
      </c>
      <c r="B218" s="18">
        <v>20000</v>
      </c>
      <c r="C218" s="29" t="s">
        <v>444</v>
      </c>
    </row>
    <row r="219" spans="1:3" ht="23" x14ac:dyDescent="0.35">
      <c r="A219" s="36" t="s">
        <v>144</v>
      </c>
      <c r="B219" s="39">
        <v>19832.95</v>
      </c>
      <c r="C219" s="38" t="s">
        <v>445</v>
      </c>
    </row>
    <row r="220" spans="1:3" ht="57.5" x14ac:dyDescent="0.35">
      <c r="A220" s="36" t="s">
        <v>133</v>
      </c>
      <c r="B220" s="39">
        <v>19811.080000000002</v>
      </c>
      <c r="C220" s="38" t="s">
        <v>445</v>
      </c>
    </row>
    <row r="221" spans="1:3" ht="23" x14ac:dyDescent="0.35">
      <c r="A221" s="43" t="s">
        <v>305</v>
      </c>
      <c r="B221" s="44">
        <v>19800</v>
      </c>
      <c r="C221" s="45" t="s">
        <v>450</v>
      </c>
    </row>
    <row r="222" spans="1:3" ht="23" x14ac:dyDescent="0.35">
      <c r="A222" s="43" t="s">
        <v>302</v>
      </c>
      <c r="B222" s="44">
        <v>19296</v>
      </c>
      <c r="C222" s="45" t="s">
        <v>450</v>
      </c>
    </row>
    <row r="223" spans="1:3" ht="23" x14ac:dyDescent="0.35">
      <c r="A223" s="43" t="s">
        <v>303</v>
      </c>
      <c r="B223" s="44">
        <v>19296</v>
      </c>
      <c r="C223" s="45" t="s">
        <v>450</v>
      </c>
    </row>
    <row r="224" spans="1:3" x14ac:dyDescent="0.35">
      <c r="A224" s="43" t="s">
        <v>54</v>
      </c>
      <c r="B224" s="44">
        <v>18950</v>
      </c>
      <c r="C224" s="45" t="s">
        <v>450</v>
      </c>
    </row>
    <row r="225" spans="1:3" ht="34.5" x14ac:dyDescent="0.35">
      <c r="A225" s="36" t="s">
        <v>251</v>
      </c>
      <c r="B225" s="39">
        <v>18922.490000000002</v>
      </c>
      <c r="C225" s="38" t="s">
        <v>445</v>
      </c>
    </row>
    <row r="226" spans="1:3" ht="34.5" x14ac:dyDescent="0.35">
      <c r="A226" s="12" t="s">
        <v>151</v>
      </c>
      <c r="B226" s="17">
        <v>18845.48</v>
      </c>
      <c r="C226" s="11" t="s">
        <v>443</v>
      </c>
    </row>
    <row r="227" spans="1:3" ht="34.5" x14ac:dyDescent="0.35">
      <c r="A227" s="12" t="s">
        <v>184</v>
      </c>
      <c r="B227" s="17">
        <v>17876.16</v>
      </c>
      <c r="C227" s="11" t="s">
        <v>443</v>
      </c>
    </row>
    <row r="228" spans="1:3" ht="23" x14ac:dyDescent="0.35">
      <c r="A228" s="36" t="s">
        <v>421</v>
      </c>
      <c r="B228" s="39">
        <v>17661.28</v>
      </c>
      <c r="C228" s="38" t="s">
        <v>445</v>
      </c>
    </row>
    <row r="229" spans="1:3" x14ac:dyDescent="0.35">
      <c r="A229" s="43" t="s">
        <v>84</v>
      </c>
      <c r="B229" s="44">
        <v>17650</v>
      </c>
      <c r="C229" s="45" t="s">
        <v>450</v>
      </c>
    </row>
    <row r="230" spans="1:3" x14ac:dyDescent="0.35">
      <c r="A230" s="43" t="s">
        <v>64</v>
      </c>
      <c r="B230" s="44">
        <v>17500</v>
      </c>
      <c r="C230" s="45" t="s">
        <v>450</v>
      </c>
    </row>
    <row r="231" spans="1:3" x14ac:dyDescent="0.35">
      <c r="A231" s="24" t="s">
        <v>326</v>
      </c>
      <c r="B231" s="46">
        <v>17500</v>
      </c>
      <c r="C231" s="35" t="s">
        <v>16</v>
      </c>
    </row>
    <row r="232" spans="1:3" ht="34.5" x14ac:dyDescent="0.35">
      <c r="A232" s="36" t="s">
        <v>135</v>
      </c>
      <c r="B232" s="39">
        <v>16638.47</v>
      </c>
      <c r="C232" s="38" t="s">
        <v>445</v>
      </c>
    </row>
    <row r="233" spans="1:3" ht="34.5" x14ac:dyDescent="0.35">
      <c r="A233" s="36" t="s">
        <v>199</v>
      </c>
      <c r="B233" s="39">
        <v>16585.54</v>
      </c>
      <c r="C233" s="38" t="s">
        <v>445</v>
      </c>
    </row>
    <row r="234" spans="1:3" ht="23" x14ac:dyDescent="0.35">
      <c r="A234" s="36" t="s">
        <v>394</v>
      </c>
      <c r="B234" s="39">
        <v>16418.04</v>
      </c>
      <c r="C234" s="38" t="s">
        <v>445</v>
      </c>
    </row>
    <row r="235" spans="1:3" ht="23" x14ac:dyDescent="0.35">
      <c r="A235" s="31" t="s">
        <v>338</v>
      </c>
      <c r="B235" s="48">
        <v>15684.85</v>
      </c>
      <c r="C235" s="33" t="s">
        <v>449</v>
      </c>
    </row>
    <row r="236" spans="1:3" ht="23" x14ac:dyDescent="0.35">
      <c r="A236" s="43" t="s">
        <v>65</v>
      </c>
      <c r="B236" s="44">
        <v>15500</v>
      </c>
      <c r="C236" s="45" t="s">
        <v>450</v>
      </c>
    </row>
    <row r="237" spans="1:3" x14ac:dyDescent="0.35">
      <c r="A237" s="43" t="s">
        <v>60</v>
      </c>
      <c r="B237" s="44">
        <v>15400</v>
      </c>
      <c r="C237" s="45" t="s">
        <v>450</v>
      </c>
    </row>
    <row r="238" spans="1:3" x14ac:dyDescent="0.35">
      <c r="A238" s="43" t="s">
        <v>62</v>
      </c>
      <c r="B238" s="44">
        <v>15000</v>
      </c>
      <c r="C238" s="45" t="s">
        <v>450</v>
      </c>
    </row>
    <row r="239" spans="1:3" x14ac:dyDescent="0.35">
      <c r="A239" s="43" t="s">
        <v>86</v>
      </c>
      <c r="B239" s="44">
        <v>15000</v>
      </c>
      <c r="C239" s="45" t="s">
        <v>450</v>
      </c>
    </row>
    <row r="240" spans="1:3" x14ac:dyDescent="0.35">
      <c r="A240" s="43" t="s">
        <v>91</v>
      </c>
      <c r="B240" s="44">
        <v>15000</v>
      </c>
      <c r="C240" s="45" t="s">
        <v>450</v>
      </c>
    </row>
    <row r="241" spans="1:3" x14ac:dyDescent="0.35">
      <c r="A241" s="43" t="s">
        <v>320</v>
      </c>
      <c r="B241" s="44">
        <v>15000</v>
      </c>
      <c r="C241" s="45" t="s">
        <v>450</v>
      </c>
    </row>
    <row r="242" spans="1:3" x14ac:dyDescent="0.35">
      <c r="A242" s="24" t="s">
        <v>329</v>
      </c>
      <c r="B242" s="46">
        <v>15000</v>
      </c>
      <c r="C242" s="35" t="s">
        <v>16</v>
      </c>
    </row>
    <row r="243" spans="1:3" x14ac:dyDescent="0.35">
      <c r="A243" s="15" t="s">
        <v>377</v>
      </c>
      <c r="B243" s="18">
        <v>15000</v>
      </c>
      <c r="C243" s="29" t="s">
        <v>444</v>
      </c>
    </row>
    <row r="244" spans="1:3" x14ac:dyDescent="0.35">
      <c r="A244" s="15" t="s">
        <v>390</v>
      </c>
      <c r="B244" s="18">
        <v>15000</v>
      </c>
      <c r="C244" s="29" t="s">
        <v>444</v>
      </c>
    </row>
    <row r="245" spans="1:3" ht="23" x14ac:dyDescent="0.35">
      <c r="A245" s="43" t="s">
        <v>304</v>
      </c>
      <c r="B245" s="44">
        <v>14760</v>
      </c>
      <c r="C245" s="45" t="s">
        <v>450</v>
      </c>
    </row>
    <row r="246" spans="1:3" ht="34.5" x14ac:dyDescent="0.35">
      <c r="A246" s="36" t="s">
        <v>118</v>
      </c>
      <c r="B246" s="39">
        <v>13528.79</v>
      </c>
      <c r="C246" s="38" t="s">
        <v>445</v>
      </c>
    </row>
    <row r="247" spans="1:3" x14ac:dyDescent="0.35">
      <c r="A247" s="43" t="s">
        <v>69</v>
      </c>
      <c r="B247" s="44">
        <v>13500</v>
      </c>
      <c r="C247" s="45" t="s">
        <v>450</v>
      </c>
    </row>
    <row r="248" spans="1:3" ht="23" x14ac:dyDescent="0.35">
      <c r="A248" s="15" t="s">
        <v>236</v>
      </c>
      <c r="B248" s="18">
        <v>13366.8</v>
      </c>
      <c r="C248" s="29" t="s">
        <v>444</v>
      </c>
    </row>
    <row r="249" spans="1:3" ht="23" x14ac:dyDescent="0.35">
      <c r="A249" s="36" t="s">
        <v>262</v>
      </c>
      <c r="B249" s="39">
        <v>13125</v>
      </c>
      <c r="C249" s="38" t="s">
        <v>445</v>
      </c>
    </row>
    <row r="250" spans="1:3" ht="34.5" x14ac:dyDescent="0.35">
      <c r="A250" s="36" t="s">
        <v>119</v>
      </c>
      <c r="B250" s="39">
        <v>13081.74</v>
      </c>
      <c r="C250" s="38" t="s">
        <v>445</v>
      </c>
    </row>
    <row r="251" spans="1:3" ht="23" x14ac:dyDescent="0.35">
      <c r="A251" s="36" t="s">
        <v>429</v>
      </c>
      <c r="B251" s="39">
        <v>12971.69</v>
      </c>
      <c r="C251" s="38" t="s">
        <v>445</v>
      </c>
    </row>
    <row r="252" spans="1:3" ht="23" x14ac:dyDescent="0.35">
      <c r="A252" s="36" t="s">
        <v>404</v>
      </c>
      <c r="B252" s="39">
        <v>12963.93</v>
      </c>
      <c r="C252" s="38" t="s">
        <v>445</v>
      </c>
    </row>
    <row r="253" spans="1:3" ht="57.5" x14ac:dyDescent="0.35">
      <c r="A253" s="36" t="s">
        <v>279</v>
      </c>
      <c r="B253" s="39">
        <v>12925.63</v>
      </c>
      <c r="C253" s="38" t="s">
        <v>445</v>
      </c>
    </row>
    <row r="254" spans="1:3" x14ac:dyDescent="0.35">
      <c r="A254" s="36" t="s">
        <v>365</v>
      </c>
      <c r="B254" s="39">
        <v>12852.84</v>
      </c>
      <c r="C254" s="38" t="s">
        <v>445</v>
      </c>
    </row>
    <row r="255" spans="1:3" ht="57.5" x14ac:dyDescent="0.35">
      <c r="A255" s="36" t="s">
        <v>42</v>
      </c>
      <c r="B255" s="39">
        <v>12766.08</v>
      </c>
      <c r="C255" s="38" t="s">
        <v>445</v>
      </c>
    </row>
    <row r="256" spans="1:3" ht="23" x14ac:dyDescent="0.35">
      <c r="A256" s="12" t="s">
        <v>221</v>
      </c>
      <c r="B256" s="17">
        <v>12742.88</v>
      </c>
      <c r="C256" s="11" t="s">
        <v>443</v>
      </c>
    </row>
    <row r="257" spans="1:3" ht="23" x14ac:dyDescent="0.35">
      <c r="A257" s="15" t="s">
        <v>382</v>
      </c>
      <c r="B257" s="18">
        <v>12650</v>
      </c>
      <c r="C257" s="29" t="s">
        <v>444</v>
      </c>
    </row>
    <row r="258" spans="1:3" ht="23" x14ac:dyDescent="0.35">
      <c r="A258" s="15" t="s">
        <v>383</v>
      </c>
      <c r="B258" s="18">
        <v>12650</v>
      </c>
      <c r="C258" s="29" t="s">
        <v>444</v>
      </c>
    </row>
    <row r="259" spans="1:3" ht="23" x14ac:dyDescent="0.35">
      <c r="A259" s="43" t="s">
        <v>332</v>
      </c>
      <c r="B259" s="44">
        <v>12500</v>
      </c>
      <c r="C259" s="45" t="s">
        <v>450</v>
      </c>
    </row>
    <row r="260" spans="1:3" ht="46" x14ac:dyDescent="0.35">
      <c r="A260" s="12" t="s">
        <v>297</v>
      </c>
      <c r="B260" s="17">
        <v>12344.2</v>
      </c>
      <c r="C260" s="11" t="s">
        <v>443</v>
      </c>
    </row>
    <row r="261" spans="1:3" ht="34.5" x14ac:dyDescent="0.35">
      <c r="A261" s="36" t="s">
        <v>124</v>
      </c>
      <c r="B261" s="39">
        <v>12235.63</v>
      </c>
      <c r="C261" s="38" t="s">
        <v>445</v>
      </c>
    </row>
    <row r="262" spans="1:3" ht="23" x14ac:dyDescent="0.35">
      <c r="A262" s="36" t="s">
        <v>432</v>
      </c>
      <c r="B262" s="39">
        <v>12182</v>
      </c>
      <c r="C262" s="38" t="s">
        <v>445</v>
      </c>
    </row>
    <row r="263" spans="1:3" ht="23" x14ac:dyDescent="0.35">
      <c r="A263" s="36" t="s">
        <v>416</v>
      </c>
      <c r="B263" s="39">
        <v>12096.5</v>
      </c>
      <c r="C263" s="38" t="s">
        <v>445</v>
      </c>
    </row>
    <row r="264" spans="1:3" ht="34.5" x14ac:dyDescent="0.35">
      <c r="A264" s="36" t="s">
        <v>401</v>
      </c>
      <c r="B264" s="39">
        <v>12079.2</v>
      </c>
      <c r="C264" s="38" t="s">
        <v>445</v>
      </c>
    </row>
    <row r="265" spans="1:3" ht="23" x14ac:dyDescent="0.35">
      <c r="A265" s="36" t="s">
        <v>234</v>
      </c>
      <c r="B265" s="39">
        <v>12021.16</v>
      </c>
      <c r="C265" s="38" t="s">
        <v>445</v>
      </c>
    </row>
    <row r="266" spans="1:3" ht="23" x14ac:dyDescent="0.35">
      <c r="A266" s="15" t="s">
        <v>374</v>
      </c>
      <c r="B266" s="18">
        <v>12000</v>
      </c>
      <c r="C266" s="29" t="s">
        <v>444</v>
      </c>
    </row>
    <row r="267" spans="1:3" x14ac:dyDescent="0.35">
      <c r="A267" s="36" t="s">
        <v>50</v>
      </c>
      <c r="B267" s="39">
        <v>11964.6</v>
      </c>
      <c r="C267" s="38" t="s">
        <v>445</v>
      </c>
    </row>
    <row r="268" spans="1:3" ht="34.5" x14ac:dyDescent="0.35">
      <c r="A268" s="12" t="s">
        <v>276</v>
      </c>
      <c r="B268" s="17">
        <v>11910.56</v>
      </c>
      <c r="C268" s="11" t="s">
        <v>443</v>
      </c>
    </row>
    <row r="269" spans="1:3" ht="34.5" x14ac:dyDescent="0.35">
      <c r="A269" s="36" t="s">
        <v>280</v>
      </c>
      <c r="B269" s="39">
        <v>11888.57</v>
      </c>
      <c r="C269" s="38" t="s">
        <v>445</v>
      </c>
    </row>
    <row r="270" spans="1:3" ht="34.5" x14ac:dyDescent="0.35">
      <c r="A270" s="36" t="s">
        <v>247</v>
      </c>
      <c r="B270" s="39">
        <v>11852.96</v>
      </c>
      <c r="C270" s="38" t="s">
        <v>445</v>
      </c>
    </row>
    <row r="271" spans="1:3" ht="34.5" x14ac:dyDescent="0.35">
      <c r="A271" s="12" t="s">
        <v>204</v>
      </c>
      <c r="B271" s="17">
        <v>10901.76</v>
      </c>
      <c r="C271" s="11" t="s">
        <v>443</v>
      </c>
    </row>
    <row r="272" spans="1:3" x14ac:dyDescent="0.35">
      <c r="A272" s="36" t="s">
        <v>229</v>
      </c>
      <c r="B272" s="39">
        <v>10800</v>
      </c>
      <c r="C272" s="38" t="s">
        <v>445</v>
      </c>
    </row>
    <row r="273" spans="1:3" x14ac:dyDescent="0.35">
      <c r="A273" s="43" t="s">
        <v>75</v>
      </c>
      <c r="B273" s="44">
        <v>10750</v>
      </c>
      <c r="C273" s="45" t="s">
        <v>450</v>
      </c>
    </row>
    <row r="274" spans="1:3" ht="23" x14ac:dyDescent="0.35">
      <c r="A274" s="12" t="s">
        <v>153</v>
      </c>
      <c r="B274" s="17">
        <v>10620</v>
      </c>
      <c r="C274" s="11" t="s">
        <v>443</v>
      </c>
    </row>
    <row r="275" spans="1:3" ht="23" x14ac:dyDescent="0.35">
      <c r="A275" s="36" t="s">
        <v>137</v>
      </c>
      <c r="B275" s="39">
        <v>10575.98</v>
      </c>
      <c r="C275" s="38" t="s">
        <v>445</v>
      </c>
    </row>
    <row r="276" spans="1:3" ht="23" x14ac:dyDescent="0.35">
      <c r="A276" s="12" t="s">
        <v>248</v>
      </c>
      <c r="B276" s="17">
        <v>10564.09</v>
      </c>
      <c r="C276" s="11" t="s">
        <v>443</v>
      </c>
    </row>
    <row r="277" spans="1:3" x14ac:dyDescent="0.35">
      <c r="A277" s="31" t="s">
        <v>315</v>
      </c>
      <c r="B277" s="48">
        <v>10500</v>
      </c>
      <c r="C277" s="33" t="s">
        <v>449</v>
      </c>
    </row>
    <row r="278" spans="1:3" ht="34.5" x14ac:dyDescent="0.35">
      <c r="A278" s="36" t="s">
        <v>211</v>
      </c>
      <c r="B278" s="39">
        <v>10353.94</v>
      </c>
      <c r="C278" s="38" t="s">
        <v>445</v>
      </c>
    </row>
    <row r="279" spans="1:3" ht="23" x14ac:dyDescent="0.35">
      <c r="A279" s="36" t="s">
        <v>350</v>
      </c>
      <c r="B279" s="39">
        <v>10341.61</v>
      </c>
      <c r="C279" s="38" t="s">
        <v>445</v>
      </c>
    </row>
    <row r="280" spans="1:3" ht="23" x14ac:dyDescent="0.35">
      <c r="A280" s="43" t="s">
        <v>72</v>
      </c>
      <c r="B280" s="44">
        <v>10250</v>
      </c>
      <c r="C280" s="45" t="s">
        <v>450</v>
      </c>
    </row>
    <row r="281" spans="1:3" x14ac:dyDescent="0.35">
      <c r="A281" s="43" t="s">
        <v>90</v>
      </c>
      <c r="B281" s="44">
        <v>10250</v>
      </c>
      <c r="C281" s="45" t="s">
        <v>450</v>
      </c>
    </row>
    <row r="282" spans="1:3" ht="23" x14ac:dyDescent="0.35">
      <c r="A282" s="36" t="s">
        <v>367</v>
      </c>
      <c r="B282" s="39">
        <v>10054.57</v>
      </c>
      <c r="C282" s="38" t="s">
        <v>445</v>
      </c>
    </row>
    <row r="283" spans="1:3" ht="23" x14ac:dyDescent="0.35">
      <c r="A283" s="43" t="s">
        <v>108</v>
      </c>
      <c r="B283" s="44">
        <v>10000</v>
      </c>
      <c r="C283" s="45" t="s">
        <v>450</v>
      </c>
    </row>
    <row r="284" spans="1:3" ht="34.5" x14ac:dyDescent="0.35">
      <c r="A284" s="43" t="s">
        <v>321</v>
      </c>
      <c r="B284" s="44">
        <v>10000</v>
      </c>
      <c r="C284" s="45" t="s">
        <v>450</v>
      </c>
    </row>
    <row r="285" spans="1:3" ht="23" x14ac:dyDescent="0.35">
      <c r="A285" s="43" t="s">
        <v>322</v>
      </c>
      <c r="B285" s="44">
        <v>10000</v>
      </c>
      <c r="C285" s="45" t="s">
        <v>450</v>
      </c>
    </row>
    <row r="286" spans="1:3" ht="23" x14ac:dyDescent="0.35">
      <c r="A286" s="36" t="s">
        <v>263</v>
      </c>
      <c r="B286" s="51">
        <v>9875</v>
      </c>
      <c r="C286" s="38" t="s">
        <v>445</v>
      </c>
    </row>
    <row r="287" spans="1:3" ht="34.5" x14ac:dyDescent="0.35">
      <c r="A287" s="36" t="s">
        <v>283</v>
      </c>
      <c r="B287" s="51">
        <v>9708.2099999999991</v>
      </c>
      <c r="C287" s="38" t="s">
        <v>445</v>
      </c>
    </row>
    <row r="288" spans="1:3" x14ac:dyDescent="0.35">
      <c r="A288" s="43" t="s">
        <v>76</v>
      </c>
      <c r="B288" s="47">
        <v>9250</v>
      </c>
      <c r="C288" s="45" t="s">
        <v>450</v>
      </c>
    </row>
    <row r="289" spans="1:3" ht="34.5" x14ac:dyDescent="0.35">
      <c r="A289" s="36" t="s">
        <v>116</v>
      </c>
      <c r="B289" s="51">
        <v>9146.74</v>
      </c>
      <c r="C289" s="38" t="s">
        <v>445</v>
      </c>
    </row>
    <row r="290" spans="1:3" x14ac:dyDescent="0.35">
      <c r="A290" s="43" t="s">
        <v>89</v>
      </c>
      <c r="B290" s="47">
        <v>9070</v>
      </c>
      <c r="C290" s="45" t="s">
        <v>450</v>
      </c>
    </row>
    <row r="291" spans="1:3" ht="23" x14ac:dyDescent="0.35">
      <c r="A291" s="43" t="s">
        <v>39</v>
      </c>
      <c r="B291" s="47">
        <v>8750</v>
      </c>
      <c r="C291" s="45" t="s">
        <v>450</v>
      </c>
    </row>
    <row r="292" spans="1:3" x14ac:dyDescent="0.35">
      <c r="A292" s="43" t="s">
        <v>59</v>
      </c>
      <c r="B292" s="47">
        <v>8500</v>
      </c>
      <c r="C292" s="45" t="s">
        <v>450</v>
      </c>
    </row>
    <row r="293" spans="1:3" ht="23" x14ac:dyDescent="0.35">
      <c r="A293" s="31" t="s">
        <v>344</v>
      </c>
      <c r="B293" s="49">
        <v>8438.07</v>
      </c>
      <c r="C293" s="33" t="s">
        <v>449</v>
      </c>
    </row>
    <row r="294" spans="1:3" x14ac:dyDescent="0.35">
      <c r="A294" s="15" t="s">
        <v>44</v>
      </c>
      <c r="B294" s="19">
        <v>8400</v>
      </c>
      <c r="C294" s="29" t="s">
        <v>444</v>
      </c>
    </row>
    <row r="295" spans="1:3" x14ac:dyDescent="0.35">
      <c r="A295" s="36" t="s">
        <v>268</v>
      </c>
      <c r="B295" s="51">
        <v>8250</v>
      </c>
      <c r="C295" s="38" t="s">
        <v>445</v>
      </c>
    </row>
    <row r="296" spans="1:3" ht="23" x14ac:dyDescent="0.35">
      <c r="A296" s="31" t="s">
        <v>347</v>
      </c>
      <c r="B296" s="49">
        <v>8239.16</v>
      </c>
      <c r="C296" s="33" t="s">
        <v>449</v>
      </c>
    </row>
    <row r="297" spans="1:3" ht="23" x14ac:dyDescent="0.35">
      <c r="A297" s="12" t="s">
        <v>220</v>
      </c>
      <c r="B297" s="20">
        <v>8031.75</v>
      </c>
      <c r="C297" s="11" t="s">
        <v>443</v>
      </c>
    </row>
    <row r="298" spans="1:3" ht="34.5" x14ac:dyDescent="0.35">
      <c r="A298" s="36" t="s">
        <v>239</v>
      </c>
      <c r="B298" s="51">
        <v>7942.52</v>
      </c>
      <c r="C298" s="38" t="s">
        <v>445</v>
      </c>
    </row>
    <row r="299" spans="1:3" x14ac:dyDescent="0.35">
      <c r="A299" s="43" t="s">
        <v>300</v>
      </c>
      <c r="B299" s="47">
        <v>7920</v>
      </c>
      <c r="C299" s="45" t="s">
        <v>450</v>
      </c>
    </row>
    <row r="300" spans="1:3" x14ac:dyDescent="0.35">
      <c r="A300" s="43" t="s">
        <v>68</v>
      </c>
      <c r="B300" s="47">
        <v>7750</v>
      </c>
      <c r="C300" s="45" t="s">
        <v>450</v>
      </c>
    </row>
    <row r="301" spans="1:3" ht="34.5" x14ac:dyDescent="0.35">
      <c r="A301" s="36" t="s">
        <v>136</v>
      </c>
      <c r="B301" s="51">
        <v>7745.51</v>
      </c>
      <c r="C301" s="38" t="s">
        <v>445</v>
      </c>
    </row>
    <row r="302" spans="1:3" ht="23" x14ac:dyDescent="0.35">
      <c r="A302" s="36" t="s">
        <v>173</v>
      </c>
      <c r="B302" s="51">
        <v>7510.01</v>
      </c>
      <c r="C302" s="38" t="s">
        <v>445</v>
      </c>
    </row>
    <row r="303" spans="1:3" x14ac:dyDescent="0.35">
      <c r="A303" s="36" t="s">
        <v>56</v>
      </c>
      <c r="B303" s="51">
        <v>7500</v>
      </c>
      <c r="C303" s="38" t="s">
        <v>445</v>
      </c>
    </row>
    <row r="304" spans="1:3" x14ac:dyDescent="0.35">
      <c r="A304" s="43" t="s">
        <v>70</v>
      </c>
      <c r="B304" s="47">
        <v>7500</v>
      </c>
      <c r="C304" s="45" t="s">
        <v>450</v>
      </c>
    </row>
    <row r="305" spans="1:3" x14ac:dyDescent="0.35">
      <c r="A305" s="36" t="s">
        <v>311</v>
      </c>
      <c r="B305" s="51">
        <v>7500</v>
      </c>
      <c r="C305" s="38" t="s">
        <v>445</v>
      </c>
    </row>
    <row r="306" spans="1:3" ht="23" x14ac:dyDescent="0.35">
      <c r="A306" s="36" t="s">
        <v>336</v>
      </c>
      <c r="B306" s="51">
        <v>7500</v>
      </c>
      <c r="C306" s="38" t="s">
        <v>445</v>
      </c>
    </row>
    <row r="307" spans="1:3" ht="34.5" x14ac:dyDescent="0.35">
      <c r="A307" s="15" t="s">
        <v>96</v>
      </c>
      <c r="B307" s="19">
        <v>7497.66</v>
      </c>
      <c r="C307" s="29" t="s">
        <v>444</v>
      </c>
    </row>
    <row r="308" spans="1:3" ht="23" x14ac:dyDescent="0.35">
      <c r="A308" s="36" t="s">
        <v>168</v>
      </c>
      <c r="B308" s="51">
        <v>7253.21</v>
      </c>
      <c r="C308" s="38" t="s">
        <v>445</v>
      </c>
    </row>
    <row r="309" spans="1:3" ht="23" x14ac:dyDescent="0.35">
      <c r="A309" s="31" t="s">
        <v>317</v>
      </c>
      <c r="B309" s="49">
        <v>7200</v>
      </c>
      <c r="C309" s="33" t="s">
        <v>449</v>
      </c>
    </row>
    <row r="310" spans="1:3" ht="23" x14ac:dyDescent="0.35">
      <c r="A310" s="36" t="s">
        <v>363</v>
      </c>
      <c r="B310" s="51">
        <v>6730.54</v>
      </c>
      <c r="C310" s="38" t="s">
        <v>445</v>
      </c>
    </row>
    <row r="311" spans="1:3" x14ac:dyDescent="0.35">
      <c r="A311" s="43" t="s">
        <v>71</v>
      </c>
      <c r="B311" s="47">
        <v>6500</v>
      </c>
      <c r="C311" s="45" t="s">
        <v>450</v>
      </c>
    </row>
    <row r="312" spans="1:3" x14ac:dyDescent="0.35">
      <c r="A312" s="43" t="s">
        <v>73</v>
      </c>
      <c r="B312" s="47">
        <v>6500</v>
      </c>
      <c r="C312" s="45" t="s">
        <v>450</v>
      </c>
    </row>
    <row r="313" spans="1:3" x14ac:dyDescent="0.35">
      <c r="A313" s="43" t="s">
        <v>74</v>
      </c>
      <c r="B313" s="47">
        <v>6500</v>
      </c>
      <c r="C313" s="45" t="s">
        <v>450</v>
      </c>
    </row>
    <row r="314" spans="1:3" ht="46" x14ac:dyDescent="0.35">
      <c r="A314" s="43" t="s">
        <v>106</v>
      </c>
      <c r="B314" s="47">
        <v>6500</v>
      </c>
      <c r="C314" s="45" t="s">
        <v>450</v>
      </c>
    </row>
    <row r="315" spans="1:3" ht="23" x14ac:dyDescent="0.35">
      <c r="A315" s="43" t="s">
        <v>337</v>
      </c>
      <c r="B315" s="47">
        <v>6500</v>
      </c>
      <c r="C315" s="45" t="s">
        <v>450</v>
      </c>
    </row>
    <row r="316" spans="1:3" ht="23" x14ac:dyDescent="0.35">
      <c r="A316" s="43" t="s">
        <v>80</v>
      </c>
      <c r="B316" s="47">
        <v>6300</v>
      </c>
      <c r="C316" s="45" t="s">
        <v>450</v>
      </c>
    </row>
    <row r="317" spans="1:3" ht="23" x14ac:dyDescent="0.35">
      <c r="A317" s="36" t="s">
        <v>420</v>
      </c>
      <c r="B317" s="51">
        <v>6216.8</v>
      </c>
      <c r="C317" s="38" t="s">
        <v>445</v>
      </c>
    </row>
    <row r="318" spans="1:3" ht="34.5" x14ac:dyDescent="0.35">
      <c r="A318" s="36" t="s">
        <v>201</v>
      </c>
      <c r="B318" s="51">
        <v>6075.37</v>
      </c>
      <c r="C318" s="38" t="s">
        <v>445</v>
      </c>
    </row>
    <row r="319" spans="1:3" ht="34.5" x14ac:dyDescent="0.35">
      <c r="A319" s="12" t="s">
        <v>231</v>
      </c>
      <c r="B319" s="20">
        <v>5985</v>
      </c>
      <c r="C319" s="11" t="s">
        <v>443</v>
      </c>
    </row>
    <row r="320" spans="1:3" ht="23" x14ac:dyDescent="0.35">
      <c r="A320" s="36" t="s">
        <v>395</v>
      </c>
      <c r="B320" s="51">
        <v>5908.8</v>
      </c>
      <c r="C320" s="38" t="s">
        <v>445</v>
      </c>
    </row>
    <row r="321" spans="1:3" ht="23" x14ac:dyDescent="0.35">
      <c r="A321" s="36" t="s">
        <v>357</v>
      </c>
      <c r="B321" s="51">
        <v>5829.3</v>
      </c>
      <c r="C321" s="38" t="s">
        <v>445</v>
      </c>
    </row>
    <row r="322" spans="1:3" ht="23" x14ac:dyDescent="0.35">
      <c r="A322" s="36" t="s">
        <v>266</v>
      </c>
      <c r="B322" s="51">
        <v>5600</v>
      </c>
      <c r="C322" s="38" t="s">
        <v>445</v>
      </c>
    </row>
    <row r="323" spans="1:3" ht="23" x14ac:dyDescent="0.35">
      <c r="A323" s="36" t="s">
        <v>34</v>
      </c>
      <c r="B323" s="51">
        <v>5521.03</v>
      </c>
      <c r="C323" s="38" t="s">
        <v>445</v>
      </c>
    </row>
    <row r="324" spans="1:3" x14ac:dyDescent="0.35">
      <c r="A324" s="15" t="s">
        <v>379</v>
      </c>
      <c r="B324" s="19">
        <v>5500</v>
      </c>
      <c r="C324" s="29" t="s">
        <v>444</v>
      </c>
    </row>
    <row r="325" spans="1:3" ht="34.5" x14ac:dyDescent="0.35">
      <c r="A325" s="36" t="s">
        <v>352</v>
      </c>
      <c r="B325" s="51">
        <v>5387.52</v>
      </c>
      <c r="C325" s="38" t="s">
        <v>445</v>
      </c>
    </row>
    <row r="326" spans="1:3" x14ac:dyDescent="0.35">
      <c r="A326" s="36" t="s">
        <v>366</v>
      </c>
      <c r="B326" s="51">
        <v>5313.85</v>
      </c>
      <c r="C326" s="38" t="s">
        <v>445</v>
      </c>
    </row>
    <row r="327" spans="1:3" ht="23" x14ac:dyDescent="0.35">
      <c r="A327" s="12" t="s">
        <v>290</v>
      </c>
      <c r="B327" s="20">
        <v>5176.6000000000004</v>
      </c>
      <c r="C327" s="11" t="s">
        <v>443</v>
      </c>
    </row>
    <row r="328" spans="1:3" x14ac:dyDescent="0.35">
      <c r="A328" s="43" t="s">
        <v>61</v>
      </c>
      <c r="B328" s="47">
        <v>5000</v>
      </c>
      <c r="C328" s="45" t="s">
        <v>450</v>
      </c>
    </row>
    <row r="329" spans="1:3" x14ac:dyDescent="0.35">
      <c r="A329" s="43" t="s">
        <v>67</v>
      </c>
      <c r="B329" s="47">
        <v>5000</v>
      </c>
      <c r="C329" s="45" t="s">
        <v>450</v>
      </c>
    </row>
    <row r="330" spans="1:3" ht="23" x14ac:dyDescent="0.35">
      <c r="A330" s="43" t="s">
        <v>93</v>
      </c>
      <c r="B330" s="47">
        <v>5000</v>
      </c>
      <c r="C330" s="45" t="s">
        <v>450</v>
      </c>
    </row>
    <row r="331" spans="1:3" ht="23" x14ac:dyDescent="0.35">
      <c r="A331" s="43" t="s">
        <v>100</v>
      </c>
      <c r="B331" s="47">
        <v>5000</v>
      </c>
      <c r="C331" s="45" t="s">
        <v>450</v>
      </c>
    </row>
    <row r="332" spans="1:3" ht="23" x14ac:dyDescent="0.35">
      <c r="A332" s="43" t="s">
        <v>101</v>
      </c>
      <c r="B332" s="47">
        <v>5000</v>
      </c>
      <c r="C332" s="45" t="s">
        <v>450</v>
      </c>
    </row>
    <row r="333" spans="1:3" x14ac:dyDescent="0.35">
      <c r="A333" s="43" t="s">
        <v>102</v>
      </c>
      <c r="B333" s="47">
        <v>5000</v>
      </c>
      <c r="C333" s="45" t="s">
        <v>450</v>
      </c>
    </row>
    <row r="334" spans="1:3" x14ac:dyDescent="0.35">
      <c r="A334" s="15" t="s">
        <v>314</v>
      </c>
      <c r="B334" s="19">
        <v>5000</v>
      </c>
      <c r="C334" s="29" t="s">
        <v>444</v>
      </c>
    </row>
    <row r="335" spans="1:3" x14ac:dyDescent="0.35">
      <c r="A335" s="15" t="s">
        <v>386</v>
      </c>
      <c r="B335" s="19">
        <v>5000</v>
      </c>
      <c r="C335" s="29" t="s">
        <v>444</v>
      </c>
    </row>
    <row r="336" spans="1:3" x14ac:dyDescent="0.35">
      <c r="A336" s="15" t="s">
        <v>387</v>
      </c>
      <c r="B336" s="19">
        <v>5000</v>
      </c>
      <c r="C336" s="29" t="s">
        <v>444</v>
      </c>
    </row>
    <row r="337" spans="1:3" x14ac:dyDescent="0.35">
      <c r="A337" s="15" t="s">
        <v>389</v>
      </c>
      <c r="B337" s="19">
        <v>5000</v>
      </c>
      <c r="C337" s="29" t="s">
        <v>444</v>
      </c>
    </row>
    <row r="338" spans="1:3" ht="23" x14ac:dyDescent="0.35">
      <c r="A338" s="36" t="s">
        <v>259</v>
      </c>
      <c r="B338" s="51">
        <v>4860.63</v>
      </c>
      <c r="C338" s="38" t="s">
        <v>445</v>
      </c>
    </row>
    <row r="339" spans="1:3" ht="23" x14ac:dyDescent="0.35">
      <c r="A339" s="36" t="s">
        <v>392</v>
      </c>
      <c r="B339" s="51">
        <v>4849.25</v>
      </c>
      <c r="C339" s="38" t="s">
        <v>445</v>
      </c>
    </row>
    <row r="340" spans="1:3" ht="34.5" x14ac:dyDescent="0.35">
      <c r="A340" s="12" t="s">
        <v>235</v>
      </c>
      <c r="B340" s="20">
        <v>4664.1000000000004</v>
      </c>
      <c r="C340" s="11" t="s">
        <v>443</v>
      </c>
    </row>
    <row r="341" spans="1:3" ht="46" x14ac:dyDescent="0.35">
      <c r="A341" s="36" t="s">
        <v>156</v>
      </c>
      <c r="B341" s="51">
        <v>4643.0600000000004</v>
      </c>
      <c r="C341" s="38" t="s">
        <v>445</v>
      </c>
    </row>
    <row r="342" spans="1:3" ht="23" x14ac:dyDescent="0.35">
      <c r="A342" s="36" t="s">
        <v>369</v>
      </c>
      <c r="B342" s="51">
        <v>4494.45</v>
      </c>
      <c r="C342" s="38" t="s">
        <v>445</v>
      </c>
    </row>
    <row r="343" spans="1:3" ht="23" x14ac:dyDescent="0.35">
      <c r="A343" s="36" t="s">
        <v>159</v>
      </c>
      <c r="B343" s="51">
        <v>4267.9399999999996</v>
      </c>
      <c r="C343" s="38" t="s">
        <v>445</v>
      </c>
    </row>
    <row r="344" spans="1:3" ht="34.5" x14ac:dyDescent="0.35">
      <c r="A344" s="15" t="s">
        <v>169</v>
      </c>
      <c r="B344" s="19">
        <v>4134.34</v>
      </c>
      <c r="C344" s="29" t="s">
        <v>444</v>
      </c>
    </row>
    <row r="345" spans="1:3" x14ac:dyDescent="0.35">
      <c r="A345" s="36" t="s">
        <v>79</v>
      </c>
      <c r="B345" s="51">
        <v>4100</v>
      </c>
      <c r="C345" s="38" t="s">
        <v>445</v>
      </c>
    </row>
    <row r="346" spans="1:3" ht="23" x14ac:dyDescent="0.35">
      <c r="A346" s="36" t="s">
        <v>424</v>
      </c>
      <c r="B346" s="51">
        <v>3924.04</v>
      </c>
      <c r="C346" s="38" t="s">
        <v>445</v>
      </c>
    </row>
    <row r="347" spans="1:3" ht="34.5" x14ac:dyDescent="0.35">
      <c r="A347" s="36" t="s">
        <v>349</v>
      </c>
      <c r="B347" s="51">
        <v>3804.76</v>
      </c>
      <c r="C347" s="38" t="s">
        <v>445</v>
      </c>
    </row>
    <row r="348" spans="1:3" x14ac:dyDescent="0.35">
      <c r="A348" s="43" t="s">
        <v>308</v>
      </c>
      <c r="B348" s="47">
        <v>3800</v>
      </c>
      <c r="C348" s="45" t="s">
        <v>450</v>
      </c>
    </row>
    <row r="349" spans="1:3" ht="34.5" x14ac:dyDescent="0.35">
      <c r="A349" s="12" t="s">
        <v>140</v>
      </c>
      <c r="B349" s="20">
        <v>3757.82</v>
      </c>
      <c r="C349" s="11" t="s">
        <v>443</v>
      </c>
    </row>
    <row r="350" spans="1:3" ht="23" x14ac:dyDescent="0.35">
      <c r="A350" s="36" t="s">
        <v>353</v>
      </c>
      <c r="B350" s="51">
        <v>3711.4</v>
      </c>
      <c r="C350" s="38" t="s">
        <v>445</v>
      </c>
    </row>
    <row r="351" spans="1:3" ht="23" x14ac:dyDescent="0.35">
      <c r="A351" s="36" t="s">
        <v>361</v>
      </c>
      <c r="B351" s="51">
        <v>3659.6</v>
      </c>
      <c r="C351" s="38" t="s">
        <v>445</v>
      </c>
    </row>
    <row r="352" spans="1:3" ht="23" x14ac:dyDescent="0.35">
      <c r="A352" s="36" t="s">
        <v>398</v>
      </c>
      <c r="B352" s="51">
        <v>3600.49</v>
      </c>
      <c r="C352" s="38" t="s">
        <v>445</v>
      </c>
    </row>
    <row r="353" spans="1:3" x14ac:dyDescent="0.35">
      <c r="A353" s="43" t="s">
        <v>58</v>
      </c>
      <c r="B353" s="47">
        <v>3600</v>
      </c>
      <c r="C353" s="45" t="s">
        <v>450</v>
      </c>
    </row>
    <row r="354" spans="1:3" ht="23" x14ac:dyDescent="0.35">
      <c r="A354" s="43" t="s">
        <v>66</v>
      </c>
      <c r="B354" s="47">
        <v>3500</v>
      </c>
      <c r="C354" s="45" t="s">
        <v>450</v>
      </c>
    </row>
    <row r="355" spans="1:3" ht="23" x14ac:dyDescent="0.35">
      <c r="A355" s="36" t="s">
        <v>232</v>
      </c>
      <c r="B355" s="51">
        <v>3483.22</v>
      </c>
      <c r="C355" s="38" t="s">
        <v>445</v>
      </c>
    </row>
    <row r="356" spans="1:3" x14ac:dyDescent="0.35">
      <c r="A356" s="36" t="s">
        <v>354</v>
      </c>
      <c r="B356" s="51">
        <v>3307.95</v>
      </c>
      <c r="C356" s="38" t="s">
        <v>445</v>
      </c>
    </row>
    <row r="357" spans="1:3" ht="23" x14ac:dyDescent="0.35">
      <c r="A357" s="36" t="s">
        <v>307</v>
      </c>
      <c r="B357" s="51">
        <v>3000</v>
      </c>
      <c r="C357" s="38" t="s">
        <v>445</v>
      </c>
    </row>
    <row r="358" spans="1:3" x14ac:dyDescent="0.35">
      <c r="A358" s="43" t="s">
        <v>312</v>
      </c>
      <c r="B358" s="47">
        <v>3000</v>
      </c>
      <c r="C358" s="45" t="s">
        <v>450</v>
      </c>
    </row>
    <row r="359" spans="1:3" ht="34.5" x14ac:dyDescent="0.35">
      <c r="A359" s="36" t="s">
        <v>99</v>
      </c>
      <c r="B359" s="51">
        <v>2949.31</v>
      </c>
      <c r="C359" s="38" t="s">
        <v>445</v>
      </c>
    </row>
    <row r="360" spans="1:3" ht="34.5" x14ac:dyDescent="0.35">
      <c r="A360" s="36" t="s">
        <v>428</v>
      </c>
      <c r="B360" s="51">
        <v>2862.73</v>
      </c>
      <c r="C360" s="38" t="s">
        <v>445</v>
      </c>
    </row>
    <row r="361" spans="1:3" ht="23" x14ac:dyDescent="0.35">
      <c r="A361" s="12" t="s">
        <v>180</v>
      </c>
      <c r="B361" s="20">
        <v>2825.28</v>
      </c>
      <c r="C361" s="11" t="s">
        <v>443</v>
      </c>
    </row>
    <row r="362" spans="1:3" ht="23" x14ac:dyDescent="0.35">
      <c r="A362" s="15" t="s">
        <v>237</v>
      </c>
      <c r="B362" s="19">
        <v>2714.4</v>
      </c>
      <c r="C362" s="29" t="s">
        <v>444</v>
      </c>
    </row>
    <row r="363" spans="1:3" ht="34.5" x14ac:dyDescent="0.35">
      <c r="A363" s="36" t="s">
        <v>213</v>
      </c>
      <c r="B363" s="51">
        <v>2614.0300000000002</v>
      </c>
      <c r="C363" s="38" t="s">
        <v>445</v>
      </c>
    </row>
    <row r="364" spans="1:3" ht="23" x14ac:dyDescent="0.35">
      <c r="A364" s="36" t="s">
        <v>176</v>
      </c>
      <c r="B364" s="51">
        <v>2594.9299999999998</v>
      </c>
      <c r="C364" s="38" t="s">
        <v>445</v>
      </c>
    </row>
    <row r="365" spans="1:3" ht="34.5" x14ac:dyDescent="0.35">
      <c r="A365" s="36" t="s">
        <v>115</v>
      </c>
      <c r="B365" s="51">
        <v>2508.41</v>
      </c>
      <c r="C365" s="38" t="s">
        <v>445</v>
      </c>
    </row>
    <row r="366" spans="1:3" ht="34.5" x14ac:dyDescent="0.35">
      <c r="A366" s="43" t="s">
        <v>104</v>
      </c>
      <c r="B366" s="47">
        <v>2500</v>
      </c>
      <c r="C366" s="45" t="s">
        <v>450</v>
      </c>
    </row>
    <row r="367" spans="1:3" ht="34.5" x14ac:dyDescent="0.35">
      <c r="A367" s="43" t="s">
        <v>105</v>
      </c>
      <c r="B367" s="47">
        <v>2500</v>
      </c>
      <c r="C367" s="45" t="s">
        <v>450</v>
      </c>
    </row>
    <row r="368" spans="1:3" x14ac:dyDescent="0.35">
      <c r="A368" s="36" t="s">
        <v>205</v>
      </c>
      <c r="B368" s="51">
        <v>2463.7800000000002</v>
      </c>
      <c r="C368" s="38" t="s">
        <v>445</v>
      </c>
    </row>
    <row r="369" spans="1:3" x14ac:dyDescent="0.35">
      <c r="A369" s="36" t="s">
        <v>360</v>
      </c>
      <c r="B369" s="51">
        <v>2396.15</v>
      </c>
      <c r="C369" s="38" t="s">
        <v>445</v>
      </c>
    </row>
    <row r="370" spans="1:3" ht="23" x14ac:dyDescent="0.35">
      <c r="A370" s="36" t="s">
        <v>43</v>
      </c>
      <c r="B370" s="51">
        <v>2364.77</v>
      </c>
      <c r="C370" s="38" t="s">
        <v>445</v>
      </c>
    </row>
    <row r="371" spans="1:3" ht="34.5" x14ac:dyDescent="0.35">
      <c r="A371" s="36" t="s">
        <v>405</v>
      </c>
      <c r="B371" s="51">
        <v>2236.0300000000002</v>
      </c>
      <c r="C371" s="38" t="s">
        <v>445</v>
      </c>
    </row>
    <row r="372" spans="1:3" x14ac:dyDescent="0.35">
      <c r="A372" s="36" t="s">
        <v>35</v>
      </c>
      <c r="B372" s="51">
        <v>2120</v>
      </c>
      <c r="C372" s="38" t="s">
        <v>445</v>
      </c>
    </row>
    <row r="373" spans="1:3" ht="34.5" x14ac:dyDescent="0.35">
      <c r="A373" s="12" t="s">
        <v>233</v>
      </c>
      <c r="B373" s="20">
        <v>2055.75</v>
      </c>
      <c r="C373" s="11" t="s">
        <v>443</v>
      </c>
    </row>
    <row r="374" spans="1:3" ht="23" x14ac:dyDescent="0.35">
      <c r="A374" s="36" t="s">
        <v>148</v>
      </c>
      <c r="B374" s="51">
        <v>2026.33</v>
      </c>
      <c r="C374" s="38" t="s">
        <v>445</v>
      </c>
    </row>
    <row r="375" spans="1:3" x14ac:dyDescent="0.35">
      <c r="A375" s="43" t="s">
        <v>85</v>
      </c>
      <c r="B375" s="47">
        <v>2000</v>
      </c>
      <c r="C375" s="45" t="s">
        <v>450</v>
      </c>
    </row>
    <row r="376" spans="1:3" ht="23" x14ac:dyDescent="0.35">
      <c r="A376" s="36" t="s">
        <v>245</v>
      </c>
      <c r="B376" s="51">
        <v>1946.02</v>
      </c>
      <c r="C376" s="38" t="s">
        <v>445</v>
      </c>
    </row>
    <row r="377" spans="1:3" ht="23" x14ac:dyDescent="0.35">
      <c r="A377" s="43" t="s">
        <v>335</v>
      </c>
      <c r="B377" s="47">
        <v>1914.46</v>
      </c>
      <c r="C377" s="45" t="s">
        <v>450</v>
      </c>
    </row>
    <row r="378" spans="1:3" x14ac:dyDescent="0.35">
      <c r="A378" s="36" t="s">
        <v>126</v>
      </c>
      <c r="B378" s="51">
        <v>1908.89</v>
      </c>
      <c r="C378" s="38" t="s">
        <v>445</v>
      </c>
    </row>
    <row r="379" spans="1:3" ht="34.5" x14ac:dyDescent="0.35">
      <c r="A379" s="36" t="s">
        <v>51</v>
      </c>
      <c r="B379" s="51">
        <v>1900</v>
      </c>
      <c r="C379" s="38" t="s">
        <v>445</v>
      </c>
    </row>
    <row r="380" spans="1:3" ht="23" x14ac:dyDescent="0.35">
      <c r="A380" s="15" t="s">
        <v>414</v>
      </c>
      <c r="B380" s="19">
        <v>1827</v>
      </c>
      <c r="C380" s="29" t="s">
        <v>444</v>
      </c>
    </row>
    <row r="381" spans="1:3" ht="23" x14ac:dyDescent="0.35">
      <c r="A381" s="15" t="s">
        <v>434</v>
      </c>
      <c r="B381" s="19">
        <v>1827</v>
      </c>
      <c r="C381" s="29" t="s">
        <v>444</v>
      </c>
    </row>
    <row r="382" spans="1:3" ht="23" x14ac:dyDescent="0.35">
      <c r="A382" s="36" t="s">
        <v>49</v>
      </c>
      <c r="B382" s="51">
        <v>1797.22</v>
      </c>
      <c r="C382" s="38" t="s">
        <v>445</v>
      </c>
    </row>
    <row r="383" spans="1:3" ht="34.5" x14ac:dyDescent="0.35">
      <c r="A383" s="36" t="s">
        <v>155</v>
      </c>
      <c r="B383" s="51">
        <v>1776.41</v>
      </c>
      <c r="C383" s="38" t="s">
        <v>445</v>
      </c>
    </row>
    <row r="384" spans="1:3" ht="34.5" x14ac:dyDescent="0.35">
      <c r="A384" s="12" t="s">
        <v>174</v>
      </c>
      <c r="B384" s="20">
        <v>1569.56</v>
      </c>
      <c r="C384" s="11" t="s">
        <v>443</v>
      </c>
    </row>
    <row r="385" spans="1:3" ht="23" x14ac:dyDescent="0.35">
      <c r="A385" s="36" t="s">
        <v>418</v>
      </c>
      <c r="B385" s="51">
        <v>1554.11</v>
      </c>
      <c r="C385" s="38" t="s">
        <v>445</v>
      </c>
    </row>
    <row r="386" spans="1:3" x14ac:dyDescent="0.35">
      <c r="A386" s="43" t="s">
        <v>309</v>
      </c>
      <c r="B386" s="47">
        <v>1500</v>
      </c>
      <c r="C386" s="45" t="s">
        <v>450</v>
      </c>
    </row>
    <row r="387" spans="1:3" ht="23" x14ac:dyDescent="0.35">
      <c r="A387" s="36" t="s">
        <v>37</v>
      </c>
      <c r="B387" s="51">
        <v>1326.72</v>
      </c>
      <c r="C387" s="38" t="s">
        <v>445</v>
      </c>
    </row>
    <row r="388" spans="1:3" ht="23" x14ac:dyDescent="0.35">
      <c r="A388" s="36" t="s">
        <v>355</v>
      </c>
      <c r="B388" s="51">
        <v>1275.3399999999999</v>
      </c>
      <c r="C388" s="38" t="s">
        <v>445</v>
      </c>
    </row>
    <row r="389" spans="1:3" ht="23" x14ac:dyDescent="0.35">
      <c r="A389" s="43" t="s">
        <v>301</v>
      </c>
      <c r="B389" s="47">
        <v>1260</v>
      </c>
      <c r="C389" s="45" t="s">
        <v>450</v>
      </c>
    </row>
    <row r="390" spans="1:3" x14ac:dyDescent="0.35">
      <c r="A390" s="43" t="s">
        <v>57</v>
      </c>
      <c r="B390" s="47">
        <v>1200</v>
      </c>
      <c r="C390" s="45" t="s">
        <v>450</v>
      </c>
    </row>
    <row r="391" spans="1:3" ht="34.5" x14ac:dyDescent="0.35">
      <c r="A391" s="36" t="s">
        <v>33</v>
      </c>
      <c r="B391" s="51">
        <v>1042.48</v>
      </c>
      <c r="C391" s="38" t="s">
        <v>445</v>
      </c>
    </row>
    <row r="392" spans="1:3" x14ac:dyDescent="0.35">
      <c r="A392" s="43" t="s">
        <v>331</v>
      </c>
      <c r="B392" s="47">
        <v>1000</v>
      </c>
      <c r="C392" s="45" t="s">
        <v>450</v>
      </c>
    </row>
    <row r="393" spans="1:3" ht="34.5" x14ac:dyDescent="0.35">
      <c r="A393" s="36" t="s">
        <v>125</v>
      </c>
      <c r="B393" s="52">
        <v>944.35</v>
      </c>
      <c r="C393" s="38" t="s">
        <v>445</v>
      </c>
    </row>
    <row r="394" spans="1:3" ht="23" x14ac:dyDescent="0.35">
      <c r="A394" s="15" t="s">
        <v>381</v>
      </c>
      <c r="B394" s="30">
        <v>907.2</v>
      </c>
      <c r="C394" s="29" t="s">
        <v>444</v>
      </c>
    </row>
    <row r="395" spans="1:3" ht="23" x14ac:dyDescent="0.35">
      <c r="A395" s="31" t="s">
        <v>345</v>
      </c>
      <c r="B395" s="50">
        <v>897.11</v>
      </c>
      <c r="C395" s="33" t="s">
        <v>449</v>
      </c>
    </row>
    <row r="396" spans="1:3" ht="23" x14ac:dyDescent="0.35">
      <c r="A396" s="31" t="s">
        <v>348</v>
      </c>
      <c r="B396" s="50">
        <v>893.17</v>
      </c>
      <c r="C396" s="33" t="s">
        <v>449</v>
      </c>
    </row>
    <row r="397" spans="1:3" ht="34.5" x14ac:dyDescent="0.35">
      <c r="A397" s="36" t="s">
        <v>399</v>
      </c>
      <c r="B397" s="52">
        <v>885.93</v>
      </c>
      <c r="C397" s="38" t="s">
        <v>445</v>
      </c>
    </row>
    <row r="398" spans="1:3" ht="23" x14ac:dyDescent="0.35">
      <c r="A398" s="36" t="s">
        <v>359</v>
      </c>
      <c r="B398" s="52">
        <v>873.33</v>
      </c>
      <c r="C398" s="38" t="s">
        <v>445</v>
      </c>
    </row>
    <row r="399" spans="1:3" ht="34.5" x14ac:dyDescent="0.35">
      <c r="A399" s="36" t="s">
        <v>154</v>
      </c>
      <c r="B399" s="52">
        <v>871.61</v>
      </c>
      <c r="C399" s="38" t="s">
        <v>445</v>
      </c>
    </row>
    <row r="400" spans="1:3" ht="34.5" x14ac:dyDescent="0.35">
      <c r="A400" s="36" t="s">
        <v>257</v>
      </c>
      <c r="B400" s="52">
        <v>728.43</v>
      </c>
      <c r="C400" s="38" t="s">
        <v>445</v>
      </c>
    </row>
    <row r="401" spans="1:3" ht="23" x14ac:dyDescent="0.35">
      <c r="A401" s="36" t="s">
        <v>98</v>
      </c>
      <c r="B401" s="52">
        <v>670.87</v>
      </c>
      <c r="C401" s="38" t="s">
        <v>445</v>
      </c>
    </row>
    <row r="402" spans="1:3" ht="34.5" x14ac:dyDescent="0.35">
      <c r="A402" s="36" t="s">
        <v>206</v>
      </c>
      <c r="B402" s="52">
        <v>668.42</v>
      </c>
      <c r="C402" s="38" t="s">
        <v>445</v>
      </c>
    </row>
    <row r="403" spans="1:3" ht="23" x14ac:dyDescent="0.35">
      <c r="A403" s="36" t="s">
        <v>334</v>
      </c>
      <c r="B403" s="52">
        <v>612.67999999999995</v>
      </c>
      <c r="C403" s="38" t="s">
        <v>445</v>
      </c>
    </row>
    <row r="404" spans="1:3" ht="23" x14ac:dyDescent="0.35">
      <c r="A404" s="36" t="s">
        <v>403</v>
      </c>
      <c r="B404" s="52">
        <v>607.58000000000004</v>
      </c>
      <c r="C404" s="38" t="s">
        <v>445</v>
      </c>
    </row>
    <row r="405" spans="1:3" ht="23" x14ac:dyDescent="0.35">
      <c r="A405" s="36" t="s">
        <v>427</v>
      </c>
      <c r="B405" s="52">
        <v>555.67999999999995</v>
      </c>
      <c r="C405" s="38" t="s">
        <v>445</v>
      </c>
    </row>
    <row r="406" spans="1:3" ht="23" x14ac:dyDescent="0.35">
      <c r="A406" s="12" t="s">
        <v>216</v>
      </c>
      <c r="B406" s="21">
        <v>393.68</v>
      </c>
      <c r="C406" s="11" t="s">
        <v>443</v>
      </c>
    </row>
    <row r="407" spans="1:3" ht="34.5" x14ac:dyDescent="0.35">
      <c r="A407" s="36" t="s">
        <v>32</v>
      </c>
      <c r="B407" s="52">
        <v>384.88</v>
      </c>
      <c r="C407" s="38" t="s">
        <v>445</v>
      </c>
    </row>
    <row r="408" spans="1:3" ht="23" x14ac:dyDescent="0.35">
      <c r="A408" s="36" t="s">
        <v>358</v>
      </c>
      <c r="B408" s="52">
        <v>323.05</v>
      </c>
      <c r="C408" s="38" t="s">
        <v>445</v>
      </c>
    </row>
    <row r="409" spans="1:3" ht="34.5" x14ac:dyDescent="0.35">
      <c r="A409" s="36" t="s">
        <v>178</v>
      </c>
      <c r="B409" s="52">
        <v>296.2</v>
      </c>
      <c r="C409" s="38" t="s">
        <v>445</v>
      </c>
    </row>
    <row r="410" spans="1:3" ht="23" x14ac:dyDescent="0.35">
      <c r="A410" s="36" t="s">
        <v>362</v>
      </c>
      <c r="B410" s="52">
        <v>224.71</v>
      </c>
      <c r="C410" s="38" t="s">
        <v>445</v>
      </c>
    </row>
    <row r="411" spans="1:3" ht="34.5" x14ac:dyDescent="0.35">
      <c r="A411" s="12" t="s">
        <v>172</v>
      </c>
      <c r="B411" s="21">
        <v>179.14</v>
      </c>
      <c r="C411" s="11" t="s">
        <v>443</v>
      </c>
    </row>
    <row r="412" spans="1:3" ht="23" x14ac:dyDescent="0.35">
      <c r="A412" s="36" t="s">
        <v>430</v>
      </c>
      <c r="B412" s="52">
        <v>140.35</v>
      </c>
      <c r="C412" s="38" t="s">
        <v>445</v>
      </c>
    </row>
    <row r="413" spans="1:3" ht="23" x14ac:dyDescent="0.35">
      <c r="A413" s="36" t="s">
        <v>264</v>
      </c>
      <c r="B413" s="52">
        <v>135</v>
      </c>
      <c r="C413" s="38" t="s">
        <v>445</v>
      </c>
    </row>
    <row r="414" spans="1:3" ht="34.5" x14ac:dyDescent="0.35">
      <c r="A414" s="36" t="s">
        <v>167</v>
      </c>
      <c r="B414" s="53">
        <v>64.81</v>
      </c>
      <c r="C414" s="38" t="s">
        <v>445</v>
      </c>
    </row>
    <row r="415" spans="1:3" ht="23" x14ac:dyDescent="0.35">
      <c r="A415" s="36" t="s">
        <v>406</v>
      </c>
      <c r="B415" s="53">
        <v>46.58</v>
      </c>
      <c r="C415" s="38" t="s">
        <v>445</v>
      </c>
    </row>
    <row r="416" spans="1:3" ht="23" x14ac:dyDescent="0.35">
      <c r="A416" s="36" t="s">
        <v>364</v>
      </c>
      <c r="B416" s="53">
        <v>40.82</v>
      </c>
      <c r="C416" s="38" t="s">
        <v>445</v>
      </c>
    </row>
    <row r="417" spans="1:3" ht="23" x14ac:dyDescent="0.35">
      <c r="A417" s="43" t="s">
        <v>107</v>
      </c>
      <c r="B417" s="55">
        <v>12.85</v>
      </c>
      <c r="C417" s="45" t="s">
        <v>450</v>
      </c>
    </row>
    <row r="418" spans="1:3" ht="46" x14ac:dyDescent="0.35">
      <c r="A418" s="36" t="s">
        <v>166</v>
      </c>
      <c r="B418" s="54">
        <v>9.74</v>
      </c>
      <c r="C418" s="38" t="s">
        <v>445</v>
      </c>
    </row>
  </sheetData>
  <autoFilter ref="A1:C418" xr:uid="{00000000-0009-0000-0000-000002000000}">
    <sortState xmlns:xlrd2="http://schemas.microsoft.com/office/spreadsheetml/2017/richdata2" ref="A2:C411">
      <sortCondition ref="C1:C418"/>
    </sortState>
  </autoFilter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Gerenciamento executivo </vt:lpstr>
      <vt:lpstr>Executivo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Matheus Alexandre Guedes</cp:lastModifiedBy>
  <dcterms:created xsi:type="dcterms:W3CDTF">2021-06-30T18:49:34Z</dcterms:created>
  <dcterms:modified xsi:type="dcterms:W3CDTF">2022-08-05T17:47:37Z</dcterms:modified>
</cp:coreProperties>
</file>