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WF Construtora\04. Custo\03.4 Custo - Fechamento\R02\"/>
    </mc:Choice>
  </mc:AlternateContent>
  <xr:revisionPtr revIDLastSave="0" documentId="13_ncr:1_{698144EA-5F18-4D6D-85E7-8425AC4373DC}" xr6:coauthVersionLast="47" xr6:coauthVersionMax="47" xr10:uidLastSave="{00000000-0000-0000-0000-000000000000}"/>
  <bookViews>
    <workbookView xWindow="-23148" yWindow="-48" windowWidth="23256" windowHeight="12456" tabRatio="776" activeTab="1" xr2:uid="{00000000-000D-0000-FFFF-FFFF00000000}"/>
  </bookViews>
  <sheets>
    <sheet name="GER_EXECUTIVO" sheetId="10" r:id="rId1"/>
    <sheet name="ANÁLISE_CUSTOS" sheetId="1" r:id="rId2"/>
    <sheet name="CÁLCULO_MÉDIAS" sheetId="5" r:id="rId3"/>
    <sheet name="AREAS PRIVATIVAS" sheetId="8" r:id="rId4"/>
  </sheets>
  <externalReferences>
    <externalReference r:id="rId5"/>
    <externalReference r:id="rId6"/>
    <externalReference r:id="rId7"/>
    <externalReference r:id="rId8"/>
    <externalReference r:id="rId9"/>
  </externalReferenc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4" roundtripDataSignature="AMtx7mi6xe1SFltZWVqnyhpgiyWbNfDL2Q=="/>
    </ext>
  </extLst>
</workbook>
</file>

<file path=xl/calcChain.xml><?xml version="1.0" encoding="utf-8"?>
<calcChain xmlns="http://schemas.openxmlformats.org/spreadsheetml/2006/main">
  <c r="B2" i="10" l="1"/>
  <c r="B18" i="10" l="1"/>
  <c r="B4" i="10" l="1"/>
  <c r="B5" i="10"/>
  <c r="B6" i="10"/>
  <c r="B10" i="10"/>
  <c r="B11" i="10"/>
  <c r="B12" i="10"/>
  <c r="B13" i="10"/>
  <c r="B14" i="10"/>
  <c r="B15" i="10"/>
  <c r="B16" i="10"/>
  <c r="B17" i="10"/>
  <c r="B9" i="10" l="1"/>
  <c r="B7" i="10"/>
  <c r="B3" i="10"/>
  <c r="B8" i="10" l="1"/>
  <c r="R27" i="5" l="1"/>
  <c r="K21" i="5" l="1"/>
  <c r="K19" i="5"/>
  <c r="G27" i="5" l="1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27" i="5" l="1"/>
  <c r="F19" i="5" l="1"/>
  <c r="E27" i="5"/>
  <c r="F26" i="5"/>
  <c r="F25" i="5"/>
  <c r="F24" i="5"/>
  <c r="F23" i="5"/>
  <c r="F22" i="5"/>
  <c r="F20" i="5"/>
  <c r="F18" i="5"/>
  <c r="F17" i="5"/>
  <c r="F16" i="5"/>
  <c r="F15" i="5"/>
  <c r="F14" i="5"/>
  <c r="F13" i="5"/>
  <c r="F12" i="5"/>
  <c r="F11" i="5"/>
  <c r="F21" i="5" l="1"/>
  <c r="F27" i="5" s="1"/>
  <c r="C21" i="5"/>
  <c r="C20" i="5"/>
  <c r="C19" i="5" l="1"/>
  <c r="M27" i="5" l="1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5" i="5"/>
  <c r="D6" i="1"/>
  <c r="A5" i="1"/>
  <c r="D3" i="1"/>
  <c r="N27" i="5" l="1"/>
  <c r="P5" i="5" l="1"/>
  <c r="E5" i="8" l="1"/>
  <c r="S27" i="5"/>
  <c r="O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C23" i="8"/>
  <c r="C28" i="8" s="1"/>
  <c r="B23" i="8"/>
  <c r="D5" i="8" s="1"/>
  <c r="D5" i="1" l="1"/>
  <c r="C25" i="8"/>
  <c r="C27" i="8"/>
  <c r="P27" i="5"/>
  <c r="C24" i="8"/>
  <c r="C26" i="8"/>
  <c r="B14" i="8" l="1"/>
  <c r="B16" i="8" l="1"/>
  <c r="E16" i="8" s="1"/>
  <c r="D14" i="8"/>
  <c r="E14" i="8"/>
  <c r="B11" i="8"/>
  <c r="E11" i="8" s="1"/>
  <c r="B13" i="8"/>
  <c r="E13" i="8" s="1"/>
  <c r="D16" i="8" l="1"/>
  <c r="D13" i="8" l="1"/>
  <c r="D11" i="8" l="1"/>
  <c r="L12" i="5" l="1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11" i="5"/>
  <c r="J12" i="5"/>
  <c r="J17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11" i="5"/>
  <c r="A7" i="1"/>
  <c r="A8" i="1"/>
  <c r="A9" i="1"/>
  <c r="A10" i="1"/>
  <c r="A14" i="1"/>
  <c r="A15" i="1"/>
  <c r="A6" i="1"/>
  <c r="D7" i="1" l="1"/>
  <c r="D8" i="1"/>
  <c r="D9" i="1"/>
  <c r="D10" i="1"/>
  <c r="D11" i="1"/>
  <c r="D12" i="1"/>
  <c r="D13" i="1"/>
  <c r="D14" i="1"/>
  <c r="D15" i="1"/>
  <c r="D16" i="1"/>
  <c r="D17" i="1"/>
  <c r="D4" i="1"/>
  <c r="J11" i="5"/>
  <c r="J26" i="5"/>
  <c r="J25" i="5"/>
  <c r="J24" i="5"/>
  <c r="J23" i="5"/>
  <c r="J22" i="5"/>
  <c r="J21" i="5"/>
  <c r="J20" i="5"/>
  <c r="J19" i="5"/>
  <c r="J18" i="5"/>
  <c r="J16" i="5"/>
  <c r="J15" i="5"/>
  <c r="J14" i="5"/>
  <c r="J13" i="5"/>
  <c r="C27" i="5" l="1"/>
  <c r="K27" i="5" l="1"/>
  <c r="L27" i="5" l="1"/>
  <c r="D18" i="1" l="1"/>
  <c r="I27" i="5" l="1"/>
  <c r="J27" i="5" l="1"/>
  <c r="D27" i="5"/>
  <c r="B73" i="10" l="1"/>
  <c r="B85" i="10"/>
  <c r="B67" i="10" l="1"/>
  <c r="B72" i="10"/>
  <c r="B80" i="10"/>
  <c r="B81" i="10"/>
  <c r="B82" i="10"/>
  <c r="B83" i="10"/>
  <c r="B84" i="10"/>
  <c r="B86" i="10"/>
  <c r="B50" i="10"/>
  <c r="B49" i="10"/>
  <c r="B47" i="10"/>
  <c r="B4" i="8" l="1"/>
  <c r="B3" i="8" l="1"/>
  <c r="D4" i="8"/>
  <c r="E4" i="8"/>
  <c r="E3" i="8" l="1"/>
  <c r="D3" i="8"/>
  <c r="B45" i="10" l="1"/>
  <c r="B71" i="10" l="1"/>
  <c r="B91" i="10" l="1"/>
  <c r="B74" i="10" l="1"/>
  <c r="B70" i="10" l="1"/>
  <c r="B6" i="8" l="1"/>
  <c r="B17" i="8"/>
  <c r="B48" i="10"/>
  <c r="B51" i="10"/>
  <c r="B52" i="10"/>
  <c r="C51" i="10" s="1"/>
  <c r="B53" i="10"/>
  <c r="B54" i="10"/>
  <c r="B55" i="10"/>
  <c r="B56" i="10"/>
  <c r="B57" i="10"/>
  <c r="B58" i="10"/>
  <c r="C57" i="10" s="1"/>
  <c r="B59" i="10"/>
  <c r="B60" i="10"/>
  <c r="C59" i="10" s="1"/>
  <c r="B61" i="10"/>
  <c r="B62" i="10"/>
  <c r="C61" i="10" s="1"/>
  <c r="B63" i="10"/>
  <c r="B64" i="10"/>
  <c r="B65" i="10"/>
  <c r="B66" i="10"/>
  <c r="C65" i="10" s="1"/>
  <c r="B68" i="10"/>
  <c r="B69" i="10"/>
  <c r="B75" i="10"/>
  <c r="B76" i="10"/>
  <c r="B77" i="10"/>
  <c r="B78" i="10"/>
  <c r="B79" i="10"/>
  <c r="B87" i="10"/>
  <c r="B88" i="10"/>
  <c r="B89" i="10"/>
  <c r="B90" i="10"/>
  <c r="B92" i="10"/>
  <c r="B93" i="10"/>
  <c r="B94" i="10"/>
  <c r="B95" i="10"/>
  <c r="C94" i="10" s="1"/>
  <c r="B96" i="10"/>
  <c r="B97" i="10"/>
  <c r="C96" i="10" s="1"/>
  <c r="C89" i="10" l="1"/>
  <c r="C63" i="10"/>
  <c r="C53" i="10"/>
  <c r="C79" i="10"/>
  <c r="C77" i="10"/>
  <c r="C75" i="10"/>
  <c r="C55" i="10"/>
  <c r="C92" i="10"/>
  <c r="C48" i="10"/>
  <c r="C88" i="10"/>
  <c r="B9" i="8"/>
  <c r="D17" i="8"/>
  <c r="E17" i="8"/>
  <c r="B8" i="8"/>
  <c r="D6" i="8"/>
  <c r="E6" i="8"/>
  <c r="B15" i="8"/>
  <c r="C68" i="10"/>
  <c r="B12" i="8" l="1"/>
  <c r="D8" i="8"/>
  <c r="E8" i="8"/>
  <c r="D9" i="8"/>
  <c r="E9" i="8"/>
  <c r="E15" i="8"/>
  <c r="D15" i="8"/>
  <c r="B10" i="8"/>
  <c r="B7" i="8"/>
  <c r="D10" i="8" l="1"/>
  <c r="E10" i="8"/>
  <c r="D12" i="8"/>
  <c r="E12" i="8"/>
  <c r="D7" i="8"/>
  <c r="E7" i="8"/>
  <c r="B2" i="8" l="1"/>
  <c r="E2" i="8" l="1"/>
  <c r="D2" i="8"/>
  <c r="D19" i="8" s="1"/>
  <c r="B18" i="8"/>
  <c r="B19" i="8" l="1"/>
  <c r="C18" i="8" s="1"/>
  <c r="D18" i="8"/>
  <c r="E18" i="8"/>
  <c r="C5" i="8" l="1"/>
  <c r="C16" i="8"/>
  <c r="C14" i="8"/>
  <c r="C11" i="8"/>
  <c r="C13" i="8"/>
  <c r="C3" i="8"/>
  <c r="C17" i="8"/>
  <c r="C6" i="8"/>
  <c r="C15" i="8"/>
  <c r="C9" i="8"/>
  <c r="C8" i="8"/>
  <c r="C12" i="8"/>
  <c r="C10" i="8"/>
  <c r="C7" i="8"/>
  <c r="C4" i="8"/>
  <c r="C2" i="8"/>
  <c r="C19" i="8" s="1"/>
  <c r="D2" i="10" l="1"/>
  <c r="B3" i="1"/>
  <c r="C3" i="1" l="1"/>
  <c r="D18" i="10" l="1"/>
  <c r="D15" i="10"/>
  <c r="B6" i="1"/>
  <c r="C6" i="1" s="1"/>
  <c r="D5" i="10"/>
  <c r="B19" i="10" l="1"/>
  <c r="D12" i="10"/>
  <c r="B13" i="1"/>
  <c r="C13" i="1" s="1"/>
  <c r="B9" i="1"/>
  <c r="C9" i="1" s="1"/>
  <c r="D8" i="10"/>
  <c r="D4" i="10"/>
  <c r="B5" i="1"/>
  <c r="C5" i="1" s="1"/>
  <c r="D14" i="10"/>
  <c r="B15" i="1"/>
  <c r="C15" i="1" s="1"/>
  <c r="D17" i="10"/>
  <c r="B17" i="1"/>
  <c r="C17" i="1" s="1"/>
  <c r="D16" i="10"/>
  <c r="B16" i="1"/>
  <c r="C16" i="1" s="1"/>
  <c r="B11" i="1"/>
  <c r="C11" i="1" s="1"/>
  <c r="D10" i="10"/>
  <c r="B14" i="1"/>
  <c r="C14" i="1" s="1"/>
  <c r="D13" i="10"/>
  <c r="D6" i="10"/>
  <c r="B7" i="1"/>
  <c r="C7" i="1" s="1"/>
  <c r="D11" i="10"/>
  <c r="B12" i="1"/>
  <c r="C12" i="1" s="1"/>
  <c r="B8" i="1"/>
  <c r="C8" i="1" s="1"/>
  <c r="D7" i="10"/>
  <c r="D9" i="10" l="1"/>
  <c r="B10" i="1"/>
  <c r="C10" i="1" s="1"/>
  <c r="B4" i="1"/>
  <c r="D3" i="10"/>
  <c r="D19" i="10" s="1"/>
  <c r="D20" i="10" s="1"/>
  <c r="C17" i="10" l="1"/>
  <c r="C16" i="10"/>
  <c r="C2" i="10"/>
  <c r="C11" i="10"/>
  <c r="C5" i="10"/>
  <c r="C8" i="10"/>
  <c r="C4" i="10"/>
  <c r="C13" i="10"/>
  <c r="C18" i="10"/>
  <c r="C9" i="10"/>
  <c r="C6" i="10"/>
  <c r="C12" i="10"/>
  <c r="C15" i="10"/>
  <c r="C14" i="10"/>
  <c r="C10" i="10"/>
  <c r="C7" i="10"/>
  <c r="C3" i="10"/>
  <c r="C4" i="1"/>
  <c r="C18" i="1" s="1"/>
  <c r="B18" i="1"/>
  <c r="C19" i="10" l="1"/>
</calcChain>
</file>

<file path=xl/sharedStrings.xml><?xml version="1.0" encoding="utf-8"?>
<sst xmlns="http://schemas.openxmlformats.org/spreadsheetml/2006/main" count="232" uniqueCount="112">
  <si>
    <t>ETAPA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</si>
  <si>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</si>
  <si>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</si>
  <si>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</si>
  <si>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</si>
  <si>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</si>
  <si>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</si>
  <si>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</si>
  <si>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</si>
  <si>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</si>
  <si>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</si>
  <si>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</si>
  <si>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</si>
  <si>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</si>
  <si>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</si>
  <si>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</si>
  <si>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</si>
  <si>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</si>
  <si>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</si>
  <si>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</si>
  <si>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</si>
  <si>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</si>
  <si>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</si>
  <si>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</si>
  <si>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</si>
  <si>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</si>
  <si>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</si>
  <si>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</si>
  <si>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</si>
  <si>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CUB/SC</t>
  </si>
  <si>
    <t>M2</t>
  </si>
  <si>
    <t>PAVIMENTOS</t>
  </si>
  <si>
    <t>m²</t>
  </si>
  <si>
    <t>PAREDES E PAINÉIS</t>
  </si>
  <si>
    <t>LOUÇAS E METAIS</t>
  </si>
  <si>
    <t>Rótulos de Linha</t>
  </si>
  <si>
    <t>Total Geral</t>
  </si>
  <si>
    <t>Soma de %</t>
  </si>
  <si>
    <t>MAIORI</t>
  </si>
  <si>
    <t>VALOR TOTAL</t>
  </si>
  <si>
    <t>VALOR POR UNIDADE 01</t>
  </si>
  <si>
    <t>VALOR POR UNIDADE 02</t>
  </si>
  <si>
    <t>ÁREA (m²)</t>
  </si>
  <si>
    <t>VALOR POR ÁREA PRIVATIVA (R$/m²)</t>
  </si>
  <si>
    <t>DESCRIÇÃO</t>
  </si>
  <si>
    <t>OBRAS DE REFERÊNCIA</t>
  </si>
  <si>
    <t>REVESTIMENTOS INTERNOS DE PAREDE</t>
  </si>
  <si>
    <t>PISOS E PAVIMENTAÇÕES</t>
  </si>
  <si>
    <t>RAVELLO</t>
  </si>
  <si>
    <t>MARINE</t>
  </si>
  <si>
    <t>IMPREVISTOS E CONTIGÊNCIAS</t>
  </si>
  <si>
    <t>VALOR POR UNIDADE 03</t>
  </si>
  <si>
    <t>VALOR POR UNIDADE 04</t>
  </si>
  <si>
    <t>VALOR POR UNIDADE 05</t>
  </si>
  <si>
    <t>Imprevistos e contingências</t>
  </si>
  <si>
    <t>IMPERMEABILIZAÇÃO E TRATAMENTOS</t>
  </si>
  <si>
    <t>SISTEMAS E INSTALAÇÕES HIDROSSANITÁRIAS E DRENAGEM</t>
  </si>
  <si>
    <t>SISTEMAS E INSTALAÇÕES ELÉTRICAS</t>
  </si>
  <si>
    <t>INSTALAÇÕES PREVENTIVAS</t>
  </si>
  <si>
    <t>INSTALAÇÕES DE GÁS</t>
  </si>
  <si>
    <t>INSTALAÇÕES DE COMUNICAÇÕES</t>
  </si>
  <si>
    <t>IMPREVISTOS E CONTINGÊNCIAS</t>
  </si>
  <si>
    <t>CLIMATIZAÇÃO, EXAUSTÃO MECÂNICA E PRESSURIZAÇÃO</t>
  </si>
  <si>
    <t>Reboco interno</t>
  </si>
  <si>
    <t>Contrapiso</t>
  </si>
  <si>
    <t>Acabamentos cimentados em piso</t>
  </si>
  <si>
    <t>Rodapés</t>
  </si>
  <si>
    <t>SERVIÇOS COMPLEMENTARES E FINAIS</t>
  </si>
  <si>
    <t>VALOR</t>
  </si>
  <si>
    <t>ESTRUTURA</t>
  </si>
  <si>
    <t>Incluso climatização</t>
  </si>
  <si>
    <t>REVESTIMENTOS ARGAMASSADOS DE PAREDE</t>
  </si>
  <si>
    <t>ACABAMENTOS INTERNOS DE PAREDE</t>
  </si>
  <si>
    <t>REVESTIMENTOS INTERNOS DE TETO</t>
  </si>
  <si>
    <t>SISTEMAS DE PINTURA</t>
  </si>
  <si>
    <t>ESTRUTURA GERAL</t>
  </si>
  <si>
    <t>Reboco Externo</t>
  </si>
  <si>
    <t>Acabamentos cerâmicos e Porcelanato em piso</t>
  </si>
  <si>
    <t>Acabamentos especiais em piso</t>
  </si>
  <si>
    <t>PINTURA EXTERNA</t>
  </si>
  <si>
    <t>CONTENÇÕES</t>
  </si>
  <si>
    <t>PROFUNDIDADE DAS ESTACAS E CONTENÇÕES</t>
  </si>
  <si>
    <t>93/M2 SÓ DE CONTNEÇÃO</t>
  </si>
  <si>
    <t>MEGA</t>
  </si>
  <si>
    <t>SEM IMPREVISTO</t>
  </si>
  <si>
    <t>Mão de Obra - INTERNO</t>
  </si>
  <si>
    <t>Mão de Obra - EXTERNO</t>
  </si>
  <si>
    <t>Mão de obra - acabamentos em pisos e pavimentações - CIMENTADOS</t>
  </si>
  <si>
    <t>Mão de obra - acabamentos em pisos e pavimentações - RESTO</t>
  </si>
  <si>
    <t>AS RAMOS - PAESSAGGIO</t>
  </si>
  <si>
    <t>AMALFI - TRAMONTI</t>
  </si>
  <si>
    <t>AMALFI - RAVELLO</t>
  </si>
  <si>
    <t>A= 15.602,85 M²</t>
  </si>
  <si>
    <t>A= 13.434,29 M²</t>
  </si>
  <si>
    <t>JTA - ASPEN</t>
  </si>
  <si>
    <t>A= 22.087,95 M²</t>
  </si>
  <si>
    <t>CN - BRAVA BREEZE</t>
  </si>
  <si>
    <t>A=15.492,69 m²</t>
  </si>
  <si>
    <t>BE BRAVE - MERAKI</t>
  </si>
  <si>
    <t>A=22.461,09 m²</t>
  </si>
  <si>
    <t>A=16.348,10 m²</t>
  </si>
  <si>
    <t>A=14.559,12 m²</t>
  </si>
  <si>
    <t>NEUHAUS - ORIGEM 3300</t>
  </si>
  <si>
    <t>AQUARIUS</t>
  </si>
  <si>
    <t>ok - tratamento de frisos</t>
  </si>
  <si>
    <t>ok - mo propria para argamassados + drywall</t>
  </si>
  <si>
    <t>ok - acartonado + estucamento mo propria</t>
  </si>
  <si>
    <t>ok</t>
  </si>
  <si>
    <t>ok - drywall interno - mão de obra propria</t>
  </si>
  <si>
    <t>praticamente tudo textura, granitina mais barato que a textura preta</t>
  </si>
  <si>
    <t>equipamnetos proprios</t>
  </si>
  <si>
    <t>pintura epoxi no piso da escadas e 2 demaos de textura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</si>
</sst>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* #.##0.00_-;\-* #.##0.00_-;_-* &quot;-&quot;??_-;_-@_-"/>
    <numFmt numFmtId="166" formatCode="#,##0.0000"/>
    <numFmt numFmtId="167" formatCode="_-* #,##0_-;\-* #,##0_-;_-* &quot;-&quot;??_-;_-@"/>
    <numFmt numFmtId="168" formatCode="_-* #,##0.0000_-;\-* #,##0.0000_-;_-* &quot;-&quot;??_-;_-@_-"/>
    <numFmt numFmtId="169" formatCode="_(* #,##0.00_);_(* \(#,##0.00\);_(* &quot;-&quot;??_);_(@_)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sz val="11"/>
      <color rgb="FF92D050"/>
      <name val="Poppins"/>
    </font>
    <font>
      <sz val="8"/>
      <name val="Calibri"/>
      <family val="2"/>
      <scheme val="minor"/>
    </font>
    <font>
      <sz val="8"/>
      <color rgb="FF3B3B3B"/>
      <name val="Tahoma"/>
      <family val="2"/>
    </font>
    <font>
      <sz val="8"/>
      <color theme="1"/>
      <name val="Calibri"/>
      <family val="2"/>
    </font>
    <font>
      <sz val="10"/>
      <name val="Arial"/>
      <family val="2"/>
    </font>
    <font>
      <sz val="11"/>
      <color rgb="FFFF0000"/>
      <name val="Poppins"/>
    </font>
    <font>
      <sz val="8"/>
      <color rgb="FFFF000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0"/>
      <color theme="1"/>
      <name val="Poppins"/>
    </font>
    <font>
      <sz val="11"/>
      <color rgb="FF121212"/>
      <name val="Poppins"/>
    </font>
  </fonts>
  <fills count="17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  <fill>
      <patternFill patternType="solid">
        <fgColor rgb="FFFFFFFF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49992370372631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thin">
        <color rgb="FF646464"/>
      </right>
      <top style="hair">
        <color rgb="FF000000"/>
      </top>
      <bottom style="medium">
        <color indexed="64"/>
      </bottom>
      <diagonal/>
    </border>
    <border>
      <left/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1">
    <xf numFmtId="0" fontId="0" fillId="0" borderId="0"/>
    <xf numFmtId="44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0" fontId="2" fillId="0" borderId="4"/>
    <xf numFmtId="43" fontId="2" fillId="0" borderId="4" applyFont="0" applyFill="0" applyBorder="0" applyAlignment="0" applyProtection="0"/>
    <xf numFmtId="44" fontId="2" fillId="0" borderId="4" applyFont="0" applyFill="0" applyBorder="0" applyAlignment="0" applyProtection="0"/>
    <xf numFmtId="0" fontId="26" fillId="8" borderId="4" applyNumberFormat="0" applyFont="0" applyFill="0" applyBorder="0" applyAlignment="0" applyProtection="0">
      <alignment horizontal="left" vertical="top" wrapText="1"/>
    </xf>
    <xf numFmtId="0" fontId="28" fillId="0" borderId="4" applyNumberFormat="0" applyFont="0" applyFill="0" applyBorder="0" applyAlignment="0" applyProtection="0"/>
    <xf numFmtId="169" fontId="28" fillId="0" borderId="4" applyNumberFormat="0" applyFont="0" applyFill="0" applyBorder="0" applyAlignment="0" applyProtection="0"/>
  </cellStyleXfs>
  <cellXfs count="163">
    <xf numFmtId="0" fontId="0" fillId="0" borderId="0" xfId="0"/>
    <xf numFmtId="0" fontId="11" fillId="0" borderId="0" xfId="0" applyFont="1"/>
    <xf numFmtId="0" fontId="11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0" fontId="12" fillId="0" borderId="0" xfId="0" applyFont="1" applyAlignment="1">
      <alignment vertical="center"/>
    </xf>
    <xf numFmtId="10" fontId="11" fillId="3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13" fillId="0" borderId="0" xfId="0" applyNumberFormat="1" applyFont="1"/>
    <xf numFmtId="0" fontId="0" fillId="0" borderId="4" xfId="0" applyBorder="1"/>
    <xf numFmtId="44" fontId="0" fillId="0" borderId="7" xfId="1" applyFont="1" applyBorder="1"/>
    <xf numFmtId="0" fontId="16" fillId="0" borderId="0" xfId="0" applyFont="1"/>
    <xf numFmtId="44" fontId="0" fillId="0" borderId="7" xfId="1" applyFont="1" applyFill="1" applyBorder="1"/>
    <xf numFmtId="0" fontId="7" fillId="0" borderId="0" xfId="0" applyFont="1"/>
    <xf numFmtId="165" fontId="1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164" fontId="14" fillId="0" borderId="4" xfId="0" applyNumberFormat="1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5" fillId="0" borderId="24" xfId="1" applyFont="1" applyBorder="1"/>
    <xf numFmtId="0" fontId="0" fillId="0" borderId="10" xfId="0" applyBorder="1"/>
    <xf numFmtId="0" fontId="8" fillId="7" borderId="14" xfId="0" applyFont="1" applyFill="1" applyBorder="1" applyAlignment="1">
      <alignment horizontal="left" vertical="center"/>
    </xf>
    <xf numFmtId="44" fontId="19" fillId="5" borderId="21" xfId="0" applyNumberFormat="1" applyFont="1" applyFill="1" applyBorder="1"/>
    <xf numFmtId="44" fontId="19" fillId="5" borderId="21" xfId="0" applyNumberFormat="1" applyFont="1" applyFill="1" applyBorder="1" applyAlignment="1">
      <alignment horizontal="center"/>
    </xf>
    <xf numFmtId="44" fontId="19" fillId="5" borderId="26" xfId="0" applyNumberFormat="1" applyFont="1" applyFill="1" applyBorder="1" applyAlignment="1">
      <alignment horizontal="center"/>
    </xf>
    <xf numFmtId="44" fontId="19" fillId="5" borderId="22" xfId="0" applyNumberFormat="1" applyFont="1" applyFill="1" applyBorder="1" applyAlignment="1">
      <alignment horizontal="center"/>
    </xf>
    <xf numFmtId="0" fontId="19" fillId="5" borderId="5" xfId="0" applyFont="1" applyFill="1" applyBorder="1"/>
    <xf numFmtId="0" fontId="19" fillId="5" borderId="9" xfId="0" applyFont="1" applyFill="1" applyBorder="1"/>
    <xf numFmtId="43" fontId="0" fillId="0" borderId="0" xfId="2" applyFont="1"/>
    <xf numFmtId="43" fontId="19" fillId="5" borderId="11" xfId="2" applyFont="1" applyFill="1" applyBorder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/>
    <xf numFmtId="10" fontId="11" fillId="4" borderId="28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9" fontId="8" fillId="2" borderId="11" xfId="0" applyNumberFormat="1" applyFont="1" applyFill="1" applyBorder="1" applyAlignment="1">
      <alignment horizontal="center" vertical="center"/>
    </xf>
    <xf numFmtId="17" fontId="8" fillId="2" borderId="11" xfId="0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left" vertical="center"/>
    </xf>
    <xf numFmtId="164" fontId="11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19" fillId="6" borderId="21" xfId="0" applyNumberFormat="1" applyFont="1" applyFill="1" applyBorder="1"/>
    <xf numFmtId="43" fontId="8" fillId="2" borderId="6" xfId="2" applyFont="1" applyFill="1" applyBorder="1" applyAlignment="1">
      <alignment horizontal="center" vertical="center"/>
    </xf>
    <xf numFmtId="43" fontId="8" fillId="2" borderId="8" xfId="2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/>
    </xf>
    <xf numFmtId="43" fontId="9" fillId="2" borderId="10" xfId="2" applyFont="1" applyFill="1" applyBorder="1" applyAlignment="1">
      <alignment horizontal="center"/>
    </xf>
    <xf numFmtId="44" fontId="7" fillId="0" borderId="19" xfId="1" applyFont="1" applyBorder="1"/>
    <xf numFmtId="44" fontId="21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44" fontId="21" fillId="0" borderId="7" xfId="1" applyFont="1" applyBorder="1"/>
    <xf numFmtId="0" fontId="19" fillId="5" borderId="4" xfId="0" applyFont="1" applyFill="1" applyBorder="1"/>
    <xf numFmtId="0" fontId="3" fillId="0" borderId="0" xfId="0" applyFont="1"/>
    <xf numFmtId="43" fontId="19" fillId="5" borderId="21" xfId="2" applyFont="1" applyFill="1" applyBorder="1" applyAlignment="1">
      <alignment horizontal="center" vertical="center"/>
    </xf>
    <xf numFmtId="43" fontId="12" fillId="0" borderId="16" xfId="0" applyNumberFormat="1" applyFont="1" applyBorder="1" applyAlignment="1">
      <alignment vertical="center"/>
    </xf>
    <xf numFmtId="44" fontId="22" fillId="6" borderId="21" xfId="0" applyNumberFormat="1" applyFont="1" applyFill="1" applyBorder="1"/>
    <xf numFmtId="17" fontId="4" fillId="0" borderId="6" xfId="0" applyNumberFormat="1" applyFont="1" applyBorder="1"/>
    <xf numFmtId="43" fontId="12" fillId="0" borderId="0" xfId="0" applyNumberFormat="1" applyFont="1" applyAlignment="1">
      <alignment vertical="center"/>
    </xf>
    <xf numFmtId="164" fontId="18" fillId="3" borderId="2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43" fontId="23" fillId="0" borderId="31" xfId="2" applyFont="1" applyFill="1" applyBorder="1" applyAlignment="1">
      <alignment vertical="top" wrapText="1"/>
    </xf>
    <xf numFmtId="2" fontId="12" fillId="0" borderId="0" xfId="0" applyNumberFormat="1" applyFont="1" applyAlignment="1">
      <alignment vertical="center"/>
    </xf>
    <xf numFmtId="164" fontId="8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44" fontId="8" fillId="2" borderId="11" xfId="0" applyNumberFormat="1" applyFont="1" applyFill="1" applyBorder="1" applyAlignment="1">
      <alignment horizontal="left" vertical="center"/>
    </xf>
    <xf numFmtId="44" fontId="8" fillId="2" borderId="11" xfId="1" applyFont="1" applyFill="1" applyBorder="1" applyAlignment="1">
      <alignment horizontal="center" vertical="center"/>
    </xf>
    <xf numFmtId="167" fontId="8" fillId="2" borderId="11" xfId="0" applyNumberFormat="1" applyFont="1" applyFill="1" applyBorder="1" applyAlignment="1">
      <alignment horizontal="right" vertical="center"/>
    </xf>
    <xf numFmtId="44" fontId="8" fillId="2" borderId="13" xfId="1" applyFont="1" applyFill="1" applyBorder="1" applyAlignment="1">
      <alignment horizontal="right"/>
    </xf>
    <xf numFmtId="44" fontId="11" fillId="4" borderId="3" xfId="1" applyFont="1" applyFill="1" applyBorder="1" applyAlignment="1">
      <alignment horizontal="right" vertical="center"/>
    </xf>
    <xf numFmtId="44" fontId="11" fillId="3" borderId="3" xfId="1" applyFont="1" applyFill="1" applyBorder="1" applyAlignment="1">
      <alignment horizontal="right" vertical="center"/>
    </xf>
    <xf numFmtId="44" fontId="8" fillId="2" borderId="11" xfId="1" applyFont="1" applyFill="1" applyBorder="1" applyAlignment="1">
      <alignment horizontal="right" vertical="center"/>
    </xf>
    <xf numFmtId="4" fontId="11" fillId="4" borderId="32" xfId="0" applyNumberFormat="1" applyFont="1" applyFill="1" applyBorder="1" applyAlignment="1">
      <alignment horizontal="center" vertical="center"/>
    </xf>
    <xf numFmtId="4" fontId="11" fillId="3" borderId="33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44" fontId="11" fillId="4" borderId="30" xfId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/>
    <xf numFmtId="0" fontId="18" fillId="4" borderId="27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20" fillId="0" borderId="4" xfId="0" applyFont="1" applyBorder="1" applyAlignment="1">
      <alignment vertical="center"/>
    </xf>
    <xf numFmtId="43" fontId="12" fillId="0" borderId="4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44" fontId="18" fillId="4" borderId="2" xfId="0" applyNumberFormat="1" applyFont="1" applyFill="1" applyBorder="1" applyAlignment="1">
      <alignment horizontal="left" vertical="center"/>
    </xf>
    <xf numFmtId="44" fontId="18" fillId="3" borderId="2" xfId="0" applyNumberFormat="1" applyFont="1" applyFill="1" applyBorder="1" applyAlignment="1">
      <alignment horizontal="left" vertical="center"/>
    </xf>
    <xf numFmtId="44" fontId="11" fillId="3" borderId="34" xfId="1" applyFont="1" applyFill="1" applyBorder="1" applyAlignment="1">
      <alignment horizontal="center" vertical="center"/>
    </xf>
    <xf numFmtId="44" fontId="11" fillId="4" borderId="35" xfId="1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left" vertical="center"/>
    </xf>
    <xf numFmtId="4" fontId="11" fillId="3" borderId="37" xfId="0" applyNumberFormat="1" applyFont="1" applyFill="1" applyBorder="1" applyAlignment="1">
      <alignment horizontal="center" vertical="center"/>
    </xf>
    <xf numFmtId="44" fontId="11" fillId="3" borderId="38" xfId="1" applyFont="1" applyFill="1" applyBorder="1" applyAlignment="1">
      <alignment horizontal="center" vertical="center"/>
    </xf>
    <xf numFmtId="168" fontId="12" fillId="0" borderId="0" xfId="0" applyNumberFormat="1" applyFont="1" applyAlignment="1">
      <alignment vertical="center"/>
    </xf>
    <xf numFmtId="0" fontId="11" fillId="4" borderId="39" xfId="0" applyFont="1" applyFill="1" applyBorder="1" applyAlignment="1">
      <alignment horizontal="left" vertical="center"/>
    </xf>
    <xf numFmtId="4" fontId="11" fillId="4" borderId="40" xfId="0" applyNumberFormat="1" applyFont="1" applyFill="1" applyBorder="1" applyAlignment="1">
      <alignment horizontal="center" vertical="center"/>
    </xf>
    <xf numFmtId="44" fontId="11" fillId="4" borderId="41" xfId="1" applyFont="1" applyFill="1" applyBorder="1" applyAlignment="1">
      <alignment vertical="center"/>
    </xf>
    <xf numFmtId="0" fontId="25" fillId="0" borderId="43" xfId="9" applyNumberFormat="1" applyFont="1" applyFill="1" applyBorder="1" applyAlignment="1">
      <alignment vertical="center"/>
    </xf>
    <xf numFmtId="0" fontId="27" fillId="9" borderId="42" xfId="0" applyFont="1" applyFill="1" applyBorder="1" applyAlignment="1">
      <alignment vertical="center"/>
    </xf>
    <xf numFmtId="0" fontId="25" fillId="10" borderId="43" xfId="9" applyNumberFormat="1" applyFont="1" applyFill="1" applyBorder="1" applyAlignment="1">
      <alignment vertical="center"/>
    </xf>
    <xf numFmtId="44" fontId="11" fillId="4" borderId="32" xfId="1" applyFont="1" applyFill="1" applyBorder="1" applyAlignment="1">
      <alignment horizontal="center" vertical="center"/>
    </xf>
    <xf numFmtId="44" fontId="11" fillId="3" borderId="33" xfId="1" applyFont="1" applyFill="1" applyBorder="1" applyAlignment="1">
      <alignment horizontal="center" vertical="center"/>
    </xf>
    <xf numFmtId="44" fontId="11" fillId="4" borderId="40" xfId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4" fontId="18" fillId="3" borderId="2" xfId="0" applyNumberFormat="1" applyFont="1" applyFill="1" applyBorder="1" applyAlignment="1">
      <alignment horizontal="left" vertical="center"/>
    </xf>
    <xf numFmtId="164" fontId="11" fillId="4" borderId="28" xfId="0" applyNumberFormat="1" applyFont="1" applyFill="1" applyBorder="1" applyAlignment="1">
      <alignment horizontal="left" vertical="center"/>
    </xf>
    <xf numFmtId="44" fontId="11" fillId="4" borderId="28" xfId="1" applyFont="1" applyFill="1" applyBorder="1" applyAlignment="1">
      <alignment vertical="center"/>
    </xf>
    <xf numFmtId="44" fontId="18" fillId="3" borderId="2" xfId="1" applyFont="1" applyFill="1" applyBorder="1" applyAlignment="1">
      <alignment vertical="center"/>
    </xf>
    <xf numFmtId="43" fontId="11" fillId="0" borderId="0" xfId="0" applyNumberFormat="1" applyFont="1" applyAlignment="1">
      <alignment vertical="center"/>
    </xf>
    <xf numFmtId="4" fontId="27" fillId="0" borderId="42" xfId="0" applyNumberFormat="1" applyFont="1" applyBorder="1" applyAlignment="1">
      <alignment horizontal="center" vertical="center" wrapText="1"/>
    </xf>
    <xf numFmtId="4" fontId="25" fillId="0" borderId="43" xfId="10" applyNumberFormat="1" applyFont="1" applyFill="1" applyBorder="1" applyAlignment="1">
      <alignment horizontal="right" vertical="center" wrapText="1"/>
    </xf>
    <xf numFmtId="4" fontId="30" fillId="0" borderId="42" xfId="0" applyNumberFormat="1" applyFont="1" applyBorder="1" applyAlignment="1">
      <alignment horizontal="center" vertical="center" wrapText="1"/>
    </xf>
    <xf numFmtId="4" fontId="25" fillId="0" borderId="43" xfId="10" applyNumberFormat="1" applyFont="1" applyFill="1" applyBorder="1" applyAlignment="1">
      <alignment horizontal="center" vertical="center" wrapText="1"/>
    </xf>
    <xf numFmtId="0" fontId="27" fillId="12" borderId="42" xfId="0" applyFont="1" applyFill="1" applyBorder="1" applyAlignment="1">
      <alignment vertical="center"/>
    </xf>
    <xf numFmtId="4" fontId="25" fillId="12" borderId="43" xfId="10" applyNumberFormat="1" applyFont="1" applyFill="1" applyBorder="1" applyAlignment="1">
      <alignment horizontal="right" vertical="center" wrapText="1"/>
    </xf>
    <xf numFmtId="0" fontId="27" fillId="10" borderId="42" xfId="0" applyFont="1" applyFill="1" applyBorder="1" applyAlignment="1">
      <alignment vertical="center"/>
    </xf>
    <xf numFmtId="4" fontId="25" fillId="10" borderId="43" xfId="10" applyNumberFormat="1" applyFont="1" applyFill="1" applyBorder="1" applyAlignment="1">
      <alignment horizontal="right" vertical="center" wrapText="1"/>
    </xf>
    <xf numFmtId="4" fontId="25" fillId="9" borderId="43" xfId="10" applyNumberFormat="1" applyFont="1" applyFill="1" applyBorder="1" applyAlignment="1">
      <alignment horizontal="right" vertical="center" wrapText="1"/>
    </xf>
    <xf numFmtId="0" fontId="25" fillId="12" borderId="43" xfId="9" applyNumberFormat="1" applyFont="1" applyFill="1" applyBorder="1" applyAlignment="1">
      <alignment vertical="center"/>
    </xf>
    <xf numFmtId="0" fontId="25" fillId="13" borderId="43" xfId="9" applyNumberFormat="1" applyFont="1" applyFill="1" applyBorder="1" applyAlignment="1">
      <alignment vertical="center"/>
    </xf>
    <xf numFmtId="4" fontId="25" fillId="13" borderId="43" xfId="10" applyNumberFormat="1" applyFont="1" applyFill="1" applyBorder="1" applyAlignment="1">
      <alignment horizontal="right" vertical="center" wrapText="1"/>
    </xf>
    <xf numFmtId="0" fontId="25" fillId="14" borderId="43" xfId="9" applyNumberFormat="1" applyFont="1" applyFill="1" applyBorder="1" applyAlignment="1">
      <alignment vertical="center"/>
    </xf>
    <xf numFmtId="4" fontId="25" fillId="14" borderId="43" xfId="10" applyNumberFormat="1" applyFont="1" applyFill="1" applyBorder="1" applyAlignment="1">
      <alignment horizontal="right" vertical="center" wrapText="1"/>
    </xf>
    <xf numFmtId="0" fontId="25" fillId="15" borderId="43" xfId="9" applyNumberFormat="1" applyFont="1" applyFill="1" applyBorder="1" applyAlignment="1">
      <alignment vertical="center"/>
    </xf>
    <xf numFmtId="4" fontId="25" fillId="15" borderId="43" xfId="10" applyNumberFormat="1" applyFont="1" applyFill="1" applyBorder="1" applyAlignment="1">
      <alignment horizontal="right" vertical="center" wrapText="1"/>
    </xf>
    <xf numFmtId="43" fontId="0" fillId="0" borderId="0" xfId="0" applyNumberFormat="1"/>
    <xf numFmtId="0" fontId="1" fillId="0" borderId="4" xfId="0" applyFont="1" applyBorder="1"/>
    <xf numFmtId="0" fontId="1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8" fontId="0" fillId="0" borderId="24" xfId="1" applyNumberFormat="1" applyFont="1" applyBorder="1"/>
    <xf numFmtId="2" fontId="21" fillId="0" borderId="11" xfId="2" applyNumberFormat="1" applyFont="1" applyBorder="1" applyAlignment="1">
      <alignment horizontal="center"/>
    </xf>
    <xf numFmtId="0" fontId="18" fillId="9" borderId="0" xfId="0" applyFont="1" applyFill="1" applyAlignment="1">
      <alignment vertical="center"/>
    </xf>
    <xf numFmtId="0" fontId="18" fillId="16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24" fillId="16" borderId="0" xfId="0" applyFont="1" applyFill="1" applyAlignment="1">
      <alignment vertical="center"/>
    </xf>
    <xf numFmtId="0" fontId="29" fillId="16" borderId="0" xfId="0" applyFont="1" applyFill="1"/>
    <xf numFmtId="164" fontId="29" fillId="16" borderId="0" xfId="0" applyNumberFormat="1" applyFont="1" applyFill="1" applyAlignment="1">
      <alignment vertical="center" wrapText="1"/>
    </xf>
    <xf numFmtId="164" fontId="34" fillId="10" borderId="0" xfId="0" applyNumberFormat="1" applyFont="1" applyFill="1" applyAlignment="1">
      <alignment vertical="center" wrapText="1"/>
    </xf>
    <xf numFmtId="0" fontId="11" fillId="16" borderId="0" xfId="0" applyFont="1" applyFill="1" applyAlignment="1">
      <alignment vertical="center"/>
    </xf>
    <xf numFmtId="0" fontId="31" fillId="11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0" fillId="0" borderId="7" xfId="0" applyFont="1" applyBorder="1"/>
    <xf numFmtId="0" fontId="9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8" fillId="2" borderId="44" xfId="0" applyFont="1" applyFill="1" applyBorder="1" applyAlignment="1">
      <alignment horizontal="center" vertical="center"/>
    </xf>
    <xf numFmtId="0" fontId="10" fillId="0" borderId="45" xfId="0" applyFont="1" applyBorder="1"/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</cellXfs>
  <cellStyles count="11">
    <cellStyle name="Moeda" xfId="1" builtinId="4"/>
    <cellStyle name="Moeda 2" xfId="7" xr:uid="{CF4063DA-F34A-4EC1-AC81-A10222858759}"/>
    <cellStyle name="Normal" xfId="0" builtinId="0"/>
    <cellStyle name="Normal 2" xfId="3" xr:uid="{89934119-66BE-4554-8D7F-F4FDAB4F0E33}"/>
    <cellStyle name="Normal 3" xfId="5" xr:uid="{41D1A416-C263-4E10-B875-91F62D28F932}"/>
    <cellStyle name="Normal 4" xfId="8" xr:uid="{E2C836DC-9082-4DA5-AA95-056F0A8F4292}"/>
    <cellStyle name="Normal 4 2" xfId="9" xr:uid="{12139CDC-1C9F-44ED-BCDB-962F536F915F}"/>
    <cellStyle name="Porcentagem 2" xfId="4" xr:uid="{910739D4-B953-4402-8BEC-DCBA788BEB45}"/>
    <cellStyle name="Vírgula" xfId="2" builtinId="3"/>
    <cellStyle name="Vírgula 2" xfId="6" xr:uid="{CCEA5633-8A3B-4655-8136-403E2E673EC2}"/>
    <cellStyle name="Vírgula 5 2" xfId="10" xr:uid="{BF7ADFA6-6390-46A9-B647-898F6B3AA959}"/>
  </cellStyles>
  <dxfs count="157"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24" Type="http://customschemas.google.com/relationships/workbookmetadata" Target="metadata"/><Relationship Id="rId5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[CTN-WF_AQU - Apresentação Orçamento - R02.xlsx]GER_EXECUTIVO!Tabela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GER_EXECUTIVO!$B$23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GER_EXECUTIVO!$A$24:$A$41</c:f>
              <c:strCache>
                <c:ptCount val="17"/>
                <c:pt idx="0">
                  <c:v>INFRAESTRUTURA</c:v>
                </c:pt>
                <c:pt idx="1">
                  <c:v>GERENCIAMENTO TÉCNICO E ADMINISTRATIVO</c:v>
                </c:pt>
                <c:pt idx="2">
                  <c:v>ESQUADRIAS, VIDROS E FERRAGENS</c:v>
                </c:pt>
                <c:pt idx="3">
                  <c:v>INSTALAÇÕES ELÉTRICAS, HIDRÁULICAS, GLP E PREVENTIVAS</c:v>
                </c:pt>
                <c:pt idx="4">
                  <c:v>SERVIÇOS COMPLEMENTARES</c:v>
                </c:pt>
                <c:pt idx="5">
                  <c:v>PISOS E PAVIMENTAÇÕES</c:v>
                </c:pt>
                <c:pt idx="6">
                  <c:v>REVESTIMENTOS INTERNOS DE PAREDE</c:v>
                </c:pt>
                <c:pt idx="7">
                  <c:v>PINTURA INTERNA</c:v>
                </c:pt>
                <c:pt idx="8">
                  <c:v>ALVENARIA</c:v>
                </c:pt>
                <c:pt idx="9">
                  <c:v>EQUIPAMENTOS E SISTEMAS ESPECIAIS</c:v>
                </c:pt>
                <c:pt idx="10">
                  <c:v>REVESTIMENTOS E ACABAMENTOS DE FACHADA</c:v>
                </c:pt>
                <c:pt idx="11">
                  <c:v>IMPERMEABILIZAÇÃO</c:v>
                </c:pt>
                <c:pt idx="12">
                  <c:v>REVESTIMENTOS E ACABAMENTOS INTERNOS EM TETO</c:v>
                </c:pt>
                <c:pt idx="13">
                  <c:v>MOVIMENTAÇÃO DE TERRA</c:v>
                </c:pt>
                <c:pt idx="14">
                  <c:v>LOUÇAS E METAIS</c:v>
                </c:pt>
                <c:pt idx="15">
                  <c:v>COBERTURA</c:v>
                </c:pt>
                <c:pt idx="16">
                  <c:v>SUPRAESTRUTURA</c:v>
                </c:pt>
              </c:strCache>
            </c:strRef>
          </c:cat>
          <c:val>
            <c:numRef>
              <c:f>GER_EXECUTIVO!$B$24:$B$41</c:f>
              <c:numCache>
                <c:formatCode>0.00%</c:formatCode>
                <c:ptCount val="17"/>
                <c:pt idx="0">
                  <c:v>0.14152998695221358</c:v>
                </c:pt>
                <c:pt idx="1">
                  <c:v>0.12128874634875914</c:v>
                </c:pt>
                <c:pt idx="2">
                  <c:v>0.11791698158645364</c:v>
                </c:pt>
                <c:pt idx="3">
                  <c:v>0.11577127066096184</c:v>
                </c:pt>
                <c:pt idx="4">
                  <c:v>0.10444394055170898</c:v>
                </c:pt>
                <c:pt idx="5">
                  <c:v>6.88861113580648E-2</c:v>
                </c:pt>
                <c:pt idx="6">
                  <c:v>6.3383398407065555E-2</c:v>
                </c:pt>
                <c:pt idx="7">
                  <c:v>6.2897664034568465E-2</c:v>
                </c:pt>
                <c:pt idx="8">
                  <c:v>4.2390695237042399E-2</c:v>
                </c:pt>
                <c:pt idx="9">
                  <c:v>3.4969811978049561E-2</c:v>
                </c:pt>
                <c:pt idx="10">
                  <c:v>3.3623985890723802E-2</c:v>
                </c:pt>
                <c:pt idx="11">
                  <c:v>3.0181158968439412E-2</c:v>
                </c:pt>
                <c:pt idx="12">
                  <c:v>2.784480045958727E-2</c:v>
                </c:pt>
                <c:pt idx="13">
                  <c:v>1.2070699621747888E-2</c:v>
                </c:pt>
                <c:pt idx="14">
                  <c:v>9.3680124652210008E-3</c:v>
                </c:pt>
                <c:pt idx="15">
                  <c:v>2.7097876117987402E-4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21</xdr:row>
      <xdr:rowOff>174268</xdr:rowOff>
    </xdr:from>
    <xdr:to>
      <xdr:col>15</xdr:col>
      <xdr:colOff>473927</xdr:colOff>
      <xdr:row>44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R01\CTN-ALF-TRM%20-%20Or&#231;amento%20Executivo_R01xlsb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Tramonti/04.%20Custo/03.5%20Custo%20-%20Determina&#231;&#227;o%20do%20or&#231;amento/Executivo/R01/CTN-ALF-TRM%20-%20Or&#231;amento%20Executivo_R01xlsb.xlsx?1B837982" TargetMode="External"/><Relationship Id="rId1" Type="http://schemas.openxmlformats.org/officeDocument/2006/relationships/externalLinkPath" Target="file:///\\1B837982\CTN-ALF-TRM%20-%20Or&#231;amento%20Executivo_R01xls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JTA%20Empreendimentos\Aspen\04.%20Custo\04.01%20Custo%20-%20Or&#231;amento%20Preliminar\R01\CTN_JTA_ASP%20-%20Or&#231;amento%20-%20R01.xlsb" TargetMode="External"/><Relationship Id="rId1" Type="http://schemas.openxmlformats.org/officeDocument/2006/relationships/externalLinkPath" Target="/.shortcut-targets-by-id/16oaQUYgx8kiowDwLhg-oO1zGZ777DJUb/2.%20Projetos%20em%20Andamento/JTA%20Empreendimentos/Aspen/04.%20Custo/04.01%20Custo%20-%20Or&#231;amento%20Preliminar/R01/CTN_JTA_ASP%20-%20Or&#231;amento%20-%20R01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Neuhaus\2023.08%20-%20Origem%203300\04.%20Custo\03.5%20Custo%20-%20Determina&#231;&#227;o%20do%20or&#231;amento\Revis&#227;o%20R03\CTN_NHS_ORG%20-%20Or&#231;amento_R03.xlsb" TargetMode="External"/><Relationship Id="rId1" Type="http://schemas.openxmlformats.org/officeDocument/2006/relationships/externalLinkPath" Target="/.shortcut-targets-by-id/16oaQUYgx8kiowDwLhg-oO1zGZ777DJUb/2.%20Projetos%20em%20Andamento/Neuhaus/2023.08%20-%20Origem%203300/04.%20Custo/03.5%20Custo%20-%20Determina&#231;&#227;o%20do%20or&#231;amento/Revis&#227;o%20R03/CTN_NHS_ORG%20-%20Or&#231;amento_R03.xlsb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Amalfi%20Constru&#231;&#245;es%20e%20Incorpora&#231;&#245;es\Tramonti\04.%20Custo\03.5%20Custo%20-%20Determina&#231;&#227;o%20do%20or&#231;amento\Executivo\Auxiliar\CTN-ALF-RVL%20-%20Apresenta&#231;&#227;o%20Or&#231;amento%20-%20R02.xlsx" TargetMode="External"/><Relationship Id="rId2" Type="http://schemas.microsoft.com/office/2019/04/relationships/externalLinkLongPath" Target="/.shortcut-targets-by-id/16oaQUYgx8kiowDwLhg-oO1zGZ777DJUb/2.%20Projetos%20em%20Andamento/Amalfi%20Constru&#231;&#245;es%20e%20Incorpora&#231;&#245;es/Tramonti/04.%20Custo/03.5%20Custo%20-%20Determina&#231;&#227;o%20do%20or&#231;amento/Executivo/Auxiliar/CTN-ALF-RVL%20-%20Apresenta&#231;&#227;o%20Or&#231;amento%20-%20R02.xlsx?86776C7F" TargetMode="External"/><Relationship Id="rId1" Type="http://schemas.openxmlformats.org/officeDocument/2006/relationships/externalLinkPath" Target="file:///\\86776C7F\CTN-ALF-RVL%20-%20Apresenta&#231;&#227;o%20Or&#231;amento%20-%20R0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WF%20Construtora\04.%20Custo\03.4%20Custo%20-%20Fechamento\R02\CTN_WF_AQUARIUS%20-%20Or&#231;amento-R02.xlsx" TargetMode="External"/><Relationship Id="rId1" Type="http://schemas.openxmlformats.org/officeDocument/2006/relationships/externalLinkPath" Target="CTN_WF_AQUARIUS%20-%20Or&#231;amento-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VA EAP"/>
      <sheetName val="EPCs"/>
      <sheetName val="CANTEIRO"/>
      <sheetName val="Cont.Tecnol."/>
      <sheetName val="BASES"/>
      <sheetName val="Ger_Administrativo"/>
      <sheetName val="Obra"/>
      <sheetName val="Ger_Executivo"/>
      <sheetName val="Ger_Executivo MEGA"/>
      <sheetName val="ELÉTRICA"/>
      <sheetName val="CLIMATIZAÇÃO"/>
      <sheetName val="Insumos"/>
      <sheetName val="CPU"/>
      <sheetName val="Arquitetura"/>
      <sheetName val="MOBILIÁRIO"/>
      <sheetName val="HIDRAÚLICO"/>
      <sheetName val="SANITÁRIO"/>
      <sheetName val="INSTALAÇÕES COMPLEMENTARES"/>
      <sheetName val="LOUÇAS E METAIS"/>
      <sheetName val="BASES (2)"/>
      <sheetName val="PCI"/>
      <sheetName val="SPDA"/>
      <sheetName val="Gás"/>
      <sheetName val="Resumo Estrutura"/>
      <sheetName val="Fundação Profunda"/>
      <sheetName val="Fundação Rasa"/>
      <sheetName val="CONTENÇÕES"/>
    </sheetNames>
    <sheetDataSet>
      <sheetData sheetId="0"/>
      <sheetData sheetId="1"/>
      <sheetData sheetId="2"/>
      <sheetData sheetId="3"/>
      <sheetData sheetId="4"/>
      <sheetData sheetId="5">
        <row r="126">
          <cell r="N126">
            <v>7644518.5979153067</v>
          </cell>
        </row>
      </sheetData>
      <sheetData sheetId="6">
        <row r="10">
          <cell r="E10">
            <v>15602.85</v>
          </cell>
        </row>
      </sheetData>
      <sheetData sheetId="7"/>
      <sheetData sheetId="8">
        <row r="8">
          <cell r="N8">
            <v>1744878.4163000002</v>
          </cell>
        </row>
        <row r="126">
          <cell r="N126">
            <v>1415598.7796026384</v>
          </cell>
        </row>
        <row r="132">
          <cell r="N132">
            <v>18775886.462808818</v>
          </cell>
        </row>
        <row r="133">
          <cell r="N133">
            <v>2368306.5077723023</v>
          </cell>
        </row>
        <row r="151">
          <cell r="N151">
            <v>4417376.635496527</v>
          </cell>
        </row>
        <row r="168">
          <cell r="N168">
            <v>11990203.319539987</v>
          </cell>
        </row>
        <row r="174">
          <cell r="N174">
            <v>413714.65792417544</v>
          </cell>
        </row>
        <row r="176">
          <cell r="N176">
            <v>3180759.7799688042</v>
          </cell>
        </row>
        <row r="193">
          <cell r="N193">
            <v>70086.008823889671</v>
          </cell>
        </row>
        <row r="195">
          <cell r="N195">
            <v>820493.65955901972</v>
          </cell>
        </row>
        <row r="215">
          <cell r="N215">
            <v>18079.053384019768</v>
          </cell>
        </row>
        <row r="217">
          <cell r="N217">
            <v>2189786.6442585597</v>
          </cell>
        </row>
        <row r="239">
          <cell r="N239">
            <v>48250.549141892887</v>
          </cell>
        </row>
        <row r="241">
          <cell r="N241">
            <v>3048006.0904464955</v>
          </cell>
        </row>
        <row r="263">
          <cell r="N263">
            <v>67160.866122495325</v>
          </cell>
        </row>
        <row r="265">
          <cell r="N265">
            <v>352170.04522016214</v>
          </cell>
        </row>
        <row r="277">
          <cell r="N277">
            <v>7759.8418630192755</v>
          </cell>
        </row>
        <row r="279">
          <cell r="N279">
            <v>459373.2445430237</v>
          </cell>
        </row>
        <row r="284">
          <cell r="N284">
            <v>10121.995843023691</v>
          </cell>
        </row>
        <row r="286">
          <cell r="N286">
            <v>202458.97889989673</v>
          </cell>
        </row>
        <row r="294">
          <cell r="N294">
            <v>4461.0542018966989</v>
          </cell>
        </row>
        <row r="296">
          <cell r="N296">
            <v>1794333.07</v>
          </cell>
        </row>
        <row r="300">
          <cell r="N300">
            <v>884538.55013125925</v>
          </cell>
        </row>
        <row r="322">
          <cell r="N322">
            <v>19490.24161459248</v>
          </cell>
        </row>
        <row r="324">
          <cell r="N324">
            <v>2542675.6698656175</v>
          </cell>
        </row>
        <row r="326">
          <cell r="N326">
            <v>466642.00005810021</v>
          </cell>
        </row>
        <row r="330">
          <cell r="N330">
            <v>302718.15050751658</v>
          </cell>
        </row>
        <row r="336">
          <cell r="N336">
            <v>840739.45050000038</v>
          </cell>
        </row>
        <row r="337">
          <cell r="N337">
            <v>932576.06880000036</v>
          </cell>
        </row>
        <row r="338">
          <cell r="N338">
            <v>585077.05261241295</v>
          </cell>
        </row>
        <row r="346">
          <cell r="N346">
            <v>12891.798912413027</v>
          </cell>
        </row>
        <row r="348">
          <cell r="N348">
            <v>1688185.9781622028</v>
          </cell>
        </row>
        <row r="361">
          <cell r="N361">
            <v>37198.099053869249</v>
          </cell>
        </row>
        <row r="363">
          <cell r="N363">
            <v>2507052.8697470096</v>
          </cell>
        </row>
        <row r="365">
          <cell r="N365">
            <v>253870.49875</v>
          </cell>
        </row>
        <row r="369">
          <cell r="N369">
            <v>4432.5564079114283</v>
          </cell>
        </row>
        <row r="372">
          <cell r="N372">
            <v>523872.82263000001</v>
          </cell>
        </row>
        <row r="377">
          <cell r="N377">
            <v>293130.00000000006</v>
          </cell>
        </row>
        <row r="379">
          <cell r="N379">
            <v>153003.18422380005</v>
          </cell>
        </row>
        <row r="384">
          <cell r="N384">
            <v>1223502.50009</v>
          </cell>
        </row>
        <row r="385">
          <cell r="N385">
            <v>309531.94499999995</v>
          </cell>
        </row>
        <row r="386">
          <cell r="N386">
            <v>234958.17799999999</v>
          </cell>
        </row>
        <row r="387">
          <cell r="N387">
            <v>24427.499999999996</v>
          </cell>
        </row>
        <row r="393">
          <cell r="N393">
            <v>55241.307645297915</v>
          </cell>
        </row>
        <row r="395">
          <cell r="N395">
            <v>3898012.1533050649</v>
          </cell>
        </row>
        <row r="396">
          <cell r="N396">
            <v>2557946.3857592316</v>
          </cell>
        </row>
        <row r="413">
          <cell r="N413">
            <v>85890.206450877406</v>
          </cell>
        </row>
        <row r="415">
          <cell r="N415">
            <v>1340065.7675458333</v>
          </cell>
        </row>
        <row r="421">
          <cell r="N421">
            <v>5085026.2833178537</v>
          </cell>
        </row>
        <row r="453">
          <cell r="N453">
            <v>112045.30414611232</v>
          </cell>
        </row>
        <row r="456">
          <cell r="N456">
            <v>286923.9525110891</v>
          </cell>
        </row>
        <row r="464">
          <cell r="N464">
            <v>6322.1859110890528</v>
          </cell>
        </row>
        <row r="474">
          <cell r="N474">
            <v>2521062.4708991088</v>
          </cell>
        </row>
        <row r="497">
          <cell r="N497">
            <v>55550.000252689613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"/>
      <sheetName val="BASES"/>
      <sheetName val="Ger_Tec. Adm."/>
      <sheetName val="Ger_Executivo"/>
      <sheetName val="Cotações"/>
      <sheetName val="Empreitada"/>
      <sheetName val="EPCs"/>
      <sheetName val="Escadas"/>
      <sheetName val="CANTEIRO"/>
      <sheetName val="MO Infra"/>
      <sheetName val="Supraestrutura"/>
      <sheetName val="Movimentação de terra"/>
      <sheetName val="Estacas"/>
      <sheetName val="Blocos"/>
      <sheetName val="Sapatas"/>
      <sheetName val="Vigas Fundação"/>
      <sheetName val="Arm. Cortina"/>
      <sheetName val="Cortina"/>
      <sheetName val="Tabela de Aço"/>
      <sheetName val="Piso Arm.Térreo"/>
      <sheetName val="Lajes Fundação"/>
      <sheetName val="Arm. Infraestrutura"/>
      <sheetName val="RUFOS E CALHAS"/>
      <sheetName val="Duto e cisterna"/>
      <sheetName val="INSTALAÇÕES"/>
      <sheetName val="PORTAS"/>
      <sheetName val="GC-CORRIMÃO"/>
      <sheetName val="ESQUADRIAS DE ALUMINIO"/>
      <sheetName val="FACHADA"/>
      <sheetName val="ACABAMENTO PAREDE"/>
      <sheetName val="ACABAMENTO PISO"/>
      <sheetName val="ACABAMENTO TETO"/>
      <sheetName val="Impermeabilização"/>
      <sheetName val="ALVENARIA"/>
      <sheetName val="Tijolos refratários"/>
    </sheetNames>
    <sheetDataSet>
      <sheetData sheetId="0">
        <row r="9">
          <cell r="E9">
            <v>22087.95</v>
          </cell>
        </row>
      </sheetData>
      <sheetData sheetId="1" refreshError="1"/>
      <sheetData sheetId="2">
        <row r="155">
          <cell r="H155">
            <v>7691897.2617103448</v>
          </cell>
        </row>
      </sheetData>
      <sheetData sheetId="3">
        <row r="196">
          <cell r="N196">
            <v>1232032.71979314</v>
          </cell>
        </row>
        <row r="200">
          <cell r="N200">
            <v>33769.23387399999</v>
          </cell>
        </row>
        <row r="202">
          <cell r="N202">
            <v>994298.383088</v>
          </cell>
        </row>
        <row r="207">
          <cell r="N207">
            <v>2257663.4010000001</v>
          </cell>
        </row>
        <row r="208">
          <cell r="N208">
            <v>141860.44399999996</v>
          </cell>
        </row>
        <row r="209">
          <cell r="N209">
            <v>334019.11499999999</v>
          </cell>
        </row>
        <row r="210">
          <cell r="N210">
            <v>1437118.3332659998</v>
          </cell>
        </row>
        <row r="221">
          <cell r="N221">
            <v>2777431.7558388263</v>
          </cell>
        </row>
        <row r="242">
          <cell r="N242">
            <v>1382798.808864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oio"/>
      <sheetName val="OBRA"/>
      <sheetName val="Ger_Tec e Adm"/>
      <sheetName val="Ger_Executivo"/>
      <sheetName val="CPU"/>
      <sheetName val="Insumos"/>
      <sheetName val="ACABAMENTOS"/>
      <sheetName val="ARQUITETURA"/>
      <sheetName val="FACHADA"/>
      <sheetName val="IMPERMEABILIZAÇÃO"/>
      <sheetName val="MOBILIÁRIO"/>
      <sheetName val="LOUÇAS E METAIS"/>
      <sheetName val="Piscina | Sauna | Hidro"/>
      <sheetName val="Telefonico"/>
      <sheetName val="Climatização Exaustão"/>
      <sheetName val="PCI | GLP"/>
      <sheetName val="Eletrico"/>
      <sheetName val="Hidrossanitário"/>
      <sheetName val="Supraestrutura"/>
      <sheetName val="Escoramento"/>
      <sheetName val="R$_Escoramento"/>
      <sheetName val="Tempo_Escoramento"/>
    </sheetNames>
    <sheetDataSet>
      <sheetData sheetId="0" refreshError="1"/>
      <sheetData sheetId="1">
        <row r="9">
          <cell r="E9">
            <v>14559.119999999999</v>
          </cell>
        </row>
        <row r="43">
          <cell r="E43">
            <v>73.561815559480294</v>
          </cell>
        </row>
        <row r="44">
          <cell r="E44">
            <v>139.81848233353369</v>
          </cell>
        </row>
      </sheetData>
      <sheetData sheetId="2" refreshError="1"/>
      <sheetData sheetId="3">
        <row r="1463">
          <cell r="N1463">
            <v>674153.23333604983</v>
          </cell>
        </row>
        <row r="1721">
          <cell r="N1721">
            <v>900762.07045169966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GER_EXECUTIVO"/>
      <sheetName val="ANÁLISE_CUSTOS"/>
      <sheetName val="Amalfi"/>
      <sheetName val="AREAS PRIVATIVAS"/>
      <sheetName val="CÁLCULO_MÉDIAS"/>
    </sheetNames>
    <sheetDataSet>
      <sheetData sheetId="0">
        <row r="2">
          <cell r="B2">
            <v>7834981.5618648324</v>
          </cell>
        </row>
        <row r="19">
          <cell r="B19">
            <v>56032825.53242486</v>
          </cell>
        </row>
      </sheetData>
      <sheetData sheetId="1">
        <row r="3">
          <cell r="B3">
            <v>1346662.2828556453</v>
          </cell>
        </row>
      </sheetData>
      <sheetData sheetId="2"/>
      <sheetData sheetId="3">
        <row r="23">
          <cell r="B23">
            <v>7928.6399999999994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ra "/>
      <sheetName val="VERSÕES"/>
      <sheetName val="EPCs"/>
      <sheetName val="CANTEIRO"/>
      <sheetName val="Ensaios "/>
      <sheetName val="Ger_Tec e Adm"/>
      <sheetName val="Ger_Executivo"/>
      <sheetName val="CPU"/>
      <sheetName val="Insumos"/>
      <sheetName val="MO PROPRIA"/>
      <sheetName val="Estacas"/>
      <sheetName val="Mov de Terra"/>
      <sheetName val="Aço_Infraestrutura"/>
      <sheetName val="Supraestrutura"/>
      <sheetName val="Arquitetura"/>
      <sheetName val="Esq"/>
      <sheetName val="INSTALAÇÕES - RESUMO"/>
      <sheetName val="HIDRO"/>
      <sheetName val="HIDRO - PREÇO"/>
      <sheetName val="PISCINA"/>
      <sheetName val="INTERFONIA"/>
      <sheetName val="PORTÕES"/>
      <sheetName val="MOBILIÁRIO"/>
      <sheetName val="LOUÇAS E METAIS"/>
    </sheetNames>
    <sheetDataSet>
      <sheetData sheetId="0">
        <row r="31">
          <cell r="C31">
            <v>6459783.5075561162</v>
          </cell>
        </row>
        <row r="32">
          <cell r="C32">
            <v>290742.3885150014</v>
          </cell>
        </row>
        <row r="33">
          <cell r="C33">
            <v>3912290.7352345688</v>
          </cell>
        </row>
        <row r="34">
          <cell r="C34">
            <v>9983387.4742840547</v>
          </cell>
        </row>
        <row r="35">
          <cell r="C35">
            <v>3190022.8923583706</v>
          </cell>
        </row>
        <row r="36">
          <cell r="C36">
            <v>1463560.6350099999</v>
          </cell>
        </row>
        <row r="37">
          <cell r="C37">
            <v>5730937.7635283265</v>
          </cell>
        </row>
        <row r="38">
          <cell r="C38">
            <v>1410423.5899999999</v>
          </cell>
        </row>
        <row r="39">
          <cell r="C39">
            <v>1175552.1749999998</v>
          </cell>
        </row>
        <row r="40">
          <cell r="C40">
            <v>2002760.715646327</v>
          </cell>
        </row>
        <row r="41">
          <cell r="C41">
            <v>1410266.5692925374</v>
          </cell>
        </row>
        <row r="42">
          <cell r="C42">
            <v>2974617.7642928935</v>
          </cell>
        </row>
        <row r="43">
          <cell r="C43">
            <v>3275186.5324547347</v>
          </cell>
        </row>
        <row r="44">
          <cell r="C44">
            <v>5304561.9820000008</v>
          </cell>
        </row>
        <row r="45">
          <cell r="C45">
            <v>505846.31999999995</v>
          </cell>
        </row>
        <row r="46">
          <cell r="C46">
            <v>1515128.7431665272</v>
          </cell>
        </row>
        <row r="47">
          <cell r="C47">
            <v>2317724.6522478908</v>
          </cell>
        </row>
        <row r="48">
          <cell r="C48">
            <v>696945.16399546887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873.384273495372" createdVersion="8" refreshedVersion="8" minRefreshableVersion="3" recordCount="17" xr:uid="{6F9747F1-CEFF-4FFB-843C-C554B0D46EA1}">
  <cacheSource type="worksheet">
    <worksheetSource ref="A1:D17" sheet="GER_EXECUTIVO"/>
  </cacheSource>
  <cacheFields count="4">
    <cacheField name="ETAPA" numFmtId="0">
      <sharedItems count="23">
        <s v="GERENCIAMENTO TÉCNICO E ADMINISTRATIVO"/>
        <s v="MOVIMENTAÇÃO DE TERRA"/>
        <s v="INFRAESTRUTURA"/>
        <s v="SUPRAESTRUTURA"/>
        <s v="ALVENARIA"/>
        <s v="INSTALAÇÕES ELÉTRICAS, HIDRÁULICAS, GLP E PREVENTIVAS"/>
        <s v="EQUIPAMENTOS E SISTEMAS ESPECIAIS"/>
        <s v="IMPERMEABILIZAÇÃO"/>
        <s v="REVESTIMENTOS INTERNOS DE PAREDE"/>
        <s v="REVESTIMENTOS E ACABAMENTOS INTERNOS EM TETO"/>
        <s v="PISOS E PAVIMENTAÇÕES"/>
        <s v="PINTURA INTERNA"/>
        <s v="ESQUADRIAS, VIDROS E FERRAGENS"/>
        <s v="LOUÇAS E METAIS"/>
        <s v="COBERTURA"/>
        <s v="REVESTIMENTOS E ACABAMENTOS DE FACHADA"/>
        <s v="SERVIÇOS COMPLEMENTARES"/>
        <s v="ESTRUTURA" u="1"/>
        <s v="PAREDES E PAINÉIS" u="1"/>
        <s v="REVESTIMENTOS ARGAMASSADOS" u="1"/>
        <s v="ACABAMENTOS EM PAREDE" u="1"/>
        <s v="ACABAMENTOS EM TETO" u="1"/>
        <s v="ACABAMENTOS EM PISO" u="1"/>
      </sharedItems>
    </cacheField>
    <cacheField name="VALOR ORÇADO" numFmtId="44">
      <sharedItems containsSemiMixedTypes="0" containsString="0" containsNumber="1" minValue="0" maxValue="6389147.3220435791"/>
    </cacheField>
    <cacheField name="%" numFmtId="10">
      <sharedItems containsSemiMixedTypes="0" containsString="0" containsNumber="1" minValue="0" maxValue="0.14152998695221358"/>
    </cacheField>
    <cacheField name="VALOR / m²" numFmtId="44">
      <sharedItems containsSemiMixedTypes="0" containsString="0" containsNumber="1" minValue="0" maxValue="380.554428156660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5475388.5421458185"/>
    <n v="0.12128874634875914"/>
    <n v="326.12855058182686"/>
  </r>
  <r>
    <x v="1"/>
    <n v="544912.63529560273"/>
    <n v="1.2070699621747888E-2"/>
    <n v="32.456430548220588"/>
  </r>
  <r>
    <x v="2"/>
    <n v="6389147.3220435791"/>
    <n v="0.14152998695221358"/>
    <n v="380.55442815666049"/>
  </r>
  <r>
    <x v="3"/>
    <n v="0"/>
    <n v="0"/>
    <n v="0"/>
  </r>
  <r>
    <x v="4"/>
    <n v="1913660.8628725584"/>
    <n v="4.2390695237042399E-2"/>
    <n v="113.98267697532373"/>
  </r>
  <r>
    <x v="5"/>
    <n v="5226310.8323666658"/>
    <n v="0.11577127066096184"/>
    <n v="311.29282671542865"/>
  </r>
  <r>
    <x v="6"/>
    <n v="1578656.83"/>
    <n v="3.4969811978049561E-2"/>
    <n v="94.028955182097889"/>
  </r>
  <r>
    <x v="7"/>
    <n v="1362480.666832"/>
    <n v="3.0181158968439412E-2"/>
    <n v="81.152934015444615"/>
  </r>
  <r>
    <x v="8"/>
    <n v="2861343.2313199998"/>
    <n v="6.3383398407065555E-2"/>
    <n v="170.42913275736271"/>
  </r>
  <r>
    <x v="9"/>
    <n v="1257009.4587041673"/>
    <n v="2.784480045958727E-2"/>
    <n v="74.870791301721511"/>
  </r>
  <r>
    <x v="10"/>
    <n v="3109754.5007050666"/>
    <n v="6.88861113580648E-2"/>
    <n v="185.22516168008715"/>
  </r>
  <r>
    <x v="11"/>
    <n v="2839415.5216374421"/>
    <n v="6.2897664034568465E-2"/>
    <n v="169.12306066379233"/>
  </r>
  <r>
    <x v="12"/>
    <n v="5323175.557000001"/>
    <n v="0.11791698158645364"/>
    <n v="317.06234462343031"/>
  </r>
  <r>
    <x v="13"/>
    <n v="422904.1"/>
    <n v="9.3680124652210008E-3"/>
    <n v="25.189281108817955"/>
  </r>
  <r>
    <x v="14"/>
    <n v="12232.9074114"/>
    <n v="2.7097876117987402E-4"/>
    <n v="0.72862415749551068"/>
  </r>
  <r>
    <x v="15"/>
    <n v="1517901.6407504098"/>
    <n v="3.3623985890723802E-2"/>
    <n v="90.410216227267782"/>
  </r>
  <r>
    <x v="16"/>
    <n v="4714956.4374999991"/>
    <n v="0.10444394055170898"/>
    <n v="280.835213278893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3:B41" firstHeaderRow="1" firstDataRow="1" firstDataCol="1"/>
  <pivotFields count="4">
    <pivotField axis="axisRow" showAll="0" sortType="descending">
      <items count="24">
        <item x="14"/>
        <item x="6"/>
        <item x="12"/>
        <item x="0"/>
        <item x="7"/>
        <item x="2"/>
        <item x="5"/>
        <item x="13"/>
        <item x="1"/>
        <item m="1" x="18"/>
        <item x="11"/>
        <item x="10"/>
        <item x="15"/>
        <item x="9"/>
        <item x="8"/>
        <item x="16"/>
        <item x="3"/>
        <item m="1" x="19"/>
        <item m="1" x="20"/>
        <item m="1" x="21"/>
        <item m="1" x="22"/>
        <item m="1" x="1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8">
    <i>
      <x v="5"/>
    </i>
    <i>
      <x v="3"/>
    </i>
    <i>
      <x v="2"/>
    </i>
    <i>
      <x v="6"/>
    </i>
    <i>
      <x v="15"/>
    </i>
    <i>
      <x v="11"/>
    </i>
    <i>
      <x v="14"/>
    </i>
    <i>
      <x v="10"/>
    </i>
    <i>
      <x v="22"/>
    </i>
    <i>
      <x v="1"/>
    </i>
    <i>
      <x v="12"/>
    </i>
    <i>
      <x v="4"/>
    </i>
    <i>
      <x v="13"/>
    </i>
    <i>
      <x v="8"/>
    </i>
    <i>
      <x v="7"/>
    </i>
    <i>
      <x/>
    </i>
    <i>
      <x v="16"/>
    </i>
    <i t="grand">
      <x/>
    </i>
  </rowItems>
  <colItems count="1">
    <i/>
  </colItems>
  <dataFields count="1">
    <dataField name="Soma de %" fld="2" baseField="0" baseItem="0" numFmtId="10"/>
  </dataFields>
  <formats count="2">
    <format dxfId="156">
      <pivotArea dataOnly="0" labelOnly="1" outline="0" axis="axisValues" fieldPosition="0"/>
    </format>
    <format dxfId="15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905"/>
  <sheetViews>
    <sheetView zoomScale="82" zoomScaleNormal="82" workbookViewId="0">
      <selection sqref="A1:D20"/>
    </sheetView>
  </sheetViews>
  <sheetFormatPr defaultColWidth="14.42578125" defaultRowHeight="15" customHeight="1" x14ac:dyDescent="0.25"/>
  <cols>
    <col min="1" max="1" width="56.5703125" bestFit="1" customWidth="1"/>
    <col min="2" max="2" width="28.5703125" customWidth="1"/>
    <col min="3" max="3" width="20.28515625" style="18" bestFit="1" customWidth="1"/>
    <col min="4" max="4" width="21.7109375" style="18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1" t="s">
        <v>0</v>
      </c>
      <c r="B1" s="42" t="s">
        <v>14</v>
      </c>
      <c r="C1" s="42" t="s">
        <v>15</v>
      </c>
      <c r="D1" s="42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93" t="s">
        <v>16</v>
      </c>
      <c r="B2" s="98">
        <f ca="1">'[5]Obra '!$C31</f>
        <v>6459783.5075561162</v>
      </c>
      <c r="C2" s="40">
        <f ca="1">B2/B$19</f>
        <v>0.12047398132093887</v>
      </c>
      <c r="D2" s="81">
        <f ca="1">B2/GER_EXECUTIVO!G$2</f>
        <v>384.7617052517038</v>
      </c>
      <c r="E2" s="6"/>
      <c r="F2" s="21" t="s">
        <v>22</v>
      </c>
      <c r="G2" s="62">
        <v>16789.049999999996</v>
      </c>
      <c r="H2" s="22" t="s">
        <v>32</v>
      </c>
      <c r="I2" s="6"/>
      <c r="J2" s="6"/>
      <c r="K2" s="6"/>
      <c r="L2" s="6"/>
      <c r="M2" s="6"/>
    </row>
    <row r="3" spans="1:13" ht="22.5" customHeight="1" x14ac:dyDescent="0.25">
      <c r="A3" s="94" t="s">
        <v>2</v>
      </c>
      <c r="B3" s="99">
        <f ca="1">'[5]Obra '!$C32</f>
        <v>290742.3885150014</v>
      </c>
      <c r="C3" s="7">
        <f ca="1">B3/B$19</f>
        <v>5.4223013886130845E-3</v>
      </c>
      <c r="D3" s="82">
        <f ca="1">B3/GER_EXECUTIVO!G$2</f>
        <v>17.317381776515138</v>
      </c>
      <c r="E3" s="6"/>
      <c r="F3" s="95"/>
      <c r="G3" s="96"/>
      <c r="H3" s="97"/>
      <c r="I3" s="6"/>
      <c r="J3" s="6"/>
      <c r="K3" s="6"/>
      <c r="L3" s="6"/>
      <c r="M3" s="6"/>
    </row>
    <row r="4" spans="1:13" ht="19.5" customHeight="1" x14ac:dyDescent="0.25">
      <c r="A4" s="93" t="s">
        <v>3</v>
      </c>
      <c r="B4" s="98">
        <f ca="1">'[5]Obra '!$C33</f>
        <v>3912290.7352345688</v>
      </c>
      <c r="C4" s="40">
        <f ca="1">B4/B$19</f>
        <v>7.2963628023665184E-2</v>
      </c>
      <c r="D4" s="81">
        <f ca="1">B4/GER_EXECUTIVO!G$2</f>
        <v>233.02633175996081</v>
      </c>
      <c r="E4" s="6"/>
      <c r="F4" s="8"/>
      <c r="G4" s="6"/>
      <c r="H4" s="6"/>
      <c r="I4" s="6"/>
      <c r="J4" s="6"/>
      <c r="K4" s="6"/>
      <c r="L4" s="6"/>
      <c r="M4" s="6"/>
    </row>
    <row r="5" spans="1:13" ht="19.5" customHeight="1" x14ac:dyDescent="0.25">
      <c r="A5" s="94" t="s">
        <v>4</v>
      </c>
      <c r="B5" s="99">
        <f ca="1">'[5]Obra '!$C34</f>
        <v>9983387.4742840547</v>
      </c>
      <c r="C5" s="7">
        <f t="shared" ref="C5:C17" ca="1" si="0">B5/B$19</f>
        <v>0.18618866014468272</v>
      </c>
      <c r="D5" s="82">
        <f ca="1">B5/GER_EXECUTIVO!G$2</f>
        <v>594.63683021279087</v>
      </c>
      <c r="E5" s="6"/>
      <c r="F5" s="8"/>
      <c r="G5" s="6"/>
      <c r="H5" s="6"/>
      <c r="I5" s="6"/>
      <c r="J5" s="6"/>
      <c r="K5" s="6"/>
      <c r="L5" s="6"/>
      <c r="M5" s="6"/>
    </row>
    <row r="6" spans="1:13" ht="19.5" customHeight="1" x14ac:dyDescent="0.25">
      <c r="A6" s="93" t="s">
        <v>5</v>
      </c>
      <c r="B6" s="98">
        <f ca="1">'[5]Obra '!$C$35</f>
        <v>3190022.8923583706</v>
      </c>
      <c r="C6" s="40">
        <f t="shared" ca="1" si="0"/>
        <v>5.9493442450170402E-2</v>
      </c>
      <c r="D6" s="81">
        <f ca="1">B6/GER_EXECUTIVO!G$2</f>
        <v>190.00615832095153</v>
      </c>
      <c r="E6" s="6"/>
      <c r="F6" s="6"/>
      <c r="G6" s="6"/>
      <c r="H6" s="72"/>
      <c r="I6" s="73"/>
      <c r="J6" s="6"/>
      <c r="K6" s="6"/>
      <c r="L6" s="6"/>
      <c r="M6" s="6"/>
    </row>
    <row r="7" spans="1:13" ht="19.5" customHeight="1" x14ac:dyDescent="0.25">
      <c r="A7" s="94" t="s">
        <v>6</v>
      </c>
      <c r="B7" s="99">
        <f ca="1">'[5]Obra '!$C$37</f>
        <v>5730937.7635283265</v>
      </c>
      <c r="C7" s="7">
        <f t="shared" ca="1" si="0"/>
        <v>0.10688111889000129</v>
      </c>
      <c r="D7" s="82">
        <f ca="1">B7/GER_EXECUTIVO!G$2</f>
        <v>341.34973470972614</v>
      </c>
      <c r="E7" s="6"/>
      <c r="F7" s="10"/>
      <c r="G7" s="6"/>
      <c r="H7" s="72"/>
      <c r="I7" s="73"/>
      <c r="J7" s="6"/>
      <c r="K7" s="6"/>
      <c r="L7" s="6"/>
      <c r="M7" s="6"/>
    </row>
    <row r="8" spans="1:13" ht="19.5" customHeight="1" x14ac:dyDescent="0.25">
      <c r="A8" s="93" t="s">
        <v>20</v>
      </c>
      <c r="B8" s="98">
        <f ca="1">'[5]Obra '!$C$38+'[5]Obra '!$C$39</f>
        <v>2585975.7649999997</v>
      </c>
      <c r="C8" s="40">
        <f t="shared" ca="1" si="0"/>
        <v>4.8228055266030787E-2</v>
      </c>
      <c r="D8" s="81">
        <f ca="1">B8/GER_EXECUTIVO!G$2</f>
        <v>154.02752180736852</v>
      </c>
      <c r="E8" s="17" t="s">
        <v>70</v>
      </c>
      <c r="F8" s="11"/>
      <c r="G8" s="6"/>
      <c r="H8" s="6"/>
      <c r="I8" s="6"/>
      <c r="J8" s="6"/>
      <c r="K8" s="6"/>
      <c r="L8" s="6"/>
      <c r="M8" s="6"/>
    </row>
    <row r="9" spans="1:13" ht="19.5" customHeight="1" x14ac:dyDescent="0.25">
      <c r="A9" s="94" t="s">
        <v>7</v>
      </c>
      <c r="B9" s="99">
        <f ca="1">'[5]Obra '!$C$36</f>
        <v>1463560.6350099999</v>
      </c>
      <c r="C9" s="7">
        <f t="shared" ca="1" si="0"/>
        <v>2.7295183561184454E-2</v>
      </c>
      <c r="D9" s="82">
        <f ca="1">B9/GER_EXECUTIVO!G$2</f>
        <v>87.173522921785349</v>
      </c>
      <c r="E9" s="6"/>
      <c r="F9" s="10"/>
      <c r="G9" s="19"/>
      <c r="H9" s="6"/>
      <c r="I9" s="6"/>
      <c r="J9" s="6"/>
      <c r="K9" s="6"/>
      <c r="L9" s="6"/>
      <c r="M9" s="6"/>
    </row>
    <row r="10" spans="1:13" ht="19.5" customHeight="1" x14ac:dyDescent="0.25">
      <c r="A10" s="93" t="s">
        <v>46</v>
      </c>
      <c r="B10" s="98">
        <f ca="1">'[5]Obra '!$C40</f>
        <v>2002760.715646327</v>
      </c>
      <c r="C10" s="40">
        <f t="shared" ca="1" si="0"/>
        <v>3.7351183172757395E-2</v>
      </c>
      <c r="D10" s="81">
        <f ca="1">B10/GER_EXECUTIVO!G$2</f>
        <v>119.28969868136241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94" t="s">
        <v>18</v>
      </c>
      <c r="B11" s="99">
        <f ca="1">'[5]Obra '!$C41</f>
        <v>1410266.5692925374</v>
      </c>
      <c r="C11" s="7">
        <f t="shared" ca="1" si="0"/>
        <v>2.6301257329716752E-2</v>
      </c>
      <c r="D11" s="82">
        <f ca="1">B11/GER_EXECUTIVO!G$2</f>
        <v>83.999188119193036</v>
      </c>
      <c r="E11" s="6"/>
      <c r="F11" s="9"/>
      <c r="G11" s="6"/>
      <c r="H11" s="6"/>
      <c r="I11" s="6"/>
      <c r="J11" s="6"/>
      <c r="K11" s="6"/>
      <c r="L11" s="6"/>
      <c r="M11" s="6"/>
    </row>
    <row r="12" spans="1:13" ht="19.5" customHeight="1" x14ac:dyDescent="0.25">
      <c r="A12" s="93" t="s">
        <v>47</v>
      </c>
      <c r="B12" s="98">
        <f ca="1">'[5]Obra '!$C42</f>
        <v>2974617.7642928935</v>
      </c>
      <c r="C12" s="40">
        <f t="shared" ca="1" si="0"/>
        <v>5.547616952691535E-2</v>
      </c>
      <c r="D12" s="81">
        <f ca="1">B12/GER_EXECUTIVO!G$2</f>
        <v>177.17606203405757</v>
      </c>
      <c r="E12" s="6"/>
      <c r="F12" s="6"/>
      <c r="G12" s="20"/>
      <c r="H12" s="6"/>
      <c r="I12" s="6"/>
      <c r="J12" s="6"/>
      <c r="K12" s="6"/>
      <c r="L12" s="6"/>
      <c r="M12" s="6"/>
    </row>
    <row r="13" spans="1:13" ht="19.5" customHeight="1" x14ac:dyDescent="0.25">
      <c r="A13" s="94" t="s">
        <v>9</v>
      </c>
      <c r="B13" s="99">
        <f ca="1">'[5]Obra '!$C43</f>
        <v>3275186.5324547347</v>
      </c>
      <c r="C13" s="7">
        <f t="shared" ca="1" si="0"/>
        <v>6.1081731403537218E-2</v>
      </c>
      <c r="D13" s="82">
        <f ca="1">B13/GER_EXECUTIVO!G$2</f>
        <v>195.07872884140173</v>
      </c>
      <c r="E13" s="6"/>
      <c r="F13" s="6"/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93" t="s">
        <v>10</v>
      </c>
      <c r="B14" s="98">
        <f ca="1">'[5]Obra '!$C44</f>
        <v>5304561.9820000008</v>
      </c>
      <c r="C14" s="40">
        <f t="shared" ca="1" si="0"/>
        <v>9.8929275321333832E-2</v>
      </c>
      <c r="D14" s="81">
        <f ca="1">B14/GER_EXECUTIVO!G$2</f>
        <v>315.95367111301726</v>
      </c>
      <c r="E14" s="6"/>
      <c r="F14" s="65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94" t="s">
        <v>34</v>
      </c>
      <c r="B15" s="99">
        <f ca="1">'[5]Obra '!$C45</f>
        <v>505846.31999999995</v>
      </c>
      <c r="C15" s="7">
        <f t="shared" ca="1" si="0"/>
        <v>9.4339570413871591E-3</v>
      </c>
      <c r="D15" s="82">
        <f ca="1">B15/GER_EXECUTIVO!G$2</f>
        <v>30.129538002448029</v>
      </c>
      <c r="E15" s="6"/>
      <c r="F15" s="65"/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93" t="s">
        <v>11</v>
      </c>
      <c r="B16" s="98">
        <f ca="1">'[5]Obra '!$C46</f>
        <v>1515128.7431665272</v>
      </c>
      <c r="C16" s="40">
        <f t="shared" ca="1" si="0"/>
        <v>2.8256920946274626E-2</v>
      </c>
      <c r="D16" s="81">
        <f ca="1">B16/GER_EXECUTIVO!G$2</f>
        <v>90.245055150025024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94" t="s">
        <v>12</v>
      </c>
      <c r="B17" s="99">
        <f ca="1">'[5]Obra '!$C47</f>
        <v>2317724.6522478908</v>
      </c>
      <c r="C17" s="7">
        <f t="shared" ca="1" si="0"/>
        <v>4.3225212754479651E-2</v>
      </c>
      <c r="D17" s="82">
        <f ca="1">B17/GER_EXECUTIVO!G$2</f>
        <v>138.04977960324683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93" t="s">
        <v>50</v>
      </c>
      <c r="B18" s="98">
        <f ca="1">'[5]Obra '!$C48</f>
        <v>696945.16399546887</v>
      </c>
      <c r="C18" s="40">
        <f t="shared" ref="C18" ca="1" si="1">B18/B$19</f>
        <v>1.2997921458311256E-2</v>
      </c>
      <c r="D18" s="81">
        <f ca="1">B18/GER_EXECUTIVO!G$2</f>
        <v>41.51188804580778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41" t="s">
        <v>13</v>
      </c>
      <c r="B19" s="77">
        <f ca="1">SUM(B2:B18)</f>
        <v>53619739.604582816</v>
      </c>
      <c r="C19" s="43">
        <f ca="1">SUM(C2:C18)</f>
        <v>1.0000000000000002</v>
      </c>
      <c r="D19" s="83">
        <f ca="1">SUM(D2:D18)</f>
        <v>3193.7327963513617</v>
      </c>
      <c r="E19" s="9"/>
      <c r="F19" s="65"/>
      <c r="G19" s="6"/>
      <c r="H19" s="6"/>
      <c r="I19" s="6"/>
      <c r="J19" s="6"/>
      <c r="K19" s="6"/>
      <c r="L19" s="6"/>
      <c r="M19" s="6"/>
    </row>
    <row r="20" spans="1:13" ht="19.5" customHeight="1" x14ac:dyDescent="0.25">
      <c r="A20" s="41" t="s">
        <v>29</v>
      </c>
      <c r="B20" s="78">
        <v>2965.54</v>
      </c>
      <c r="C20" s="44">
        <v>45839</v>
      </c>
      <c r="D20" s="79" t="str">
        <f ca="1">ROUND(D19/B20,2)&amp;" CUB"</f>
        <v>1,08 CUB</v>
      </c>
      <c r="E20" s="9"/>
      <c r="F20" s="6"/>
      <c r="G20" s="6"/>
      <c r="H20" s="6"/>
      <c r="I20" s="6"/>
      <c r="J20" s="6"/>
      <c r="K20" s="6"/>
      <c r="L20" s="6"/>
      <c r="M20" s="6"/>
    </row>
    <row r="21" spans="1:13" ht="19.5" x14ac:dyDescent="0.25">
      <c r="B21" s="71"/>
      <c r="C21" s="10"/>
      <c r="D21" s="10"/>
      <c r="E21" s="6"/>
      <c r="F21" s="9"/>
      <c r="G21" s="6"/>
      <c r="H21" s="6"/>
      <c r="I21" s="6"/>
      <c r="J21" s="6"/>
      <c r="K21" s="6"/>
      <c r="L21" s="6"/>
      <c r="M21" s="6"/>
    </row>
    <row r="22" spans="1:13" ht="22.5" customHeight="1" x14ac:dyDescent="0.25">
      <c r="A22" s="6"/>
      <c r="B22" s="9"/>
      <c r="C22" s="10"/>
      <c r="D22" s="10"/>
      <c r="E22" s="6"/>
      <c r="F22" s="65"/>
      <c r="G22" s="65"/>
      <c r="H22" s="6"/>
      <c r="I22" s="6"/>
      <c r="J22" s="6"/>
      <c r="K22" s="6"/>
      <c r="L22" s="6"/>
      <c r="M22" s="6"/>
    </row>
    <row r="23" spans="1:13" ht="15" customHeight="1" x14ac:dyDescent="0.25">
      <c r="A23" s="68" t="s">
        <v>35</v>
      </c>
      <c r="B23" s="70" t="s">
        <v>37</v>
      </c>
      <c r="C23"/>
      <c r="D23"/>
    </row>
    <row r="24" spans="1:13" x14ac:dyDescent="0.25">
      <c r="A24" s="69" t="s">
        <v>3</v>
      </c>
      <c r="B24" s="70">
        <v>0.14152998695221358</v>
      </c>
      <c r="C24"/>
      <c r="D24"/>
    </row>
    <row r="25" spans="1:13" x14ac:dyDescent="0.25">
      <c r="A25" s="69" t="s">
        <v>16</v>
      </c>
      <c r="B25" s="70">
        <v>0.12128874634875914</v>
      </c>
      <c r="C25"/>
      <c r="D25"/>
    </row>
    <row r="26" spans="1:13" x14ac:dyDescent="0.25">
      <c r="A26" s="69" t="s">
        <v>10</v>
      </c>
      <c r="B26" s="70">
        <v>0.11791698158645364</v>
      </c>
      <c r="C26"/>
      <c r="D26"/>
    </row>
    <row r="27" spans="1:13" x14ac:dyDescent="0.25">
      <c r="A27" s="69" t="s">
        <v>6</v>
      </c>
      <c r="B27" s="70">
        <v>0.11577127066096184</v>
      </c>
      <c r="C27"/>
      <c r="D27"/>
    </row>
    <row r="28" spans="1:13" x14ac:dyDescent="0.25">
      <c r="A28" s="69" t="s">
        <v>12</v>
      </c>
      <c r="B28" s="70">
        <v>0.10444394055170898</v>
      </c>
      <c r="C28"/>
      <c r="D28"/>
    </row>
    <row r="29" spans="1:13" x14ac:dyDescent="0.25">
      <c r="A29" s="69" t="s">
        <v>47</v>
      </c>
      <c r="B29" s="70">
        <v>6.88861113580648E-2</v>
      </c>
      <c r="C29"/>
      <c r="D29"/>
    </row>
    <row r="30" spans="1:13" x14ac:dyDescent="0.25">
      <c r="A30" s="69" t="s">
        <v>46</v>
      </c>
      <c r="B30" s="70">
        <v>6.3383398407065555E-2</v>
      </c>
      <c r="C30"/>
      <c r="D30"/>
    </row>
    <row r="31" spans="1:13" x14ac:dyDescent="0.25">
      <c r="A31" s="69" t="s">
        <v>9</v>
      </c>
      <c r="B31" s="70">
        <v>6.2897664034568465E-2</v>
      </c>
      <c r="C31"/>
      <c r="D31"/>
    </row>
    <row r="32" spans="1:13" x14ac:dyDescent="0.25">
      <c r="A32" s="69" t="s">
        <v>5</v>
      </c>
      <c r="B32" s="70">
        <v>4.2390695237042399E-2</v>
      </c>
      <c r="C32"/>
      <c r="D32"/>
    </row>
    <row r="33" spans="1:13" x14ac:dyDescent="0.25">
      <c r="A33" s="69" t="s">
        <v>20</v>
      </c>
      <c r="B33" s="70">
        <v>3.4969811978049561E-2</v>
      </c>
      <c r="C33"/>
      <c r="D33"/>
    </row>
    <row r="34" spans="1:13" x14ac:dyDescent="0.25">
      <c r="A34" s="69" t="s">
        <v>11</v>
      </c>
      <c r="B34" s="70">
        <v>3.3623985890723802E-2</v>
      </c>
      <c r="C34"/>
      <c r="D34"/>
    </row>
    <row r="35" spans="1:13" x14ac:dyDescent="0.25">
      <c r="A35" s="69" t="s">
        <v>7</v>
      </c>
      <c r="B35" s="70">
        <v>3.0181158968439412E-2</v>
      </c>
      <c r="C35"/>
      <c r="D35"/>
    </row>
    <row r="36" spans="1:13" x14ac:dyDescent="0.25">
      <c r="A36" s="69" t="s">
        <v>18</v>
      </c>
      <c r="B36" s="70">
        <v>2.784480045958727E-2</v>
      </c>
      <c r="C36"/>
      <c r="D36"/>
    </row>
    <row r="37" spans="1:13" x14ac:dyDescent="0.25">
      <c r="A37" s="69" t="s">
        <v>2</v>
      </c>
      <c r="B37" s="70">
        <v>1.2070699621747888E-2</v>
      </c>
      <c r="C37"/>
      <c r="D37"/>
    </row>
    <row r="38" spans="1:13" x14ac:dyDescent="0.25">
      <c r="A38" s="69" t="s">
        <v>34</v>
      </c>
      <c r="B38" s="70">
        <v>9.3680124652210008E-3</v>
      </c>
      <c r="C38"/>
      <c r="D38"/>
    </row>
    <row r="39" spans="1:13" x14ac:dyDescent="0.25">
      <c r="A39" s="69" t="s">
        <v>19</v>
      </c>
      <c r="B39" s="70">
        <v>2.7097876117987402E-4</v>
      </c>
      <c r="C39"/>
      <c r="D39"/>
    </row>
    <row r="40" spans="1:13" x14ac:dyDescent="0.25">
      <c r="A40" s="69" t="s">
        <v>4</v>
      </c>
      <c r="B40" s="70">
        <v>0</v>
      </c>
      <c r="C40"/>
      <c r="D40"/>
    </row>
    <row r="41" spans="1:13" x14ac:dyDescent="0.25">
      <c r="A41" s="69" t="s">
        <v>36</v>
      </c>
      <c r="B41" s="70">
        <v>0.98683824328178715</v>
      </c>
      <c r="C41"/>
      <c r="D41"/>
    </row>
    <row r="42" spans="1:13" x14ac:dyDescent="0.25">
      <c r="C42"/>
      <c r="D42"/>
    </row>
    <row r="43" spans="1:13" ht="19.5" x14ac:dyDescent="0.25"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A45" s="125" t="s">
        <v>16</v>
      </c>
      <c r="B45" s="126">
        <f>[1]Ger_Administrativo!$N$126</f>
        <v>7644518.5979153067</v>
      </c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A46" s="152" t="s">
        <v>83</v>
      </c>
      <c r="B46" s="152"/>
      <c r="C46" s="152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A47" s="125" t="s">
        <v>2</v>
      </c>
      <c r="B47" s="126">
        <f>'[1]Ger_Executivo MEGA'!$N$126</f>
        <v>1415598.7796026384</v>
      </c>
      <c r="C47" s="121"/>
      <c r="D47" s="10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A48" s="125" t="s">
        <v>69</v>
      </c>
      <c r="B48" s="126">
        <f>'[1]Ger_Executivo MEGA'!$N$132</f>
        <v>18775886.462808818</v>
      </c>
      <c r="C48" s="121">
        <f>B48-B52</f>
        <v>18362171.804884642</v>
      </c>
      <c r="D48" s="10" t="s">
        <v>84</v>
      </c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A49" s="127" t="s">
        <v>3</v>
      </c>
      <c r="B49" s="128">
        <f>'[1]Ger_Executivo MEGA'!$N$133</f>
        <v>2368306.5077723023</v>
      </c>
      <c r="C49" s="121"/>
      <c r="D49" s="10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A50" s="127" t="s">
        <v>4</v>
      </c>
      <c r="B50" s="128">
        <f>'[1]Ger_Executivo MEGA'!$N$151</f>
        <v>4417376.635496527</v>
      </c>
      <c r="C50" s="121"/>
      <c r="D50" s="10"/>
      <c r="F50" s="6"/>
      <c r="G50" s="6"/>
      <c r="H50" s="6"/>
      <c r="I50" s="6"/>
      <c r="J50" s="6"/>
      <c r="K50" s="6"/>
      <c r="L50" s="6"/>
      <c r="M50" s="6"/>
    </row>
    <row r="51" spans="1:13" ht="19.5" customHeight="1" x14ac:dyDescent="0.25">
      <c r="A51" s="127" t="s">
        <v>75</v>
      </c>
      <c r="B51" s="128">
        <f>'[1]Ger_Executivo MEGA'!$N$168</f>
        <v>11990203.319539987</v>
      </c>
      <c r="C51" s="121">
        <f>B51-B52</f>
        <v>11576488.661615811</v>
      </c>
      <c r="D51" s="10"/>
      <c r="F51" s="6"/>
      <c r="G51" s="6"/>
      <c r="H51" s="6"/>
      <c r="I51" s="6"/>
      <c r="J51" s="6"/>
      <c r="K51" s="6"/>
      <c r="L51" s="6"/>
      <c r="M51" s="6"/>
    </row>
    <row r="52" spans="1:13" ht="19.5" customHeight="1" x14ac:dyDescent="0.25">
      <c r="A52" s="110" t="s">
        <v>54</v>
      </c>
      <c r="B52" s="129">
        <f>'[1]Ger_Executivo MEGA'!$N$174</f>
        <v>413714.65792417544</v>
      </c>
      <c r="C52" s="123"/>
      <c r="D52" s="10"/>
      <c r="F52" s="6"/>
      <c r="G52" s="6"/>
      <c r="H52" s="6"/>
      <c r="I52" s="6"/>
      <c r="J52" s="6"/>
      <c r="K52" s="6"/>
      <c r="L52" s="6"/>
      <c r="M52" s="6"/>
    </row>
    <row r="53" spans="1:13" ht="19.5" customHeight="1" x14ac:dyDescent="0.25">
      <c r="A53" s="125" t="s">
        <v>33</v>
      </c>
      <c r="B53" s="126">
        <f>'[1]Ger_Executivo MEGA'!$N$176</f>
        <v>3180759.7799688042</v>
      </c>
      <c r="C53" s="124">
        <f>B53-B54</f>
        <v>3110673.7711449144</v>
      </c>
      <c r="D53" s="10" t="s">
        <v>84</v>
      </c>
      <c r="F53" s="6"/>
      <c r="G53" s="6"/>
      <c r="H53" s="6"/>
      <c r="I53" s="6"/>
      <c r="J53" s="6"/>
      <c r="K53" s="6"/>
      <c r="L53" s="6"/>
      <c r="M53" s="6"/>
    </row>
    <row r="54" spans="1:13" ht="19.5" customHeight="1" x14ac:dyDescent="0.25">
      <c r="A54" s="110" t="s">
        <v>54</v>
      </c>
      <c r="B54" s="129">
        <f>'[1]Ger_Executivo MEGA'!$N$193</f>
        <v>70086.008823889671</v>
      </c>
      <c r="C54" s="124"/>
      <c r="D54" s="10"/>
      <c r="F54" s="6"/>
      <c r="G54" s="6"/>
      <c r="H54" s="6"/>
      <c r="I54" s="6"/>
      <c r="J54" s="6"/>
      <c r="K54" s="6"/>
      <c r="L54" s="6"/>
      <c r="M54" s="6"/>
    </row>
    <row r="55" spans="1:13" ht="19.5" customHeight="1" x14ac:dyDescent="0.25">
      <c r="A55" s="130" t="s">
        <v>55</v>
      </c>
      <c r="B55" s="126">
        <f>'[1]Ger_Executivo MEGA'!$N$195</f>
        <v>820493.65955901972</v>
      </c>
      <c r="C55" s="124">
        <f>B55-B56</f>
        <v>802414.60617499996</v>
      </c>
      <c r="D55" s="10"/>
      <c r="F55" s="6"/>
      <c r="G55" s="6"/>
      <c r="H55" s="6"/>
      <c r="I55" s="6"/>
      <c r="J55" s="6"/>
      <c r="K55" s="6"/>
      <c r="L55" s="6"/>
      <c r="M55" s="6"/>
    </row>
    <row r="56" spans="1:13" ht="19.5" customHeight="1" x14ac:dyDescent="0.25">
      <c r="A56" s="110" t="s">
        <v>54</v>
      </c>
      <c r="B56" s="129">
        <f>'[1]Ger_Executivo MEGA'!$N$215</f>
        <v>18079.053384019768</v>
      </c>
      <c r="C56" s="124"/>
      <c r="D56" s="10"/>
      <c r="F56" s="6"/>
      <c r="G56" s="6"/>
      <c r="H56" s="6"/>
      <c r="I56" s="6"/>
      <c r="J56" s="6"/>
      <c r="K56" s="6"/>
      <c r="L56" s="6"/>
      <c r="M56" s="6"/>
    </row>
    <row r="57" spans="1:13" ht="19.5" customHeight="1" x14ac:dyDescent="0.25">
      <c r="A57" s="130" t="s">
        <v>56</v>
      </c>
      <c r="B57" s="126">
        <f>'[1]Ger_Executivo MEGA'!$N$217</f>
        <v>2189786.6442585597</v>
      </c>
      <c r="C57" s="124">
        <f>B57-B58</f>
        <v>2141536.095116667</v>
      </c>
      <c r="D57" s="10"/>
      <c r="F57" s="6"/>
      <c r="G57" s="141"/>
      <c r="H57" s="6"/>
      <c r="I57" s="6"/>
      <c r="J57" s="6"/>
      <c r="K57" s="6"/>
      <c r="L57" s="6"/>
      <c r="M57" s="6"/>
    </row>
    <row r="58" spans="1:13" ht="19.5" customHeight="1" x14ac:dyDescent="0.25">
      <c r="A58" s="110" t="s">
        <v>54</v>
      </c>
      <c r="B58" s="129">
        <f>'[1]Ger_Executivo MEGA'!$N$239</f>
        <v>48250.549141892887</v>
      </c>
      <c r="C58" s="124"/>
      <c r="D58" s="10"/>
      <c r="F58" s="6"/>
      <c r="G58" s="6"/>
      <c r="H58" s="6"/>
      <c r="I58" s="6"/>
      <c r="J58" s="6"/>
      <c r="K58" s="6"/>
      <c r="L58" s="6"/>
      <c r="M58" s="6"/>
    </row>
    <row r="59" spans="1:13" ht="19.5" customHeight="1" x14ac:dyDescent="0.25">
      <c r="A59" s="130" t="s">
        <v>57</v>
      </c>
      <c r="B59" s="126">
        <f>'[1]Ger_Executivo MEGA'!$N$241</f>
        <v>3048006.0904464955</v>
      </c>
      <c r="C59" s="124">
        <f>B59-B60</f>
        <v>2980845.2243240001</v>
      </c>
      <c r="D59" s="10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110" t="s">
        <v>54</v>
      </c>
      <c r="B60" s="129">
        <f>'[1]Ger_Executivo MEGA'!$N$263</f>
        <v>67160.866122495325</v>
      </c>
      <c r="C60" s="124"/>
      <c r="D60" s="10"/>
      <c r="E60" s="140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130" t="s">
        <v>58</v>
      </c>
      <c r="B61" s="126">
        <f>'[1]Ger_Executivo MEGA'!$N$265</f>
        <v>352170.04522016214</v>
      </c>
      <c r="C61" s="124">
        <f>B61-B62</f>
        <v>344410.20335714286</v>
      </c>
      <c r="D61" s="10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110" t="s">
        <v>54</v>
      </c>
      <c r="B62" s="129">
        <f>'[1]Ger_Executivo MEGA'!$N$277</f>
        <v>7759.8418630192755</v>
      </c>
      <c r="C62" s="124"/>
      <c r="D62" s="10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130" t="s">
        <v>59</v>
      </c>
      <c r="B63" s="126">
        <f>'[1]Ger_Executivo MEGA'!$N$279</f>
        <v>459373.2445430237</v>
      </c>
      <c r="C63" s="124">
        <f>B63-B64</f>
        <v>449251.2487</v>
      </c>
      <c r="D63" s="10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110" t="s">
        <v>54</v>
      </c>
      <c r="B64" s="129">
        <f>'[1]Ger_Executivo MEGA'!$N$284</f>
        <v>10121.995843023691</v>
      </c>
      <c r="C64" s="124"/>
      <c r="D64" s="10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130" t="s">
        <v>60</v>
      </c>
      <c r="B65" s="126">
        <f>'[1]Ger_Executivo MEGA'!$N$286</f>
        <v>202458.97889989673</v>
      </c>
      <c r="C65" s="124">
        <f>B65-B66</f>
        <v>197997.92469800002</v>
      </c>
      <c r="D65" s="10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110" t="s">
        <v>54</v>
      </c>
      <c r="B66" s="129">
        <f>'[1]Ger_Executivo MEGA'!$N$294</f>
        <v>4461.0542018966989</v>
      </c>
      <c r="C66" s="124"/>
      <c r="D66" s="10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130" t="s">
        <v>20</v>
      </c>
      <c r="B67" s="126">
        <f>'[1]Ger_Executivo MEGA'!$N$296</f>
        <v>1794333.07</v>
      </c>
      <c r="C67" s="124"/>
      <c r="D67" s="10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130" t="s">
        <v>62</v>
      </c>
      <c r="B68" s="126">
        <f>'[1]Ger_Executivo MEGA'!$N$300</f>
        <v>884538.55013125925</v>
      </c>
      <c r="C68" s="124">
        <f>B68-B69</f>
        <v>865048.30851666676</v>
      </c>
      <c r="D68" s="10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110" t="s">
        <v>54</v>
      </c>
      <c r="B69" s="129">
        <f>'[1]Ger_Executivo MEGA'!$N$322</f>
        <v>19490.24161459248</v>
      </c>
      <c r="C69" s="124"/>
      <c r="D69" s="10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130" t="s">
        <v>71</v>
      </c>
      <c r="B70" s="126">
        <f>'[1]Ger_Executivo MEGA'!$N$324</f>
        <v>2542675.6698656175</v>
      </c>
      <c r="C70" s="124"/>
      <c r="D70" s="10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131" t="s">
        <v>63</v>
      </c>
      <c r="B71" s="132">
        <f>'[1]Ger_Executivo MEGA'!$N$326</f>
        <v>466642.00005810021</v>
      </c>
      <c r="C71" s="124"/>
      <c r="D71" s="10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133" t="s">
        <v>76</v>
      </c>
      <c r="B72" s="134">
        <f>'[1]Ger_Executivo MEGA'!$N$330</f>
        <v>302718.15050751658</v>
      </c>
      <c r="C72" s="124"/>
      <c r="D72" s="10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131" t="s">
        <v>85</v>
      </c>
      <c r="B73" s="132">
        <f>'[1]Ger_Executivo MEGA'!$N$336</f>
        <v>840739.45050000038</v>
      </c>
      <c r="C73" s="124"/>
      <c r="D73" s="10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133" t="s">
        <v>86</v>
      </c>
      <c r="B74" s="134">
        <f>'[1]Ger_Executivo MEGA'!$N$337</f>
        <v>932576.06880000036</v>
      </c>
      <c r="C74" s="124"/>
      <c r="D74" s="10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130" t="s">
        <v>72</v>
      </c>
      <c r="B75" s="126">
        <f>'[1]Ger_Executivo MEGA'!$N$338</f>
        <v>585077.05261241295</v>
      </c>
      <c r="C75" s="124">
        <f>B75-B76</f>
        <v>572185.25369999988</v>
      </c>
      <c r="D75" s="10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110" t="s">
        <v>54</v>
      </c>
      <c r="B76" s="129">
        <f>'[1]Ger_Executivo MEGA'!$N$346</f>
        <v>12891.798912413027</v>
      </c>
      <c r="C76" s="124"/>
      <c r="D76" s="10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130" t="s">
        <v>73</v>
      </c>
      <c r="B77" s="126">
        <f>'[1]Ger_Executivo MEGA'!$N$348</f>
        <v>1688185.9781622028</v>
      </c>
      <c r="C77" s="124">
        <f>B77-B78</f>
        <v>1650987.8791083335</v>
      </c>
      <c r="D77" s="10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110" t="s">
        <v>54</v>
      </c>
      <c r="B78" s="129">
        <f>'[1]Ger_Executivo MEGA'!$N$361</f>
        <v>37198.099053869249</v>
      </c>
      <c r="C78" s="124"/>
      <c r="D78" s="10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130" t="s">
        <v>47</v>
      </c>
      <c r="B79" s="126">
        <f>'[1]Ger_Executivo MEGA'!$N$363</f>
        <v>2507052.8697470096</v>
      </c>
      <c r="C79" s="124">
        <f>B79-B87</f>
        <v>2451811.5621017115</v>
      </c>
      <c r="D79" s="10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131" t="s">
        <v>64</v>
      </c>
      <c r="B80" s="132">
        <f>'[1]Ger_Executivo MEGA'!$N$365</f>
        <v>253870.49875</v>
      </c>
      <c r="C80" s="124"/>
      <c r="D80" s="10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109" t="s">
        <v>65</v>
      </c>
      <c r="B81" s="122">
        <f>'[1]Ger_Executivo MEGA'!$N$369</f>
        <v>4432.5564079114283</v>
      </c>
      <c r="C81" s="124"/>
      <c r="D81" s="10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109" t="s">
        <v>77</v>
      </c>
      <c r="B82" s="122">
        <f>'[1]Ger_Executivo MEGA'!$N$372</f>
        <v>523872.82263000001</v>
      </c>
      <c r="C82" s="124"/>
      <c r="D82" s="10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109" t="s">
        <v>78</v>
      </c>
      <c r="B83" s="122">
        <f>'[1]Ger_Executivo MEGA'!$N$377</f>
        <v>293130.00000000006</v>
      </c>
      <c r="C83" s="124"/>
      <c r="D83" s="10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109" t="s">
        <v>66</v>
      </c>
      <c r="B84" s="122">
        <f>'[1]Ger_Executivo MEGA'!$N$379</f>
        <v>153003.18422380005</v>
      </c>
      <c r="C84" s="124"/>
      <c r="D84" s="10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131" t="s">
        <v>87</v>
      </c>
      <c r="B85" s="132">
        <f>'[1]Ger_Executivo MEGA'!$N$385+'[1]Ger_Executivo MEGA'!$N$386+'[1]Ger_Executivo MEGA'!$N$387</f>
        <v>568917.62299999991</v>
      </c>
      <c r="C85" s="124"/>
      <c r="D85" s="10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109" t="s">
        <v>88</v>
      </c>
      <c r="B86" s="122">
        <f>'[1]Ger_Executivo MEGA'!$N$384-B85</f>
        <v>654584.87709000008</v>
      </c>
      <c r="C86" s="124"/>
      <c r="D86" s="10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110" t="s">
        <v>54</v>
      </c>
      <c r="B87" s="129">
        <f>'[1]Ger_Executivo MEGA'!$N$393</f>
        <v>55241.307645297915</v>
      </c>
      <c r="C87" s="124"/>
      <c r="D87" s="10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130" t="s">
        <v>74</v>
      </c>
      <c r="B88" s="126">
        <f>'[1]Ger_Executivo MEGA'!$N$395</f>
        <v>3898012.1533050649</v>
      </c>
      <c r="C88" s="124">
        <f>B88-B90</f>
        <v>3812121.9468541876</v>
      </c>
      <c r="D88" s="10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111" t="s">
        <v>9</v>
      </c>
      <c r="B89" s="128">
        <f>'[1]Ger_Executivo MEGA'!$N$396</f>
        <v>2557946.3857592316</v>
      </c>
      <c r="C89" s="124">
        <f>B89-B90</f>
        <v>2472056.1793083544</v>
      </c>
      <c r="D89" s="10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110" t="s">
        <v>54</v>
      </c>
      <c r="B90" s="129">
        <f>'[1]Ger_Executivo MEGA'!$N$413</f>
        <v>85890.206450877406</v>
      </c>
      <c r="C90" s="124"/>
      <c r="D90" s="10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135" t="s">
        <v>79</v>
      </c>
      <c r="B91" s="136">
        <f>'[1]Ger_Executivo MEGA'!$N$415</f>
        <v>1340065.7675458333</v>
      </c>
      <c r="C91" s="124"/>
      <c r="D91" s="10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130" t="s">
        <v>10</v>
      </c>
      <c r="B92" s="126">
        <f>'[1]Ger_Executivo MEGA'!$N$421</f>
        <v>5085026.2833178537</v>
      </c>
      <c r="C92" s="124">
        <f>B92-B93</f>
        <v>4972980.9791717418</v>
      </c>
      <c r="D92" s="10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110" t="s">
        <v>54</v>
      </c>
      <c r="B93" s="129">
        <f>'[1]Ger_Executivo MEGA'!$N$453</f>
        <v>112045.30414611232</v>
      </c>
      <c r="C93" s="124"/>
      <c r="D93" s="10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130" t="s">
        <v>34</v>
      </c>
      <c r="B94" s="126">
        <f>'[1]Ger_Executivo MEGA'!$N$456</f>
        <v>286923.9525110891</v>
      </c>
      <c r="C94" s="124">
        <f>B94-B95</f>
        <v>280601.76660000003</v>
      </c>
      <c r="D94" s="10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110" t="s">
        <v>54</v>
      </c>
      <c r="B95" s="129">
        <f>'[1]Ger_Executivo MEGA'!$N$464</f>
        <v>6322.1859110890528</v>
      </c>
      <c r="C95" s="124"/>
      <c r="D95" s="10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130" t="s">
        <v>67</v>
      </c>
      <c r="B96" s="126">
        <f>'[1]Ger_Executivo MEGA'!$N$474</f>
        <v>2521062.4708991088</v>
      </c>
      <c r="C96" s="124">
        <f>B96-B97</f>
        <v>2465512.4706464191</v>
      </c>
      <c r="D96" s="10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110" t="s">
        <v>54</v>
      </c>
      <c r="B97" s="129">
        <f>'[1]Ger_Executivo MEGA'!$N$497</f>
        <v>55550.000252689613</v>
      </c>
      <c r="C97" s="124"/>
      <c r="D97" s="10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</sheetData>
  <mergeCells count="1">
    <mergeCell ref="A46:C46"/>
  </mergeCells>
  <conditionalFormatting sqref="A71:A74">
    <cfRule type="expression" dxfId="154" priority="197">
      <formula>$H71="CÉLULA CONSTRUTIVA"</formula>
    </cfRule>
    <cfRule type="expression" dxfId="153" priority="199">
      <formula>$H71="SUBETAPA"</formula>
    </cfRule>
    <cfRule type="expression" dxfId="152" priority="198">
      <formula>$H71="ETAPA"</formula>
    </cfRule>
  </conditionalFormatting>
  <conditionalFormatting sqref="A80">
    <cfRule type="expression" dxfId="151" priority="15">
      <formula>$H80="CÉLULA CONSTRUTIVA"</formula>
    </cfRule>
    <cfRule type="expression" dxfId="150" priority="16">
      <formula>$H80="ETAPA"</formula>
    </cfRule>
  </conditionalFormatting>
  <conditionalFormatting sqref="A85">
    <cfRule type="expression" dxfId="149" priority="8">
      <formula>$H85="CÉLULA CONSTRUTIVA"</formula>
    </cfRule>
    <cfRule type="expression" dxfId="148" priority="9">
      <formula>$H85="ETAPA"</formula>
    </cfRule>
  </conditionalFormatting>
  <conditionalFormatting sqref="A45:B45">
    <cfRule type="expression" dxfId="147" priority="5">
      <formula>$H45="ETAPA"</formula>
    </cfRule>
    <cfRule type="expression" dxfId="146" priority="6">
      <formula>$H45="CÉLULA CONSTRUTIVA"</formula>
    </cfRule>
    <cfRule type="expression" dxfId="145" priority="7">
      <formula>$H45="SUBETAPA"</formula>
    </cfRule>
  </conditionalFormatting>
  <conditionalFormatting sqref="A52:B54">
    <cfRule type="expression" dxfId="144" priority="111">
      <formula>$H52="ETAPA"</formula>
    </cfRule>
  </conditionalFormatting>
  <conditionalFormatting sqref="A53:B54">
    <cfRule type="expression" dxfId="143" priority="112">
      <formula>$H53="CÉLULA CONSTRUTIVA"</formula>
    </cfRule>
    <cfRule type="expression" dxfId="142" priority="113">
      <formula>$H53="SUBETAPA"</formula>
    </cfRule>
  </conditionalFormatting>
  <conditionalFormatting sqref="A56:B56">
    <cfRule type="expression" dxfId="141" priority="106">
      <formula>$H56="CÉLULA CONSTRUTIVA"</formula>
    </cfRule>
    <cfRule type="expression" dxfId="140" priority="107">
      <formula>$H56="SUBETAPA"</formula>
    </cfRule>
    <cfRule type="expression" dxfId="139" priority="105">
      <formula>$H56="ETAPA"</formula>
    </cfRule>
  </conditionalFormatting>
  <conditionalFormatting sqref="A57:B57 C57:C58 A59:C59 A61:C61 A65:C65 A67:C67 A68:B68 A75:C75 A77:C77 A79:C79 A88:C89 C93:C95 B94 A96:C96 C97 C80">
    <cfRule type="expression" dxfId="138" priority="346">
      <formula>$H57="CÉLULA CONSTRUTIVA"</formula>
    </cfRule>
  </conditionalFormatting>
  <conditionalFormatting sqref="A58:B58">
    <cfRule type="expression" dxfId="137" priority="101">
      <formula>$H58="SUBETAPA"</formula>
    </cfRule>
    <cfRule type="expression" dxfId="136" priority="100">
      <formula>$H58="CÉLULA CONSTRUTIVA"</formula>
    </cfRule>
    <cfRule type="expression" dxfId="135" priority="99">
      <formula>$H58="ETAPA"</formula>
    </cfRule>
  </conditionalFormatting>
  <conditionalFormatting sqref="A60:B60">
    <cfRule type="expression" dxfId="134" priority="95">
      <formula>$H60="SUBETAPA"</formula>
    </cfRule>
    <cfRule type="expression" dxfId="133" priority="93">
      <formula>$H60="ETAPA"</formula>
    </cfRule>
    <cfRule type="expression" dxfId="132" priority="94">
      <formula>$H60="CÉLULA CONSTRUTIVA"</formula>
    </cfRule>
  </conditionalFormatting>
  <conditionalFormatting sqref="A62:B62">
    <cfRule type="expression" dxfId="131" priority="88">
      <formula>$H62="CÉLULA CONSTRUTIVA"</formula>
    </cfRule>
    <cfRule type="expression" dxfId="130" priority="89">
      <formula>$H62="SUBETAPA"</formula>
    </cfRule>
    <cfRule type="expression" dxfId="129" priority="87">
      <formula>$H62="ETAPA"</formula>
    </cfRule>
  </conditionalFormatting>
  <conditionalFormatting sqref="A64:B64">
    <cfRule type="expression" dxfId="128" priority="81">
      <formula>$H64="ETAPA"</formula>
    </cfRule>
    <cfRule type="expression" dxfId="127" priority="83">
      <formula>$H64="SUBETAPA"</formula>
    </cfRule>
    <cfRule type="expression" dxfId="126" priority="82">
      <formula>$H64="CÉLULA CONSTRUTIVA"</formula>
    </cfRule>
  </conditionalFormatting>
  <conditionalFormatting sqref="A66:B66">
    <cfRule type="expression" dxfId="125" priority="77">
      <formula>$H66="SUBETAPA"</formula>
    </cfRule>
    <cfRule type="expression" dxfId="124" priority="76">
      <formula>$H66="CÉLULA CONSTRUTIVA"</formula>
    </cfRule>
    <cfRule type="expression" dxfId="123" priority="75">
      <formula>$H66="ETAPA"</formula>
    </cfRule>
  </conditionalFormatting>
  <conditionalFormatting sqref="A69:B69">
    <cfRule type="expression" dxfId="122" priority="71">
      <formula>$H69="SUBETAPA"</formula>
    </cfRule>
    <cfRule type="expression" dxfId="121" priority="69">
      <formula>$H69="ETAPA"</formula>
    </cfRule>
    <cfRule type="expression" dxfId="120" priority="70">
      <formula>$H69="CÉLULA CONSTRUTIVA"</formula>
    </cfRule>
  </conditionalFormatting>
  <conditionalFormatting sqref="A70:B71">
    <cfRule type="expression" dxfId="119" priority="309">
      <formula>$H70="ETAPA"</formula>
    </cfRule>
  </conditionalFormatting>
  <conditionalFormatting sqref="A76:B76">
    <cfRule type="expression" dxfId="118" priority="65">
      <formula>$H76="SUBETAPA"</formula>
    </cfRule>
    <cfRule type="expression" dxfId="117" priority="64">
      <formula>$H76="CÉLULA CONSTRUTIVA"</formula>
    </cfRule>
    <cfRule type="expression" dxfId="116" priority="63">
      <formula>$H76="ETAPA"</formula>
    </cfRule>
  </conditionalFormatting>
  <conditionalFormatting sqref="A78:B78">
    <cfRule type="expression" dxfId="115" priority="57">
      <formula>$H78="ETAPA"</formula>
    </cfRule>
    <cfRule type="expression" dxfId="114" priority="58">
      <formula>$H78="CÉLULA CONSTRUTIVA"</formula>
    </cfRule>
    <cfRule type="expression" dxfId="113" priority="59">
      <formula>$H78="SUBETAPA"</formula>
    </cfRule>
  </conditionalFormatting>
  <conditionalFormatting sqref="A80:B80">
    <cfRule type="expression" dxfId="112" priority="17">
      <formula>$H80="SUBETAPA"</formula>
    </cfRule>
  </conditionalFormatting>
  <conditionalFormatting sqref="A81:B81">
    <cfRule type="expression" dxfId="111" priority="1">
      <formula>$H81="SUBETAPA"</formula>
    </cfRule>
  </conditionalFormatting>
  <conditionalFormatting sqref="A83:B84">
    <cfRule type="expression" dxfId="110" priority="293">
      <formula>$H83="CÉLULA CONSTRUTIVA"</formula>
    </cfRule>
    <cfRule type="expression" dxfId="109" priority="294">
      <formula>$H83="ETAPA"</formula>
    </cfRule>
  </conditionalFormatting>
  <conditionalFormatting sqref="A85:B85">
    <cfRule type="expression" dxfId="108" priority="10">
      <formula>$H85="SUBETAPA"</formula>
    </cfRule>
  </conditionalFormatting>
  <conditionalFormatting sqref="A86:B86">
    <cfRule type="expression" dxfId="107" priority="165">
      <formula>$H86="CÉLULA CONSTRUTIVA"</formula>
    </cfRule>
    <cfRule type="expression" dxfId="106" priority="164">
      <formula>$H86="ETAPA"</formula>
    </cfRule>
  </conditionalFormatting>
  <conditionalFormatting sqref="A87:B87">
    <cfRule type="expression" dxfId="105" priority="53">
      <formula>$H87="SUBETAPA"</formula>
    </cfRule>
    <cfRule type="expression" dxfId="104" priority="52">
      <formula>$H87="CÉLULA CONSTRUTIVA"</formula>
    </cfRule>
    <cfRule type="expression" dxfId="103" priority="51">
      <formula>$H87="ETAPA"</formula>
    </cfRule>
  </conditionalFormatting>
  <conditionalFormatting sqref="A90:B90">
    <cfRule type="expression" dxfId="102" priority="46">
      <formula>$H90="CÉLULA CONSTRUTIVA"</formula>
    </cfRule>
    <cfRule type="expression" dxfId="101" priority="47">
      <formula>$H90="SUBETAPA"</formula>
    </cfRule>
    <cfRule type="expression" dxfId="100" priority="45">
      <formula>$H90="ETAPA"</formula>
    </cfRule>
  </conditionalFormatting>
  <conditionalFormatting sqref="A93:B93">
    <cfRule type="expression" dxfId="99" priority="39">
      <formula>$H93="ETAPA"</formula>
    </cfRule>
    <cfRule type="expression" dxfId="98" priority="40">
      <formula>$H93="CÉLULA CONSTRUTIVA"</formula>
    </cfRule>
    <cfRule type="expression" dxfId="97" priority="41">
      <formula>$H93="SUBETAPA"</formula>
    </cfRule>
  </conditionalFormatting>
  <conditionalFormatting sqref="A94:B94">
    <cfRule type="expression" dxfId="96" priority="212">
      <formula>$H94="CÉLULA CONSTRUTIVA"</formula>
    </cfRule>
  </conditionalFormatting>
  <conditionalFormatting sqref="A95:B95">
    <cfRule type="expression" dxfId="95" priority="31">
      <formula>$H95="CÉLULA CONSTRUTIVA"</formula>
    </cfRule>
    <cfRule type="expression" dxfId="94" priority="30">
      <formula>$H95="ETAPA"</formula>
    </cfRule>
    <cfRule type="expression" dxfId="93" priority="32">
      <formula>$H95="SUBETAPA"</formula>
    </cfRule>
  </conditionalFormatting>
  <conditionalFormatting sqref="A97:B97">
    <cfRule type="expression" dxfId="92" priority="26">
      <formula>$H97="SUBETAPA"</formula>
    </cfRule>
    <cfRule type="expression" dxfId="91" priority="25">
      <formula>$H97="CÉLULA CONSTRUTIVA"</formula>
    </cfRule>
    <cfRule type="expression" dxfId="90" priority="24">
      <formula>$H97="ETAPA"</formula>
    </cfRule>
  </conditionalFormatting>
  <conditionalFormatting sqref="A47:C50">
    <cfRule type="expression" dxfId="89" priority="349">
      <formula>$H47="ETAPA"</formula>
    </cfRule>
  </conditionalFormatting>
  <conditionalFormatting sqref="A47:C51">
    <cfRule type="expression" dxfId="88" priority="353">
      <formula>$H47="CÉLULA CONSTRUTIVA"</formula>
    </cfRule>
    <cfRule type="expression" dxfId="87" priority="354">
      <formula>$H47="SUBETAPA"</formula>
    </cfRule>
  </conditionalFormatting>
  <conditionalFormatting sqref="A51:C51">
    <cfRule type="expression" dxfId="86" priority="327">
      <formula>$H51="ETAPA"</formula>
    </cfRule>
  </conditionalFormatting>
  <conditionalFormatting sqref="A52:C52">
    <cfRule type="expression" dxfId="85" priority="315">
      <formula>$H52="CÉLULA CONSTRUTIVA"</formula>
    </cfRule>
    <cfRule type="expression" dxfId="84" priority="317">
      <formula>$H52="SUBETAPA"</formula>
    </cfRule>
  </conditionalFormatting>
  <conditionalFormatting sqref="A55:C55">
    <cfRule type="expression" dxfId="83" priority="289">
      <formula>$H55="SUBETAPA"</formula>
    </cfRule>
    <cfRule type="expression" dxfId="82" priority="290">
      <formula>$H55="CÉLULA CONSTRUTIVA"</formula>
    </cfRule>
    <cfRule type="expression" dxfId="81" priority="291">
      <formula>$H55="ETAPA"</formula>
    </cfRule>
  </conditionalFormatting>
  <conditionalFormatting sqref="A57:C57 A59:C59 A61:C61 A65:C65 C67 A67:B68 A75:C75 A77:C77 A79:C79 C80 A88:C89 C90:C95 A94:B94 A96:C96 C56 C76 A91:B92">
    <cfRule type="expression" dxfId="80" priority="347">
      <formula>$H56="ETAPA"</formula>
    </cfRule>
  </conditionalFormatting>
  <conditionalFormatting sqref="A70:C71 A82:C82 C80:C81 C64 C66 C69">
    <cfRule type="expression" dxfId="79" priority="299">
      <formula>$H64="SUBETAPA"</formula>
    </cfRule>
  </conditionalFormatting>
  <conditionalFormatting sqref="A91:C92">
    <cfRule type="expression" dxfId="78" priority="147">
      <formula>$H91="SUBETAPA"</formula>
    </cfRule>
    <cfRule type="expression" dxfId="77" priority="148">
      <formula>$H91="CÉLULA CONSTRUTIVA"</formula>
    </cfRule>
  </conditionalFormatting>
  <conditionalFormatting sqref="B45">
    <cfRule type="expression" dxfId="76" priority="4">
      <formula>$H45="ETAPA"</formula>
    </cfRule>
    <cfRule type="expression" dxfId="75" priority="2">
      <formula>$H45="SUBETAPA"</formula>
    </cfRule>
    <cfRule type="expression" dxfId="74" priority="3">
      <formula>$H45="CÉLULA CONSTRUTIVA"</formula>
    </cfRule>
  </conditionalFormatting>
  <conditionalFormatting sqref="B47:B54 A63:C63 B95 C62">
    <cfRule type="expression" dxfId="73" priority="340">
      <formula>$H47="CÉLULA CONSTRUTIVA"</formula>
    </cfRule>
  </conditionalFormatting>
  <conditionalFormatting sqref="B47:B54 A63:C63 B95:C95">
    <cfRule type="expression" dxfId="72" priority="339">
      <formula>$H47="SUBETAPA"</formula>
    </cfRule>
  </conditionalFormatting>
  <conditionalFormatting sqref="B47:B54 C62 A63:C63 B95">
    <cfRule type="expression" dxfId="71" priority="341">
      <formula>$H47="ETAPA"</formula>
    </cfRule>
  </conditionalFormatting>
  <conditionalFormatting sqref="B55 B59 B65">
    <cfRule type="expression" dxfId="70" priority="286">
      <formula>$H55="ETAPA"</formula>
    </cfRule>
  </conditionalFormatting>
  <conditionalFormatting sqref="B55">
    <cfRule type="expression" dxfId="69" priority="285">
      <formula>$H55="CÉLULA CONSTRUTIVA"</formula>
    </cfRule>
  </conditionalFormatting>
  <conditionalFormatting sqref="B55:B56">
    <cfRule type="expression" dxfId="68" priority="108">
      <formula>$H55="SUBETAPA"</formula>
    </cfRule>
  </conditionalFormatting>
  <conditionalFormatting sqref="B56">
    <cfRule type="expression" dxfId="67" priority="110">
      <formula>$H56="ETAPA"</formula>
    </cfRule>
  </conditionalFormatting>
  <conditionalFormatting sqref="B58">
    <cfRule type="expression" dxfId="66" priority="102">
      <formula>$H58="SUBETAPA"</formula>
    </cfRule>
  </conditionalFormatting>
  <conditionalFormatting sqref="B58:B59">
    <cfRule type="expression" dxfId="65" priority="103">
      <formula>$H58="CÉLULA CONSTRUTIVA"</formula>
    </cfRule>
  </conditionalFormatting>
  <conditionalFormatting sqref="B62:B63">
    <cfRule type="expression" dxfId="64" priority="92">
      <formula>$H62="ETAPA"</formula>
    </cfRule>
    <cfRule type="expression" dxfId="63" priority="91">
      <formula>$H62="CÉLULA CONSTRUTIVA"</formula>
    </cfRule>
  </conditionalFormatting>
  <conditionalFormatting sqref="B63 A67:C68 A59:C59 A65:C65 A94:C94 C58 C97 A57:C57 A61:C61 A75:C75 A77:C77 A79:C79 A88:C89 A96:C96">
    <cfRule type="expression" dxfId="62" priority="345">
      <formula>$H57="SUBETAPA"</formula>
    </cfRule>
  </conditionalFormatting>
  <conditionalFormatting sqref="B64:B65">
    <cfRule type="expression" dxfId="61" priority="84">
      <formula>$H64="SUBETAPA"</formula>
    </cfRule>
    <cfRule type="expression" dxfId="60" priority="85">
      <formula>$H64="CÉLULA CONSTRUTIVA"</formula>
    </cfRule>
  </conditionalFormatting>
  <conditionalFormatting sqref="B66">
    <cfRule type="expression" dxfId="59" priority="78">
      <formula>$H66="SUBETAPA"</formula>
    </cfRule>
  </conditionalFormatting>
  <conditionalFormatting sqref="B69">
    <cfRule type="expression" dxfId="58" priority="72">
      <formula>$H69="SUBETAPA"</formula>
    </cfRule>
  </conditionalFormatting>
  <conditionalFormatting sqref="B70">
    <cfRule type="expression" dxfId="57" priority="202">
      <formula>$H70="CÉLULA CONSTRUTIVA"</formula>
    </cfRule>
    <cfRule type="expression" dxfId="56" priority="203">
      <formula>$H70="ETAPA"</formula>
    </cfRule>
  </conditionalFormatting>
  <conditionalFormatting sqref="B70:B75">
    <cfRule type="expression" dxfId="55" priority="201">
      <formula>$H70="SUBETAPA"</formula>
    </cfRule>
  </conditionalFormatting>
  <conditionalFormatting sqref="B71:B73 B81:B84 B86">
    <cfRule type="expression" dxfId="54" priority="283">
      <formula>$H71="ETAPA"</formula>
    </cfRule>
  </conditionalFormatting>
  <conditionalFormatting sqref="B71:B73 B81:B84">
    <cfRule type="expression" dxfId="53" priority="282">
      <formula>$H71="CÉLULA CONSTRUTIVA"</formula>
    </cfRule>
  </conditionalFormatting>
  <conditionalFormatting sqref="B74">
    <cfRule type="expression" dxfId="52" priority="188">
      <formula>$H74="CÉLULA CONSTRUTIVA"</formula>
    </cfRule>
    <cfRule type="expression" dxfId="51" priority="189">
      <formula>$H74="ETAPA"</formula>
    </cfRule>
  </conditionalFormatting>
  <conditionalFormatting sqref="B76">
    <cfRule type="expression" dxfId="50" priority="66">
      <formula>$H76="SUBETAPA"</formula>
    </cfRule>
    <cfRule type="expression" dxfId="49" priority="68">
      <formula>$H76="ETAPA"</formula>
    </cfRule>
  </conditionalFormatting>
  <conditionalFormatting sqref="B80">
    <cfRule type="expression" dxfId="48" priority="21">
      <formula>$H80="ETAPA"</formula>
    </cfRule>
    <cfRule type="expression" dxfId="47" priority="20">
      <formula>$H80="CÉLULA CONSTRUTIVA"</formula>
    </cfRule>
  </conditionalFormatting>
  <conditionalFormatting sqref="B85">
    <cfRule type="expression" dxfId="46" priority="14">
      <formula>$H85="ETAPA"</formula>
    </cfRule>
    <cfRule type="expression" dxfId="45" priority="13">
      <formula>$H85="CÉLULA CONSTRUTIVA"</formula>
    </cfRule>
  </conditionalFormatting>
  <conditionalFormatting sqref="B87">
    <cfRule type="expression" dxfId="44" priority="56">
      <formula>$H87="ETAPA"</formula>
    </cfRule>
    <cfRule type="expression" dxfId="43" priority="55">
      <formula>$H87="CÉLULA CONSTRUTIVA"</formula>
    </cfRule>
    <cfRule type="expression" dxfId="42" priority="54">
      <formula>$H87="SUBETAPA"</formula>
    </cfRule>
  </conditionalFormatting>
  <conditionalFormatting sqref="B90">
    <cfRule type="expression" dxfId="41" priority="50">
      <formula>$H90="ETAPA"</formula>
    </cfRule>
  </conditionalFormatting>
  <conditionalFormatting sqref="B93">
    <cfRule type="expression" dxfId="40" priority="44">
      <formula>$H93="ETAPA"</formula>
    </cfRule>
    <cfRule type="expression" dxfId="39" priority="43">
      <formula>$H93="CÉLULA CONSTRUTIVA"</formula>
    </cfRule>
  </conditionalFormatting>
  <conditionalFormatting sqref="B97">
    <cfRule type="expression" dxfId="38" priority="28">
      <formula>$H97="CÉLULA CONSTRUTIVA"</formula>
    </cfRule>
    <cfRule type="expression" dxfId="37" priority="27">
      <formula>$H97="SUBETAPA"</formula>
    </cfRule>
  </conditionalFormatting>
  <conditionalFormatting sqref="B56:C56">
    <cfRule type="expression" dxfId="36" priority="109">
      <formula>$H56="CÉLULA CONSTRUTIVA"</formula>
    </cfRule>
  </conditionalFormatting>
  <conditionalFormatting sqref="B58:C58">
    <cfRule type="expression" dxfId="35" priority="104">
      <formula>$H58="ETAPA"</formula>
    </cfRule>
  </conditionalFormatting>
  <conditionalFormatting sqref="B60:C60">
    <cfRule type="expression" dxfId="34" priority="98">
      <formula>$H60="ETAPA"</formula>
    </cfRule>
    <cfRule type="expression" dxfId="33" priority="97">
      <formula>$H60="CÉLULA CONSTRUTIVA"</formula>
    </cfRule>
    <cfRule type="expression" dxfId="32" priority="96">
      <formula>$H60="SUBETAPA"</formula>
    </cfRule>
  </conditionalFormatting>
  <conditionalFormatting sqref="B62:C62">
    <cfRule type="expression" dxfId="31" priority="90">
      <formula>$H62="SUBETAPA"</formula>
    </cfRule>
  </conditionalFormatting>
  <conditionalFormatting sqref="B64:C64">
    <cfRule type="expression" dxfId="30" priority="86">
      <formula>$H64="ETAPA"</formula>
    </cfRule>
  </conditionalFormatting>
  <conditionalFormatting sqref="B66:C66">
    <cfRule type="expression" dxfId="29" priority="79">
      <formula>$H66="CÉLULA CONSTRUTIVA"</formula>
    </cfRule>
    <cfRule type="expression" dxfId="28" priority="80">
      <formula>$H66="ETAPA"</formula>
    </cfRule>
  </conditionalFormatting>
  <conditionalFormatting sqref="B69:C69">
    <cfRule type="expression" dxfId="27" priority="73">
      <formula>$H69="CÉLULA CONSTRUTIVA"</formula>
    </cfRule>
    <cfRule type="expression" dxfId="26" priority="74">
      <formula>$H69="ETAPA"</formula>
    </cfRule>
  </conditionalFormatting>
  <conditionalFormatting sqref="B72:C74 A86:C86 A83:C84 C85 C87 C76">
    <cfRule type="expression" dxfId="25" priority="246">
      <formula>$H72="SUBETAPA"</formula>
    </cfRule>
  </conditionalFormatting>
  <conditionalFormatting sqref="B74:C74">
    <cfRule type="expression" dxfId="24" priority="190">
      <formula>$H74="CÉLULA CONSTRUTIVA"</formula>
    </cfRule>
    <cfRule type="expression" dxfId="23" priority="191">
      <formula>$H74="ETAPA"</formula>
    </cfRule>
  </conditionalFormatting>
  <conditionalFormatting sqref="B76:C76">
    <cfRule type="expression" dxfId="22" priority="67">
      <formula>$H76="CÉLULA CONSTRUTIVA"</formula>
    </cfRule>
  </conditionalFormatting>
  <conditionalFormatting sqref="B78:C78">
    <cfRule type="expression" dxfId="21" priority="60">
      <formula>$H78="SUBETAPA"</formula>
    </cfRule>
    <cfRule type="expression" dxfId="20" priority="62">
      <formula>$H78="ETAPA"</formula>
    </cfRule>
    <cfRule type="expression" dxfId="19" priority="61">
      <formula>$H78="CÉLULA CONSTRUTIVA"</formula>
    </cfRule>
  </conditionalFormatting>
  <conditionalFormatting sqref="B90:C90">
    <cfRule type="expression" dxfId="18" priority="48">
      <formula>$H90="SUBETAPA"</formula>
    </cfRule>
    <cfRule type="expression" dxfId="17" priority="49">
      <formula>$H90="CÉLULA CONSTRUTIVA"</formula>
    </cfRule>
  </conditionalFormatting>
  <conditionalFormatting sqref="B93:C93">
    <cfRule type="expression" dxfId="16" priority="42">
      <formula>$H93="SUBETAPA"</formula>
    </cfRule>
  </conditionalFormatting>
  <conditionalFormatting sqref="B97:C97">
    <cfRule type="expression" dxfId="15" priority="29">
      <formula>$H97="ETAPA"</formula>
    </cfRule>
  </conditionalFormatting>
  <conditionalFormatting sqref="C52">
    <cfRule type="expression" dxfId="14" priority="316">
      <formula>$H52="ETAPA"</formula>
    </cfRule>
  </conditionalFormatting>
  <conditionalFormatting sqref="C53">
    <cfRule type="expression" dxfId="13" priority="313">
      <formula>$H53="SUBETAPA"</formula>
    </cfRule>
  </conditionalFormatting>
  <conditionalFormatting sqref="C53:C54">
    <cfRule type="expression" dxfId="12" priority="297">
      <formula>$H53="CÉLULA CONSTRUTIVA"</formula>
    </cfRule>
    <cfRule type="expression" dxfId="11" priority="298">
      <formula>$H53="ETAPA"</formula>
    </cfRule>
  </conditionalFormatting>
  <conditionalFormatting sqref="C54">
    <cfRule type="expression" dxfId="10" priority="296">
      <formula>$H54="SUBETAPA"</formula>
    </cfRule>
  </conditionalFormatting>
  <conditionalFormatting sqref="C56">
    <cfRule type="expression" dxfId="9" priority="295">
      <formula>$H56="SUBETAPA"</formula>
    </cfRule>
  </conditionalFormatting>
  <conditionalFormatting sqref="C64 A70:B71">
    <cfRule type="expression" dxfId="8" priority="308">
      <formula>$H64="CÉLULA CONSTRUTIVA"</formula>
    </cfRule>
  </conditionalFormatting>
  <conditionalFormatting sqref="C68:C72">
    <cfRule type="expression" dxfId="7" priority="311">
      <formula>$H68="CÉLULA CONSTRUTIVA"</formula>
    </cfRule>
    <cfRule type="expression" dxfId="6" priority="312">
      <formula>$H68="ETAPA"</formula>
    </cfRule>
  </conditionalFormatting>
  <conditionalFormatting sqref="C73 A81:C82">
    <cfRule type="expression" dxfId="5" priority="217">
      <formula>$H73="ETAPA"</formula>
    </cfRule>
    <cfRule type="expression" dxfId="4" priority="216">
      <formula>$H73="CÉLULA CONSTRUTIVA"</formula>
    </cfRule>
  </conditionalFormatting>
  <conditionalFormatting sqref="C73">
    <cfRule type="expression" dxfId="3" priority="193">
      <formula>$H73="ETAPA"</formula>
    </cfRule>
    <cfRule type="expression" dxfId="2" priority="192">
      <formula>$H73="CÉLULA CONSTRUTIVA"</formula>
    </cfRule>
  </conditionalFormatting>
  <conditionalFormatting sqref="C83:C87">
    <cfRule type="expression" dxfId="1" priority="159">
      <formula>$H83="CÉLULA CONSTRUTIVA"</formula>
    </cfRule>
    <cfRule type="expression" dxfId="0" priority="248">
      <formula>$H83="ETAPA"</formula>
    </cfRule>
  </conditionalFormatting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9"/>
  <sheetViews>
    <sheetView tabSelected="1" zoomScale="85" zoomScaleNormal="85" workbookViewId="0">
      <selection sqref="A1:D18"/>
    </sheetView>
  </sheetViews>
  <sheetFormatPr defaultColWidth="14.42578125" defaultRowHeight="15" customHeight="1" x14ac:dyDescent="0.25"/>
  <cols>
    <col min="1" max="1" width="66.28515625" customWidth="1"/>
    <col min="2" max="2" width="24.7109375" customWidth="1"/>
    <col min="3" max="3" width="19.85546875" customWidth="1"/>
    <col min="4" max="4" width="26.85546875" style="36" customWidth="1"/>
    <col min="5" max="5" width="29" customWidth="1"/>
    <col min="6" max="6" width="75.42578125" bestFit="1" customWidth="1"/>
  </cols>
  <sheetData>
    <row r="1" spans="1:6" ht="16.5" customHeight="1" x14ac:dyDescent="0.6">
      <c r="A1" s="153" t="s">
        <v>0</v>
      </c>
      <c r="B1" s="155" t="s">
        <v>103</v>
      </c>
      <c r="C1" s="156"/>
      <c r="D1" s="50" t="s">
        <v>45</v>
      </c>
      <c r="E1" s="1"/>
      <c r="F1" s="1"/>
    </row>
    <row r="2" spans="1:6" ht="21.75" x14ac:dyDescent="0.6">
      <c r="A2" s="154"/>
      <c r="B2" s="74" t="s">
        <v>68</v>
      </c>
      <c r="C2" s="74" t="s">
        <v>1</v>
      </c>
      <c r="D2" s="51" t="s">
        <v>1</v>
      </c>
      <c r="E2" s="1"/>
      <c r="F2" s="1"/>
    </row>
    <row r="3" spans="1:6" ht="19.5" customHeight="1" x14ac:dyDescent="0.6">
      <c r="A3" s="117" t="s">
        <v>16</v>
      </c>
      <c r="B3" s="118">
        <f ca="1">GER_EXECUTIVO!B2</f>
        <v>6459783.5075561162</v>
      </c>
      <c r="C3" s="118">
        <f ca="1">B3/GER_EXECUTIVO!$G$2</f>
        <v>384.7617052517038</v>
      </c>
      <c r="D3" s="46" t="str">
        <f>FIXED(CÁLCULO_MÉDIAS!R11,2,FALSE)&amp;" "&amp;"-"&amp;FIXED(CÁLCULO_MÉDIAS!S11,2,FALSE)</f>
        <v>360,00 -420,00</v>
      </c>
      <c r="E3" s="148"/>
      <c r="F3" s="1"/>
    </row>
    <row r="4" spans="1:6" ht="19.5" customHeight="1" x14ac:dyDescent="0.6">
      <c r="A4" s="116" t="s">
        <v>2</v>
      </c>
      <c r="B4" s="119">
        <f ca="1">GER_EXECUTIVO!B3</f>
        <v>290742.3885150014</v>
      </c>
      <c r="C4" s="119">
        <f ca="1">B4/GER_EXECUTIVO!$G$2</f>
        <v>17.317381776515138</v>
      </c>
      <c r="D4" s="66" t="str">
        <f>FIXED(CÁLCULO_MÉDIAS!R12,2,FALSE)&amp;" "&amp;"-"&amp;FIXED(CÁLCULO_MÉDIAS!S12,2,FALSE)</f>
        <v>15,00 -25,00</v>
      </c>
      <c r="E4" s="148"/>
      <c r="F4" s="1"/>
    </row>
    <row r="5" spans="1:6" ht="18.75" customHeight="1" x14ac:dyDescent="0.25">
      <c r="A5" s="117" t="str">
        <f>GER_EXECUTIVO!A4</f>
        <v>INFRAESTRUTURA</v>
      </c>
      <c r="B5" s="118">
        <f ca="1">GER_EXECUTIVO!B4</f>
        <v>3912290.7352345688</v>
      </c>
      <c r="C5" s="118">
        <f ca="1">B5/GER_EXECUTIVO!$G$2</f>
        <v>233.02633175996081</v>
      </c>
      <c r="D5" s="46" t="str">
        <f>FIXED(CÁLCULO_MÉDIAS!R13,2,FALSE)&amp;" "&amp;"-"&amp;FIXED(CÁLCULO_MÉDIAS!S13,2,FALSE)</f>
        <v>240,00 -340,00</v>
      </c>
      <c r="E5" s="149"/>
      <c r="F5" s="4"/>
    </row>
    <row r="6" spans="1:6" ht="18.75" customHeight="1" x14ac:dyDescent="0.25">
      <c r="A6" s="116" t="str">
        <f>GER_EXECUTIVO!A5</f>
        <v>SUPRAESTRUTURA</v>
      </c>
      <c r="B6" s="119">
        <f ca="1">GER_EXECUTIVO!B5</f>
        <v>9983387.4742840547</v>
      </c>
      <c r="C6" s="119">
        <f ca="1">B6/GER_EXECUTIVO!$G$2</f>
        <v>594.63683021279087</v>
      </c>
      <c r="D6" s="66" t="str">
        <f>FIXED(CÁLCULO_MÉDIAS!R14,2,FALSE)&amp;" "&amp;"-"&amp;FIXED(CÁLCULO_MÉDIAS!S14,2,FALSE)</f>
        <v>670,00 -700,00</v>
      </c>
      <c r="E6" s="150" t="s">
        <v>110</v>
      </c>
      <c r="F6" s="4"/>
    </row>
    <row r="7" spans="1:6" ht="19.5" customHeight="1" x14ac:dyDescent="0.25">
      <c r="A7" s="117" t="str">
        <f>GER_EXECUTIVO!A6</f>
        <v>ALVENARIA</v>
      </c>
      <c r="B7" s="118">
        <f ca="1">GER_EXECUTIVO!B6</f>
        <v>3190022.8923583706</v>
      </c>
      <c r="C7" s="118">
        <f ca="1">B7/GER_EXECUTIVO!$G$2</f>
        <v>190.00615832095153</v>
      </c>
      <c r="D7" s="46" t="str">
        <f>FIXED(CÁLCULO_MÉDIAS!R15,2,FALSE)&amp;" "&amp;"-"&amp;FIXED(CÁLCULO_MÉDIAS!S15,2,FALSE)</f>
        <v>110,00 -170,00</v>
      </c>
      <c r="E7" s="145" t="s">
        <v>108</v>
      </c>
      <c r="F7" s="120"/>
    </row>
    <row r="8" spans="1:6" ht="19.5" customHeight="1" x14ac:dyDescent="0.25">
      <c r="A8" s="116" t="str">
        <f>GER_EXECUTIVO!A7</f>
        <v>INSTALAÇÕES ELÉTRICAS, HIDRÁULICAS, GLP E PREVENTIVAS</v>
      </c>
      <c r="B8" s="119">
        <f ca="1">GER_EXECUTIVO!B7+GER_EXECUTIVO!B15</f>
        <v>6236784.0835283268</v>
      </c>
      <c r="C8" s="119">
        <f ca="1">B8/GER_EXECUTIVO!$G$2</f>
        <v>371.47927271217424</v>
      </c>
      <c r="D8" s="66" t="str">
        <f>FIXED(CÁLCULO_MÉDIAS!R16,2,FALSE)&amp;" "&amp;"-"&amp;FIXED(CÁLCULO_MÉDIAS!S16,2,FALSE)</f>
        <v>360,00 -430,00</v>
      </c>
      <c r="E8" s="151"/>
      <c r="F8" s="3"/>
    </row>
    <row r="9" spans="1:6" ht="19.5" customHeight="1" x14ac:dyDescent="0.25">
      <c r="A9" s="117" t="str">
        <f>GER_EXECUTIVO!A8</f>
        <v>EQUIPAMENTOS E SISTEMAS ESPECIAIS</v>
      </c>
      <c r="B9" s="118">
        <f ca="1">GER_EXECUTIVO!B8</f>
        <v>2585975.7649999997</v>
      </c>
      <c r="C9" s="118">
        <f ca="1">B9/GER_EXECUTIVO!$G$2</f>
        <v>154.02752180736852</v>
      </c>
      <c r="D9" s="46" t="str">
        <f>FIXED(CÁLCULO_MÉDIAS!R17,2,FALSE)&amp;" "&amp;"-"&amp;FIXED(CÁLCULO_MÉDIAS!S17,2,FALSE)</f>
        <v>130,00 -180,00</v>
      </c>
      <c r="E9" s="151"/>
      <c r="F9" s="3"/>
    </row>
    <row r="10" spans="1:6" ht="19.5" customHeight="1" x14ac:dyDescent="0.25">
      <c r="A10" s="116" t="str">
        <f>GER_EXECUTIVO!A9</f>
        <v>IMPERMEABILIZAÇÃO</v>
      </c>
      <c r="B10" s="119">
        <f ca="1">GER_EXECUTIVO!B9</f>
        <v>1463560.6350099999</v>
      </c>
      <c r="C10" s="119">
        <f ca="1">B10/GER_EXECUTIVO!$G$2</f>
        <v>87.173522921785349</v>
      </c>
      <c r="D10" s="66" t="str">
        <f>FIXED(CÁLCULO_MÉDIAS!R18,2,FALSE)&amp;" "&amp;"-"&amp;FIXED(CÁLCULO_MÉDIAS!S18,2,FALSE)</f>
        <v>60,00 -90,00</v>
      </c>
      <c r="E10" s="144" t="s">
        <v>104</v>
      </c>
      <c r="F10" s="3"/>
    </row>
    <row r="11" spans="1:6" ht="19.5" customHeight="1" x14ac:dyDescent="0.25">
      <c r="A11" s="117" t="s">
        <v>46</v>
      </c>
      <c r="B11" s="118">
        <f ca="1">GER_EXECUTIVO!B10</f>
        <v>2002760.715646327</v>
      </c>
      <c r="C11" s="118">
        <f ca="1">B11/GER_EXECUTIVO!$G$2</f>
        <v>119.28969868136241</v>
      </c>
      <c r="D11" s="46" t="str">
        <f>FIXED(CÁLCULO_MÉDIAS!R19,2,FALSE)&amp;" "&amp;"-"&amp;FIXED(CÁLCULO_MÉDIAS!S19,2,FALSE)</f>
        <v>120,00 -160,00</v>
      </c>
      <c r="E11" s="145" t="s">
        <v>105</v>
      </c>
      <c r="F11" s="120"/>
    </row>
    <row r="12" spans="1:6" ht="21.75" x14ac:dyDescent="0.25">
      <c r="A12" s="116" t="s">
        <v>18</v>
      </c>
      <c r="B12" s="119">
        <f ca="1">GER_EXECUTIVO!B11</f>
        <v>1410266.5692925374</v>
      </c>
      <c r="C12" s="119">
        <f ca="1">B12/GER_EXECUTIVO!$G$2</f>
        <v>83.999188119193036</v>
      </c>
      <c r="D12" s="66" t="str">
        <f>FIXED(CÁLCULO_MÉDIAS!R20,2,FALSE)&amp;" "&amp;"-"&amp;FIXED(CÁLCULO_MÉDIAS!S20,2,FALSE)</f>
        <v>80,00 -110,00</v>
      </c>
      <c r="E12" s="145" t="s">
        <v>106</v>
      </c>
      <c r="F12" s="3"/>
    </row>
    <row r="13" spans="1:6" s="92" customFormat="1" ht="19.5" customHeight="1" x14ac:dyDescent="0.25">
      <c r="A13" s="117" t="s">
        <v>47</v>
      </c>
      <c r="B13" s="118">
        <f ca="1">GER_EXECUTIVO!B12</f>
        <v>2974617.7642928935</v>
      </c>
      <c r="C13" s="118">
        <f ca="1">B13/GER_EXECUTIVO!$G$2</f>
        <v>177.17606203405757</v>
      </c>
      <c r="D13" s="46" t="str">
        <f>FIXED(CÁLCULO_MÉDIAS!R21,2,FALSE)&amp;" "&amp;"-"&amp;FIXED(CÁLCULO_MÉDIAS!S21,2,FALSE)</f>
        <v>160,00 -200,00</v>
      </c>
      <c r="E13" s="145" t="s">
        <v>107</v>
      </c>
      <c r="F13" s="91"/>
    </row>
    <row r="14" spans="1:6" ht="19.5" customHeight="1" x14ac:dyDescent="0.25">
      <c r="A14" s="116" t="str">
        <f>GER_EXECUTIVO!A13</f>
        <v>PINTURA INTERNA</v>
      </c>
      <c r="B14" s="119">
        <f ca="1">GER_EXECUTIVO!B13</f>
        <v>3275186.5324547347</v>
      </c>
      <c r="C14" s="119">
        <f ca="1">B14/GER_EXECUTIVO!$G$2</f>
        <v>195.07872884140173</v>
      </c>
      <c r="D14" s="66" t="str">
        <f>FIXED(CÁLCULO_MÉDIAS!R22,2,FALSE)&amp;" "&amp;"-"&amp;FIXED(CÁLCULO_MÉDIAS!S22,2,FALSE)</f>
        <v>150,00 -180,00</v>
      </c>
      <c r="E14" s="146" t="s">
        <v>111</v>
      </c>
      <c r="F14" s="3"/>
    </row>
    <row r="15" spans="1:6" ht="19.5" customHeight="1" x14ac:dyDescent="0.25">
      <c r="A15" s="117" t="str">
        <f>GER_EXECUTIVO!A14</f>
        <v>ESQUADRIAS, VIDROS E FERRAGENS</v>
      </c>
      <c r="B15" s="118">
        <f ca="1">GER_EXECUTIVO!B14</f>
        <v>5304561.9820000008</v>
      </c>
      <c r="C15" s="118">
        <f ca="1">B15/GER_EXECUTIVO!$G$2</f>
        <v>315.95367111301726</v>
      </c>
      <c r="D15" s="46" t="str">
        <f>FIXED(CÁLCULO_MÉDIAS!R23,2,FALSE)&amp;" "&amp;"-"&amp;FIXED(CÁLCULO_MÉDIAS!S23,2,FALSE)</f>
        <v>290,00 -340,00</v>
      </c>
      <c r="E15" s="115"/>
      <c r="F15" s="3"/>
    </row>
    <row r="16" spans="1:6" ht="19.5" customHeight="1" x14ac:dyDescent="0.25">
      <c r="A16" s="116" t="s">
        <v>11</v>
      </c>
      <c r="B16" s="119">
        <f ca="1">GER_EXECUTIVO!B16</f>
        <v>1515128.7431665272</v>
      </c>
      <c r="C16" s="119">
        <f ca="1">B16/GER_EXECUTIVO!$G$2</f>
        <v>90.245055150025024</v>
      </c>
      <c r="D16" s="66" t="str">
        <f>FIXED(CÁLCULO_MÉDIAS!R25,2,FALSE)&amp;" "&amp;"-"&amp;FIXED(CÁLCULO_MÉDIAS!S25,2,FALSE)</f>
        <v>100,00 -160,00</v>
      </c>
      <c r="E16" s="145" t="s">
        <v>109</v>
      </c>
      <c r="F16" s="3"/>
    </row>
    <row r="17" spans="1:11" ht="19.5" customHeight="1" x14ac:dyDescent="0.25">
      <c r="A17" s="117" t="s">
        <v>12</v>
      </c>
      <c r="B17" s="118">
        <f ca="1">GER_EXECUTIVO!B17</f>
        <v>2317724.6522478908</v>
      </c>
      <c r="C17" s="118">
        <f ca="1">B17/GER_EXECUTIVO!$G$2</f>
        <v>138.04977960324683</v>
      </c>
      <c r="D17" s="46" t="str">
        <f>FIXED(CÁLCULO_MÉDIAS!R26,2,FALSE)&amp;" "&amp;"-"&amp;FIXED(CÁLCULO_MÉDIAS!S26,2,FALSE)</f>
        <v>120,00 -180,00</v>
      </c>
      <c r="E17" s="147"/>
      <c r="F17" s="3"/>
    </row>
    <row r="18" spans="1:11" ht="19.5" customHeight="1" thickBot="1" x14ac:dyDescent="0.65">
      <c r="A18" s="52" t="s">
        <v>13</v>
      </c>
      <c r="B18" s="80">
        <f ca="1">SUM(B3:B17)</f>
        <v>52922794.440587349</v>
      </c>
      <c r="C18" s="80">
        <f ca="1">SUM(C3:C17)</f>
        <v>3152.2209083055541</v>
      </c>
      <c r="D18" s="53" t="str">
        <f>FIXED(CÁLCULO_MÉDIAS!R27,2,FALSE)&amp;" "&amp;"-"&amp;FIXED(CÁLCULO_MÉDIAS!S27,2,FALSE)</f>
        <v>2.968,00 -3.690,00</v>
      </c>
      <c r="E18" s="3"/>
      <c r="F18" s="3"/>
    </row>
    <row r="19" spans="1:11" ht="21.75" customHeight="1" x14ac:dyDescent="0.6">
      <c r="A19" s="1"/>
      <c r="B19" s="5"/>
      <c r="C19" s="1"/>
      <c r="D19" s="38"/>
      <c r="E19" s="1"/>
      <c r="F19" s="1"/>
    </row>
    <row r="20" spans="1:11" ht="21.75" customHeight="1" x14ac:dyDescent="0.6">
      <c r="A20" s="1"/>
      <c r="B20" s="5"/>
      <c r="C20" s="1"/>
      <c r="D20" s="38"/>
      <c r="E20" s="1"/>
      <c r="F20" s="1"/>
    </row>
    <row r="21" spans="1:11" ht="21.75" customHeight="1" x14ac:dyDescent="0.6">
      <c r="A21" s="1"/>
      <c r="B21" s="5"/>
      <c r="C21" s="1"/>
      <c r="D21" s="38"/>
      <c r="E21" s="1"/>
      <c r="F21" s="1"/>
    </row>
    <row r="22" spans="1:11" ht="21.75" customHeight="1" x14ac:dyDescent="0.6">
      <c r="A22" s="1"/>
      <c r="B22" s="5"/>
      <c r="C22" s="1"/>
      <c r="D22" s="38"/>
      <c r="E22" s="1"/>
      <c r="F22" s="1"/>
    </row>
    <row r="23" spans="1:11" ht="21.75" customHeight="1" x14ac:dyDescent="0.6">
      <c r="A23" s="1"/>
      <c r="B23" s="5"/>
      <c r="C23" s="1"/>
      <c r="D23" s="38"/>
      <c r="E23" s="1"/>
      <c r="F23" s="1"/>
    </row>
    <row r="24" spans="1:11" ht="21.75" customHeight="1" x14ac:dyDescent="0.6">
      <c r="A24" s="1"/>
      <c r="B24" s="5"/>
      <c r="C24" s="1"/>
      <c r="D24" s="38"/>
      <c r="E24" s="1"/>
      <c r="F24" s="1"/>
    </row>
    <row r="25" spans="1:11" ht="21.75" customHeight="1" x14ac:dyDescent="0.6">
      <c r="A25" s="1"/>
      <c r="B25" s="5"/>
      <c r="C25" s="1"/>
      <c r="D25" s="38"/>
      <c r="E25" s="1"/>
      <c r="F25" s="1"/>
    </row>
    <row r="26" spans="1:11" ht="21.75" customHeight="1" x14ac:dyDescent="0.6">
      <c r="A26" s="1"/>
      <c r="B26" s="5"/>
      <c r="C26" s="1"/>
      <c r="D26" s="38"/>
      <c r="E26" s="1"/>
      <c r="F26" s="1"/>
    </row>
    <row r="27" spans="1:11" ht="21.75" customHeight="1" x14ac:dyDescent="0.6">
      <c r="A27" s="1"/>
      <c r="B27" s="5"/>
      <c r="C27" s="1"/>
      <c r="D27" s="38"/>
      <c r="E27" s="1"/>
      <c r="F27" s="75"/>
      <c r="G27" s="75"/>
    </row>
    <row r="28" spans="1:11" ht="21.75" customHeight="1" x14ac:dyDescent="0.6">
      <c r="A28" s="1"/>
      <c r="B28" s="5"/>
      <c r="C28" s="1"/>
      <c r="D28" s="39"/>
      <c r="E28" s="1"/>
      <c r="H28" s="76"/>
      <c r="I28" s="76"/>
      <c r="J28" s="75"/>
      <c r="K28" s="75"/>
    </row>
    <row r="29" spans="1:11" ht="21.75" customHeight="1" x14ac:dyDescent="0.6">
      <c r="A29" s="1"/>
      <c r="B29" s="5"/>
      <c r="C29" s="5"/>
      <c r="D29" s="39"/>
      <c r="E29" s="1"/>
      <c r="H29" s="76"/>
      <c r="I29" s="76"/>
      <c r="J29" s="75"/>
      <c r="K29" s="75"/>
    </row>
    <row r="30" spans="1:11" ht="21.75" customHeight="1" x14ac:dyDescent="0.6">
      <c r="A30" s="1"/>
      <c r="B30" s="5"/>
      <c r="C30" s="5"/>
      <c r="D30" s="39"/>
      <c r="E30" s="1"/>
      <c r="H30" s="76"/>
      <c r="I30" s="76"/>
      <c r="J30" s="75"/>
      <c r="K30" s="75"/>
    </row>
    <row r="31" spans="1:11" ht="21.75" customHeight="1" x14ac:dyDescent="0.6">
      <c r="A31" s="1"/>
      <c r="B31" s="5"/>
      <c r="C31" s="5"/>
      <c r="D31" s="39"/>
      <c r="E31" s="1"/>
      <c r="H31" s="76"/>
      <c r="I31" s="76"/>
      <c r="J31" s="75"/>
      <c r="K31" s="75"/>
    </row>
    <row r="32" spans="1:11" ht="21.75" customHeight="1" x14ac:dyDescent="0.6">
      <c r="A32" s="1"/>
      <c r="B32" s="5"/>
      <c r="C32" s="5"/>
      <c r="D32" s="39"/>
      <c r="E32" s="1"/>
      <c r="H32" s="76"/>
      <c r="I32" s="76"/>
      <c r="J32" s="75"/>
      <c r="K32" s="75"/>
    </row>
    <row r="33" spans="1:6" ht="21.75" customHeight="1" x14ac:dyDescent="0.6">
      <c r="A33" s="1"/>
      <c r="B33" s="5"/>
      <c r="C33" s="1"/>
      <c r="D33" s="38"/>
      <c r="E33" s="1"/>
      <c r="F33" s="1"/>
    </row>
    <row r="34" spans="1:6" ht="21.75" customHeight="1" x14ac:dyDescent="0.6">
      <c r="A34" s="1"/>
      <c r="B34" s="5"/>
      <c r="C34" s="1"/>
      <c r="D34" s="38"/>
      <c r="E34" s="1"/>
      <c r="F34" s="1"/>
    </row>
    <row r="35" spans="1:6" ht="21.75" customHeight="1" x14ac:dyDescent="0.6">
      <c r="A35" s="1"/>
      <c r="B35" s="5"/>
      <c r="C35" s="1"/>
      <c r="D35" s="38"/>
      <c r="E35" s="1"/>
      <c r="F35" s="1"/>
    </row>
    <row r="36" spans="1:6" ht="21.75" customHeight="1" x14ac:dyDescent="0.6">
      <c r="A36" s="1"/>
      <c r="B36" s="5"/>
      <c r="C36" s="1"/>
      <c r="D36" s="38"/>
      <c r="E36" s="1"/>
      <c r="F36" s="1"/>
    </row>
    <row r="37" spans="1:6" ht="21.75" customHeight="1" x14ac:dyDescent="0.6">
      <c r="A37" s="1"/>
      <c r="B37" s="5"/>
      <c r="C37" s="1"/>
      <c r="D37" s="38"/>
      <c r="E37" s="1"/>
      <c r="F37" s="1"/>
    </row>
    <row r="38" spans="1:6" ht="21.75" customHeight="1" x14ac:dyDescent="0.6">
      <c r="A38" s="1"/>
      <c r="B38" s="5"/>
      <c r="C38" s="1"/>
      <c r="D38" s="38"/>
      <c r="E38" s="1"/>
      <c r="F38" s="1"/>
    </row>
    <row r="39" spans="1:6" ht="21.75" customHeight="1" x14ac:dyDescent="0.6">
      <c r="A39" s="1"/>
      <c r="B39" s="5"/>
      <c r="C39" s="1"/>
      <c r="D39" s="38"/>
      <c r="E39" s="1"/>
      <c r="F39" s="1"/>
    </row>
    <row r="40" spans="1:6" ht="21.75" customHeight="1" x14ac:dyDescent="0.6">
      <c r="A40" s="1"/>
      <c r="B40" s="5"/>
      <c r="C40" s="1"/>
      <c r="D40" s="38"/>
      <c r="E40" s="1"/>
      <c r="F40" s="1"/>
    </row>
    <row r="41" spans="1:6" ht="21.75" customHeight="1" x14ac:dyDescent="0.6">
      <c r="A41" s="1"/>
      <c r="B41" s="5"/>
      <c r="C41" s="1"/>
      <c r="D41" s="38"/>
      <c r="E41" s="1"/>
      <c r="F41" s="1"/>
    </row>
    <row r="42" spans="1:6" ht="21.75" customHeight="1" x14ac:dyDescent="0.6">
      <c r="A42" s="1"/>
      <c r="B42" s="5"/>
      <c r="C42" s="1"/>
      <c r="D42" s="38"/>
      <c r="E42" s="1"/>
      <c r="F42" s="1"/>
    </row>
    <row r="43" spans="1:6" ht="21.75" customHeight="1" x14ac:dyDescent="0.6">
      <c r="A43" s="1"/>
      <c r="B43" s="5"/>
      <c r="C43" s="1"/>
      <c r="D43" s="38"/>
      <c r="E43" s="1"/>
      <c r="F43" s="1"/>
    </row>
    <row r="44" spans="1:6" ht="21.75" customHeight="1" x14ac:dyDescent="0.6">
      <c r="A44" s="1"/>
      <c r="B44" s="5"/>
      <c r="C44" s="1"/>
      <c r="D44" s="38"/>
      <c r="E44" s="1"/>
      <c r="F44" s="1"/>
    </row>
    <row r="45" spans="1:6" ht="21.75" customHeight="1" x14ac:dyDescent="0.6">
      <c r="A45" s="1"/>
      <c r="B45" s="5"/>
      <c r="C45" s="1"/>
      <c r="D45" s="38"/>
      <c r="E45" s="1"/>
      <c r="F45" s="1"/>
    </row>
    <row r="46" spans="1:6" ht="21.75" customHeight="1" x14ac:dyDescent="0.6">
      <c r="A46" s="1"/>
      <c r="B46" s="5"/>
      <c r="C46" s="1"/>
      <c r="D46" s="38"/>
      <c r="E46" s="1"/>
      <c r="F46" s="1"/>
    </row>
    <row r="47" spans="1:6" ht="21.75" customHeight="1" x14ac:dyDescent="0.6">
      <c r="A47" s="1"/>
      <c r="B47" s="5"/>
      <c r="C47" s="1"/>
      <c r="D47" s="38"/>
      <c r="E47" s="1"/>
      <c r="F47" s="1"/>
    </row>
    <row r="48" spans="1:6" ht="21.75" customHeight="1" x14ac:dyDescent="0.6">
      <c r="A48" s="1"/>
      <c r="B48" s="5"/>
      <c r="C48" s="1"/>
      <c r="D48" s="38"/>
      <c r="E48" s="1"/>
      <c r="F48" s="1"/>
    </row>
    <row r="49" spans="1:6" ht="21.75" customHeight="1" x14ac:dyDescent="0.6">
      <c r="A49" s="1"/>
      <c r="B49" s="5"/>
      <c r="C49" s="1"/>
      <c r="D49" s="38"/>
      <c r="E49" s="1"/>
      <c r="F49" s="1"/>
    </row>
    <row r="50" spans="1:6" ht="21.75" customHeight="1" x14ac:dyDescent="0.6">
      <c r="A50" s="1"/>
      <c r="B50" s="5"/>
      <c r="C50" s="1"/>
      <c r="D50" s="38"/>
      <c r="E50" s="1"/>
      <c r="F50" s="1"/>
    </row>
    <row r="51" spans="1:6" ht="21.75" customHeight="1" x14ac:dyDescent="0.6">
      <c r="A51" s="1"/>
      <c r="B51" s="5"/>
      <c r="C51" s="1"/>
      <c r="D51" s="38"/>
      <c r="E51" s="1"/>
      <c r="F51" s="1"/>
    </row>
    <row r="52" spans="1:6" ht="21.75" customHeight="1" x14ac:dyDescent="0.6">
      <c r="A52" s="1"/>
      <c r="B52" s="5"/>
      <c r="C52" s="1"/>
      <c r="D52" s="38"/>
      <c r="E52" s="1"/>
      <c r="F52" s="1"/>
    </row>
    <row r="53" spans="1:6" ht="21.75" customHeight="1" x14ac:dyDescent="0.6">
      <c r="A53" s="1"/>
      <c r="B53" s="5"/>
      <c r="C53" s="1"/>
      <c r="D53" s="38"/>
      <c r="E53" s="1"/>
      <c r="F53" s="1"/>
    </row>
    <row r="54" spans="1:6" ht="21.75" customHeight="1" x14ac:dyDescent="0.6">
      <c r="A54" s="1"/>
      <c r="B54" s="5"/>
      <c r="C54" s="1"/>
      <c r="D54" s="38"/>
      <c r="E54" s="1"/>
      <c r="F54" s="1"/>
    </row>
    <row r="55" spans="1:6" ht="21.75" customHeight="1" x14ac:dyDescent="0.6">
      <c r="A55" s="1"/>
      <c r="B55" s="5"/>
      <c r="C55" s="1"/>
      <c r="D55" s="38"/>
      <c r="E55" s="1"/>
      <c r="F55" s="1"/>
    </row>
    <row r="56" spans="1:6" ht="21.75" customHeight="1" x14ac:dyDescent="0.6">
      <c r="A56" s="1"/>
      <c r="B56" s="5"/>
      <c r="C56" s="1"/>
      <c r="D56" s="38"/>
      <c r="E56" s="1"/>
      <c r="F56" s="1"/>
    </row>
    <row r="57" spans="1:6" ht="21.75" customHeight="1" x14ac:dyDescent="0.6">
      <c r="A57" s="1"/>
      <c r="B57" s="5"/>
      <c r="C57" s="1"/>
      <c r="D57" s="38"/>
      <c r="E57" s="1"/>
      <c r="F57" s="1"/>
    </row>
    <row r="58" spans="1:6" ht="21.75" customHeight="1" x14ac:dyDescent="0.6">
      <c r="A58" s="1"/>
      <c r="B58" s="5"/>
      <c r="C58" s="1"/>
      <c r="D58" s="38"/>
      <c r="E58" s="1"/>
      <c r="F58" s="1"/>
    </row>
    <row r="59" spans="1:6" ht="21.75" customHeight="1" x14ac:dyDescent="0.6">
      <c r="A59" s="1"/>
      <c r="B59" s="5"/>
      <c r="C59" s="1"/>
      <c r="D59" s="38"/>
      <c r="E59" s="1"/>
      <c r="F59" s="1"/>
    </row>
    <row r="60" spans="1:6" ht="21.75" customHeight="1" x14ac:dyDescent="0.6">
      <c r="A60" s="1"/>
      <c r="B60" s="5"/>
      <c r="C60" s="1"/>
      <c r="D60" s="38"/>
      <c r="E60" s="1"/>
      <c r="F60" s="1"/>
    </row>
    <row r="61" spans="1:6" ht="21.75" customHeight="1" x14ac:dyDescent="0.6">
      <c r="A61" s="1"/>
      <c r="B61" s="5"/>
      <c r="C61" s="1"/>
      <c r="D61" s="38"/>
      <c r="E61" s="1"/>
      <c r="F61" s="1"/>
    </row>
    <row r="62" spans="1:6" ht="21.75" customHeight="1" x14ac:dyDescent="0.6">
      <c r="A62" s="1"/>
      <c r="B62" s="5"/>
      <c r="C62" s="1"/>
      <c r="D62" s="38"/>
      <c r="E62" s="1"/>
      <c r="F62" s="1"/>
    </row>
    <row r="63" spans="1:6" ht="21.75" customHeight="1" x14ac:dyDescent="0.6">
      <c r="A63" s="1"/>
      <c r="B63" s="5"/>
      <c r="C63" s="1"/>
      <c r="D63" s="38"/>
      <c r="E63" s="1"/>
      <c r="F63" s="1"/>
    </row>
    <row r="64" spans="1:6" ht="21.75" customHeight="1" x14ac:dyDescent="0.6">
      <c r="A64" s="1"/>
      <c r="B64" s="5"/>
      <c r="C64" s="1"/>
      <c r="D64" s="38"/>
      <c r="E64" s="1"/>
      <c r="F64" s="1"/>
    </row>
    <row r="65" spans="1:6" ht="21.75" customHeight="1" x14ac:dyDescent="0.6">
      <c r="A65" s="1"/>
      <c r="B65" s="5"/>
      <c r="C65" s="1"/>
      <c r="D65" s="38"/>
      <c r="E65" s="1"/>
      <c r="F65" s="1"/>
    </row>
    <row r="66" spans="1:6" ht="21.75" customHeight="1" x14ac:dyDescent="0.6">
      <c r="A66" s="1"/>
      <c r="B66" s="5"/>
      <c r="C66" s="1"/>
      <c r="D66" s="38"/>
      <c r="E66" s="1"/>
      <c r="F66" s="1"/>
    </row>
    <row r="67" spans="1:6" ht="21.75" customHeight="1" x14ac:dyDescent="0.6">
      <c r="A67" s="1"/>
      <c r="B67" s="5"/>
      <c r="C67" s="1"/>
      <c r="D67" s="38"/>
      <c r="E67" s="1"/>
      <c r="F67" s="1"/>
    </row>
    <row r="68" spans="1:6" ht="21.75" customHeight="1" x14ac:dyDescent="0.6">
      <c r="A68" s="1"/>
      <c r="B68" s="5"/>
      <c r="C68" s="1"/>
      <c r="D68" s="38"/>
      <c r="E68" s="1"/>
      <c r="F68" s="1"/>
    </row>
    <row r="69" spans="1:6" ht="21.75" customHeight="1" x14ac:dyDescent="0.6">
      <c r="A69" s="1"/>
      <c r="B69" s="5"/>
      <c r="C69" s="1"/>
      <c r="D69" s="38"/>
      <c r="E69" s="1"/>
      <c r="F69" s="1"/>
    </row>
    <row r="70" spans="1:6" ht="21.75" customHeight="1" x14ac:dyDescent="0.6">
      <c r="A70" s="1"/>
      <c r="B70" s="5"/>
      <c r="C70" s="1"/>
      <c r="D70" s="38"/>
      <c r="E70" s="1"/>
      <c r="F70" s="1"/>
    </row>
    <row r="71" spans="1:6" ht="21.75" customHeight="1" x14ac:dyDescent="0.6">
      <c r="A71" s="1"/>
      <c r="B71" s="5"/>
      <c r="C71" s="1"/>
      <c r="D71" s="38"/>
      <c r="E71" s="1"/>
      <c r="F71" s="1"/>
    </row>
    <row r="72" spans="1:6" ht="21.75" customHeight="1" x14ac:dyDescent="0.6">
      <c r="A72" s="1"/>
      <c r="B72" s="5"/>
      <c r="C72" s="1"/>
      <c r="D72" s="38"/>
      <c r="E72" s="1"/>
      <c r="F72" s="1"/>
    </row>
    <row r="73" spans="1:6" ht="21.75" customHeight="1" x14ac:dyDescent="0.6">
      <c r="A73" s="1"/>
      <c r="B73" s="5"/>
      <c r="C73" s="1"/>
      <c r="D73" s="38"/>
      <c r="E73" s="1"/>
      <c r="F73" s="1"/>
    </row>
    <row r="74" spans="1:6" ht="21.75" customHeight="1" x14ac:dyDescent="0.6">
      <c r="A74" s="1"/>
      <c r="B74" s="5"/>
      <c r="C74" s="1"/>
      <c r="D74" s="38"/>
      <c r="E74" s="1"/>
      <c r="F74" s="1"/>
    </row>
    <row r="75" spans="1:6" ht="21.75" customHeight="1" x14ac:dyDescent="0.6">
      <c r="A75" s="1"/>
      <c r="B75" s="5"/>
      <c r="C75" s="1"/>
      <c r="D75" s="38"/>
      <c r="E75" s="1"/>
      <c r="F75" s="1"/>
    </row>
    <row r="76" spans="1:6" ht="21.75" customHeight="1" x14ac:dyDescent="0.6">
      <c r="A76" s="1"/>
      <c r="B76" s="5"/>
      <c r="C76" s="1"/>
      <c r="D76" s="38"/>
      <c r="E76" s="1"/>
      <c r="F76" s="1"/>
    </row>
    <row r="77" spans="1:6" ht="21.75" customHeight="1" x14ac:dyDescent="0.6">
      <c r="A77" s="1"/>
      <c r="B77" s="5"/>
      <c r="C77" s="1"/>
      <c r="D77" s="38"/>
      <c r="E77" s="1"/>
      <c r="F77" s="1"/>
    </row>
    <row r="78" spans="1:6" ht="21.75" customHeight="1" x14ac:dyDescent="0.6">
      <c r="A78" s="1"/>
      <c r="B78" s="5"/>
      <c r="C78" s="1"/>
      <c r="D78" s="38"/>
      <c r="E78" s="1"/>
      <c r="F78" s="1"/>
    </row>
    <row r="79" spans="1:6" ht="21.75" customHeight="1" x14ac:dyDescent="0.6">
      <c r="A79" s="1"/>
      <c r="B79" s="5"/>
      <c r="C79" s="1"/>
      <c r="D79" s="38"/>
      <c r="E79" s="1"/>
      <c r="F79" s="1"/>
    </row>
    <row r="80" spans="1:6" ht="21.75" customHeight="1" x14ac:dyDescent="0.6">
      <c r="A80" s="1"/>
      <c r="B80" s="5"/>
      <c r="C80" s="1"/>
      <c r="D80" s="38"/>
      <c r="E80" s="1"/>
      <c r="F80" s="1"/>
    </row>
    <row r="81" spans="1:6" ht="21.75" customHeight="1" x14ac:dyDescent="0.6">
      <c r="A81" s="1"/>
      <c r="B81" s="5"/>
      <c r="C81" s="1"/>
      <c r="D81" s="38"/>
      <c r="E81" s="1"/>
      <c r="F81" s="1"/>
    </row>
    <row r="82" spans="1:6" ht="21.75" customHeight="1" x14ac:dyDescent="0.6">
      <c r="A82" s="1"/>
      <c r="B82" s="5"/>
      <c r="C82" s="1"/>
      <c r="D82" s="38"/>
      <c r="E82" s="1"/>
      <c r="F82" s="1"/>
    </row>
    <row r="83" spans="1:6" ht="21.75" customHeight="1" x14ac:dyDescent="0.6">
      <c r="A83" s="1"/>
      <c r="B83" s="5"/>
      <c r="C83" s="1"/>
      <c r="D83" s="38"/>
      <c r="E83" s="1"/>
      <c r="F83" s="1"/>
    </row>
    <row r="84" spans="1:6" ht="21.75" customHeight="1" x14ac:dyDescent="0.6">
      <c r="A84" s="1"/>
      <c r="B84" s="5"/>
      <c r="C84" s="1"/>
      <c r="D84" s="38"/>
      <c r="E84" s="1"/>
      <c r="F84" s="1"/>
    </row>
    <row r="85" spans="1:6" ht="21.75" customHeight="1" x14ac:dyDescent="0.6">
      <c r="A85" s="1"/>
      <c r="B85" s="5"/>
      <c r="C85" s="1"/>
      <c r="D85" s="38"/>
      <c r="E85" s="1"/>
      <c r="F85" s="1"/>
    </row>
    <row r="86" spans="1:6" ht="21.75" customHeight="1" x14ac:dyDescent="0.6">
      <c r="A86" s="1"/>
      <c r="B86" s="5"/>
      <c r="C86" s="1"/>
      <c r="D86" s="38"/>
      <c r="E86" s="1"/>
      <c r="F86" s="1"/>
    </row>
    <row r="87" spans="1:6" ht="21.75" customHeight="1" x14ac:dyDescent="0.6">
      <c r="A87" s="1"/>
      <c r="B87" s="5"/>
      <c r="C87" s="1"/>
      <c r="D87" s="38"/>
      <c r="E87" s="1"/>
      <c r="F87" s="1"/>
    </row>
    <row r="88" spans="1:6" ht="21.75" customHeight="1" x14ac:dyDescent="0.6">
      <c r="A88" s="1"/>
      <c r="B88" s="5"/>
      <c r="C88" s="1"/>
      <c r="D88" s="38"/>
      <c r="E88" s="1"/>
      <c r="F88" s="1"/>
    </row>
    <row r="89" spans="1:6" ht="21.75" customHeight="1" x14ac:dyDescent="0.6">
      <c r="A89" s="1"/>
      <c r="B89" s="5"/>
      <c r="C89" s="1"/>
      <c r="D89" s="38"/>
      <c r="E89" s="1"/>
      <c r="F89" s="1"/>
    </row>
    <row r="90" spans="1:6" ht="21.75" customHeight="1" x14ac:dyDescent="0.6">
      <c r="A90" s="1"/>
      <c r="B90" s="5"/>
      <c r="C90" s="1"/>
      <c r="D90" s="38"/>
      <c r="E90" s="1"/>
      <c r="F90" s="1"/>
    </row>
    <row r="91" spans="1:6" ht="21.75" customHeight="1" x14ac:dyDescent="0.6">
      <c r="A91" s="1"/>
      <c r="B91" s="5"/>
      <c r="C91" s="1"/>
      <c r="D91" s="38"/>
      <c r="E91" s="1"/>
      <c r="F91" s="1"/>
    </row>
    <row r="92" spans="1:6" ht="21.75" customHeight="1" x14ac:dyDescent="0.6">
      <c r="A92" s="1"/>
      <c r="B92" s="5"/>
      <c r="C92" s="1"/>
      <c r="D92" s="38"/>
      <c r="E92" s="1"/>
      <c r="F92" s="1"/>
    </row>
    <row r="93" spans="1:6" ht="21.75" customHeight="1" x14ac:dyDescent="0.6">
      <c r="A93" s="1"/>
      <c r="B93" s="5"/>
      <c r="C93" s="1"/>
      <c r="D93" s="38"/>
      <c r="E93" s="1"/>
      <c r="F93" s="1"/>
    </row>
    <row r="94" spans="1:6" ht="21.75" customHeight="1" x14ac:dyDescent="0.6">
      <c r="A94" s="1"/>
      <c r="B94" s="5"/>
      <c r="C94" s="1"/>
      <c r="D94" s="38"/>
      <c r="E94" s="1"/>
      <c r="F94" s="1"/>
    </row>
    <row r="95" spans="1:6" ht="21.75" customHeight="1" x14ac:dyDescent="0.6">
      <c r="A95" s="1"/>
      <c r="B95" s="5"/>
      <c r="C95" s="1"/>
      <c r="D95" s="38"/>
      <c r="E95" s="1"/>
      <c r="F95" s="1"/>
    </row>
    <row r="96" spans="1:6" ht="21.75" customHeight="1" x14ac:dyDescent="0.6">
      <c r="A96" s="1"/>
      <c r="B96" s="5"/>
      <c r="C96" s="1"/>
      <c r="D96" s="38"/>
      <c r="E96" s="1"/>
      <c r="F96" s="1"/>
    </row>
    <row r="97" spans="1:6" ht="21.75" customHeight="1" x14ac:dyDescent="0.6">
      <c r="A97" s="1"/>
      <c r="B97" s="5"/>
      <c r="C97" s="1"/>
      <c r="D97" s="38"/>
      <c r="E97" s="1"/>
      <c r="F97" s="1"/>
    </row>
    <row r="98" spans="1:6" ht="21.75" customHeight="1" x14ac:dyDescent="0.6">
      <c r="A98" s="1"/>
      <c r="B98" s="5"/>
      <c r="C98" s="1"/>
      <c r="D98" s="38"/>
      <c r="E98" s="1"/>
      <c r="F98" s="1"/>
    </row>
    <row r="99" spans="1:6" ht="21.75" customHeight="1" x14ac:dyDescent="0.6">
      <c r="A99" s="1"/>
      <c r="B99" s="5"/>
      <c r="C99" s="1"/>
      <c r="D99" s="38"/>
      <c r="E99" s="1"/>
      <c r="F99" s="1"/>
    </row>
    <row r="100" spans="1:6" ht="21.75" customHeight="1" x14ac:dyDescent="0.6">
      <c r="A100" s="1"/>
      <c r="B100" s="5"/>
      <c r="C100" s="1"/>
      <c r="D100" s="38"/>
      <c r="E100" s="1"/>
      <c r="F100" s="1"/>
    </row>
    <row r="101" spans="1:6" ht="21.75" customHeight="1" x14ac:dyDescent="0.6">
      <c r="A101" s="1"/>
      <c r="B101" s="5"/>
      <c r="C101" s="1"/>
      <c r="D101" s="38"/>
      <c r="E101" s="1"/>
      <c r="F101" s="1"/>
    </row>
    <row r="102" spans="1:6" ht="21.75" customHeight="1" x14ac:dyDescent="0.6">
      <c r="A102" s="1"/>
      <c r="B102" s="5"/>
      <c r="C102" s="1"/>
      <c r="D102" s="38"/>
      <c r="E102" s="1"/>
      <c r="F102" s="1"/>
    </row>
    <row r="103" spans="1:6" ht="21.75" customHeight="1" x14ac:dyDescent="0.6">
      <c r="A103" s="1"/>
      <c r="B103" s="5"/>
      <c r="C103" s="1"/>
      <c r="D103" s="38"/>
      <c r="E103" s="1"/>
      <c r="F103" s="1"/>
    </row>
    <row r="104" spans="1:6" ht="21.75" customHeight="1" x14ac:dyDescent="0.6">
      <c r="A104" s="1"/>
      <c r="B104" s="5"/>
      <c r="C104" s="1"/>
      <c r="D104" s="38"/>
      <c r="E104" s="1"/>
      <c r="F104" s="1"/>
    </row>
    <row r="105" spans="1:6" ht="21.75" customHeight="1" x14ac:dyDescent="0.6">
      <c r="A105" s="1"/>
      <c r="B105" s="5"/>
      <c r="C105" s="1"/>
      <c r="D105" s="38"/>
      <c r="E105" s="1"/>
      <c r="F105" s="1"/>
    </row>
    <row r="106" spans="1:6" ht="21.75" customHeight="1" x14ac:dyDescent="0.6">
      <c r="A106" s="1"/>
      <c r="B106" s="5"/>
      <c r="C106" s="1"/>
      <c r="D106" s="38"/>
      <c r="E106" s="1"/>
      <c r="F106" s="1"/>
    </row>
    <row r="107" spans="1:6" ht="21.75" customHeight="1" x14ac:dyDescent="0.6">
      <c r="A107" s="1"/>
      <c r="B107" s="5"/>
      <c r="C107" s="1"/>
      <c r="D107" s="38"/>
      <c r="E107" s="1"/>
      <c r="F107" s="1"/>
    </row>
    <row r="108" spans="1:6" ht="21.75" customHeight="1" x14ac:dyDescent="0.6">
      <c r="A108" s="1"/>
      <c r="B108" s="5"/>
      <c r="C108" s="1"/>
      <c r="D108" s="38"/>
      <c r="E108" s="1"/>
      <c r="F108" s="1"/>
    </row>
    <row r="109" spans="1:6" ht="21.75" customHeight="1" x14ac:dyDescent="0.6">
      <c r="A109" s="1"/>
      <c r="B109" s="5"/>
      <c r="C109" s="1"/>
      <c r="D109" s="38"/>
      <c r="E109" s="1"/>
      <c r="F109" s="1"/>
    </row>
    <row r="110" spans="1:6" ht="21.75" customHeight="1" x14ac:dyDescent="0.6">
      <c r="A110" s="1"/>
      <c r="B110" s="5"/>
      <c r="C110" s="1"/>
      <c r="D110" s="38"/>
      <c r="E110" s="1"/>
      <c r="F110" s="1"/>
    </row>
    <row r="111" spans="1:6" ht="21.75" customHeight="1" x14ac:dyDescent="0.6">
      <c r="A111" s="1"/>
      <c r="B111" s="5"/>
      <c r="C111" s="1"/>
      <c r="D111" s="38"/>
      <c r="E111" s="1"/>
      <c r="F111" s="1"/>
    </row>
    <row r="112" spans="1:6" ht="21.75" customHeight="1" x14ac:dyDescent="0.6">
      <c r="A112" s="1"/>
      <c r="B112" s="5"/>
      <c r="C112" s="1"/>
      <c r="D112" s="38"/>
      <c r="E112" s="1"/>
      <c r="F112" s="1"/>
    </row>
    <row r="113" spans="1:6" ht="21.75" customHeight="1" x14ac:dyDescent="0.6">
      <c r="A113" s="1"/>
      <c r="B113" s="5"/>
      <c r="C113" s="1"/>
      <c r="D113" s="38"/>
      <c r="E113" s="1"/>
      <c r="F113" s="1"/>
    </row>
    <row r="114" spans="1:6" ht="21.75" customHeight="1" x14ac:dyDescent="0.6">
      <c r="A114" s="1"/>
      <c r="B114" s="5"/>
      <c r="C114" s="1"/>
      <c r="D114" s="38"/>
      <c r="E114" s="1"/>
      <c r="F114" s="1"/>
    </row>
    <row r="115" spans="1:6" ht="21.75" customHeight="1" x14ac:dyDescent="0.6">
      <c r="A115" s="1"/>
      <c r="B115" s="5"/>
      <c r="C115" s="1"/>
      <c r="D115" s="38"/>
      <c r="E115" s="1"/>
      <c r="F115" s="1"/>
    </row>
    <row r="116" spans="1:6" ht="21.75" customHeight="1" x14ac:dyDescent="0.6">
      <c r="A116" s="1"/>
      <c r="B116" s="5"/>
      <c r="C116" s="1"/>
      <c r="D116" s="38"/>
      <c r="E116" s="1"/>
      <c r="F116" s="1"/>
    </row>
    <row r="117" spans="1:6" ht="21.75" customHeight="1" x14ac:dyDescent="0.6">
      <c r="A117" s="1"/>
      <c r="B117" s="5"/>
      <c r="C117" s="1"/>
      <c r="D117" s="38"/>
      <c r="E117" s="1"/>
      <c r="F117" s="1"/>
    </row>
    <row r="118" spans="1:6" ht="21.75" customHeight="1" x14ac:dyDescent="0.6">
      <c r="A118" s="1"/>
      <c r="B118" s="5"/>
      <c r="C118" s="1"/>
      <c r="D118" s="38"/>
      <c r="E118" s="1"/>
      <c r="F118" s="1"/>
    </row>
    <row r="119" spans="1:6" ht="21.75" customHeight="1" x14ac:dyDescent="0.6">
      <c r="A119" s="1"/>
      <c r="B119" s="5"/>
      <c r="C119" s="1"/>
      <c r="D119" s="38"/>
      <c r="E119" s="1"/>
      <c r="F119" s="1"/>
    </row>
    <row r="120" spans="1:6" ht="21.75" customHeight="1" x14ac:dyDescent="0.6">
      <c r="A120" s="1"/>
      <c r="B120" s="5"/>
      <c r="C120" s="1"/>
      <c r="D120" s="38"/>
      <c r="E120" s="1"/>
      <c r="F120" s="1"/>
    </row>
    <row r="121" spans="1:6" ht="21.75" customHeight="1" x14ac:dyDescent="0.6">
      <c r="A121" s="1"/>
      <c r="B121" s="5"/>
      <c r="C121" s="1"/>
      <c r="D121" s="38"/>
      <c r="E121" s="1"/>
      <c r="F121" s="1"/>
    </row>
    <row r="122" spans="1:6" ht="21.75" customHeight="1" x14ac:dyDescent="0.6">
      <c r="A122" s="1"/>
      <c r="B122" s="5"/>
      <c r="C122" s="1"/>
      <c r="D122" s="38"/>
      <c r="E122" s="1"/>
      <c r="F122" s="1"/>
    </row>
    <row r="123" spans="1:6" ht="21.75" customHeight="1" x14ac:dyDescent="0.6">
      <c r="A123" s="1"/>
      <c r="B123" s="5"/>
      <c r="C123" s="1"/>
      <c r="D123" s="38"/>
      <c r="E123" s="1"/>
      <c r="F123" s="1"/>
    </row>
    <row r="124" spans="1:6" ht="21.75" customHeight="1" x14ac:dyDescent="0.6">
      <c r="A124" s="1"/>
      <c r="B124" s="5"/>
      <c r="C124" s="1"/>
      <c r="D124" s="38"/>
      <c r="E124" s="1"/>
      <c r="F124" s="1"/>
    </row>
    <row r="125" spans="1:6" ht="21.75" customHeight="1" x14ac:dyDescent="0.6">
      <c r="A125" s="1"/>
      <c r="B125" s="5"/>
      <c r="C125" s="1"/>
      <c r="D125" s="38"/>
      <c r="E125" s="1"/>
      <c r="F125" s="1"/>
    </row>
    <row r="126" spans="1:6" ht="21.75" customHeight="1" x14ac:dyDescent="0.6">
      <c r="A126" s="1"/>
      <c r="B126" s="5"/>
      <c r="C126" s="1"/>
      <c r="D126" s="38"/>
      <c r="E126" s="1"/>
      <c r="F126" s="1"/>
    </row>
    <row r="127" spans="1:6" ht="21.75" customHeight="1" x14ac:dyDescent="0.6">
      <c r="A127" s="1"/>
      <c r="B127" s="5"/>
      <c r="C127" s="1"/>
      <c r="D127" s="38"/>
      <c r="E127" s="1"/>
      <c r="F127" s="1"/>
    </row>
    <row r="128" spans="1:6" ht="21.75" customHeight="1" x14ac:dyDescent="0.6">
      <c r="A128" s="1"/>
      <c r="B128" s="5"/>
      <c r="C128" s="1"/>
      <c r="D128" s="38"/>
      <c r="E128" s="1"/>
      <c r="F128" s="1"/>
    </row>
    <row r="129" spans="1:6" ht="21.75" customHeight="1" x14ac:dyDescent="0.6">
      <c r="A129" s="1"/>
      <c r="B129" s="5"/>
      <c r="C129" s="1"/>
      <c r="D129" s="38"/>
      <c r="E129" s="1"/>
      <c r="F129" s="1"/>
    </row>
    <row r="130" spans="1:6" ht="21.75" customHeight="1" x14ac:dyDescent="0.6">
      <c r="A130" s="1"/>
      <c r="B130" s="5"/>
      <c r="C130" s="1"/>
      <c r="D130" s="38"/>
      <c r="E130" s="1"/>
      <c r="F130" s="1"/>
    </row>
    <row r="131" spans="1:6" ht="21.75" customHeight="1" x14ac:dyDescent="0.6">
      <c r="A131" s="1"/>
      <c r="B131" s="5"/>
      <c r="C131" s="1"/>
      <c r="D131" s="38"/>
      <c r="E131" s="1"/>
      <c r="F131" s="1"/>
    </row>
    <row r="132" spans="1:6" ht="21.75" customHeight="1" x14ac:dyDescent="0.6">
      <c r="A132" s="1"/>
      <c r="B132" s="5"/>
      <c r="C132" s="1"/>
      <c r="D132" s="38"/>
      <c r="E132" s="1"/>
      <c r="F132" s="1"/>
    </row>
    <row r="133" spans="1:6" ht="21.75" customHeight="1" x14ac:dyDescent="0.6">
      <c r="A133" s="1"/>
      <c r="B133" s="5"/>
      <c r="C133" s="1"/>
      <c r="D133" s="38"/>
      <c r="E133" s="1"/>
      <c r="F133" s="1"/>
    </row>
    <row r="134" spans="1:6" ht="21.75" customHeight="1" x14ac:dyDescent="0.6">
      <c r="A134" s="1"/>
      <c r="B134" s="5"/>
      <c r="C134" s="1"/>
      <c r="D134" s="38"/>
      <c r="E134" s="1"/>
      <c r="F134" s="1"/>
    </row>
    <row r="135" spans="1:6" ht="21.75" customHeight="1" x14ac:dyDescent="0.6">
      <c r="A135" s="1"/>
      <c r="B135" s="5"/>
      <c r="C135" s="1"/>
      <c r="D135" s="38"/>
      <c r="E135" s="1"/>
      <c r="F135" s="1"/>
    </row>
    <row r="136" spans="1:6" ht="21.75" customHeight="1" x14ac:dyDescent="0.6">
      <c r="A136" s="1"/>
      <c r="B136" s="5"/>
      <c r="C136" s="1"/>
      <c r="D136" s="38"/>
      <c r="E136" s="1"/>
      <c r="F136" s="1"/>
    </row>
    <row r="137" spans="1:6" ht="21.75" customHeight="1" x14ac:dyDescent="0.6">
      <c r="A137" s="1"/>
      <c r="B137" s="5"/>
      <c r="C137" s="1"/>
      <c r="D137" s="38"/>
      <c r="E137" s="1"/>
      <c r="F137" s="1"/>
    </row>
    <row r="138" spans="1:6" ht="21.75" customHeight="1" x14ac:dyDescent="0.6">
      <c r="A138" s="1"/>
      <c r="B138" s="5"/>
      <c r="C138" s="1"/>
      <c r="D138" s="38"/>
      <c r="E138" s="1"/>
      <c r="F138" s="1"/>
    </row>
    <row r="139" spans="1:6" ht="21.75" customHeight="1" x14ac:dyDescent="0.6">
      <c r="A139" s="1"/>
      <c r="B139" s="5"/>
      <c r="C139" s="1"/>
      <c r="D139" s="38"/>
      <c r="E139" s="1"/>
      <c r="F139" s="1"/>
    </row>
    <row r="140" spans="1:6" ht="21.75" customHeight="1" x14ac:dyDescent="0.6">
      <c r="A140" s="1"/>
      <c r="B140" s="5"/>
      <c r="C140" s="1"/>
      <c r="D140" s="38"/>
      <c r="E140" s="1"/>
      <c r="F140" s="1"/>
    </row>
    <row r="141" spans="1:6" ht="21.75" customHeight="1" x14ac:dyDescent="0.6">
      <c r="A141" s="1"/>
      <c r="B141" s="5"/>
      <c r="C141" s="1"/>
      <c r="D141" s="38"/>
      <c r="E141" s="1"/>
      <c r="F141" s="1"/>
    </row>
    <row r="142" spans="1:6" ht="21.75" customHeight="1" x14ac:dyDescent="0.6">
      <c r="A142" s="1"/>
      <c r="B142" s="5"/>
      <c r="C142" s="1"/>
      <c r="D142" s="38"/>
      <c r="E142" s="1"/>
      <c r="F142" s="1"/>
    </row>
    <row r="143" spans="1:6" ht="21.75" customHeight="1" x14ac:dyDescent="0.6">
      <c r="A143" s="1"/>
      <c r="B143" s="5"/>
      <c r="C143" s="1"/>
      <c r="D143" s="38"/>
      <c r="E143" s="1"/>
      <c r="F143" s="1"/>
    </row>
    <row r="144" spans="1:6" ht="21.75" customHeight="1" x14ac:dyDescent="0.6">
      <c r="A144" s="1"/>
      <c r="B144" s="5"/>
      <c r="C144" s="1"/>
      <c r="D144" s="38"/>
      <c r="E144" s="1"/>
      <c r="F144" s="1"/>
    </row>
    <row r="145" spans="1:6" ht="21.75" customHeight="1" x14ac:dyDescent="0.6">
      <c r="A145" s="1"/>
      <c r="B145" s="5"/>
      <c r="C145" s="1"/>
      <c r="D145" s="38"/>
      <c r="E145" s="1"/>
      <c r="F145" s="1"/>
    </row>
    <row r="146" spans="1:6" ht="21.75" customHeight="1" x14ac:dyDescent="0.6">
      <c r="A146" s="1"/>
      <c r="B146" s="5"/>
      <c r="C146" s="1"/>
      <c r="D146" s="38"/>
      <c r="E146" s="1"/>
      <c r="F146" s="1"/>
    </row>
    <row r="147" spans="1:6" ht="21.75" customHeight="1" x14ac:dyDescent="0.6">
      <c r="A147" s="1"/>
      <c r="B147" s="5"/>
      <c r="C147" s="1"/>
      <c r="D147" s="38"/>
      <c r="E147" s="1"/>
      <c r="F147" s="1"/>
    </row>
    <row r="148" spans="1:6" ht="21.75" customHeight="1" x14ac:dyDescent="0.6">
      <c r="A148" s="1"/>
      <c r="B148" s="5"/>
      <c r="C148" s="1"/>
      <c r="D148" s="38"/>
      <c r="E148" s="1"/>
      <c r="F148" s="1"/>
    </row>
    <row r="149" spans="1:6" ht="21.75" customHeight="1" x14ac:dyDescent="0.6">
      <c r="A149" s="1"/>
      <c r="B149" s="5"/>
      <c r="C149" s="1"/>
      <c r="D149" s="38"/>
      <c r="E149" s="1"/>
      <c r="F149" s="1"/>
    </row>
    <row r="150" spans="1:6" ht="21.75" customHeight="1" x14ac:dyDescent="0.6">
      <c r="A150" s="1"/>
      <c r="B150" s="5"/>
      <c r="C150" s="1"/>
      <c r="D150" s="38"/>
      <c r="E150" s="1"/>
      <c r="F150" s="1"/>
    </row>
    <row r="151" spans="1:6" ht="21.75" customHeight="1" x14ac:dyDescent="0.6">
      <c r="A151" s="1"/>
      <c r="B151" s="5"/>
      <c r="C151" s="1"/>
      <c r="D151" s="38"/>
      <c r="E151" s="1"/>
      <c r="F151" s="1"/>
    </row>
    <row r="152" spans="1:6" ht="21.75" customHeight="1" x14ac:dyDescent="0.6">
      <c r="A152" s="1"/>
      <c r="B152" s="5"/>
      <c r="C152" s="1"/>
      <c r="D152" s="38"/>
      <c r="E152" s="1"/>
      <c r="F152" s="1"/>
    </row>
    <row r="153" spans="1:6" ht="21.75" customHeight="1" x14ac:dyDescent="0.6">
      <c r="A153" s="1"/>
      <c r="B153" s="5"/>
      <c r="C153" s="1"/>
      <c r="D153" s="38"/>
      <c r="E153" s="1"/>
      <c r="F153" s="1"/>
    </row>
    <row r="154" spans="1:6" ht="21.75" customHeight="1" x14ac:dyDescent="0.6">
      <c r="A154" s="1"/>
      <c r="B154" s="5"/>
      <c r="C154" s="1"/>
      <c r="D154" s="38"/>
      <c r="E154" s="1"/>
      <c r="F154" s="1"/>
    </row>
    <row r="155" spans="1:6" ht="21.75" customHeight="1" x14ac:dyDescent="0.6">
      <c r="A155" s="1"/>
      <c r="B155" s="5"/>
      <c r="C155" s="1"/>
      <c r="D155" s="38"/>
      <c r="E155" s="1"/>
      <c r="F155" s="1"/>
    </row>
    <row r="156" spans="1:6" ht="21.75" customHeight="1" x14ac:dyDescent="0.6">
      <c r="A156" s="1"/>
      <c r="B156" s="5"/>
      <c r="C156" s="1"/>
      <c r="D156" s="38"/>
      <c r="E156" s="1"/>
      <c r="F156" s="1"/>
    </row>
    <row r="157" spans="1:6" ht="21.75" customHeight="1" x14ac:dyDescent="0.6">
      <c r="A157" s="1"/>
      <c r="B157" s="5"/>
      <c r="C157" s="1"/>
      <c r="D157" s="38"/>
      <c r="E157" s="1"/>
      <c r="F157" s="1"/>
    </row>
    <row r="158" spans="1:6" ht="21.75" customHeight="1" x14ac:dyDescent="0.6">
      <c r="A158" s="1"/>
      <c r="B158" s="5"/>
      <c r="C158" s="1"/>
      <c r="D158" s="38"/>
      <c r="E158" s="1"/>
      <c r="F158" s="1"/>
    </row>
    <row r="159" spans="1:6" ht="21.75" customHeight="1" x14ac:dyDescent="0.6">
      <c r="A159" s="1"/>
      <c r="B159" s="5"/>
      <c r="C159" s="1"/>
      <c r="D159" s="38"/>
      <c r="E159" s="1"/>
      <c r="F159" s="1"/>
    </row>
    <row r="160" spans="1:6" ht="21.75" customHeight="1" x14ac:dyDescent="0.6">
      <c r="A160" s="1"/>
      <c r="B160" s="5"/>
      <c r="C160" s="1"/>
      <c r="D160" s="38"/>
      <c r="E160" s="1"/>
      <c r="F160" s="1"/>
    </row>
    <row r="161" spans="1:6" ht="21.75" customHeight="1" x14ac:dyDescent="0.6">
      <c r="A161" s="1"/>
      <c r="B161" s="5"/>
      <c r="C161" s="1"/>
      <c r="D161" s="38"/>
      <c r="E161" s="1"/>
      <c r="F161" s="1"/>
    </row>
    <row r="162" spans="1:6" ht="21.75" customHeight="1" x14ac:dyDescent="0.6">
      <c r="A162" s="1"/>
      <c r="B162" s="5"/>
      <c r="C162" s="1"/>
      <c r="D162" s="38"/>
      <c r="E162" s="1"/>
      <c r="F162" s="1"/>
    </row>
    <row r="163" spans="1:6" ht="21.75" customHeight="1" x14ac:dyDescent="0.6">
      <c r="A163" s="1"/>
      <c r="B163" s="5"/>
      <c r="C163" s="1"/>
      <c r="D163" s="38"/>
      <c r="E163" s="1"/>
      <c r="F163" s="1"/>
    </row>
    <row r="164" spans="1:6" ht="21.75" customHeight="1" x14ac:dyDescent="0.6">
      <c r="A164" s="1"/>
      <c r="B164" s="5"/>
      <c r="C164" s="1"/>
      <c r="D164" s="38"/>
      <c r="E164" s="1"/>
      <c r="F164" s="1"/>
    </row>
    <row r="165" spans="1:6" ht="21.75" customHeight="1" x14ac:dyDescent="0.6">
      <c r="A165" s="1"/>
      <c r="B165" s="5"/>
      <c r="C165" s="1"/>
      <c r="D165" s="38"/>
      <c r="E165" s="1"/>
      <c r="F165" s="1"/>
    </row>
    <row r="166" spans="1:6" ht="21.75" customHeight="1" x14ac:dyDescent="0.6">
      <c r="A166" s="1"/>
      <c r="B166" s="5"/>
      <c r="C166" s="1"/>
      <c r="D166" s="38"/>
      <c r="E166" s="1"/>
      <c r="F166" s="1"/>
    </row>
    <row r="167" spans="1:6" ht="21.75" customHeight="1" x14ac:dyDescent="0.6">
      <c r="A167" s="1"/>
      <c r="B167" s="5"/>
      <c r="C167" s="1"/>
      <c r="D167" s="38"/>
      <c r="E167" s="1"/>
      <c r="F167" s="1"/>
    </row>
    <row r="168" spans="1:6" ht="21.75" customHeight="1" x14ac:dyDescent="0.6">
      <c r="A168" s="1"/>
      <c r="B168" s="5"/>
      <c r="C168" s="1"/>
      <c r="D168" s="38"/>
      <c r="E168" s="1"/>
      <c r="F168" s="1"/>
    </row>
    <row r="169" spans="1:6" ht="21.75" customHeight="1" x14ac:dyDescent="0.6">
      <c r="A169" s="1"/>
      <c r="B169" s="5"/>
      <c r="C169" s="1"/>
      <c r="D169" s="38"/>
      <c r="E169" s="1"/>
      <c r="F169" s="1"/>
    </row>
    <row r="170" spans="1:6" ht="21.75" customHeight="1" x14ac:dyDescent="0.6">
      <c r="A170" s="1"/>
      <c r="B170" s="5"/>
      <c r="C170" s="1"/>
      <c r="D170" s="38"/>
      <c r="E170" s="1"/>
      <c r="F170" s="1"/>
    </row>
    <row r="171" spans="1:6" ht="21.75" customHeight="1" x14ac:dyDescent="0.6">
      <c r="A171" s="1"/>
      <c r="B171" s="5"/>
      <c r="C171" s="1"/>
      <c r="D171" s="38"/>
      <c r="E171" s="1"/>
      <c r="F171" s="1"/>
    </row>
    <row r="172" spans="1:6" ht="21.75" customHeight="1" x14ac:dyDescent="0.6">
      <c r="A172" s="1"/>
      <c r="B172" s="5"/>
      <c r="C172" s="1"/>
      <c r="D172" s="38"/>
      <c r="E172" s="1"/>
      <c r="F172" s="1"/>
    </row>
    <row r="173" spans="1:6" ht="21.75" customHeight="1" x14ac:dyDescent="0.6">
      <c r="A173" s="1"/>
      <c r="B173" s="5"/>
      <c r="C173" s="1"/>
      <c r="D173" s="38"/>
      <c r="E173" s="1"/>
      <c r="F173" s="1"/>
    </row>
    <row r="174" spans="1:6" ht="21.75" customHeight="1" x14ac:dyDescent="0.6">
      <c r="A174" s="1"/>
      <c r="B174" s="5"/>
      <c r="C174" s="1"/>
      <c r="D174" s="38"/>
      <c r="E174" s="1"/>
      <c r="F174" s="1"/>
    </row>
    <row r="175" spans="1:6" ht="21.75" customHeight="1" x14ac:dyDescent="0.6">
      <c r="A175" s="1"/>
      <c r="B175" s="5"/>
      <c r="C175" s="1"/>
      <c r="D175" s="38"/>
      <c r="E175" s="1"/>
      <c r="F175" s="1"/>
    </row>
    <row r="176" spans="1:6" ht="21.75" customHeight="1" x14ac:dyDescent="0.6">
      <c r="A176" s="1"/>
      <c r="B176" s="5"/>
      <c r="C176" s="1"/>
      <c r="D176" s="38"/>
      <c r="E176" s="1"/>
      <c r="F176" s="1"/>
    </row>
    <row r="177" spans="1:6" ht="21.75" customHeight="1" x14ac:dyDescent="0.6">
      <c r="A177" s="1"/>
      <c r="B177" s="5"/>
      <c r="C177" s="1"/>
      <c r="D177" s="38"/>
      <c r="E177" s="1"/>
      <c r="F177" s="1"/>
    </row>
    <row r="178" spans="1:6" ht="21.75" customHeight="1" x14ac:dyDescent="0.6">
      <c r="A178" s="1"/>
      <c r="B178" s="5"/>
      <c r="C178" s="1"/>
      <c r="D178" s="38"/>
      <c r="E178" s="1"/>
      <c r="F178" s="1"/>
    </row>
    <row r="179" spans="1:6" ht="21.75" customHeight="1" x14ac:dyDescent="0.6">
      <c r="A179" s="1"/>
      <c r="B179" s="5"/>
      <c r="C179" s="1"/>
      <c r="D179" s="38"/>
      <c r="E179" s="1"/>
      <c r="F179" s="1"/>
    </row>
    <row r="180" spans="1:6" ht="21.75" customHeight="1" x14ac:dyDescent="0.6">
      <c r="A180" s="1"/>
      <c r="B180" s="5"/>
      <c r="C180" s="1"/>
      <c r="D180" s="38"/>
      <c r="E180" s="1"/>
      <c r="F180" s="1"/>
    </row>
    <row r="181" spans="1:6" ht="21.75" customHeight="1" x14ac:dyDescent="0.6">
      <c r="A181" s="1"/>
      <c r="B181" s="5"/>
      <c r="C181" s="1"/>
      <c r="D181" s="38"/>
      <c r="E181" s="1"/>
      <c r="F181" s="1"/>
    </row>
    <row r="182" spans="1:6" ht="21.75" customHeight="1" x14ac:dyDescent="0.6">
      <c r="A182" s="1"/>
      <c r="B182" s="5"/>
      <c r="C182" s="1"/>
      <c r="D182" s="38"/>
      <c r="E182" s="1"/>
      <c r="F182" s="1"/>
    </row>
    <row r="183" spans="1:6" ht="21.75" customHeight="1" x14ac:dyDescent="0.6">
      <c r="A183" s="1"/>
      <c r="B183" s="5"/>
      <c r="C183" s="1"/>
      <c r="D183" s="38"/>
      <c r="E183" s="1"/>
      <c r="F183" s="1"/>
    </row>
    <row r="184" spans="1:6" ht="21.75" customHeight="1" x14ac:dyDescent="0.6">
      <c r="A184" s="1"/>
      <c r="B184" s="5"/>
      <c r="C184" s="1"/>
      <c r="D184" s="38"/>
      <c r="E184" s="1"/>
      <c r="F184" s="1"/>
    </row>
    <row r="185" spans="1:6" ht="21.75" customHeight="1" x14ac:dyDescent="0.6">
      <c r="A185" s="1"/>
      <c r="B185" s="5"/>
      <c r="C185" s="1"/>
      <c r="D185" s="38"/>
      <c r="E185" s="1"/>
      <c r="F185" s="1"/>
    </row>
    <row r="186" spans="1:6" ht="21.75" customHeight="1" x14ac:dyDescent="0.6">
      <c r="A186" s="1"/>
      <c r="B186" s="5"/>
      <c r="C186" s="1"/>
      <c r="D186" s="38"/>
      <c r="E186" s="1"/>
      <c r="F186" s="1"/>
    </row>
    <row r="187" spans="1:6" ht="21.75" customHeight="1" x14ac:dyDescent="0.6">
      <c r="A187" s="1"/>
      <c r="B187" s="5"/>
      <c r="C187" s="1"/>
      <c r="D187" s="38"/>
      <c r="E187" s="1"/>
      <c r="F187" s="1"/>
    </row>
    <row r="188" spans="1:6" ht="21.75" customHeight="1" x14ac:dyDescent="0.6">
      <c r="A188" s="1"/>
      <c r="B188" s="5"/>
      <c r="C188" s="1"/>
      <c r="D188" s="38"/>
      <c r="E188" s="1"/>
      <c r="F188" s="1"/>
    </row>
    <row r="189" spans="1:6" ht="21.75" customHeight="1" x14ac:dyDescent="0.6">
      <c r="A189" s="1"/>
      <c r="B189" s="5"/>
      <c r="C189" s="1"/>
      <c r="D189" s="38"/>
      <c r="E189" s="1"/>
      <c r="F189" s="1"/>
    </row>
    <row r="190" spans="1:6" ht="21.75" customHeight="1" x14ac:dyDescent="0.6">
      <c r="A190" s="1"/>
      <c r="B190" s="5"/>
      <c r="C190" s="1"/>
      <c r="D190" s="38"/>
      <c r="E190" s="1"/>
      <c r="F190" s="1"/>
    </row>
    <row r="191" spans="1:6" ht="21.75" customHeight="1" x14ac:dyDescent="0.6">
      <c r="A191" s="1"/>
      <c r="B191" s="5"/>
      <c r="C191" s="1"/>
      <c r="D191" s="38"/>
      <c r="E191" s="1"/>
      <c r="F191" s="1"/>
    </row>
    <row r="192" spans="1:6" ht="21.75" customHeight="1" x14ac:dyDescent="0.6">
      <c r="A192" s="1"/>
      <c r="B192" s="5"/>
      <c r="C192" s="1"/>
      <c r="D192" s="38"/>
      <c r="E192" s="1"/>
      <c r="F192" s="1"/>
    </row>
    <row r="193" spans="1:6" ht="21.75" customHeight="1" x14ac:dyDescent="0.6">
      <c r="A193" s="1"/>
      <c r="B193" s="5"/>
      <c r="C193" s="1"/>
      <c r="D193" s="38"/>
      <c r="E193" s="1"/>
      <c r="F193" s="1"/>
    </row>
    <row r="194" spans="1:6" ht="21.75" customHeight="1" x14ac:dyDescent="0.6">
      <c r="A194" s="1"/>
      <c r="B194" s="5"/>
      <c r="C194" s="1"/>
      <c r="D194" s="38"/>
      <c r="E194" s="1"/>
      <c r="F194" s="1"/>
    </row>
    <row r="195" spans="1:6" ht="21.75" customHeight="1" x14ac:dyDescent="0.6">
      <c r="A195" s="1"/>
      <c r="B195" s="5"/>
      <c r="C195" s="1"/>
      <c r="D195" s="38"/>
      <c r="E195" s="1"/>
      <c r="F195" s="1"/>
    </row>
    <row r="196" spans="1:6" ht="21.75" customHeight="1" x14ac:dyDescent="0.6">
      <c r="A196" s="1"/>
      <c r="B196" s="5"/>
      <c r="C196" s="1"/>
      <c r="D196" s="38"/>
      <c r="E196" s="1"/>
      <c r="F196" s="1"/>
    </row>
    <row r="197" spans="1:6" ht="21.75" customHeight="1" x14ac:dyDescent="0.6">
      <c r="A197" s="1"/>
      <c r="B197" s="5"/>
      <c r="C197" s="1"/>
      <c r="D197" s="38"/>
      <c r="E197" s="1"/>
      <c r="F197" s="1"/>
    </row>
    <row r="198" spans="1:6" ht="21.75" customHeight="1" x14ac:dyDescent="0.6">
      <c r="A198" s="1"/>
      <c r="B198" s="5"/>
      <c r="C198" s="1"/>
      <c r="D198" s="38"/>
      <c r="E198" s="1"/>
      <c r="F198" s="1"/>
    </row>
    <row r="199" spans="1:6" ht="21.75" customHeight="1" x14ac:dyDescent="0.6">
      <c r="A199" s="1"/>
      <c r="B199" s="5"/>
      <c r="C199" s="1"/>
      <c r="D199" s="38"/>
      <c r="E199" s="1"/>
      <c r="F199" s="1"/>
    </row>
    <row r="200" spans="1:6" ht="21.75" customHeight="1" x14ac:dyDescent="0.6">
      <c r="A200" s="1"/>
      <c r="B200" s="5"/>
      <c r="C200" s="1"/>
      <c r="D200" s="38"/>
      <c r="E200" s="1"/>
      <c r="F200" s="1"/>
    </row>
    <row r="201" spans="1:6" ht="21.75" customHeight="1" x14ac:dyDescent="0.6">
      <c r="A201" s="1"/>
      <c r="B201" s="5"/>
      <c r="C201" s="1"/>
      <c r="D201" s="38"/>
      <c r="E201" s="1"/>
      <c r="F201" s="1"/>
    </row>
    <row r="202" spans="1:6" ht="21.75" customHeight="1" x14ac:dyDescent="0.6">
      <c r="A202" s="1"/>
      <c r="B202" s="5"/>
      <c r="C202" s="1"/>
      <c r="D202" s="38"/>
      <c r="E202" s="1"/>
      <c r="F202" s="1"/>
    </row>
    <row r="203" spans="1:6" ht="21.75" customHeight="1" x14ac:dyDescent="0.6">
      <c r="A203" s="1"/>
      <c r="B203" s="5"/>
      <c r="C203" s="1"/>
      <c r="D203" s="38"/>
      <c r="E203" s="1"/>
      <c r="F203" s="1"/>
    </row>
    <row r="204" spans="1:6" ht="21.75" customHeight="1" x14ac:dyDescent="0.6">
      <c r="A204" s="1"/>
      <c r="B204" s="5"/>
      <c r="C204" s="1"/>
      <c r="D204" s="38"/>
      <c r="E204" s="1"/>
      <c r="F204" s="1"/>
    </row>
    <row r="205" spans="1:6" ht="21.75" customHeight="1" x14ac:dyDescent="0.6">
      <c r="A205" s="1"/>
      <c r="B205" s="5"/>
      <c r="C205" s="1"/>
      <c r="D205" s="38"/>
      <c r="E205" s="1"/>
      <c r="F205" s="1"/>
    </row>
    <row r="206" spans="1:6" ht="21.75" customHeight="1" x14ac:dyDescent="0.6">
      <c r="A206" s="1"/>
      <c r="B206" s="5"/>
      <c r="C206" s="1"/>
      <c r="D206" s="38"/>
      <c r="E206" s="1"/>
      <c r="F206" s="1"/>
    </row>
    <row r="207" spans="1:6" ht="21.75" customHeight="1" x14ac:dyDescent="0.6">
      <c r="A207" s="1"/>
      <c r="B207" s="5"/>
      <c r="C207" s="1"/>
      <c r="D207" s="38"/>
      <c r="E207" s="1"/>
      <c r="F207" s="1"/>
    </row>
    <row r="208" spans="1:6" ht="21.75" customHeight="1" x14ac:dyDescent="0.6">
      <c r="A208" s="1"/>
      <c r="B208" s="5"/>
      <c r="C208" s="1"/>
      <c r="D208" s="38"/>
      <c r="E208" s="1"/>
      <c r="F208" s="1"/>
    </row>
    <row r="209" spans="1:6" ht="21.75" customHeight="1" x14ac:dyDescent="0.6">
      <c r="A209" s="1"/>
      <c r="B209" s="5"/>
      <c r="C209" s="1"/>
      <c r="D209" s="38"/>
      <c r="E209" s="1"/>
      <c r="F209" s="1"/>
    </row>
    <row r="210" spans="1:6" ht="21.75" customHeight="1" x14ac:dyDescent="0.6">
      <c r="A210" s="1"/>
      <c r="B210" s="5"/>
      <c r="C210" s="1"/>
      <c r="D210" s="38"/>
      <c r="E210" s="1"/>
      <c r="F210" s="1"/>
    </row>
    <row r="211" spans="1:6" ht="21.75" customHeight="1" x14ac:dyDescent="0.6">
      <c r="A211" s="1"/>
      <c r="B211" s="5"/>
      <c r="C211" s="1"/>
      <c r="D211" s="38"/>
      <c r="E211" s="1"/>
      <c r="F211" s="1"/>
    </row>
    <row r="212" spans="1:6" ht="21.75" customHeight="1" x14ac:dyDescent="0.6">
      <c r="A212" s="1"/>
      <c r="B212" s="5"/>
      <c r="C212" s="1"/>
      <c r="D212" s="38"/>
      <c r="E212" s="1"/>
      <c r="F212" s="1"/>
    </row>
    <row r="213" spans="1:6" ht="21.75" customHeight="1" x14ac:dyDescent="0.6">
      <c r="A213" s="1"/>
      <c r="B213" s="5"/>
      <c r="C213" s="1"/>
      <c r="D213" s="38"/>
      <c r="E213" s="1"/>
      <c r="F213" s="1"/>
    </row>
    <row r="214" spans="1:6" ht="21.75" customHeight="1" x14ac:dyDescent="0.6">
      <c r="A214" s="1"/>
      <c r="B214" s="5"/>
      <c r="C214" s="1"/>
      <c r="D214" s="38"/>
      <c r="E214" s="1"/>
      <c r="F214" s="1"/>
    </row>
    <row r="215" spans="1:6" ht="21.75" customHeight="1" x14ac:dyDescent="0.6">
      <c r="A215" s="1"/>
      <c r="B215" s="5"/>
      <c r="C215" s="1"/>
      <c r="D215" s="38"/>
      <c r="E215" s="1"/>
      <c r="F215" s="1"/>
    </row>
    <row r="216" spans="1:6" ht="21.75" customHeight="1" x14ac:dyDescent="0.6">
      <c r="A216" s="1"/>
      <c r="B216" s="5"/>
      <c r="C216" s="1"/>
      <c r="D216" s="38"/>
      <c r="E216" s="1"/>
      <c r="F216" s="1"/>
    </row>
    <row r="217" spans="1:6" ht="21.75" customHeight="1" x14ac:dyDescent="0.6">
      <c r="A217" s="1"/>
      <c r="B217" s="5"/>
      <c r="C217" s="1"/>
      <c r="D217" s="38"/>
      <c r="E217" s="1"/>
      <c r="F217" s="1"/>
    </row>
    <row r="218" spans="1:6" ht="21.75" customHeight="1" x14ac:dyDescent="0.6">
      <c r="A218" s="1"/>
      <c r="B218" s="5"/>
      <c r="C218" s="1"/>
      <c r="D218" s="38"/>
      <c r="E218" s="1"/>
      <c r="F218" s="1"/>
    </row>
    <row r="219" spans="1:6" ht="21.75" customHeight="1" x14ac:dyDescent="0.6">
      <c r="A219" s="1"/>
      <c r="B219" s="5"/>
      <c r="C219" s="1"/>
      <c r="D219" s="38"/>
      <c r="E219" s="1"/>
      <c r="F219" s="1"/>
    </row>
    <row r="220" spans="1:6" ht="21.75" customHeight="1" x14ac:dyDescent="0.6">
      <c r="A220" s="1"/>
      <c r="B220" s="5"/>
      <c r="C220" s="1"/>
      <c r="D220" s="38"/>
      <c r="E220" s="1"/>
      <c r="F220" s="1"/>
    </row>
    <row r="221" spans="1:6" ht="21.75" customHeight="1" x14ac:dyDescent="0.6">
      <c r="A221" s="1"/>
      <c r="B221" s="5"/>
      <c r="C221" s="1"/>
      <c r="D221" s="38"/>
      <c r="E221" s="1"/>
      <c r="F221" s="1"/>
    </row>
    <row r="222" spans="1:6" ht="21.75" customHeight="1" x14ac:dyDescent="0.6">
      <c r="A222" s="1"/>
      <c r="B222" s="5"/>
      <c r="C222" s="1"/>
      <c r="D222" s="38"/>
      <c r="E222" s="1"/>
      <c r="F222" s="1"/>
    </row>
    <row r="223" spans="1:6" ht="21.75" customHeight="1" x14ac:dyDescent="0.6">
      <c r="A223" s="1"/>
      <c r="B223" s="5"/>
      <c r="C223" s="1"/>
      <c r="D223" s="38"/>
      <c r="E223" s="1"/>
      <c r="F223" s="1"/>
    </row>
    <row r="224" spans="1:6" ht="21.75" customHeight="1" x14ac:dyDescent="0.6">
      <c r="A224" s="1"/>
      <c r="B224" s="5"/>
      <c r="C224" s="1"/>
      <c r="D224" s="38"/>
      <c r="E224" s="1"/>
      <c r="F224" s="1"/>
    </row>
    <row r="225" spans="1:6" ht="21.75" customHeight="1" x14ac:dyDescent="0.6">
      <c r="A225" s="1"/>
      <c r="B225" s="5"/>
      <c r="C225" s="1"/>
      <c r="D225" s="38"/>
      <c r="E225" s="1"/>
      <c r="F225" s="1"/>
    </row>
    <row r="226" spans="1:6" ht="21.75" customHeight="1" x14ac:dyDescent="0.6">
      <c r="A226" s="1"/>
      <c r="B226" s="5"/>
      <c r="C226" s="1"/>
      <c r="D226" s="38"/>
      <c r="E226" s="1"/>
      <c r="F226" s="1"/>
    </row>
    <row r="227" spans="1:6" ht="21.75" customHeight="1" x14ac:dyDescent="0.6">
      <c r="A227" s="1"/>
      <c r="B227" s="5"/>
      <c r="C227" s="1"/>
      <c r="D227" s="38"/>
      <c r="E227" s="1"/>
      <c r="F227" s="1"/>
    </row>
    <row r="228" spans="1:6" ht="21.75" customHeight="1" x14ac:dyDescent="0.6">
      <c r="A228" s="1"/>
      <c r="B228" s="5"/>
      <c r="C228" s="1"/>
      <c r="D228" s="38"/>
      <c r="E228" s="1"/>
      <c r="F228" s="1"/>
    </row>
    <row r="229" spans="1:6" ht="21.75" customHeight="1" x14ac:dyDescent="0.6">
      <c r="A229" s="1"/>
      <c r="B229" s="5"/>
      <c r="C229" s="1"/>
      <c r="D229" s="38"/>
      <c r="E229" s="1"/>
      <c r="F229" s="1"/>
    </row>
    <row r="230" spans="1:6" ht="21.75" customHeight="1" x14ac:dyDescent="0.6">
      <c r="A230" s="1"/>
      <c r="B230" s="5"/>
      <c r="C230" s="1"/>
      <c r="D230" s="38"/>
      <c r="E230" s="1"/>
      <c r="F230" s="1"/>
    </row>
    <row r="231" spans="1:6" ht="21.75" customHeight="1" x14ac:dyDescent="0.6">
      <c r="A231" s="1"/>
      <c r="B231" s="5"/>
      <c r="C231" s="1"/>
      <c r="D231" s="38"/>
      <c r="E231" s="1"/>
      <c r="F231" s="1"/>
    </row>
    <row r="232" spans="1:6" ht="21.75" customHeight="1" x14ac:dyDescent="0.6">
      <c r="A232" s="1"/>
      <c r="B232" s="5"/>
      <c r="C232" s="1"/>
      <c r="D232" s="38"/>
      <c r="E232" s="1"/>
      <c r="F232" s="1"/>
    </row>
    <row r="233" spans="1:6" ht="21.75" customHeight="1" x14ac:dyDescent="0.6">
      <c r="A233" s="1"/>
      <c r="B233" s="5"/>
      <c r="C233" s="1"/>
      <c r="D233" s="38"/>
      <c r="E233" s="1"/>
      <c r="F233" s="1"/>
    </row>
    <row r="234" spans="1:6" ht="21.75" customHeight="1" x14ac:dyDescent="0.6">
      <c r="A234" s="1"/>
      <c r="B234" s="5"/>
      <c r="C234" s="1"/>
      <c r="D234" s="38"/>
      <c r="E234" s="1"/>
      <c r="F234" s="1"/>
    </row>
    <row r="235" spans="1:6" ht="21.75" customHeight="1" x14ac:dyDescent="0.6">
      <c r="A235" s="1"/>
      <c r="B235" s="5"/>
      <c r="C235" s="1"/>
      <c r="D235" s="38"/>
      <c r="E235" s="1"/>
      <c r="F235" s="1"/>
    </row>
    <row r="236" spans="1:6" ht="21.75" customHeight="1" x14ac:dyDescent="0.6">
      <c r="A236" s="1"/>
      <c r="B236" s="5"/>
      <c r="C236" s="1"/>
      <c r="D236" s="38"/>
      <c r="E236" s="1"/>
      <c r="F236" s="1"/>
    </row>
    <row r="237" spans="1:6" ht="21.75" customHeight="1" x14ac:dyDescent="0.6">
      <c r="A237" s="1"/>
      <c r="B237" s="5"/>
      <c r="C237" s="1"/>
      <c r="D237" s="38"/>
      <c r="E237" s="1"/>
      <c r="F237" s="1"/>
    </row>
    <row r="238" spans="1:6" ht="21.75" customHeight="1" x14ac:dyDescent="0.6">
      <c r="A238" s="1"/>
      <c r="B238" s="5"/>
      <c r="C238" s="1"/>
      <c r="D238" s="38"/>
      <c r="E238" s="1"/>
      <c r="F238" s="1"/>
    </row>
    <row r="239" spans="1:6" ht="21.75" customHeight="1" x14ac:dyDescent="0.6">
      <c r="A239" s="1"/>
      <c r="B239" s="5"/>
      <c r="C239" s="1"/>
      <c r="D239" s="38"/>
      <c r="E239" s="1"/>
      <c r="F239" s="1"/>
    </row>
    <row r="240" spans="1:6" ht="21.75" customHeight="1" x14ac:dyDescent="0.6">
      <c r="A240" s="1"/>
      <c r="B240" s="5"/>
      <c r="C240" s="1"/>
      <c r="D240" s="38"/>
      <c r="E240" s="1"/>
      <c r="F240" s="1"/>
    </row>
    <row r="241" spans="1:6" ht="21.75" customHeight="1" x14ac:dyDescent="0.6">
      <c r="A241" s="1"/>
      <c r="B241" s="5"/>
      <c r="C241" s="1"/>
      <c r="D241" s="38"/>
      <c r="E241" s="1"/>
      <c r="F241" s="1"/>
    </row>
    <row r="242" spans="1:6" ht="21.75" customHeight="1" x14ac:dyDescent="0.6">
      <c r="A242" s="1"/>
      <c r="B242" s="5"/>
      <c r="C242" s="1"/>
      <c r="D242" s="38"/>
      <c r="E242" s="1"/>
      <c r="F242" s="1"/>
    </row>
    <row r="243" spans="1:6" ht="21.75" customHeight="1" x14ac:dyDescent="0.6">
      <c r="A243" s="1"/>
      <c r="B243" s="5"/>
      <c r="C243" s="1"/>
      <c r="D243" s="38"/>
      <c r="E243" s="1"/>
      <c r="F243" s="1"/>
    </row>
    <row r="244" spans="1:6" ht="21.75" customHeight="1" x14ac:dyDescent="0.6">
      <c r="A244" s="1"/>
      <c r="B244" s="5"/>
      <c r="C244" s="1"/>
      <c r="D244" s="38"/>
      <c r="E244" s="1"/>
      <c r="F244" s="1"/>
    </row>
    <row r="245" spans="1:6" ht="21.75" customHeight="1" x14ac:dyDescent="0.6">
      <c r="A245" s="1"/>
      <c r="B245" s="5"/>
      <c r="C245" s="1"/>
      <c r="D245" s="38"/>
      <c r="E245" s="1"/>
      <c r="F245" s="1"/>
    </row>
    <row r="246" spans="1:6" ht="21.75" customHeight="1" x14ac:dyDescent="0.6">
      <c r="A246" s="1"/>
      <c r="B246" s="5"/>
      <c r="C246" s="1"/>
      <c r="D246" s="38"/>
      <c r="E246" s="1"/>
      <c r="F246" s="1"/>
    </row>
    <row r="247" spans="1:6" ht="21.75" customHeight="1" x14ac:dyDescent="0.6">
      <c r="A247" s="1"/>
      <c r="B247" s="5"/>
      <c r="C247" s="1"/>
      <c r="D247" s="38"/>
      <c r="E247" s="1"/>
      <c r="F247" s="1"/>
    </row>
    <row r="248" spans="1:6" ht="21.75" customHeight="1" x14ac:dyDescent="0.6">
      <c r="A248" s="1"/>
      <c r="B248" s="5"/>
      <c r="C248" s="1"/>
      <c r="D248" s="38"/>
      <c r="E248" s="1"/>
      <c r="F248" s="1"/>
    </row>
    <row r="249" spans="1:6" ht="21.75" customHeight="1" x14ac:dyDescent="0.6">
      <c r="A249" s="1"/>
      <c r="B249" s="5"/>
      <c r="C249" s="1"/>
      <c r="D249" s="38"/>
      <c r="E249" s="1"/>
      <c r="F249" s="1"/>
    </row>
    <row r="250" spans="1:6" ht="21.75" customHeight="1" x14ac:dyDescent="0.6">
      <c r="A250" s="1"/>
      <c r="B250" s="5"/>
      <c r="C250" s="1"/>
      <c r="D250" s="38"/>
      <c r="E250" s="1"/>
      <c r="F250" s="1"/>
    </row>
    <row r="251" spans="1:6" ht="21.75" customHeight="1" x14ac:dyDescent="0.6">
      <c r="A251" s="1"/>
      <c r="B251" s="5"/>
      <c r="C251" s="1"/>
      <c r="D251" s="38"/>
      <c r="E251" s="1"/>
      <c r="F251" s="1"/>
    </row>
    <row r="252" spans="1:6" ht="21.75" customHeight="1" x14ac:dyDescent="0.6">
      <c r="A252" s="1"/>
      <c r="B252" s="5"/>
      <c r="C252" s="1"/>
      <c r="D252" s="38"/>
      <c r="E252" s="1"/>
      <c r="F252" s="1"/>
    </row>
    <row r="253" spans="1:6" ht="21.75" customHeight="1" x14ac:dyDescent="0.6">
      <c r="A253" s="1"/>
      <c r="B253" s="5"/>
      <c r="C253" s="1"/>
      <c r="D253" s="38"/>
      <c r="E253" s="1"/>
      <c r="F253" s="1"/>
    </row>
    <row r="254" spans="1:6" ht="21.75" customHeight="1" x14ac:dyDescent="0.6">
      <c r="A254" s="1"/>
      <c r="B254" s="5"/>
      <c r="C254" s="1"/>
      <c r="D254" s="38"/>
      <c r="E254" s="1"/>
      <c r="F254" s="1"/>
    </row>
    <row r="255" spans="1:6" ht="21.75" customHeight="1" x14ac:dyDescent="0.6">
      <c r="A255" s="1"/>
      <c r="B255" s="5"/>
      <c r="C255" s="1"/>
      <c r="D255" s="38"/>
      <c r="E255" s="1"/>
      <c r="F255" s="1"/>
    </row>
    <row r="256" spans="1:6" ht="21.75" customHeight="1" x14ac:dyDescent="0.6">
      <c r="A256" s="1"/>
      <c r="B256" s="5"/>
      <c r="C256" s="1"/>
      <c r="D256" s="38"/>
      <c r="E256" s="1"/>
      <c r="F256" s="1"/>
    </row>
    <row r="257" spans="1:6" ht="21.75" customHeight="1" x14ac:dyDescent="0.6">
      <c r="A257" s="1"/>
      <c r="B257" s="5"/>
      <c r="C257" s="1"/>
      <c r="D257" s="38"/>
      <c r="E257" s="1"/>
      <c r="F257" s="1"/>
    </row>
    <row r="258" spans="1:6" ht="21.75" customHeight="1" x14ac:dyDescent="0.6">
      <c r="A258" s="1"/>
      <c r="B258" s="5"/>
      <c r="C258" s="1"/>
      <c r="D258" s="38"/>
      <c r="E258" s="1"/>
      <c r="F258" s="1"/>
    </row>
    <row r="259" spans="1:6" ht="21.75" customHeight="1" x14ac:dyDescent="0.6">
      <c r="A259" s="1"/>
      <c r="B259" s="5"/>
      <c r="C259" s="1"/>
      <c r="D259" s="38"/>
      <c r="E259" s="1"/>
      <c r="F259" s="1"/>
    </row>
    <row r="260" spans="1:6" ht="21.75" customHeight="1" x14ac:dyDescent="0.6">
      <c r="A260" s="1"/>
      <c r="B260" s="5"/>
      <c r="C260" s="1"/>
      <c r="D260" s="38"/>
      <c r="E260" s="1"/>
      <c r="F260" s="1"/>
    </row>
    <row r="261" spans="1:6" ht="21.75" customHeight="1" x14ac:dyDescent="0.6">
      <c r="A261" s="1"/>
      <c r="B261" s="5"/>
      <c r="C261" s="1"/>
      <c r="D261" s="38"/>
      <c r="E261" s="1"/>
      <c r="F261" s="1"/>
    </row>
    <row r="262" spans="1:6" ht="21.75" customHeight="1" x14ac:dyDescent="0.6">
      <c r="A262" s="1"/>
      <c r="B262" s="5"/>
      <c r="C262" s="1"/>
      <c r="D262" s="38"/>
      <c r="E262" s="1"/>
      <c r="F262" s="1"/>
    </row>
    <row r="263" spans="1:6" ht="21.75" customHeight="1" x14ac:dyDescent="0.6">
      <c r="A263" s="1"/>
      <c r="B263" s="5"/>
      <c r="C263" s="1"/>
      <c r="D263" s="38"/>
      <c r="E263" s="1"/>
      <c r="F263" s="1"/>
    </row>
    <row r="264" spans="1:6" ht="21.75" customHeight="1" x14ac:dyDescent="0.6">
      <c r="A264" s="1"/>
      <c r="B264" s="5"/>
      <c r="C264" s="1"/>
      <c r="D264" s="38"/>
      <c r="E264" s="1"/>
      <c r="F264" s="1"/>
    </row>
    <row r="265" spans="1:6" ht="21.75" customHeight="1" x14ac:dyDescent="0.6">
      <c r="A265" s="1"/>
      <c r="B265" s="5"/>
      <c r="C265" s="1"/>
      <c r="D265" s="38"/>
      <c r="E265" s="1"/>
      <c r="F265" s="1"/>
    </row>
    <row r="266" spans="1:6" ht="21.75" customHeight="1" x14ac:dyDescent="0.6">
      <c r="A266" s="1"/>
      <c r="B266" s="5"/>
      <c r="C266" s="1"/>
      <c r="D266" s="38"/>
      <c r="E266" s="1"/>
      <c r="F266" s="1"/>
    </row>
    <row r="267" spans="1:6" ht="21.75" customHeight="1" x14ac:dyDescent="0.6">
      <c r="A267" s="1"/>
      <c r="B267" s="5"/>
      <c r="C267" s="1"/>
      <c r="D267" s="38"/>
      <c r="E267" s="1"/>
      <c r="F267" s="1"/>
    </row>
    <row r="268" spans="1:6" ht="21.75" customHeight="1" x14ac:dyDescent="0.6">
      <c r="A268" s="1"/>
      <c r="B268" s="5"/>
      <c r="C268" s="1"/>
      <c r="D268" s="38"/>
      <c r="E268" s="1"/>
      <c r="F268" s="1"/>
    </row>
    <row r="269" spans="1:6" ht="21.75" customHeight="1" x14ac:dyDescent="0.6">
      <c r="A269" s="1"/>
      <c r="B269" s="5"/>
      <c r="C269" s="1"/>
      <c r="D269" s="38"/>
      <c r="E269" s="1"/>
      <c r="F269" s="1"/>
    </row>
    <row r="270" spans="1:6" ht="21.75" customHeight="1" x14ac:dyDescent="0.6">
      <c r="A270" s="1"/>
      <c r="B270" s="5"/>
      <c r="C270" s="1"/>
      <c r="D270" s="38"/>
      <c r="E270" s="1"/>
      <c r="F270" s="1"/>
    </row>
    <row r="271" spans="1:6" ht="21.75" customHeight="1" x14ac:dyDescent="0.6">
      <c r="A271" s="1"/>
      <c r="B271" s="5"/>
      <c r="C271" s="1"/>
      <c r="D271" s="38"/>
      <c r="E271" s="1"/>
      <c r="F271" s="1"/>
    </row>
    <row r="272" spans="1:6" ht="21.75" customHeight="1" x14ac:dyDescent="0.6">
      <c r="A272" s="1"/>
      <c r="B272" s="5"/>
      <c r="C272" s="1"/>
      <c r="D272" s="38"/>
      <c r="E272" s="1"/>
      <c r="F272" s="1"/>
    </row>
    <row r="273" spans="1:6" ht="21.75" customHeight="1" x14ac:dyDescent="0.6">
      <c r="A273" s="1"/>
      <c r="B273" s="5"/>
      <c r="C273" s="1"/>
      <c r="D273" s="38"/>
      <c r="E273" s="1"/>
      <c r="F273" s="1"/>
    </row>
    <row r="274" spans="1:6" ht="21.75" customHeight="1" x14ac:dyDescent="0.6">
      <c r="A274" s="1"/>
      <c r="B274" s="5"/>
      <c r="C274" s="1"/>
      <c r="D274" s="38"/>
      <c r="E274" s="1"/>
      <c r="F274" s="1"/>
    </row>
    <row r="275" spans="1:6" ht="21.75" customHeight="1" x14ac:dyDescent="0.6">
      <c r="A275" s="1"/>
      <c r="B275" s="5"/>
      <c r="C275" s="1"/>
      <c r="D275" s="38"/>
      <c r="E275" s="1"/>
      <c r="F275" s="1"/>
    </row>
    <row r="276" spans="1:6" ht="21.75" customHeight="1" x14ac:dyDescent="0.6">
      <c r="A276" s="1"/>
      <c r="B276" s="5"/>
      <c r="C276" s="1"/>
      <c r="D276" s="38"/>
      <c r="E276" s="1"/>
      <c r="F276" s="1"/>
    </row>
    <row r="277" spans="1:6" ht="21.75" customHeight="1" x14ac:dyDescent="0.6">
      <c r="A277" s="1"/>
      <c r="B277" s="5"/>
      <c r="C277" s="1"/>
      <c r="D277" s="38"/>
      <c r="E277" s="1"/>
      <c r="F277" s="1"/>
    </row>
    <row r="278" spans="1:6" ht="21.75" customHeight="1" x14ac:dyDescent="0.6">
      <c r="A278" s="1"/>
      <c r="B278" s="5"/>
      <c r="C278" s="1"/>
      <c r="D278" s="38"/>
      <c r="E278" s="1"/>
      <c r="F278" s="1"/>
    </row>
    <row r="279" spans="1:6" ht="21.75" customHeight="1" x14ac:dyDescent="0.6">
      <c r="A279" s="1"/>
      <c r="B279" s="5"/>
      <c r="C279" s="1"/>
      <c r="D279" s="38"/>
      <c r="E279" s="1"/>
      <c r="F279" s="1"/>
    </row>
    <row r="280" spans="1:6" ht="21.75" customHeight="1" x14ac:dyDescent="0.6">
      <c r="A280" s="1"/>
      <c r="B280" s="5"/>
      <c r="C280" s="1"/>
      <c r="D280" s="38"/>
      <c r="E280" s="1"/>
      <c r="F280" s="1"/>
    </row>
    <row r="281" spans="1:6" ht="21.75" customHeight="1" x14ac:dyDescent="0.6">
      <c r="A281" s="1"/>
      <c r="B281" s="5"/>
      <c r="C281" s="1"/>
      <c r="D281" s="38"/>
      <c r="E281" s="1"/>
      <c r="F281" s="1"/>
    </row>
    <row r="282" spans="1:6" ht="21.75" customHeight="1" x14ac:dyDescent="0.6">
      <c r="A282" s="1"/>
      <c r="B282" s="5"/>
      <c r="C282" s="1"/>
      <c r="D282" s="38"/>
      <c r="E282" s="1"/>
      <c r="F282" s="1"/>
    </row>
    <row r="283" spans="1:6" ht="21.75" customHeight="1" x14ac:dyDescent="0.6">
      <c r="A283" s="1"/>
      <c r="B283" s="5"/>
      <c r="C283" s="1"/>
      <c r="D283" s="38"/>
      <c r="E283" s="1"/>
      <c r="F283" s="1"/>
    </row>
    <row r="284" spans="1:6" ht="21.75" customHeight="1" x14ac:dyDescent="0.6">
      <c r="A284" s="1"/>
      <c r="B284" s="5"/>
      <c r="C284" s="1"/>
      <c r="D284" s="38"/>
      <c r="E284" s="1"/>
      <c r="F284" s="1"/>
    </row>
    <row r="285" spans="1:6" ht="21.75" customHeight="1" x14ac:dyDescent="0.6">
      <c r="A285" s="1"/>
      <c r="B285" s="5"/>
      <c r="C285" s="1"/>
      <c r="D285" s="38"/>
      <c r="E285" s="1"/>
      <c r="F285" s="1"/>
    </row>
    <row r="286" spans="1:6" ht="21.75" customHeight="1" x14ac:dyDescent="0.6">
      <c r="A286" s="1"/>
      <c r="B286" s="5"/>
      <c r="C286" s="1"/>
      <c r="D286" s="38"/>
      <c r="E286" s="1"/>
      <c r="F286" s="1"/>
    </row>
    <row r="287" spans="1:6" ht="21.75" customHeight="1" x14ac:dyDescent="0.6">
      <c r="A287" s="1"/>
      <c r="B287" s="5"/>
      <c r="C287" s="1"/>
      <c r="D287" s="38"/>
      <c r="E287" s="1"/>
      <c r="F287" s="1"/>
    </row>
    <row r="288" spans="1:6" ht="21.75" customHeight="1" x14ac:dyDescent="0.6">
      <c r="A288" s="1"/>
      <c r="B288" s="5"/>
      <c r="C288" s="1"/>
      <c r="D288" s="38"/>
      <c r="E288" s="1"/>
      <c r="F288" s="1"/>
    </row>
    <row r="289" spans="1:6" ht="21.75" customHeight="1" x14ac:dyDescent="0.6">
      <c r="A289" s="1"/>
      <c r="B289" s="5"/>
      <c r="C289" s="1"/>
      <c r="D289" s="38"/>
      <c r="E289" s="1"/>
      <c r="F289" s="1"/>
    </row>
    <row r="290" spans="1:6" ht="21.75" customHeight="1" x14ac:dyDescent="0.6">
      <c r="A290" s="1"/>
      <c r="B290" s="5"/>
      <c r="C290" s="1"/>
      <c r="D290" s="38"/>
      <c r="E290" s="1"/>
      <c r="F290" s="1"/>
    </row>
    <row r="291" spans="1:6" ht="21.75" customHeight="1" x14ac:dyDescent="0.6">
      <c r="A291" s="1"/>
      <c r="B291" s="5"/>
      <c r="C291" s="1"/>
      <c r="D291" s="38"/>
      <c r="E291" s="1"/>
      <c r="F291" s="1"/>
    </row>
    <row r="292" spans="1:6" ht="21.75" customHeight="1" x14ac:dyDescent="0.6">
      <c r="A292" s="1"/>
      <c r="B292" s="5"/>
      <c r="C292" s="1"/>
      <c r="D292" s="38"/>
      <c r="E292" s="1"/>
      <c r="F292" s="1"/>
    </row>
    <row r="293" spans="1:6" ht="21.75" customHeight="1" x14ac:dyDescent="0.6">
      <c r="A293" s="1"/>
      <c r="B293" s="5"/>
      <c r="C293" s="1"/>
      <c r="D293" s="38"/>
      <c r="E293" s="1"/>
      <c r="F293" s="1"/>
    </row>
    <row r="294" spans="1:6" ht="21.75" customHeight="1" x14ac:dyDescent="0.6">
      <c r="A294" s="1"/>
      <c r="B294" s="5"/>
      <c r="C294" s="1"/>
      <c r="D294" s="38"/>
      <c r="E294" s="1"/>
      <c r="F294" s="1"/>
    </row>
    <row r="295" spans="1:6" ht="21.75" customHeight="1" x14ac:dyDescent="0.6">
      <c r="A295" s="1"/>
      <c r="B295" s="5"/>
      <c r="C295" s="1"/>
      <c r="D295" s="38"/>
      <c r="E295" s="1"/>
      <c r="F295" s="1"/>
    </row>
    <row r="296" spans="1:6" ht="21.75" customHeight="1" x14ac:dyDescent="0.6">
      <c r="A296" s="1"/>
      <c r="B296" s="5"/>
      <c r="C296" s="1"/>
      <c r="D296" s="38"/>
      <c r="E296" s="1"/>
      <c r="F296" s="1"/>
    </row>
    <row r="297" spans="1:6" ht="21.75" customHeight="1" x14ac:dyDescent="0.6">
      <c r="A297" s="1"/>
      <c r="B297" s="5"/>
      <c r="C297" s="1"/>
      <c r="D297" s="38"/>
      <c r="E297" s="1"/>
      <c r="F297" s="1"/>
    </row>
    <row r="298" spans="1:6" ht="21.75" customHeight="1" x14ac:dyDescent="0.6">
      <c r="A298" s="1"/>
      <c r="B298" s="5"/>
      <c r="C298" s="1"/>
      <c r="D298" s="38"/>
      <c r="E298" s="1"/>
      <c r="F298" s="1"/>
    </row>
    <row r="299" spans="1:6" ht="21.75" customHeight="1" x14ac:dyDescent="0.6">
      <c r="A299" s="1"/>
      <c r="B299" s="5"/>
      <c r="C299" s="1"/>
      <c r="D299" s="38"/>
      <c r="E299" s="1"/>
      <c r="F299" s="1"/>
    </row>
    <row r="300" spans="1:6" ht="21.75" customHeight="1" x14ac:dyDescent="0.6">
      <c r="A300" s="1"/>
      <c r="B300" s="5"/>
      <c r="C300" s="1"/>
      <c r="D300" s="38"/>
      <c r="E300" s="1"/>
      <c r="F300" s="1"/>
    </row>
    <row r="301" spans="1:6" ht="21.75" customHeight="1" x14ac:dyDescent="0.6">
      <c r="A301" s="1"/>
      <c r="B301" s="5"/>
      <c r="C301" s="1"/>
      <c r="D301" s="38"/>
      <c r="E301" s="1"/>
      <c r="F301" s="1"/>
    </row>
    <row r="302" spans="1:6" ht="21.75" customHeight="1" x14ac:dyDescent="0.6">
      <c r="A302" s="1"/>
      <c r="B302" s="5"/>
      <c r="C302" s="1"/>
      <c r="D302" s="38"/>
      <c r="E302" s="1"/>
      <c r="F302" s="1"/>
    </row>
    <row r="303" spans="1:6" ht="21.75" customHeight="1" x14ac:dyDescent="0.6">
      <c r="A303" s="1"/>
      <c r="B303" s="5"/>
      <c r="C303" s="1"/>
      <c r="D303" s="38"/>
      <c r="E303" s="1"/>
      <c r="F303" s="1"/>
    </row>
    <row r="304" spans="1:6" ht="21.75" customHeight="1" x14ac:dyDescent="0.6">
      <c r="A304" s="1"/>
      <c r="B304" s="5"/>
      <c r="C304" s="1"/>
      <c r="D304" s="38"/>
      <c r="E304" s="1"/>
      <c r="F304" s="1"/>
    </row>
    <row r="305" spans="1:6" ht="21.75" customHeight="1" x14ac:dyDescent="0.6">
      <c r="A305" s="1"/>
      <c r="B305" s="5"/>
      <c r="C305" s="1"/>
      <c r="D305" s="38"/>
      <c r="E305" s="1"/>
      <c r="F305" s="1"/>
    </row>
    <row r="306" spans="1:6" ht="21.75" customHeight="1" x14ac:dyDescent="0.6">
      <c r="A306" s="1"/>
      <c r="B306" s="5"/>
      <c r="C306" s="1"/>
      <c r="D306" s="38"/>
      <c r="E306" s="1"/>
      <c r="F306" s="1"/>
    </row>
    <row r="307" spans="1:6" ht="21.75" customHeight="1" x14ac:dyDescent="0.6">
      <c r="A307" s="1"/>
      <c r="B307" s="5"/>
      <c r="C307" s="1"/>
      <c r="D307" s="38"/>
      <c r="E307" s="1"/>
      <c r="F307" s="1"/>
    </row>
    <row r="308" spans="1:6" ht="21.75" customHeight="1" x14ac:dyDescent="0.6">
      <c r="A308" s="1"/>
      <c r="B308" s="5"/>
      <c r="C308" s="1"/>
      <c r="D308" s="38"/>
      <c r="E308" s="1"/>
      <c r="F308" s="1"/>
    </row>
    <row r="309" spans="1:6" ht="21.75" customHeight="1" x14ac:dyDescent="0.6">
      <c r="A309" s="1"/>
      <c r="B309" s="5"/>
      <c r="C309" s="1"/>
      <c r="D309" s="38"/>
      <c r="E309" s="1"/>
      <c r="F309" s="1"/>
    </row>
    <row r="310" spans="1:6" ht="21.75" customHeight="1" x14ac:dyDescent="0.6">
      <c r="A310" s="1"/>
      <c r="B310" s="5"/>
      <c r="C310" s="1"/>
      <c r="D310" s="38"/>
      <c r="E310" s="1"/>
      <c r="F310" s="1"/>
    </row>
    <row r="311" spans="1:6" ht="21.75" customHeight="1" x14ac:dyDescent="0.6">
      <c r="A311" s="1"/>
      <c r="B311" s="5"/>
      <c r="C311" s="1"/>
      <c r="D311" s="38"/>
      <c r="E311" s="1"/>
      <c r="F311" s="1"/>
    </row>
    <row r="312" spans="1:6" ht="21.75" customHeight="1" x14ac:dyDescent="0.6">
      <c r="A312" s="1"/>
      <c r="B312" s="5"/>
      <c r="C312" s="1"/>
      <c r="D312" s="38"/>
      <c r="E312" s="1"/>
      <c r="F312" s="1"/>
    </row>
    <row r="313" spans="1:6" ht="21.75" customHeight="1" x14ac:dyDescent="0.6">
      <c r="A313" s="1"/>
      <c r="B313" s="5"/>
      <c r="C313" s="1"/>
      <c r="D313" s="38"/>
      <c r="E313" s="1"/>
      <c r="F313" s="1"/>
    </row>
    <row r="314" spans="1:6" ht="21.75" customHeight="1" x14ac:dyDescent="0.6">
      <c r="A314" s="1"/>
      <c r="B314" s="5"/>
      <c r="C314" s="1"/>
      <c r="D314" s="38"/>
      <c r="E314" s="1"/>
      <c r="F314" s="1"/>
    </row>
    <row r="315" spans="1:6" ht="21.75" customHeight="1" x14ac:dyDescent="0.6">
      <c r="A315" s="1"/>
      <c r="B315" s="5"/>
      <c r="C315" s="1"/>
      <c r="D315" s="38"/>
      <c r="E315" s="1"/>
      <c r="F315" s="1"/>
    </row>
    <row r="316" spans="1:6" ht="21.75" customHeight="1" x14ac:dyDescent="0.6">
      <c r="A316" s="1"/>
      <c r="B316" s="5"/>
      <c r="C316" s="1"/>
      <c r="D316" s="38"/>
      <c r="E316" s="1"/>
      <c r="F316" s="1"/>
    </row>
    <row r="317" spans="1:6" ht="21.75" customHeight="1" x14ac:dyDescent="0.6">
      <c r="A317" s="1"/>
      <c r="B317" s="5"/>
      <c r="C317" s="1"/>
      <c r="D317" s="38"/>
      <c r="E317" s="1"/>
      <c r="F317" s="1"/>
    </row>
    <row r="318" spans="1:6" ht="21.75" customHeight="1" x14ac:dyDescent="0.6">
      <c r="A318" s="1"/>
      <c r="B318" s="5"/>
      <c r="C318" s="1"/>
      <c r="D318" s="38"/>
      <c r="E318" s="1"/>
      <c r="F318" s="1"/>
    </row>
    <row r="319" spans="1:6" ht="21.75" customHeight="1" x14ac:dyDescent="0.6">
      <c r="A319" s="1"/>
      <c r="B319" s="5"/>
      <c r="C319" s="1"/>
      <c r="D319" s="38"/>
      <c r="E319" s="1"/>
      <c r="F319" s="1"/>
    </row>
    <row r="320" spans="1:6" ht="21.75" customHeight="1" x14ac:dyDescent="0.6">
      <c r="A320" s="1"/>
      <c r="B320" s="5"/>
      <c r="C320" s="1"/>
      <c r="D320" s="38"/>
      <c r="E320" s="1"/>
      <c r="F320" s="1"/>
    </row>
    <row r="321" spans="1:6" ht="21.75" customHeight="1" x14ac:dyDescent="0.6">
      <c r="A321" s="1"/>
      <c r="B321" s="5"/>
      <c r="C321" s="1"/>
      <c r="D321" s="38"/>
      <c r="E321" s="1"/>
      <c r="F321" s="1"/>
    </row>
    <row r="322" spans="1:6" ht="21.75" customHeight="1" x14ac:dyDescent="0.6">
      <c r="A322" s="1"/>
      <c r="B322" s="5"/>
      <c r="C322" s="1"/>
      <c r="D322" s="38"/>
      <c r="E322" s="1"/>
      <c r="F322" s="1"/>
    </row>
    <row r="323" spans="1:6" ht="21.75" customHeight="1" x14ac:dyDescent="0.6">
      <c r="A323" s="1"/>
      <c r="B323" s="5"/>
      <c r="C323" s="1"/>
      <c r="D323" s="38"/>
      <c r="E323" s="1"/>
      <c r="F323" s="1"/>
    </row>
    <row r="324" spans="1:6" ht="21.75" customHeight="1" x14ac:dyDescent="0.6">
      <c r="A324" s="1"/>
      <c r="B324" s="5"/>
      <c r="C324" s="1"/>
      <c r="D324" s="38"/>
      <c r="E324" s="1"/>
      <c r="F324" s="1"/>
    </row>
    <row r="325" spans="1:6" ht="21.75" customHeight="1" x14ac:dyDescent="0.6">
      <c r="A325" s="1"/>
      <c r="B325" s="5"/>
      <c r="C325" s="1"/>
      <c r="D325" s="38"/>
      <c r="E325" s="1"/>
      <c r="F325" s="1"/>
    </row>
    <row r="326" spans="1:6" ht="21.75" customHeight="1" x14ac:dyDescent="0.6">
      <c r="A326" s="1"/>
      <c r="B326" s="5"/>
      <c r="C326" s="1"/>
      <c r="D326" s="38"/>
      <c r="E326" s="1"/>
      <c r="F326" s="1"/>
    </row>
    <row r="327" spans="1:6" ht="21.75" customHeight="1" x14ac:dyDescent="0.6">
      <c r="A327" s="1"/>
      <c r="B327" s="5"/>
      <c r="C327" s="1"/>
      <c r="D327" s="38"/>
      <c r="E327" s="1"/>
      <c r="F327" s="1"/>
    </row>
    <row r="328" spans="1:6" ht="21.75" customHeight="1" x14ac:dyDescent="0.6">
      <c r="A328" s="1"/>
      <c r="B328" s="5"/>
      <c r="C328" s="1"/>
      <c r="D328" s="38"/>
      <c r="E328" s="1"/>
      <c r="F328" s="1"/>
    </row>
    <row r="329" spans="1:6" ht="21.75" customHeight="1" x14ac:dyDescent="0.6">
      <c r="A329" s="1"/>
      <c r="B329" s="5"/>
      <c r="C329" s="1"/>
      <c r="D329" s="38"/>
      <c r="E329" s="1"/>
      <c r="F329" s="1"/>
    </row>
    <row r="330" spans="1:6" ht="21.75" customHeight="1" x14ac:dyDescent="0.6">
      <c r="A330" s="1"/>
      <c r="B330" s="5"/>
      <c r="C330" s="1"/>
      <c r="D330" s="38"/>
      <c r="E330" s="1"/>
      <c r="F330" s="1"/>
    </row>
    <row r="331" spans="1:6" ht="21.75" customHeight="1" x14ac:dyDescent="0.6">
      <c r="A331" s="1"/>
      <c r="B331" s="5"/>
      <c r="C331" s="1"/>
      <c r="D331" s="38"/>
      <c r="E331" s="1"/>
      <c r="F331" s="1"/>
    </row>
    <row r="332" spans="1:6" ht="21.75" customHeight="1" x14ac:dyDescent="0.6">
      <c r="A332" s="1"/>
      <c r="B332" s="5"/>
      <c r="C332" s="1"/>
      <c r="D332" s="38"/>
      <c r="E332" s="1"/>
      <c r="F332" s="1"/>
    </row>
    <row r="333" spans="1:6" ht="21.75" customHeight="1" x14ac:dyDescent="0.6">
      <c r="A333" s="1"/>
      <c r="B333" s="5"/>
      <c r="C333" s="1"/>
      <c r="D333" s="38"/>
      <c r="E333" s="1"/>
      <c r="F333" s="1"/>
    </row>
    <row r="334" spans="1:6" ht="21.75" customHeight="1" x14ac:dyDescent="0.6">
      <c r="A334" s="1"/>
      <c r="B334" s="5"/>
      <c r="C334" s="1"/>
      <c r="D334" s="38"/>
      <c r="E334" s="1"/>
      <c r="F334" s="1"/>
    </row>
    <row r="335" spans="1:6" ht="21.75" customHeight="1" x14ac:dyDescent="0.6">
      <c r="A335" s="1"/>
      <c r="B335" s="5"/>
      <c r="C335" s="1"/>
      <c r="D335" s="38"/>
      <c r="E335" s="1"/>
      <c r="F335" s="1"/>
    </row>
    <row r="336" spans="1:6" ht="21.75" customHeight="1" x14ac:dyDescent="0.6">
      <c r="A336" s="1"/>
      <c r="B336" s="5"/>
      <c r="C336" s="1"/>
      <c r="D336" s="38"/>
      <c r="E336" s="1"/>
      <c r="F336" s="1"/>
    </row>
    <row r="337" spans="1:6" ht="21.75" customHeight="1" x14ac:dyDescent="0.6">
      <c r="A337" s="1"/>
      <c r="B337" s="5"/>
      <c r="C337" s="1"/>
      <c r="D337" s="38"/>
      <c r="E337" s="1"/>
      <c r="F337" s="1"/>
    </row>
    <row r="338" spans="1:6" ht="21.75" customHeight="1" x14ac:dyDescent="0.6">
      <c r="A338" s="1"/>
      <c r="B338" s="5"/>
      <c r="C338" s="1"/>
      <c r="D338" s="38"/>
      <c r="E338" s="1"/>
      <c r="F338" s="1"/>
    </row>
    <row r="339" spans="1:6" ht="21.75" customHeight="1" x14ac:dyDescent="0.6">
      <c r="A339" s="1"/>
      <c r="B339" s="5"/>
      <c r="C339" s="1"/>
      <c r="D339" s="38"/>
      <c r="E339" s="1"/>
      <c r="F339" s="1"/>
    </row>
    <row r="340" spans="1:6" ht="21.75" customHeight="1" x14ac:dyDescent="0.6">
      <c r="A340" s="1"/>
      <c r="B340" s="5"/>
      <c r="C340" s="1"/>
      <c r="D340" s="38"/>
      <c r="E340" s="1"/>
      <c r="F340" s="1"/>
    </row>
    <row r="341" spans="1:6" ht="21.75" customHeight="1" x14ac:dyDescent="0.6">
      <c r="A341" s="1"/>
      <c r="B341" s="5"/>
      <c r="C341" s="1"/>
      <c r="D341" s="38"/>
      <c r="E341" s="1"/>
      <c r="F341" s="1"/>
    </row>
    <row r="342" spans="1:6" ht="21.75" customHeight="1" x14ac:dyDescent="0.6">
      <c r="A342" s="1"/>
      <c r="B342" s="5"/>
      <c r="C342" s="1"/>
      <c r="D342" s="38"/>
      <c r="E342" s="1"/>
      <c r="F342" s="1"/>
    </row>
    <row r="343" spans="1:6" ht="21.75" customHeight="1" x14ac:dyDescent="0.6">
      <c r="A343" s="1"/>
      <c r="B343" s="5"/>
      <c r="C343" s="1"/>
      <c r="D343" s="38"/>
      <c r="E343" s="1"/>
      <c r="F343" s="1"/>
    </row>
    <row r="344" spans="1:6" ht="21.75" customHeight="1" x14ac:dyDescent="0.6">
      <c r="A344" s="1"/>
      <c r="B344" s="5"/>
      <c r="C344" s="1"/>
      <c r="D344" s="38"/>
      <c r="E344" s="1"/>
      <c r="F344" s="1"/>
    </row>
    <row r="345" spans="1:6" ht="21.75" customHeight="1" x14ac:dyDescent="0.6">
      <c r="A345" s="1"/>
      <c r="B345" s="5"/>
      <c r="C345" s="1"/>
      <c r="D345" s="38"/>
      <c r="E345" s="1"/>
      <c r="F345" s="1"/>
    </row>
    <row r="346" spans="1:6" ht="21.75" customHeight="1" x14ac:dyDescent="0.6">
      <c r="A346" s="1"/>
      <c r="B346" s="5"/>
      <c r="C346" s="1"/>
      <c r="D346" s="38"/>
      <c r="E346" s="1"/>
      <c r="F346" s="1"/>
    </row>
    <row r="347" spans="1:6" ht="21.75" customHeight="1" x14ac:dyDescent="0.6">
      <c r="A347" s="1"/>
      <c r="B347" s="5"/>
      <c r="C347" s="1"/>
      <c r="D347" s="38"/>
      <c r="E347" s="1"/>
      <c r="F347" s="1"/>
    </row>
    <row r="348" spans="1:6" ht="21.75" customHeight="1" x14ac:dyDescent="0.6">
      <c r="A348" s="1"/>
      <c r="B348" s="5"/>
      <c r="C348" s="1"/>
      <c r="D348" s="38"/>
      <c r="E348" s="1"/>
      <c r="F348" s="1"/>
    </row>
    <row r="349" spans="1:6" ht="21.75" customHeight="1" x14ac:dyDescent="0.6">
      <c r="A349" s="1"/>
      <c r="B349" s="5"/>
      <c r="C349" s="1"/>
      <c r="D349" s="38"/>
      <c r="E349" s="1"/>
      <c r="F349" s="1"/>
    </row>
    <row r="350" spans="1:6" ht="21.75" customHeight="1" x14ac:dyDescent="0.6">
      <c r="A350" s="1"/>
      <c r="B350" s="5"/>
      <c r="C350" s="1"/>
      <c r="D350" s="38"/>
      <c r="E350" s="1"/>
      <c r="F350" s="1"/>
    </row>
    <row r="351" spans="1:6" ht="21.75" customHeight="1" x14ac:dyDescent="0.6">
      <c r="A351" s="1"/>
      <c r="B351" s="5"/>
      <c r="C351" s="1"/>
      <c r="D351" s="38"/>
      <c r="E351" s="1"/>
      <c r="F351" s="1"/>
    </row>
    <row r="352" spans="1:6" ht="21.75" customHeight="1" x14ac:dyDescent="0.6">
      <c r="A352" s="1"/>
      <c r="B352" s="5"/>
      <c r="C352" s="1"/>
      <c r="D352" s="38"/>
      <c r="E352" s="1"/>
      <c r="F352" s="1"/>
    </row>
    <row r="353" spans="1:6" ht="21.75" customHeight="1" x14ac:dyDescent="0.6">
      <c r="A353" s="1"/>
      <c r="B353" s="5"/>
      <c r="C353" s="1"/>
      <c r="D353" s="38"/>
      <c r="E353" s="1"/>
      <c r="F353" s="1"/>
    </row>
    <row r="354" spans="1:6" ht="21.75" customHeight="1" x14ac:dyDescent="0.6">
      <c r="A354" s="1"/>
      <c r="B354" s="5"/>
      <c r="C354" s="1"/>
      <c r="D354" s="38"/>
      <c r="E354" s="1"/>
      <c r="F354" s="1"/>
    </row>
    <row r="355" spans="1:6" ht="21.75" customHeight="1" x14ac:dyDescent="0.6">
      <c r="A355" s="1"/>
      <c r="B355" s="5"/>
      <c r="C355" s="1"/>
      <c r="D355" s="38"/>
      <c r="E355" s="1"/>
      <c r="F355" s="1"/>
    </row>
    <row r="356" spans="1:6" ht="21.75" customHeight="1" x14ac:dyDescent="0.6">
      <c r="A356" s="1"/>
      <c r="B356" s="5"/>
      <c r="C356" s="1"/>
      <c r="D356" s="38"/>
      <c r="E356" s="1"/>
      <c r="F356" s="1"/>
    </row>
    <row r="357" spans="1:6" ht="21.75" customHeight="1" x14ac:dyDescent="0.6">
      <c r="A357" s="1"/>
      <c r="B357" s="5"/>
      <c r="C357" s="1"/>
      <c r="D357" s="38"/>
      <c r="E357" s="1"/>
      <c r="F357" s="1"/>
    </row>
    <row r="358" spans="1:6" ht="21.75" customHeight="1" x14ac:dyDescent="0.6">
      <c r="A358" s="1"/>
      <c r="B358" s="5"/>
      <c r="C358" s="1"/>
      <c r="D358" s="38"/>
      <c r="E358" s="1"/>
      <c r="F358" s="1"/>
    </row>
    <row r="359" spans="1:6" ht="21.75" customHeight="1" x14ac:dyDescent="0.6">
      <c r="A359" s="1"/>
      <c r="B359" s="5"/>
      <c r="C359" s="1"/>
      <c r="D359" s="38"/>
      <c r="E359" s="1"/>
      <c r="F359" s="1"/>
    </row>
    <row r="360" spans="1:6" ht="21.75" customHeight="1" x14ac:dyDescent="0.6">
      <c r="A360" s="1"/>
      <c r="B360" s="5"/>
      <c r="C360" s="1"/>
      <c r="D360" s="38"/>
      <c r="E360" s="1"/>
      <c r="F360" s="1"/>
    </row>
    <row r="361" spans="1:6" ht="21.75" customHeight="1" x14ac:dyDescent="0.6">
      <c r="A361" s="1"/>
      <c r="B361" s="5"/>
      <c r="C361" s="1"/>
      <c r="D361" s="38"/>
      <c r="E361" s="1"/>
      <c r="F361" s="1"/>
    </row>
    <row r="362" spans="1:6" ht="21.75" customHeight="1" x14ac:dyDescent="0.6">
      <c r="A362" s="1"/>
      <c r="B362" s="5"/>
      <c r="C362" s="1"/>
      <c r="D362" s="38"/>
      <c r="E362" s="1"/>
      <c r="F362" s="1"/>
    </row>
    <row r="363" spans="1:6" ht="21.75" customHeight="1" x14ac:dyDescent="0.6">
      <c r="A363" s="1"/>
      <c r="B363" s="5"/>
      <c r="C363" s="1"/>
      <c r="D363" s="38"/>
      <c r="E363" s="1"/>
      <c r="F363" s="1"/>
    </row>
    <row r="364" spans="1:6" ht="21.75" customHeight="1" x14ac:dyDescent="0.6">
      <c r="A364" s="1"/>
      <c r="B364" s="5"/>
      <c r="C364" s="1"/>
      <c r="D364" s="38"/>
      <c r="E364" s="1"/>
      <c r="F364" s="1"/>
    </row>
    <row r="365" spans="1:6" ht="21.75" customHeight="1" x14ac:dyDescent="0.6">
      <c r="A365" s="1"/>
      <c r="B365" s="5"/>
      <c r="C365" s="1"/>
      <c r="D365" s="38"/>
      <c r="E365" s="1"/>
      <c r="F365" s="1"/>
    </row>
    <row r="366" spans="1:6" ht="21.75" customHeight="1" x14ac:dyDescent="0.6">
      <c r="A366" s="1"/>
      <c r="B366" s="5"/>
      <c r="C366" s="1"/>
      <c r="D366" s="38"/>
      <c r="E366" s="1"/>
      <c r="F366" s="1"/>
    </row>
    <row r="367" spans="1:6" ht="21.75" customHeight="1" x14ac:dyDescent="0.6">
      <c r="A367" s="1"/>
      <c r="B367" s="5"/>
      <c r="C367" s="1"/>
      <c r="D367" s="38"/>
      <c r="E367" s="1"/>
      <c r="F367" s="1"/>
    </row>
    <row r="368" spans="1:6" ht="21.75" customHeight="1" x14ac:dyDescent="0.6">
      <c r="A368" s="1"/>
      <c r="B368" s="5"/>
      <c r="C368" s="1"/>
      <c r="D368" s="38"/>
      <c r="E368" s="1"/>
      <c r="F368" s="1"/>
    </row>
    <row r="369" spans="1:6" ht="21.75" customHeight="1" x14ac:dyDescent="0.6">
      <c r="A369" s="1"/>
      <c r="B369" s="5"/>
      <c r="C369" s="1"/>
      <c r="D369" s="38"/>
      <c r="E369" s="1"/>
      <c r="F369" s="1"/>
    </row>
    <row r="370" spans="1:6" ht="21.75" customHeight="1" x14ac:dyDescent="0.6">
      <c r="A370" s="1"/>
      <c r="B370" s="5"/>
      <c r="C370" s="1"/>
      <c r="D370" s="38"/>
      <c r="E370" s="1"/>
      <c r="F370" s="1"/>
    </row>
    <row r="371" spans="1:6" ht="21.75" customHeight="1" x14ac:dyDescent="0.6">
      <c r="A371" s="1"/>
      <c r="B371" s="5"/>
      <c r="C371" s="1"/>
      <c r="D371" s="38"/>
      <c r="E371" s="1"/>
      <c r="F371" s="1"/>
    </row>
    <row r="372" spans="1:6" ht="21.75" customHeight="1" x14ac:dyDescent="0.6">
      <c r="A372" s="1"/>
      <c r="B372" s="5"/>
      <c r="C372" s="1"/>
      <c r="D372" s="38"/>
      <c r="E372" s="1"/>
      <c r="F372" s="1"/>
    </row>
    <row r="373" spans="1:6" ht="21.75" customHeight="1" x14ac:dyDescent="0.6">
      <c r="A373" s="1"/>
      <c r="B373" s="5"/>
      <c r="C373" s="1"/>
      <c r="D373" s="38"/>
      <c r="E373" s="1"/>
      <c r="F373" s="1"/>
    </row>
    <row r="374" spans="1:6" ht="21.75" customHeight="1" x14ac:dyDescent="0.6">
      <c r="A374" s="1"/>
      <c r="B374" s="5"/>
      <c r="C374" s="1"/>
      <c r="D374" s="38"/>
      <c r="E374" s="1"/>
      <c r="F374" s="1"/>
    </row>
    <row r="375" spans="1:6" ht="21.75" customHeight="1" x14ac:dyDescent="0.6">
      <c r="A375" s="1"/>
      <c r="B375" s="5"/>
      <c r="C375" s="1"/>
      <c r="D375" s="38"/>
      <c r="E375" s="1"/>
      <c r="F375" s="1"/>
    </row>
    <row r="376" spans="1:6" ht="21.75" customHeight="1" x14ac:dyDescent="0.6">
      <c r="A376" s="1"/>
      <c r="B376" s="5"/>
      <c r="C376" s="1"/>
      <c r="D376" s="38"/>
      <c r="E376" s="1"/>
      <c r="F376" s="1"/>
    </row>
    <row r="377" spans="1:6" ht="21.75" customHeight="1" x14ac:dyDescent="0.6">
      <c r="A377" s="1"/>
      <c r="B377" s="5"/>
      <c r="C377" s="1"/>
      <c r="D377" s="38"/>
      <c r="E377" s="1"/>
      <c r="F377" s="1"/>
    </row>
    <row r="378" spans="1:6" ht="21.75" customHeight="1" x14ac:dyDescent="0.6">
      <c r="A378" s="1"/>
      <c r="B378" s="5"/>
      <c r="C378" s="1"/>
      <c r="D378" s="38"/>
      <c r="E378" s="1"/>
      <c r="F378" s="1"/>
    </row>
    <row r="379" spans="1:6" ht="21.75" customHeight="1" x14ac:dyDescent="0.6">
      <c r="A379" s="1"/>
      <c r="B379" s="5"/>
      <c r="C379" s="1"/>
      <c r="D379" s="38"/>
      <c r="E379" s="1"/>
      <c r="F379" s="1"/>
    </row>
    <row r="380" spans="1:6" ht="21.75" customHeight="1" x14ac:dyDescent="0.6">
      <c r="A380" s="1"/>
      <c r="B380" s="5"/>
      <c r="C380" s="1"/>
      <c r="D380" s="38"/>
      <c r="E380" s="1"/>
      <c r="F380" s="1"/>
    </row>
    <row r="381" spans="1:6" ht="21.75" customHeight="1" x14ac:dyDescent="0.6">
      <c r="A381" s="1"/>
      <c r="B381" s="5"/>
      <c r="C381" s="1"/>
      <c r="D381" s="38"/>
      <c r="E381" s="1"/>
      <c r="F381" s="1"/>
    </row>
    <row r="382" spans="1:6" ht="21.75" customHeight="1" x14ac:dyDescent="0.6">
      <c r="A382" s="1"/>
      <c r="B382" s="5"/>
      <c r="C382" s="1"/>
      <c r="D382" s="38"/>
      <c r="E382" s="1"/>
      <c r="F382" s="1"/>
    </row>
    <row r="383" spans="1:6" ht="21.75" customHeight="1" x14ac:dyDescent="0.6">
      <c r="A383" s="1"/>
      <c r="B383" s="5"/>
      <c r="C383" s="1"/>
      <c r="D383" s="38"/>
      <c r="E383" s="1"/>
      <c r="F383" s="1"/>
    </row>
    <row r="384" spans="1:6" ht="21.75" customHeight="1" x14ac:dyDescent="0.6">
      <c r="A384" s="1"/>
      <c r="B384" s="5"/>
      <c r="C384" s="1"/>
      <c r="D384" s="38"/>
      <c r="E384" s="1"/>
      <c r="F384" s="1"/>
    </row>
    <row r="385" spans="1:6" ht="21.75" customHeight="1" x14ac:dyDescent="0.6">
      <c r="A385" s="1"/>
      <c r="B385" s="5"/>
      <c r="C385" s="1"/>
      <c r="D385" s="38"/>
      <c r="E385" s="1"/>
      <c r="F385" s="1"/>
    </row>
    <row r="386" spans="1:6" ht="21.75" customHeight="1" x14ac:dyDescent="0.6">
      <c r="A386" s="1"/>
      <c r="B386" s="5"/>
      <c r="C386" s="1"/>
      <c r="D386" s="38"/>
      <c r="E386" s="1"/>
      <c r="F386" s="1"/>
    </row>
    <row r="387" spans="1:6" ht="21.75" customHeight="1" x14ac:dyDescent="0.6">
      <c r="A387" s="1"/>
      <c r="B387" s="5"/>
      <c r="C387" s="1"/>
      <c r="D387" s="38"/>
      <c r="E387" s="1"/>
      <c r="F387" s="1"/>
    </row>
    <row r="388" spans="1:6" ht="21.75" customHeight="1" x14ac:dyDescent="0.6">
      <c r="A388" s="1"/>
      <c r="B388" s="5"/>
      <c r="C388" s="1"/>
      <c r="D388" s="38"/>
      <c r="E388" s="1"/>
      <c r="F388" s="1"/>
    </row>
    <row r="389" spans="1:6" ht="21.75" customHeight="1" x14ac:dyDescent="0.6">
      <c r="A389" s="1"/>
      <c r="B389" s="5"/>
      <c r="C389" s="1"/>
      <c r="D389" s="38"/>
      <c r="E389" s="1"/>
      <c r="F389" s="1"/>
    </row>
    <row r="390" spans="1:6" ht="21.75" customHeight="1" x14ac:dyDescent="0.6">
      <c r="A390" s="1"/>
      <c r="B390" s="5"/>
      <c r="C390" s="1"/>
      <c r="D390" s="38"/>
      <c r="E390" s="1"/>
      <c r="F390" s="1"/>
    </row>
    <row r="391" spans="1:6" ht="21.75" customHeight="1" x14ac:dyDescent="0.6">
      <c r="A391" s="1"/>
      <c r="B391" s="5"/>
      <c r="C391" s="1"/>
      <c r="D391" s="38"/>
      <c r="E391" s="1"/>
      <c r="F391" s="1"/>
    </row>
    <row r="392" spans="1:6" ht="21.75" customHeight="1" x14ac:dyDescent="0.6">
      <c r="A392" s="1"/>
      <c r="B392" s="5"/>
      <c r="C392" s="1"/>
      <c r="D392" s="38"/>
      <c r="E392" s="1"/>
      <c r="F392" s="1"/>
    </row>
    <row r="393" spans="1:6" ht="21.75" customHeight="1" x14ac:dyDescent="0.6">
      <c r="A393" s="1"/>
      <c r="B393" s="5"/>
      <c r="C393" s="1"/>
      <c r="D393" s="38"/>
      <c r="E393" s="1"/>
      <c r="F393" s="1"/>
    </row>
    <row r="394" spans="1:6" ht="21.75" customHeight="1" x14ac:dyDescent="0.6">
      <c r="A394" s="1"/>
      <c r="B394" s="5"/>
      <c r="C394" s="1"/>
      <c r="D394" s="38"/>
      <c r="E394" s="1"/>
      <c r="F394" s="1"/>
    </row>
    <row r="395" spans="1:6" ht="21.75" customHeight="1" x14ac:dyDescent="0.6">
      <c r="A395" s="1"/>
      <c r="B395" s="5"/>
      <c r="C395" s="1"/>
      <c r="D395" s="38"/>
      <c r="E395" s="1"/>
      <c r="F395" s="1"/>
    </row>
    <row r="396" spans="1:6" ht="21.75" customHeight="1" x14ac:dyDescent="0.6">
      <c r="A396" s="1"/>
      <c r="B396" s="5"/>
      <c r="C396" s="1"/>
      <c r="D396" s="38"/>
      <c r="E396" s="1"/>
      <c r="F396" s="1"/>
    </row>
    <row r="397" spans="1:6" ht="21.75" customHeight="1" x14ac:dyDescent="0.6">
      <c r="A397" s="1"/>
      <c r="B397" s="5"/>
      <c r="C397" s="1"/>
      <c r="D397" s="38"/>
      <c r="E397" s="1"/>
      <c r="F397" s="1"/>
    </row>
    <row r="398" spans="1:6" ht="21.75" customHeight="1" x14ac:dyDescent="0.6">
      <c r="A398" s="1"/>
      <c r="B398" s="5"/>
      <c r="C398" s="1"/>
      <c r="D398" s="38"/>
      <c r="E398" s="1"/>
      <c r="F398" s="1"/>
    </row>
    <row r="399" spans="1:6" ht="21.75" customHeight="1" x14ac:dyDescent="0.6">
      <c r="A399" s="1"/>
      <c r="B399" s="5"/>
      <c r="C399" s="1"/>
      <c r="D399" s="38"/>
      <c r="E399" s="1"/>
      <c r="F399" s="1"/>
    </row>
    <row r="400" spans="1:6" ht="21.75" customHeight="1" x14ac:dyDescent="0.6">
      <c r="A400" s="1"/>
      <c r="B400" s="5"/>
      <c r="C400" s="1"/>
      <c r="D400" s="38"/>
      <c r="E400" s="1"/>
      <c r="F400" s="1"/>
    </row>
    <row r="401" spans="1:6" ht="21.75" customHeight="1" x14ac:dyDescent="0.6">
      <c r="A401" s="1"/>
      <c r="B401" s="5"/>
      <c r="C401" s="1"/>
      <c r="D401" s="38"/>
      <c r="E401" s="1"/>
      <c r="F401" s="1"/>
    </row>
    <row r="402" spans="1:6" ht="21.75" customHeight="1" x14ac:dyDescent="0.6">
      <c r="A402" s="1"/>
      <c r="B402" s="5"/>
      <c r="C402" s="1"/>
      <c r="D402" s="38"/>
      <c r="E402" s="1"/>
      <c r="F402" s="1"/>
    </row>
    <row r="403" spans="1:6" ht="21.75" customHeight="1" x14ac:dyDescent="0.6">
      <c r="A403" s="1"/>
      <c r="B403" s="5"/>
      <c r="C403" s="1"/>
      <c r="D403" s="38"/>
      <c r="E403" s="1"/>
      <c r="F403" s="1"/>
    </row>
    <row r="404" spans="1:6" ht="21.75" customHeight="1" x14ac:dyDescent="0.6">
      <c r="A404" s="1"/>
      <c r="B404" s="5"/>
      <c r="C404" s="1"/>
      <c r="D404" s="38"/>
      <c r="E404" s="1"/>
      <c r="F404" s="1"/>
    </row>
    <row r="405" spans="1:6" ht="21.75" customHeight="1" x14ac:dyDescent="0.6">
      <c r="A405" s="1"/>
      <c r="B405" s="5"/>
      <c r="C405" s="1"/>
      <c r="D405" s="38"/>
      <c r="E405" s="1"/>
      <c r="F405" s="1"/>
    </row>
    <row r="406" spans="1:6" ht="21.75" customHeight="1" x14ac:dyDescent="0.6">
      <c r="A406" s="1"/>
      <c r="B406" s="5"/>
      <c r="C406" s="1"/>
      <c r="D406" s="38"/>
      <c r="E406" s="1"/>
      <c r="F406" s="1"/>
    </row>
    <row r="407" spans="1:6" ht="21.75" customHeight="1" x14ac:dyDescent="0.6">
      <c r="A407" s="1"/>
      <c r="B407" s="5"/>
      <c r="C407" s="1"/>
      <c r="D407" s="38"/>
      <c r="E407" s="1"/>
      <c r="F407" s="1"/>
    </row>
    <row r="408" spans="1:6" ht="21.75" customHeight="1" x14ac:dyDescent="0.6">
      <c r="A408" s="1"/>
      <c r="B408" s="5"/>
      <c r="C408" s="1"/>
      <c r="D408" s="38"/>
      <c r="E408" s="1"/>
      <c r="F408" s="1"/>
    </row>
    <row r="409" spans="1:6" ht="21.75" customHeight="1" x14ac:dyDescent="0.6">
      <c r="A409" s="1"/>
      <c r="B409" s="5"/>
      <c r="C409" s="1"/>
      <c r="D409" s="38"/>
      <c r="E409" s="1"/>
      <c r="F409" s="1"/>
    </row>
    <row r="410" spans="1:6" ht="21.75" customHeight="1" x14ac:dyDescent="0.6">
      <c r="A410" s="1"/>
      <c r="B410" s="5"/>
      <c r="C410" s="1"/>
      <c r="D410" s="38"/>
      <c r="E410" s="1"/>
      <c r="F410" s="1"/>
    </row>
    <row r="411" spans="1:6" ht="21.75" customHeight="1" x14ac:dyDescent="0.6">
      <c r="A411" s="1"/>
      <c r="B411" s="5"/>
      <c r="C411" s="1"/>
      <c r="D411" s="38"/>
      <c r="E411" s="1"/>
      <c r="F411" s="1"/>
    </row>
    <row r="412" spans="1:6" ht="21.75" customHeight="1" x14ac:dyDescent="0.6">
      <c r="A412" s="1"/>
      <c r="B412" s="5"/>
      <c r="C412" s="1"/>
      <c r="D412" s="38"/>
      <c r="E412" s="1"/>
      <c r="F412" s="1"/>
    </row>
    <row r="413" spans="1:6" ht="21.75" customHeight="1" x14ac:dyDescent="0.6">
      <c r="A413" s="1"/>
      <c r="B413" s="5"/>
      <c r="C413" s="1"/>
      <c r="D413" s="38"/>
      <c r="E413" s="1"/>
      <c r="F413" s="1"/>
    </row>
    <row r="414" spans="1:6" ht="21.75" customHeight="1" x14ac:dyDescent="0.6">
      <c r="A414" s="1"/>
      <c r="B414" s="5"/>
      <c r="C414" s="1"/>
      <c r="D414" s="38"/>
      <c r="E414" s="1"/>
      <c r="F414" s="1"/>
    </row>
    <row r="415" spans="1:6" ht="21.75" customHeight="1" x14ac:dyDescent="0.6">
      <c r="A415" s="1"/>
      <c r="B415" s="5"/>
      <c r="C415" s="1"/>
      <c r="D415" s="38"/>
      <c r="E415" s="1"/>
      <c r="F415" s="1"/>
    </row>
    <row r="416" spans="1:6" ht="21.75" customHeight="1" x14ac:dyDescent="0.6">
      <c r="A416" s="1"/>
      <c r="B416" s="5"/>
      <c r="C416" s="1"/>
      <c r="D416" s="38"/>
      <c r="E416" s="1"/>
      <c r="F416" s="1"/>
    </row>
    <row r="417" spans="1:6" ht="21.75" customHeight="1" x14ac:dyDescent="0.6">
      <c r="A417" s="1"/>
      <c r="B417" s="5"/>
      <c r="C417" s="1"/>
      <c r="D417" s="38"/>
      <c r="E417" s="1"/>
      <c r="F417" s="1"/>
    </row>
    <row r="418" spans="1:6" ht="21.75" customHeight="1" x14ac:dyDescent="0.6">
      <c r="A418" s="1"/>
      <c r="B418" s="5"/>
      <c r="C418" s="1"/>
      <c r="D418" s="38"/>
      <c r="E418" s="1"/>
      <c r="F418" s="1"/>
    </row>
    <row r="419" spans="1:6" ht="21.75" customHeight="1" x14ac:dyDescent="0.6">
      <c r="A419" s="1"/>
      <c r="B419" s="5"/>
      <c r="C419" s="1"/>
      <c r="D419" s="38"/>
      <c r="E419" s="1"/>
      <c r="F419" s="1"/>
    </row>
    <row r="420" spans="1:6" ht="21.75" customHeight="1" x14ac:dyDescent="0.6">
      <c r="A420" s="1"/>
      <c r="B420" s="5"/>
      <c r="C420" s="1"/>
      <c r="D420" s="38"/>
      <c r="E420" s="1"/>
      <c r="F420" s="1"/>
    </row>
    <row r="421" spans="1:6" ht="21.75" customHeight="1" x14ac:dyDescent="0.6">
      <c r="A421" s="1"/>
      <c r="B421" s="5"/>
      <c r="C421" s="1"/>
      <c r="D421" s="38"/>
      <c r="E421" s="1"/>
      <c r="F421" s="1"/>
    </row>
    <row r="422" spans="1:6" ht="21.75" customHeight="1" x14ac:dyDescent="0.6">
      <c r="A422" s="1"/>
      <c r="B422" s="5"/>
      <c r="C422" s="1"/>
      <c r="D422" s="38"/>
      <c r="E422" s="1"/>
      <c r="F422" s="1"/>
    </row>
    <row r="423" spans="1:6" ht="21.75" customHeight="1" x14ac:dyDescent="0.6">
      <c r="A423" s="1"/>
      <c r="B423" s="5"/>
      <c r="C423" s="1"/>
      <c r="D423" s="38"/>
      <c r="E423" s="1"/>
      <c r="F423" s="1"/>
    </row>
    <row r="424" spans="1:6" ht="21.75" customHeight="1" x14ac:dyDescent="0.6">
      <c r="A424" s="1"/>
      <c r="B424" s="5"/>
      <c r="C424" s="1"/>
      <c r="D424" s="38"/>
      <c r="E424" s="1"/>
      <c r="F424" s="1"/>
    </row>
    <row r="425" spans="1:6" ht="21.75" customHeight="1" x14ac:dyDescent="0.6">
      <c r="A425" s="1"/>
      <c r="B425" s="5"/>
      <c r="C425" s="1"/>
      <c r="D425" s="38"/>
      <c r="E425" s="1"/>
      <c r="F425" s="1"/>
    </row>
    <row r="426" spans="1:6" ht="21.75" customHeight="1" x14ac:dyDescent="0.6">
      <c r="A426" s="1"/>
      <c r="B426" s="5"/>
      <c r="C426" s="1"/>
      <c r="D426" s="38"/>
      <c r="E426" s="1"/>
      <c r="F426" s="1"/>
    </row>
    <row r="427" spans="1:6" ht="21.75" customHeight="1" x14ac:dyDescent="0.6">
      <c r="A427" s="1"/>
      <c r="B427" s="5"/>
      <c r="C427" s="1"/>
      <c r="D427" s="38"/>
      <c r="E427" s="1"/>
      <c r="F427" s="1"/>
    </row>
    <row r="428" spans="1:6" ht="21.75" customHeight="1" x14ac:dyDescent="0.6">
      <c r="A428" s="1"/>
      <c r="B428" s="5"/>
      <c r="C428" s="1"/>
      <c r="D428" s="38"/>
      <c r="E428" s="1"/>
      <c r="F428" s="1"/>
    </row>
    <row r="429" spans="1:6" ht="21.75" customHeight="1" x14ac:dyDescent="0.6">
      <c r="A429" s="1"/>
      <c r="B429" s="5"/>
      <c r="C429" s="1"/>
      <c r="D429" s="38"/>
      <c r="E429" s="1"/>
      <c r="F429" s="1"/>
    </row>
    <row r="430" spans="1:6" ht="21.75" customHeight="1" x14ac:dyDescent="0.6">
      <c r="A430" s="1"/>
      <c r="B430" s="5"/>
      <c r="C430" s="1"/>
      <c r="D430" s="38"/>
      <c r="E430" s="1"/>
      <c r="F430" s="1"/>
    </row>
    <row r="431" spans="1:6" ht="21.75" customHeight="1" x14ac:dyDescent="0.6">
      <c r="A431" s="1"/>
      <c r="B431" s="5"/>
      <c r="C431" s="1"/>
      <c r="D431" s="38"/>
      <c r="E431" s="1"/>
      <c r="F431" s="1"/>
    </row>
    <row r="432" spans="1:6" ht="21.75" customHeight="1" x14ac:dyDescent="0.6">
      <c r="A432" s="1"/>
      <c r="B432" s="5"/>
      <c r="C432" s="1"/>
      <c r="D432" s="38"/>
      <c r="E432" s="1"/>
      <c r="F432" s="1"/>
    </row>
    <row r="433" spans="1:6" ht="21.75" customHeight="1" x14ac:dyDescent="0.6">
      <c r="A433" s="1"/>
      <c r="B433" s="5"/>
      <c r="C433" s="1"/>
      <c r="D433" s="38"/>
      <c r="E433" s="1"/>
      <c r="F433" s="1"/>
    </row>
    <row r="434" spans="1:6" ht="21.75" customHeight="1" x14ac:dyDescent="0.6">
      <c r="A434" s="1"/>
      <c r="B434" s="5"/>
      <c r="C434" s="1"/>
      <c r="D434" s="38"/>
      <c r="E434" s="1"/>
      <c r="F434" s="1"/>
    </row>
    <row r="435" spans="1:6" ht="21.75" customHeight="1" x14ac:dyDescent="0.6">
      <c r="A435" s="1"/>
      <c r="B435" s="5"/>
      <c r="C435" s="1"/>
      <c r="D435" s="38"/>
      <c r="E435" s="1"/>
      <c r="F435" s="1"/>
    </row>
    <row r="436" spans="1:6" ht="21.75" customHeight="1" x14ac:dyDescent="0.6">
      <c r="A436" s="1"/>
      <c r="B436" s="5"/>
      <c r="C436" s="1"/>
      <c r="D436" s="38"/>
      <c r="E436" s="1"/>
      <c r="F436" s="1"/>
    </row>
    <row r="437" spans="1:6" ht="21.75" customHeight="1" x14ac:dyDescent="0.6">
      <c r="A437" s="1"/>
      <c r="B437" s="5"/>
      <c r="C437" s="1"/>
      <c r="D437" s="38"/>
      <c r="E437" s="1"/>
      <c r="F437" s="1"/>
    </row>
    <row r="438" spans="1:6" ht="21.75" customHeight="1" x14ac:dyDescent="0.6">
      <c r="A438" s="1"/>
      <c r="B438" s="5"/>
      <c r="C438" s="1"/>
      <c r="D438" s="38"/>
      <c r="E438" s="1"/>
      <c r="F438" s="1"/>
    </row>
    <row r="439" spans="1:6" ht="21.75" customHeight="1" x14ac:dyDescent="0.6">
      <c r="A439" s="1"/>
      <c r="B439" s="5"/>
      <c r="C439" s="1"/>
      <c r="D439" s="38"/>
      <c r="E439" s="1"/>
      <c r="F439" s="1"/>
    </row>
    <row r="440" spans="1:6" ht="21.75" customHeight="1" x14ac:dyDescent="0.6">
      <c r="A440" s="1"/>
      <c r="B440" s="5"/>
      <c r="C440" s="1"/>
      <c r="D440" s="38"/>
      <c r="E440" s="1"/>
      <c r="F440" s="1"/>
    </row>
    <row r="441" spans="1:6" ht="21.75" customHeight="1" x14ac:dyDescent="0.6">
      <c r="A441" s="1"/>
      <c r="B441" s="5"/>
      <c r="C441" s="1"/>
      <c r="D441" s="38"/>
      <c r="E441" s="1"/>
      <c r="F441" s="1"/>
    </row>
    <row r="442" spans="1:6" ht="21.75" customHeight="1" x14ac:dyDescent="0.6">
      <c r="A442" s="1"/>
      <c r="B442" s="5"/>
      <c r="C442" s="1"/>
      <c r="D442" s="38"/>
      <c r="E442" s="1"/>
      <c r="F442" s="1"/>
    </row>
    <row r="443" spans="1:6" ht="21.75" customHeight="1" x14ac:dyDescent="0.6">
      <c r="A443" s="1"/>
      <c r="B443" s="5"/>
      <c r="C443" s="1"/>
      <c r="D443" s="38"/>
      <c r="E443" s="1"/>
      <c r="F443" s="1"/>
    </row>
    <row r="444" spans="1:6" ht="21.75" customHeight="1" x14ac:dyDescent="0.6">
      <c r="A444" s="1"/>
      <c r="B444" s="5"/>
      <c r="C444" s="1"/>
      <c r="D444" s="38"/>
      <c r="E444" s="1"/>
      <c r="F444" s="1"/>
    </row>
    <row r="445" spans="1:6" ht="21.75" customHeight="1" x14ac:dyDescent="0.6">
      <c r="A445" s="1"/>
      <c r="B445" s="5"/>
      <c r="C445" s="1"/>
      <c r="D445" s="38"/>
      <c r="E445" s="1"/>
      <c r="F445" s="1"/>
    </row>
    <row r="446" spans="1:6" ht="21.75" customHeight="1" x14ac:dyDescent="0.6">
      <c r="A446" s="1"/>
      <c r="B446" s="5"/>
      <c r="C446" s="1"/>
      <c r="D446" s="38"/>
      <c r="E446" s="1"/>
      <c r="F446" s="1"/>
    </row>
    <row r="447" spans="1:6" ht="21.75" customHeight="1" x14ac:dyDescent="0.6">
      <c r="A447" s="1"/>
      <c r="B447" s="5"/>
      <c r="C447" s="1"/>
      <c r="D447" s="38"/>
      <c r="E447" s="1"/>
      <c r="F447" s="1"/>
    </row>
    <row r="448" spans="1:6" ht="21.75" customHeight="1" x14ac:dyDescent="0.6">
      <c r="A448" s="1"/>
      <c r="B448" s="5"/>
      <c r="C448" s="1"/>
      <c r="D448" s="38"/>
      <c r="E448" s="1"/>
      <c r="F448" s="1"/>
    </row>
    <row r="449" spans="1:6" ht="21.75" customHeight="1" x14ac:dyDescent="0.6">
      <c r="A449" s="1"/>
      <c r="B449" s="5"/>
      <c r="C449" s="1"/>
      <c r="D449" s="38"/>
      <c r="E449" s="1"/>
      <c r="F449" s="1"/>
    </row>
    <row r="450" spans="1:6" ht="21.75" customHeight="1" x14ac:dyDescent="0.6">
      <c r="A450" s="1"/>
      <c r="B450" s="5"/>
      <c r="C450" s="1"/>
      <c r="D450" s="38"/>
      <c r="E450" s="1"/>
      <c r="F450" s="1"/>
    </row>
    <row r="451" spans="1:6" ht="21.75" customHeight="1" x14ac:dyDescent="0.6">
      <c r="A451" s="1"/>
      <c r="B451" s="5"/>
      <c r="C451" s="1"/>
      <c r="D451" s="38"/>
      <c r="E451" s="1"/>
      <c r="F451" s="1"/>
    </row>
    <row r="452" spans="1:6" ht="21.75" customHeight="1" x14ac:dyDescent="0.6">
      <c r="A452" s="1"/>
      <c r="B452" s="5"/>
      <c r="C452" s="1"/>
      <c r="D452" s="38"/>
      <c r="E452" s="1"/>
      <c r="F452" s="1"/>
    </row>
    <row r="453" spans="1:6" ht="21.75" customHeight="1" x14ac:dyDescent="0.6">
      <c r="A453" s="1"/>
      <c r="B453" s="5"/>
      <c r="C453" s="1"/>
      <c r="D453" s="38"/>
      <c r="E453" s="1"/>
      <c r="F453" s="1"/>
    </row>
    <row r="454" spans="1:6" ht="21.75" customHeight="1" x14ac:dyDescent="0.6">
      <c r="A454" s="1"/>
      <c r="B454" s="5"/>
      <c r="C454" s="1"/>
      <c r="D454" s="38"/>
      <c r="E454" s="1"/>
      <c r="F454" s="1"/>
    </row>
    <row r="455" spans="1:6" ht="21.75" customHeight="1" x14ac:dyDescent="0.6">
      <c r="A455" s="1"/>
      <c r="B455" s="5"/>
      <c r="C455" s="1"/>
      <c r="D455" s="38"/>
      <c r="E455" s="1"/>
      <c r="F455" s="1"/>
    </row>
    <row r="456" spans="1:6" ht="21.75" customHeight="1" x14ac:dyDescent="0.6">
      <c r="A456" s="1"/>
      <c r="B456" s="5"/>
      <c r="C456" s="1"/>
      <c r="D456" s="38"/>
      <c r="E456" s="1"/>
      <c r="F456" s="1"/>
    </row>
    <row r="457" spans="1:6" ht="21.75" customHeight="1" x14ac:dyDescent="0.6">
      <c r="A457" s="1"/>
      <c r="B457" s="5"/>
      <c r="C457" s="1"/>
      <c r="D457" s="38"/>
      <c r="E457" s="1"/>
      <c r="F457" s="1"/>
    </row>
    <row r="458" spans="1:6" ht="21.75" customHeight="1" x14ac:dyDescent="0.6">
      <c r="A458" s="1"/>
      <c r="B458" s="5"/>
      <c r="C458" s="1"/>
      <c r="D458" s="38"/>
      <c r="E458" s="1"/>
      <c r="F458" s="1"/>
    </row>
    <row r="459" spans="1:6" ht="21.75" customHeight="1" x14ac:dyDescent="0.6">
      <c r="A459" s="1"/>
      <c r="B459" s="5"/>
      <c r="C459" s="1"/>
      <c r="D459" s="38"/>
      <c r="E459" s="1"/>
      <c r="F459" s="1"/>
    </row>
    <row r="460" spans="1:6" ht="21.75" customHeight="1" x14ac:dyDescent="0.6">
      <c r="A460" s="1"/>
      <c r="B460" s="5"/>
      <c r="C460" s="1"/>
      <c r="D460" s="38"/>
      <c r="E460" s="1"/>
      <c r="F460" s="1"/>
    </row>
    <row r="461" spans="1:6" ht="21.75" customHeight="1" x14ac:dyDescent="0.6">
      <c r="A461" s="1"/>
      <c r="B461" s="5"/>
      <c r="C461" s="1"/>
      <c r="D461" s="38"/>
      <c r="E461" s="1"/>
      <c r="F461" s="1"/>
    </row>
    <row r="462" spans="1:6" ht="21.75" customHeight="1" x14ac:dyDescent="0.6">
      <c r="A462" s="1"/>
      <c r="B462" s="5"/>
      <c r="C462" s="1"/>
      <c r="D462" s="38"/>
      <c r="E462" s="1"/>
      <c r="F462" s="1"/>
    </row>
    <row r="463" spans="1:6" ht="21.75" customHeight="1" x14ac:dyDescent="0.6">
      <c r="A463" s="1"/>
      <c r="B463" s="5"/>
      <c r="C463" s="1"/>
      <c r="D463" s="38"/>
      <c r="E463" s="1"/>
      <c r="F463" s="1"/>
    </row>
    <row r="464" spans="1:6" ht="21.75" customHeight="1" x14ac:dyDescent="0.6">
      <c r="A464" s="1"/>
      <c r="B464" s="5"/>
      <c r="C464" s="1"/>
      <c r="D464" s="38"/>
      <c r="E464" s="1"/>
      <c r="F464" s="1"/>
    </row>
    <row r="465" spans="1:6" ht="21.75" customHeight="1" x14ac:dyDescent="0.6">
      <c r="A465" s="1"/>
      <c r="B465" s="5"/>
      <c r="C465" s="1"/>
      <c r="D465" s="38"/>
      <c r="E465" s="1"/>
      <c r="F465" s="1"/>
    </row>
    <row r="466" spans="1:6" ht="21.75" customHeight="1" x14ac:dyDescent="0.6">
      <c r="A466" s="1"/>
      <c r="B466" s="5"/>
      <c r="C466" s="1"/>
      <c r="D466" s="38"/>
      <c r="E466" s="1"/>
      <c r="F466" s="1"/>
    </row>
    <row r="467" spans="1:6" ht="21.75" customHeight="1" x14ac:dyDescent="0.6">
      <c r="A467" s="1"/>
      <c r="B467" s="5"/>
      <c r="C467" s="1"/>
      <c r="D467" s="38"/>
      <c r="E467" s="1"/>
      <c r="F467" s="1"/>
    </row>
    <row r="468" spans="1:6" ht="21.75" customHeight="1" x14ac:dyDescent="0.6">
      <c r="A468" s="1"/>
      <c r="B468" s="5"/>
      <c r="C468" s="1"/>
      <c r="D468" s="38"/>
      <c r="E468" s="1"/>
      <c r="F468" s="1"/>
    </row>
    <row r="469" spans="1:6" ht="21.75" customHeight="1" x14ac:dyDescent="0.6">
      <c r="A469" s="1"/>
      <c r="B469" s="5"/>
      <c r="C469" s="1"/>
      <c r="D469" s="38"/>
      <c r="E469" s="1"/>
      <c r="F469" s="1"/>
    </row>
    <row r="470" spans="1:6" ht="21.75" customHeight="1" x14ac:dyDescent="0.6">
      <c r="A470" s="1"/>
      <c r="B470" s="5"/>
      <c r="C470" s="1"/>
      <c r="D470" s="38"/>
      <c r="E470" s="1"/>
      <c r="F470" s="1"/>
    </row>
    <row r="471" spans="1:6" ht="21.75" customHeight="1" x14ac:dyDescent="0.6">
      <c r="A471" s="1"/>
      <c r="B471" s="5"/>
      <c r="C471" s="1"/>
      <c r="D471" s="38"/>
      <c r="E471" s="1"/>
      <c r="F471" s="1"/>
    </row>
    <row r="472" spans="1:6" ht="21.75" customHeight="1" x14ac:dyDescent="0.6">
      <c r="A472" s="1"/>
      <c r="B472" s="5"/>
      <c r="C472" s="1"/>
      <c r="D472" s="38"/>
      <c r="E472" s="1"/>
      <c r="F472" s="1"/>
    </row>
    <row r="473" spans="1:6" ht="21.75" customHeight="1" x14ac:dyDescent="0.6">
      <c r="A473" s="1"/>
      <c r="B473" s="5"/>
      <c r="C473" s="1"/>
      <c r="D473" s="38"/>
      <c r="E473" s="1"/>
      <c r="F473" s="1"/>
    </row>
    <row r="474" spans="1:6" ht="21.75" customHeight="1" x14ac:dyDescent="0.6">
      <c r="A474" s="1"/>
      <c r="B474" s="5"/>
      <c r="C474" s="1"/>
      <c r="D474" s="38"/>
      <c r="E474" s="1"/>
      <c r="F474" s="1"/>
    </row>
    <row r="475" spans="1:6" ht="21.75" customHeight="1" x14ac:dyDescent="0.6">
      <c r="A475" s="1"/>
      <c r="B475" s="5"/>
      <c r="C475" s="1"/>
      <c r="D475" s="38"/>
      <c r="E475" s="1"/>
      <c r="F475" s="1"/>
    </row>
    <row r="476" spans="1:6" ht="21.75" customHeight="1" x14ac:dyDescent="0.6">
      <c r="A476" s="1"/>
      <c r="B476" s="5"/>
      <c r="C476" s="1"/>
      <c r="D476" s="38"/>
      <c r="E476" s="1"/>
      <c r="F476" s="1"/>
    </row>
    <row r="477" spans="1:6" ht="21.75" customHeight="1" x14ac:dyDescent="0.6">
      <c r="A477" s="1"/>
      <c r="B477" s="5"/>
      <c r="C477" s="1"/>
      <c r="D477" s="38"/>
      <c r="E477" s="1"/>
      <c r="F477" s="1"/>
    </row>
    <row r="478" spans="1:6" ht="21.75" customHeight="1" x14ac:dyDescent="0.6">
      <c r="A478" s="1"/>
      <c r="B478" s="5"/>
      <c r="C478" s="1"/>
      <c r="D478" s="38"/>
      <c r="E478" s="1"/>
      <c r="F478" s="1"/>
    </row>
    <row r="479" spans="1:6" ht="21.75" customHeight="1" x14ac:dyDescent="0.6">
      <c r="A479" s="1"/>
      <c r="B479" s="5"/>
      <c r="C479" s="1"/>
      <c r="D479" s="38"/>
      <c r="E479" s="1"/>
      <c r="F479" s="1"/>
    </row>
    <row r="480" spans="1:6" ht="21.75" customHeight="1" x14ac:dyDescent="0.6">
      <c r="A480" s="1"/>
      <c r="B480" s="5"/>
      <c r="C480" s="1"/>
      <c r="D480" s="38"/>
      <c r="E480" s="1"/>
      <c r="F480" s="1"/>
    </row>
    <row r="481" spans="1:6" ht="21.75" customHeight="1" x14ac:dyDescent="0.6">
      <c r="A481" s="1"/>
      <c r="B481" s="5"/>
      <c r="C481" s="1"/>
      <c r="D481" s="38"/>
      <c r="E481" s="1"/>
      <c r="F481" s="1"/>
    </row>
    <row r="482" spans="1:6" ht="21.75" customHeight="1" x14ac:dyDescent="0.6">
      <c r="A482" s="1"/>
      <c r="B482" s="5"/>
      <c r="C482" s="1"/>
      <c r="D482" s="38"/>
      <c r="E482" s="1"/>
      <c r="F482" s="1"/>
    </row>
    <row r="483" spans="1:6" ht="21.75" customHeight="1" x14ac:dyDescent="0.6">
      <c r="A483" s="1"/>
      <c r="B483" s="5"/>
      <c r="C483" s="1"/>
      <c r="D483" s="38"/>
      <c r="E483" s="1"/>
      <c r="F483" s="1"/>
    </row>
    <row r="484" spans="1:6" ht="21.75" customHeight="1" x14ac:dyDescent="0.6">
      <c r="A484" s="1"/>
      <c r="B484" s="5"/>
      <c r="C484" s="1"/>
      <c r="D484" s="38"/>
      <c r="E484" s="1"/>
      <c r="F484" s="1"/>
    </row>
    <row r="485" spans="1:6" ht="21.75" customHeight="1" x14ac:dyDescent="0.6">
      <c r="A485" s="1"/>
      <c r="B485" s="5"/>
      <c r="C485" s="1"/>
      <c r="D485" s="38"/>
      <c r="E485" s="1"/>
      <c r="F485" s="1"/>
    </row>
    <row r="486" spans="1:6" ht="21.75" customHeight="1" x14ac:dyDescent="0.6">
      <c r="A486" s="1"/>
      <c r="B486" s="5"/>
      <c r="C486" s="1"/>
      <c r="D486" s="38"/>
      <c r="E486" s="1"/>
      <c r="F486" s="1"/>
    </row>
    <row r="487" spans="1:6" ht="21.75" customHeight="1" x14ac:dyDescent="0.6">
      <c r="A487" s="1"/>
      <c r="B487" s="5"/>
      <c r="C487" s="1"/>
      <c r="D487" s="38"/>
      <c r="E487" s="1"/>
      <c r="F487" s="1"/>
    </row>
    <row r="488" spans="1:6" ht="21.75" customHeight="1" x14ac:dyDescent="0.6">
      <c r="A488" s="1"/>
      <c r="B488" s="5"/>
      <c r="C488" s="1"/>
      <c r="D488" s="38"/>
      <c r="E488" s="1"/>
      <c r="F488" s="1"/>
    </row>
    <row r="489" spans="1:6" ht="21.75" customHeight="1" x14ac:dyDescent="0.6">
      <c r="A489" s="1"/>
      <c r="B489" s="5"/>
      <c r="C489" s="1"/>
      <c r="D489" s="38"/>
      <c r="E489" s="1"/>
      <c r="F489" s="1"/>
    </row>
    <row r="490" spans="1:6" ht="21.75" customHeight="1" x14ac:dyDescent="0.6">
      <c r="A490" s="1"/>
      <c r="B490" s="5"/>
      <c r="C490" s="1"/>
      <c r="D490" s="38"/>
      <c r="E490" s="1"/>
      <c r="F490" s="1"/>
    </row>
    <row r="491" spans="1:6" ht="21.75" customHeight="1" x14ac:dyDescent="0.6">
      <c r="A491" s="1"/>
      <c r="B491" s="5"/>
      <c r="C491" s="1"/>
      <c r="D491" s="38"/>
      <c r="E491" s="1"/>
      <c r="F491" s="1"/>
    </row>
    <row r="492" spans="1:6" ht="21.75" customHeight="1" x14ac:dyDescent="0.6">
      <c r="A492" s="1"/>
      <c r="B492" s="5"/>
      <c r="C492" s="1"/>
      <c r="D492" s="38"/>
      <c r="E492" s="1"/>
      <c r="F492" s="1"/>
    </row>
    <row r="493" spans="1:6" ht="21.75" customHeight="1" x14ac:dyDescent="0.6">
      <c r="A493" s="1"/>
      <c r="B493" s="5"/>
      <c r="C493" s="1"/>
      <c r="D493" s="38"/>
      <c r="E493" s="1"/>
      <c r="F493" s="1"/>
    </row>
    <row r="494" spans="1:6" ht="21.75" customHeight="1" x14ac:dyDescent="0.6">
      <c r="A494" s="1"/>
      <c r="B494" s="5"/>
      <c r="C494" s="1"/>
      <c r="D494" s="38"/>
      <c r="E494" s="1"/>
      <c r="F494" s="1"/>
    </row>
    <row r="495" spans="1:6" ht="21.75" customHeight="1" x14ac:dyDescent="0.6">
      <c r="A495" s="1"/>
      <c r="B495" s="5"/>
      <c r="C495" s="1"/>
      <c r="D495" s="38"/>
      <c r="E495" s="1"/>
      <c r="F495" s="1"/>
    </row>
    <row r="496" spans="1:6" ht="21.75" customHeight="1" x14ac:dyDescent="0.6">
      <c r="A496" s="1"/>
      <c r="B496" s="5"/>
      <c r="C496" s="1"/>
      <c r="D496" s="38"/>
      <c r="E496" s="1"/>
      <c r="F496" s="1"/>
    </row>
    <row r="497" spans="1:6" ht="21.75" customHeight="1" x14ac:dyDescent="0.6">
      <c r="A497" s="1"/>
      <c r="B497" s="5"/>
      <c r="C497" s="1"/>
      <c r="D497" s="38"/>
      <c r="E497" s="1"/>
      <c r="F497" s="1"/>
    </row>
    <row r="498" spans="1:6" ht="21.75" customHeight="1" x14ac:dyDescent="0.6">
      <c r="A498" s="1"/>
      <c r="B498" s="5"/>
      <c r="C498" s="1"/>
      <c r="D498" s="38"/>
      <c r="E498" s="1"/>
      <c r="F498" s="1"/>
    </row>
    <row r="499" spans="1:6" ht="21.75" customHeight="1" x14ac:dyDescent="0.6">
      <c r="A499" s="1"/>
      <c r="B499" s="5"/>
      <c r="C499" s="1"/>
      <c r="D499" s="38"/>
      <c r="E499" s="1"/>
      <c r="F499" s="1"/>
    </row>
    <row r="500" spans="1:6" ht="21.75" customHeight="1" x14ac:dyDescent="0.6">
      <c r="A500" s="1"/>
      <c r="B500" s="5"/>
      <c r="C500" s="1"/>
      <c r="D500" s="38"/>
      <c r="E500" s="1"/>
      <c r="F500" s="1"/>
    </row>
    <row r="501" spans="1:6" ht="21.75" customHeight="1" x14ac:dyDescent="0.6">
      <c r="A501" s="1"/>
      <c r="B501" s="5"/>
      <c r="C501" s="1"/>
      <c r="D501" s="38"/>
      <c r="E501" s="1"/>
      <c r="F501" s="1"/>
    </row>
    <row r="502" spans="1:6" ht="21.75" customHeight="1" x14ac:dyDescent="0.6">
      <c r="A502" s="1"/>
      <c r="B502" s="5"/>
      <c r="C502" s="1"/>
      <c r="D502" s="38"/>
      <c r="E502" s="1"/>
      <c r="F502" s="1"/>
    </row>
    <row r="503" spans="1:6" ht="21.75" customHeight="1" x14ac:dyDescent="0.6">
      <c r="A503" s="1"/>
      <c r="B503" s="5"/>
      <c r="C503" s="1"/>
      <c r="D503" s="38"/>
      <c r="E503" s="1"/>
      <c r="F503" s="1"/>
    </row>
    <row r="504" spans="1:6" ht="21.75" customHeight="1" x14ac:dyDescent="0.6">
      <c r="A504" s="1"/>
      <c r="B504" s="5"/>
      <c r="C504" s="1"/>
      <c r="D504" s="38"/>
      <c r="E504" s="1"/>
      <c r="F504" s="1"/>
    </row>
    <row r="505" spans="1:6" ht="21.75" customHeight="1" x14ac:dyDescent="0.6">
      <c r="A505" s="1"/>
      <c r="B505" s="5"/>
      <c r="C505" s="1"/>
      <c r="D505" s="38"/>
      <c r="E505" s="1"/>
      <c r="F505" s="1"/>
    </row>
    <row r="506" spans="1:6" ht="21.75" customHeight="1" x14ac:dyDescent="0.6">
      <c r="A506" s="1"/>
      <c r="B506" s="5"/>
      <c r="C506" s="1"/>
      <c r="D506" s="38"/>
      <c r="E506" s="1"/>
      <c r="F506" s="1"/>
    </row>
    <row r="507" spans="1:6" ht="21.75" customHeight="1" x14ac:dyDescent="0.6">
      <c r="A507" s="1"/>
      <c r="B507" s="5"/>
      <c r="C507" s="1"/>
      <c r="D507" s="38"/>
      <c r="E507" s="1"/>
      <c r="F507" s="1"/>
    </row>
    <row r="508" spans="1:6" ht="21.75" customHeight="1" x14ac:dyDescent="0.6">
      <c r="A508" s="1"/>
      <c r="B508" s="5"/>
      <c r="C508" s="1"/>
      <c r="D508" s="38"/>
      <c r="E508" s="1"/>
      <c r="F508" s="1"/>
    </row>
    <row r="509" spans="1:6" ht="21.75" customHeight="1" x14ac:dyDescent="0.6">
      <c r="A509" s="1"/>
      <c r="B509" s="5"/>
      <c r="C509" s="1"/>
      <c r="D509" s="38"/>
      <c r="E509" s="1"/>
      <c r="F509" s="1"/>
    </row>
    <row r="510" spans="1:6" ht="21.75" customHeight="1" x14ac:dyDescent="0.6">
      <c r="A510" s="1"/>
      <c r="B510" s="5"/>
      <c r="C510" s="1"/>
      <c r="D510" s="38"/>
      <c r="E510" s="1"/>
      <c r="F510" s="1"/>
    </row>
    <row r="511" spans="1:6" ht="21.75" customHeight="1" x14ac:dyDescent="0.6">
      <c r="A511" s="1"/>
      <c r="B511" s="5"/>
      <c r="C511" s="1"/>
      <c r="D511" s="38"/>
      <c r="E511" s="1"/>
      <c r="F511" s="1"/>
    </row>
    <row r="512" spans="1:6" ht="21.75" customHeight="1" x14ac:dyDescent="0.6">
      <c r="A512" s="1"/>
      <c r="B512" s="5"/>
      <c r="C512" s="1"/>
      <c r="D512" s="38"/>
      <c r="E512" s="1"/>
      <c r="F512" s="1"/>
    </row>
    <row r="513" spans="1:6" ht="21.75" customHeight="1" x14ac:dyDescent="0.6">
      <c r="A513" s="1"/>
      <c r="B513" s="5"/>
      <c r="C513" s="1"/>
      <c r="D513" s="38"/>
      <c r="E513" s="1"/>
      <c r="F513" s="1"/>
    </row>
    <row r="514" spans="1:6" ht="21.75" customHeight="1" x14ac:dyDescent="0.6">
      <c r="A514" s="1"/>
      <c r="B514" s="5"/>
      <c r="C514" s="1"/>
      <c r="D514" s="38"/>
      <c r="E514" s="1"/>
      <c r="F514" s="1"/>
    </row>
    <row r="515" spans="1:6" ht="21.75" customHeight="1" x14ac:dyDescent="0.6">
      <c r="A515" s="1"/>
      <c r="B515" s="5"/>
      <c r="C515" s="1"/>
      <c r="D515" s="38"/>
      <c r="E515" s="1"/>
      <c r="F515" s="1"/>
    </row>
    <row r="516" spans="1:6" ht="21.75" customHeight="1" x14ac:dyDescent="0.6">
      <c r="A516" s="1"/>
      <c r="B516" s="5"/>
      <c r="C516" s="1"/>
      <c r="D516" s="38"/>
      <c r="E516" s="1"/>
      <c r="F516" s="1"/>
    </row>
    <row r="517" spans="1:6" ht="21.75" customHeight="1" x14ac:dyDescent="0.6">
      <c r="A517" s="1"/>
      <c r="B517" s="5"/>
      <c r="C517" s="1"/>
      <c r="D517" s="38"/>
      <c r="E517" s="1"/>
      <c r="F517" s="1"/>
    </row>
    <row r="518" spans="1:6" ht="21.75" customHeight="1" x14ac:dyDescent="0.6">
      <c r="A518" s="1"/>
      <c r="B518" s="5"/>
      <c r="C518" s="1"/>
      <c r="D518" s="38"/>
      <c r="E518" s="1"/>
      <c r="F518" s="1"/>
    </row>
    <row r="519" spans="1:6" ht="21.75" customHeight="1" x14ac:dyDescent="0.6">
      <c r="A519" s="1"/>
      <c r="B519" s="5"/>
      <c r="C519" s="1"/>
      <c r="D519" s="38"/>
      <c r="E519" s="1"/>
      <c r="F519" s="1"/>
    </row>
    <row r="520" spans="1:6" ht="21.75" customHeight="1" x14ac:dyDescent="0.6">
      <c r="A520" s="1"/>
      <c r="B520" s="5"/>
      <c r="C520" s="1"/>
      <c r="D520" s="38"/>
      <c r="E520" s="1"/>
      <c r="F520" s="1"/>
    </row>
    <row r="521" spans="1:6" ht="21.75" customHeight="1" x14ac:dyDescent="0.6">
      <c r="A521" s="1"/>
      <c r="B521" s="5"/>
      <c r="C521" s="1"/>
      <c r="D521" s="38"/>
      <c r="E521" s="1"/>
      <c r="F521" s="1"/>
    </row>
    <row r="522" spans="1:6" ht="21.75" customHeight="1" x14ac:dyDescent="0.6">
      <c r="A522" s="1"/>
      <c r="B522" s="5"/>
      <c r="C522" s="1"/>
      <c r="D522" s="38"/>
      <c r="E522" s="1"/>
      <c r="F522" s="1"/>
    </row>
    <row r="523" spans="1:6" ht="21.75" customHeight="1" x14ac:dyDescent="0.6">
      <c r="A523" s="1"/>
      <c r="B523" s="5"/>
      <c r="C523" s="1"/>
      <c r="D523" s="38"/>
      <c r="E523" s="1"/>
      <c r="F523" s="1"/>
    </row>
    <row r="524" spans="1:6" ht="21.75" customHeight="1" x14ac:dyDescent="0.6">
      <c r="A524" s="1"/>
      <c r="B524" s="5"/>
      <c r="C524" s="1"/>
      <c r="D524" s="38"/>
      <c r="E524" s="1"/>
      <c r="F524" s="1"/>
    </row>
    <row r="525" spans="1:6" ht="21.75" customHeight="1" x14ac:dyDescent="0.6">
      <c r="A525" s="1"/>
      <c r="B525" s="5"/>
      <c r="C525" s="1"/>
      <c r="D525" s="38"/>
      <c r="E525" s="1"/>
      <c r="F525" s="1"/>
    </row>
    <row r="526" spans="1:6" ht="21.75" customHeight="1" x14ac:dyDescent="0.6">
      <c r="A526" s="1"/>
      <c r="B526" s="5"/>
      <c r="C526" s="1"/>
      <c r="D526" s="38"/>
      <c r="E526" s="1"/>
      <c r="F526" s="1"/>
    </row>
    <row r="527" spans="1:6" ht="21.75" customHeight="1" x14ac:dyDescent="0.6">
      <c r="A527" s="1"/>
      <c r="B527" s="5"/>
      <c r="C527" s="1"/>
      <c r="D527" s="38"/>
      <c r="E527" s="1"/>
      <c r="F527" s="1"/>
    </row>
    <row r="528" spans="1:6" ht="21.75" customHeight="1" x14ac:dyDescent="0.6">
      <c r="A528" s="1"/>
      <c r="B528" s="5"/>
      <c r="C528" s="1"/>
      <c r="D528" s="38"/>
      <c r="E528" s="1"/>
      <c r="F528" s="1"/>
    </row>
    <row r="529" spans="1:6" ht="21.75" customHeight="1" x14ac:dyDescent="0.6">
      <c r="A529" s="1"/>
      <c r="B529" s="5"/>
      <c r="C529" s="1"/>
      <c r="D529" s="38"/>
      <c r="E529" s="1"/>
      <c r="F529" s="1"/>
    </row>
    <row r="530" spans="1:6" ht="21.75" customHeight="1" x14ac:dyDescent="0.6">
      <c r="A530" s="1"/>
      <c r="B530" s="5"/>
      <c r="C530" s="1"/>
      <c r="D530" s="38"/>
      <c r="E530" s="1"/>
      <c r="F530" s="1"/>
    </row>
    <row r="531" spans="1:6" ht="21.75" customHeight="1" x14ac:dyDescent="0.6">
      <c r="A531" s="1"/>
      <c r="B531" s="5"/>
      <c r="C531" s="1"/>
      <c r="D531" s="38"/>
      <c r="E531" s="1"/>
      <c r="F531" s="1"/>
    </row>
    <row r="532" spans="1:6" ht="21.75" customHeight="1" x14ac:dyDescent="0.6">
      <c r="A532" s="1"/>
      <c r="B532" s="5"/>
      <c r="C532" s="1"/>
      <c r="D532" s="38"/>
      <c r="E532" s="1"/>
      <c r="F532" s="1"/>
    </row>
    <row r="533" spans="1:6" ht="21.75" customHeight="1" x14ac:dyDescent="0.6">
      <c r="A533" s="1"/>
      <c r="B533" s="5"/>
      <c r="C533" s="1"/>
      <c r="D533" s="38"/>
      <c r="E533" s="1"/>
      <c r="F533" s="1"/>
    </row>
    <row r="534" spans="1:6" ht="21.75" customHeight="1" x14ac:dyDescent="0.6">
      <c r="A534" s="1"/>
      <c r="B534" s="5"/>
      <c r="C534" s="1"/>
      <c r="D534" s="38"/>
      <c r="E534" s="1"/>
      <c r="F534" s="1"/>
    </row>
    <row r="535" spans="1:6" ht="21.75" customHeight="1" x14ac:dyDescent="0.6">
      <c r="A535" s="1"/>
      <c r="B535" s="5"/>
      <c r="C535" s="1"/>
      <c r="D535" s="38"/>
      <c r="E535" s="1"/>
      <c r="F535" s="1"/>
    </row>
    <row r="536" spans="1:6" ht="21.75" customHeight="1" x14ac:dyDescent="0.6">
      <c r="A536" s="1"/>
      <c r="B536" s="5"/>
      <c r="C536" s="1"/>
      <c r="D536" s="38"/>
      <c r="E536" s="1"/>
      <c r="F536" s="1"/>
    </row>
    <row r="537" spans="1:6" ht="21.75" customHeight="1" x14ac:dyDescent="0.6">
      <c r="A537" s="1"/>
      <c r="B537" s="5"/>
      <c r="C537" s="1"/>
      <c r="D537" s="38"/>
      <c r="E537" s="1"/>
      <c r="F537" s="1"/>
    </row>
    <row r="538" spans="1:6" ht="21.75" customHeight="1" x14ac:dyDescent="0.6">
      <c r="A538" s="1"/>
      <c r="B538" s="5"/>
      <c r="C538" s="1"/>
      <c r="D538" s="38"/>
      <c r="E538" s="1"/>
      <c r="F538" s="1"/>
    </row>
    <row r="539" spans="1:6" ht="21.75" customHeight="1" x14ac:dyDescent="0.6">
      <c r="A539" s="1"/>
      <c r="B539" s="5"/>
      <c r="C539" s="1"/>
      <c r="D539" s="38"/>
      <c r="E539" s="1"/>
      <c r="F539" s="1"/>
    </row>
    <row r="540" spans="1:6" ht="21.75" customHeight="1" x14ac:dyDescent="0.6">
      <c r="A540" s="1"/>
      <c r="B540" s="5"/>
      <c r="C540" s="1"/>
      <c r="D540" s="38"/>
      <c r="E540" s="1"/>
      <c r="F540" s="1"/>
    </row>
    <row r="541" spans="1:6" ht="21.75" customHeight="1" x14ac:dyDescent="0.6">
      <c r="A541" s="1"/>
      <c r="B541" s="5"/>
      <c r="C541" s="1"/>
      <c r="D541" s="38"/>
      <c r="E541" s="1"/>
      <c r="F541" s="1"/>
    </row>
    <row r="542" spans="1:6" ht="21.75" customHeight="1" x14ac:dyDescent="0.6">
      <c r="A542" s="1"/>
      <c r="B542" s="5"/>
      <c r="C542" s="1"/>
      <c r="D542" s="38"/>
      <c r="E542" s="1"/>
      <c r="F542" s="1"/>
    </row>
    <row r="543" spans="1:6" ht="21.75" customHeight="1" x14ac:dyDescent="0.6">
      <c r="A543" s="1"/>
      <c r="B543" s="5"/>
      <c r="C543" s="1"/>
      <c r="D543" s="38"/>
      <c r="E543" s="1"/>
      <c r="F543" s="1"/>
    </row>
    <row r="544" spans="1:6" ht="21.75" customHeight="1" x14ac:dyDescent="0.6">
      <c r="A544" s="1"/>
      <c r="B544" s="5"/>
      <c r="C544" s="1"/>
      <c r="D544" s="38"/>
      <c r="E544" s="1"/>
      <c r="F544" s="1"/>
    </row>
    <row r="545" spans="1:6" ht="21.75" customHeight="1" x14ac:dyDescent="0.6">
      <c r="A545" s="1"/>
      <c r="B545" s="5"/>
      <c r="C545" s="1"/>
      <c r="D545" s="38"/>
      <c r="E545" s="1"/>
      <c r="F545" s="1"/>
    </row>
    <row r="546" spans="1:6" ht="21.75" customHeight="1" x14ac:dyDescent="0.6">
      <c r="A546" s="1"/>
      <c r="B546" s="5"/>
      <c r="C546" s="1"/>
      <c r="D546" s="38"/>
      <c r="E546" s="1"/>
      <c r="F546" s="1"/>
    </row>
    <row r="547" spans="1:6" ht="21.75" customHeight="1" x14ac:dyDescent="0.6">
      <c r="A547" s="1"/>
      <c r="B547" s="5"/>
      <c r="C547" s="1"/>
      <c r="D547" s="38"/>
      <c r="E547" s="1"/>
      <c r="F547" s="1"/>
    </row>
    <row r="548" spans="1:6" ht="21.75" customHeight="1" x14ac:dyDescent="0.6">
      <c r="A548" s="1"/>
      <c r="B548" s="5"/>
      <c r="C548" s="1"/>
      <c r="D548" s="38"/>
      <c r="E548" s="1"/>
      <c r="F548" s="1"/>
    </row>
    <row r="549" spans="1:6" ht="21.75" customHeight="1" x14ac:dyDescent="0.6">
      <c r="A549" s="1"/>
      <c r="B549" s="5"/>
      <c r="C549" s="1"/>
      <c r="D549" s="38"/>
      <c r="E549" s="1"/>
      <c r="F549" s="1"/>
    </row>
    <row r="550" spans="1:6" ht="21.75" customHeight="1" x14ac:dyDescent="0.6">
      <c r="A550" s="1"/>
      <c r="B550" s="5"/>
      <c r="C550" s="1"/>
      <c r="D550" s="38"/>
      <c r="E550" s="1"/>
      <c r="F550" s="1"/>
    </row>
    <row r="551" spans="1:6" ht="21.75" customHeight="1" x14ac:dyDescent="0.6">
      <c r="A551" s="1"/>
      <c r="B551" s="5"/>
      <c r="C551" s="1"/>
      <c r="D551" s="38"/>
      <c r="E551" s="1"/>
      <c r="F551" s="1"/>
    </row>
    <row r="552" spans="1:6" ht="21.75" customHeight="1" x14ac:dyDescent="0.6">
      <c r="A552" s="1"/>
      <c r="B552" s="5"/>
      <c r="C552" s="1"/>
      <c r="D552" s="38"/>
      <c r="E552" s="1"/>
      <c r="F552" s="1"/>
    </row>
    <row r="553" spans="1:6" ht="21.75" customHeight="1" x14ac:dyDescent="0.6">
      <c r="A553" s="1"/>
      <c r="B553" s="5"/>
      <c r="C553" s="1"/>
      <c r="D553" s="38"/>
      <c r="E553" s="1"/>
      <c r="F553" s="1"/>
    </row>
    <row r="554" spans="1:6" ht="21.75" customHeight="1" x14ac:dyDescent="0.6">
      <c r="A554" s="1"/>
      <c r="B554" s="5"/>
      <c r="C554" s="1"/>
      <c r="D554" s="38"/>
      <c r="E554" s="1"/>
      <c r="F554" s="1"/>
    </row>
    <row r="555" spans="1:6" ht="21.75" customHeight="1" x14ac:dyDescent="0.6">
      <c r="A555" s="1"/>
      <c r="B555" s="5"/>
      <c r="C555" s="1"/>
      <c r="D555" s="38"/>
      <c r="E555" s="1"/>
      <c r="F555" s="1"/>
    </row>
    <row r="556" spans="1:6" ht="21.75" customHeight="1" x14ac:dyDescent="0.6">
      <c r="A556" s="1"/>
      <c r="B556" s="5"/>
      <c r="C556" s="1"/>
      <c r="D556" s="38"/>
      <c r="E556" s="1"/>
      <c r="F556" s="1"/>
    </row>
    <row r="557" spans="1:6" ht="21.75" customHeight="1" x14ac:dyDescent="0.6">
      <c r="A557" s="1"/>
      <c r="B557" s="5"/>
      <c r="C557" s="1"/>
      <c r="D557" s="38"/>
      <c r="E557" s="1"/>
      <c r="F557" s="1"/>
    </row>
    <row r="558" spans="1:6" ht="21.75" customHeight="1" x14ac:dyDescent="0.6">
      <c r="A558" s="1"/>
      <c r="B558" s="5"/>
      <c r="C558" s="1"/>
      <c r="D558" s="38"/>
      <c r="E558" s="1"/>
      <c r="F558" s="1"/>
    </row>
    <row r="559" spans="1:6" ht="21.75" customHeight="1" x14ac:dyDescent="0.6">
      <c r="A559" s="1"/>
      <c r="B559" s="5"/>
      <c r="C559" s="1"/>
      <c r="D559" s="38"/>
      <c r="E559" s="1"/>
      <c r="F559" s="1"/>
    </row>
    <row r="560" spans="1:6" ht="21.75" customHeight="1" x14ac:dyDescent="0.6">
      <c r="A560" s="1"/>
      <c r="B560" s="5"/>
      <c r="C560" s="1"/>
      <c r="D560" s="38"/>
      <c r="E560" s="1"/>
      <c r="F560" s="1"/>
    </row>
    <row r="561" spans="1:6" ht="21.75" customHeight="1" x14ac:dyDescent="0.6">
      <c r="A561" s="1"/>
      <c r="B561" s="5"/>
      <c r="C561" s="1"/>
      <c r="D561" s="38"/>
      <c r="E561" s="1"/>
      <c r="F561" s="1"/>
    </row>
    <row r="562" spans="1:6" ht="21.75" customHeight="1" x14ac:dyDescent="0.6">
      <c r="A562" s="1"/>
      <c r="B562" s="5"/>
      <c r="C562" s="1"/>
      <c r="D562" s="38"/>
      <c r="E562" s="1"/>
      <c r="F562" s="1"/>
    </row>
    <row r="563" spans="1:6" ht="21.75" customHeight="1" x14ac:dyDescent="0.6">
      <c r="A563" s="1"/>
      <c r="B563" s="5"/>
      <c r="C563" s="1"/>
      <c r="D563" s="38"/>
      <c r="E563" s="1"/>
      <c r="F563" s="1"/>
    </row>
    <row r="564" spans="1:6" ht="21.75" customHeight="1" x14ac:dyDescent="0.6">
      <c r="A564" s="1"/>
      <c r="B564" s="5"/>
      <c r="C564" s="1"/>
      <c r="D564" s="38"/>
      <c r="E564" s="1"/>
      <c r="F564" s="1"/>
    </row>
    <row r="565" spans="1:6" ht="21.75" customHeight="1" x14ac:dyDescent="0.6">
      <c r="A565" s="1"/>
      <c r="B565" s="5"/>
      <c r="C565" s="1"/>
      <c r="D565" s="38"/>
      <c r="E565" s="1"/>
      <c r="F565" s="1"/>
    </row>
    <row r="566" spans="1:6" ht="21.75" customHeight="1" x14ac:dyDescent="0.6">
      <c r="A566" s="1"/>
      <c r="B566" s="5"/>
      <c r="C566" s="1"/>
      <c r="D566" s="38"/>
      <c r="E566" s="1"/>
      <c r="F566" s="1"/>
    </row>
    <row r="567" spans="1:6" ht="21.75" customHeight="1" x14ac:dyDescent="0.6">
      <c r="A567" s="1"/>
      <c r="B567" s="5"/>
      <c r="C567" s="1"/>
      <c r="D567" s="38"/>
      <c r="E567" s="1"/>
      <c r="F567" s="1"/>
    </row>
    <row r="568" spans="1:6" ht="21.75" customHeight="1" x14ac:dyDescent="0.6">
      <c r="A568" s="1"/>
      <c r="B568" s="5"/>
      <c r="C568" s="1"/>
      <c r="D568" s="38"/>
      <c r="E568" s="1"/>
      <c r="F568" s="1"/>
    </row>
    <row r="569" spans="1:6" ht="21.75" customHeight="1" x14ac:dyDescent="0.6">
      <c r="A569" s="1"/>
      <c r="B569" s="5"/>
      <c r="C569" s="1"/>
      <c r="D569" s="38"/>
      <c r="E569" s="1"/>
      <c r="F569" s="1"/>
    </row>
    <row r="570" spans="1:6" ht="21.75" customHeight="1" x14ac:dyDescent="0.6">
      <c r="A570" s="1"/>
      <c r="B570" s="5"/>
      <c r="C570" s="1"/>
      <c r="D570" s="38"/>
      <c r="E570" s="1"/>
      <c r="F570" s="1"/>
    </row>
    <row r="571" spans="1:6" ht="21.75" customHeight="1" x14ac:dyDescent="0.6">
      <c r="A571" s="1"/>
      <c r="B571" s="5"/>
      <c r="C571" s="1"/>
      <c r="D571" s="38"/>
      <c r="E571" s="1"/>
      <c r="F571" s="1"/>
    </row>
    <row r="572" spans="1:6" ht="21.75" customHeight="1" x14ac:dyDescent="0.6">
      <c r="A572" s="1"/>
      <c r="B572" s="5"/>
      <c r="C572" s="1"/>
      <c r="D572" s="38"/>
      <c r="E572" s="1"/>
      <c r="F572" s="1"/>
    </row>
    <row r="573" spans="1:6" ht="21.75" customHeight="1" x14ac:dyDescent="0.6">
      <c r="A573" s="1"/>
      <c r="B573" s="5"/>
      <c r="C573" s="1"/>
      <c r="D573" s="38"/>
      <c r="E573" s="1"/>
      <c r="F573" s="1"/>
    </row>
    <row r="574" spans="1:6" ht="21.75" customHeight="1" x14ac:dyDescent="0.6">
      <c r="A574" s="1"/>
      <c r="B574" s="5"/>
      <c r="C574" s="1"/>
      <c r="D574" s="38"/>
      <c r="E574" s="1"/>
      <c r="F574" s="1"/>
    </row>
    <row r="575" spans="1:6" ht="21.75" customHeight="1" x14ac:dyDescent="0.6">
      <c r="A575" s="1"/>
      <c r="B575" s="5"/>
      <c r="C575" s="1"/>
      <c r="D575" s="38"/>
      <c r="E575" s="1"/>
      <c r="F575" s="1"/>
    </row>
    <row r="576" spans="1:6" ht="21.75" customHeight="1" x14ac:dyDescent="0.6">
      <c r="A576" s="1"/>
      <c r="B576" s="5"/>
      <c r="C576" s="1"/>
      <c r="D576" s="38"/>
      <c r="E576" s="1"/>
      <c r="F576" s="1"/>
    </row>
    <row r="577" spans="1:6" ht="21.75" customHeight="1" x14ac:dyDescent="0.6">
      <c r="A577" s="1"/>
      <c r="B577" s="5"/>
      <c r="C577" s="1"/>
      <c r="D577" s="38"/>
      <c r="E577" s="1"/>
      <c r="F577" s="1"/>
    </row>
    <row r="578" spans="1:6" ht="21.75" customHeight="1" x14ac:dyDescent="0.6">
      <c r="A578" s="1"/>
      <c r="B578" s="5"/>
      <c r="C578" s="1"/>
      <c r="D578" s="38"/>
      <c r="E578" s="1"/>
      <c r="F578" s="1"/>
    </row>
    <row r="579" spans="1:6" ht="21.75" customHeight="1" x14ac:dyDescent="0.6">
      <c r="A579" s="1"/>
      <c r="B579" s="5"/>
      <c r="C579" s="1"/>
      <c r="D579" s="38"/>
      <c r="E579" s="1"/>
      <c r="F579" s="1"/>
    </row>
    <row r="580" spans="1:6" ht="21.75" customHeight="1" x14ac:dyDescent="0.6">
      <c r="A580" s="1"/>
      <c r="B580" s="5"/>
      <c r="C580" s="1"/>
      <c r="D580" s="38"/>
      <c r="E580" s="1"/>
      <c r="F580" s="1"/>
    </row>
    <row r="581" spans="1:6" ht="21.75" customHeight="1" x14ac:dyDescent="0.6">
      <c r="A581" s="1"/>
      <c r="B581" s="5"/>
      <c r="C581" s="1"/>
      <c r="D581" s="38"/>
      <c r="E581" s="1"/>
      <c r="F581" s="1"/>
    </row>
    <row r="582" spans="1:6" ht="21.75" customHeight="1" x14ac:dyDescent="0.6">
      <c r="A582" s="1"/>
      <c r="B582" s="5"/>
      <c r="C582" s="1"/>
      <c r="D582" s="38"/>
      <c r="E582" s="1"/>
      <c r="F582" s="1"/>
    </row>
    <row r="583" spans="1:6" ht="21.75" customHeight="1" x14ac:dyDescent="0.6">
      <c r="A583" s="1"/>
      <c r="B583" s="5"/>
      <c r="C583" s="1"/>
      <c r="D583" s="38"/>
      <c r="E583" s="1"/>
      <c r="F583" s="1"/>
    </row>
    <row r="584" spans="1:6" ht="21.75" customHeight="1" x14ac:dyDescent="0.6">
      <c r="A584" s="1"/>
      <c r="B584" s="5"/>
      <c r="C584" s="1"/>
      <c r="D584" s="38"/>
      <c r="E584" s="1"/>
      <c r="F584" s="1"/>
    </row>
    <row r="585" spans="1:6" ht="21.75" customHeight="1" x14ac:dyDescent="0.6">
      <c r="A585" s="1"/>
      <c r="B585" s="5"/>
      <c r="C585" s="1"/>
      <c r="D585" s="38"/>
      <c r="E585" s="1"/>
      <c r="F585" s="1"/>
    </row>
    <row r="586" spans="1:6" ht="21.75" customHeight="1" x14ac:dyDescent="0.6">
      <c r="A586" s="1"/>
      <c r="B586" s="5"/>
      <c r="C586" s="1"/>
      <c r="D586" s="38"/>
      <c r="E586" s="1"/>
      <c r="F586" s="1"/>
    </row>
    <row r="587" spans="1:6" ht="21.75" customHeight="1" x14ac:dyDescent="0.6">
      <c r="A587" s="1"/>
      <c r="B587" s="5"/>
      <c r="C587" s="1"/>
      <c r="D587" s="38"/>
      <c r="E587" s="1"/>
      <c r="F587" s="1"/>
    </row>
    <row r="588" spans="1:6" ht="21.75" customHeight="1" x14ac:dyDescent="0.6">
      <c r="A588" s="1"/>
      <c r="B588" s="5"/>
      <c r="C588" s="1"/>
      <c r="D588" s="38"/>
      <c r="E588" s="1"/>
      <c r="F588" s="1"/>
    </row>
    <row r="589" spans="1:6" ht="21.75" customHeight="1" x14ac:dyDescent="0.6">
      <c r="A589" s="1"/>
      <c r="B589" s="5"/>
      <c r="C589" s="1"/>
      <c r="D589" s="38"/>
      <c r="E589" s="1"/>
      <c r="F589" s="1"/>
    </row>
    <row r="590" spans="1:6" ht="21.75" customHeight="1" x14ac:dyDescent="0.6">
      <c r="A590" s="1"/>
      <c r="B590" s="5"/>
      <c r="C590" s="1"/>
      <c r="D590" s="38"/>
      <c r="E590" s="1"/>
      <c r="F590" s="1"/>
    </row>
    <row r="591" spans="1:6" ht="21.75" customHeight="1" x14ac:dyDescent="0.6">
      <c r="A591" s="1"/>
      <c r="B591" s="5"/>
      <c r="C591" s="1"/>
      <c r="D591" s="38"/>
      <c r="E591" s="1"/>
      <c r="F591" s="1"/>
    </row>
    <row r="592" spans="1:6" ht="21.75" customHeight="1" x14ac:dyDescent="0.6">
      <c r="A592" s="1"/>
      <c r="B592" s="5"/>
      <c r="C592" s="1"/>
      <c r="D592" s="38"/>
      <c r="E592" s="1"/>
      <c r="F592" s="1"/>
    </row>
    <row r="593" spans="1:6" ht="21.75" customHeight="1" x14ac:dyDescent="0.6">
      <c r="A593" s="1"/>
      <c r="B593" s="5"/>
      <c r="C593" s="1"/>
      <c r="D593" s="38"/>
      <c r="E593" s="1"/>
      <c r="F593" s="1"/>
    </row>
    <row r="594" spans="1:6" ht="21.75" customHeight="1" x14ac:dyDescent="0.6">
      <c r="A594" s="1"/>
      <c r="B594" s="5"/>
      <c r="C594" s="1"/>
      <c r="D594" s="38"/>
      <c r="E594" s="1"/>
      <c r="F594" s="1"/>
    </row>
    <row r="595" spans="1:6" ht="21.75" customHeight="1" x14ac:dyDescent="0.6">
      <c r="A595" s="1"/>
      <c r="B595" s="5"/>
      <c r="C595" s="1"/>
      <c r="D595" s="38"/>
      <c r="E595" s="1"/>
      <c r="F595" s="1"/>
    </row>
    <row r="596" spans="1:6" ht="21.75" customHeight="1" x14ac:dyDescent="0.6">
      <c r="A596" s="1"/>
      <c r="B596" s="5"/>
      <c r="C596" s="1"/>
      <c r="D596" s="38"/>
      <c r="E596" s="1"/>
      <c r="F596" s="1"/>
    </row>
    <row r="597" spans="1:6" ht="21.75" customHeight="1" x14ac:dyDescent="0.6">
      <c r="A597" s="1"/>
      <c r="B597" s="5"/>
      <c r="C597" s="1"/>
      <c r="D597" s="38"/>
      <c r="E597" s="1"/>
      <c r="F597" s="1"/>
    </row>
    <row r="598" spans="1:6" ht="21.75" customHeight="1" x14ac:dyDescent="0.6">
      <c r="A598" s="1"/>
      <c r="B598" s="5"/>
      <c r="C598" s="1"/>
      <c r="D598" s="38"/>
      <c r="E598" s="1"/>
      <c r="F598" s="1"/>
    </row>
    <row r="599" spans="1:6" ht="21.75" customHeight="1" x14ac:dyDescent="0.6">
      <c r="A599" s="1"/>
      <c r="B599" s="5"/>
      <c r="C599" s="1"/>
      <c r="D599" s="38"/>
      <c r="E599" s="1"/>
      <c r="F599" s="1"/>
    </row>
    <row r="600" spans="1:6" ht="21.75" customHeight="1" x14ac:dyDescent="0.6">
      <c r="A600" s="1"/>
      <c r="B600" s="5"/>
      <c r="C600" s="1"/>
      <c r="D600" s="38"/>
      <c r="E600" s="1"/>
      <c r="F600" s="1"/>
    </row>
    <row r="601" spans="1:6" ht="21.75" customHeight="1" x14ac:dyDescent="0.6">
      <c r="A601" s="1"/>
      <c r="B601" s="5"/>
      <c r="C601" s="1"/>
      <c r="D601" s="38"/>
      <c r="E601" s="1"/>
      <c r="F601" s="1"/>
    </row>
    <row r="602" spans="1:6" ht="21.75" customHeight="1" x14ac:dyDescent="0.6">
      <c r="A602" s="1"/>
      <c r="B602" s="5"/>
      <c r="C602" s="1"/>
      <c r="D602" s="38"/>
      <c r="E602" s="1"/>
      <c r="F602" s="1"/>
    </row>
    <row r="603" spans="1:6" ht="21.75" customHeight="1" x14ac:dyDescent="0.6">
      <c r="A603" s="1"/>
      <c r="B603" s="5"/>
      <c r="C603" s="1"/>
      <c r="D603" s="38"/>
      <c r="E603" s="1"/>
      <c r="F603" s="1"/>
    </row>
    <row r="604" spans="1:6" ht="21.75" customHeight="1" x14ac:dyDescent="0.6">
      <c r="A604" s="1"/>
      <c r="B604" s="5"/>
      <c r="C604" s="1"/>
      <c r="D604" s="38"/>
      <c r="E604" s="1"/>
      <c r="F604" s="1"/>
    </row>
    <row r="605" spans="1:6" ht="21.75" customHeight="1" x14ac:dyDescent="0.6">
      <c r="A605" s="1"/>
      <c r="B605" s="5"/>
      <c r="C605" s="1"/>
      <c r="D605" s="38"/>
      <c r="E605" s="1"/>
      <c r="F605" s="1"/>
    </row>
    <row r="606" spans="1:6" ht="21.75" customHeight="1" x14ac:dyDescent="0.6">
      <c r="A606" s="1"/>
      <c r="B606" s="5"/>
      <c r="C606" s="1"/>
      <c r="D606" s="38"/>
      <c r="E606" s="1"/>
      <c r="F606" s="1"/>
    </row>
    <row r="607" spans="1:6" ht="21.75" customHeight="1" x14ac:dyDescent="0.6">
      <c r="A607" s="1"/>
      <c r="B607" s="5"/>
      <c r="C607" s="1"/>
      <c r="D607" s="38"/>
      <c r="E607" s="1"/>
      <c r="F607" s="1"/>
    </row>
    <row r="608" spans="1:6" ht="21.75" customHeight="1" x14ac:dyDescent="0.6">
      <c r="A608" s="1"/>
      <c r="B608" s="5"/>
      <c r="C608" s="1"/>
      <c r="D608" s="38"/>
      <c r="E608" s="1"/>
      <c r="F608" s="1"/>
    </row>
    <row r="609" spans="1:6" ht="21.75" customHeight="1" x14ac:dyDescent="0.6">
      <c r="A609" s="1"/>
      <c r="B609" s="5"/>
      <c r="C609" s="1"/>
      <c r="D609" s="38"/>
      <c r="E609" s="1"/>
      <c r="F609" s="1"/>
    </row>
    <row r="610" spans="1:6" ht="21.75" customHeight="1" x14ac:dyDescent="0.6">
      <c r="A610" s="1"/>
      <c r="B610" s="5"/>
      <c r="C610" s="1"/>
      <c r="D610" s="38"/>
      <c r="E610" s="1"/>
      <c r="F610" s="1"/>
    </row>
    <row r="611" spans="1:6" ht="21.75" customHeight="1" x14ac:dyDescent="0.6">
      <c r="A611" s="1"/>
      <c r="B611" s="5"/>
      <c r="C611" s="1"/>
      <c r="D611" s="38"/>
      <c r="E611" s="1"/>
      <c r="F611" s="1"/>
    </row>
    <row r="612" spans="1:6" ht="21.75" customHeight="1" x14ac:dyDescent="0.6">
      <c r="A612" s="1"/>
      <c r="B612" s="5"/>
      <c r="C612" s="1"/>
      <c r="D612" s="38"/>
      <c r="E612" s="1"/>
      <c r="F612" s="1"/>
    </row>
    <row r="613" spans="1:6" ht="21.75" customHeight="1" x14ac:dyDescent="0.6">
      <c r="A613" s="1"/>
      <c r="B613" s="5"/>
      <c r="C613" s="1"/>
      <c r="D613" s="38"/>
      <c r="E613" s="1"/>
      <c r="F613" s="1"/>
    </row>
    <row r="614" spans="1:6" ht="21.75" customHeight="1" x14ac:dyDescent="0.6">
      <c r="A614" s="1"/>
      <c r="B614" s="5"/>
      <c r="C614" s="1"/>
      <c r="D614" s="38"/>
      <c r="E614" s="1"/>
      <c r="F614" s="1"/>
    </row>
    <row r="615" spans="1:6" ht="21.75" customHeight="1" x14ac:dyDescent="0.6">
      <c r="A615" s="1"/>
      <c r="B615" s="5"/>
      <c r="C615" s="1"/>
      <c r="D615" s="38"/>
      <c r="E615" s="1"/>
      <c r="F615" s="1"/>
    </row>
    <row r="616" spans="1:6" ht="21.75" customHeight="1" x14ac:dyDescent="0.6">
      <c r="A616" s="1"/>
      <c r="B616" s="5"/>
      <c r="C616" s="1"/>
      <c r="D616" s="38"/>
      <c r="E616" s="1"/>
      <c r="F616" s="1"/>
    </row>
    <row r="617" spans="1:6" ht="21.75" customHeight="1" x14ac:dyDescent="0.6">
      <c r="A617" s="1"/>
      <c r="B617" s="5"/>
      <c r="C617" s="1"/>
      <c r="D617" s="38"/>
      <c r="E617" s="1"/>
      <c r="F617" s="1"/>
    </row>
    <row r="618" spans="1:6" ht="21.75" customHeight="1" x14ac:dyDescent="0.6">
      <c r="A618" s="1"/>
      <c r="B618" s="5"/>
      <c r="C618" s="1"/>
      <c r="D618" s="38"/>
      <c r="E618" s="1"/>
      <c r="F618" s="1"/>
    </row>
    <row r="619" spans="1:6" ht="21.75" customHeight="1" x14ac:dyDescent="0.6">
      <c r="A619" s="1"/>
      <c r="B619" s="5"/>
      <c r="C619" s="1"/>
      <c r="D619" s="38"/>
      <c r="E619" s="1"/>
      <c r="F619" s="1"/>
    </row>
    <row r="620" spans="1:6" ht="21.75" customHeight="1" x14ac:dyDescent="0.6">
      <c r="A620" s="1"/>
      <c r="B620" s="5"/>
      <c r="C620" s="1"/>
      <c r="D620" s="38"/>
      <c r="E620" s="1"/>
      <c r="F620" s="1"/>
    </row>
    <row r="621" spans="1:6" ht="21.75" customHeight="1" x14ac:dyDescent="0.6">
      <c r="A621" s="1"/>
      <c r="B621" s="5"/>
      <c r="C621" s="1"/>
      <c r="D621" s="38"/>
      <c r="E621" s="1"/>
      <c r="F621" s="1"/>
    </row>
    <row r="622" spans="1:6" ht="21.75" customHeight="1" x14ac:dyDescent="0.6">
      <c r="A622" s="1"/>
      <c r="B622" s="5"/>
      <c r="C622" s="1"/>
      <c r="D622" s="38"/>
      <c r="E622" s="1"/>
      <c r="F622" s="1"/>
    </row>
    <row r="623" spans="1:6" ht="21.75" customHeight="1" x14ac:dyDescent="0.6">
      <c r="A623" s="1"/>
      <c r="B623" s="5"/>
      <c r="C623" s="1"/>
      <c r="D623" s="38"/>
      <c r="E623" s="1"/>
      <c r="F623" s="1"/>
    </row>
    <row r="624" spans="1:6" ht="21.75" customHeight="1" x14ac:dyDescent="0.6">
      <c r="A624" s="1"/>
      <c r="B624" s="5"/>
      <c r="C624" s="1"/>
      <c r="D624" s="38"/>
      <c r="E624" s="1"/>
      <c r="F624" s="1"/>
    </row>
    <row r="625" spans="1:6" ht="21.75" customHeight="1" x14ac:dyDescent="0.6">
      <c r="A625" s="1"/>
      <c r="B625" s="5"/>
      <c r="C625" s="1"/>
      <c r="D625" s="38"/>
      <c r="E625" s="1"/>
      <c r="F625" s="1"/>
    </row>
    <row r="626" spans="1:6" ht="21.75" customHeight="1" x14ac:dyDescent="0.6">
      <c r="A626" s="1"/>
      <c r="B626" s="5"/>
      <c r="C626" s="1"/>
      <c r="D626" s="38"/>
      <c r="E626" s="1"/>
      <c r="F626" s="1"/>
    </row>
    <row r="627" spans="1:6" ht="21.75" customHeight="1" x14ac:dyDescent="0.6">
      <c r="A627" s="1"/>
      <c r="B627" s="5"/>
      <c r="C627" s="1"/>
      <c r="D627" s="38"/>
      <c r="E627" s="1"/>
      <c r="F627" s="1"/>
    </row>
    <row r="628" spans="1:6" ht="21.75" customHeight="1" x14ac:dyDescent="0.6">
      <c r="A628" s="1"/>
      <c r="B628" s="5"/>
      <c r="C628" s="1"/>
      <c r="D628" s="38"/>
      <c r="E628" s="1"/>
      <c r="F628" s="1"/>
    </row>
    <row r="629" spans="1:6" ht="21.75" customHeight="1" x14ac:dyDescent="0.6">
      <c r="A629" s="1"/>
      <c r="B629" s="5"/>
      <c r="C629" s="1"/>
      <c r="D629" s="38"/>
      <c r="E629" s="1"/>
      <c r="F629" s="1"/>
    </row>
    <row r="630" spans="1:6" ht="21.75" customHeight="1" x14ac:dyDescent="0.6">
      <c r="A630" s="1"/>
      <c r="B630" s="5"/>
      <c r="C630" s="1"/>
      <c r="D630" s="38"/>
      <c r="E630" s="1"/>
      <c r="F630" s="1"/>
    </row>
    <row r="631" spans="1:6" ht="21.75" customHeight="1" x14ac:dyDescent="0.6">
      <c r="A631" s="1"/>
      <c r="B631" s="5"/>
      <c r="C631" s="1"/>
      <c r="D631" s="38"/>
      <c r="E631" s="1"/>
      <c r="F631" s="1"/>
    </row>
    <row r="632" spans="1:6" ht="21.75" customHeight="1" x14ac:dyDescent="0.6">
      <c r="A632" s="1"/>
      <c r="B632" s="5"/>
      <c r="C632" s="1"/>
      <c r="D632" s="38"/>
      <c r="E632" s="1"/>
      <c r="F632" s="1"/>
    </row>
    <row r="633" spans="1:6" ht="21.75" customHeight="1" x14ac:dyDescent="0.6">
      <c r="A633" s="1"/>
      <c r="B633" s="5"/>
      <c r="C633" s="1"/>
      <c r="D633" s="38"/>
      <c r="E633" s="1"/>
      <c r="F633" s="1"/>
    </row>
    <row r="634" spans="1:6" ht="21.75" customHeight="1" x14ac:dyDescent="0.6">
      <c r="A634" s="1"/>
      <c r="B634" s="5"/>
      <c r="C634" s="1"/>
      <c r="D634" s="38"/>
      <c r="E634" s="1"/>
      <c r="F634" s="1"/>
    </row>
    <row r="635" spans="1:6" ht="21.75" customHeight="1" x14ac:dyDescent="0.6">
      <c r="A635" s="1"/>
      <c r="B635" s="5"/>
      <c r="C635" s="1"/>
      <c r="D635" s="38"/>
      <c r="E635" s="1"/>
      <c r="F635" s="1"/>
    </row>
    <row r="636" spans="1:6" ht="21.75" customHeight="1" x14ac:dyDescent="0.6">
      <c r="A636" s="1"/>
      <c r="B636" s="5"/>
      <c r="C636" s="1"/>
      <c r="D636" s="38"/>
      <c r="E636" s="1"/>
      <c r="F636" s="1"/>
    </row>
    <row r="637" spans="1:6" ht="21.75" customHeight="1" x14ac:dyDescent="0.6">
      <c r="A637" s="1"/>
      <c r="B637" s="5"/>
      <c r="C637" s="1"/>
      <c r="D637" s="38"/>
      <c r="E637" s="1"/>
      <c r="F637" s="1"/>
    </row>
    <row r="638" spans="1:6" ht="21.75" customHeight="1" x14ac:dyDescent="0.6">
      <c r="A638" s="1"/>
      <c r="B638" s="5"/>
      <c r="C638" s="1"/>
      <c r="D638" s="38"/>
      <c r="E638" s="1"/>
      <c r="F638" s="1"/>
    </row>
    <row r="639" spans="1:6" ht="21.75" customHeight="1" x14ac:dyDescent="0.6">
      <c r="A639" s="1"/>
      <c r="B639" s="5"/>
      <c r="C639" s="1"/>
      <c r="D639" s="38"/>
      <c r="E639" s="1"/>
      <c r="F639" s="1"/>
    </row>
    <row r="640" spans="1:6" ht="21.75" customHeight="1" x14ac:dyDescent="0.6">
      <c r="A640" s="1"/>
      <c r="B640" s="5"/>
      <c r="C640" s="1"/>
      <c r="D640" s="38"/>
      <c r="E640" s="1"/>
      <c r="F640" s="1"/>
    </row>
    <row r="641" spans="1:6" ht="21.75" customHeight="1" x14ac:dyDescent="0.6">
      <c r="A641" s="1"/>
      <c r="B641" s="5"/>
      <c r="C641" s="1"/>
      <c r="D641" s="38"/>
      <c r="E641" s="1"/>
      <c r="F641" s="1"/>
    </row>
    <row r="642" spans="1:6" ht="21.75" customHeight="1" x14ac:dyDescent="0.6">
      <c r="A642" s="1"/>
      <c r="B642" s="5"/>
      <c r="C642" s="1"/>
      <c r="D642" s="38"/>
      <c r="E642" s="1"/>
      <c r="F642" s="1"/>
    </row>
    <row r="643" spans="1:6" ht="21.75" customHeight="1" x14ac:dyDescent="0.6">
      <c r="A643" s="1"/>
      <c r="B643" s="5"/>
      <c r="C643" s="1"/>
      <c r="D643" s="38"/>
      <c r="E643" s="1"/>
      <c r="F643" s="1"/>
    </row>
    <row r="644" spans="1:6" ht="21.75" customHeight="1" x14ac:dyDescent="0.6">
      <c r="A644" s="1"/>
      <c r="B644" s="5"/>
      <c r="C644" s="1"/>
      <c r="D644" s="38"/>
      <c r="E644" s="1"/>
      <c r="F644" s="1"/>
    </row>
    <row r="645" spans="1:6" ht="21.75" customHeight="1" x14ac:dyDescent="0.6">
      <c r="A645" s="1"/>
      <c r="B645" s="5"/>
      <c r="C645" s="1"/>
      <c r="D645" s="38"/>
      <c r="E645" s="1"/>
      <c r="F645" s="1"/>
    </row>
    <row r="646" spans="1:6" ht="21.75" customHeight="1" x14ac:dyDescent="0.6">
      <c r="A646" s="1"/>
      <c r="B646" s="5"/>
      <c r="C646" s="1"/>
      <c r="D646" s="38"/>
      <c r="E646" s="1"/>
      <c r="F646" s="1"/>
    </row>
    <row r="647" spans="1:6" ht="21.75" customHeight="1" x14ac:dyDescent="0.6">
      <c r="A647" s="1"/>
      <c r="B647" s="5"/>
      <c r="C647" s="1"/>
      <c r="D647" s="38"/>
      <c r="E647" s="1"/>
      <c r="F647" s="1"/>
    </row>
    <row r="648" spans="1:6" ht="21.75" customHeight="1" x14ac:dyDescent="0.6">
      <c r="A648" s="1"/>
      <c r="B648" s="5"/>
      <c r="C648" s="1"/>
      <c r="D648" s="38"/>
      <c r="E648" s="1"/>
      <c r="F648" s="1"/>
    </row>
    <row r="649" spans="1:6" ht="21.75" customHeight="1" x14ac:dyDescent="0.6">
      <c r="A649" s="1"/>
      <c r="B649" s="5"/>
      <c r="C649" s="1"/>
      <c r="D649" s="38"/>
      <c r="E649" s="1"/>
      <c r="F649" s="1"/>
    </row>
    <row r="650" spans="1:6" ht="21.75" customHeight="1" x14ac:dyDescent="0.6">
      <c r="A650" s="1"/>
      <c r="B650" s="5"/>
      <c r="C650" s="1"/>
      <c r="D650" s="38"/>
      <c r="E650" s="1"/>
      <c r="F650" s="1"/>
    </row>
    <row r="651" spans="1:6" ht="21.75" customHeight="1" x14ac:dyDescent="0.6">
      <c r="A651" s="1"/>
      <c r="B651" s="5"/>
      <c r="C651" s="1"/>
      <c r="D651" s="38"/>
      <c r="E651" s="1"/>
      <c r="F651" s="1"/>
    </row>
    <row r="652" spans="1:6" ht="21.75" customHeight="1" x14ac:dyDescent="0.6">
      <c r="A652" s="1"/>
      <c r="B652" s="5"/>
      <c r="C652" s="1"/>
      <c r="D652" s="38"/>
      <c r="E652" s="1"/>
      <c r="F652" s="1"/>
    </row>
    <row r="653" spans="1:6" ht="21.75" customHeight="1" x14ac:dyDescent="0.6">
      <c r="A653" s="1"/>
      <c r="B653" s="5"/>
      <c r="C653" s="1"/>
      <c r="D653" s="38"/>
      <c r="E653" s="1"/>
      <c r="F653" s="1"/>
    </row>
    <row r="654" spans="1:6" ht="21.75" customHeight="1" x14ac:dyDescent="0.6">
      <c r="A654" s="1"/>
      <c r="B654" s="5"/>
      <c r="C654" s="1"/>
      <c r="D654" s="38"/>
      <c r="E654" s="1"/>
      <c r="F654" s="1"/>
    </row>
    <row r="655" spans="1:6" ht="21.75" customHeight="1" x14ac:dyDescent="0.6">
      <c r="A655" s="1"/>
      <c r="B655" s="5"/>
      <c r="C655" s="1"/>
      <c r="D655" s="38"/>
      <c r="E655" s="1"/>
      <c r="F655" s="1"/>
    </row>
    <row r="656" spans="1:6" ht="21.75" customHeight="1" x14ac:dyDescent="0.6">
      <c r="A656" s="1"/>
      <c r="B656" s="5"/>
      <c r="C656" s="1"/>
      <c r="D656" s="38"/>
      <c r="E656" s="1"/>
      <c r="F656" s="1"/>
    </row>
    <row r="657" spans="1:6" ht="21.75" customHeight="1" x14ac:dyDescent="0.6">
      <c r="A657" s="1"/>
      <c r="B657" s="5"/>
      <c r="C657" s="1"/>
      <c r="D657" s="38"/>
      <c r="E657" s="1"/>
      <c r="F657" s="1"/>
    </row>
    <row r="658" spans="1:6" ht="21.75" customHeight="1" x14ac:dyDescent="0.6">
      <c r="A658" s="1"/>
      <c r="B658" s="5"/>
      <c r="C658" s="1"/>
      <c r="D658" s="38"/>
      <c r="E658" s="1"/>
      <c r="F658" s="1"/>
    </row>
    <row r="659" spans="1:6" ht="21.75" customHeight="1" x14ac:dyDescent="0.6">
      <c r="A659" s="1"/>
      <c r="B659" s="5"/>
      <c r="C659" s="1"/>
      <c r="D659" s="38"/>
      <c r="E659" s="1"/>
      <c r="F659" s="1"/>
    </row>
    <row r="660" spans="1:6" ht="21.75" customHeight="1" x14ac:dyDescent="0.6">
      <c r="A660" s="1"/>
      <c r="B660" s="5"/>
      <c r="C660" s="1"/>
      <c r="D660" s="38"/>
      <c r="E660" s="1"/>
      <c r="F660" s="1"/>
    </row>
    <row r="661" spans="1:6" ht="21.75" customHeight="1" x14ac:dyDescent="0.6">
      <c r="A661" s="1"/>
      <c r="B661" s="5"/>
      <c r="C661" s="1"/>
      <c r="D661" s="38"/>
      <c r="E661" s="1"/>
      <c r="F661" s="1"/>
    </row>
    <row r="662" spans="1:6" ht="21.75" customHeight="1" x14ac:dyDescent="0.6">
      <c r="A662" s="1"/>
      <c r="B662" s="5"/>
      <c r="C662" s="1"/>
      <c r="D662" s="38"/>
      <c r="E662" s="1"/>
      <c r="F662" s="1"/>
    </row>
    <row r="663" spans="1:6" ht="21.75" customHeight="1" x14ac:dyDescent="0.6">
      <c r="A663" s="1"/>
      <c r="B663" s="5"/>
      <c r="C663" s="1"/>
      <c r="D663" s="38"/>
      <c r="E663" s="1"/>
      <c r="F663" s="1"/>
    </row>
    <row r="664" spans="1:6" ht="21.75" customHeight="1" x14ac:dyDescent="0.6">
      <c r="A664" s="1"/>
      <c r="B664" s="5"/>
      <c r="C664" s="1"/>
      <c r="D664" s="38"/>
      <c r="E664" s="1"/>
      <c r="F664" s="1"/>
    </row>
    <row r="665" spans="1:6" ht="21.75" customHeight="1" x14ac:dyDescent="0.6">
      <c r="A665" s="1"/>
      <c r="B665" s="5"/>
      <c r="C665" s="1"/>
      <c r="D665" s="38"/>
      <c r="E665" s="1"/>
      <c r="F665" s="1"/>
    </row>
    <row r="666" spans="1:6" ht="21.75" customHeight="1" x14ac:dyDescent="0.6">
      <c r="A666" s="1"/>
      <c r="B666" s="5"/>
      <c r="C666" s="1"/>
      <c r="D666" s="38"/>
      <c r="E666" s="1"/>
      <c r="F666" s="1"/>
    </row>
    <row r="667" spans="1:6" ht="21.75" customHeight="1" x14ac:dyDescent="0.6">
      <c r="A667" s="1"/>
      <c r="B667" s="5"/>
      <c r="C667" s="1"/>
      <c r="D667" s="38"/>
      <c r="E667" s="1"/>
      <c r="F667" s="1"/>
    </row>
    <row r="668" spans="1:6" ht="21.75" customHeight="1" x14ac:dyDescent="0.6">
      <c r="A668" s="1"/>
      <c r="B668" s="5"/>
      <c r="C668" s="1"/>
      <c r="D668" s="38"/>
      <c r="E668" s="1"/>
      <c r="F668" s="1"/>
    </row>
    <row r="669" spans="1:6" ht="21.75" customHeight="1" x14ac:dyDescent="0.6">
      <c r="A669" s="1"/>
      <c r="B669" s="5"/>
      <c r="C669" s="1"/>
      <c r="D669" s="38"/>
      <c r="E669" s="1"/>
      <c r="F669" s="1"/>
    </row>
    <row r="670" spans="1:6" ht="21.75" customHeight="1" x14ac:dyDescent="0.6">
      <c r="A670" s="1"/>
      <c r="B670" s="5"/>
      <c r="C670" s="1"/>
      <c r="D670" s="38"/>
      <c r="E670" s="1"/>
      <c r="F670" s="1"/>
    </row>
    <row r="671" spans="1:6" ht="21.75" customHeight="1" x14ac:dyDescent="0.6">
      <c r="A671" s="1"/>
      <c r="B671" s="5"/>
      <c r="C671" s="1"/>
      <c r="D671" s="38"/>
      <c r="E671" s="1"/>
      <c r="F671" s="1"/>
    </row>
    <row r="672" spans="1:6" ht="21.75" customHeight="1" x14ac:dyDescent="0.6">
      <c r="A672" s="1"/>
      <c r="B672" s="5"/>
      <c r="C672" s="1"/>
      <c r="D672" s="38"/>
      <c r="E672" s="1"/>
      <c r="F672" s="1"/>
    </row>
    <row r="673" spans="1:6" ht="21.75" customHeight="1" x14ac:dyDescent="0.6">
      <c r="A673" s="1"/>
      <c r="B673" s="5"/>
      <c r="C673" s="1"/>
      <c r="D673" s="38"/>
      <c r="E673" s="1"/>
      <c r="F673" s="1"/>
    </row>
    <row r="674" spans="1:6" ht="21.75" customHeight="1" x14ac:dyDescent="0.6">
      <c r="A674" s="1"/>
      <c r="B674" s="5"/>
      <c r="C674" s="1"/>
      <c r="D674" s="38"/>
      <c r="E674" s="1"/>
      <c r="F674" s="1"/>
    </row>
    <row r="675" spans="1:6" ht="21.75" customHeight="1" x14ac:dyDescent="0.6">
      <c r="A675" s="1"/>
      <c r="B675" s="5"/>
      <c r="C675" s="1"/>
      <c r="D675" s="38"/>
      <c r="E675" s="1"/>
      <c r="F675" s="1"/>
    </row>
    <row r="676" spans="1:6" ht="21.75" customHeight="1" x14ac:dyDescent="0.6">
      <c r="A676" s="1"/>
      <c r="B676" s="5"/>
      <c r="C676" s="1"/>
      <c r="D676" s="38"/>
      <c r="E676" s="1"/>
      <c r="F676" s="1"/>
    </row>
    <row r="677" spans="1:6" ht="21.75" customHeight="1" x14ac:dyDescent="0.6">
      <c r="A677" s="1"/>
      <c r="B677" s="5"/>
      <c r="C677" s="1"/>
      <c r="D677" s="38"/>
      <c r="E677" s="1"/>
      <c r="F677" s="1"/>
    </row>
    <row r="678" spans="1:6" ht="21.75" customHeight="1" x14ac:dyDescent="0.6">
      <c r="A678" s="1"/>
      <c r="B678" s="5"/>
      <c r="C678" s="1"/>
      <c r="D678" s="38"/>
      <c r="E678" s="1"/>
      <c r="F678" s="1"/>
    </row>
    <row r="679" spans="1:6" ht="21.75" customHeight="1" x14ac:dyDescent="0.6">
      <c r="A679" s="1"/>
      <c r="B679" s="5"/>
      <c r="C679" s="1"/>
      <c r="D679" s="38"/>
      <c r="E679" s="1"/>
      <c r="F679" s="1"/>
    </row>
    <row r="680" spans="1:6" ht="21.75" customHeight="1" x14ac:dyDescent="0.6">
      <c r="A680" s="1"/>
      <c r="B680" s="5"/>
      <c r="C680" s="1"/>
      <c r="D680" s="38"/>
      <c r="E680" s="1"/>
      <c r="F680" s="1"/>
    </row>
    <row r="681" spans="1:6" ht="21.75" customHeight="1" x14ac:dyDescent="0.6">
      <c r="A681" s="1"/>
      <c r="B681" s="5"/>
      <c r="C681" s="1"/>
      <c r="D681" s="38"/>
      <c r="E681" s="1"/>
      <c r="F681" s="1"/>
    </row>
    <row r="682" spans="1:6" ht="21.75" customHeight="1" x14ac:dyDescent="0.6">
      <c r="A682" s="1"/>
      <c r="B682" s="5"/>
      <c r="C682" s="1"/>
      <c r="D682" s="38"/>
      <c r="E682" s="1"/>
      <c r="F682" s="1"/>
    </row>
    <row r="683" spans="1:6" ht="21.75" customHeight="1" x14ac:dyDescent="0.6">
      <c r="A683" s="1"/>
      <c r="B683" s="5"/>
      <c r="C683" s="1"/>
      <c r="D683" s="38"/>
      <c r="E683" s="1"/>
      <c r="F683" s="1"/>
    </row>
    <row r="684" spans="1:6" ht="21.75" customHeight="1" x14ac:dyDescent="0.6">
      <c r="A684" s="1"/>
      <c r="B684" s="5"/>
      <c r="C684" s="1"/>
      <c r="D684" s="38"/>
      <c r="E684" s="1"/>
      <c r="F684" s="1"/>
    </row>
    <row r="685" spans="1:6" ht="21.75" customHeight="1" x14ac:dyDescent="0.6">
      <c r="A685" s="1"/>
      <c r="B685" s="5"/>
      <c r="C685" s="1"/>
      <c r="D685" s="38"/>
      <c r="E685" s="1"/>
      <c r="F685" s="1"/>
    </row>
    <row r="686" spans="1:6" ht="21.75" customHeight="1" x14ac:dyDescent="0.6">
      <c r="A686" s="1"/>
      <c r="B686" s="5"/>
      <c r="C686" s="1"/>
      <c r="D686" s="38"/>
      <c r="E686" s="1"/>
      <c r="F686" s="1"/>
    </row>
    <row r="687" spans="1:6" ht="21.75" customHeight="1" x14ac:dyDescent="0.6">
      <c r="A687" s="1"/>
      <c r="B687" s="5"/>
      <c r="C687" s="1"/>
      <c r="D687" s="38"/>
      <c r="E687" s="1"/>
      <c r="F687" s="1"/>
    </row>
    <row r="688" spans="1:6" ht="21.75" customHeight="1" x14ac:dyDescent="0.6">
      <c r="A688" s="1"/>
      <c r="B688" s="5"/>
      <c r="C688" s="1"/>
      <c r="D688" s="38"/>
      <c r="E688" s="1"/>
      <c r="F688" s="1"/>
    </row>
    <row r="689" spans="1:6" ht="21.75" customHeight="1" x14ac:dyDescent="0.6">
      <c r="A689" s="1"/>
      <c r="B689" s="5"/>
      <c r="C689" s="1"/>
      <c r="D689" s="38"/>
      <c r="E689" s="1"/>
      <c r="F689" s="1"/>
    </row>
    <row r="690" spans="1:6" ht="21.75" customHeight="1" x14ac:dyDescent="0.6">
      <c r="A690" s="1"/>
      <c r="B690" s="5"/>
      <c r="C690" s="1"/>
      <c r="D690" s="38"/>
      <c r="E690" s="1"/>
      <c r="F690" s="1"/>
    </row>
    <row r="691" spans="1:6" ht="21.75" customHeight="1" x14ac:dyDescent="0.6">
      <c r="A691" s="1"/>
      <c r="B691" s="5"/>
      <c r="C691" s="1"/>
      <c r="D691" s="38"/>
      <c r="E691" s="1"/>
      <c r="F691" s="1"/>
    </row>
    <row r="692" spans="1:6" ht="21.75" customHeight="1" x14ac:dyDescent="0.6">
      <c r="A692" s="1"/>
      <c r="B692" s="5"/>
      <c r="C692" s="1"/>
      <c r="D692" s="38"/>
      <c r="E692" s="1"/>
      <c r="F692" s="1"/>
    </row>
    <row r="693" spans="1:6" ht="21.75" customHeight="1" x14ac:dyDescent="0.6">
      <c r="A693" s="1"/>
      <c r="B693" s="5"/>
      <c r="C693" s="1"/>
      <c r="D693" s="38"/>
      <c r="E693" s="1"/>
      <c r="F693" s="1"/>
    </row>
    <row r="694" spans="1:6" ht="21.75" customHeight="1" x14ac:dyDescent="0.6">
      <c r="A694" s="1"/>
      <c r="B694" s="5"/>
      <c r="C694" s="1"/>
      <c r="D694" s="38"/>
      <c r="E694" s="1"/>
      <c r="F694" s="1"/>
    </row>
    <row r="695" spans="1:6" ht="21.75" customHeight="1" x14ac:dyDescent="0.6">
      <c r="A695" s="1"/>
      <c r="B695" s="5"/>
      <c r="C695" s="1"/>
      <c r="D695" s="38"/>
      <c r="E695" s="1"/>
      <c r="F695" s="1"/>
    </row>
    <row r="696" spans="1:6" ht="21.75" customHeight="1" x14ac:dyDescent="0.6">
      <c r="A696" s="1"/>
      <c r="B696" s="5"/>
      <c r="C696" s="1"/>
      <c r="D696" s="38"/>
      <c r="E696" s="1"/>
      <c r="F696" s="1"/>
    </row>
    <row r="697" spans="1:6" ht="21.75" customHeight="1" x14ac:dyDescent="0.6">
      <c r="A697" s="1"/>
      <c r="B697" s="5"/>
      <c r="C697" s="1"/>
      <c r="D697" s="38"/>
      <c r="E697" s="1"/>
      <c r="F697" s="1"/>
    </row>
    <row r="698" spans="1:6" ht="21.75" customHeight="1" x14ac:dyDescent="0.6">
      <c r="A698" s="1"/>
      <c r="B698" s="5"/>
      <c r="C698" s="1"/>
      <c r="D698" s="38"/>
      <c r="E698" s="1"/>
      <c r="F698" s="1"/>
    </row>
    <row r="699" spans="1:6" ht="21.75" customHeight="1" x14ac:dyDescent="0.6">
      <c r="A699" s="1"/>
      <c r="B699" s="5"/>
      <c r="C699" s="1"/>
      <c r="D699" s="38"/>
      <c r="E699" s="1"/>
      <c r="F699" s="1"/>
    </row>
    <row r="700" spans="1:6" ht="21.75" customHeight="1" x14ac:dyDescent="0.6">
      <c r="A700" s="1"/>
      <c r="B700" s="5"/>
      <c r="C700" s="1"/>
      <c r="D700" s="38"/>
      <c r="E700" s="1"/>
      <c r="F700" s="1"/>
    </row>
    <row r="701" spans="1:6" ht="21.75" customHeight="1" x14ac:dyDescent="0.6">
      <c r="A701" s="1"/>
      <c r="B701" s="5"/>
      <c r="C701" s="1"/>
      <c r="D701" s="38"/>
      <c r="E701" s="1"/>
      <c r="F701" s="1"/>
    </row>
    <row r="702" spans="1:6" ht="21.75" customHeight="1" x14ac:dyDescent="0.6">
      <c r="A702" s="1"/>
      <c r="B702" s="5"/>
      <c r="C702" s="1"/>
      <c r="D702" s="38"/>
      <c r="E702" s="1"/>
      <c r="F702" s="1"/>
    </row>
    <row r="703" spans="1:6" ht="21.75" customHeight="1" x14ac:dyDescent="0.6">
      <c r="A703" s="1"/>
      <c r="B703" s="5"/>
      <c r="C703" s="1"/>
      <c r="D703" s="38"/>
      <c r="E703" s="1"/>
      <c r="F703" s="1"/>
    </row>
    <row r="704" spans="1:6" ht="21.75" customHeight="1" x14ac:dyDescent="0.6">
      <c r="A704" s="1"/>
      <c r="B704" s="5"/>
      <c r="C704" s="1"/>
      <c r="D704" s="38"/>
      <c r="E704" s="1"/>
      <c r="F704" s="1"/>
    </row>
    <row r="705" spans="1:6" ht="21.75" customHeight="1" x14ac:dyDescent="0.6">
      <c r="A705" s="1"/>
      <c r="B705" s="5"/>
      <c r="C705" s="1"/>
      <c r="D705" s="38"/>
      <c r="E705" s="1"/>
      <c r="F705" s="1"/>
    </row>
    <row r="706" spans="1:6" ht="21.75" customHeight="1" x14ac:dyDescent="0.6">
      <c r="A706" s="1"/>
      <c r="B706" s="5"/>
      <c r="C706" s="1"/>
      <c r="D706" s="38"/>
      <c r="E706" s="1"/>
      <c r="F706" s="1"/>
    </row>
    <row r="707" spans="1:6" ht="21.75" customHeight="1" x14ac:dyDescent="0.6">
      <c r="A707" s="1"/>
      <c r="B707" s="5"/>
      <c r="C707" s="1"/>
      <c r="D707" s="38"/>
      <c r="E707" s="1"/>
      <c r="F707" s="1"/>
    </row>
    <row r="708" spans="1:6" ht="21.75" customHeight="1" x14ac:dyDescent="0.6">
      <c r="A708" s="1"/>
      <c r="B708" s="5"/>
      <c r="C708" s="1"/>
      <c r="D708" s="38"/>
      <c r="E708" s="1"/>
      <c r="F708" s="1"/>
    </row>
    <row r="709" spans="1:6" ht="21.75" customHeight="1" x14ac:dyDescent="0.6">
      <c r="A709" s="1"/>
      <c r="B709" s="5"/>
      <c r="C709" s="1"/>
      <c r="D709" s="38"/>
      <c r="E709" s="1"/>
      <c r="F709" s="1"/>
    </row>
    <row r="710" spans="1:6" ht="21.75" customHeight="1" x14ac:dyDescent="0.6">
      <c r="A710" s="1"/>
      <c r="B710" s="5"/>
      <c r="C710" s="1"/>
      <c r="D710" s="38"/>
      <c r="E710" s="1"/>
      <c r="F710" s="1"/>
    </row>
    <row r="711" spans="1:6" ht="21.75" customHeight="1" x14ac:dyDescent="0.6">
      <c r="A711" s="1"/>
      <c r="B711" s="5"/>
      <c r="C711" s="1"/>
      <c r="D711" s="38"/>
      <c r="E711" s="1"/>
      <c r="F711" s="1"/>
    </row>
    <row r="712" spans="1:6" ht="21.75" customHeight="1" x14ac:dyDescent="0.6">
      <c r="A712" s="1"/>
      <c r="B712" s="5"/>
      <c r="C712" s="1"/>
      <c r="D712" s="38"/>
      <c r="E712" s="1"/>
      <c r="F712" s="1"/>
    </row>
    <row r="713" spans="1:6" ht="21.75" customHeight="1" x14ac:dyDescent="0.6">
      <c r="A713" s="1"/>
      <c r="B713" s="5"/>
      <c r="C713" s="1"/>
      <c r="D713" s="38"/>
      <c r="E713" s="1"/>
      <c r="F713" s="1"/>
    </row>
    <row r="714" spans="1:6" ht="21.75" customHeight="1" x14ac:dyDescent="0.6">
      <c r="A714" s="1"/>
      <c r="B714" s="5"/>
      <c r="C714" s="1"/>
      <c r="D714" s="38"/>
      <c r="E714" s="1"/>
      <c r="F714" s="1"/>
    </row>
    <row r="715" spans="1:6" ht="21.75" customHeight="1" x14ac:dyDescent="0.6">
      <c r="A715" s="1"/>
      <c r="B715" s="5"/>
      <c r="C715" s="1"/>
      <c r="D715" s="38"/>
      <c r="E715" s="1"/>
      <c r="F715" s="1"/>
    </row>
    <row r="716" spans="1:6" ht="21.75" customHeight="1" x14ac:dyDescent="0.6">
      <c r="A716" s="1"/>
      <c r="B716" s="5"/>
      <c r="C716" s="1"/>
      <c r="D716" s="38"/>
      <c r="E716" s="1"/>
      <c r="F716" s="1"/>
    </row>
    <row r="717" spans="1:6" ht="21.75" customHeight="1" x14ac:dyDescent="0.6">
      <c r="A717" s="1"/>
      <c r="B717" s="5"/>
      <c r="C717" s="1"/>
      <c r="D717" s="38"/>
      <c r="E717" s="1"/>
      <c r="F717" s="1"/>
    </row>
    <row r="718" spans="1:6" ht="21.75" customHeight="1" x14ac:dyDescent="0.6">
      <c r="A718" s="1"/>
      <c r="B718" s="5"/>
      <c r="C718" s="1"/>
      <c r="D718" s="38"/>
      <c r="E718" s="1"/>
      <c r="F718" s="1"/>
    </row>
    <row r="719" spans="1:6" ht="21.75" customHeight="1" x14ac:dyDescent="0.6">
      <c r="A719" s="1"/>
      <c r="B719" s="5"/>
      <c r="C719" s="1"/>
      <c r="D719" s="38"/>
      <c r="E719" s="1"/>
      <c r="F719" s="1"/>
    </row>
    <row r="720" spans="1:6" ht="21.75" customHeight="1" x14ac:dyDescent="0.6">
      <c r="A720" s="1"/>
      <c r="B720" s="5"/>
      <c r="C720" s="1"/>
      <c r="D720" s="38"/>
      <c r="E720" s="1"/>
      <c r="F720" s="1"/>
    </row>
    <row r="721" spans="1:6" ht="21.75" customHeight="1" x14ac:dyDescent="0.6">
      <c r="A721" s="1"/>
      <c r="B721" s="5"/>
      <c r="C721" s="1"/>
      <c r="D721" s="38"/>
      <c r="E721" s="1"/>
      <c r="F721" s="1"/>
    </row>
    <row r="722" spans="1:6" ht="21.75" customHeight="1" x14ac:dyDescent="0.6">
      <c r="A722" s="1"/>
      <c r="B722" s="5"/>
      <c r="C722" s="1"/>
      <c r="D722" s="38"/>
      <c r="E722" s="1"/>
      <c r="F722" s="1"/>
    </row>
    <row r="723" spans="1:6" ht="21.75" customHeight="1" x14ac:dyDescent="0.6">
      <c r="A723" s="1"/>
      <c r="B723" s="5"/>
      <c r="C723" s="1"/>
      <c r="D723" s="38"/>
      <c r="E723" s="1"/>
      <c r="F723" s="1"/>
    </row>
    <row r="724" spans="1:6" ht="21.75" customHeight="1" x14ac:dyDescent="0.6">
      <c r="A724" s="1"/>
      <c r="B724" s="5"/>
      <c r="C724" s="1"/>
      <c r="D724" s="38"/>
      <c r="E724" s="1"/>
      <c r="F724" s="1"/>
    </row>
    <row r="725" spans="1:6" ht="21.75" customHeight="1" x14ac:dyDescent="0.6">
      <c r="A725" s="1"/>
      <c r="B725" s="5"/>
      <c r="C725" s="1"/>
      <c r="D725" s="38"/>
      <c r="E725" s="1"/>
      <c r="F725" s="1"/>
    </row>
    <row r="726" spans="1:6" ht="21.75" customHeight="1" x14ac:dyDescent="0.6">
      <c r="A726" s="1"/>
      <c r="B726" s="5"/>
      <c r="C726" s="1"/>
      <c r="D726" s="38"/>
      <c r="E726" s="1"/>
      <c r="F726" s="1"/>
    </row>
    <row r="727" spans="1:6" ht="21.75" customHeight="1" x14ac:dyDescent="0.6">
      <c r="A727" s="1"/>
      <c r="B727" s="5"/>
      <c r="C727" s="1"/>
      <c r="D727" s="38"/>
      <c r="E727" s="1"/>
      <c r="F727" s="1"/>
    </row>
    <row r="728" spans="1:6" ht="21.75" customHeight="1" x14ac:dyDescent="0.6">
      <c r="A728" s="1"/>
      <c r="B728" s="5"/>
      <c r="C728" s="1"/>
      <c r="D728" s="38"/>
      <c r="E728" s="1"/>
      <c r="F728" s="1"/>
    </row>
    <row r="729" spans="1:6" ht="21.75" customHeight="1" x14ac:dyDescent="0.6">
      <c r="A729" s="1"/>
      <c r="B729" s="5"/>
      <c r="C729" s="1"/>
      <c r="D729" s="38"/>
      <c r="E729" s="1"/>
      <c r="F729" s="1"/>
    </row>
    <row r="730" spans="1:6" ht="21.75" customHeight="1" x14ac:dyDescent="0.6">
      <c r="A730" s="1"/>
      <c r="B730" s="5"/>
      <c r="C730" s="1"/>
      <c r="D730" s="38"/>
      <c r="E730" s="1"/>
      <c r="F730" s="1"/>
    </row>
    <row r="731" spans="1:6" ht="21.75" customHeight="1" x14ac:dyDescent="0.6">
      <c r="A731" s="1"/>
      <c r="B731" s="5"/>
      <c r="C731" s="1"/>
      <c r="D731" s="38"/>
      <c r="E731" s="1"/>
      <c r="F731" s="1"/>
    </row>
    <row r="732" spans="1:6" ht="21.75" customHeight="1" x14ac:dyDescent="0.6">
      <c r="A732" s="1"/>
      <c r="B732" s="5"/>
      <c r="C732" s="1"/>
      <c r="D732" s="38"/>
      <c r="E732" s="1"/>
      <c r="F732" s="1"/>
    </row>
    <row r="733" spans="1:6" ht="21.75" customHeight="1" x14ac:dyDescent="0.6">
      <c r="A733" s="1"/>
      <c r="B733" s="5"/>
      <c r="C733" s="1"/>
      <c r="D733" s="38"/>
      <c r="E733" s="1"/>
      <c r="F733" s="1"/>
    </row>
    <row r="734" spans="1:6" ht="21.75" customHeight="1" x14ac:dyDescent="0.6">
      <c r="A734" s="1"/>
      <c r="B734" s="5"/>
      <c r="C734" s="1"/>
      <c r="D734" s="38"/>
      <c r="E734" s="1"/>
      <c r="F734" s="1"/>
    </row>
    <row r="735" spans="1:6" ht="21.75" customHeight="1" x14ac:dyDescent="0.6">
      <c r="A735" s="1"/>
      <c r="B735" s="5"/>
      <c r="C735" s="1"/>
      <c r="D735" s="38"/>
      <c r="E735" s="1"/>
      <c r="F735" s="1"/>
    </row>
    <row r="736" spans="1:6" ht="21.75" customHeight="1" x14ac:dyDescent="0.6">
      <c r="A736" s="1"/>
      <c r="B736" s="5"/>
      <c r="C736" s="1"/>
      <c r="D736" s="38"/>
      <c r="E736" s="1"/>
      <c r="F736" s="1"/>
    </row>
    <row r="737" spans="1:6" ht="21.75" customHeight="1" x14ac:dyDescent="0.6">
      <c r="A737" s="1"/>
      <c r="B737" s="5"/>
      <c r="C737" s="1"/>
      <c r="D737" s="38"/>
      <c r="E737" s="1"/>
      <c r="F737" s="1"/>
    </row>
    <row r="738" spans="1:6" ht="21.75" customHeight="1" x14ac:dyDescent="0.6">
      <c r="A738" s="1"/>
      <c r="B738" s="5"/>
      <c r="C738" s="1"/>
      <c r="D738" s="38"/>
      <c r="E738" s="1"/>
      <c r="F738" s="1"/>
    </row>
    <row r="739" spans="1:6" ht="21.75" customHeight="1" x14ac:dyDescent="0.6">
      <c r="A739" s="1"/>
      <c r="B739" s="5"/>
      <c r="C739" s="1"/>
      <c r="D739" s="38"/>
      <c r="E739" s="1"/>
      <c r="F739" s="1"/>
    </row>
    <row r="740" spans="1:6" ht="21.75" customHeight="1" x14ac:dyDescent="0.6">
      <c r="A740" s="1"/>
      <c r="B740" s="5"/>
      <c r="C740" s="1"/>
      <c r="D740" s="38"/>
      <c r="E740" s="1"/>
      <c r="F740" s="1"/>
    </row>
    <row r="741" spans="1:6" ht="21.75" customHeight="1" x14ac:dyDescent="0.6">
      <c r="A741" s="1"/>
      <c r="B741" s="5"/>
      <c r="C741" s="1"/>
      <c r="D741" s="38"/>
      <c r="E741" s="1"/>
      <c r="F741" s="1"/>
    </row>
    <row r="742" spans="1:6" ht="21.75" customHeight="1" x14ac:dyDescent="0.6">
      <c r="A742" s="1"/>
      <c r="B742" s="5"/>
      <c r="C742" s="1"/>
      <c r="D742" s="38"/>
      <c r="E742" s="1"/>
      <c r="F742" s="1"/>
    </row>
    <row r="743" spans="1:6" ht="21.75" customHeight="1" x14ac:dyDescent="0.6">
      <c r="A743" s="1"/>
      <c r="B743" s="5"/>
      <c r="C743" s="1"/>
      <c r="D743" s="38"/>
      <c r="E743" s="1"/>
      <c r="F743" s="1"/>
    </row>
    <row r="744" spans="1:6" ht="21.75" customHeight="1" x14ac:dyDescent="0.6">
      <c r="A744" s="1"/>
      <c r="B744" s="5"/>
      <c r="C744" s="1"/>
      <c r="D744" s="38"/>
      <c r="E744" s="1"/>
      <c r="F744" s="1"/>
    </row>
    <row r="745" spans="1:6" ht="21.75" customHeight="1" x14ac:dyDescent="0.6">
      <c r="A745" s="1"/>
      <c r="B745" s="5"/>
      <c r="C745" s="1"/>
      <c r="D745" s="38"/>
      <c r="E745" s="1"/>
      <c r="F745" s="1"/>
    </row>
    <row r="746" spans="1:6" ht="21.75" customHeight="1" x14ac:dyDescent="0.6">
      <c r="A746" s="1"/>
      <c r="B746" s="5"/>
      <c r="C746" s="1"/>
      <c r="D746" s="38"/>
      <c r="E746" s="1"/>
      <c r="F746" s="1"/>
    </row>
    <row r="747" spans="1:6" ht="21.75" customHeight="1" x14ac:dyDescent="0.6">
      <c r="A747" s="1"/>
      <c r="B747" s="5"/>
      <c r="C747" s="1"/>
      <c r="D747" s="38"/>
      <c r="E747" s="1"/>
      <c r="F747" s="1"/>
    </row>
    <row r="748" spans="1:6" ht="21.75" customHeight="1" x14ac:dyDescent="0.6">
      <c r="A748" s="1"/>
      <c r="B748" s="5"/>
      <c r="C748" s="1"/>
      <c r="D748" s="38"/>
      <c r="E748" s="1"/>
      <c r="F748" s="1"/>
    </row>
    <row r="749" spans="1:6" ht="21.75" customHeight="1" x14ac:dyDescent="0.6">
      <c r="A749" s="1"/>
      <c r="B749" s="5"/>
      <c r="C749" s="1"/>
      <c r="D749" s="38"/>
      <c r="E749" s="1"/>
      <c r="F749" s="1"/>
    </row>
    <row r="750" spans="1:6" ht="21.75" customHeight="1" x14ac:dyDescent="0.6">
      <c r="A750" s="1"/>
      <c r="B750" s="5"/>
      <c r="C750" s="1"/>
      <c r="D750" s="38"/>
      <c r="E750" s="1"/>
      <c r="F750" s="1"/>
    </row>
    <row r="751" spans="1:6" ht="21.75" customHeight="1" x14ac:dyDescent="0.6">
      <c r="A751" s="1"/>
      <c r="B751" s="5"/>
      <c r="C751" s="1"/>
      <c r="D751" s="38"/>
      <c r="E751" s="1"/>
      <c r="F751" s="1"/>
    </row>
    <row r="752" spans="1:6" ht="21.75" customHeight="1" x14ac:dyDescent="0.6">
      <c r="A752" s="1"/>
      <c r="B752" s="5"/>
      <c r="C752" s="1"/>
      <c r="D752" s="38"/>
      <c r="E752" s="1"/>
      <c r="F752" s="1"/>
    </row>
    <row r="753" spans="1:6" ht="21.75" customHeight="1" x14ac:dyDescent="0.6">
      <c r="A753" s="1"/>
      <c r="B753" s="5"/>
      <c r="C753" s="1"/>
      <c r="D753" s="38"/>
      <c r="E753" s="1"/>
      <c r="F753" s="1"/>
    </row>
    <row r="754" spans="1:6" ht="21.75" customHeight="1" x14ac:dyDescent="0.6">
      <c r="A754" s="1"/>
      <c r="B754" s="5"/>
      <c r="C754" s="1"/>
      <c r="D754" s="38"/>
      <c r="E754" s="1"/>
      <c r="F754" s="1"/>
    </row>
    <row r="755" spans="1:6" ht="21.75" customHeight="1" x14ac:dyDescent="0.6">
      <c r="A755" s="1"/>
      <c r="B755" s="5"/>
      <c r="C755" s="1"/>
      <c r="D755" s="38"/>
      <c r="E755" s="1"/>
      <c r="F755" s="1"/>
    </row>
    <row r="756" spans="1:6" ht="21.75" customHeight="1" x14ac:dyDescent="0.6">
      <c r="A756" s="1"/>
      <c r="B756" s="5"/>
      <c r="C756" s="1"/>
      <c r="D756" s="38"/>
      <c r="E756" s="1"/>
      <c r="F756" s="1"/>
    </row>
    <row r="757" spans="1:6" ht="21.75" customHeight="1" x14ac:dyDescent="0.6">
      <c r="A757" s="1"/>
      <c r="B757" s="5"/>
      <c r="C757" s="1"/>
      <c r="D757" s="38"/>
      <c r="E757" s="1"/>
      <c r="F757" s="1"/>
    </row>
    <row r="758" spans="1:6" ht="21.75" customHeight="1" x14ac:dyDescent="0.6">
      <c r="A758" s="1"/>
      <c r="B758" s="5"/>
      <c r="C758" s="1"/>
      <c r="D758" s="38"/>
      <c r="E758" s="1"/>
      <c r="F758" s="1"/>
    </row>
    <row r="759" spans="1:6" ht="21.75" customHeight="1" x14ac:dyDescent="0.6">
      <c r="A759" s="1"/>
      <c r="B759" s="5"/>
      <c r="C759" s="1"/>
      <c r="D759" s="38"/>
      <c r="E759" s="1"/>
      <c r="F759" s="1"/>
    </row>
    <row r="760" spans="1:6" ht="21.75" customHeight="1" x14ac:dyDescent="0.6">
      <c r="A760" s="1"/>
      <c r="B760" s="5"/>
      <c r="C760" s="1"/>
      <c r="D760" s="38"/>
      <c r="E760" s="1"/>
      <c r="F760" s="1"/>
    </row>
    <row r="761" spans="1:6" ht="21.75" customHeight="1" x14ac:dyDescent="0.6">
      <c r="A761" s="1"/>
      <c r="B761" s="5"/>
      <c r="C761" s="1"/>
      <c r="D761" s="38"/>
      <c r="E761" s="1"/>
      <c r="F761" s="1"/>
    </row>
    <row r="762" spans="1:6" ht="21.75" customHeight="1" x14ac:dyDescent="0.6">
      <c r="A762" s="1"/>
      <c r="B762" s="5"/>
      <c r="C762" s="1"/>
      <c r="D762" s="38"/>
      <c r="E762" s="1"/>
      <c r="F762" s="1"/>
    </row>
    <row r="763" spans="1:6" ht="21.75" customHeight="1" x14ac:dyDescent="0.6">
      <c r="A763" s="1"/>
      <c r="B763" s="5"/>
      <c r="C763" s="1"/>
      <c r="D763" s="38"/>
      <c r="E763" s="1"/>
      <c r="F763" s="1"/>
    </row>
    <row r="764" spans="1:6" ht="21.75" customHeight="1" x14ac:dyDescent="0.6">
      <c r="A764" s="1"/>
      <c r="B764" s="5"/>
      <c r="C764" s="1"/>
      <c r="D764" s="38"/>
      <c r="E764" s="1"/>
      <c r="F764" s="1"/>
    </row>
    <row r="765" spans="1:6" ht="21.75" customHeight="1" x14ac:dyDescent="0.6">
      <c r="A765" s="1"/>
      <c r="B765" s="5"/>
      <c r="C765" s="1"/>
      <c r="D765" s="38"/>
      <c r="E765" s="1"/>
      <c r="F765" s="1"/>
    </row>
    <row r="766" spans="1:6" ht="21.75" customHeight="1" x14ac:dyDescent="0.6">
      <c r="A766" s="1"/>
      <c r="B766" s="5"/>
      <c r="C766" s="1"/>
      <c r="D766" s="38"/>
      <c r="E766" s="1"/>
      <c r="F766" s="1"/>
    </row>
    <row r="767" spans="1:6" ht="21.75" customHeight="1" x14ac:dyDescent="0.6">
      <c r="A767" s="1"/>
      <c r="B767" s="5"/>
      <c r="C767" s="1"/>
      <c r="D767" s="38"/>
      <c r="E767" s="1"/>
      <c r="F767" s="1"/>
    </row>
    <row r="768" spans="1:6" ht="21.75" customHeight="1" x14ac:dyDescent="0.6">
      <c r="A768" s="1"/>
      <c r="B768" s="5"/>
      <c r="C768" s="1"/>
      <c r="D768" s="38"/>
      <c r="E768" s="1"/>
      <c r="F768" s="1"/>
    </row>
    <row r="769" spans="1:6" ht="21.75" customHeight="1" x14ac:dyDescent="0.6">
      <c r="A769" s="1"/>
      <c r="B769" s="5"/>
      <c r="C769" s="1"/>
      <c r="D769" s="38"/>
      <c r="E769" s="1"/>
      <c r="F769" s="1"/>
    </row>
    <row r="770" spans="1:6" ht="21.75" customHeight="1" x14ac:dyDescent="0.6">
      <c r="A770" s="1"/>
      <c r="B770" s="5"/>
      <c r="C770" s="1"/>
      <c r="D770" s="38"/>
      <c r="E770" s="1"/>
      <c r="F770" s="1"/>
    </row>
    <row r="771" spans="1:6" ht="21.75" customHeight="1" x14ac:dyDescent="0.6">
      <c r="A771" s="1"/>
      <c r="B771" s="5"/>
      <c r="C771" s="1"/>
      <c r="D771" s="38"/>
      <c r="E771" s="1"/>
      <c r="F771" s="1"/>
    </row>
    <row r="772" spans="1:6" ht="21.75" customHeight="1" x14ac:dyDescent="0.6">
      <c r="A772" s="1"/>
      <c r="B772" s="5"/>
      <c r="C772" s="1"/>
      <c r="D772" s="38"/>
      <c r="E772" s="1"/>
      <c r="F772" s="1"/>
    </row>
    <row r="773" spans="1:6" ht="21.75" customHeight="1" x14ac:dyDescent="0.6">
      <c r="A773" s="1"/>
      <c r="B773" s="5"/>
      <c r="C773" s="1"/>
      <c r="D773" s="38"/>
      <c r="E773" s="1"/>
      <c r="F773" s="1"/>
    </row>
    <row r="774" spans="1:6" ht="21.75" customHeight="1" x14ac:dyDescent="0.6">
      <c r="A774" s="1"/>
      <c r="B774" s="5"/>
      <c r="C774" s="1"/>
      <c r="D774" s="38"/>
      <c r="E774" s="1"/>
      <c r="F774" s="1"/>
    </row>
    <row r="775" spans="1:6" ht="21.75" customHeight="1" x14ac:dyDescent="0.6">
      <c r="A775" s="1"/>
      <c r="B775" s="5"/>
      <c r="C775" s="1"/>
      <c r="D775" s="38"/>
      <c r="E775" s="1"/>
      <c r="F775" s="1"/>
    </row>
    <row r="776" spans="1:6" ht="21.75" customHeight="1" x14ac:dyDescent="0.6">
      <c r="A776" s="1"/>
      <c r="B776" s="5"/>
      <c r="C776" s="1"/>
      <c r="D776" s="38"/>
      <c r="E776" s="1"/>
      <c r="F776" s="1"/>
    </row>
    <row r="777" spans="1:6" ht="21.75" customHeight="1" x14ac:dyDescent="0.6">
      <c r="A777" s="1"/>
      <c r="B777" s="5"/>
      <c r="C777" s="1"/>
      <c r="D777" s="38"/>
      <c r="E777" s="1"/>
      <c r="F777" s="1"/>
    </row>
    <row r="778" spans="1:6" ht="21.75" customHeight="1" x14ac:dyDescent="0.6">
      <c r="A778" s="1"/>
      <c r="B778" s="5"/>
      <c r="C778" s="1"/>
      <c r="D778" s="38"/>
      <c r="E778" s="1"/>
      <c r="F778" s="1"/>
    </row>
    <row r="779" spans="1:6" ht="21.75" customHeight="1" x14ac:dyDescent="0.6">
      <c r="A779" s="1"/>
      <c r="B779" s="5"/>
      <c r="C779" s="1"/>
      <c r="D779" s="38"/>
      <c r="E779" s="1"/>
      <c r="F779" s="1"/>
    </row>
    <row r="780" spans="1:6" ht="21.75" customHeight="1" x14ac:dyDescent="0.6">
      <c r="A780" s="1"/>
      <c r="B780" s="5"/>
      <c r="C780" s="1"/>
      <c r="D780" s="38"/>
      <c r="E780" s="1"/>
      <c r="F780" s="1"/>
    </row>
    <row r="781" spans="1:6" ht="21.75" customHeight="1" x14ac:dyDescent="0.6">
      <c r="A781" s="1"/>
      <c r="B781" s="5"/>
      <c r="C781" s="1"/>
      <c r="D781" s="38"/>
      <c r="E781" s="1"/>
      <c r="F781" s="1"/>
    </row>
    <row r="782" spans="1:6" ht="21.75" customHeight="1" x14ac:dyDescent="0.6">
      <c r="A782" s="1"/>
      <c r="B782" s="5"/>
      <c r="C782" s="1"/>
      <c r="D782" s="38"/>
      <c r="E782" s="1"/>
      <c r="F782" s="1"/>
    </row>
    <row r="783" spans="1:6" ht="21.75" customHeight="1" x14ac:dyDescent="0.6">
      <c r="A783" s="1"/>
      <c r="B783" s="5"/>
      <c r="C783" s="1"/>
      <c r="D783" s="38"/>
      <c r="E783" s="1"/>
      <c r="F783" s="1"/>
    </row>
    <row r="784" spans="1:6" ht="21.75" customHeight="1" x14ac:dyDescent="0.6">
      <c r="A784" s="1"/>
      <c r="B784" s="5"/>
      <c r="C784" s="1"/>
      <c r="D784" s="38"/>
      <c r="E784" s="1"/>
      <c r="F784" s="1"/>
    </row>
    <row r="785" spans="1:6" ht="21.75" customHeight="1" x14ac:dyDescent="0.6">
      <c r="A785" s="1"/>
      <c r="B785" s="5"/>
      <c r="C785" s="1"/>
      <c r="D785" s="38"/>
      <c r="E785" s="1"/>
      <c r="F785" s="1"/>
    </row>
    <row r="786" spans="1:6" ht="21.75" customHeight="1" x14ac:dyDescent="0.6">
      <c r="A786" s="1"/>
      <c r="B786" s="5"/>
      <c r="C786" s="1"/>
      <c r="D786" s="38"/>
      <c r="E786" s="1"/>
      <c r="F786" s="1"/>
    </row>
    <row r="787" spans="1:6" ht="21.75" customHeight="1" x14ac:dyDescent="0.6">
      <c r="A787" s="1"/>
      <c r="B787" s="5"/>
      <c r="C787" s="1"/>
      <c r="D787" s="38"/>
      <c r="E787" s="1"/>
      <c r="F787" s="1"/>
    </row>
    <row r="788" spans="1:6" ht="21.75" customHeight="1" x14ac:dyDescent="0.6">
      <c r="A788" s="1"/>
      <c r="B788" s="5"/>
      <c r="C788" s="1"/>
      <c r="D788" s="38"/>
      <c r="E788" s="1"/>
      <c r="F788" s="1"/>
    </row>
    <row r="789" spans="1:6" ht="21.75" customHeight="1" x14ac:dyDescent="0.6">
      <c r="A789" s="1"/>
      <c r="B789" s="5"/>
      <c r="C789" s="1"/>
      <c r="D789" s="38"/>
      <c r="E789" s="1"/>
      <c r="F789" s="1"/>
    </row>
    <row r="790" spans="1:6" ht="21.75" customHeight="1" x14ac:dyDescent="0.6">
      <c r="A790" s="1"/>
      <c r="B790" s="5"/>
      <c r="C790" s="1"/>
      <c r="D790" s="38"/>
      <c r="E790" s="1"/>
      <c r="F790" s="1"/>
    </row>
    <row r="791" spans="1:6" ht="21.75" customHeight="1" x14ac:dyDescent="0.6">
      <c r="A791" s="1"/>
      <c r="B791" s="5"/>
      <c r="C791" s="1"/>
      <c r="D791" s="38"/>
      <c r="E791" s="1"/>
      <c r="F791" s="1"/>
    </row>
    <row r="792" spans="1:6" ht="21.75" customHeight="1" x14ac:dyDescent="0.6">
      <c r="A792" s="1"/>
      <c r="B792" s="5"/>
      <c r="C792" s="1"/>
      <c r="D792" s="38"/>
      <c r="E792" s="1"/>
      <c r="F792" s="1"/>
    </row>
    <row r="793" spans="1:6" ht="21.75" customHeight="1" x14ac:dyDescent="0.6">
      <c r="A793" s="1"/>
      <c r="B793" s="5"/>
      <c r="C793" s="1"/>
      <c r="D793" s="38"/>
      <c r="E793" s="1"/>
      <c r="F793" s="1"/>
    </row>
    <row r="794" spans="1:6" ht="21.75" customHeight="1" x14ac:dyDescent="0.6">
      <c r="A794" s="1"/>
      <c r="B794" s="5"/>
      <c r="C794" s="1"/>
      <c r="D794" s="38"/>
      <c r="E794" s="1"/>
      <c r="F794" s="1"/>
    </row>
    <row r="795" spans="1:6" ht="21.75" customHeight="1" x14ac:dyDescent="0.6">
      <c r="A795" s="1"/>
      <c r="B795" s="5"/>
      <c r="C795" s="1"/>
      <c r="D795" s="38"/>
      <c r="E795" s="1"/>
      <c r="F795" s="1"/>
    </row>
    <row r="796" spans="1:6" ht="21.75" customHeight="1" x14ac:dyDescent="0.6">
      <c r="A796" s="1"/>
      <c r="B796" s="5"/>
      <c r="C796" s="1"/>
      <c r="D796" s="38"/>
      <c r="E796" s="1"/>
      <c r="F796" s="1"/>
    </row>
    <row r="797" spans="1:6" ht="21.75" customHeight="1" x14ac:dyDescent="0.6">
      <c r="A797" s="1"/>
      <c r="B797" s="5"/>
      <c r="C797" s="1"/>
      <c r="D797" s="38"/>
      <c r="E797" s="1"/>
      <c r="F797" s="1"/>
    </row>
    <row r="798" spans="1:6" ht="21.75" customHeight="1" x14ac:dyDescent="0.6">
      <c r="A798" s="1"/>
      <c r="B798" s="5"/>
      <c r="C798" s="1"/>
      <c r="D798" s="38"/>
      <c r="E798" s="1"/>
      <c r="F798" s="1"/>
    </row>
    <row r="799" spans="1:6" ht="21.75" customHeight="1" x14ac:dyDescent="0.6">
      <c r="A799" s="1"/>
      <c r="B799" s="5"/>
      <c r="C799" s="1"/>
      <c r="D799" s="38"/>
      <c r="E799" s="1"/>
      <c r="F799" s="1"/>
    </row>
    <row r="800" spans="1:6" ht="21.75" customHeight="1" x14ac:dyDescent="0.6">
      <c r="A800" s="1"/>
      <c r="B800" s="5"/>
      <c r="C800" s="1"/>
      <c r="D800" s="38"/>
      <c r="E800" s="1"/>
      <c r="F800" s="1"/>
    </row>
    <row r="801" spans="1:6" ht="21.75" customHeight="1" x14ac:dyDescent="0.6">
      <c r="A801" s="1"/>
      <c r="B801" s="5"/>
      <c r="C801" s="1"/>
      <c r="D801" s="38"/>
      <c r="E801" s="1"/>
      <c r="F801" s="1"/>
    </row>
    <row r="802" spans="1:6" ht="21.75" customHeight="1" x14ac:dyDescent="0.6">
      <c r="A802" s="1"/>
      <c r="B802" s="5"/>
      <c r="C802" s="1"/>
      <c r="D802" s="38"/>
      <c r="E802" s="1"/>
      <c r="F802" s="1"/>
    </row>
    <row r="803" spans="1:6" ht="21.75" customHeight="1" x14ac:dyDescent="0.6">
      <c r="A803" s="1"/>
      <c r="B803" s="5"/>
      <c r="C803" s="1"/>
      <c r="D803" s="38"/>
      <c r="E803" s="1"/>
      <c r="F803" s="1"/>
    </row>
    <row r="804" spans="1:6" ht="21.75" customHeight="1" x14ac:dyDescent="0.6">
      <c r="A804" s="1"/>
      <c r="B804" s="5"/>
      <c r="C804" s="1"/>
      <c r="D804" s="38"/>
      <c r="E804" s="1"/>
      <c r="F804" s="1"/>
    </row>
    <row r="805" spans="1:6" ht="21.75" customHeight="1" x14ac:dyDescent="0.6">
      <c r="A805" s="1"/>
      <c r="B805" s="5"/>
      <c r="C805" s="1"/>
      <c r="D805" s="38"/>
      <c r="E805" s="1"/>
      <c r="F805" s="1"/>
    </row>
    <row r="806" spans="1:6" ht="21.75" customHeight="1" x14ac:dyDescent="0.6">
      <c r="A806" s="1"/>
      <c r="B806" s="5"/>
      <c r="C806" s="1"/>
      <c r="D806" s="38"/>
      <c r="E806" s="1"/>
      <c r="F806" s="1"/>
    </row>
    <row r="807" spans="1:6" ht="21.75" customHeight="1" x14ac:dyDescent="0.6">
      <c r="A807" s="1"/>
      <c r="B807" s="5"/>
      <c r="C807" s="1"/>
      <c r="D807" s="38"/>
      <c r="E807" s="1"/>
      <c r="F807" s="1"/>
    </row>
    <row r="808" spans="1:6" ht="21.75" customHeight="1" x14ac:dyDescent="0.6">
      <c r="A808" s="1"/>
      <c r="B808" s="5"/>
      <c r="C808" s="1"/>
      <c r="D808" s="38"/>
      <c r="E808" s="1"/>
      <c r="F808" s="1"/>
    </row>
    <row r="809" spans="1:6" ht="21.75" customHeight="1" x14ac:dyDescent="0.6">
      <c r="A809" s="1"/>
      <c r="B809" s="5"/>
      <c r="C809" s="1"/>
      <c r="D809" s="38"/>
      <c r="E809" s="1"/>
      <c r="F809" s="1"/>
    </row>
    <row r="810" spans="1:6" ht="21.75" customHeight="1" x14ac:dyDescent="0.6">
      <c r="A810" s="1"/>
      <c r="B810" s="5"/>
      <c r="C810" s="1"/>
      <c r="D810" s="38"/>
      <c r="E810" s="1"/>
      <c r="F810" s="1"/>
    </row>
    <row r="811" spans="1:6" ht="21.75" customHeight="1" x14ac:dyDescent="0.6">
      <c r="A811" s="1"/>
      <c r="B811" s="5"/>
      <c r="C811" s="1"/>
      <c r="D811" s="38"/>
      <c r="E811" s="1"/>
      <c r="F811" s="1"/>
    </row>
    <row r="812" spans="1:6" ht="21.75" customHeight="1" x14ac:dyDescent="0.6">
      <c r="A812" s="1"/>
      <c r="B812" s="5"/>
      <c r="C812" s="1"/>
      <c r="D812" s="38"/>
      <c r="E812" s="1"/>
      <c r="F812" s="1"/>
    </row>
    <row r="813" spans="1:6" ht="21.75" customHeight="1" x14ac:dyDescent="0.6">
      <c r="A813" s="1"/>
      <c r="B813" s="5"/>
      <c r="C813" s="1"/>
      <c r="D813" s="38"/>
      <c r="E813" s="1"/>
      <c r="F813" s="1"/>
    </row>
    <row r="814" spans="1:6" ht="21.75" customHeight="1" x14ac:dyDescent="0.6">
      <c r="A814" s="1"/>
      <c r="B814" s="5"/>
      <c r="C814" s="1"/>
      <c r="D814" s="38"/>
      <c r="E814" s="1"/>
      <c r="F814" s="1"/>
    </row>
    <row r="815" spans="1:6" ht="21.75" customHeight="1" x14ac:dyDescent="0.6">
      <c r="A815" s="1"/>
      <c r="B815" s="5"/>
      <c r="C815" s="1"/>
      <c r="D815" s="38"/>
      <c r="E815" s="1"/>
      <c r="F815" s="1"/>
    </row>
    <row r="816" spans="1:6" ht="21.75" customHeight="1" x14ac:dyDescent="0.6">
      <c r="A816" s="1"/>
      <c r="B816" s="5"/>
      <c r="C816" s="1"/>
      <c r="D816" s="38"/>
      <c r="E816" s="1"/>
      <c r="F816" s="1"/>
    </row>
    <row r="817" spans="1:6" ht="21.75" customHeight="1" x14ac:dyDescent="0.6">
      <c r="A817" s="1"/>
      <c r="B817" s="5"/>
      <c r="C817" s="1"/>
      <c r="D817" s="38"/>
      <c r="E817" s="1"/>
      <c r="F817" s="1"/>
    </row>
    <row r="818" spans="1:6" ht="21.75" customHeight="1" x14ac:dyDescent="0.6">
      <c r="A818" s="1"/>
      <c r="B818" s="5"/>
      <c r="C818" s="1"/>
      <c r="D818" s="38"/>
      <c r="E818" s="1"/>
      <c r="F818" s="1"/>
    </row>
    <row r="819" spans="1:6" ht="21.75" customHeight="1" x14ac:dyDescent="0.6">
      <c r="A819" s="1"/>
      <c r="B819" s="5"/>
      <c r="C819" s="1"/>
      <c r="D819" s="38"/>
      <c r="E819" s="1"/>
      <c r="F819" s="1"/>
    </row>
    <row r="820" spans="1:6" ht="21.75" customHeight="1" x14ac:dyDescent="0.6">
      <c r="A820" s="1"/>
      <c r="B820" s="5"/>
      <c r="C820" s="1"/>
      <c r="D820" s="38"/>
      <c r="E820" s="1"/>
      <c r="F820" s="1"/>
    </row>
    <row r="821" spans="1:6" ht="21.75" customHeight="1" x14ac:dyDescent="0.6">
      <c r="A821" s="1"/>
      <c r="B821" s="5"/>
      <c r="C821" s="1"/>
      <c r="D821" s="38"/>
      <c r="E821" s="1"/>
      <c r="F821" s="1"/>
    </row>
    <row r="822" spans="1:6" ht="21.75" customHeight="1" x14ac:dyDescent="0.6">
      <c r="A822" s="1"/>
      <c r="B822" s="5"/>
      <c r="C822" s="1"/>
      <c r="D822" s="38"/>
      <c r="E822" s="1"/>
      <c r="F822" s="1"/>
    </row>
    <row r="823" spans="1:6" ht="21.75" customHeight="1" x14ac:dyDescent="0.6">
      <c r="A823" s="1"/>
      <c r="B823" s="5"/>
      <c r="C823" s="1"/>
      <c r="D823" s="38"/>
      <c r="E823" s="1"/>
      <c r="F823" s="1"/>
    </row>
    <row r="824" spans="1:6" ht="21.75" customHeight="1" x14ac:dyDescent="0.6">
      <c r="A824" s="1"/>
      <c r="B824" s="5"/>
      <c r="C824" s="1"/>
      <c r="D824" s="38"/>
      <c r="E824" s="1"/>
      <c r="F824" s="1"/>
    </row>
    <row r="825" spans="1:6" ht="21.75" customHeight="1" x14ac:dyDescent="0.6">
      <c r="A825" s="1"/>
      <c r="B825" s="5"/>
      <c r="C825" s="1"/>
      <c r="D825" s="38"/>
      <c r="E825" s="1"/>
      <c r="F825" s="1"/>
    </row>
    <row r="826" spans="1:6" ht="21.75" customHeight="1" x14ac:dyDescent="0.6">
      <c r="A826" s="1"/>
      <c r="B826" s="5"/>
      <c r="C826" s="1"/>
      <c r="D826" s="38"/>
      <c r="E826" s="1"/>
      <c r="F826" s="1"/>
    </row>
    <row r="827" spans="1:6" ht="21.75" customHeight="1" x14ac:dyDescent="0.6">
      <c r="A827" s="1"/>
      <c r="B827" s="5"/>
      <c r="C827" s="1"/>
      <c r="D827" s="38"/>
      <c r="E827" s="1"/>
      <c r="F827" s="1"/>
    </row>
    <row r="828" spans="1:6" ht="21.75" customHeight="1" x14ac:dyDescent="0.6">
      <c r="A828" s="1"/>
      <c r="B828" s="5"/>
      <c r="C828" s="1"/>
      <c r="D828" s="38"/>
      <c r="E828" s="1"/>
      <c r="F828" s="1"/>
    </row>
    <row r="829" spans="1:6" ht="21.75" customHeight="1" x14ac:dyDescent="0.6">
      <c r="A829" s="1"/>
      <c r="B829" s="5"/>
      <c r="C829" s="1"/>
      <c r="D829" s="38"/>
      <c r="E829" s="1"/>
      <c r="F829" s="1"/>
    </row>
    <row r="830" spans="1:6" ht="21.75" customHeight="1" x14ac:dyDescent="0.6">
      <c r="A830" s="1"/>
      <c r="B830" s="5"/>
      <c r="C830" s="1"/>
      <c r="D830" s="38"/>
      <c r="E830" s="1"/>
      <c r="F830" s="1"/>
    </row>
    <row r="831" spans="1:6" ht="21.75" customHeight="1" x14ac:dyDescent="0.6">
      <c r="A831" s="1"/>
      <c r="B831" s="5"/>
      <c r="C831" s="1"/>
      <c r="D831" s="38"/>
      <c r="E831" s="1"/>
      <c r="F831" s="1"/>
    </row>
    <row r="832" spans="1:6" ht="21.75" customHeight="1" x14ac:dyDescent="0.6">
      <c r="A832" s="1"/>
      <c r="B832" s="5"/>
      <c r="C832" s="1"/>
      <c r="D832" s="38"/>
      <c r="E832" s="1"/>
      <c r="F832" s="1"/>
    </row>
    <row r="833" spans="1:6" ht="21.75" customHeight="1" x14ac:dyDescent="0.6">
      <c r="A833" s="1"/>
      <c r="B833" s="5"/>
      <c r="C833" s="1"/>
      <c r="D833" s="38"/>
      <c r="E833" s="1"/>
      <c r="F833" s="1"/>
    </row>
    <row r="834" spans="1:6" ht="21.75" customHeight="1" x14ac:dyDescent="0.6">
      <c r="A834" s="1"/>
      <c r="B834" s="5"/>
      <c r="C834" s="1"/>
      <c r="D834" s="38"/>
      <c r="E834" s="1"/>
      <c r="F834" s="1"/>
    </row>
    <row r="835" spans="1:6" ht="21.75" customHeight="1" x14ac:dyDescent="0.6">
      <c r="A835" s="1"/>
      <c r="B835" s="5"/>
      <c r="C835" s="1"/>
      <c r="D835" s="38"/>
      <c r="E835" s="1"/>
      <c r="F835" s="1"/>
    </row>
    <row r="836" spans="1:6" ht="21.75" customHeight="1" x14ac:dyDescent="0.6">
      <c r="A836" s="1"/>
      <c r="B836" s="5"/>
      <c r="C836" s="1"/>
      <c r="D836" s="38"/>
      <c r="E836" s="1"/>
      <c r="F836" s="1"/>
    </row>
    <row r="837" spans="1:6" ht="21.75" customHeight="1" x14ac:dyDescent="0.6">
      <c r="A837" s="1"/>
      <c r="B837" s="5"/>
      <c r="C837" s="1"/>
      <c r="D837" s="38"/>
      <c r="E837" s="1"/>
      <c r="F837" s="1"/>
    </row>
    <row r="838" spans="1:6" ht="21.75" customHeight="1" x14ac:dyDescent="0.6">
      <c r="A838" s="1"/>
      <c r="B838" s="5"/>
      <c r="C838" s="1"/>
      <c r="D838" s="38"/>
      <c r="E838" s="1"/>
      <c r="F838" s="1"/>
    </row>
    <row r="839" spans="1:6" ht="21.75" customHeight="1" x14ac:dyDescent="0.6">
      <c r="A839" s="1"/>
      <c r="B839" s="5"/>
      <c r="C839" s="1"/>
      <c r="D839" s="38"/>
      <c r="E839" s="1"/>
      <c r="F839" s="1"/>
    </row>
    <row r="840" spans="1:6" ht="21.75" customHeight="1" x14ac:dyDescent="0.6">
      <c r="A840" s="1"/>
      <c r="B840" s="5"/>
      <c r="C840" s="1"/>
      <c r="D840" s="38"/>
      <c r="E840" s="1"/>
      <c r="F840" s="1"/>
    </row>
    <row r="841" spans="1:6" ht="21.75" customHeight="1" x14ac:dyDescent="0.6">
      <c r="A841" s="1"/>
      <c r="B841" s="5"/>
      <c r="C841" s="1"/>
      <c r="D841" s="38"/>
      <c r="E841" s="1"/>
      <c r="F841" s="1"/>
    </row>
    <row r="842" spans="1:6" ht="21.75" customHeight="1" x14ac:dyDescent="0.6">
      <c r="A842" s="1"/>
      <c r="B842" s="5"/>
      <c r="C842" s="1"/>
      <c r="D842" s="38"/>
      <c r="E842" s="1"/>
      <c r="F842" s="1"/>
    </row>
    <row r="843" spans="1:6" ht="21.75" customHeight="1" x14ac:dyDescent="0.6">
      <c r="A843" s="1"/>
      <c r="B843" s="5"/>
      <c r="C843" s="1"/>
      <c r="D843" s="38"/>
      <c r="E843" s="1"/>
      <c r="F843" s="1"/>
    </row>
    <row r="844" spans="1:6" ht="21.75" customHeight="1" x14ac:dyDescent="0.6">
      <c r="A844" s="1"/>
      <c r="B844" s="5"/>
      <c r="C844" s="1"/>
      <c r="D844" s="38"/>
      <c r="E844" s="1"/>
      <c r="F844" s="1"/>
    </row>
    <row r="845" spans="1:6" ht="21.75" customHeight="1" x14ac:dyDescent="0.6">
      <c r="A845" s="1"/>
      <c r="B845" s="5"/>
      <c r="C845" s="1"/>
      <c r="D845" s="38"/>
      <c r="E845" s="1"/>
      <c r="F845" s="1"/>
    </row>
    <row r="846" spans="1:6" ht="21.75" customHeight="1" x14ac:dyDescent="0.6">
      <c r="A846" s="1"/>
      <c r="B846" s="5"/>
      <c r="C846" s="1"/>
      <c r="D846" s="38"/>
      <c r="E846" s="1"/>
      <c r="F846" s="1"/>
    </row>
    <row r="847" spans="1:6" ht="21.75" customHeight="1" x14ac:dyDescent="0.6">
      <c r="A847" s="1"/>
      <c r="B847" s="5"/>
      <c r="C847" s="1"/>
      <c r="D847" s="38"/>
      <c r="E847" s="1"/>
      <c r="F847" s="1"/>
    </row>
    <row r="848" spans="1:6" ht="21.75" customHeight="1" x14ac:dyDescent="0.6">
      <c r="A848" s="1"/>
      <c r="B848" s="5"/>
      <c r="C848" s="1"/>
      <c r="D848" s="38"/>
      <c r="E848" s="1"/>
      <c r="F848" s="1"/>
    </row>
    <row r="849" spans="1:6" ht="21.75" customHeight="1" x14ac:dyDescent="0.6">
      <c r="A849" s="1"/>
      <c r="B849" s="5"/>
      <c r="C849" s="1"/>
      <c r="D849" s="38"/>
      <c r="E849" s="1"/>
      <c r="F849" s="1"/>
    </row>
    <row r="850" spans="1:6" ht="21.75" customHeight="1" x14ac:dyDescent="0.6">
      <c r="A850" s="1"/>
      <c r="B850" s="5"/>
      <c r="C850" s="1"/>
      <c r="D850" s="38"/>
      <c r="E850" s="1"/>
      <c r="F850" s="1"/>
    </row>
    <row r="851" spans="1:6" ht="21.75" customHeight="1" x14ac:dyDescent="0.6">
      <c r="A851" s="1"/>
      <c r="B851" s="5"/>
      <c r="C851" s="1"/>
      <c r="D851" s="38"/>
      <c r="E851" s="1"/>
      <c r="F851" s="1"/>
    </row>
    <row r="852" spans="1:6" ht="21.75" customHeight="1" x14ac:dyDescent="0.6">
      <c r="A852" s="1"/>
      <c r="B852" s="5"/>
      <c r="C852" s="1"/>
      <c r="D852" s="38"/>
      <c r="E852" s="1"/>
      <c r="F852" s="1"/>
    </row>
    <row r="853" spans="1:6" ht="21.75" customHeight="1" x14ac:dyDescent="0.6">
      <c r="A853" s="1"/>
      <c r="B853" s="5"/>
      <c r="C853" s="1"/>
      <c r="D853" s="38"/>
      <c r="E853" s="1"/>
      <c r="F853" s="1"/>
    </row>
    <row r="854" spans="1:6" ht="21.75" customHeight="1" x14ac:dyDescent="0.6">
      <c r="A854" s="1"/>
      <c r="B854" s="5"/>
      <c r="C854" s="1"/>
      <c r="D854" s="38"/>
      <c r="E854" s="1"/>
      <c r="F854" s="1"/>
    </row>
    <row r="855" spans="1:6" ht="21.75" customHeight="1" x14ac:dyDescent="0.6">
      <c r="A855" s="1"/>
      <c r="B855" s="5"/>
      <c r="C855" s="1"/>
      <c r="D855" s="38"/>
      <c r="E855" s="1"/>
      <c r="F855" s="1"/>
    </row>
    <row r="856" spans="1:6" ht="21.75" customHeight="1" x14ac:dyDescent="0.6">
      <c r="A856" s="1"/>
      <c r="B856" s="5"/>
      <c r="C856" s="1"/>
      <c r="D856" s="38"/>
      <c r="E856" s="1"/>
      <c r="F856" s="1"/>
    </row>
    <row r="857" spans="1:6" ht="21.75" customHeight="1" x14ac:dyDescent="0.6">
      <c r="A857" s="1"/>
      <c r="B857" s="5"/>
      <c r="C857" s="1"/>
      <c r="D857" s="38"/>
      <c r="E857" s="1"/>
      <c r="F857" s="1"/>
    </row>
    <row r="858" spans="1:6" ht="21.75" customHeight="1" x14ac:dyDescent="0.6">
      <c r="A858" s="1"/>
      <c r="B858" s="5"/>
      <c r="C858" s="1"/>
      <c r="D858" s="38"/>
      <c r="E858" s="1"/>
      <c r="F858" s="1"/>
    </row>
    <row r="859" spans="1:6" ht="21.75" customHeight="1" x14ac:dyDescent="0.6">
      <c r="A859" s="1"/>
      <c r="B859" s="5"/>
      <c r="C859" s="1"/>
      <c r="D859" s="38"/>
      <c r="E859" s="1"/>
      <c r="F859" s="1"/>
    </row>
    <row r="860" spans="1:6" ht="21.75" customHeight="1" x14ac:dyDescent="0.6">
      <c r="A860" s="1"/>
      <c r="B860" s="5"/>
      <c r="C860" s="1"/>
      <c r="D860" s="38"/>
      <c r="E860" s="1"/>
      <c r="F860" s="1"/>
    </row>
    <row r="861" spans="1:6" ht="21.75" customHeight="1" x14ac:dyDescent="0.6">
      <c r="A861" s="1"/>
      <c r="B861" s="5"/>
      <c r="C861" s="1"/>
      <c r="D861" s="38"/>
      <c r="E861" s="1"/>
      <c r="F861" s="1"/>
    </row>
    <row r="862" spans="1:6" ht="21.75" customHeight="1" x14ac:dyDescent="0.6">
      <c r="A862" s="1"/>
      <c r="B862" s="5"/>
      <c r="C862" s="1"/>
      <c r="D862" s="38"/>
      <c r="E862" s="1"/>
      <c r="F862" s="1"/>
    </row>
    <row r="863" spans="1:6" ht="21.75" customHeight="1" x14ac:dyDescent="0.6">
      <c r="A863" s="1"/>
      <c r="B863" s="5"/>
      <c r="C863" s="1"/>
      <c r="D863" s="38"/>
      <c r="E863" s="1"/>
      <c r="F863" s="1"/>
    </row>
    <row r="864" spans="1:6" ht="21.75" customHeight="1" x14ac:dyDescent="0.6">
      <c r="A864" s="1"/>
      <c r="B864" s="5"/>
      <c r="C864" s="1"/>
      <c r="D864" s="38"/>
      <c r="E864" s="1"/>
      <c r="F864" s="1"/>
    </row>
    <row r="865" spans="1:6" ht="21.75" customHeight="1" x14ac:dyDescent="0.6">
      <c r="A865" s="1"/>
      <c r="B865" s="5"/>
      <c r="C865" s="1"/>
      <c r="D865" s="38"/>
      <c r="E865" s="1"/>
      <c r="F865" s="1"/>
    </row>
    <row r="866" spans="1:6" ht="21.75" customHeight="1" x14ac:dyDescent="0.6">
      <c r="A866" s="1"/>
      <c r="B866" s="5"/>
      <c r="C866" s="1"/>
      <c r="D866" s="38"/>
      <c r="E866" s="1"/>
      <c r="F866" s="1"/>
    </row>
    <row r="867" spans="1:6" ht="21.75" customHeight="1" x14ac:dyDescent="0.6">
      <c r="A867" s="1"/>
      <c r="B867" s="5"/>
      <c r="C867" s="1"/>
      <c r="D867" s="38"/>
      <c r="E867" s="1"/>
      <c r="F867" s="1"/>
    </row>
    <row r="868" spans="1:6" ht="21.75" customHeight="1" x14ac:dyDescent="0.6">
      <c r="A868" s="1"/>
      <c r="B868" s="5"/>
      <c r="C868" s="1"/>
      <c r="D868" s="38"/>
      <c r="E868" s="1"/>
      <c r="F868" s="1"/>
    </row>
    <row r="869" spans="1:6" ht="21.75" customHeight="1" x14ac:dyDescent="0.6">
      <c r="A869" s="1"/>
      <c r="B869" s="5"/>
      <c r="C869" s="1"/>
      <c r="D869" s="38"/>
      <c r="E869" s="1"/>
      <c r="F869" s="1"/>
    </row>
    <row r="870" spans="1:6" ht="21.75" customHeight="1" x14ac:dyDescent="0.6">
      <c r="A870" s="1"/>
      <c r="B870" s="5"/>
      <c r="C870" s="1"/>
      <c r="D870" s="38"/>
      <c r="E870" s="1"/>
      <c r="F870" s="1"/>
    </row>
    <row r="871" spans="1:6" ht="21.75" customHeight="1" x14ac:dyDescent="0.6">
      <c r="A871" s="1"/>
      <c r="B871" s="5"/>
      <c r="C871" s="1"/>
      <c r="D871" s="38"/>
      <c r="E871" s="1"/>
      <c r="F871" s="1"/>
    </row>
    <row r="872" spans="1:6" ht="21.75" customHeight="1" x14ac:dyDescent="0.6">
      <c r="A872" s="1"/>
      <c r="B872" s="5"/>
      <c r="C872" s="1"/>
      <c r="D872" s="38"/>
      <c r="E872" s="1"/>
      <c r="F872" s="1"/>
    </row>
    <row r="873" spans="1:6" ht="21.75" customHeight="1" x14ac:dyDescent="0.6">
      <c r="A873" s="1"/>
      <c r="B873" s="5"/>
      <c r="C873" s="1"/>
      <c r="D873" s="38"/>
      <c r="E873" s="1"/>
      <c r="F873" s="1"/>
    </row>
    <row r="874" spans="1:6" ht="21.75" customHeight="1" x14ac:dyDescent="0.6">
      <c r="A874" s="1"/>
      <c r="B874" s="5"/>
      <c r="C874" s="1"/>
      <c r="D874" s="38"/>
      <c r="E874" s="1"/>
      <c r="F874" s="1"/>
    </row>
    <row r="875" spans="1:6" ht="21.75" customHeight="1" x14ac:dyDescent="0.6">
      <c r="A875" s="1"/>
      <c r="B875" s="5"/>
      <c r="C875" s="1"/>
      <c r="D875" s="38"/>
      <c r="E875" s="1"/>
      <c r="F875" s="1"/>
    </row>
    <row r="876" spans="1:6" ht="21.75" customHeight="1" x14ac:dyDescent="0.6">
      <c r="A876" s="1"/>
      <c r="B876" s="5"/>
      <c r="C876" s="1"/>
      <c r="D876" s="38"/>
      <c r="E876" s="1"/>
      <c r="F876" s="1"/>
    </row>
    <row r="877" spans="1:6" ht="21.75" customHeight="1" x14ac:dyDescent="0.6">
      <c r="A877" s="1"/>
      <c r="B877" s="5"/>
      <c r="C877" s="1"/>
      <c r="D877" s="38"/>
      <c r="E877" s="1"/>
      <c r="F877" s="1"/>
    </row>
    <row r="878" spans="1:6" ht="21.75" customHeight="1" x14ac:dyDescent="0.6">
      <c r="A878" s="1"/>
      <c r="B878" s="5"/>
      <c r="C878" s="1"/>
      <c r="D878" s="38"/>
      <c r="E878" s="1"/>
      <c r="F878" s="1"/>
    </row>
    <row r="879" spans="1:6" ht="21.75" customHeight="1" x14ac:dyDescent="0.6">
      <c r="A879" s="1"/>
      <c r="B879" s="5"/>
      <c r="C879" s="1"/>
      <c r="D879" s="38"/>
      <c r="E879" s="1"/>
      <c r="F879" s="1"/>
    </row>
    <row r="880" spans="1:6" ht="21.75" customHeight="1" x14ac:dyDescent="0.6">
      <c r="A880" s="1"/>
      <c r="B880" s="5"/>
      <c r="C880" s="1"/>
      <c r="D880" s="38"/>
      <c r="E880" s="1"/>
      <c r="F880" s="1"/>
    </row>
    <row r="881" spans="1:6" ht="21.75" customHeight="1" x14ac:dyDescent="0.6">
      <c r="A881" s="1"/>
      <c r="B881" s="5"/>
      <c r="C881" s="1"/>
      <c r="D881" s="38"/>
      <c r="E881" s="1"/>
      <c r="F881" s="1"/>
    </row>
    <row r="882" spans="1:6" ht="21.75" customHeight="1" x14ac:dyDescent="0.6">
      <c r="A882" s="1"/>
      <c r="B882" s="5"/>
      <c r="C882" s="1"/>
      <c r="D882" s="38"/>
      <c r="E882" s="1"/>
      <c r="F882" s="1"/>
    </row>
    <row r="883" spans="1:6" ht="21.75" customHeight="1" x14ac:dyDescent="0.6">
      <c r="A883" s="1"/>
      <c r="B883" s="5"/>
      <c r="C883" s="1"/>
      <c r="D883" s="38"/>
      <c r="E883" s="1"/>
      <c r="F883" s="1"/>
    </row>
    <row r="884" spans="1:6" ht="21.75" customHeight="1" x14ac:dyDescent="0.6">
      <c r="A884" s="1"/>
      <c r="B884" s="5"/>
      <c r="C884" s="1"/>
      <c r="D884" s="38"/>
      <c r="E884" s="1"/>
      <c r="F884" s="1"/>
    </row>
    <row r="885" spans="1:6" ht="21.75" customHeight="1" x14ac:dyDescent="0.6">
      <c r="A885" s="1"/>
      <c r="B885" s="5"/>
      <c r="C885" s="1"/>
      <c r="D885" s="38"/>
      <c r="E885" s="1"/>
      <c r="F885" s="1"/>
    </row>
    <row r="886" spans="1:6" ht="21.75" customHeight="1" x14ac:dyDescent="0.6">
      <c r="A886" s="1"/>
      <c r="B886" s="5"/>
      <c r="C886" s="1"/>
      <c r="D886" s="38"/>
      <c r="E886" s="1"/>
      <c r="F886" s="1"/>
    </row>
    <row r="887" spans="1:6" ht="21.75" customHeight="1" x14ac:dyDescent="0.6">
      <c r="A887" s="1"/>
      <c r="B887" s="5"/>
      <c r="C887" s="1"/>
      <c r="D887" s="38"/>
      <c r="E887" s="1"/>
      <c r="F887" s="1"/>
    </row>
    <row r="888" spans="1:6" ht="21.75" customHeight="1" x14ac:dyDescent="0.6">
      <c r="A888" s="1"/>
      <c r="B888" s="5"/>
      <c r="C888" s="1"/>
      <c r="D888" s="38"/>
      <c r="E888" s="1"/>
      <c r="F888" s="1"/>
    </row>
    <row r="889" spans="1:6" ht="21.75" customHeight="1" x14ac:dyDescent="0.6">
      <c r="A889" s="1"/>
      <c r="B889" s="5"/>
      <c r="C889" s="1"/>
      <c r="D889" s="38"/>
      <c r="E889" s="1"/>
      <c r="F889" s="1"/>
    </row>
    <row r="890" spans="1:6" ht="21.75" customHeight="1" x14ac:dyDescent="0.6">
      <c r="A890" s="1"/>
      <c r="B890" s="5"/>
      <c r="C890" s="1"/>
      <c r="D890" s="38"/>
      <c r="E890" s="1"/>
      <c r="F890" s="1"/>
    </row>
    <row r="891" spans="1:6" ht="21.75" customHeight="1" x14ac:dyDescent="0.6">
      <c r="A891" s="1"/>
      <c r="B891" s="5"/>
      <c r="C891" s="1"/>
      <c r="D891" s="38"/>
      <c r="E891" s="1"/>
      <c r="F891" s="1"/>
    </row>
    <row r="892" spans="1:6" ht="21.75" customHeight="1" x14ac:dyDescent="0.6">
      <c r="A892" s="1"/>
      <c r="B892" s="5"/>
      <c r="C892" s="1"/>
      <c r="D892" s="38"/>
      <c r="E892" s="1"/>
      <c r="F892" s="1"/>
    </row>
    <row r="893" spans="1:6" ht="21.75" customHeight="1" x14ac:dyDescent="0.6">
      <c r="A893" s="1"/>
      <c r="B893" s="5"/>
      <c r="C893" s="1"/>
      <c r="D893" s="38"/>
      <c r="E893" s="1"/>
      <c r="F893" s="1"/>
    </row>
    <row r="894" spans="1:6" ht="21.75" customHeight="1" x14ac:dyDescent="0.6">
      <c r="A894" s="1"/>
      <c r="B894" s="5"/>
      <c r="C894" s="1"/>
      <c r="D894" s="38"/>
      <c r="E894" s="1"/>
      <c r="F894" s="1"/>
    </row>
    <row r="895" spans="1:6" ht="21.75" customHeight="1" x14ac:dyDescent="0.6">
      <c r="A895" s="1"/>
      <c r="B895" s="5"/>
      <c r="C895" s="1"/>
      <c r="D895" s="38"/>
      <c r="E895" s="1"/>
      <c r="F895" s="1"/>
    </row>
    <row r="896" spans="1:6" ht="21.75" customHeight="1" x14ac:dyDescent="0.6">
      <c r="A896" s="1"/>
      <c r="B896" s="5"/>
      <c r="C896" s="1"/>
      <c r="D896" s="38"/>
      <c r="E896" s="1"/>
      <c r="F896" s="1"/>
    </row>
    <row r="897" spans="1:6" ht="21.75" customHeight="1" x14ac:dyDescent="0.6">
      <c r="A897" s="1"/>
      <c r="B897" s="5"/>
      <c r="C897" s="1"/>
      <c r="D897" s="38"/>
      <c r="E897" s="1"/>
      <c r="F897" s="1"/>
    </row>
    <row r="898" spans="1:6" ht="21.75" customHeight="1" x14ac:dyDescent="0.6">
      <c r="A898" s="1"/>
      <c r="B898" s="5"/>
      <c r="C898" s="1"/>
      <c r="D898" s="38"/>
      <c r="E898" s="1"/>
      <c r="F898" s="1"/>
    </row>
    <row r="899" spans="1:6" ht="21.75" customHeight="1" x14ac:dyDescent="0.6">
      <c r="A899" s="1"/>
      <c r="B899" s="5"/>
      <c r="C899" s="1"/>
      <c r="D899" s="38"/>
      <c r="E899" s="1"/>
      <c r="F899" s="1"/>
    </row>
    <row r="900" spans="1:6" ht="21.75" customHeight="1" x14ac:dyDescent="0.6">
      <c r="A900" s="1"/>
      <c r="B900" s="5"/>
      <c r="C900" s="1"/>
      <c r="D900" s="38"/>
      <c r="E900" s="1"/>
      <c r="F900" s="1"/>
    </row>
    <row r="901" spans="1:6" ht="21.75" customHeight="1" x14ac:dyDescent="0.6">
      <c r="A901" s="1"/>
      <c r="B901" s="5"/>
      <c r="C901" s="1"/>
      <c r="D901" s="38"/>
      <c r="E901" s="1"/>
      <c r="F901" s="1"/>
    </row>
    <row r="902" spans="1:6" ht="21.75" customHeight="1" x14ac:dyDescent="0.6">
      <c r="A902" s="1"/>
      <c r="B902" s="5"/>
      <c r="C902" s="1"/>
      <c r="D902" s="38"/>
      <c r="E902" s="1"/>
      <c r="F902" s="1"/>
    </row>
    <row r="903" spans="1:6" ht="21.75" customHeight="1" x14ac:dyDescent="0.6">
      <c r="A903" s="1"/>
      <c r="B903" s="5"/>
      <c r="C903" s="1"/>
      <c r="D903" s="38"/>
      <c r="E903" s="1"/>
      <c r="F903" s="1"/>
    </row>
    <row r="904" spans="1:6" ht="21.75" customHeight="1" x14ac:dyDescent="0.6">
      <c r="A904" s="1"/>
      <c r="B904" s="5"/>
      <c r="C904" s="1"/>
      <c r="D904" s="38"/>
      <c r="E904" s="1"/>
      <c r="F904" s="1"/>
    </row>
    <row r="905" spans="1:6" ht="21.75" customHeight="1" x14ac:dyDescent="0.6">
      <c r="A905" s="1"/>
      <c r="B905" s="5"/>
      <c r="C905" s="1"/>
      <c r="D905" s="38"/>
      <c r="E905" s="1"/>
      <c r="F905" s="1"/>
    </row>
    <row r="906" spans="1:6" ht="21.75" customHeight="1" x14ac:dyDescent="0.6">
      <c r="A906" s="1"/>
      <c r="B906" s="5"/>
      <c r="C906" s="1"/>
      <c r="D906" s="38"/>
      <c r="E906" s="1"/>
      <c r="F906" s="1"/>
    </row>
    <row r="907" spans="1:6" ht="21.75" customHeight="1" x14ac:dyDescent="0.6">
      <c r="A907" s="1"/>
      <c r="B907" s="5"/>
      <c r="C907" s="1"/>
      <c r="D907" s="38"/>
      <c r="E907" s="1"/>
      <c r="F907" s="1"/>
    </row>
    <row r="908" spans="1:6" ht="21.75" customHeight="1" x14ac:dyDescent="0.6">
      <c r="A908" s="1"/>
      <c r="B908" s="5"/>
      <c r="C908" s="1"/>
      <c r="D908" s="38"/>
      <c r="E908" s="1"/>
      <c r="F908" s="1"/>
    </row>
    <row r="909" spans="1:6" ht="21.75" customHeight="1" x14ac:dyDescent="0.6">
      <c r="A909" s="1"/>
      <c r="B909" s="5"/>
      <c r="C909" s="1"/>
      <c r="D909" s="38"/>
      <c r="E909" s="1"/>
      <c r="F909" s="1"/>
    </row>
    <row r="910" spans="1:6" ht="21.75" customHeight="1" x14ac:dyDescent="0.6">
      <c r="A910" s="1"/>
      <c r="B910" s="5"/>
      <c r="C910" s="1"/>
      <c r="D910" s="38"/>
      <c r="E910" s="1"/>
      <c r="F910" s="1"/>
    </row>
    <row r="911" spans="1:6" ht="21.75" customHeight="1" x14ac:dyDescent="0.6">
      <c r="A911" s="1"/>
      <c r="B911" s="5"/>
      <c r="C911" s="1"/>
      <c r="D911" s="38"/>
      <c r="E911" s="1"/>
      <c r="F911" s="1"/>
    </row>
    <row r="912" spans="1:6" ht="21.75" customHeight="1" x14ac:dyDescent="0.6">
      <c r="A912" s="1"/>
      <c r="B912" s="5"/>
      <c r="C912" s="1"/>
      <c r="D912" s="38"/>
      <c r="E912" s="1"/>
      <c r="F912" s="1"/>
    </row>
    <row r="913" spans="1:6" ht="21.75" customHeight="1" x14ac:dyDescent="0.6">
      <c r="A913" s="1"/>
      <c r="B913" s="5"/>
      <c r="C913" s="1"/>
      <c r="D913" s="38"/>
      <c r="E913" s="1"/>
      <c r="F913" s="1"/>
    </row>
    <row r="914" spans="1:6" ht="21.75" customHeight="1" x14ac:dyDescent="0.6">
      <c r="A914" s="1"/>
      <c r="B914" s="5"/>
      <c r="C914" s="1"/>
      <c r="D914" s="38"/>
      <c r="E914" s="1"/>
      <c r="F914" s="1"/>
    </row>
    <row r="915" spans="1:6" ht="21.75" customHeight="1" x14ac:dyDescent="0.6">
      <c r="A915" s="1"/>
      <c r="B915" s="5"/>
      <c r="C915" s="1"/>
      <c r="D915" s="38"/>
      <c r="E915" s="1"/>
      <c r="F915" s="1"/>
    </row>
    <row r="916" spans="1:6" ht="21.75" customHeight="1" x14ac:dyDescent="0.6">
      <c r="A916" s="1"/>
      <c r="B916" s="5"/>
      <c r="C916" s="1"/>
      <c r="D916" s="38"/>
      <c r="E916" s="1"/>
      <c r="F916" s="1"/>
    </row>
    <row r="917" spans="1:6" ht="21.75" customHeight="1" x14ac:dyDescent="0.6">
      <c r="A917" s="1"/>
      <c r="B917" s="5"/>
      <c r="C917" s="1"/>
      <c r="D917" s="38"/>
      <c r="E917" s="1"/>
      <c r="F917" s="1"/>
    </row>
    <row r="918" spans="1:6" ht="21.75" customHeight="1" x14ac:dyDescent="0.6">
      <c r="A918" s="1"/>
      <c r="B918" s="5"/>
      <c r="C918" s="1"/>
      <c r="D918" s="38"/>
      <c r="E918" s="1"/>
      <c r="F918" s="1"/>
    </row>
    <row r="919" spans="1:6" ht="21.75" customHeight="1" x14ac:dyDescent="0.6">
      <c r="A919" s="1"/>
      <c r="B919" s="5"/>
      <c r="C919" s="1"/>
      <c r="D919" s="38"/>
      <c r="E919" s="1"/>
      <c r="F919" s="1"/>
    </row>
    <row r="920" spans="1:6" ht="21.75" customHeight="1" x14ac:dyDescent="0.6">
      <c r="A920" s="1"/>
      <c r="B920" s="5"/>
      <c r="C920" s="1"/>
      <c r="D920" s="38"/>
      <c r="E920" s="1"/>
      <c r="F920" s="1"/>
    </row>
    <row r="921" spans="1:6" ht="21.75" customHeight="1" x14ac:dyDescent="0.6">
      <c r="A921" s="1"/>
      <c r="B921" s="5"/>
      <c r="C921" s="1"/>
      <c r="D921" s="38"/>
      <c r="E921" s="1"/>
      <c r="F921" s="1"/>
    </row>
    <row r="922" spans="1:6" ht="21.75" customHeight="1" x14ac:dyDescent="0.6">
      <c r="A922" s="1"/>
      <c r="B922" s="5"/>
      <c r="C922" s="1"/>
      <c r="D922" s="38"/>
      <c r="E922" s="1"/>
      <c r="F922" s="1"/>
    </row>
    <row r="923" spans="1:6" ht="21.75" customHeight="1" x14ac:dyDescent="0.6">
      <c r="A923" s="1"/>
      <c r="B923" s="5"/>
      <c r="C923" s="1"/>
      <c r="D923" s="38"/>
      <c r="E923" s="1"/>
      <c r="F923" s="1"/>
    </row>
    <row r="924" spans="1:6" ht="21.75" customHeight="1" x14ac:dyDescent="0.6">
      <c r="A924" s="1"/>
      <c r="B924" s="5"/>
      <c r="C924" s="1"/>
      <c r="D924" s="38"/>
      <c r="E924" s="1"/>
      <c r="F924" s="1"/>
    </row>
    <row r="925" spans="1:6" ht="21.75" customHeight="1" x14ac:dyDescent="0.6">
      <c r="A925" s="1"/>
      <c r="B925" s="5"/>
      <c r="C925" s="1"/>
      <c r="D925" s="38"/>
      <c r="E925" s="1"/>
      <c r="F925" s="1"/>
    </row>
    <row r="926" spans="1:6" ht="21.75" customHeight="1" x14ac:dyDescent="0.6">
      <c r="A926" s="1"/>
      <c r="B926" s="5"/>
      <c r="C926" s="1"/>
      <c r="D926" s="38"/>
      <c r="E926" s="1"/>
      <c r="F926" s="1"/>
    </row>
    <row r="927" spans="1:6" ht="21.75" customHeight="1" x14ac:dyDescent="0.6">
      <c r="A927" s="1"/>
      <c r="B927" s="5"/>
      <c r="C927" s="1"/>
      <c r="D927" s="38"/>
      <c r="E927" s="1"/>
      <c r="F927" s="1"/>
    </row>
    <row r="928" spans="1:6" ht="21.75" customHeight="1" x14ac:dyDescent="0.6">
      <c r="A928" s="1"/>
      <c r="B928" s="5"/>
      <c r="C928" s="1"/>
      <c r="D928" s="38"/>
      <c r="E928" s="1"/>
      <c r="F928" s="1"/>
    </row>
    <row r="929" spans="1:6" ht="21.75" customHeight="1" x14ac:dyDescent="0.6">
      <c r="A929" s="1"/>
      <c r="B929" s="5"/>
      <c r="C929" s="1"/>
      <c r="D929" s="38"/>
      <c r="E929" s="1"/>
      <c r="F929" s="1"/>
    </row>
    <row r="930" spans="1:6" ht="21.75" customHeight="1" x14ac:dyDescent="0.6">
      <c r="A930" s="1"/>
      <c r="B930" s="5"/>
      <c r="C930" s="1"/>
      <c r="D930" s="38"/>
      <c r="E930" s="1"/>
      <c r="F930" s="1"/>
    </row>
    <row r="931" spans="1:6" ht="21.75" customHeight="1" x14ac:dyDescent="0.6">
      <c r="A931" s="1"/>
      <c r="B931" s="5"/>
      <c r="C931" s="1"/>
      <c r="D931" s="38"/>
      <c r="E931" s="1"/>
      <c r="F931" s="1"/>
    </row>
    <row r="932" spans="1:6" ht="21.75" customHeight="1" x14ac:dyDescent="0.6">
      <c r="A932" s="1"/>
      <c r="B932" s="5"/>
      <c r="C932" s="1"/>
      <c r="D932" s="38"/>
      <c r="E932" s="1"/>
      <c r="F932" s="1"/>
    </row>
    <row r="933" spans="1:6" ht="21.75" customHeight="1" x14ac:dyDescent="0.6">
      <c r="A933" s="1"/>
      <c r="B933" s="5"/>
      <c r="C933" s="1"/>
      <c r="D933" s="38"/>
      <c r="E933" s="1"/>
      <c r="F933" s="1"/>
    </row>
    <row r="934" spans="1:6" ht="21.75" customHeight="1" x14ac:dyDescent="0.6">
      <c r="A934" s="1"/>
      <c r="B934" s="5"/>
      <c r="C934" s="1"/>
      <c r="D934" s="38"/>
      <c r="E934" s="1"/>
      <c r="F934" s="1"/>
    </row>
    <row r="935" spans="1:6" ht="21.75" customHeight="1" x14ac:dyDescent="0.6">
      <c r="A935" s="1"/>
      <c r="B935" s="5"/>
      <c r="C935" s="1"/>
      <c r="D935" s="38"/>
      <c r="E935" s="1"/>
      <c r="F935" s="1"/>
    </row>
    <row r="936" spans="1:6" ht="21.75" customHeight="1" x14ac:dyDescent="0.6">
      <c r="A936" s="1"/>
      <c r="B936" s="5"/>
      <c r="C936" s="1"/>
      <c r="D936" s="38"/>
      <c r="E936" s="1"/>
      <c r="F936" s="1"/>
    </row>
    <row r="937" spans="1:6" ht="21.75" customHeight="1" x14ac:dyDescent="0.6">
      <c r="A937" s="1"/>
      <c r="B937" s="5"/>
      <c r="C937" s="1"/>
      <c r="D937" s="38"/>
      <c r="E937" s="1"/>
      <c r="F937" s="1"/>
    </row>
    <row r="938" spans="1:6" ht="21.75" customHeight="1" x14ac:dyDescent="0.6">
      <c r="A938" s="1"/>
      <c r="B938" s="5"/>
      <c r="C938" s="1"/>
      <c r="D938" s="38"/>
      <c r="E938" s="1"/>
      <c r="F938" s="1"/>
    </row>
    <row r="939" spans="1:6" ht="21.75" customHeight="1" x14ac:dyDescent="0.6">
      <c r="A939" s="1"/>
      <c r="B939" s="5"/>
      <c r="C939" s="1"/>
      <c r="D939" s="38"/>
      <c r="E939" s="1"/>
      <c r="F939" s="1"/>
    </row>
    <row r="940" spans="1:6" ht="21.75" customHeight="1" x14ac:dyDescent="0.6">
      <c r="A940" s="1"/>
      <c r="B940" s="5"/>
      <c r="C940" s="1"/>
      <c r="D940" s="38"/>
      <c r="E940" s="1"/>
      <c r="F940" s="1"/>
    </row>
    <row r="941" spans="1:6" ht="21.75" customHeight="1" x14ac:dyDescent="0.6">
      <c r="A941" s="1"/>
      <c r="B941" s="5"/>
      <c r="C941" s="1"/>
      <c r="D941" s="38"/>
      <c r="E941" s="1"/>
      <c r="F941" s="1"/>
    </row>
    <row r="942" spans="1:6" ht="21.75" customHeight="1" x14ac:dyDescent="0.6">
      <c r="A942" s="1"/>
      <c r="B942" s="5"/>
      <c r="C942" s="1"/>
      <c r="D942" s="38"/>
      <c r="E942" s="1"/>
      <c r="F942" s="1"/>
    </row>
    <row r="943" spans="1:6" ht="21.75" customHeight="1" x14ac:dyDescent="0.6">
      <c r="A943" s="1"/>
      <c r="B943" s="5"/>
      <c r="C943" s="1"/>
      <c r="D943" s="38"/>
      <c r="E943" s="1"/>
      <c r="F943" s="1"/>
    </row>
    <row r="944" spans="1:6" ht="21.75" customHeight="1" x14ac:dyDescent="0.6">
      <c r="A944" s="1"/>
      <c r="B944" s="5"/>
      <c r="C944" s="1"/>
      <c r="D944" s="38"/>
      <c r="E944" s="1"/>
      <c r="F944" s="1"/>
    </row>
    <row r="945" spans="1:6" ht="21.75" customHeight="1" x14ac:dyDescent="0.6">
      <c r="A945" s="1"/>
      <c r="B945" s="5"/>
      <c r="C945" s="1"/>
      <c r="D945" s="38"/>
      <c r="E945" s="1"/>
      <c r="F945" s="1"/>
    </row>
    <row r="946" spans="1:6" ht="21.75" customHeight="1" x14ac:dyDescent="0.6">
      <c r="A946" s="1"/>
      <c r="B946" s="5"/>
      <c r="C946" s="1"/>
      <c r="D946" s="38"/>
      <c r="E946" s="1"/>
      <c r="F946" s="1"/>
    </row>
    <row r="947" spans="1:6" ht="21.75" customHeight="1" x14ac:dyDescent="0.6">
      <c r="A947" s="1"/>
      <c r="B947" s="5"/>
      <c r="C947" s="1"/>
      <c r="D947" s="38"/>
      <c r="E947" s="1"/>
      <c r="F947" s="1"/>
    </row>
    <row r="948" spans="1:6" ht="21.75" customHeight="1" x14ac:dyDescent="0.6">
      <c r="A948" s="1"/>
      <c r="B948" s="5"/>
      <c r="C948" s="1"/>
      <c r="D948" s="38"/>
      <c r="E948" s="1"/>
      <c r="F948" s="1"/>
    </row>
    <row r="949" spans="1:6" ht="21.75" customHeight="1" x14ac:dyDescent="0.6">
      <c r="A949" s="1"/>
      <c r="B949" s="5"/>
      <c r="C949" s="1"/>
      <c r="D949" s="38"/>
      <c r="E949" s="1"/>
      <c r="F949" s="1"/>
    </row>
    <row r="950" spans="1:6" ht="21.75" customHeight="1" x14ac:dyDescent="0.6">
      <c r="A950" s="1"/>
      <c r="B950" s="5"/>
      <c r="C950" s="1"/>
      <c r="D950" s="38"/>
      <c r="E950" s="1"/>
      <c r="F950" s="1"/>
    </row>
    <row r="951" spans="1:6" ht="21.75" customHeight="1" x14ac:dyDescent="0.6">
      <c r="A951" s="1"/>
      <c r="B951" s="5"/>
      <c r="C951" s="1"/>
      <c r="D951" s="38"/>
      <c r="E951" s="1"/>
      <c r="F951" s="1"/>
    </row>
    <row r="952" spans="1:6" ht="21.75" customHeight="1" x14ac:dyDescent="0.6">
      <c r="A952" s="1"/>
      <c r="B952" s="5"/>
      <c r="C952" s="1"/>
      <c r="D952" s="38"/>
      <c r="E952" s="1"/>
      <c r="F952" s="1"/>
    </row>
    <row r="953" spans="1:6" ht="21.75" customHeight="1" x14ac:dyDescent="0.6">
      <c r="A953" s="1"/>
      <c r="B953" s="5"/>
      <c r="C953" s="1"/>
      <c r="D953" s="38"/>
      <c r="E953" s="1"/>
      <c r="F953" s="1"/>
    </row>
    <row r="954" spans="1:6" ht="21.75" customHeight="1" x14ac:dyDescent="0.6">
      <c r="A954" s="1"/>
      <c r="B954" s="5"/>
      <c r="C954" s="1"/>
      <c r="D954" s="38"/>
      <c r="E954" s="1"/>
      <c r="F954" s="1"/>
    </row>
    <row r="955" spans="1:6" ht="21.75" customHeight="1" x14ac:dyDescent="0.6">
      <c r="A955" s="1"/>
      <c r="B955" s="5"/>
      <c r="C955" s="1"/>
      <c r="D955" s="38"/>
      <c r="E955" s="1"/>
      <c r="F955" s="1"/>
    </row>
    <row r="956" spans="1:6" ht="21.75" customHeight="1" x14ac:dyDescent="0.6">
      <c r="A956" s="1"/>
      <c r="B956" s="5"/>
      <c r="C956" s="1"/>
      <c r="D956" s="38"/>
      <c r="E956" s="1"/>
      <c r="F956" s="1"/>
    </row>
    <row r="957" spans="1:6" ht="21.75" customHeight="1" x14ac:dyDescent="0.6">
      <c r="A957" s="1"/>
      <c r="B957" s="5"/>
      <c r="C957" s="1"/>
      <c r="D957" s="38"/>
      <c r="E957" s="1"/>
      <c r="F957" s="1"/>
    </row>
    <row r="958" spans="1:6" ht="21.75" customHeight="1" x14ac:dyDescent="0.6">
      <c r="A958" s="1"/>
      <c r="B958" s="5"/>
      <c r="C958" s="1"/>
      <c r="D958" s="38"/>
      <c r="E958" s="1"/>
      <c r="F958" s="1"/>
    </row>
    <row r="959" spans="1:6" ht="21.75" customHeight="1" x14ac:dyDescent="0.6">
      <c r="A959" s="1"/>
      <c r="B959" s="5"/>
      <c r="C959" s="1"/>
      <c r="E959" s="1"/>
      <c r="F959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S33"/>
  <sheetViews>
    <sheetView topLeftCell="E1" zoomScale="70" zoomScaleNormal="70" workbookViewId="0">
      <selection activeCell="S17" sqref="S17"/>
    </sheetView>
  </sheetViews>
  <sheetFormatPr defaultRowHeight="15" x14ac:dyDescent="0.25"/>
  <cols>
    <col min="2" max="2" width="66.140625" customWidth="1"/>
    <col min="3" max="3" width="18.28515625" bestFit="1" customWidth="1"/>
    <col min="4" max="4" width="24" customWidth="1"/>
    <col min="5" max="5" width="18.85546875" customWidth="1"/>
    <col min="6" max="6" width="20.28515625" customWidth="1"/>
    <col min="7" max="7" width="18.85546875" customWidth="1"/>
    <col min="8" max="8" width="20.28515625" customWidth="1"/>
    <col min="9" max="9" width="17.85546875" customWidth="1"/>
    <col min="10" max="16" width="21.28515625" customWidth="1"/>
    <col min="18" max="18" width="17" style="36" customWidth="1"/>
    <col min="19" max="19" width="22.140625" style="36" customWidth="1"/>
    <col min="20" max="20" width="19" customWidth="1"/>
    <col min="22" max="22" width="26.42578125" customWidth="1"/>
    <col min="23" max="23" width="14.28515625" customWidth="1"/>
    <col min="24" max="24" width="14.85546875" customWidth="1"/>
    <col min="25" max="25" width="14.28515625" customWidth="1"/>
  </cols>
  <sheetData>
    <row r="1" spans="2:19" ht="13.9" customHeight="1" x14ac:dyDescent="0.25"/>
    <row r="2" spans="2:19" ht="13.9" customHeight="1" thickBot="1" x14ac:dyDescent="0.3"/>
    <row r="3" spans="2:19" ht="13.9" customHeight="1" x14ac:dyDescent="0.25">
      <c r="C3" s="34" t="s">
        <v>21</v>
      </c>
      <c r="D3" s="56">
        <v>45597</v>
      </c>
      <c r="E3" s="34" t="s">
        <v>21</v>
      </c>
      <c r="F3" s="64">
        <v>44682</v>
      </c>
      <c r="G3" s="34" t="s">
        <v>21</v>
      </c>
      <c r="H3" s="64">
        <v>45658</v>
      </c>
      <c r="I3" s="34" t="s">
        <v>21</v>
      </c>
      <c r="J3" s="56">
        <v>45017</v>
      </c>
      <c r="K3" s="34" t="s">
        <v>21</v>
      </c>
      <c r="L3" s="56">
        <v>45017</v>
      </c>
      <c r="M3" s="34" t="s">
        <v>21</v>
      </c>
      <c r="N3" s="56">
        <v>45809</v>
      </c>
      <c r="O3" s="34" t="s">
        <v>21</v>
      </c>
      <c r="P3" s="56">
        <v>45323</v>
      </c>
    </row>
    <row r="4" spans="2:19" ht="13.9" customHeight="1" thickBot="1" x14ac:dyDescent="0.3">
      <c r="C4" s="35" t="s">
        <v>23</v>
      </c>
      <c r="D4" s="28">
        <v>2863.73</v>
      </c>
      <c r="E4" s="35" t="s">
        <v>23</v>
      </c>
      <c r="F4" s="28">
        <v>2470.83</v>
      </c>
      <c r="G4" s="35" t="s">
        <v>23</v>
      </c>
      <c r="H4" s="28">
        <v>2887.91</v>
      </c>
      <c r="I4" s="35" t="s">
        <v>23</v>
      </c>
      <c r="J4" s="28">
        <v>2680.84</v>
      </c>
      <c r="K4" s="35" t="s">
        <v>23</v>
      </c>
      <c r="L4" s="28">
        <v>2680.84</v>
      </c>
      <c r="M4" s="35" t="s">
        <v>23</v>
      </c>
      <c r="N4" s="28">
        <v>2934.53</v>
      </c>
      <c r="O4" s="35" t="s">
        <v>23</v>
      </c>
      <c r="P4" s="28">
        <v>2753.62</v>
      </c>
    </row>
    <row r="5" spans="2:19" ht="13.9" customHeight="1" x14ac:dyDescent="0.25">
      <c r="C5" s="59" t="s">
        <v>30</v>
      </c>
      <c r="D5" s="12"/>
      <c r="E5" s="59"/>
      <c r="F5" s="12"/>
      <c r="G5" s="59"/>
      <c r="H5" s="12"/>
      <c r="I5" s="59"/>
      <c r="J5" s="12"/>
      <c r="K5" s="59"/>
      <c r="L5" s="12"/>
      <c r="M5" s="59"/>
      <c r="N5" s="12" t="e">
        <f>#REF!</f>
        <v>#REF!</v>
      </c>
      <c r="O5" s="59"/>
      <c r="P5" s="12" t="e">
        <f>#REF!</f>
        <v>#REF!</v>
      </c>
    </row>
    <row r="6" spans="2:19" ht="13.9" customHeight="1" x14ac:dyDescent="0.25">
      <c r="C6" s="59" t="s">
        <v>31</v>
      </c>
      <c r="D6" s="12"/>
      <c r="E6" s="59"/>
      <c r="F6" s="12"/>
      <c r="G6" s="59"/>
      <c r="H6" s="12"/>
      <c r="I6" s="59"/>
      <c r="J6" s="138"/>
      <c r="K6" s="59"/>
      <c r="L6" s="12"/>
      <c r="M6" s="59"/>
      <c r="N6" s="12"/>
      <c r="O6" s="59"/>
      <c r="P6" s="12"/>
      <c r="Q6" s="60"/>
    </row>
    <row r="7" spans="2:19" ht="13.9" customHeight="1" thickBot="1" x14ac:dyDescent="0.3">
      <c r="J7" s="139"/>
    </row>
    <row r="8" spans="2:19" ht="13.9" customHeight="1" thickBot="1" x14ac:dyDescent="0.3">
      <c r="C8" s="159" t="s">
        <v>95</v>
      </c>
      <c r="D8" s="160"/>
      <c r="E8" s="157" t="s">
        <v>97</v>
      </c>
      <c r="F8" s="158"/>
      <c r="G8" s="157" t="s">
        <v>99</v>
      </c>
      <c r="H8" s="158"/>
      <c r="I8" s="157" t="s">
        <v>100</v>
      </c>
      <c r="J8" s="158"/>
      <c r="K8" s="157" t="s">
        <v>101</v>
      </c>
      <c r="L8" s="158"/>
      <c r="M8" s="159" t="s">
        <v>92</v>
      </c>
      <c r="N8" s="160"/>
      <c r="O8" s="159" t="s">
        <v>93</v>
      </c>
      <c r="P8" s="160"/>
    </row>
    <row r="9" spans="2:19" ht="19.149999999999999" customHeight="1" thickBot="1" x14ac:dyDescent="0.3">
      <c r="C9" s="159" t="s">
        <v>94</v>
      </c>
      <c r="D9" s="160"/>
      <c r="E9" s="157" t="s">
        <v>96</v>
      </c>
      <c r="F9" s="158"/>
      <c r="G9" s="161" t="s">
        <v>98</v>
      </c>
      <c r="H9" s="159"/>
      <c r="I9" s="161" t="s">
        <v>89</v>
      </c>
      <c r="J9" s="160"/>
      <c r="K9" s="161" t="s">
        <v>102</v>
      </c>
      <c r="L9" s="160"/>
      <c r="M9" s="159" t="s">
        <v>90</v>
      </c>
      <c r="N9" s="160"/>
      <c r="O9" s="159" t="s">
        <v>91</v>
      </c>
      <c r="P9" s="160"/>
      <c r="R9" s="162" t="s">
        <v>26</v>
      </c>
      <c r="S9" s="162"/>
    </row>
    <row r="10" spans="2:19" ht="19.149999999999999" customHeight="1" thickBot="1" x14ac:dyDescent="0.3">
      <c r="B10" s="12"/>
      <c r="C10" s="31" t="s">
        <v>24</v>
      </c>
      <c r="D10" s="31" t="s">
        <v>25</v>
      </c>
      <c r="E10" s="31" t="s">
        <v>24</v>
      </c>
      <c r="F10" s="31" t="s">
        <v>25</v>
      </c>
      <c r="G10" s="31" t="s">
        <v>24</v>
      </c>
      <c r="H10" s="31" t="s">
        <v>25</v>
      </c>
      <c r="I10" s="32" t="s">
        <v>24</v>
      </c>
      <c r="J10" s="33" t="s">
        <v>25</v>
      </c>
      <c r="K10" s="31" t="s">
        <v>24</v>
      </c>
      <c r="L10" s="31" t="s">
        <v>25</v>
      </c>
      <c r="M10" s="31" t="s">
        <v>24</v>
      </c>
      <c r="N10" s="31" t="s">
        <v>25</v>
      </c>
      <c r="O10" s="31" t="s">
        <v>24</v>
      </c>
      <c r="P10" s="31" t="s">
        <v>25</v>
      </c>
      <c r="R10" s="37" t="s">
        <v>27</v>
      </c>
      <c r="S10" s="37" t="s">
        <v>28</v>
      </c>
    </row>
    <row r="11" spans="2:19" ht="19.149999999999999" customHeight="1" x14ac:dyDescent="0.25">
      <c r="B11" s="67" t="s">
        <v>16</v>
      </c>
      <c r="C11" s="23">
        <v>348.23952705933982</v>
      </c>
      <c r="D11" s="47">
        <f>(GER_EXECUTIVO!$B$20/CÁLCULO_MÉDIAS!D$4)*C11</f>
        <v>360.61997711919577</v>
      </c>
      <c r="E11" s="24">
        <v>497.92</v>
      </c>
      <c r="F11" s="47">
        <f>(GER_EXECUTIVO!$B$20/CÁLCULO_MÉDIAS!F$4)*E11</f>
        <v>597.61362651416732</v>
      </c>
      <c r="G11" s="24">
        <v>349.09453969724296</v>
      </c>
      <c r="H11" s="47">
        <f>(GER_EXECUTIVO!$B$20/CÁLCULO_MÉDIAS!H$4)*G11</f>
        <v>358.47856105410551</v>
      </c>
      <c r="I11" s="54">
        <v>263.25797921470991</v>
      </c>
      <c r="J11" s="48">
        <f>(GER_EXECUTIVO!$B$20/CÁLCULO_MÉDIAS!J$4)*I11</f>
        <v>291.21546518270048</v>
      </c>
      <c r="K11" s="25">
        <v>830.79083831989851</v>
      </c>
      <c r="L11" s="48">
        <f>(GER_EXECUTIVO!$B$20/CÁLCULO_MÉDIAS!L$4)*K11</f>
        <v>919.01921139314231</v>
      </c>
      <c r="M11" s="25">
        <v>494.37279952755347</v>
      </c>
      <c r="N11" s="48">
        <f>(GER_EXECUTIVO!$B$20/CÁLCULO_MÉDIAS!N$4)*M11</f>
        <v>499.59697529449033</v>
      </c>
      <c r="O11" s="25">
        <v>353.32967195394065</v>
      </c>
      <c r="P11" s="48">
        <f>(GER_EXECUTIVO!$B$20/CÁLCULO_MÉDIAS!P$4)*O11</f>
        <v>380.52210376387779</v>
      </c>
      <c r="R11" s="57">
        <v>360</v>
      </c>
      <c r="S11" s="57">
        <v>420</v>
      </c>
    </row>
    <row r="12" spans="2:19" ht="19.149999999999999" customHeight="1" x14ac:dyDescent="0.25">
      <c r="B12" s="2" t="s">
        <v>2</v>
      </c>
      <c r="C12" s="23">
        <v>8.9791864389273481</v>
      </c>
      <c r="D12" s="47">
        <f>(GER_EXECUTIVO!$B$20/CÁLCULO_MÉDIAS!D$4)*C12</f>
        <v>9.2984103082680996</v>
      </c>
      <c r="E12" s="24">
        <v>3.34</v>
      </c>
      <c r="F12" s="47">
        <f>(GER_EXECUTIVO!$B$20/CÁLCULO_MÉDIAS!F$4)*E12</f>
        <v>4.0087353642298336</v>
      </c>
      <c r="G12" s="24">
        <v>14.09479373349525</v>
      </c>
      <c r="H12" s="47">
        <f>(GER_EXECUTIVO!$B$20/CÁLCULO_MÉDIAS!H$4)*G12</f>
        <v>14.473676329397211</v>
      </c>
      <c r="I12" s="54">
        <v>26.515284956661631</v>
      </c>
      <c r="J12" s="48">
        <f>(GER_EXECUTIVO!$B$20/CÁLCULO_MÉDIAS!J$4)*I12</f>
        <v>29.331156708486269</v>
      </c>
      <c r="K12" s="25">
        <v>22.96789091648397</v>
      </c>
      <c r="L12" s="48">
        <f>(GER_EXECUTIVO!$B$20/CÁLCULO_MÉDIAS!L$4)*K12</f>
        <v>25.407036312674336</v>
      </c>
      <c r="M12" s="25">
        <v>90.726936399608945</v>
      </c>
      <c r="N12" s="48">
        <f>(GER_EXECUTIVO!$B$20/CÁLCULO_MÉDIAS!N$4)*M12</f>
        <v>91.685673334570197</v>
      </c>
      <c r="O12" s="25">
        <v>6.8428238485249304</v>
      </c>
      <c r="P12" s="48">
        <f>(GER_EXECUTIVO!$B$20/CÁLCULO_MÉDIAS!P$4)*O12</f>
        <v>7.3694510628752772</v>
      </c>
      <c r="R12" s="57">
        <v>15</v>
      </c>
      <c r="S12" s="57">
        <v>25</v>
      </c>
    </row>
    <row r="13" spans="2:19" ht="19.149999999999999" customHeight="1" x14ac:dyDescent="0.25">
      <c r="B13" s="67" t="s">
        <v>3</v>
      </c>
      <c r="C13" s="58">
        <v>209.58679386534254</v>
      </c>
      <c r="D13" s="47">
        <f>(GER_EXECUTIVO!$B$20/CÁLCULO_MÉDIAS!D$4)*C13</f>
        <v>217.03792629871805</v>
      </c>
      <c r="E13" s="24">
        <v>107.1</v>
      </c>
      <c r="F13" s="47">
        <f>(GER_EXECUTIVO!$B$20/CÁLCULO_MÉDIAS!F$4)*E13</f>
        <v>128.54358009251951</v>
      </c>
      <c r="G13" s="24">
        <v>234.22275952420136</v>
      </c>
      <c r="H13" s="47">
        <f>(GER_EXECUTIVO!$B$20/CÁLCULO_MÉDIAS!H$4)*G13</f>
        <v>240.51890892700953</v>
      </c>
      <c r="I13" s="58">
        <v>309.92994415253145</v>
      </c>
      <c r="J13" s="48">
        <f>(GER_EXECUTIVO!$B$20/CÁLCULO_MÉDIAS!J$4)*I13</f>
        <v>342.84390212847393</v>
      </c>
      <c r="K13" s="26">
        <v>218.67529901834726</v>
      </c>
      <c r="L13" s="48">
        <f>(GER_EXECUTIVO!$B$20/CÁLCULO_MÉDIAS!L$4)*K13</f>
        <v>241.8981909591283</v>
      </c>
      <c r="M13" s="26">
        <v>151.78678945015187</v>
      </c>
      <c r="N13" s="48">
        <f>(GER_EXECUTIVO!$B$20/CÁLCULO_MÉDIAS!N$4)*M13</f>
        <v>153.39076294534502</v>
      </c>
      <c r="O13" s="26">
        <v>167.92236630666747</v>
      </c>
      <c r="P13" s="48">
        <f>(GER_EXECUTIVO!$B$20/CÁLCULO_MÉDIAS!P$4)*O13</f>
        <v>180.84575728570923</v>
      </c>
      <c r="R13" s="57">
        <v>240</v>
      </c>
      <c r="S13" s="57">
        <v>340</v>
      </c>
    </row>
    <row r="14" spans="2:19" ht="19.149999999999999" customHeight="1" x14ac:dyDescent="0.25">
      <c r="B14" s="2" t="s">
        <v>4</v>
      </c>
      <c r="C14" s="58">
        <v>651.15795844117008</v>
      </c>
      <c r="D14" s="47">
        <f>(GER_EXECUTIVO!$B$20/CÁLCULO_MÉDIAS!D$4)*C14</f>
        <v>674.30762399933906</v>
      </c>
      <c r="E14" s="24">
        <v>427.85</v>
      </c>
      <c r="F14" s="47">
        <f>(GER_EXECUTIVO!$B$20/CÁLCULO_MÉDIAS!F$4)*E14</f>
        <v>513.51419927716597</v>
      </c>
      <c r="G14" s="24">
        <v>769.31259625001178</v>
      </c>
      <c r="H14" s="47">
        <f>(GER_EXECUTIVO!$B$20/CÁLCULO_MÉDIAS!H$4)*G14</f>
        <v>789.99251246862264</v>
      </c>
      <c r="I14" s="58">
        <v>776.71351288528933</v>
      </c>
      <c r="J14" s="48">
        <f>(GER_EXECUTIVO!$B$20/CÁLCULO_MÉDIAS!J$4)*I14</f>
        <v>859.19897905202879</v>
      </c>
      <c r="K14" s="26">
        <v>985.74568462152888</v>
      </c>
      <c r="L14" s="48">
        <f>(GER_EXECUTIVO!$B$20/CÁLCULO_MÉDIAS!L$4)*K14</f>
        <v>1090.4299613451487</v>
      </c>
      <c r="M14" s="26">
        <v>1051.5758310203914</v>
      </c>
      <c r="N14" s="48">
        <f>(GER_EXECUTIVO!$B$20/CÁLCULO_MÉDIAS!N$4)*M14</f>
        <v>1062.6881272040876</v>
      </c>
      <c r="O14" s="26">
        <v>649.76456825582534</v>
      </c>
      <c r="P14" s="48">
        <f>(GER_EXECUTIVO!$B$20/CÁLCULO_MÉDIAS!P$4)*O14</f>
        <v>699.7707809158054</v>
      </c>
      <c r="R14" s="143">
        <v>670</v>
      </c>
      <c r="S14" s="143">
        <v>700</v>
      </c>
    </row>
    <row r="15" spans="2:19" ht="19.149999999999999" customHeight="1" x14ac:dyDescent="0.25">
      <c r="B15" s="67" t="s">
        <v>33</v>
      </c>
      <c r="C15" s="58">
        <v>183.17402717318717</v>
      </c>
      <c r="D15" s="47">
        <f>(GER_EXECUTIVO!$B$20/CÁLCULO_MÉDIAS!D$4)*C15</f>
        <v>189.68614518239269</v>
      </c>
      <c r="E15" s="24">
        <v>88.69</v>
      </c>
      <c r="F15" s="47">
        <f>(GER_EXECUTIVO!$B$20/CÁLCULO_MÉDIAS!F$4)*E15</f>
        <v>106.44752678249817</v>
      </c>
      <c r="G15" s="24">
        <v>213.31803130946099</v>
      </c>
      <c r="H15" s="47">
        <f>(GER_EXECUTIVO!$B$20/CÁLCULO_MÉDIAS!H$4)*G15</f>
        <v>219.05224005230735</v>
      </c>
      <c r="I15" s="58">
        <v>98.694029887265188</v>
      </c>
      <c r="J15" s="48">
        <f>(GER_EXECUTIVO!$B$20/CÁLCULO_MÉDIAS!J$4)*I15</f>
        <v>109.17514413089941</v>
      </c>
      <c r="K15" s="26">
        <v>223.60659010583026</v>
      </c>
      <c r="L15" s="48">
        <f>(GER_EXECUTIVO!$B$20/CÁLCULO_MÉDIAS!L$4)*K15</f>
        <v>247.35317558020762</v>
      </c>
      <c r="M15" s="26">
        <v>203.85761447227938</v>
      </c>
      <c r="N15" s="48">
        <f>(GER_EXECUTIVO!$B$20/CÁLCULO_MÉDIAS!N$4)*M15</f>
        <v>206.01183495214678</v>
      </c>
      <c r="O15" s="26">
        <v>158.61182373426504</v>
      </c>
      <c r="P15" s="48">
        <f>(GER_EXECUTIVO!$B$20/CÁLCULO_MÉDIAS!P$4)*O15</f>
        <v>170.81867060702362</v>
      </c>
      <c r="R15" s="57">
        <v>110</v>
      </c>
      <c r="S15" s="57">
        <v>170</v>
      </c>
    </row>
    <row r="16" spans="2:19" ht="19.149999999999999" customHeight="1" x14ac:dyDescent="0.25">
      <c r="B16" s="2" t="s">
        <v>6</v>
      </c>
      <c r="C16" s="13">
        <v>398.50014012165002</v>
      </c>
      <c r="D16" s="47">
        <f>(GER_EXECUTIVO!$B$20/CÁLCULO_MÉDIAS!D$4)*C16</f>
        <v>412.66743217285074</v>
      </c>
      <c r="E16" s="15">
        <v>361.85</v>
      </c>
      <c r="F16" s="47">
        <f>(GER_EXECUTIVO!$B$20/CÁLCULO_MÉDIAS!F$4)*E16</f>
        <v>434.29966812771414</v>
      </c>
      <c r="G16" s="24">
        <v>444.29</v>
      </c>
      <c r="H16" s="47">
        <f>(GER_EXECUTIVO!$B$20/CÁLCULO_MÉDIAS!H$4)*G16</f>
        <v>456.23297353449379</v>
      </c>
      <c r="I16" s="58">
        <v>252.23202573999424</v>
      </c>
      <c r="J16" s="48">
        <f>(GER_EXECUTIVO!$B$20/CÁLCULO_MÉDIAS!J$4)*I16</f>
        <v>279.01857686881067</v>
      </c>
      <c r="K16" s="26">
        <v>366.15</v>
      </c>
      <c r="L16" s="48">
        <f>(GER_EXECUTIVO!$B$20/CÁLCULO_MÉDIAS!L$4)*K16</f>
        <v>405.03441868966439</v>
      </c>
      <c r="M16" s="142">
        <v>419.07</v>
      </c>
      <c r="N16" s="48">
        <f>(GER_EXECUTIVO!$B$20/CÁLCULO_MÉDIAS!N$4)*M16</f>
        <v>423.49843000412324</v>
      </c>
      <c r="O16" s="26">
        <v>340.84</v>
      </c>
      <c r="P16" s="48">
        <f>(GER_EXECUTIVO!$B$20/CÁLCULO_MÉDIAS!P$4)*O16</f>
        <v>367.07122028457081</v>
      </c>
      <c r="R16" s="57">
        <v>360</v>
      </c>
      <c r="S16" s="57">
        <v>430</v>
      </c>
    </row>
    <row r="17" spans="2:19" ht="19.149999999999999" customHeight="1" x14ac:dyDescent="0.25">
      <c r="B17" s="67" t="s">
        <v>20</v>
      </c>
      <c r="C17" s="13">
        <v>231.0811560149312</v>
      </c>
      <c r="D17" s="47">
        <f>(GER_EXECUTIVO!$B$20/CÁLCULO_MÉDIAS!D$4)*C17</f>
        <v>239.29644603664417</v>
      </c>
      <c r="E17" s="15">
        <v>395.93</v>
      </c>
      <c r="F17" s="47">
        <f>(GER_EXECUTIVO!$B$20/CÁLCULO_MÉDIAS!F$4)*E17</f>
        <v>475.20317148488562</v>
      </c>
      <c r="G17" s="15">
        <v>219.95619215424381</v>
      </c>
      <c r="H17" s="47">
        <f>(GER_EXECUTIVO!$B$20/CÁLCULO_MÉDIAS!H$4)*G17</f>
        <v>225.86884150859831</v>
      </c>
      <c r="I17" s="58">
        <v>247.28447097827882</v>
      </c>
      <c r="J17" s="48">
        <f>(GER_EXECUTIVO!$B$20/CÁLCULO_MÉDIAS!J$4)*I17</f>
        <v>273.5456014028905</v>
      </c>
      <c r="K17" s="26">
        <v>254.94</v>
      </c>
      <c r="L17" s="48">
        <f>(GER_EXECUTIVO!$B$20/CÁLCULO_MÉDIAS!L$4)*K17</f>
        <v>282.01413273451601</v>
      </c>
      <c r="M17" s="26">
        <v>171.69117309538061</v>
      </c>
      <c r="N17" s="48">
        <f>(GER_EXECUTIVO!$B$20/CÁLCULO_MÉDIAS!N$4)*M17</f>
        <v>173.50548178457024</v>
      </c>
      <c r="O17" s="26">
        <v>122.47620833702413</v>
      </c>
      <c r="P17" s="48">
        <f>(GER_EXECUTIVO!$B$20/CÁLCULO_MÉDIAS!P$4)*O17</f>
        <v>131.902039813692</v>
      </c>
      <c r="R17" s="57">
        <v>130</v>
      </c>
      <c r="S17" s="57">
        <v>180</v>
      </c>
    </row>
    <row r="18" spans="2:19" ht="19.149999999999999" customHeight="1" x14ac:dyDescent="0.25">
      <c r="B18" s="2" t="s">
        <v>7</v>
      </c>
      <c r="C18" s="13">
        <v>48.36638165523906</v>
      </c>
      <c r="D18" s="47">
        <f>(GER_EXECUTIVO!$B$20/CÁLCULO_MÉDIAS!D$4)*C18</f>
        <v>50.08588081064822</v>
      </c>
      <c r="E18" s="15">
        <v>50.44</v>
      </c>
      <c r="F18" s="47">
        <f>(GER_EXECUTIVO!$B$20/CÁLCULO_MÉDIAS!F$4)*E18</f>
        <v>60.539105320884069</v>
      </c>
      <c r="G18" s="15">
        <v>48.289899001355323</v>
      </c>
      <c r="H18" s="47">
        <f>(GER_EXECUTIVO!$B$20/CÁLCULO_MÉDIAS!H$4)*G18</f>
        <v>49.58798130290738</v>
      </c>
      <c r="I18" s="58">
        <v>50.859372037117453</v>
      </c>
      <c r="J18" s="48">
        <f>(GER_EXECUTIVO!$B$20/CÁLCULO_MÉDIAS!J$4)*I18</f>
        <v>56.260538544244817</v>
      </c>
      <c r="K18" s="55">
        <v>79.430797171560968</v>
      </c>
      <c r="L18" s="48">
        <f>(GER_EXECUTIVO!$B$20/CÁLCULO_MÉDIAS!L$4)*K18</f>
        <v>87.866193522981931</v>
      </c>
      <c r="M18" s="55">
        <v>52.586140324300992</v>
      </c>
      <c r="N18" s="48">
        <f>(GER_EXECUTIVO!$B$20/CÁLCULO_MÉDIAS!N$4)*M18</f>
        <v>53.141832790030271</v>
      </c>
      <c r="O18" s="55">
        <v>60.962017523292999</v>
      </c>
      <c r="P18" s="48">
        <f>(GER_EXECUTIVO!$B$20/CÁLCULO_MÉDIAS!P$4)*O18</f>
        <v>65.653685492561181</v>
      </c>
      <c r="R18" s="57">
        <v>60</v>
      </c>
      <c r="S18" s="57">
        <v>90</v>
      </c>
    </row>
    <row r="19" spans="2:19" ht="19.149999999999999" customHeight="1" x14ac:dyDescent="0.25">
      <c r="B19" s="67" t="s">
        <v>46</v>
      </c>
      <c r="C19" s="13">
        <f>([2]Ger_Executivo!$N$196+[2]Ger_Executivo!$N$207+[2]Ger_Executivo!$N$210)/[2]Obra!$E$9</f>
        <v>223.05440088641723</v>
      </c>
      <c r="D19" s="47">
        <f>(GER_EXECUTIVO!$B$20/CÁLCULO_MÉDIAS!D$4)*C19</f>
        <v>230.98432743474618</v>
      </c>
      <c r="E19" s="15">
        <v>220.75150393636491</v>
      </c>
      <c r="F19" s="47">
        <f>(GER_EXECUTIVO!$B$20/CÁLCULO_MÉDIAS!F$4)*E19</f>
        <v>264.95040734629561</v>
      </c>
      <c r="G19" s="15">
        <v>116.32389229010433</v>
      </c>
      <c r="H19" s="47">
        <f>(GER_EXECUTIVO!$B$20/CÁLCULO_MÉDIAS!H$4)*G19</f>
        <v>119.45079851588034</v>
      </c>
      <c r="I19" s="58"/>
      <c r="J19" s="48">
        <f>(GER_EXECUTIVO!$B$20/CÁLCULO_MÉDIAS!J$4)*I19</f>
        <v>0</v>
      </c>
      <c r="K19" s="26">
        <f>[3]Ger_Executivo!$N$1463/[3]OBRA!$E$9+[3]OBRA!$E$43</f>
        <v>119.86634724381629</v>
      </c>
      <c r="L19" s="48">
        <f>(GER_EXECUTIVO!$B$20/CÁLCULO_MÉDIAS!L$4)*K19</f>
        <v>132.5959204597913</v>
      </c>
      <c r="M19" s="26">
        <v>121.28928389175782</v>
      </c>
      <c r="N19" s="48">
        <f>(GER_EXECUTIVO!$B$20/CÁLCULO_MÉDIAS!N$4)*M19</f>
        <v>122.57098170826791</v>
      </c>
      <c r="O19" s="26">
        <v>168.50558299396542</v>
      </c>
      <c r="P19" s="48">
        <f>(GER_EXECUTIVO!$B$20/CÁLCULO_MÉDIAS!P$4)*O19</f>
        <v>181.47385862679826</v>
      </c>
      <c r="R19" s="57">
        <v>120</v>
      </c>
      <c r="S19" s="57">
        <v>160</v>
      </c>
    </row>
    <row r="20" spans="2:19" ht="19.149999999999999" customHeight="1" x14ac:dyDescent="0.25">
      <c r="B20" s="2" t="s">
        <v>18</v>
      </c>
      <c r="C20" s="13">
        <f>([2]Ger_Executivo!$N$242+[2]Ger_Executivo!$N$208+[2]Ger_Executivo!$N$200)/[2]Obra!$E$9</f>
        <v>70.555596455895625</v>
      </c>
      <c r="D20" s="47">
        <f>(GER_EXECUTIVO!$B$20/CÁLCULO_MÉDIAS!D$4)*C20</f>
        <v>73.063956278635445</v>
      </c>
      <c r="E20" s="15">
        <v>66.569999999999993</v>
      </c>
      <c r="F20" s="47">
        <f>(GER_EXECUTIVO!$B$20/CÁLCULO_MÉDIAS!F$4)*E20</f>
        <v>79.898656645742506</v>
      </c>
      <c r="G20" s="15">
        <v>104.03196381925368</v>
      </c>
      <c r="H20" s="47">
        <f>(GER_EXECUTIVO!$B$20/CÁLCULO_MÉDIAS!H$4)*G20</f>
        <v>106.82845032724342</v>
      </c>
      <c r="I20" s="58">
        <v>63.568288057939455</v>
      </c>
      <c r="J20" s="48">
        <f>(GER_EXECUTIVO!$B$20/CÁLCULO_MÉDIAS!J$4)*I20</f>
        <v>70.319116757188695</v>
      </c>
      <c r="K20" s="142">
        <v>83.16</v>
      </c>
      <c r="L20" s="48">
        <f>(GER_EXECUTIVO!$B$20/CÁLCULO_MÉDIAS!L$4)*K20</f>
        <v>91.991430447173258</v>
      </c>
      <c r="M20" s="26">
        <v>108.19728307086223</v>
      </c>
      <c r="N20" s="48">
        <f>(GER_EXECUTIVO!$B$20/CÁLCULO_MÉDIAS!N$4)*M20</f>
        <v>109.34063404973359</v>
      </c>
      <c r="O20" s="26">
        <v>53.679930572512575</v>
      </c>
      <c r="P20" s="48">
        <f>(GER_EXECUTIVO!$B$20/CÁLCULO_MÉDIAS!P$4)*O20</f>
        <v>57.811165414984252</v>
      </c>
      <c r="R20" s="57">
        <v>80</v>
      </c>
      <c r="S20" s="57">
        <v>110</v>
      </c>
    </row>
    <row r="21" spans="2:19" ht="19.149999999999999" customHeight="1" x14ac:dyDescent="0.25">
      <c r="B21" s="67" t="s">
        <v>47</v>
      </c>
      <c r="C21" s="13">
        <f>([2]Ger_Executivo!$N$202+[2]Ger_Executivo!$N$209+[2]Ger_Executivo!$N$221)/[2]Obra!$E$9</f>
        <v>185.88186110195042</v>
      </c>
      <c r="D21" s="47">
        <f>(GER_EXECUTIVO!$B$20/CÁLCULO_MÉDIAS!D$4)*C21</f>
        <v>192.4902467663774</v>
      </c>
      <c r="E21" s="15">
        <v>170.06849606363508</v>
      </c>
      <c r="F21" s="47">
        <f>(GER_EXECUTIVO!$B$20/CÁLCULO_MÉDIAS!F$4)*E21</f>
        <v>204.11963907535215</v>
      </c>
      <c r="G21" s="15">
        <v>205.46341229353217</v>
      </c>
      <c r="H21" s="47">
        <f>(GER_EXECUTIVO!$B$20/CÁLCULO_MÉDIAS!H$4)*G21</f>
        <v>210.98648077431824</v>
      </c>
      <c r="I21" s="58"/>
      <c r="J21" s="48">
        <f>(GER_EXECUTIVO!$B$20/CÁLCULO_MÉDIAS!J$4)*I21</f>
        <v>0</v>
      </c>
      <c r="K21" s="26">
        <f>[3]Ger_Executivo!$N$1721/[3]OBRA!$E$9+[3]OBRA!$E$44</f>
        <v>201.68774850152323</v>
      </c>
      <c r="L21" s="48">
        <f>(GER_EXECUTIVO!$B$20/CÁLCULO_MÉDIAS!L$4)*K21</f>
        <v>223.10659557870187</v>
      </c>
      <c r="M21" s="26">
        <v>160.67916244448992</v>
      </c>
      <c r="N21" s="48">
        <f>(GER_EXECUTIVO!$B$20/CÁLCULO_MÉDIAS!N$4)*M21</f>
        <v>162.37710413443807</v>
      </c>
      <c r="O21" s="26">
        <v>142.21829092337595</v>
      </c>
      <c r="P21" s="48">
        <f>(GER_EXECUTIVO!$B$20/CÁLCULO_MÉDIAS!P$4)*O21</f>
        <v>153.16348314760506</v>
      </c>
      <c r="R21" s="57">
        <v>160</v>
      </c>
      <c r="S21" s="57">
        <v>200</v>
      </c>
    </row>
    <row r="22" spans="2:19" ht="19.149999999999999" customHeight="1" x14ac:dyDescent="0.25">
      <c r="B22" s="2" t="s">
        <v>9</v>
      </c>
      <c r="C22" s="13">
        <v>169.5326093984566</v>
      </c>
      <c r="D22" s="47">
        <f>(GER_EXECUTIVO!$B$20/CÁLCULO_MÉDIAS!D$4)*C22</f>
        <v>175.55975405345438</v>
      </c>
      <c r="E22" s="15">
        <v>149.19</v>
      </c>
      <c r="F22" s="47">
        <f>(GER_EXECUTIVO!$B$20/CÁLCULO_MÉDIAS!F$4)*E22</f>
        <v>179.06084700282901</v>
      </c>
      <c r="G22" s="15">
        <v>110.60375867240515</v>
      </c>
      <c r="H22" s="47">
        <f>(GER_EXECUTIVO!$B$20/CÁLCULO_MÉDIAS!H$4)*G22</f>
        <v>113.5769018055841</v>
      </c>
      <c r="I22" s="58">
        <v>133.62134559979447</v>
      </c>
      <c r="J22" s="48">
        <f>(GER_EXECUTIVO!$B$20/CÁLCULO_MÉDIAS!J$4)*I22</f>
        <v>147.81167291968728</v>
      </c>
      <c r="K22" s="26">
        <v>148.07043587926776</v>
      </c>
      <c r="L22" s="48">
        <f>(GER_EXECUTIVO!$B$20/CÁLCULO_MÉDIAS!L$4)*K22</f>
        <v>163.79522851695873</v>
      </c>
      <c r="M22" s="26">
        <v>163.94097140966116</v>
      </c>
      <c r="N22" s="48">
        <f>(GER_EXECUTIVO!$B$20/CÁLCULO_MÉDIAS!N$4)*M22</f>
        <v>165.6733815480525</v>
      </c>
      <c r="O22" s="26">
        <v>139.1207453098005</v>
      </c>
      <c r="P22" s="48">
        <f>(GER_EXECUTIVO!$B$20/CÁLCULO_MÉDIAS!P$4)*O22</f>
        <v>149.82754884335012</v>
      </c>
      <c r="R22" s="57">
        <v>150</v>
      </c>
      <c r="S22" s="57">
        <v>180</v>
      </c>
    </row>
    <row r="23" spans="2:19" ht="19.149999999999999" customHeight="1" x14ac:dyDescent="0.25">
      <c r="B23" s="67" t="s">
        <v>10</v>
      </c>
      <c r="C23" s="13">
        <v>441.4835105553521</v>
      </c>
      <c r="D23" s="47">
        <f>(GER_EXECUTIVO!$B$20/CÁLCULO_MÉDIAS!D$4)*C23</f>
        <v>457.17892744508691</v>
      </c>
      <c r="E23" s="15">
        <v>313.81</v>
      </c>
      <c r="F23" s="47">
        <f>(GER_EXECUTIVO!$B$20/CÁLCULO_MÉDIAS!F$4)*E23</f>
        <v>376.64109121226466</v>
      </c>
      <c r="G23" s="15">
        <v>306.96786114173449</v>
      </c>
      <c r="H23" s="47">
        <f>(GER_EXECUTIVO!$B$20/CÁLCULO_MÉDIAS!H$4)*G23</f>
        <v>315.21947392067597</v>
      </c>
      <c r="I23" s="58">
        <v>259.79040438950091</v>
      </c>
      <c r="J23" s="48">
        <f>(GER_EXECUTIVO!$B$20/CÁLCULO_MÉDIAS!J$4)*I23</f>
        <v>287.37964064742408</v>
      </c>
      <c r="K23" s="26">
        <v>395.060368438377</v>
      </c>
      <c r="L23" s="48">
        <f>(GER_EXECUTIVO!$B$20/CÁLCULO_MÉDIAS!L$4)*K23</f>
        <v>437.01501209275614</v>
      </c>
      <c r="M23" s="26">
        <v>325.9036831936379</v>
      </c>
      <c r="N23" s="48">
        <f>(GER_EXECUTIVO!$B$20/CÁLCULO_MÉDIAS!N$4)*M23</f>
        <v>329.34759864716352</v>
      </c>
      <c r="O23" s="26">
        <v>228.01195858508336</v>
      </c>
      <c r="P23" s="48">
        <f>(GER_EXECUTIVO!$B$20/CÁLCULO_MÉDIAS!P$4)*O23</f>
        <v>245.5598752414669</v>
      </c>
      <c r="R23" s="57">
        <v>290</v>
      </c>
      <c r="S23" s="57">
        <v>340</v>
      </c>
    </row>
    <row r="24" spans="2:19" ht="19.149999999999999" customHeight="1" x14ac:dyDescent="0.25">
      <c r="B24" s="2" t="s">
        <v>19</v>
      </c>
      <c r="C24" s="13">
        <v>100.67724746508304</v>
      </c>
      <c r="D24" s="47">
        <f>(GER_EXECUTIVO!$B$20/CÁLCULO_MÉDIAS!D$4)*C24</f>
        <v>104.25647824606452</v>
      </c>
      <c r="E24" s="15"/>
      <c r="F24" s="47">
        <f>(GER_EXECUTIVO!$B$20/CÁLCULO_MÉDIAS!F$4)*E24</f>
        <v>0</v>
      </c>
      <c r="G24" s="15">
        <v>2.590613367383328</v>
      </c>
      <c r="H24" s="47">
        <f>(GER_EXECUTIVO!$B$20/CÁLCULO_MÉDIAS!H$4)*G24</f>
        <v>2.6602517272040869</v>
      </c>
      <c r="I24" s="13">
        <v>4.0117126760907995</v>
      </c>
      <c r="J24" s="48">
        <f>(GER_EXECUTIVO!$B$20/CÁLCULO_MÉDIAS!J$4)*I24</f>
        <v>4.4377487688389863</v>
      </c>
      <c r="K24" s="27"/>
      <c r="L24" s="48">
        <f>(GER_EXECUTIVO!$B$20/CÁLCULO_MÉDIAS!L$4)*K24</f>
        <v>0</v>
      </c>
      <c r="M24" s="27">
        <v>0</v>
      </c>
      <c r="N24" s="48">
        <f>(GER_EXECUTIVO!$B$20/CÁLCULO_MÉDIAS!N$4)*M24</f>
        <v>0</v>
      </c>
      <c r="O24" s="27"/>
      <c r="P24" s="48">
        <f>(GER_EXECUTIVO!$B$20/CÁLCULO_MÉDIAS!P$4)*O24</f>
        <v>0</v>
      </c>
      <c r="R24" s="57">
        <v>3</v>
      </c>
      <c r="S24" s="57">
        <v>5</v>
      </c>
    </row>
    <row r="25" spans="2:19" ht="19.149999999999999" customHeight="1" x14ac:dyDescent="0.25">
      <c r="B25" s="67" t="s">
        <v>11</v>
      </c>
      <c r="C25" s="13">
        <v>11.757488347426149</v>
      </c>
      <c r="D25" s="47">
        <f>(GER_EXECUTIVO!$B$20/CÁLCULO_MÉDIAS!D$4)*C25</f>
        <v>12.175485116902131</v>
      </c>
      <c r="E25" s="15">
        <v>84.76</v>
      </c>
      <c r="F25" s="47">
        <f>(GER_EXECUTIVO!$B$20/CÁLCULO_MÉDIAS!F$4)*E25</f>
        <v>101.73066151859901</v>
      </c>
      <c r="G25" s="15">
        <v>334.40652778205083</v>
      </c>
      <c r="H25" s="47">
        <f>(GER_EXECUTIVO!$B$20/CÁLCULO_MÉDIAS!H$4)*G25</f>
        <v>343.39572022631694</v>
      </c>
      <c r="I25" s="13">
        <v>231.41622696215464</v>
      </c>
      <c r="J25" s="48">
        <f>(GER_EXECUTIVO!$B$20/CÁLCULO_MÉDIAS!J$4)*I25</f>
        <v>255.99218069908983</v>
      </c>
      <c r="K25" s="26">
        <v>179.37177231105946</v>
      </c>
      <c r="L25" s="48">
        <f>(GER_EXECUTIVO!$B$20/CÁLCULO_MÉDIAS!L$4)*K25</f>
        <v>198.42070606949287</v>
      </c>
      <c r="M25" s="27">
        <v>165.05702399583092</v>
      </c>
      <c r="N25" s="48">
        <f>(GER_EXECUTIVO!$B$20/CÁLCULO_MÉDIAS!N$4)*M25</f>
        <v>166.80122777432717</v>
      </c>
      <c r="O25" s="27">
        <v>165.5221412653739</v>
      </c>
      <c r="P25" s="48">
        <f>(GER_EXECUTIVO!$B$20/CÁLCULO_MÉDIAS!P$4)*O25</f>
        <v>178.26080970072738</v>
      </c>
      <c r="R25" s="57">
        <v>100</v>
      </c>
      <c r="S25" s="57">
        <v>160</v>
      </c>
    </row>
    <row r="26" spans="2:19" ht="19.149999999999999" customHeight="1" thickBot="1" x14ac:dyDescent="0.3">
      <c r="B26" s="2" t="s">
        <v>12</v>
      </c>
      <c r="C26" s="13">
        <v>194.43790437772631</v>
      </c>
      <c r="D26" s="47">
        <f>(GER_EXECUTIVO!$B$20/CÁLCULO_MÉDIAS!D$4)*C26</f>
        <v>201.35047052212408</v>
      </c>
      <c r="E26" s="15">
        <v>182.12</v>
      </c>
      <c r="F26" s="47">
        <f>(GER_EXECUTIVO!$B$20/CÁLCULO_MÉDIAS!F$4)*E26</f>
        <v>218.58409716572973</v>
      </c>
      <c r="G26" s="15">
        <v>180.70369963647789</v>
      </c>
      <c r="H26" s="47">
        <f>(GER_EXECUTIVO!$B$20/CÁLCULO_MÉDIAS!H$4)*G26</f>
        <v>185.56120149864805</v>
      </c>
      <c r="I26" s="13">
        <v>106.3411430074443</v>
      </c>
      <c r="J26" s="48">
        <f>(GER_EXECUTIVO!$B$20/CÁLCULO_MÉDIAS!J$4)*I26</f>
        <v>117.63436580858848</v>
      </c>
      <c r="K26" s="27">
        <v>263.72633131672791</v>
      </c>
      <c r="L26" s="48">
        <f>(GER_EXECUTIVO!$B$20/CÁLCULO_MÉDIAS!L$4)*K26</f>
        <v>291.73355536809703</v>
      </c>
      <c r="M26" s="27">
        <v>161.57704976328739</v>
      </c>
      <c r="N26" s="48">
        <f>(GER_EXECUTIVO!$B$20/CÁLCULO_MÉDIAS!N$4)*M26</f>
        <v>163.28447967988714</v>
      </c>
      <c r="O26" s="27">
        <v>168.56440747642634</v>
      </c>
      <c r="P26" s="48">
        <f>(GER_EXECUTIVO!$B$20/CÁLCULO_MÉDIAS!P$4)*O26</f>
        <v>181.53721027143953</v>
      </c>
      <c r="R26" s="57">
        <v>120</v>
      </c>
      <c r="S26" s="57">
        <v>180</v>
      </c>
    </row>
    <row r="27" spans="2:19" ht="19.149999999999999" customHeight="1" thickBot="1" x14ac:dyDescent="0.3">
      <c r="B27" s="29" t="s">
        <v>13</v>
      </c>
      <c r="C27" s="30">
        <f t="shared" ref="C27:L27" si="0">SUM(C11:C26)</f>
        <v>3476.4657893580948</v>
      </c>
      <c r="D27" s="49">
        <f t="shared" si="0"/>
        <v>3600.0594877914482</v>
      </c>
      <c r="E27" s="30">
        <f t="shared" ref="E27:H27" si="1">SUM(E11:E26)</f>
        <v>3120.3900000000003</v>
      </c>
      <c r="F27" s="63">
        <f t="shared" si="1"/>
        <v>3745.155012930878</v>
      </c>
      <c r="G27" s="30">
        <f t="shared" si="1"/>
        <v>3653.6705406729529</v>
      </c>
      <c r="H27" s="63">
        <f t="shared" si="1"/>
        <v>3751.8849739733132</v>
      </c>
      <c r="I27" s="30">
        <f t="shared" si="0"/>
        <v>2824.2357405447729</v>
      </c>
      <c r="J27" s="63">
        <f t="shared" si="0"/>
        <v>3124.1640896193517</v>
      </c>
      <c r="K27" s="30">
        <f t="shared" si="0"/>
        <v>4373.2501038444216</v>
      </c>
      <c r="L27" s="49">
        <f t="shared" si="0"/>
        <v>4837.6807690704336</v>
      </c>
      <c r="M27" s="30">
        <f t="shared" ref="M27:O27" si="2">SUM(M11:M26)</f>
        <v>3842.3117420591943</v>
      </c>
      <c r="N27" s="49">
        <f>SUM(N11:N26)</f>
        <v>3882.9145258512335</v>
      </c>
      <c r="O27" s="30">
        <f t="shared" si="2"/>
        <v>2926.3725370860789</v>
      </c>
      <c r="P27" s="49">
        <f>SUM(P11:P26)</f>
        <v>3151.5876604724872</v>
      </c>
      <c r="R27" s="61">
        <f>SUM(R11:R26)</f>
        <v>2968</v>
      </c>
      <c r="S27" s="61">
        <f>SUM(S11:S26)</f>
        <v>3690</v>
      </c>
    </row>
    <row r="29" spans="2:19" x14ac:dyDescent="0.25">
      <c r="B29" s="14"/>
      <c r="C29" s="16"/>
      <c r="E29" s="14"/>
      <c r="F29" s="16"/>
      <c r="G29" s="14"/>
      <c r="H29" s="16"/>
    </row>
    <row r="30" spans="2:19" x14ac:dyDescent="0.25">
      <c r="E30" s="137"/>
      <c r="G30" s="137"/>
    </row>
    <row r="33" spans="5:7" x14ac:dyDescent="0.25">
      <c r="E33" s="137"/>
      <c r="G33" s="137"/>
    </row>
  </sheetData>
  <mergeCells count="15">
    <mergeCell ref="R9:S9"/>
    <mergeCell ref="K9:L9"/>
    <mergeCell ref="M8:N8"/>
    <mergeCell ref="O8:P8"/>
    <mergeCell ref="K8:L8"/>
    <mergeCell ref="O9:P9"/>
    <mergeCell ref="M9:N9"/>
    <mergeCell ref="I8:J8"/>
    <mergeCell ref="C8:D8"/>
    <mergeCell ref="E9:F9"/>
    <mergeCell ref="E8:F8"/>
    <mergeCell ref="G9:H9"/>
    <mergeCell ref="G8:H8"/>
    <mergeCell ref="C9:D9"/>
    <mergeCell ref="I9:J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N1000"/>
  <sheetViews>
    <sheetView zoomScale="85" zoomScaleNormal="85" workbookViewId="0">
      <selection activeCell="B27" sqref="B27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18" customWidth="1"/>
    <col min="4" max="4" width="17.85546875" style="18" customWidth="1"/>
    <col min="5" max="5" width="17.7109375" customWidth="1"/>
    <col min="6" max="14" width="9.140625" customWidth="1"/>
  </cols>
  <sheetData>
    <row r="1" spans="1:14" ht="15" customHeight="1" x14ac:dyDescent="0.25">
      <c r="A1" s="41" t="s">
        <v>0</v>
      </c>
      <c r="B1" s="42" t="s">
        <v>14</v>
      </c>
      <c r="C1" s="42" t="s">
        <v>15</v>
      </c>
      <c r="D1" s="42" t="s">
        <v>1</v>
      </c>
    </row>
    <row r="2" spans="1:14" ht="22.5" customHeight="1" x14ac:dyDescent="0.25">
      <c r="A2" s="93" t="s">
        <v>16</v>
      </c>
      <c r="B2" s="98" t="e">
        <f>#REF!</f>
        <v>#REF!</v>
      </c>
      <c r="C2" s="40" t="e">
        <f>B2/B$19</f>
        <v>#REF!</v>
      </c>
      <c r="D2" s="81" t="e">
        <f>B2/$B$23</f>
        <v>#REF!</v>
      </c>
      <c r="E2" s="105" t="e">
        <f>B2/GER_EXECUTIVO!$G$2</f>
        <v>#REF!</v>
      </c>
      <c r="F2" s="6"/>
      <c r="G2" s="6"/>
      <c r="H2" s="6"/>
      <c r="I2" s="6"/>
      <c r="J2" s="6"/>
      <c r="K2" s="6"/>
    </row>
    <row r="3" spans="1:14" ht="15" customHeight="1" x14ac:dyDescent="0.25">
      <c r="A3" s="94" t="s">
        <v>2</v>
      </c>
      <c r="B3" s="99" t="e">
        <f>#REF!</f>
        <v>#REF!</v>
      </c>
      <c r="C3" s="7" t="e">
        <f>B3/B$19</f>
        <v>#REF!</v>
      </c>
      <c r="D3" s="82" t="e">
        <f>B3/$B$23</f>
        <v>#REF!</v>
      </c>
      <c r="E3" s="105" t="e">
        <f>B3/GER_EXECUTIVO!$G$2</f>
        <v>#REF!</v>
      </c>
      <c r="F3" s="6"/>
      <c r="G3" s="6"/>
      <c r="H3" s="6"/>
      <c r="I3" s="6"/>
      <c r="J3" s="6"/>
      <c r="K3" s="6"/>
    </row>
    <row r="4" spans="1:14" ht="19.5" customHeight="1" x14ac:dyDescent="0.25">
      <c r="A4" s="93" t="s">
        <v>3</v>
      </c>
      <c r="B4" s="98" t="e">
        <f>#REF!</f>
        <v>#REF!</v>
      </c>
      <c r="C4" s="40" t="e">
        <f>B4/B$19</f>
        <v>#REF!</v>
      </c>
      <c r="D4" s="81" t="e">
        <f>B4/$B$23</f>
        <v>#REF!</v>
      </c>
      <c r="E4" s="105" t="e">
        <f>B4/GER_EXECUTIVO!$G$2</f>
        <v>#REF!</v>
      </c>
      <c r="F4" s="6"/>
      <c r="G4" s="6"/>
      <c r="H4" s="6"/>
      <c r="I4" s="6"/>
      <c r="J4" s="6"/>
      <c r="K4" s="6"/>
    </row>
    <row r="5" spans="1:14" ht="15" customHeight="1" x14ac:dyDescent="0.25">
      <c r="A5" s="94" t="s">
        <v>80</v>
      </c>
      <c r="B5" s="99">
        <v>0</v>
      </c>
      <c r="C5" s="7" t="e">
        <f t="shared" ref="C5:C18" si="0">B5/B$19</f>
        <v>#REF!</v>
      </c>
      <c r="D5" s="82">
        <f t="shared" ref="D5:D18" si="1">B5/$B$23</f>
        <v>0</v>
      </c>
      <c r="E5" s="105">
        <f>B5/GER_EXECUTIVO!$G$2</f>
        <v>0</v>
      </c>
      <c r="F5" s="6"/>
      <c r="G5" s="6"/>
      <c r="H5" s="6"/>
      <c r="I5" s="6"/>
      <c r="J5" s="6"/>
      <c r="K5" s="6"/>
    </row>
    <row r="6" spans="1:14" ht="19.5" customHeight="1" x14ac:dyDescent="0.25">
      <c r="A6" s="93" t="s">
        <v>4</v>
      </c>
      <c r="B6" s="98" t="e">
        <f>#REF!</f>
        <v>#REF!</v>
      </c>
      <c r="C6" s="40" t="e">
        <f t="shared" si="0"/>
        <v>#REF!</v>
      </c>
      <c r="D6" s="81" t="e">
        <f t="shared" si="1"/>
        <v>#REF!</v>
      </c>
      <c r="E6" s="105" t="e">
        <f>B6/GER_EXECUTIVO!$G$2</f>
        <v>#REF!</v>
      </c>
      <c r="F6" s="6"/>
      <c r="G6" s="6"/>
      <c r="H6" s="6"/>
      <c r="I6" s="6"/>
      <c r="J6" s="6"/>
      <c r="K6" s="6"/>
    </row>
    <row r="7" spans="1:14" ht="15" customHeight="1" x14ac:dyDescent="0.25">
      <c r="A7" s="94" t="s">
        <v>33</v>
      </c>
      <c r="B7" s="99" t="e">
        <f>#REF!</f>
        <v>#REF!</v>
      </c>
      <c r="C7" s="7" t="e">
        <f t="shared" si="0"/>
        <v>#REF!</v>
      </c>
      <c r="D7" s="82" t="e">
        <f t="shared" si="1"/>
        <v>#REF!</v>
      </c>
      <c r="E7" s="105" t="e">
        <f>B7/GER_EXECUTIVO!$G$2</f>
        <v>#REF!</v>
      </c>
      <c r="F7" s="6"/>
      <c r="G7" s="6"/>
      <c r="H7" s="6"/>
      <c r="I7" s="6"/>
      <c r="J7" s="6"/>
      <c r="K7" s="6"/>
    </row>
    <row r="8" spans="1:14" ht="19.5" customHeight="1" x14ac:dyDescent="0.25">
      <c r="A8" s="93" t="s">
        <v>6</v>
      </c>
      <c r="B8" s="98" t="e">
        <f>#REF!+#REF!</f>
        <v>#REF!</v>
      </c>
      <c r="C8" s="40" t="e">
        <f t="shared" si="0"/>
        <v>#REF!</v>
      </c>
      <c r="D8" s="81" t="e">
        <f t="shared" si="1"/>
        <v>#REF!</v>
      </c>
      <c r="E8" s="105" t="e">
        <f>B8/GER_EXECUTIVO!$G$2</f>
        <v>#REF!</v>
      </c>
      <c r="F8" s="6"/>
      <c r="G8" s="6"/>
      <c r="H8" s="6"/>
      <c r="I8" s="6"/>
      <c r="J8" s="6"/>
      <c r="K8" s="6"/>
      <c r="L8" s="6"/>
      <c r="M8" s="6"/>
      <c r="N8" s="6"/>
    </row>
    <row r="9" spans="1:14" ht="19.5" customHeight="1" x14ac:dyDescent="0.25">
      <c r="A9" s="94" t="s">
        <v>20</v>
      </c>
      <c r="B9" s="99" t="e">
        <f>#REF!</f>
        <v>#REF!</v>
      </c>
      <c r="C9" s="7" t="e">
        <f t="shared" si="0"/>
        <v>#REF!</v>
      </c>
      <c r="D9" s="82" t="e">
        <f t="shared" si="1"/>
        <v>#REF!</v>
      </c>
      <c r="E9" s="105" t="e">
        <f>B9/GER_EXECUTIVO!$G$2</f>
        <v>#REF!</v>
      </c>
      <c r="F9" s="6"/>
      <c r="G9" s="6"/>
      <c r="H9" s="6"/>
      <c r="I9" s="6"/>
      <c r="J9" s="6"/>
      <c r="K9" s="6"/>
      <c r="L9" s="6"/>
      <c r="M9" s="6"/>
      <c r="N9" s="6"/>
    </row>
    <row r="10" spans="1:14" ht="19.5" customHeight="1" x14ac:dyDescent="0.25">
      <c r="A10" s="93" t="s">
        <v>7</v>
      </c>
      <c r="B10" s="98" t="e">
        <f>#REF!</f>
        <v>#REF!</v>
      </c>
      <c r="C10" s="40" t="e">
        <f t="shared" si="0"/>
        <v>#REF!</v>
      </c>
      <c r="D10" s="81" t="e">
        <f t="shared" si="1"/>
        <v>#REF!</v>
      </c>
      <c r="E10" s="105" t="e">
        <f>B10/GER_EXECUTIVO!$G$2</f>
        <v>#REF!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 ht="19.5" customHeight="1" x14ac:dyDescent="0.25">
      <c r="A11" s="94" t="s">
        <v>17</v>
      </c>
      <c r="B11" s="99" t="e">
        <f>#REF!+#REF!</f>
        <v>#REF!</v>
      </c>
      <c r="C11" s="7" t="e">
        <f t="shared" si="0"/>
        <v>#REF!</v>
      </c>
      <c r="D11" s="82" t="e">
        <f t="shared" si="1"/>
        <v>#REF!</v>
      </c>
      <c r="E11" s="105" t="e">
        <f>B11/GER_EXECUTIVO!$G$2</f>
        <v>#REF!</v>
      </c>
      <c r="F11" s="6"/>
      <c r="G11" s="6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93" t="s">
        <v>18</v>
      </c>
      <c r="B12" s="98" t="e">
        <f>#REF!</f>
        <v>#REF!</v>
      </c>
      <c r="C12" s="40" t="e">
        <f t="shared" si="0"/>
        <v>#REF!</v>
      </c>
      <c r="D12" s="81" t="e">
        <f t="shared" si="1"/>
        <v>#REF!</v>
      </c>
      <c r="E12" s="105" t="e">
        <f>B12/GER_EXECUTIVO!$G$2</f>
        <v>#REF!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 ht="19.5" customHeight="1" x14ac:dyDescent="0.25">
      <c r="A13" s="94" t="s">
        <v>8</v>
      </c>
      <c r="B13" s="99" t="e">
        <f>#REF!+#REF!</f>
        <v>#REF!</v>
      </c>
      <c r="C13" s="7" t="e">
        <f t="shared" si="0"/>
        <v>#REF!</v>
      </c>
      <c r="D13" s="82" t="e">
        <f t="shared" si="1"/>
        <v>#REF!</v>
      </c>
      <c r="E13" s="105" t="e">
        <f>B13/GER_EXECUTIVO!$G$2</f>
        <v>#REF!</v>
      </c>
      <c r="F13" s="6"/>
      <c r="G13" s="6"/>
      <c r="H13" s="6"/>
      <c r="I13" s="6"/>
      <c r="J13" s="6"/>
      <c r="K13" s="6"/>
      <c r="L13" s="6"/>
      <c r="M13" s="6"/>
      <c r="N13" s="6"/>
    </row>
    <row r="14" spans="1:14" ht="19.5" customHeight="1" x14ac:dyDescent="0.25">
      <c r="A14" s="93" t="s">
        <v>9</v>
      </c>
      <c r="B14" s="98" t="e">
        <f>#REF!</f>
        <v>#REF!</v>
      </c>
      <c r="C14" s="40" t="e">
        <f t="shared" si="0"/>
        <v>#REF!</v>
      </c>
      <c r="D14" s="81" t="e">
        <f t="shared" si="1"/>
        <v>#REF!</v>
      </c>
      <c r="E14" s="105" t="e">
        <f>B14/GER_EXECUTIVO!$G$2</f>
        <v>#REF!</v>
      </c>
      <c r="F14" s="6"/>
      <c r="G14" s="6"/>
      <c r="H14" s="6"/>
      <c r="I14" s="6"/>
      <c r="J14" s="6"/>
      <c r="K14" s="6"/>
      <c r="L14" s="6"/>
      <c r="M14" s="6"/>
      <c r="N14" s="6"/>
    </row>
    <row r="15" spans="1:14" ht="19.5" customHeight="1" x14ac:dyDescent="0.25">
      <c r="A15" s="94" t="s">
        <v>10</v>
      </c>
      <c r="B15" s="99" t="e">
        <f>#REF!</f>
        <v>#REF!</v>
      </c>
      <c r="C15" s="7" t="e">
        <f t="shared" si="0"/>
        <v>#REF!</v>
      </c>
      <c r="D15" s="82" t="e">
        <f t="shared" si="1"/>
        <v>#REF!</v>
      </c>
      <c r="E15" s="105" t="e">
        <f>B15/GER_EXECUTIVO!$G$2</f>
        <v>#REF!</v>
      </c>
      <c r="F15" s="6"/>
      <c r="G15" s="6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93" t="s">
        <v>11</v>
      </c>
      <c r="B16" s="98" t="e">
        <f>#REF!+#REF!</f>
        <v>#REF!</v>
      </c>
      <c r="C16" s="40" t="e">
        <f t="shared" si="0"/>
        <v>#REF!</v>
      </c>
      <c r="D16" s="81" t="e">
        <f t="shared" si="1"/>
        <v>#REF!</v>
      </c>
      <c r="E16" s="105" t="e">
        <f>B16/GER_EXECUTIVO!$G$2</f>
        <v>#REF!</v>
      </c>
      <c r="F16" s="6"/>
      <c r="G16" s="6"/>
      <c r="H16" s="6"/>
      <c r="I16" s="6"/>
      <c r="J16" s="6"/>
      <c r="K16" s="6"/>
      <c r="L16" s="6"/>
      <c r="M16" s="6"/>
      <c r="N16" s="6"/>
    </row>
    <row r="17" spans="1:14" ht="19.5" customHeight="1" x14ac:dyDescent="0.25">
      <c r="A17" s="94" t="s">
        <v>12</v>
      </c>
      <c r="B17" s="99" t="e">
        <f>#REF!</f>
        <v>#REF!</v>
      </c>
      <c r="C17" s="7" t="e">
        <f t="shared" si="0"/>
        <v>#REF!</v>
      </c>
      <c r="D17" s="82" t="e">
        <f t="shared" si="1"/>
        <v>#REF!</v>
      </c>
      <c r="E17" s="105" t="e">
        <f>B17/GER_EXECUTIVO!$G$2</f>
        <v>#REF!</v>
      </c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93" t="s">
        <v>61</v>
      </c>
      <c r="B18" s="98" t="e">
        <f>SUM(B2:B17)*0.03</f>
        <v>#REF!</v>
      </c>
      <c r="C18" s="40" t="e">
        <f t="shared" si="0"/>
        <v>#REF!</v>
      </c>
      <c r="D18" s="81" t="e">
        <f t="shared" si="1"/>
        <v>#REF!</v>
      </c>
      <c r="E18" s="105" t="e">
        <f>B18/GER_EXECUTIVO!$G$2</f>
        <v>#REF!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41" t="s">
        <v>13</v>
      </c>
      <c r="B19" s="77" t="e">
        <f>SUM(B2:B18)</f>
        <v>#REF!</v>
      </c>
      <c r="C19" s="43" t="e">
        <f>SUM(C2:C18)</f>
        <v>#REF!</v>
      </c>
      <c r="D19" s="83" t="e">
        <f>SUM(D2:D17)</f>
        <v>#REF!</v>
      </c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ht="19.5" customHeight="1" x14ac:dyDescent="0.25"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19.5" customHeight="1" thickBot="1" x14ac:dyDescent="0.3"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ht="19.5" customHeight="1" x14ac:dyDescent="0.25">
      <c r="A22" s="86" t="s">
        <v>44</v>
      </c>
      <c r="B22" s="87" t="s">
        <v>42</v>
      </c>
      <c r="C22" s="88" t="s">
        <v>39</v>
      </c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19.5" customHeight="1" x14ac:dyDescent="0.25">
      <c r="A23" s="45" t="s">
        <v>43</v>
      </c>
      <c r="B23" s="84">
        <f>(B24+B27+B25+B26+B28)*18</f>
        <v>7928.6399999999994</v>
      </c>
      <c r="C23" s="90">
        <f>[4]GER_EXECUTIVO!B19/'[4]AREAS PRIVATIVAS'!B23</f>
        <v>7067.1420990768738</v>
      </c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ht="19.5" customHeight="1" x14ac:dyDescent="0.25">
      <c r="A24" s="89" t="s">
        <v>40</v>
      </c>
      <c r="B24" s="85">
        <v>106.4</v>
      </c>
      <c r="C24" s="100">
        <f>$C$23*B24</f>
        <v>751943.91934177943</v>
      </c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ht="19.5" customHeight="1" x14ac:dyDescent="0.25">
      <c r="A25" s="45" t="s">
        <v>41</v>
      </c>
      <c r="B25" s="84">
        <v>75.53</v>
      </c>
      <c r="C25" s="101">
        <f t="shared" ref="C25:C28" si="2">$C$23*B25</f>
        <v>533781.24274327629</v>
      </c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9.5" customHeight="1" x14ac:dyDescent="0.25">
      <c r="A26" s="89" t="s">
        <v>51</v>
      </c>
      <c r="B26" s="85">
        <v>104.02</v>
      </c>
      <c r="C26" s="100">
        <f t="shared" si="2"/>
        <v>735124.12114597636</v>
      </c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9.5" customHeight="1" x14ac:dyDescent="0.25">
      <c r="A27" s="45" t="s">
        <v>52</v>
      </c>
      <c r="B27" s="84">
        <v>78.069999999999993</v>
      </c>
      <c r="C27" s="101">
        <f t="shared" si="2"/>
        <v>551731.7836749315</v>
      </c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9.5" customHeight="1" thickBot="1" x14ac:dyDescent="0.3">
      <c r="A28" s="102" t="s">
        <v>53</v>
      </c>
      <c r="B28" s="103">
        <v>76.459999999999994</v>
      </c>
      <c r="C28" s="104">
        <f t="shared" si="2"/>
        <v>540353.68489541777</v>
      </c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9.5" customHeight="1" x14ac:dyDescent="0.25">
      <c r="A29" s="6"/>
      <c r="B29" s="6"/>
      <c r="C29" s="10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5" customHeight="1" thickBot="1" x14ac:dyDescent="0.3">
      <c r="A30" s="6"/>
      <c r="B30" s="6"/>
      <c r="C30" s="10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9.5" customHeight="1" x14ac:dyDescent="0.25">
      <c r="A31" s="86" t="s">
        <v>44</v>
      </c>
      <c r="B31" s="87" t="s">
        <v>42</v>
      </c>
      <c r="C31" s="88" t="s">
        <v>43</v>
      </c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.5" customHeight="1" x14ac:dyDescent="0.25">
      <c r="A32" s="45" t="s">
        <v>48</v>
      </c>
      <c r="B32" s="84">
        <v>6651.9</v>
      </c>
      <c r="C32" s="90">
        <v>5907.0750961324593</v>
      </c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9.5" customHeight="1" x14ac:dyDescent="0.25">
      <c r="A33" s="89" t="s">
        <v>49</v>
      </c>
      <c r="B33" s="85">
        <v>2651.04</v>
      </c>
      <c r="C33" s="100">
        <v>5321.4146346494208</v>
      </c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.5" customHeight="1" thickBot="1" x14ac:dyDescent="0.3">
      <c r="A34" s="106" t="s">
        <v>38</v>
      </c>
      <c r="B34" s="107">
        <v>4969.8599999999997</v>
      </c>
      <c r="C34" s="108">
        <v>5067.6946337834461</v>
      </c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9.5" customHeight="1" x14ac:dyDescent="0.25">
      <c r="A35" s="6"/>
      <c r="B35" s="6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.5" customHeight="1" x14ac:dyDescent="0.25">
      <c r="A36" s="6" t="s">
        <v>81</v>
      </c>
      <c r="B36" s="6"/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9.5" customHeight="1" x14ac:dyDescent="0.25">
      <c r="A37" s="6" t="s">
        <v>82</v>
      </c>
      <c r="B37" s="6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.5" customHeight="1" thickBot="1" x14ac:dyDescent="0.3">
      <c r="A38" s="6"/>
      <c r="B38" s="6"/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86" t="s">
        <v>44</v>
      </c>
      <c r="B39" s="87" t="s">
        <v>68</v>
      </c>
      <c r="C39" s="88" t="s">
        <v>43</v>
      </c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45" t="s">
        <v>2</v>
      </c>
      <c r="B40" s="112">
        <v>665180.32247274322</v>
      </c>
      <c r="C40" s="90">
        <v>83.895891662724409</v>
      </c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89" t="s">
        <v>3</v>
      </c>
      <c r="B41" s="113">
        <v>3748752.4525000001</v>
      </c>
      <c r="C41" s="100">
        <v>472.81153545879249</v>
      </c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thickBot="1" x14ac:dyDescent="0.3">
      <c r="A42" s="106" t="s">
        <v>80</v>
      </c>
      <c r="B42" s="114">
        <v>1651819.5599999998</v>
      </c>
      <c r="C42" s="108">
        <v>208.33580033902408</v>
      </c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 ht="15" customHeight="1" x14ac:dyDescent="0.25">
      <c r="A981" s="6"/>
      <c r="B981" s="6"/>
      <c r="C981" s="10"/>
      <c r="D981" s="10"/>
    </row>
    <row r="982" spans="1:14" ht="15" customHeight="1" x14ac:dyDescent="0.25">
      <c r="A982" s="6"/>
      <c r="B982" s="6"/>
      <c r="C982" s="10"/>
      <c r="D982" s="10"/>
    </row>
    <row r="983" spans="1:14" ht="15" customHeight="1" x14ac:dyDescent="0.25">
      <c r="A983" s="6"/>
      <c r="B983" s="6"/>
      <c r="C983" s="10"/>
      <c r="D983" s="10"/>
    </row>
    <row r="984" spans="1:14" ht="15" customHeight="1" x14ac:dyDescent="0.25">
      <c r="A984" s="6"/>
      <c r="B984" s="6"/>
      <c r="C984" s="10"/>
      <c r="D984" s="10"/>
    </row>
    <row r="985" spans="1:14" ht="15" customHeight="1" x14ac:dyDescent="0.25">
      <c r="A985" s="6"/>
      <c r="B985" s="6"/>
      <c r="C985" s="10"/>
      <c r="D985" s="10"/>
    </row>
    <row r="986" spans="1:14" ht="15" customHeight="1" x14ac:dyDescent="0.25">
      <c r="A986" s="6"/>
      <c r="B986" s="6"/>
      <c r="C986" s="10"/>
      <c r="D986" s="10"/>
    </row>
    <row r="987" spans="1:14" ht="15" customHeight="1" x14ac:dyDescent="0.25">
      <c r="A987" s="6"/>
      <c r="B987" s="6"/>
      <c r="C987" s="10"/>
      <c r="D987" s="10"/>
    </row>
    <row r="988" spans="1:14" ht="15" customHeight="1" x14ac:dyDescent="0.25">
      <c r="A988" s="6"/>
      <c r="B988" s="6"/>
      <c r="C988" s="10"/>
      <c r="D988" s="10"/>
    </row>
    <row r="989" spans="1:14" ht="15" customHeight="1" x14ac:dyDescent="0.25">
      <c r="A989" s="6"/>
      <c r="B989" s="6"/>
      <c r="C989" s="10"/>
      <c r="D989" s="10"/>
    </row>
    <row r="990" spans="1:14" ht="15" customHeight="1" x14ac:dyDescent="0.25">
      <c r="A990" s="6"/>
      <c r="B990" s="6"/>
      <c r="C990" s="10"/>
      <c r="D990" s="10"/>
    </row>
    <row r="991" spans="1:14" ht="15" customHeight="1" x14ac:dyDescent="0.25">
      <c r="A991" s="6"/>
      <c r="B991" s="6"/>
      <c r="C991" s="10"/>
      <c r="D991" s="10"/>
    </row>
    <row r="992" spans="1:14" ht="15" customHeight="1" x14ac:dyDescent="0.25">
      <c r="A992" s="6"/>
      <c r="B992" s="6"/>
      <c r="C992" s="10"/>
      <c r="D992" s="10"/>
    </row>
    <row r="993" spans="1:4" ht="15" customHeight="1" x14ac:dyDescent="0.25">
      <c r="A993" s="6"/>
      <c r="B993" s="6"/>
      <c r="C993" s="10"/>
      <c r="D993" s="10"/>
    </row>
    <row r="994" spans="1:4" ht="15" customHeight="1" x14ac:dyDescent="0.25">
      <c r="A994" s="6"/>
      <c r="B994" s="6"/>
      <c r="C994" s="10"/>
      <c r="D994" s="10"/>
    </row>
    <row r="995" spans="1:4" ht="15" customHeight="1" x14ac:dyDescent="0.25">
      <c r="A995" s="6"/>
      <c r="B995" s="6"/>
      <c r="C995" s="10"/>
      <c r="D995" s="10"/>
    </row>
    <row r="996" spans="1:4" ht="15" customHeight="1" x14ac:dyDescent="0.25">
      <c r="A996" s="6"/>
      <c r="B996" s="6"/>
      <c r="C996" s="10"/>
      <c r="D996" s="10"/>
    </row>
    <row r="997" spans="1:4" ht="15" customHeight="1" x14ac:dyDescent="0.25">
      <c r="A997" s="6"/>
      <c r="B997" s="6"/>
      <c r="C997" s="10"/>
      <c r="D997" s="10"/>
    </row>
    <row r="998" spans="1:4" ht="15" customHeight="1" x14ac:dyDescent="0.25">
      <c r="A998" s="6"/>
      <c r="B998" s="6"/>
      <c r="C998" s="10"/>
      <c r="D998" s="10"/>
    </row>
    <row r="999" spans="1:4" ht="15" customHeight="1" x14ac:dyDescent="0.25">
      <c r="A999" s="6"/>
      <c r="B999" s="6"/>
      <c r="C999" s="10"/>
      <c r="D999" s="10"/>
    </row>
    <row r="1000" spans="1:4" ht="15" customHeight="1" x14ac:dyDescent="0.25">
      <c r="A1000" s="6"/>
      <c r="B1000" s="6"/>
      <c r="C1000" s="10"/>
      <c r="D1000" s="10"/>
    </row>
  </sheetData>
  <phoneticPr fontId="25" type="noConversion"/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GER_EXECUTIVO</vt:lpstr>
      <vt:lpstr>ANÁLISE_CUSTOS</vt:lpstr>
      <vt:lpstr>CÁLCULO_MÉDIAS</vt:lpstr>
      <vt:lpstr>AREAS PRIVATIVAS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2025-10-10T16:20:56Z</dcterms:modified>
</cp:coreProperties>
</file>