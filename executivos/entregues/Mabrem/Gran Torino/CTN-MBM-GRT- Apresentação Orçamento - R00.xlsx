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_EXECUTIVO" sheetId="1" r:id="rId4"/>
    <sheet state="visible" name="ANÁLISE_CUSTOS" sheetId="2" r:id="rId5"/>
    <sheet state="visible" name="CONTRUTORA" sheetId="3" r:id="rId6"/>
    <sheet state="visible" name="CÁLCULO_MÉDIAS" sheetId="4" r:id="rId7"/>
    <sheet state="visible" name="AREAS_PRIVATIVAS" sheetId="5" r:id="rId8"/>
  </sheets>
  <externalReferences>
    <externalReference r:id="rId9"/>
    <externalReference r:id="rId10"/>
    <externalReference r:id="rId11"/>
    <externalReference r:id="rId12"/>
    <externalReference r:id="rId13"/>
  </externalReferences>
  <definedNames/>
  <calcPr/>
  <extLst>
    <ext uri="GoogleSheetsCustomDataVersion2">
      <go:sheetsCustomData xmlns:go="http://customooxmlschemas.google.com/" r:id="rId14" roundtripDataChecksum="LlVmOXCVqOBtsLZXK1wZQctt77pZcKvbSX84oJVdHuM="/>
    </ext>
  </extLst>
</workbook>
</file>

<file path=xl/sharedStrings.xml><?xml version="1.0" encoding="utf-8"?>
<sst xmlns="http://schemas.openxmlformats.org/spreadsheetml/2006/main" count="209" uniqueCount="102">
  <si>
    <t>ETAPA</t>
  </si>
  <si>
    <t>VALOR ORÇADO</t>
  </si>
  <si>
    <t>%</t>
  </si>
  <si>
    <t>VALOR / m²</t>
  </si>
  <si>
    <t>GERENCIAMENTO TÉCNICO E ADMINISTRATIVO</t>
  </si>
  <si>
    <t>OK</t>
  </si>
  <si>
    <t>ÁREA CONSTRUÍDA</t>
  </si>
  <si>
    <t>m²</t>
  </si>
  <si>
    <t>INFRAESTRUTURA</t>
  </si>
  <si>
    <t>SUPRAESTRUTURA</t>
  </si>
  <si>
    <t>ALVENARIA</t>
  </si>
  <si>
    <t>LIBERATO</t>
  </si>
  <si>
    <t>GRAN TORINO</t>
  </si>
  <si>
    <t>THOZEN</t>
  </si>
  <si>
    <t>SAN MARINO</t>
  </si>
  <si>
    <t>RAVELLO</t>
  </si>
  <si>
    <t>INSTALAÇÕES ELÉTRICAS, HIDRÁULICAS, GLP E PREVENTIVAS</t>
  </si>
  <si>
    <t>VALIDAÇÃO</t>
  </si>
  <si>
    <t>AREA FACH</t>
  </si>
  <si>
    <t>EQUIPAMENTOS E SISTEMAS ESPECIAIS</t>
  </si>
  <si>
    <t>ARGAMASSADO</t>
  </si>
  <si>
    <t>IMPERMEABILIZAÇÃO</t>
  </si>
  <si>
    <t>ACABAMENTOS</t>
  </si>
  <si>
    <t>REVESTIMENTOS INTERNOS EM PISO E PAREDE</t>
  </si>
  <si>
    <t>MO</t>
  </si>
  <si>
    <t>REVESTIMENTOS E ACABAMENTOS INTERNOS EM TETO</t>
  </si>
  <si>
    <t>TEXTURA</t>
  </si>
  <si>
    <t>ACABAMENTOS EM PISO E PAREDE</t>
  </si>
  <si>
    <t>AREA</t>
  </si>
  <si>
    <t>PINTURA INTERNA</t>
  </si>
  <si>
    <t>CONCRETO</t>
  </si>
  <si>
    <t>ESQUADRIAS, VIDROS E FERRAGENS</t>
  </si>
  <si>
    <t>AÇO</t>
  </si>
  <si>
    <t>COBERTURA</t>
  </si>
  <si>
    <t>FORMA</t>
  </si>
  <si>
    <t>REVESTIMENTOS E ACABAMENTOS DE FACHADA</t>
  </si>
  <si>
    <t>SERVIÇOS COMPLEMENTARES</t>
  </si>
  <si>
    <t>ELETRICA</t>
  </si>
  <si>
    <t>IMPREVISTOS E CONTINGENCIAS</t>
  </si>
  <si>
    <t>HIDRAULICA</t>
  </si>
  <si>
    <t>TOTAL</t>
  </si>
  <si>
    <t>PREVENTIVA</t>
  </si>
  <si>
    <t>CUB/SC</t>
  </si>
  <si>
    <t>ARMAÇÃO</t>
  </si>
  <si>
    <t>COCNRETO</t>
  </si>
  <si>
    <t>MAO DE OBRA</t>
  </si>
  <si>
    <t>Ccomplementares</t>
  </si>
  <si>
    <t>FACHADA</t>
  </si>
  <si>
    <t>ESQUADRIAS</t>
  </si>
  <si>
    <t>MANTA</t>
  </si>
  <si>
    <t>OBRA SIMILAR</t>
  </si>
  <si>
    <t>VALOR</t>
  </si>
  <si>
    <t>OK - indice de concreto e aço relativamente baixo</t>
  </si>
  <si>
    <t>habitah com 8 apto por andar</t>
  </si>
  <si>
    <t>DIFERENÇAS EM QUNATITATIVOS:</t>
  </si>
  <si>
    <t>PISOS - AREAS TECNICAS E LAJES APENAS COM CONTRAPISO, SEM REVESTIMENTO</t>
  </si>
  <si>
    <t>OK - SEM ESPECIAIS DE INTERIORES</t>
  </si>
  <si>
    <t>san marino era 60x60 60,00/m²</t>
  </si>
  <si>
    <t>OK - APENAS PERGOLADOS</t>
  </si>
  <si>
    <t>OK - PINTURA (OBRAS SIMILARES COM TEXTURA)</t>
  </si>
  <si>
    <t>VALOR INDEXADO / m²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</si>
  <si>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</si>
  <si>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</si>
  <si>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</si>
  <si>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</si>
  <si>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</si>
  <si>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</si>
  <si>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</si>
  <si>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</si>
  <si>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</si>
  <si>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</si>
  <si>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</si>
  <si>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</si>
  <si>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</si>
  <si>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</si>
  <si>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</si>
  <si>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</si>
  <si>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</si>
  <si>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DATA BASE</t>
  </si>
  <si>
    <t>CUB</t>
  </si>
  <si>
    <t>HABITAH</t>
  </si>
  <si>
    <t>DOM BOSCO</t>
  </si>
  <si>
    <t>DOM</t>
  </si>
  <si>
    <t>PAESSAGGIO</t>
  </si>
  <si>
    <t>MÉDIAS</t>
  </si>
  <si>
    <t>VALOR / M2</t>
  </si>
  <si>
    <t>INDEXADO</t>
  </si>
  <si>
    <t>MÍNIMA</t>
  </si>
  <si>
    <t>MÁXIMA</t>
  </si>
  <si>
    <t>GERENCIAMENTO TECNICO E ADMINISTRATIVO</t>
  </si>
  <si>
    <t>MOVIMENTAÇÃO DE TERRA</t>
  </si>
  <si>
    <t>ÁREA PRIVATIVA</t>
  </si>
  <si>
    <t>DESCRIÇÃO</t>
  </si>
  <si>
    <t>ÁREA (m²)</t>
  </si>
  <si>
    <t>VALOR TOTAL</t>
  </si>
  <si>
    <t>VALOR POR ÁREA PRIVATIVA (R$/m²)</t>
  </si>
  <si>
    <t>VALOR POR UNIDADE 01</t>
  </si>
  <si>
    <t>VALOR POR UNIDADE 02</t>
  </si>
  <si>
    <t>VALOR POR UNIDADE 03</t>
  </si>
  <si>
    <t>VALOR POR UNIDADE 04</t>
  </si>
  <si>
    <t>VALOR POR UNIDADE 05</t>
  </si>
  <si>
    <t>VALOR POR UNIDADE 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</si>
</sst>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_-* #,##0.00_-;\-* #,##0.00_-;_-* &quot;-&quot;??_-;_-@"/>
    <numFmt numFmtId="166" formatCode="0.000"/>
  </numFmts>
  <fonts count="15">
    <font>
      <sz val="11.0"/>
      <color theme="1"/>
      <name val="Calibri"/>
      <scheme val="minor"/>
    </font>
    <font>
      <b/>
      <sz val="11.0"/>
      <color theme="0"/>
      <name val="Poppins"/>
    </font>
    <font>
      <sz val="10.0"/>
      <color theme="1"/>
      <name val="Poppins"/>
    </font>
    <font>
      <sz val="11.0"/>
      <color theme="1"/>
      <name val="Poppins"/>
    </font>
    <font>
      <b/>
      <sz val="10.0"/>
      <color theme="1"/>
      <name val="Poppins"/>
    </font>
    <font/>
    <font>
      <sz val="11.0"/>
      <color theme="1"/>
      <name val="Calibri"/>
    </font>
    <font>
      <sz val="10.0"/>
      <color rgb="FF121212"/>
      <name val="Poppins"/>
    </font>
    <font>
      <sz val="8.0"/>
      <color theme="1"/>
      <name val="Poppins"/>
    </font>
    <font>
      <b/>
      <sz val="11.0"/>
      <color rgb="FFF5F5F5"/>
      <name val="Poppins"/>
    </font>
    <font>
      <color theme="1"/>
      <name val="Calibri"/>
      <scheme val="minor"/>
    </font>
    <font>
      <b/>
      <sz val="11.0"/>
      <color theme="0"/>
      <name val="Calibri"/>
    </font>
    <font>
      <sz val="11.0"/>
      <color rgb="FFFF0000"/>
      <name val="Calibri"/>
    </font>
    <font>
      <b/>
      <sz val="11.0"/>
      <color theme="1"/>
      <name val="Calibri"/>
    </font>
    <font>
      <sz val="10.0"/>
      <color rgb="FF19212D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FFFF00"/>
        <bgColor rgb="FFFFFF00"/>
      </patternFill>
    </fill>
    <fill>
      <patternFill patternType="solid">
        <fgColor rgb="FF121212"/>
        <bgColor rgb="FF121212"/>
      </patternFill>
    </fill>
    <fill>
      <patternFill patternType="solid">
        <fgColor rgb="FFFFAD98"/>
        <bgColor rgb="FFFFAD98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646464"/>
      </right>
      <top style="hair">
        <color rgb="FF000000"/>
      </top>
      <bottom/>
    </border>
    <border>
      <left style="thin">
        <color rgb="FF646464"/>
      </left>
      <right style="thin">
        <color rgb="FF646464"/>
      </right>
      <top style="hair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646464"/>
      </left>
      <right/>
      <top style="hair">
        <color rgb="FF000000"/>
      </top>
      <bottom style="hair">
        <color rgb="FF000000"/>
      </bottom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646464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646464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646464"/>
      </right>
      <top/>
      <bottom style="hair">
        <color rgb="FF000000"/>
      </bottom>
    </border>
    <border>
      <left/>
      <right style="thin">
        <color rgb="FF646464"/>
      </right>
      <top/>
      <bottom style="hair">
        <color rgb="FF000000"/>
      </bottom>
    </border>
    <border>
      <left/>
      <right style="thin">
        <color rgb="FF646464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thin">
        <color rgb="FF646464"/>
      </right>
      <top/>
      <bottom style="medium">
        <color rgb="FF000000"/>
      </bottom>
    </border>
    <border>
      <left/>
      <right style="thin">
        <color rgb="FF646464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2" fillId="3" fontId="3" numFmtId="0" xfId="0" applyAlignment="1" applyBorder="1" applyFill="1" applyFont="1">
      <alignment horizontal="left" vertical="center"/>
    </xf>
    <xf borderId="3" fillId="3" fontId="3" numFmtId="164" xfId="0" applyAlignment="1" applyBorder="1" applyFont="1" applyNumberFormat="1">
      <alignment horizontal="left" vertical="center"/>
    </xf>
    <xf borderId="3" fillId="3" fontId="3" numFmtId="10" xfId="0" applyAlignment="1" applyBorder="1" applyFont="1" applyNumberFormat="1">
      <alignment horizontal="center" vertical="center"/>
    </xf>
    <xf borderId="4" fillId="3" fontId="3" numFmtId="164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horizontal="left" vertical="center"/>
    </xf>
    <xf borderId="3" fillId="4" fontId="3" numFmtId="164" xfId="0" applyAlignment="1" applyBorder="1" applyFont="1" applyNumberFormat="1">
      <alignment horizontal="left" vertical="center"/>
    </xf>
    <xf borderId="3" fillId="4" fontId="3" numFmtId="10" xfId="0" applyAlignment="1" applyBorder="1" applyFont="1" applyNumberFormat="1">
      <alignment horizontal="center" vertical="center"/>
    </xf>
    <xf borderId="4" fillId="4" fontId="3" numFmtId="164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5" numFmtId="0" xfId="0" applyBorder="1" applyFont="1"/>
    <xf borderId="10" fillId="5" fontId="2" numFmtId="0" xfId="0" applyAlignment="1" applyBorder="1" applyFill="1" applyFont="1">
      <alignment vertical="center"/>
    </xf>
    <xf borderId="0" fillId="0" fontId="2" numFmtId="0" xfId="0" applyAlignment="1" applyFont="1">
      <alignment horizontal="center" vertical="center"/>
    </xf>
    <xf borderId="11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2" numFmtId="0" xfId="0" applyAlignment="1" applyBorder="1" applyFont="1">
      <alignment vertical="center"/>
    </xf>
    <xf borderId="0" fillId="0" fontId="6" numFmtId="4" xfId="0" applyFont="1" applyNumberFormat="1"/>
    <xf borderId="8" fillId="0" fontId="2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0" fillId="0" fontId="2" numFmtId="165" xfId="0" applyAlignment="1" applyFont="1" applyNumberFormat="1">
      <alignment vertical="center"/>
    </xf>
    <xf borderId="15" fillId="0" fontId="7" numFmtId="165" xfId="0" applyAlignment="1" applyBorder="1" applyFont="1" applyNumberFormat="1">
      <alignment vertical="center"/>
    </xf>
    <xf borderId="15" fillId="0" fontId="6" numFmtId="0" xfId="0" applyBorder="1" applyFont="1"/>
    <xf borderId="16" fillId="0" fontId="6" numFmtId="0" xfId="0" applyBorder="1" applyFont="1"/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9" fillId="0" fontId="2" numFmtId="4" xfId="0" applyAlignment="1" applyBorder="1" applyFont="1" applyNumberFormat="1">
      <alignment vertical="center"/>
    </xf>
    <xf borderId="8" fillId="0" fontId="6" numFmtId="0" xfId="0" applyBorder="1" applyFont="1"/>
    <xf borderId="9" fillId="0" fontId="6" numFmtId="0" xfId="0" applyBorder="1" applyFont="1"/>
    <xf borderId="13" fillId="0" fontId="2" numFmtId="165" xfId="0" applyAlignment="1" applyBorder="1" applyFont="1" applyNumberFormat="1">
      <alignment vertical="center"/>
    </xf>
    <xf borderId="14" fillId="0" fontId="4" numFmtId="2" xfId="0" applyAlignment="1" applyBorder="1" applyFont="1" applyNumberFormat="1">
      <alignment vertical="center"/>
    </xf>
    <xf borderId="13" fillId="0" fontId="2" numFmtId="4" xfId="0" applyAlignment="1" applyBorder="1" applyFont="1" applyNumberFormat="1">
      <alignment vertical="center"/>
    </xf>
    <xf borderId="16" fillId="0" fontId="4" numFmtId="166" xfId="0" applyAlignment="1" applyBorder="1" applyFont="1" applyNumberFormat="1">
      <alignment vertical="center"/>
    </xf>
    <xf borderId="17" fillId="0" fontId="2" numFmtId="165" xfId="0" applyAlignment="1" applyBorder="1" applyFont="1" applyNumberFormat="1">
      <alignment vertical="center"/>
    </xf>
    <xf borderId="17" fillId="0" fontId="4" numFmtId="165" xfId="0" applyAlignment="1" applyBorder="1" applyFont="1" applyNumberFormat="1">
      <alignment vertical="center"/>
    </xf>
    <xf borderId="17" fillId="0" fontId="2" numFmtId="0" xfId="0" applyAlignment="1" applyBorder="1" applyFont="1">
      <alignment vertical="center"/>
    </xf>
    <xf borderId="9" fillId="0" fontId="2" numFmtId="165" xfId="0" applyAlignment="1" applyBorder="1" applyFont="1" applyNumberFormat="1">
      <alignment vertical="center"/>
    </xf>
    <xf borderId="0" fillId="0" fontId="4" numFmtId="165" xfId="0" applyAlignment="1" applyFont="1" applyNumberFormat="1">
      <alignment vertical="center"/>
    </xf>
    <xf borderId="14" fillId="0" fontId="2" numFmtId="165" xfId="0" applyAlignment="1" applyBorder="1" applyFont="1" applyNumberFormat="1">
      <alignment vertical="center"/>
    </xf>
    <xf borderId="1" fillId="2" fontId="1" numFmtId="164" xfId="0" applyAlignment="1" applyBorder="1" applyFont="1" applyNumberFormat="1">
      <alignment horizontal="left" vertical="center"/>
    </xf>
    <xf borderId="1" fillId="2" fontId="1" numFmtId="9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8" fillId="0" fontId="2" numFmtId="165" xfId="0" applyAlignment="1" applyBorder="1" applyFont="1" applyNumberFormat="1">
      <alignment vertical="center"/>
    </xf>
    <xf borderId="18" fillId="0" fontId="4" numFmtId="165" xfId="0" applyAlignment="1" applyBorder="1" applyFont="1" applyNumberFormat="1">
      <alignment vertical="center"/>
    </xf>
    <xf borderId="18" fillId="0" fontId="2" numFmtId="0" xfId="0" applyAlignment="1" applyBorder="1" applyFont="1">
      <alignment vertical="center"/>
    </xf>
    <xf borderId="16" fillId="0" fontId="2" numFmtId="165" xfId="0" applyAlignment="1" applyBorder="1" applyFont="1" applyNumberFormat="1">
      <alignment vertical="center"/>
    </xf>
    <xf borderId="1" fillId="2" fontId="1" numFmtId="17" xfId="0" applyAlignment="1" applyBorder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8" numFmtId="164" xfId="0" applyAlignment="1" applyFont="1" applyNumberFormat="1">
      <alignment horizontal="left"/>
    </xf>
    <xf borderId="15" fillId="0" fontId="2" numFmtId="165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6" numFmtId="165" xfId="0" applyFont="1" applyNumberFormat="1"/>
    <xf borderId="0" fillId="0" fontId="6" numFmtId="0" xfId="0" applyAlignment="1" applyFont="1">
      <alignment horizontal="center"/>
    </xf>
    <xf borderId="19" fillId="2" fontId="1" numFmtId="0" xfId="0" applyAlignment="1" applyBorder="1" applyFont="1">
      <alignment horizontal="center" vertical="center"/>
    </xf>
    <xf borderId="20" fillId="2" fontId="9" numFmtId="0" xfId="0" applyAlignment="1" applyBorder="1" applyFont="1">
      <alignment horizontal="center" vertical="center"/>
    </xf>
    <xf borderId="21" fillId="0" fontId="5" numFmtId="0" xfId="0" applyBorder="1" applyFont="1"/>
    <xf borderId="22" fillId="2" fontId="1" numFmtId="165" xfId="0" applyAlignment="1" applyBorder="1" applyFont="1" applyNumberFormat="1">
      <alignment horizontal="center" vertical="center"/>
    </xf>
    <xf borderId="0" fillId="0" fontId="3" numFmtId="0" xfId="0" applyFont="1"/>
    <xf borderId="23" fillId="0" fontId="5" numFmtId="0" xfId="0" applyBorder="1" applyFont="1"/>
    <xf borderId="1" fillId="2" fontId="1" numFmtId="165" xfId="0" applyAlignment="1" applyBorder="1" applyFont="1" applyNumberFormat="1">
      <alignment horizontal="center" vertical="center"/>
    </xf>
    <xf borderId="24" fillId="2" fontId="1" numFmtId="165" xfId="0" applyAlignment="1" applyBorder="1" applyFont="1" applyNumberFormat="1">
      <alignment horizontal="center" vertical="center"/>
    </xf>
    <xf borderId="3" fillId="3" fontId="3" numFmtId="165" xfId="0" applyAlignment="1" applyBorder="1" applyFont="1" applyNumberFormat="1">
      <alignment horizontal="center" vertical="center"/>
    </xf>
    <xf borderId="4" fillId="3" fontId="3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3" numFmtId="165" xfId="0" applyAlignment="1" applyFont="1" applyNumberFormat="1">
      <alignment vertical="center"/>
    </xf>
    <xf borderId="0" fillId="0" fontId="3" numFmtId="4" xfId="0" applyAlignment="1" applyFont="1" applyNumberFormat="1">
      <alignment vertical="center"/>
    </xf>
    <xf borderId="3" fillId="4" fontId="3" numFmtId="165" xfId="0" applyAlignment="1" applyBorder="1" applyFont="1" applyNumberFormat="1">
      <alignment horizontal="center" vertical="center"/>
    </xf>
    <xf borderId="4" fillId="4" fontId="3" numFmtId="165" xfId="0" applyAlignment="1" applyBorder="1" applyFont="1" applyNumberFormat="1">
      <alignment horizontal="center" vertical="center"/>
    </xf>
    <xf borderId="0" fillId="0" fontId="10" numFmtId="0" xfId="0" applyFont="1"/>
    <xf borderId="25" fillId="4" fontId="3" numFmtId="0" xfId="0" applyAlignment="1" applyBorder="1" applyFont="1">
      <alignment horizontal="left" vertical="center"/>
    </xf>
    <xf borderId="26" fillId="4" fontId="3" numFmtId="164" xfId="0" applyAlignment="1" applyBorder="1" applyFont="1" applyNumberFormat="1">
      <alignment horizontal="left" vertical="center"/>
    </xf>
    <xf borderId="26" fillId="4" fontId="3" numFmtId="165" xfId="0" applyAlignment="1" applyBorder="1" applyFont="1" applyNumberFormat="1">
      <alignment horizontal="center" vertical="center"/>
    </xf>
    <xf borderId="27" fillId="2" fontId="1" numFmtId="0" xfId="0" applyAlignment="1" applyBorder="1" applyFont="1">
      <alignment horizontal="right"/>
    </xf>
    <xf borderId="28" fillId="2" fontId="1" numFmtId="164" xfId="0" applyAlignment="1" applyBorder="1" applyFont="1" applyNumberFormat="1">
      <alignment horizontal="right"/>
    </xf>
    <xf borderId="28" fillId="2" fontId="1" numFmtId="165" xfId="0" applyAlignment="1" applyBorder="1" applyFont="1" applyNumberFormat="1">
      <alignment horizontal="center"/>
    </xf>
    <xf borderId="29" fillId="2" fontId="9" numFmtId="165" xfId="0" applyAlignment="1" applyBorder="1" applyFont="1" applyNumberFormat="1">
      <alignment horizontal="center"/>
    </xf>
    <xf borderId="0" fillId="0" fontId="3" numFmtId="165" xfId="0" applyFont="1" applyNumberFormat="1"/>
    <xf borderId="0" fillId="0" fontId="3" numFmtId="165" xfId="0" applyAlignment="1" applyFont="1" applyNumberFormat="1">
      <alignment horizontal="center"/>
    </xf>
    <xf borderId="3" fillId="3" fontId="3" numFmtId="164" xfId="0" applyAlignment="1" applyBorder="1" applyFont="1" applyNumberFormat="1">
      <alignment horizontal="center" vertical="center"/>
    </xf>
    <xf borderId="30" fillId="3" fontId="3" numFmtId="164" xfId="0" applyAlignment="1" applyBorder="1" applyFont="1" applyNumberFormat="1">
      <alignment horizontal="center" vertical="center"/>
    </xf>
    <xf borderId="3" fillId="4" fontId="3" numFmtId="164" xfId="0" applyAlignment="1" applyBorder="1" applyFont="1" applyNumberFormat="1">
      <alignment horizontal="center" vertical="center"/>
    </xf>
    <xf borderId="30" fillId="4" fontId="3" numFmtId="164" xfId="0" applyAlignment="1" applyBorder="1" applyFont="1" applyNumberFormat="1">
      <alignment horizontal="center" vertical="center"/>
    </xf>
    <xf borderId="26" fillId="4" fontId="3" numFmtId="164" xfId="0" applyAlignment="1" applyBorder="1" applyFont="1" applyNumberFormat="1">
      <alignment horizontal="center" vertical="center"/>
    </xf>
    <xf borderId="28" fillId="2" fontId="1" numFmtId="164" xfId="0" applyAlignment="1" applyBorder="1" applyFont="1" applyNumberFormat="1">
      <alignment horizontal="center"/>
    </xf>
    <xf borderId="29" fillId="2" fontId="9" numFmtId="164" xfId="0" applyAlignment="1" applyBorder="1" applyFont="1" applyNumberFormat="1">
      <alignment horizontal="center"/>
    </xf>
    <xf borderId="31" fillId="4" fontId="3" numFmtId="165" xfId="0" applyAlignment="1" applyBorder="1" applyFont="1" applyNumberFormat="1">
      <alignment horizontal="center"/>
    </xf>
    <xf borderId="31" fillId="3" fontId="3" numFmtId="165" xfId="0" applyAlignment="1" applyBorder="1" applyFont="1" applyNumberFormat="1">
      <alignment horizontal="center"/>
    </xf>
    <xf borderId="32" fillId="6" fontId="11" numFmtId="0" xfId="0" applyBorder="1" applyFill="1" applyFont="1"/>
    <xf borderId="22" fillId="0" fontId="6" numFmtId="17" xfId="0" applyBorder="1" applyFont="1" applyNumberFormat="1"/>
    <xf borderId="27" fillId="6" fontId="11" numFmtId="0" xfId="0" applyBorder="1" applyFont="1"/>
    <xf borderId="29" fillId="0" fontId="6" numFmtId="0" xfId="0" applyBorder="1" applyFont="1"/>
    <xf borderId="33" fillId="2" fontId="1" numFmtId="0" xfId="0" applyAlignment="1" applyBorder="1" applyFont="1">
      <alignment horizontal="center" vertical="center"/>
    </xf>
    <xf borderId="34" fillId="0" fontId="5" numFmtId="0" xfId="0" applyBorder="1" applyFont="1"/>
    <xf borderId="35" fillId="0" fontId="5" numFmtId="0" xfId="0" applyBorder="1" applyFont="1"/>
    <xf borderId="36" fillId="2" fontId="1" numFmtId="0" xfId="0" applyAlignment="1" applyBorder="1" applyFont="1">
      <alignment horizontal="center" vertical="center"/>
    </xf>
    <xf borderId="11" fillId="2" fontId="1" numFmtId="165" xfId="0" applyAlignment="1" applyBorder="1" applyFont="1" applyNumberFormat="1">
      <alignment horizontal="center" vertical="center"/>
    </xf>
    <xf borderId="0" fillId="0" fontId="6" numFmtId="0" xfId="0" applyFont="1"/>
    <xf borderId="37" fillId="6" fontId="11" numFmtId="164" xfId="0" applyAlignment="1" applyBorder="1" applyFont="1" applyNumberFormat="1">
      <alignment horizontal="center"/>
    </xf>
    <xf borderId="38" fillId="6" fontId="11" numFmtId="164" xfId="0" applyAlignment="1" applyBorder="1" applyFont="1" applyNumberFormat="1">
      <alignment horizontal="center"/>
    </xf>
    <xf borderId="39" fillId="6" fontId="11" numFmtId="164" xfId="0" applyAlignment="1" applyBorder="1" applyFont="1" applyNumberFormat="1">
      <alignment horizontal="center"/>
    </xf>
    <xf borderId="1" fillId="6" fontId="11" numFmtId="165" xfId="0" applyAlignment="1" applyBorder="1" applyFont="1" applyNumberFormat="1">
      <alignment horizontal="center"/>
    </xf>
    <xf borderId="40" fillId="4" fontId="3" numFmtId="0" xfId="0" applyAlignment="1" applyBorder="1" applyFont="1">
      <alignment horizontal="left" vertical="center"/>
    </xf>
    <xf borderId="23" fillId="0" fontId="6" numFmtId="164" xfId="0" applyBorder="1" applyFont="1" applyNumberFormat="1"/>
    <xf borderId="41" fillId="7" fontId="6" numFmtId="164" xfId="0" applyBorder="1" applyFill="1" applyFont="1" applyNumberFormat="1"/>
    <xf borderId="42" fillId="7" fontId="6" numFmtId="164" xfId="0" applyBorder="1" applyFont="1" applyNumberFormat="1"/>
    <xf borderId="16" fillId="0" fontId="6" numFmtId="164" xfId="0" applyBorder="1" applyFont="1" applyNumberFormat="1"/>
    <xf borderId="1" fillId="0" fontId="6" numFmtId="165" xfId="0" applyBorder="1" applyFont="1" applyNumberFormat="1"/>
    <xf borderId="43" fillId="3" fontId="3" numFmtId="0" xfId="0" applyAlignment="1" applyBorder="1" applyFont="1">
      <alignment horizontal="left" vertical="center"/>
    </xf>
    <xf borderId="12" fillId="0" fontId="6" numFmtId="164" xfId="0" applyBorder="1" applyFont="1" applyNumberFormat="1"/>
    <xf borderId="43" fillId="4" fontId="3" numFmtId="0" xfId="0" applyAlignment="1" applyBorder="1" applyFont="1">
      <alignment horizontal="left" vertical="center"/>
    </xf>
    <xf borderId="44" fillId="0" fontId="6" numFmtId="164" xfId="0" applyBorder="1" applyFont="1" applyNumberFormat="1"/>
    <xf borderId="45" fillId="4" fontId="3" numFmtId="0" xfId="0" applyAlignment="1" applyBorder="1" applyFont="1">
      <alignment horizontal="left" vertical="center"/>
    </xf>
    <xf borderId="12" fillId="0" fontId="12" numFmtId="164" xfId="0" applyBorder="1" applyFont="1" applyNumberFormat="1"/>
    <xf borderId="46" fillId="4" fontId="3" numFmtId="0" xfId="0" applyAlignment="1" applyBorder="1" applyFont="1">
      <alignment horizontal="left" vertical="center"/>
    </xf>
    <xf borderId="47" fillId="0" fontId="12" numFmtId="164" xfId="0" applyBorder="1" applyFont="1" applyNumberFormat="1"/>
    <xf borderId="48" fillId="0" fontId="6" numFmtId="165" xfId="0" applyBorder="1" applyFont="1" applyNumberFormat="1"/>
    <xf borderId="49" fillId="6" fontId="1" numFmtId="0" xfId="0" applyAlignment="1" applyBorder="1" applyFont="1">
      <alignment horizontal="left" vertical="center"/>
    </xf>
    <xf borderId="37" fillId="6" fontId="11" numFmtId="164" xfId="0" applyBorder="1" applyFont="1" applyNumberFormat="1"/>
    <xf borderId="37" fillId="7" fontId="11" numFmtId="164" xfId="0" applyBorder="1" applyFont="1" applyNumberFormat="1"/>
    <xf borderId="37" fillId="7" fontId="13" numFmtId="164" xfId="0" applyBorder="1" applyFont="1" applyNumberFormat="1"/>
    <xf borderId="37" fillId="6" fontId="11" numFmtId="165" xfId="0" applyBorder="1" applyFont="1" applyNumberFormat="1"/>
    <xf borderId="0" fillId="0" fontId="14" numFmtId="0" xfId="0" applyFont="1"/>
    <xf borderId="0" fillId="0" fontId="6" numFmtId="2" xfId="0" applyFont="1" applyNumberFormat="1"/>
    <xf borderId="3" fillId="3" fontId="3" numFmtId="165" xfId="0" applyAlignment="1" applyBorder="1" applyFont="1" applyNumberFormat="1">
      <alignment horizontal="left" vertical="center"/>
    </xf>
    <xf borderId="3" fillId="4" fontId="3" numFmtId="165" xfId="0" applyAlignment="1" applyBorder="1" applyFont="1" applyNumberFormat="1">
      <alignment horizontal="left" vertical="center"/>
    </xf>
    <xf borderId="0" fillId="0" fontId="2" numFmtId="2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7" numFmtId="165" xfId="0" applyAlignment="1" applyFont="1" applyNumberFormat="1">
      <alignment vertical="center"/>
    </xf>
    <xf borderId="1" fillId="2" fontId="1" numFmtId="165" xfId="0" applyAlignment="1" applyBorder="1" applyFont="1" applyNumberFormat="1">
      <alignment horizontal="left" vertical="center"/>
    </xf>
    <xf borderId="32" fillId="2" fontId="1" numFmtId="0" xfId="0" applyAlignment="1" applyBorder="1" applyFont="1">
      <alignment horizontal="left" vertical="center"/>
    </xf>
    <xf borderId="50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51" fillId="4" fontId="3" numFmtId="0" xfId="0" applyAlignment="1" applyBorder="1" applyFont="1">
      <alignment horizontal="left" vertical="center"/>
    </xf>
    <xf borderId="52" fillId="4" fontId="3" numFmtId="4" xfId="0" applyAlignment="1" applyBorder="1" applyFont="1" applyNumberFormat="1">
      <alignment horizontal="center" vertical="center"/>
    </xf>
    <xf borderId="4" fillId="4" fontId="3" numFmtId="164" xfId="0" applyAlignment="1" applyBorder="1" applyFont="1" applyNumberFormat="1">
      <alignment vertical="center"/>
    </xf>
    <xf borderId="53" fillId="3" fontId="3" numFmtId="4" xfId="0" applyAlignment="1" applyBorder="1" applyFont="1" applyNumberFormat="1">
      <alignment horizontal="center" vertical="center"/>
    </xf>
    <xf borderId="54" fillId="3" fontId="3" numFmtId="164" xfId="0" applyAlignment="1" applyBorder="1" applyFont="1" applyNumberFormat="1">
      <alignment horizontal="center" vertical="center"/>
    </xf>
    <xf borderId="55" fillId="4" fontId="3" numFmtId="164" xfId="0" applyAlignment="1" applyBorder="1" applyFont="1" applyNumberFormat="1">
      <alignment horizontal="center" vertical="center"/>
    </xf>
    <xf borderId="0" fillId="0" fontId="8" numFmtId="10" xfId="0" applyAlignment="1" applyFont="1" applyNumberFormat="1">
      <alignment horizontal="left"/>
    </xf>
    <xf borderId="56" fillId="4" fontId="3" numFmtId="0" xfId="0" applyAlignment="1" applyBorder="1" applyFont="1">
      <alignment horizontal="left" vertical="center"/>
    </xf>
    <xf borderId="57" fillId="4" fontId="3" numFmtId="4" xfId="0" applyAlignment="1" applyBorder="1" applyFont="1" applyNumberFormat="1">
      <alignment horizontal="center" vertical="center"/>
    </xf>
    <xf borderId="58" fillId="4" fontId="3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TN-MBM-GRT-%20Or&#231;amento%20comentado-R00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Mabrem%2010.2020/Liberato/03.%20Custo/03.5%20Custo%20-%20Determina&#231;&#227;o%20do%20or&#231;amento/R01/CTN-MBR-LBR-%20EAP_Comentada_R01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Thozen%20-%2002.2023/03.%20Custo/03.5%20Custo%20-%20Determina&#231;&#227;o%20do%20or&#231;amento/R01/Or&#231;amento/CTN-THO-MAT%20-Or&#231;amento%20comentado-R01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C37B5F6\CTN-ALF-RVL%20-Or&#231;amento%20comentado-R00%20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Mabrem%2010.2020/San%20Marino/03.%20Custo/03.5%20Custo%20-%20Determina&#231;&#227;o%20do%20or&#231;amento/MTH_MAB-SAN_Or&#231;amento%20completo%2011.03.21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PA"/>
      <sheetName val="OBRA"/>
      <sheetName val="EPC's"/>
      <sheetName val="CANTEIRO"/>
      <sheetName val="ORÇAMENTO_EXECUTIVO"/>
      <sheetName val="MOBILIÁRIO R00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PA"/>
      <sheetName val="COTAÇÕES"/>
      <sheetName val="ORÇAMENTO_EXECUTIVO"/>
      <sheetName val="EPC's"/>
      <sheetName val="ESCAVAÇÕES"/>
      <sheetName val="CISTERNAS E CAIXAS"/>
      <sheetName val="ALVENARIAS"/>
      <sheetName val="ESQUADRIAS"/>
      <sheetName val="GUARDA-CORPO"/>
      <sheetName val="ELETRICA + LOGICA"/>
      <sheetName val="HIDRAULICA"/>
      <sheetName val="PRUMADA"/>
      <sheetName val="SANITÁRIO"/>
      <sheetName val="LOUÇAS E METAIS"/>
      <sheetName val="GAS"/>
      <sheetName val="PREVENTIVAS"/>
      <sheetName val="SPDA"/>
      <sheetName val="IMPERMEABILIZAÇÃO"/>
      <sheetName val="CONTRAPISOS"/>
      <sheetName val="REVEST PISO"/>
      <sheetName val="REVEST PAREDES"/>
      <sheetName val="TETOS"/>
      <sheetName val="RODAPÉS"/>
      <sheetName val="INTERFONIA"/>
      <sheetName val="COBERTURA"/>
      <sheetName val="REUSO"/>
      <sheetName val="FACHADAS"/>
      <sheetName val="MOBILIÁ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PA"/>
      <sheetName val="OBRA"/>
      <sheetName val="CANTEIRO"/>
      <sheetName val="ORÇAMENTO_EXECUTIVO_COMENTADO"/>
      <sheetName val="EPC's"/>
      <sheetName val="Louças e metais"/>
      <sheetName val="Custo Louças e Metais"/>
      <sheetName val="Churrasqueira"/>
      <sheetName val="MOBILIÁRI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BRA"/>
      <sheetName val="CANTEIRO"/>
      <sheetName val="EPC's"/>
      <sheetName val="ORÇAMENTO_EXECUTIVO_COMENTADO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43"/>
    <col customWidth="1" min="2" max="2" width="21.71"/>
    <col customWidth="1" min="3" max="3" width="14.29"/>
    <col customWidth="1" min="4" max="4" width="20.0"/>
    <col customWidth="1" min="5" max="5" width="30.71"/>
    <col customWidth="1" min="6" max="6" width="19.29"/>
    <col customWidth="1" min="7" max="7" width="19.57"/>
    <col customWidth="1" min="8" max="9" width="9.14"/>
    <col customWidth="1" min="10" max="10" width="11.29"/>
    <col customWidth="1" min="11" max="17" width="9.14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2.5" customHeight="1">
      <c r="A2" s="4" t="s">
        <v>4</v>
      </c>
      <c r="B2" s="5" t="str">
        <f>[1]ORÇAMENTO_EXECUTIVO!$F$13</f>
        <v>#ERROR!</v>
      </c>
      <c r="C2" s="6" t="str">
        <f t="shared" ref="C2:C17" si="1">B2/B$18</f>
        <v>#ERROR!</v>
      </c>
      <c r="D2" s="7" t="str">
        <f>B2/'ORÇAMENTO_EXECUTIVO'!G$2</f>
        <v>#ERROR!</v>
      </c>
      <c r="E2" s="3" t="s">
        <v>5</v>
      </c>
      <c r="F2" s="8" t="s">
        <v>6</v>
      </c>
      <c r="G2" s="9">
        <v>12518.96</v>
      </c>
      <c r="H2" s="10" t="s">
        <v>7</v>
      </c>
      <c r="I2" s="3"/>
      <c r="J2" s="3"/>
      <c r="K2" s="3"/>
      <c r="L2" s="3"/>
      <c r="M2" s="3"/>
      <c r="N2" s="3"/>
      <c r="O2" s="3"/>
      <c r="P2" s="3"/>
      <c r="Q2" s="3"/>
    </row>
    <row r="3" ht="19.5" customHeight="1">
      <c r="A3" s="11" t="s">
        <v>8</v>
      </c>
      <c r="B3" s="12" t="str">
        <f>[1]ORÇAMENTO_EXECUTIVO!$F$110</f>
        <v>#ERROR!</v>
      </c>
      <c r="C3" s="13" t="str">
        <f t="shared" si="1"/>
        <v>#ERROR!</v>
      </c>
      <c r="D3" s="14" t="str">
        <f>B3/'ORÇAMENTO_EXECUTIVO'!G$2</f>
        <v>#ERROR!</v>
      </c>
      <c r="E3" s="3" t="s">
        <v>5</v>
      </c>
      <c r="F3" s="15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19.5" customHeight="1">
      <c r="A4" s="4" t="s">
        <v>9</v>
      </c>
      <c r="B4" s="5" t="str">
        <f>[1]ORÇAMENTO_EXECUTIVO!$F$154</f>
        <v>#ERROR!</v>
      </c>
      <c r="C4" s="6" t="str">
        <f t="shared" si="1"/>
        <v>#ERROR!</v>
      </c>
      <c r="D4" s="7" t="str">
        <f>B4/'ORÇAMENTO_EXECUTIVO'!G$2</f>
        <v>#ERROR!</v>
      </c>
      <c r="E4" s="3" t="s">
        <v>5</v>
      </c>
      <c r="F4" s="15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9.5" customHeight="1">
      <c r="A5" s="11" t="s">
        <v>10</v>
      </c>
      <c r="B5" s="12" t="str">
        <f>[1]ORÇAMENTO_EXECUTIVO!$F$347</f>
        <v>#ERROR!</v>
      </c>
      <c r="C5" s="13" t="str">
        <f t="shared" si="1"/>
        <v>#ERROR!</v>
      </c>
      <c r="D5" s="14" t="str">
        <f>B5/'ORÇAMENTO_EXECUTIVO'!G$2</f>
        <v>#ERROR!</v>
      </c>
      <c r="E5" s="3" t="s">
        <v>5</v>
      </c>
      <c r="F5" s="3"/>
      <c r="G5" s="3"/>
      <c r="H5" s="16" t="s">
        <v>11</v>
      </c>
      <c r="I5" s="17"/>
      <c r="J5" s="16" t="s">
        <v>12</v>
      </c>
      <c r="K5" s="17"/>
      <c r="L5" s="16" t="s">
        <v>13</v>
      </c>
      <c r="M5" s="17"/>
      <c r="N5" s="16" t="s">
        <v>14</v>
      </c>
      <c r="O5" s="17"/>
      <c r="P5" s="16" t="s">
        <v>15</v>
      </c>
      <c r="Q5" s="17"/>
    </row>
    <row r="6" ht="19.5" customHeight="1">
      <c r="A6" s="4" t="s">
        <v>16</v>
      </c>
      <c r="B6" s="5" t="str">
        <f>[1]ORÇAMENTO_EXECUTIVO!$F$495+[1]ORÇAMENTO_EXECUTIVO!$F$606+[1]ORÇAMENTO_EXECUTIVO!$F$704</f>
        <v>#ERROR!</v>
      </c>
      <c r="C6" s="6" t="str">
        <f t="shared" si="1"/>
        <v>#ERROR!</v>
      </c>
      <c r="D6" s="7" t="str">
        <f>B6/'ORÇAMENTO_EXECUTIVO'!G$2</f>
        <v>#ERROR!</v>
      </c>
      <c r="E6" s="18" t="s">
        <v>17</v>
      </c>
      <c r="F6" s="19"/>
      <c r="G6" s="20" t="s">
        <v>18</v>
      </c>
      <c r="H6" s="21">
        <v>8692.89</v>
      </c>
      <c r="I6" s="22"/>
      <c r="J6" s="21">
        <v>7919.860000000001</v>
      </c>
      <c r="K6" s="22"/>
      <c r="L6" s="21">
        <v>7078.1</v>
      </c>
      <c r="M6" s="22"/>
      <c r="N6" s="21">
        <v>5064.419999999999</v>
      </c>
      <c r="O6" s="22"/>
      <c r="P6" s="20"/>
      <c r="Q6" s="23"/>
    </row>
    <row r="7" ht="19.5" customHeight="1">
      <c r="A7" s="11" t="s">
        <v>19</v>
      </c>
      <c r="B7" s="12" t="str">
        <f>[1]ORÇAMENTO_EXECUTIVO!$F$762+[1]ORÇAMENTO_EXECUTIVO!$F$1671</f>
        <v>#ERROR!</v>
      </c>
      <c r="C7" s="13" t="str">
        <f t="shared" si="1"/>
        <v>#ERROR!</v>
      </c>
      <c r="D7" s="14" t="str">
        <f>B7/'ORÇAMENTO_EXECUTIVO'!G$2</f>
        <v>#ERROR!</v>
      </c>
      <c r="E7" s="3" t="s">
        <v>5</v>
      </c>
      <c r="F7" s="24"/>
      <c r="G7" s="25" t="s">
        <v>20</v>
      </c>
      <c r="H7" s="25">
        <v>193128.65203400003</v>
      </c>
      <c r="I7" s="26">
        <f t="shared" ref="I7:I9" si="2">H7/$H$6</f>
        <v>22.21685217</v>
      </c>
      <c r="J7" s="25">
        <v>179830.76907699998</v>
      </c>
      <c r="K7" s="26">
        <f t="shared" ref="K7:K9" si="3">J7/$J$6</f>
        <v>22.70630656</v>
      </c>
      <c r="L7" s="25">
        <v>184222.96651999996</v>
      </c>
      <c r="M7" s="26">
        <f t="shared" ref="M7:M9" si="4">L7/$L$6</f>
        <v>26.02717771</v>
      </c>
      <c r="N7" s="25">
        <v>93668.00000000001</v>
      </c>
      <c r="O7" s="26">
        <f t="shared" ref="O7:O9" si="5">N7/$N$6</f>
        <v>18.49530647</v>
      </c>
      <c r="P7" s="25"/>
      <c r="Q7" s="27"/>
    </row>
    <row r="8" ht="19.5" customHeight="1">
      <c r="A8" s="4" t="s">
        <v>21</v>
      </c>
      <c r="B8" s="5" t="str">
        <f>[1]ORÇAMENTO_EXECUTIVO!$F$779</f>
        <v>#ERROR!</v>
      </c>
      <c r="C8" s="6" t="str">
        <f t="shared" si="1"/>
        <v>#ERROR!</v>
      </c>
      <c r="D8" s="7" t="str">
        <f>B8/'ORÇAMENTO_EXECUTIVO'!G$2</f>
        <v>#ERROR!</v>
      </c>
      <c r="E8" s="3" t="s">
        <v>5</v>
      </c>
      <c r="F8" s="19"/>
      <c r="G8" s="28" t="s">
        <v>22</v>
      </c>
      <c r="H8" s="29">
        <v>90826.8032662</v>
      </c>
      <c r="I8" s="30">
        <f t="shared" si="2"/>
        <v>10.44840131</v>
      </c>
      <c r="J8" s="29">
        <v>260753.97175616998</v>
      </c>
      <c r="K8" s="30">
        <f t="shared" si="3"/>
        <v>32.92406327</v>
      </c>
      <c r="L8" s="29">
        <v>432041.61000399996</v>
      </c>
      <c r="M8" s="30">
        <f t="shared" si="4"/>
        <v>61.03920685</v>
      </c>
      <c r="N8" s="29">
        <v>100631.15000000001</v>
      </c>
      <c r="O8" s="30">
        <f t="shared" si="5"/>
        <v>19.87022206</v>
      </c>
      <c r="P8" s="29"/>
      <c r="Q8" s="31"/>
    </row>
    <row r="9" ht="19.5" customHeight="1">
      <c r="A9" s="11" t="s">
        <v>23</v>
      </c>
      <c r="B9" s="12" t="str">
        <f>[1]ORÇAMENTO_EXECUTIVO!$F$903</f>
        <v>#ERROR!</v>
      </c>
      <c r="C9" s="13" t="str">
        <f t="shared" si="1"/>
        <v>#ERROR!</v>
      </c>
      <c r="D9" s="14" t="str">
        <f>B9/'ORÇAMENTO_EXECUTIVO'!G$2</f>
        <v>#ERROR!</v>
      </c>
      <c r="E9" s="3" t="s">
        <v>5</v>
      </c>
      <c r="F9" s="32"/>
      <c r="G9" s="29" t="s">
        <v>24</v>
      </c>
      <c r="H9" s="29">
        <v>813763.733</v>
      </c>
      <c r="I9" s="30">
        <f t="shared" si="2"/>
        <v>93.61256533</v>
      </c>
      <c r="J9" s="29">
        <v>961385.8699</v>
      </c>
      <c r="K9" s="30">
        <f t="shared" si="3"/>
        <v>121.3892506</v>
      </c>
      <c r="L9" s="29">
        <v>970056.1400000001</v>
      </c>
      <c r="M9" s="30">
        <f t="shared" si="4"/>
        <v>137.0503581</v>
      </c>
      <c r="N9" s="29">
        <v>425523.35</v>
      </c>
      <c r="O9" s="30">
        <f t="shared" si="5"/>
        <v>84.02212889</v>
      </c>
      <c r="P9" s="29"/>
      <c r="Q9" s="31"/>
    </row>
    <row r="10" ht="19.5" customHeight="1">
      <c r="A10" s="4" t="s">
        <v>25</v>
      </c>
      <c r="B10" s="5" t="str">
        <f>[1]ORÇAMENTO_EXECUTIVO!$F$1025</f>
        <v>#ERROR!</v>
      </c>
      <c r="C10" s="6" t="str">
        <f t="shared" si="1"/>
        <v>#ERROR!</v>
      </c>
      <c r="D10" s="7" t="str">
        <f>B10/'ORÇAMENTO_EXECUTIVO'!G$2</f>
        <v>#ERROR!</v>
      </c>
      <c r="E10" s="3" t="s">
        <v>5</v>
      </c>
      <c r="F10" s="3"/>
      <c r="G10" s="33"/>
      <c r="H10" s="34"/>
      <c r="I10" s="35"/>
      <c r="J10" s="36"/>
      <c r="K10" s="37"/>
      <c r="L10" s="36" t="s">
        <v>26</v>
      </c>
      <c r="M10" s="35"/>
      <c r="N10" s="36"/>
      <c r="O10" s="35"/>
      <c r="P10" s="34"/>
      <c r="Q10" s="35"/>
    </row>
    <row r="11" ht="19.5" customHeight="1">
      <c r="A11" s="11" t="s">
        <v>27</v>
      </c>
      <c r="B11" s="12" t="str">
        <f>[1]ORÇAMENTO_EXECUTIVO!$F$1098</f>
        <v>#ERROR!</v>
      </c>
      <c r="C11" s="13" t="str">
        <f t="shared" si="1"/>
        <v>#ERROR!</v>
      </c>
      <c r="D11" s="14" t="str">
        <f>B11/'ORÇAMENTO_EXECUTIVO'!G$2</f>
        <v>#ERROR!</v>
      </c>
      <c r="E11" s="3" t="s">
        <v>5</v>
      </c>
      <c r="F11" s="3"/>
      <c r="G11" s="25" t="s">
        <v>28</v>
      </c>
      <c r="H11" s="25"/>
      <c r="I11" s="38">
        <v>10520.39</v>
      </c>
      <c r="J11" s="39"/>
      <c r="K11" s="40"/>
      <c r="L11" s="39"/>
      <c r="M11" s="27">
        <v>10661.12</v>
      </c>
      <c r="N11" s="39"/>
      <c r="O11" s="27">
        <v>5233.02</v>
      </c>
      <c r="P11" s="25"/>
      <c r="Q11" s="27">
        <v>13434.29</v>
      </c>
    </row>
    <row r="12" ht="19.5" customHeight="1">
      <c r="A12" s="4" t="s">
        <v>29</v>
      </c>
      <c r="B12" s="5" t="str">
        <f>[1]ORÇAMENTO_EXECUTIVO!$F$1272</f>
        <v>#ERROR!</v>
      </c>
      <c r="C12" s="6" t="str">
        <f t="shared" si="1"/>
        <v>#ERROR!</v>
      </c>
      <c r="D12" s="7" t="str">
        <f>B12/'ORÇAMENTO_EXECUTIVO'!G$2</f>
        <v>#ERROR!</v>
      </c>
      <c r="E12" s="3" t="s">
        <v>5</v>
      </c>
      <c r="F12" s="3"/>
      <c r="G12" s="41" t="s">
        <v>30</v>
      </c>
      <c r="H12" s="29">
        <v>2161.52</v>
      </c>
      <c r="I12" s="42">
        <f>H12/I11</f>
        <v>0.2054600637</v>
      </c>
      <c r="J12" s="29">
        <v>2511.5000000000005</v>
      </c>
      <c r="K12" s="42">
        <f>J12/G2</f>
        <v>0.2006157061</v>
      </c>
      <c r="L12" s="43">
        <v>3222.12</v>
      </c>
      <c r="M12" s="42">
        <f>L12/M11</f>
        <v>0.3022309101</v>
      </c>
      <c r="N12" s="29">
        <v>1260.01</v>
      </c>
      <c r="O12" s="42">
        <f>N12/O11</f>
        <v>0.2407806582</v>
      </c>
      <c r="P12" s="29">
        <v>3305.65</v>
      </c>
      <c r="Q12" s="42">
        <f>P12/Q11</f>
        <v>0.2460606403</v>
      </c>
    </row>
    <row r="13" ht="19.5" customHeight="1">
      <c r="A13" s="11" t="s">
        <v>31</v>
      </c>
      <c r="B13" s="12" t="str">
        <f>[1]ORÇAMENTO_EXECUTIVO!$F$1463</f>
        <v>#ERROR!</v>
      </c>
      <c r="C13" s="13" t="str">
        <f t="shared" si="1"/>
        <v>#ERROR!</v>
      </c>
      <c r="D13" s="14" t="str">
        <f>B13/'ORÇAMENTO_EXECUTIVO'!G$2</f>
        <v>#ERROR!</v>
      </c>
      <c r="E13" s="3" t="s">
        <v>5</v>
      </c>
      <c r="F13" s="3"/>
      <c r="G13" s="29" t="s">
        <v>32</v>
      </c>
      <c r="H13" s="29">
        <v>171316.89999999997</v>
      </c>
      <c r="I13" s="42">
        <f>H13/H12</f>
        <v>79.25760576</v>
      </c>
      <c r="J13" s="29">
        <v>215788.0</v>
      </c>
      <c r="K13" s="42">
        <f>J13/J12</f>
        <v>85.91996815</v>
      </c>
      <c r="L13" s="43">
        <v>350367.0</v>
      </c>
      <c r="M13" s="42">
        <f>L13/L12</f>
        <v>108.7380358</v>
      </c>
      <c r="N13" s="29">
        <v>87519.0</v>
      </c>
      <c r="O13" s="42">
        <f>N13/N12</f>
        <v>69.45897255</v>
      </c>
      <c r="P13" s="43">
        <v>327766.4</v>
      </c>
      <c r="Q13" s="42">
        <f>P13/P12</f>
        <v>99.15338889</v>
      </c>
    </row>
    <row r="14" ht="19.5" customHeight="1">
      <c r="A14" s="4" t="s">
        <v>33</v>
      </c>
      <c r="B14" s="5" t="str">
        <f>[1]ORÇAMENTO_EXECUTIVO!$F$1575</f>
        <v>#ERROR!</v>
      </c>
      <c r="C14" s="6" t="str">
        <f t="shared" si="1"/>
        <v>#ERROR!</v>
      </c>
      <c r="D14" s="7" t="str">
        <f>B14/'ORÇAMENTO_EXECUTIVO'!G$2</f>
        <v>#ERROR!</v>
      </c>
      <c r="E14" s="3" t="s">
        <v>5</v>
      </c>
      <c r="F14" s="3"/>
      <c r="G14" s="36" t="s">
        <v>34</v>
      </c>
      <c r="H14" s="36">
        <v>25304.58</v>
      </c>
      <c r="I14" s="44">
        <f>H14/H12</f>
        <v>11.70684518</v>
      </c>
      <c r="J14" s="36">
        <v>26310.100000000002</v>
      </c>
      <c r="K14" s="44">
        <f>J14/J12</f>
        <v>10.47585109</v>
      </c>
      <c r="L14" s="36"/>
      <c r="M14" s="37"/>
      <c r="N14" s="36"/>
      <c r="O14" s="37"/>
      <c r="P14" s="36">
        <v>33585.725000000006</v>
      </c>
      <c r="Q14" s="44">
        <f>P14/P12</f>
        <v>10.16009711</v>
      </c>
    </row>
    <row r="15" ht="19.5" customHeight="1">
      <c r="A15" s="11" t="s">
        <v>35</v>
      </c>
      <c r="B15" s="12" t="str">
        <f>[1]ORÇAMENTO_EXECUTIVO!$F$1580</f>
        <v>#ERROR!</v>
      </c>
      <c r="C15" s="13" t="str">
        <f t="shared" si="1"/>
        <v>#ERROR!</v>
      </c>
      <c r="D15" s="14" t="str">
        <f>B15/'ORÇAMENTO_EXECUTIVO'!G$2</f>
        <v>#ERROR!</v>
      </c>
      <c r="E15" s="3" t="s">
        <v>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t="19.5" customHeight="1">
      <c r="A16" s="4" t="s">
        <v>36</v>
      </c>
      <c r="B16" s="5" t="str">
        <f>[1]ORÇAMENTO_EXECUTIVO!$F$1685-[1]ORÇAMENTO_EXECUTIVO!$F$1696</f>
        <v>#ERROR!</v>
      </c>
      <c r="C16" s="6" t="str">
        <f t="shared" si="1"/>
        <v>#ERROR!</v>
      </c>
      <c r="D16" s="7" t="str">
        <f>B16/'ORÇAMENTO_EXECUTIVO'!G$2</f>
        <v>#ERROR!</v>
      </c>
      <c r="E16" s="3" t="s">
        <v>5</v>
      </c>
      <c r="F16" s="3"/>
      <c r="G16" s="25" t="s">
        <v>37</v>
      </c>
      <c r="H16" s="45" t="str">
        <f>[2]ORÇAMENTO_EXECUTIVO!$G$418</f>
        <v>#ERROR!</v>
      </c>
      <c r="I16" s="45" t="str">
        <f t="shared" ref="I16:I18" si="6">H16/$I$11</f>
        <v>#ERROR!</v>
      </c>
      <c r="J16" s="45" t="str">
        <f>[1]ORÇAMENTO_EXECUTIVO!$F$495</f>
        <v>#ERROR!</v>
      </c>
      <c r="K16" s="46" t="str">
        <f t="shared" ref="K16:K18" si="7">J16/$G$2</f>
        <v>#ERROR!</v>
      </c>
      <c r="L16" s="45" t="str">
        <f>[3]ORÇAMENTO_EXECUTIVO_COMENTADO!$F$303</f>
        <v>#ERROR!</v>
      </c>
      <c r="M16" s="45" t="str">
        <f t="shared" ref="M16:M18" si="8">L16/$M$11</f>
        <v>#ERROR!</v>
      </c>
      <c r="N16" s="47"/>
      <c r="O16" s="47"/>
      <c r="P16" s="45" t="str">
        <f>[4]ORÇAMENTO_EXECUTIVO_COMENTADO!$F$254</f>
        <v>#ERROR!</v>
      </c>
      <c r="Q16" s="48" t="str">
        <f t="shared" ref="Q16:Q18" si="9">P16/$Q$11</f>
        <v>#ERROR!</v>
      </c>
    </row>
    <row r="17" ht="19.5" customHeight="1">
      <c r="A17" s="11" t="s">
        <v>38</v>
      </c>
      <c r="B17" s="12" t="str">
        <f>SUM(B2:B16)*0.025</f>
        <v>#ERROR!</v>
      </c>
      <c r="C17" s="13" t="str">
        <f t="shared" si="1"/>
        <v>#ERROR!</v>
      </c>
      <c r="D17" s="14" t="str">
        <f>B17/'ORÇAMENTO_EXECUTIVO'!G$2</f>
        <v>#ERROR!</v>
      </c>
      <c r="E17" s="3"/>
      <c r="F17" s="3"/>
      <c r="G17" s="29" t="s">
        <v>39</v>
      </c>
      <c r="H17" s="32" t="str">
        <f>[2]ORÇAMENTO_EXECUTIVO!$G$512</f>
        <v>#ERROR!</v>
      </c>
      <c r="I17" s="32" t="str">
        <f t="shared" si="6"/>
        <v>#ERROR!</v>
      </c>
      <c r="J17" s="32" t="str">
        <f>[1]ORÇAMENTO_EXECUTIVO!$F$606</f>
        <v>#ERROR!</v>
      </c>
      <c r="K17" s="49" t="str">
        <f t="shared" si="7"/>
        <v>#ERROR!</v>
      </c>
      <c r="L17" s="32" t="str">
        <f>[3]ORÇAMENTO_EXECUTIVO_COMENTADO!$F$289</f>
        <v>#ERROR!</v>
      </c>
      <c r="M17" s="32" t="str">
        <f t="shared" si="8"/>
        <v>#ERROR!</v>
      </c>
      <c r="N17" s="3"/>
      <c r="O17" s="3"/>
      <c r="P17" s="32" t="str">
        <f>[4]ORÇAMENTO_EXECUTIVO_COMENTADO!$F$238</f>
        <v>#ERROR!</v>
      </c>
      <c r="Q17" s="50" t="str">
        <f t="shared" si="9"/>
        <v>#ERROR!</v>
      </c>
    </row>
    <row r="18" ht="19.5" customHeight="1">
      <c r="A18" s="1" t="s">
        <v>40</v>
      </c>
      <c r="B18" s="51" t="str">
        <f t="shared" ref="B18:D18" si="10">SUM(B2:B17)</f>
        <v>#ERROR!</v>
      </c>
      <c r="C18" s="52" t="str">
        <f t="shared" si="10"/>
        <v>#ERROR!</v>
      </c>
      <c r="D18" s="53" t="str">
        <f t="shared" si="10"/>
        <v>#ERROR!</v>
      </c>
      <c r="E18" s="32"/>
      <c r="F18" s="3"/>
      <c r="G18" s="36" t="s">
        <v>41</v>
      </c>
      <c r="H18" s="54" t="str">
        <f>[2]ORÇAMENTO_EXECUTIVO!$G$602</f>
        <v>#ERROR!</v>
      </c>
      <c r="I18" s="54" t="str">
        <f t="shared" si="6"/>
        <v>#ERROR!</v>
      </c>
      <c r="J18" s="54" t="str">
        <f>[1]ORÇAMENTO_EXECUTIVO!$F$704</f>
        <v>#ERROR!</v>
      </c>
      <c r="K18" s="55" t="str">
        <f t="shared" si="7"/>
        <v>#ERROR!</v>
      </c>
      <c r="L18" s="54" t="str">
        <f>[3]ORÇAMENTO_EXECUTIVO_COMENTADO!$F$330</f>
        <v>#ERROR!</v>
      </c>
      <c r="M18" s="54" t="str">
        <f t="shared" si="8"/>
        <v>#ERROR!</v>
      </c>
      <c r="N18" s="56"/>
      <c r="O18" s="56"/>
      <c r="P18" s="54" t="str">
        <f>[4]ORÇAMENTO_EXECUTIVO_COMENTADO!$F$274+[4]ORÇAMENTO_EXECUTIVO_COMENTADO!$F$286</f>
        <v>#ERROR!</v>
      </c>
      <c r="Q18" s="57" t="str">
        <f t="shared" si="9"/>
        <v>#ERROR!</v>
      </c>
    </row>
    <row r="19" ht="19.5" customHeight="1">
      <c r="A19" s="1" t="s">
        <v>42</v>
      </c>
      <c r="B19" s="53">
        <v>2757.56</v>
      </c>
      <c r="C19" s="58">
        <v>45383.0</v>
      </c>
      <c r="D19" s="59" t="str">
        <f>+D18/B19</f>
        <v>#ERROR!</v>
      </c>
      <c r="E19" s="32"/>
      <c r="F19" s="3"/>
      <c r="G19" s="3"/>
      <c r="H19" s="3"/>
      <c r="I19" s="3"/>
      <c r="J19" s="3"/>
      <c r="K19" s="60"/>
      <c r="L19" s="3"/>
      <c r="M19" s="3"/>
      <c r="N19" s="3"/>
      <c r="O19" s="3"/>
      <c r="P19" s="3"/>
      <c r="Q19" s="3"/>
    </row>
    <row r="20" ht="22.5" customHeight="1">
      <c r="A20" s="3"/>
      <c r="B20" s="3"/>
      <c r="C20" s="19"/>
      <c r="D20" s="19"/>
      <c r="E20" s="3"/>
      <c r="F20" s="32"/>
      <c r="G20" s="25" t="s">
        <v>34</v>
      </c>
      <c r="H20" s="45" t="str">
        <f>[2]ORÇAMENTO_EXECUTIVO!$G$145+[2]ORÇAMENTO_EXECUTIVO!$G$169+[2]ORÇAMENTO_EXECUTIVO!$G$191+[2]ORÇAMENTO_EXECUTIVO!$G$212+[2]ORÇAMENTO_EXECUTIVO!$G$233+[2]ORÇAMENTO_EXECUTIVO!$G$254+[2]ORÇAMENTO_EXECUTIVO!$G$273+[2]ORÇAMENTO_EXECUTIVO!$G$289</f>
        <v>#ERROR!</v>
      </c>
      <c r="I20" s="45" t="str">
        <f t="shared" ref="I20:I23" si="11">H20/$I$11</f>
        <v>#ERROR!</v>
      </c>
      <c r="J20" s="45" t="str">
        <f>[1]ORÇAMENTO_EXECUTIVO!$F$165+[1]ORÇAMENTO_EXECUTIVO!$F$187+[1]ORÇAMENTO_EXECUTIVO!$F$211+[1]ORÇAMENTO_EXECUTIVO!$F$233+[1]ORÇAMENTO_EXECUTIVO!$F$255+[1]ORÇAMENTO_EXECUTIVO!$F$276+[1]ORÇAMENTO_EXECUTIVO!$F$297+[1]ORÇAMENTO_EXECUTIVO!$F$318+[1]ORÇAMENTO_EXECUTIVO!$F$338</f>
        <v>#ERROR!</v>
      </c>
      <c r="K20" s="45" t="str">
        <f t="shared" ref="K20:K23" si="12">J20/$G$2</f>
        <v>#ERROR!</v>
      </c>
      <c r="L20" s="45" t="str">
        <f>[3]ORÇAMENTO_EXECUTIVO_COMENTADO!$F$188+[3]ORÇAMENTO_EXECUTIVO_COMENTADO!$F$217</f>
        <v>#ERROR!</v>
      </c>
      <c r="M20" s="45" t="str">
        <f t="shared" ref="M20:M24" si="13">L20/$M$11</f>
        <v>#ERROR!</v>
      </c>
      <c r="N20" s="47"/>
      <c r="O20" s="47"/>
      <c r="P20" s="47">
        <v>689058.06642355</v>
      </c>
      <c r="Q20" s="27">
        <f t="shared" ref="Q20:Q24" si="14">P20/$Q$11</f>
        <v>51.29099241</v>
      </c>
    </row>
    <row r="21" ht="22.5" customHeight="1">
      <c r="A21" s="3"/>
      <c r="B21" s="32"/>
      <c r="C21" s="19"/>
      <c r="D21" s="19"/>
      <c r="E21" s="3"/>
      <c r="F21" s="3"/>
      <c r="G21" s="29" t="s">
        <v>43</v>
      </c>
      <c r="H21" s="32" t="str">
        <f>[2]ORÇAMENTO_EXECUTIVO!$G$283+[2]ORÇAMENTO_EXECUTIVO!$G$266+[2]ORÇAMENTO_EXECUTIVO!$G$245+[2]ORÇAMENTO_EXECUTIVO!$G$224+[2]ORÇAMENTO_EXECUTIVO!$G$203+[2]ORÇAMENTO_EXECUTIVO!$G$182+[2]ORÇAMENTO_EXECUTIVO!$G$160+[2]ORÇAMENTO_EXECUTIVO!$G$137</f>
        <v>#ERROR!</v>
      </c>
      <c r="I21" s="32" t="str">
        <f t="shared" si="11"/>
        <v>#ERROR!</v>
      </c>
      <c r="J21" s="32" t="str">
        <f>[1]ORÇAMENTO_EXECUTIVO!$F$329+[1]ORÇAMENTO_EXECUTIVO!$F$309+[1]ORÇAMENTO_EXECUTIVO!$F$288+[1]ORÇAMENTO_EXECUTIVO!$F$267+[1]ORÇAMENTO_EXECUTIVO!$F$246+[1]ORÇAMENTO_EXECUTIVO!$F$224+[1]ORÇAMENTO_EXECUTIVO!$F$202+[1]ORÇAMENTO_EXECUTIVO!$F$178+[1]ORÇAMENTO_EXECUTIVO!$F$156</f>
        <v>#ERROR!</v>
      </c>
      <c r="K21" s="32" t="str">
        <f t="shared" si="12"/>
        <v>#ERROR!</v>
      </c>
      <c r="L21" s="32" t="str">
        <f>[3]ORÇAMENTO_EXECUTIVO_COMENTADO!$F$226+[3]ORÇAMENTO_EXECUTIVO_COMENTADO!$F$197</f>
        <v>#ERROR!</v>
      </c>
      <c r="M21" s="32" t="str">
        <f t="shared" si="13"/>
        <v>#ERROR!</v>
      </c>
      <c r="N21" s="3"/>
      <c r="O21" s="3"/>
      <c r="P21" s="3">
        <v>2489883.8876</v>
      </c>
      <c r="Q21" s="31">
        <f t="shared" si="14"/>
        <v>185.3379589</v>
      </c>
    </row>
    <row r="22" ht="15.0" customHeight="1">
      <c r="A22" s="3"/>
      <c r="B22" s="3"/>
      <c r="C22" s="19"/>
      <c r="D22" s="19"/>
      <c r="E22" s="3"/>
      <c r="F22" s="32"/>
      <c r="G22" s="29" t="s">
        <v>44</v>
      </c>
      <c r="H22" s="32" t="str">
        <f>[2]ORÇAMENTO_EXECUTIVO!$G$152+[2]ORÇAMENTO_EXECUTIVO!$G$154+[2]ORÇAMENTO_EXECUTIVO!$G$177+[2]ORÇAMENTO_EXECUTIVO!$G$197+[2]ORÇAMENTO_EXECUTIVO!$G$218+[2]ORÇAMENTO_EXECUTIVO!$G$239+[2]ORÇAMENTO_EXECUTIVO!$G$260+[2]ORÇAMENTO_EXECUTIVO!$G$278+[2]ORÇAMENTO_EXECUTIVO!$G$293</f>
        <v>#ERROR!</v>
      </c>
      <c r="I22" s="32" t="str">
        <f t="shared" si="11"/>
        <v>#ERROR!</v>
      </c>
      <c r="J22" s="32" t="str">
        <f>[1]ORÇAMENTO_EXECUTIVO!$F$170+[1]ORÇAMENTO_EXECUTIVO!$F$172+[1]ORÇAMENTO_EXECUTIVO!$F$195+[1]ORÇAMENTO_EXECUTIVO!$F$217+[1]ORÇAMENTO_EXECUTIVO!$F$239+[1]ORÇAMENTO_EXECUTIVO!$F$261+[1]ORÇAMENTO_EXECUTIVO!$F$282+[1]ORÇAMENTO_EXECUTIVO!$F$303+[1]ORÇAMENTO_EXECUTIVO!$F$324+[1]ORÇAMENTO_EXECUTIVO!$F$343</f>
        <v>#ERROR!</v>
      </c>
      <c r="K22" s="32" t="str">
        <f t="shared" si="12"/>
        <v>#ERROR!</v>
      </c>
      <c r="L22" s="32" t="str">
        <f>[3]ORÇAMENTO_EXECUTIVO_COMENTADO!$F$207+[3]ORÇAMENTO_EXECUTIVO_COMENTADO!$F$236</f>
        <v>#ERROR!</v>
      </c>
      <c r="M22" s="32" t="str">
        <f t="shared" si="13"/>
        <v>#ERROR!</v>
      </c>
      <c r="N22" s="3"/>
      <c r="O22" s="3"/>
      <c r="P22" s="3">
        <v>1972646.6375</v>
      </c>
      <c r="Q22" s="31">
        <f t="shared" si="14"/>
        <v>146.8366871</v>
      </c>
    </row>
    <row r="23" ht="19.5" customHeight="1">
      <c r="A23" s="3"/>
      <c r="B23" s="3"/>
      <c r="C23" s="19"/>
      <c r="D23" s="19"/>
      <c r="E23" s="24"/>
      <c r="F23" s="3"/>
      <c r="G23" s="41" t="s">
        <v>45</v>
      </c>
      <c r="H23" s="32" t="str">
        <f>[2]ORÇAMENTO_EXECUTIVO!$G$295+[2]ORÇAMENTO_EXECUTIVO!$G$280+[2]ORÇAMENTO_EXECUTIVO!$G$262+[2]ORÇAMENTO_EXECUTIVO!$G$241+[2]ORÇAMENTO_EXECUTIVO!$G$220+[2]ORÇAMENTO_EXECUTIVO!$G$199+[2]ORÇAMENTO_EXECUTIVO!$G$179+[2]ORÇAMENTO_EXECUTIVO!$G$156</f>
        <v>#ERROR!</v>
      </c>
      <c r="I23" s="32" t="str">
        <f t="shared" si="11"/>
        <v>#ERROR!</v>
      </c>
      <c r="J23" s="32" t="str">
        <f>[1]ORÇAMENTO_EXECUTIVO!$F$345+[1]ORÇAMENTO_EXECUTIVO!$F$326+[1]ORÇAMENTO_EXECUTIVO!$F$305+[1]ORÇAMENTO_EXECUTIVO!$F$284+[1]ORÇAMENTO_EXECUTIVO!$F$263+[1]ORÇAMENTO_EXECUTIVO!$F$242+[1]ORÇAMENTO_EXECUTIVO!$F$220+[1]ORÇAMENTO_EXECUTIVO!$F$198+[1]ORÇAMENTO_EXECUTIVO!$F$174</f>
        <v>#ERROR!</v>
      </c>
      <c r="K23" s="32" t="str">
        <f t="shared" si="12"/>
        <v>#ERROR!</v>
      </c>
      <c r="L23" s="32" t="str">
        <f>[3]ORÇAMENTO_EXECUTIVO_COMENTADO!$F$240+[3]ORÇAMENTO_EXECUTIVO_COMENTADO!$F$214</f>
        <v>#ERROR!</v>
      </c>
      <c r="M23" s="32" t="str">
        <f t="shared" si="13"/>
        <v>#ERROR!</v>
      </c>
      <c r="N23" s="3"/>
      <c r="O23" s="3"/>
      <c r="P23" s="3">
        <v>2830171.1</v>
      </c>
      <c r="Q23" s="31">
        <f t="shared" si="14"/>
        <v>210.6677093</v>
      </c>
    </row>
    <row r="24" ht="19.5" customHeight="1">
      <c r="A24" s="3"/>
      <c r="B24" s="3"/>
      <c r="C24" s="19"/>
      <c r="D24" s="19"/>
      <c r="E24" s="61"/>
      <c r="F24" s="32"/>
      <c r="G24" s="62" t="s">
        <v>46</v>
      </c>
      <c r="H24" s="56"/>
      <c r="I24" s="56"/>
      <c r="J24" s="56"/>
      <c r="K24" s="56"/>
      <c r="L24" s="54" t="str">
        <f>[3]ORÇAMENTO_EXECUTIVO_COMENTADO!$F$209+[3]ORÇAMENTO_EXECUTIVO_COMENTADO!$F$238</f>
        <v>#ERROR!</v>
      </c>
      <c r="M24" s="54" t="str">
        <f t="shared" si="13"/>
        <v>#ERROR!</v>
      </c>
      <c r="N24" s="56"/>
      <c r="O24" s="56"/>
      <c r="P24" s="56">
        <v>600845.252</v>
      </c>
      <c r="Q24" s="37">
        <f t="shared" si="14"/>
        <v>44.72474928</v>
      </c>
    </row>
    <row r="25" ht="19.5" customHeight="1">
      <c r="A25" s="3"/>
      <c r="B25" s="3"/>
      <c r="C25" s="19"/>
      <c r="D25" s="19"/>
      <c r="E25" s="63"/>
      <c r="F25" s="6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9.5" customHeight="1">
      <c r="A26" s="3"/>
      <c r="B26" s="3"/>
      <c r="C26" s="19"/>
      <c r="D26" s="19"/>
      <c r="E26" s="3"/>
      <c r="F26" s="6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9.5" customHeight="1">
      <c r="A27" s="3"/>
      <c r="B27" s="3"/>
      <c r="C27" s="19"/>
      <c r="D27" s="19"/>
      <c r="E27" s="3"/>
      <c r="F27" s="3"/>
      <c r="G27" s="3" t="s">
        <v>47</v>
      </c>
      <c r="H27" s="3">
        <f>H6</f>
        <v>8692.89</v>
      </c>
      <c r="I27" s="3"/>
      <c r="J27" s="3">
        <f>J6</f>
        <v>7919.86</v>
      </c>
      <c r="K27" s="3"/>
      <c r="L27" s="3">
        <f>L6</f>
        <v>7078.1</v>
      </c>
      <c r="M27" s="3"/>
      <c r="N27" s="3">
        <f>N6</f>
        <v>5064.42</v>
      </c>
      <c r="O27" s="3"/>
      <c r="P27" s="3"/>
      <c r="Q27" s="3"/>
    </row>
    <row r="28" ht="19.5" customHeight="1">
      <c r="A28" s="3"/>
      <c r="B28" s="3"/>
      <c r="C28" s="19"/>
      <c r="D28" s="19"/>
      <c r="E28" s="3"/>
      <c r="F28" s="3"/>
      <c r="G28" s="3" t="s">
        <v>48</v>
      </c>
      <c r="H28" s="3">
        <v>1347.94</v>
      </c>
      <c r="I28" s="3"/>
      <c r="J28" s="3">
        <v>1521.6</v>
      </c>
      <c r="K28" s="3"/>
      <c r="L28" s="64">
        <v>1768.6</v>
      </c>
      <c r="M28" s="3"/>
      <c r="N28" s="3">
        <v>932.582</v>
      </c>
      <c r="O28" s="3"/>
      <c r="P28" s="3"/>
      <c r="Q28" s="3"/>
    </row>
    <row r="29" ht="19.5" customHeight="1">
      <c r="A29" s="3"/>
      <c r="B29" s="3"/>
      <c r="C29" s="19"/>
      <c r="D29" s="19"/>
      <c r="E29" s="3"/>
      <c r="F29" s="32"/>
      <c r="G29" s="3"/>
      <c r="H29" s="3">
        <f>H28/H27</f>
        <v>0.1550623556</v>
      </c>
      <c r="I29" s="3"/>
      <c r="J29" s="3">
        <f>J28/J27</f>
        <v>0.1921246083</v>
      </c>
      <c r="K29" s="3"/>
      <c r="L29" s="3">
        <f>L28/L27</f>
        <v>0.2498693152</v>
      </c>
      <c r="M29" s="3"/>
      <c r="N29" s="3">
        <f>N28/N27</f>
        <v>0.1841438901</v>
      </c>
      <c r="O29" s="3"/>
      <c r="P29" s="3"/>
      <c r="Q29" s="3"/>
    </row>
    <row r="30" ht="19.5" customHeight="1">
      <c r="A30" s="3"/>
      <c r="B30" s="3"/>
      <c r="C30" s="19"/>
      <c r="D30" s="19"/>
      <c r="E30" s="3"/>
      <c r="F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9.5" customHeight="1">
      <c r="A31" s="3"/>
      <c r="B31" s="3"/>
      <c r="C31" s="19"/>
      <c r="D31" s="19"/>
      <c r="E31" s="3"/>
      <c r="F31" s="32"/>
      <c r="G31" s="3" t="s">
        <v>49</v>
      </c>
      <c r="H31" s="3"/>
      <c r="I31" s="3"/>
      <c r="J31" s="32" t="str">
        <f>[1]ORÇAMENTO_EXECUTIVO!$D$790+[1]ORÇAMENTO_EXECUTIVO!$D$836+[1]ORÇAMENTO_EXECUTIVO!$D$870+[1]ORÇAMENTO_EXECUTIVO!$D$886+[1]ORÇAMENTO_EXECUTIVO!$D$898</f>
        <v>#ERROR!</v>
      </c>
      <c r="K31" s="65" t="str">
        <f>J31/G2</f>
        <v>#ERROR!</v>
      </c>
      <c r="L31" s="3"/>
      <c r="M31" s="3"/>
      <c r="N31" s="3" t="str">
        <f>[5]Sheet1!$K$1904+[5]Sheet1!$K$2018+[5]Sheet1!$K$2080</f>
        <v>#ERROR!</v>
      </c>
      <c r="O31" s="3" t="str">
        <f>N31/O11</f>
        <v>#ERROR!</v>
      </c>
      <c r="P31" s="3"/>
      <c r="Q31" s="3"/>
    </row>
    <row r="32" ht="19.5" customHeight="1">
      <c r="A32" s="3"/>
      <c r="B32" s="3"/>
      <c r="C32" s="19"/>
      <c r="D32" s="1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9.5" customHeight="1">
      <c r="A33" s="3"/>
      <c r="B33" s="3"/>
      <c r="C33" s="19"/>
      <c r="D33" s="1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9.5" customHeight="1">
      <c r="A34" s="3"/>
      <c r="B34" s="3"/>
      <c r="C34" s="19"/>
      <c r="D34" s="1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9.5" customHeight="1">
      <c r="A35" s="3"/>
      <c r="B35" s="3"/>
      <c r="C35" s="19"/>
      <c r="D35" s="1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9.5" customHeight="1">
      <c r="A36" s="3"/>
      <c r="B36" s="3"/>
      <c r="C36" s="19"/>
      <c r="D36" s="1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9.5" customHeight="1">
      <c r="A37" s="3"/>
      <c r="B37" s="3"/>
      <c r="C37" s="19"/>
      <c r="D37" s="1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9.5" customHeight="1">
      <c r="A38" s="3"/>
      <c r="B38" s="3"/>
      <c r="C38" s="19"/>
      <c r="D38" s="1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9.5" customHeight="1">
      <c r="A39" s="3"/>
      <c r="B39" s="3"/>
      <c r="C39" s="19"/>
      <c r="D39" s="1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9.5" customHeight="1">
      <c r="A40" s="3"/>
      <c r="B40" s="3"/>
      <c r="C40" s="19"/>
      <c r="D40" s="1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9.5" customHeight="1">
      <c r="A41" s="3"/>
      <c r="B41" s="3"/>
      <c r="C41" s="19"/>
      <c r="D41" s="1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9.5" customHeight="1">
      <c r="A42" s="3"/>
      <c r="B42" s="3"/>
      <c r="C42" s="19"/>
      <c r="D42" s="1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9.5" customHeight="1">
      <c r="A43" s="3"/>
      <c r="B43" s="3"/>
      <c r="C43" s="19"/>
      <c r="D43" s="1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9.5" customHeight="1">
      <c r="A44" s="3"/>
      <c r="B44" s="3"/>
      <c r="C44" s="19"/>
      <c r="D44" s="1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9.5" customHeight="1">
      <c r="A45" s="3"/>
      <c r="B45" s="3"/>
      <c r="C45" s="19"/>
      <c r="D45" s="1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9.5" customHeight="1">
      <c r="A46" s="3"/>
      <c r="B46" s="3"/>
      <c r="C46" s="19"/>
      <c r="D46" s="1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9.5" customHeight="1">
      <c r="A47" s="3"/>
      <c r="B47" s="3"/>
      <c r="C47" s="19"/>
      <c r="D47" s="1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9.5" customHeight="1">
      <c r="A48" s="3"/>
      <c r="B48" s="3"/>
      <c r="C48" s="19"/>
      <c r="D48" s="1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9.5" customHeight="1">
      <c r="A49" s="3"/>
      <c r="B49" s="3"/>
      <c r="C49" s="19"/>
      <c r="D49" s="1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9.5" customHeight="1">
      <c r="A50" s="3"/>
      <c r="B50" s="3"/>
      <c r="C50" s="19"/>
      <c r="D50" s="1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9.5" customHeight="1">
      <c r="A51" s="3"/>
      <c r="B51" s="3"/>
      <c r="C51" s="19"/>
      <c r="D51" s="1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9.5" customHeight="1">
      <c r="A52" s="3"/>
      <c r="B52" s="3"/>
      <c r="C52" s="19"/>
      <c r="D52" s="1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9.5" customHeight="1">
      <c r="A53" s="3"/>
      <c r="B53" s="3"/>
      <c r="C53" s="19"/>
      <c r="D53" s="1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9.5" customHeight="1">
      <c r="A54" s="3"/>
      <c r="B54" s="3"/>
      <c r="C54" s="19"/>
      <c r="D54" s="1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9.5" customHeight="1">
      <c r="A55" s="3"/>
      <c r="B55" s="3"/>
      <c r="C55" s="19"/>
      <c r="D55" s="1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9.5" customHeight="1">
      <c r="A56" s="3"/>
      <c r="B56" s="3"/>
      <c r="C56" s="19"/>
      <c r="D56" s="1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9.5" customHeight="1">
      <c r="A57" s="3"/>
      <c r="B57" s="3"/>
      <c r="C57" s="19"/>
      <c r="D57" s="1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9.5" customHeight="1">
      <c r="A58" s="3"/>
      <c r="B58" s="3"/>
      <c r="C58" s="19"/>
      <c r="D58" s="1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9.5" customHeight="1">
      <c r="A59" s="3"/>
      <c r="B59" s="3"/>
      <c r="C59" s="19"/>
      <c r="D59" s="1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9.5" customHeight="1">
      <c r="A60" s="3"/>
      <c r="B60" s="3"/>
      <c r="C60" s="19"/>
      <c r="D60" s="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9.5" customHeight="1">
      <c r="A61" s="3"/>
      <c r="B61" s="3"/>
      <c r="C61" s="19"/>
      <c r="D61" s="1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9.5" customHeight="1">
      <c r="A62" s="3"/>
      <c r="B62" s="3"/>
      <c r="C62" s="19"/>
      <c r="D62" s="1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9.5" customHeight="1">
      <c r="A63" s="3"/>
      <c r="B63" s="3"/>
      <c r="C63" s="19"/>
      <c r="D63" s="1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9.5" customHeight="1">
      <c r="A64" s="3"/>
      <c r="B64" s="3"/>
      <c r="C64" s="19"/>
      <c r="D64" s="1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9.5" customHeight="1">
      <c r="A65" s="3"/>
      <c r="B65" s="3"/>
      <c r="C65" s="19"/>
      <c r="D65" s="1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9.5" customHeight="1">
      <c r="A66" s="3"/>
      <c r="B66" s="3"/>
      <c r="C66" s="19"/>
      <c r="D66" s="1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9.5" customHeight="1">
      <c r="A67" s="3"/>
      <c r="B67" s="3"/>
      <c r="C67" s="19"/>
      <c r="D67" s="1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9.5" customHeight="1">
      <c r="A68" s="3"/>
      <c r="B68" s="3"/>
      <c r="C68" s="19"/>
      <c r="D68" s="1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9.5" customHeight="1">
      <c r="A69" s="3"/>
      <c r="B69" s="3"/>
      <c r="C69" s="19"/>
      <c r="D69" s="1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9.5" customHeight="1">
      <c r="A70" s="3"/>
      <c r="B70" s="3"/>
      <c r="C70" s="19"/>
      <c r="D70" s="1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9.5" customHeight="1">
      <c r="A71" s="3"/>
      <c r="B71" s="3"/>
      <c r="C71" s="19"/>
      <c r="D71" s="1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9.5" customHeight="1">
      <c r="A72" s="3"/>
      <c r="B72" s="3"/>
      <c r="C72" s="19"/>
      <c r="D72" s="1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9.5" customHeight="1">
      <c r="A73" s="3"/>
      <c r="B73" s="3"/>
      <c r="C73" s="19"/>
      <c r="D73" s="1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9.5" customHeight="1">
      <c r="A74" s="3"/>
      <c r="B74" s="3"/>
      <c r="C74" s="19"/>
      <c r="D74" s="1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9.5" customHeight="1">
      <c r="A75" s="3"/>
      <c r="B75" s="3"/>
      <c r="C75" s="19"/>
      <c r="D75" s="1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9.5" customHeight="1">
      <c r="A76" s="3"/>
      <c r="B76" s="3"/>
      <c r="C76" s="19"/>
      <c r="D76" s="1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9.5" customHeight="1">
      <c r="A77" s="3"/>
      <c r="B77" s="3"/>
      <c r="C77" s="19"/>
      <c r="D77" s="1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9.5" customHeight="1">
      <c r="A78" s="3"/>
      <c r="B78" s="3"/>
      <c r="C78" s="19"/>
      <c r="D78" s="1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9.5" customHeight="1">
      <c r="A79" s="3"/>
      <c r="B79" s="3"/>
      <c r="C79" s="19"/>
      <c r="D79" s="1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9.5" customHeight="1">
      <c r="A80" s="3"/>
      <c r="B80" s="3"/>
      <c r="C80" s="19"/>
      <c r="D80" s="1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9.5" customHeight="1">
      <c r="A81" s="3"/>
      <c r="B81" s="3"/>
      <c r="C81" s="19"/>
      <c r="D81" s="1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9.5" customHeight="1">
      <c r="A82" s="3"/>
      <c r="B82" s="3"/>
      <c r="C82" s="19"/>
      <c r="D82" s="1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9.5" customHeight="1">
      <c r="A83" s="3"/>
      <c r="B83" s="3"/>
      <c r="C83" s="19"/>
      <c r="D83" s="1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9.5" customHeight="1">
      <c r="A84" s="3"/>
      <c r="B84" s="3"/>
      <c r="C84" s="19"/>
      <c r="D84" s="1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9.5" customHeight="1">
      <c r="A85" s="3"/>
      <c r="B85" s="3"/>
      <c r="C85" s="19"/>
      <c r="D85" s="1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9.5" customHeight="1">
      <c r="A86" s="3"/>
      <c r="B86" s="3"/>
      <c r="C86" s="19"/>
      <c r="D86" s="1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9.5" customHeight="1">
      <c r="A87" s="3"/>
      <c r="B87" s="3"/>
      <c r="C87" s="19"/>
      <c r="D87" s="1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9.5" customHeight="1">
      <c r="A88" s="3"/>
      <c r="B88" s="3"/>
      <c r="C88" s="19"/>
      <c r="D88" s="1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9.5" customHeight="1">
      <c r="A89" s="3"/>
      <c r="B89" s="3"/>
      <c r="C89" s="19"/>
      <c r="D89" s="1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9.5" customHeight="1">
      <c r="A90" s="3"/>
      <c r="B90" s="3"/>
      <c r="C90" s="19"/>
      <c r="D90" s="1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9.5" customHeight="1">
      <c r="A91" s="3"/>
      <c r="B91" s="3"/>
      <c r="C91" s="19"/>
      <c r="D91" s="1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9.5" customHeight="1">
      <c r="A92" s="3"/>
      <c r="B92" s="3"/>
      <c r="C92" s="19"/>
      <c r="D92" s="1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9.5" customHeight="1">
      <c r="A93" s="3"/>
      <c r="B93" s="3"/>
      <c r="C93" s="19"/>
      <c r="D93" s="1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9.5" customHeight="1">
      <c r="A94" s="3"/>
      <c r="B94" s="3"/>
      <c r="C94" s="19"/>
      <c r="D94" s="1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9.5" customHeight="1">
      <c r="A95" s="3"/>
      <c r="B95" s="3"/>
      <c r="C95" s="19"/>
      <c r="D95" s="1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9.5" customHeight="1">
      <c r="A96" s="3"/>
      <c r="B96" s="3"/>
      <c r="C96" s="19"/>
      <c r="D96" s="1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9.5" customHeight="1">
      <c r="A97" s="3"/>
      <c r="B97" s="3"/>
      <c r="C97" s="19"/>
      <c r="D97" s="1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9.5" customHeight="1">
      <c r="A98" s="3"/>
      <c r="B98" s="3"/>
      <c r="C98" s="19"/>
      <c r="D98" s="1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9.5" customHeight="1">
      <c r="A99" s="3"/>
      <c r="B99" s="3"/>
      <c r="C99" s="19"/>
      <c r="D99" s="1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9.5" customHeight="1">
      <c r="A100" s="3"/>
      <c r="B100" s="3"/>
      <c r="C100" s="19"/>
      <c r="D100" s="1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9.5" customHeight="1">
      <c r="A101" s="3"/>
      <c r="B101" s="3"/>
      <c r="C101" s="19"/>
      <c r="D101" s="1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9.5" customHeight="1">
      <c r="A102" s="3"/>
      <c r="B102" s="3"/>
      <c r="C102" s="19"/>
      <c r="D102" s="1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9.5" customHeight="1">
      <c r="A103" s="3"/>
      <c r="B103" s="3"/>
      <c r="C103" s="19"/>
      <c r="D103" s="1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9.5" customHeight="1">
      <c r="A104" s="3"/>
      <c r="B104" s="3"/>
      <c r="C104" s="19"/>
      <c r="D104" s="1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9.5" customHeight="1">
      <c r="A105" s="3"/>
      <c r="B105" s="3"/>
      <c r="C105" s="19"/>
      <c r="D105" s="1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9.5" customHeight="1">
      <c r="A106" s="3"/>
      <c r="B106" s="3"/>
      <c r="C106" s="19"/>
      <c r="D106" s="1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9.5" customHeight="1">
      <c r="A107" s="3"/>
      <c r="B107" s="3"/>
      <c r="C107" s="19"/>
      <c r="D107" s="1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9.5" customHeight="1">
      <c r="A108" s="3"/>
      <c r="B108" s="3"/>
      <c r="C108" s="19"/>
      <c r="D108" s="1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9.5" customHeight="1">
      <c r="A109" s="3"/>
      <c r="B109" s="3"/>
      <c r="C109" s="19"/>
      <c r="D109" s="1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9.5" customHeight="1">
      <c r="A110" s="3"/>
      <c r="B110" s="3"/>
      <c r="C110" s="19"/>
      <c r="D110" s="1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9.5" customHeight="1">
      <c r="A111" s="3"/>
      <c r="B111" s="3"/>
      <c r="C111" s="19"/>
      <c r="D111" s="1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9.5" customHeight="1">
      <c r="A112" s="3"/>
      <c r="B112" s="3"/>
      <c r="C112" s="19"/>
      <c r="D112" s="1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9.5" customHeight="1">
      <c r="A113" s="3"/>
      <c r="B113" s="3"/>
      <c r="C113" s="19"/>
      <c r="D113" s="1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9.5" customHeight="1">
      <c r="A114" s="3"/>
      <c r="B114" s="3"/>
      <c r="C114" s="19"/>
      <c r="D114" s="1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9.5" customHeight="1">
      <c r="A115" s="3"/>
      <c r="B115" s="3"/>
      <c r="C115" s="19"/>
      <c r="D115" s="1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9.5" customHeight="1">
      <c r="A116" s="3"/>
      <c r="B116" s="3"/>
      <c r="C116" s="19"/>
      <c r="D116" s="1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9.5" customHeight="1">
      <c r="A117" s="3"/>
      <c r="B117" s="3"/>
      <c r="C117" s="19"/>
      <c r="D117" s="1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9.5" customHeight="1">
      <c r="A118" s="3"/>
      <c r="B118" s="3"/>
      <c r="C118" s="19"/>
      <c r="D118" s="1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9.5" customHeight="1">
      <c r="A119" s="3"/>
      <c r="B119" s="3"/>
      <c r="C119" s="19"/>
      <c r="D119" s="1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9.5" customHeight="1">
      <c r="A120" s="3"/>
      <c r="B120" s="3"/>
      <c r="C120" s="19"/>
      <c r="D120" s="1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9.5" customHeight="1">
      <c r="A121" s="3"/>
      <c r="B121" s="3"/>
      <c r="C121" s="19"/>
      <c r="D121" s="1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9.5" customHeight="1">
      <c r="A122" s="3"/>
      <c r="B122" s="3"/>
      <c r="C122" s="19"/>
      <c r="D122" s="1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9.5" customHeight="1">
      <c r="A123" s="3"/>
      <c r="B123" s="3"/>
      <c r="C123" s="19"/>
      <c r="D123" s="1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9.5" customHeight="1">
      <c r="A124" s="3"/>
      <c r="B124" s="3"/>
      <c r="C124" s="19"/>
      <c r="D124" s="1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9.5" customHeight="1">
      <c r="A125" s="3"/>
      <c r="B125" s="3"/>
      <c r="C125" s="19"/>
      <c r="D125" s="1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9.5" customHeight="1">
      <c r="A126" s="3"/>
      <c r="B126" s="3"/>
      <c r="C126" s="19"/>
      <c r="D126" s="1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9.5" customHeight="1">
      <c r="A127" s="3"/>
      <c r="B127" s="3"/>
      <c r="C127" s="19"/>
      <c r="D127" s="1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9.5" customHeight="1">
      <c r="A128" s="3"/>
      <c r="B128" s="3"/>
      <c r="C128" s="19"/>
      <c r="D128" s="1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9.5" customHeight="1">
      <c r="A129" s="3"/>
      <c r="B129" s="3"/>
      <c r="C129" s="19"/>
      <c r="D129" s="1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9.5" customHeight="1">
      <c r="A130" s="3"/>
      <c r="B130" s="3"/>
      <c r="C130" s="19"/>
      <c r="D130" s="1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9.5" customHeight="1">
      <c r="A131" s="3"/>
      <c r="B131" s="3"/>
      <c r="C131" s="19"/>
      <c r="D131" s="1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9.5" customHeight="1">
      <c r="A132" s="3"/>
      <c r="B132" s="3"/>
      <c r="C132" s="19"/>
      <c r="D132" s="1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9.5" customHeight="1">
      <c r="A133" s="3"/>
      <c r="B133" s="3"/>
      <c r="C133" s="19"/>
      <c r="D133" s="1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9.5" customHeight="1">
      <c r="A134" s="3"/>
      <c r="B134" s="3"/>
      <c r="C134" s="19"/>
      <c r="D134" s="1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9.5" customHeight="1">
      <c r="A135" s="3"/>
      <c r="B135" s="3"/>
      <c r="C135" s="19"/>
      <c r="D135" s="1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9.5" customHeight="1">
      <c r="A136" s="3"/>
      <c r="B136" s="3"/>
      <c r="C136" s="19"/>
      <c r="D136" s="1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9.5" customHeight="1">
      <c r="A137" s="3"/>
      <c r="B137" s="3"/>
      <c r="C137" s="19"/>
      <c r="D137" s="1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9.5" customHeight="1">
      <c r="A138" s="3"/>
      <c r="B138" s="3"/>
      <c r="C138" s="19"/>
      <c r="D138" s="1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9.5" customHeight="1">
      <c r="A139" s="3"/>
      <c r="B139" s="3"/>
      <c r="C139" s="19"/>
      <c r="D139" s="1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9.5" customHeight="1">
      <c r="A140" s="3"/>
      <c r="B140" s="3"/>
      <c r="C140" s="19"/>
      <c r="D140" s="1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9.5" customHeight="1">
      <c r="A141" s="3"/>
      <c r="B141" s="3"/>
      <c r="C141" s="19"/>
      <c r="D141" s="1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9.5" customHeight="1">
      <c r="A142" s="3"/>
      <c r="B142" s="3"/>
      <c r="C142" s="19"/>
      <c r="D142" s="1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9.5" customHeight="1">
      <c r="A143" s="3"/>
      <c r="B143" s="3"/>
      <c r="C143" s="19"/>
      <c r="D143" s="1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9.5" customHeight="1">
      <c r="A144" s="3"/>
      <c r="B144" s="3"/>
      <c r="C144" s="19"/>
      <c r="D144" s="1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9.5" customHeight="1">
      <c r="A145" s="3"/>
      <c r="B145" s="3"/>
      <c r="C145" s="19"/>
      <c r="D145" s="1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9.5" customHeight="1">
      <c r="A146" s="3"/>
      <c r="B146" s="3"/>
      <c r="C146" s="19"/>
      <c r="D146" s="1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9.5" customHeight="1">
      <c r="A147" s="3"/>
      <c r="B147" s="3"/>
      <c r="C147" s="19"/>
      <c r="D147" s="1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9.5" customHeight="1">
      <c r="A148" s="3"/>
      <c r="B148" s="3"/>
      <c r="C148" s="19"/>
      <c r="D148" s="1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9.5" customHeight="1">
      <c r="A149" s="3"/>
      <c r="B149" s="3"/>
      <c r="C149" s="19"/>
      <c r="D149" s="1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9.5" customHeight="1">
      <c r="A150" s="3"/>
      <c r="B150" s="3"/>
      <c r="C150" s="19"/>
      <c r="D150" s="1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9.5" customHeight="1">
      <c r="A151" s="3"/>
      <c r="B151" s="3"/>
      <c r="C151" s="19"/>
      <c r="D151" s="1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9.5" customHeight="1">
      <c r="A152" s="3"/>
      <c r="B152" s="3"/>
      <c r="C152" s="19"/>
      <c r="D152" s="1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9.5" customHeight="1">
      <c r="A153" s="3"/>
      <c r="B153" s="3"/>
      <c r="C153" s="19"/>
      <c r="D153" s="1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9.5" customHeight="1">
      <c r="A154" s="3"/>
      <c r="B154" s="3"/>
      <c r="C154" s="19"/>
      <c r="D154" s="1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9.5" customHeight="1">
      <c r="A155" s="3"/>
      <c r="B155" s="3"/>
      <c r="C155" s="19"/>
      <c r="D155" s="1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9.5" customHeight="1">
      <c r="A156" s="3"/>
      <c r="B156" s="3"/>
      <c r="C156" s="19"/>
      <c r="D156" s="1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9.5" customHeight="1">
      <c r="A157" s="3"/>
      <c r="B157" s="3"/>
      <c r="C157" s="19"/>
      <c r="D157" s="1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9.5" customHeight="1">
      <c r="A158" s="3"/>
      <c r="B158" s="3"/>
      <c r="C158" s="19"/>
      <c r="D158" s="1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9.5" customHeight="1">
      <c r="A159" s="3"/>
      <c r="B159" s="3"/>
      <c r="C159" s="19"/>
      <c r="D159" s="1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9.5" customHeight="1">
      <c r="A160" s="3"/>
      <c r="B160" s="3"/>
      <c r="C160" s="19"/>
      <c r="D160" s="1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9.5" customHeight="1">
      <c r="A161" s="3"/>
      <c r="B161" s="3"/>
      <c r="C161" s="19"/>
      <c r="D161" s="1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9.5" customHeight="1">
      <c r="A162" s="3"/>
      <c r="B162" s="3"/>
      <c r="C162" s="19"/>
      <c r="D162" s="1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9.5" customHeight="1">
      <c r="A163" s="3"/>
      <c r="B163" s="3"/>
      <c r="C163" s="19"/>
      <c r="D163" s="1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9.5" customHeight="1">
      <c r="A164" s="3"/>
      <c r="B164" s="3"/>
      <c r="C164" s="19"/>
      <c r="D164" s="1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9.5" customHeight="1">
      <c r="A165" s="3"/>
      <c r="B165" s="3"/>
      <c r="C165" s="19"/>
      <c r="D165" s="1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9.5" customHeight="1">
      <c r="A166" s="3"/>
      <c r="B166" s="3"/>
      <c r="C166" s="19"/>
      <c r="D166" s="1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9.5" customHeight="1">
      <c r="A167" s="3"/>
      <c r="B167" s="3"/>
      <c r="C167" s="19"/>
      <c r="D167" s="1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9.5" customHeight="1">
      <c r="A168" s="3"/>
      <c r="B168" s="3"/>
      <c r="C168" s="19"/>
      <c r="D168" s="1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9.5" customHeight="1">
      <c r="A169" s="3"/>
      <c r="B169" s="3"/>
      <c r="C169" s="19"/>
      <c r="D169" s="1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9.5" customHeight="1">
      <c r="A170" s="3"/>
      <c r="B170" s="3"/>
      <c r="C170" s="19"/>
      <c r="D170" s="1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9.5" customHeight="1">
      <c r="A171" s="3"/>
      <c r="B171" s="3"/>
      <c r="C171" s="19"/>
      <c r="D171" s="1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9.5" customHeight="1">
      <c r="A172" s="3"/>
      <c r="B172" s="3"/>
      <c r="C172" s="19"/>
      <c r="D172" s="1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9.5" customHeight="1">
      <c r="A173" s="3"/>
      <c r="B173" s="3"/>
      <c r="C173" s="19"/>
      <c r="D173" s="1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9.5" customHeight="1">
      <c r="A174" s="3"/>
      <c r="B174" s="3"/>
      <c r="C174" s="19"/>
      <c r="D174" s="1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9.5" customHeight="1">
      <c r="A175" s="3"/>
      <c r="B175" s="3"/>
      <c r="C175" s="19"/>
      <c r="D175" s="1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9.5" customHeight="1">
      <c r="A176" s="3"/>
      <c r="B176" s="3"/>
      <c r="C176" s="19"/>
      <c r="D176" s="1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9.5" customHeight="1">
      <c r="A177" s="3"/>
      <c r="B177" s="3"/>
      <c r="C177" s="19"/>
      <c r="D177" s="1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9.5" customHeight="1">
      <c r="A178" s="3"/>
      <c r="B178" s="3"/>
      <c r="C178" s="19"/>
      <c r="D178" s="1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9.5" customHeight="1">
      <c r="A179" s="3"/>
      <c r="B179" s="3"/>
      <c r="C179" s="19"/>
      <c r="D179" s="1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9.5" customHeight="1">
      <c r="A180" s="3"/>
      <c r="B180" s="3"/>
      <c r="C180" s="19"/>
      <c r="D180" s="1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9.5" customHeight="1">
      <c r="A181" s="3"/>
      <c r="B181" s="3"/>
      <c r="C181" s="19"/>
      <c r="D181" s="1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9.5" customHeight="1">
      <c r="A182" s="3"/>
      <c r="B182" s="3"/>
      <c r="C182" s="19"/>
      <c r="D182" s="1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9.5" customHeight="1">
      <c r="A183" s="3"/>
      <c r="B183" s="3"/>
      <c r="C183" s="19"/>
      <c r="D183" s="1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9.5" customHeight="1">
      <c r="A184" s="3"/>
      <c r="B184" s="3"/>
      <c r="C184" s="19"/>
      <c r="D184" s="1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9.5" customHeight="1">
      <c r="A185" s="3"/>
      <c r="B185" s="3"/>
      <c r="C185" s="19"/>
      <c r="D185" s="1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9.5" customHeight="1">
      <c r="A186" s="3"/>
      <c r="B186" s="3"/>
      <c r="C186" s="19"/>
      <c r="D186" s="1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9.5" customHeight="1">
      <c r="A187" s="3"/>
      <c r="B187" s="3"/>
      <c r="C187" s="19"/>
      <c r="D187" s="1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9.5" customHeight="1">
      <c r="A188" s="3"/>
      <c r="B188" s="3"/>
      <c r="C188" s="19"/>
      <c r="D188" s="1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9.5" customHeight="1">
      <c r="A189" s="3"/>
      <c r="B189" s="3"/>
      <c r="C189" s="19"/>
      <c r="D189" s="1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9.5" customHeight="1">
      <c r="A190" s="3"/>
      <c r="B190" s="3"/>
      <c r="C190" s="19"/>
      <c r="D190" s="1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9.5" customHeight="1">
      <c r="A191" s="3"/>
      <c r="B191" s="3"/>
      <c r="C191" s="19"/>
      <c r="D191" s="1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9.5" customHeight="1">
      <c r="A192" s="3"/>
      <c r="B192" s="3"/>
      <c r="C192" s="19"/>
      <c r="D192" s="1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9.5" customHeight="1">
      <c r="A193" s="3"/>
      <c r="B193" s="3"/>
      <c r="C193" s="19"/>
      <c r="D193" s="1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9.5" customHeight="1">
      <c r="A194" s="3"/>
      <c r="B194" s="3"/>
      <c r="C194" s="19"/>
      <c r="D194" s="1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9.5" customHeight="1">
      <c r="A195" s="3"/>
      <c r="B195" s="3"/>
      <c r="C195" s="19"/>
      <c r="D195" s="1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9.5" customHeight="1">
      <c r="A196" s="3"/>
      <c r="B196" s="3"/>
      <c r="C196" s="19"/>
      <c r="D196" s="1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9.5" customHeight="1">
      <c r="A197" s="3"/>
      <c r="B197" s="3"/>
      <c r="C197" s="19"/>
      <c r="D197" s="1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9.5" customHeight="1">
      <c r="A198" s="3"/>
      <c r="B198" s="3"/>
      <c r="C198" s="19"/>
      <c r="D198" s="1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9.5" customHeight="1">
      <c r="A199" s="3"/>
      <c r="B199" s="3"/>
      <c r="C199" s="19"/>
      <c r="D199" s="1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9.5" customHeight="1">
      <c r="A200" s="3"/>
      <c r="B200" s="3"/>
      <c r="C200" s="19"/>
      <c r="D200" s="1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9.5" customHeight="1">
      <c r="A201" s="3"/>
      <c r="B201" s="3"/>
      <c r="C201" s="19"/>
      <c r="D201" s="1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9.5" customHeight="1">
      <c r="A202" s="3"/>
      <c r="B202" s="3"/>
      <c r="C202" s="19"/>
      <c r="D202" s="1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9.5" customHeight="1">
      <c r="A203" s="3"/>
      <c r="B203" s="3"/>
      <c r="C203" s="19"/>
      <c r="D203" s="1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9.5" customHeight="1">
      <c r="A204" s="3"/>
      <c r="B204" s="3"/>
      <c r="C204" s="19"/>
      <c r="D204" s="1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9.5" customHeight="1">
      <c r="A205" s="3"/>
      <c r="B205" s="3"/>
      <c r="C205" s="19"/>
      <c r="D205" s="1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9.5" customHeight="1">
      <c r="A206" s="3"/>
      <c r="B206" s="3"/>
      <c r="C206" s="19"/>
      <c r="D206" s="1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9.5" customHeight="1">
      <c r="A207" s="3"/>
      <c r="B207" s="3"/>
      <c r="C207" s="19"/>
      <c r="D207" s="1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9.5" customHeight="1">
      <c r="A208" s="3"/>
      <c r="B208" s="3"/>
      <c r="C208" s="19"/>
      <c r="D208" s="1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9.5" customHeight="1">
      <c r="A209" s="3"/>
      <c r="B209" s="3"/>
      <c r="C209" s="19"/>
      <c r="D209" s="1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9.5" customHeight="1">
      <c r="A210" s="3"/>
      <c r="B210" s="3"/>
      <c r="C210" s="19"/>
      <c r="D210" s="1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9.5" customHeight="1">
      <c r="A211" s="3"/>
      <c r="B211" s="3"/>
      <c r="C211" s="19"/>
      <c r="D211" s="1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9.5" customHeight="1">
      <c r="A212" s="3"/>
      <c r="B212" s="3"/>
      <c r="C212" s="19"/>
      <c r="D212" s="1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9.5" customHeight="1">
      <c r="A213" s="3"/>
      <c r="B213" s="3"/>
      <c r="C213" s="19"/>
      <c r="D213" s="1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9.5" customHeight="1">
      <c r="A214" s="3"/>
      <c r="B214" s="3"/>
      <c r="C214" s="19"/>
      <c r="D214" s="1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9.5" customHeight="1">
      <c r="A215" s="3"/>
      <c r="B215" s="3"/>
      <c r="C215" s="19"/>
      <c r="D215" s="1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9.5" customHeight="1">
      <c r="A216" s="3"/>
      <c r="B216" s="3"/>
      <c r="C216" s="19"/>
      <c r="D216" s="1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9.5" customHeight="1">
      <c r="A217" s="3"/>
      <c r="B217" s="3"/>
      <c r="C217" s="19"/>
      <c r="D217" s="1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9.5" customHeight="1">
      <c r="A218" s="3"/>
      <c r="B218" s="3"/>
      <c r="C218" s="19"/>
      <c r="D218" s="1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9.5" customHeight="1">
      <c r="A219" s="3"/>
      <c r="B219" s="3"/>
      <c r="C219" s="19"/>
      <c r="D219" s="1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9.5" customHeight="1">
      <c r="A220" s="3"/>
      <c r="B220" s="3"/>
      <c r="C220" s="19"/>
      <c r="D220" s="1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9.5" customHeight="1">
      <c r="A221" s="3"/>
      <c r="B221" s="3"/>
      <c r="C221" s="19"/>
      <c r="D221" s="1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9.5" customHeight="1">
      <c r="A222" s="3"/>
      <c r="B222" s="3"/>
      <c r="C222" s="19"/>
      <c r="D222" s="1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9.5" customHeight="1">
      <c r="A223" s="3"/>
      <c r="B223" s="3"/>
      <c r="C223" s="19"/>
      <c r="D223" s="1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9.5" customHeight="1">
      <c r="A224" s="3"/>
      <c r="B224" s="3"/>
      <c r="C224" s="19"/>
      <c r="D224" s="1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9.5" customHeight="1">
      <c r="A225" s="3"/>
      <c r="B225" s="3"/>
      <c r="C225" s="19"/>
      <c r="D225" s="1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9.5" customHeight="1">
      <c r="A226" s="3"/>
      <c r="B226" s="3"/>
      <c r="C226" s="19"/>
      <c r="D226" s="1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9.5" customHeight="1">
      <c r="A227" s="3"/>
      <c r="B227" s="3"/>
      <c r="C227" s="19"/>
      <c r="D227" s="1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9.5" customHeight="1">
      <c r="A228" s="3"/>
      <c r="B228" s="3"/>
      <c r="C228" s="19"/>
      <c r="D228" s="19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t="19.5" customHeight="1">
      <c r="A229" s="3"/>
      <c r="B229" s="3"/>
      <c r="C229" s="19"/>
      <c r="D229" s="19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t="19.5" customHeight="1">
      <c r="A230" s="3"/>
      <c r="B230" s="3"/>
      <c r="C230" s="19"/>
      <c r="D230" s="19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ht="19.5" customHeight="1">
      <c r="A231" s="3"/>
      <c r="B231" s="3"/>
      <c r="C231" s="19"/>
      <c r="D231" s="19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C232" s="66"/>
      <c r="D232" s="66"/>
    </row>
    <row r="233" ht="15.75" customHeight="1">
      <c r="C233" s="66"/>
      <c r="D233" s="66"/>
    </row>
    <row r="234" ht="15.75" customHeight="1">
      <c r="C234" s="66"/>
      <c r="D234" s="66"/>
    </row>
    <row r="235" ht="15.75" customHeight="1">
      <c r="C235" s="66"/>
      <c r="D235" s="66"/>
    </row>
    <row r="236" ht="15.75" customHeight="1">
      <c r="C236" s="66"/>
      <c r="D236" s="66"/>
    </row>
    <row r="237" ht="15.75" customHeight="1">
      <c r="C237" s="66"/>
      <c r="D237" s="66"/>
    </row>
    <row r="238" ht="15.75" customHeight="1">
      <c r="C238" s="66"/>
      <c r="D238" s="66"/>
    </row>
    <row r="239" ht="15.75" customHeight="1">
      <c r="C239" s="66"/>
      <c r="D239" s="66"/>
    </row>
    <row r="240" ht="15.75" customHeight="1">
      <c r="C240" s="66"/>
      <c r="D240" s="66"/>
    </row>
    <row r="241" ht="15.75" customHeight="1">
      <c r="C241" s="66"/>
      <c r="D241" s="66"/>
    </row>
    <row r="242" ht="15.75" customHeight="1">
      <c r="C242" s="66"/>
      <c r="D242" s="66"/>
    </row>
    <row r="243" ht="15.75" customHeight="1">
      <c r="C243" s="66"/>
      <c r="D243" s="66"/>
    </row>
    <row r="244" ht="15.75" customHeight="1">
      <c r="C244" s="66"/>
      <c r="D244" s="66"/>
    </row>
    <row r="245" ht="15.75" customHeight="1">
      <c r="C245" s="66"/>
      <c r="D245" s="66"/>
    </row>
    <row r="246" ht="15.75" customHeight="1">
      <c r="C246" s="66"/>
      <c r="D246" s="66"/>
    </row>
    <row r="247" ht="15.75" customHeight="1">
      <c r="C247" s="66"/>
      <c r="D247" s="66"/>
    </row>
    <row r="248" ht="15.75" customHeight="1">
      <c r="C248" s="66"/>
      <c r="D248" s="66"/>
    </row>
    <row r="249" ht="15.75" customHeight="1">
      <c r="C249" s="66"/>
      <c r="D249" s="66"/>
    </row>
    <row r="250" ht="15.75" customHeight="1">
      <c r="C250" s="66"/>
      <c r="D250" s="66"/>
    </row>
    <row r="251" ht="15.75" customHeight="1">
      <c r="C251" s="66"/>
      <c r="D251" s="66"/>
    </row>
    <row r="252" ht="15.75" customHeight="1">
      <c r="C252" s="66"/>
      <c r="D252" s="66"/>
    </row>
    <row r="253" ht="15.75" customHeight="1">
      <c r="C253" s="66"/>
      <c r="D253" s="66"/>
    </row>
    <row r="254" ht="15.75" customHeight="1">
      <c r="C254" s="66"/>
      <c r="D254" s="66"/>
    </row>
    <row r="255" ht="15.75" customHeight="1">
      <c r="C255" s="66"/>
      <c r="D255" s="66"/>
    </row>
    <row r="256" ht="15.75" customHeight="1">
      <c r="C256" s="66"/>
      <c r="D256" s="66"/>
    </row>
    <row r="257" ht="15.75" customHeight="1">
      <c r="C257" s="66"/>
      <c r="D257" s="66"/>
    </row>
    <row r="258" ht="15.75" customHeight="1">
      <c r="C258" s="66"/>
      <c r="D258" s="66"/>
    </row>
    <row r="259" ht="15.75" customHeight="1">
      <c r="C259" s="66"/>
      <c r="D259" s="66"/>
    </row>
    <row r="260" ht="15.75" customHeight="1">
      <c r="C260" s="66"/>
      <c r="D260" s="66"/>
    </row>
    <row r="261" ht="15.75" customHeight="1">
      <c r="C261" s="66"/>
      <c r="D261" s="66"/>
    </row>
    <row r="262" ht="15.75" customHeight="1">
      <c r="C262" s="66"/>
      <c r="D262" s="66"/>
    </row>
    <row r="263" ht="15.75" customHeight="1">
      <c r="C263" s="66"/>
      <c r="D263" s="66"/>
    </row>
    <row r="264" ht="15.75" customHeight="1">
      <c r="C264" s="66"/>
      <c r="D264" s="66"/>
    </row>
    <row r="265" ht="15.75" customHeight="1">
      <c r="C265" s="66"/>
      <c r="D265" s="66"/>
    </row>
    <row r="266" ht="15.75" customHeight="1">
      <c r="C266" s="66"/>
      <c r="D266" s="66"/>
    </row>
    <row r="267" ht="15.75" customHeight="1">
      <c r="C267" s="66"/>
      <c r="D267" s="66"/>
    </row>
    <row r="268" ht="15.75" customHeight="1">
      <c r="C268" s="66"/>
      <c r="D268" s="66"/>
    </row>
    <row r="269" ht="15.75" customHeight="1">
      <c r="C269" s="66"/>
      <c r="D269" s="66"/>
    </row>
    <row r="270" ht="15.75" customHeight="1">
      <c r="C270" s="66"/>
      <c r="D270" s="66"/>
    </row>
    <row r="271" ht="15.75" customHeight="1">
      <c r="C271" s="66"/>
      <c r="D271" s="66"/>
    </row>
    <row r="272" ht="15.75" customHeight="1">
      <c r="C272" s="66"/>
      <c r="D272" s="66"/>
    </row>
    <row r="273" ht="15.75" customHeight="1">
      <c r="C273" s="66"/>
      <c r="D273" s="66"/>
    </row>
    <row r="274" ht="15.75" customHeight="1">
      <c r="C274" s="66"/>
      <c r="D274" s="66"/>
    </row>
    <row r="275" ht="15.75" customHeight="1">
      <c r="C275" s="66"/>
      <c r="D275" s="66"/>
    </row>
    <row r="276" ht="15.75" customHeight="1">
      <c r="C276" s="66"/>
      <c r="D276" s="66"/>
    </row>
    <row r="277" ht="15.75" customHeight="1">
      <c r="C277" s="66"/>
      <c r="D277" s="66"/>
    </row>
    <row r="278" ht="15.75" customHeight="1">
      <c r="C278" s="66"/>
      <c r="D278" s="66"/>
    </row>
    <row r="279" ht="15.75" customHeight="1">
      <c r="C279" s="66"/>
      <c r="D279" s="66"/>
    </row>
    <row r="280" ht="15.75" customHeight="1">
      <c r="C280" s="66"/>
      <c r="D280" s="66"/>
    </row>
    <row r="281" ht="15.75" customHeight="1">
      <c r="C281" s="66"/>
      <c r="D281" s="66"/>
    </row>
    <row r="282" ht="15.75" customHeight="1">
      <c r="C282" s="66"/>
      <c r="D282" s="66"/>
    </row>
    <row r="283" ht="15.75" customHeight="1">
      <c r="C283" s="66"/>
      <c r="D283" s="66"/>
    </row>
    <row r="284" ht="15.75" customHeight="1">
      <c r="C284" s="66"/>
      <c r="D284" s="66"/>
    </row>
    <row r="285" ht="15.75" customHeight="1">
      <c r="C285" s="66"/>
      <c r="D285" s="66"/>
    </row>
    <row r="286" ht="15.75" customHeight="1">
      <c r="C286" s="66"/>
      <c r="D286" s="66"/>
    </row>
    <row r="287" ht="15.75" customHeight="1">
      <c r="C287" s="66"/>
      <c r="D287" s="66"/>
    </row>
    <row r="288" ht="15.75" customHeight="1">
      <c r="C288" s="66"/>
      <c r="D288" s="66"/>
    </row>
    <row r="289" ht="15.75" customHeight="1">
      <c r="C289" s="66"/>
      <c r="D289" s="66"/>
    </row>
    <row r="290" ht="15.75" customHeight="1">
      <c r="C290" s="66"/>
      <c r="D290" s="66"/>
    </row>
    <row r="291" ht="15.75" customHeight="1">
      <c r="C291" s="66"/>
      <c r="D291" s="66"/>
    </row>
    <row r="292" ht="15.75" customHeight="1">
      <c r="C292" s="66"/>
      <c r="D292" s="66"/>
    </row>
    <row r="293" ht="15.75" customHeight="1">
      <c r="C293" s="66"/>
      <c r="D293" s="66"/>
    </row>
    <row r="294" ht="15.75" customHeight="1">
      <c r="C294" s="66"/>
      <c r="D294" s="66"/>
    </row>
    <row r="295" ht="15.75" customHeight="1">
      <c r="C295" s="66"/>
      <c r="D295" s="66"/>
    </row>
    <row r="296" ht="15.75" customHeight="1">
      <c r="C296" s="66"/>
      <c r="D296" s="66"/>
    </row>
    <row r="297" ht="15.75" customHeight="1">
      <c r="C297" s="66"/>
      <c r="D297" s="66"/>
    </row>
    <row r="298" ht="15.75" customHeight="1">
      <c r="C298" s="66"/>
      <c r="D298" s="66"/>
    </row>
    <row r="299" ht="15.75" customHeight="1">
      <c r="C299" s="66"/>
      <c r="D299" s="66"/>
    </row>
    <row r="300" ht="15.75" customHeight="1">
      <c r="C300" s="66"/>
      <c r="D300" s="66"/>
    </row>
    <row r="301" ht="15.75" customHeight="1">
      <c r="C301" s="66"/>
      <c r="D301" s="66"/>
    </row>
    <row r="302" ht="15.75" customHeight="1">
      <c r="C302" s="66"/>
      <c r="D302" s="66"/>
    </row>
    <row r="303" ht="15.75" customHeight="1">
      <c r="C303" s="66"/>
      <c r="D303" s="66"/>
    </row>
    <row r="304" ht="15.75" customHeight="1">
      <c r="C304" s="66"/>
      <c r="D304" s="66"/>
    </row>
    <row r="305" ht="15.75" customHeight="1">
      <c r="C305" s="66"/>
      <c r="D305" s="66"/>
    </row>
    <row r="306" ht="15.75" customHeight="1">
      <c r="C306" s="66"/>
      <c r="D306" s="66"/>
    </row>
    <row r="307" ht="15.75" customHeight="1">
      <c r="C307" s="66"/>
      <c r="D307" s="66"/>
    </row>
    <row r="308" ht="15.75" customHeight="1">
      <c r="C308" s="66"/>
      <c r="D308" s="66"/>
    </row>
    <row r="309" ht="15.75" customHeight="1">
      <c r="C309" s="66"/>
      <c r="D309" s="66"/>
    </row>
    <row r="310" ht="15.75" customHeight="1">
      <c r="C310" s="66"/>
      <c r="D310" s="66"/>
    </row>
    <row r="311" ht="15.75" customHeight="1">
      <c r="C311" s="66"/>
      <c r="D311" s="66"/>
    </row>
    <row r="312" ht="15.75" customHeight="1">
      <c r="C312" s="66"/>
      <c r="D312" s="66"/>
    </row>
    <row r="313" ht="15.75" customHeight="1">
      <c r="C313" s="66"/>
      <c r="D313" s="66"/>
    </row>
    <row r="314" ht="15.75" customHeight="1">
      <c r="C314" s="66"/>
      <c r="D314" s="66"/>
    </row>
    <row r="315" ht="15.75" customHeight="1">
      <c r="C315" s="66"/>
      <c r="D315" s="66"/>
    </row>
    <row r="316" ht="15.75" customHeight="1">
      <c r="C316" s="66"/>
      <c r="D316" s="66"/>
    </row>
    <row r="317" ht="15.75" customHeight="1">
      <c r="C317" s="66"/>
      <c r="D317" s="66"/>
    </row>
    <row r="318" ht="15.75" customHeight="1">
      <c r="C318" s="66"/>
      <c r="D318" s="66"/>
    </row>
    <row r="319" ht="15.75" customHeight="1">
      <c r="C319" s="66"/>
      <c r="D319" s="66"/>
    </row>
    <row r="320" ht="15.75" customHeight="1">
      <c r="C320" s="66"/>
      <c r="D320" s="66"/>
    </row>
    <row r="321" ht="15.75" customHeight="1">
      <c r="C321" s="66"/>
      <c r="D321" s="66"/>
    </row>
    <row r="322" ht="15.75" customHeight="1">
      <c r="C322" s="66"/>
      <c r="D322" s="66"/>
    </row>
    <row r="323" ht="15.75" customHeight="1">
      <c r="C323" s="66"/>
      <c r="D323" s="66"/>
    </row>
    <row r="324" ht="15.75" customHeight="1">
      <c r="C324" s="66"/>
      <c r="D324" s="66"/>
    </row>
    <row r="325" ht="15.75" customHeight="1">
      <c r="C325" s="66"/>
      <c r="D325" s="66"/>
    </row>
    <row r="326" ht="15.75" customHeight="1">
      <c r="C326" s="66"/>
      <c r="D326" s="66"/>
    </row>
    <row r="327" ht="15.75" customHeight="1">
      <c r="C327" s="66"/>
      <c r="D327" s="66"/>
    </row>
    <row r="328" ht="15.75" customHeight="1">
      <c r="C328" s="66"/>
      <c r="D328" s="66"/>
    </row>
    <row r="329" ht="15.75" customHeight="1">
      <c r="C329" s="66"/>
      <c r="D329" s="66"/>
    </row>
    <row r="330" ht="15.75" customHeight="1">
      <c r="C330" s="66"/>
      <c r="D330" s="66"/>
    </row>
    <row r="331" ht="15.75" customHeight="1">
      <c r="C331" s="66"/>
      <c r="D331" s="66"/>
    </row>
    <row r="332" ht="15.75" customHeight="1">
      <c r="C332" s="66"/>
      <c r="D332" s="66"/>
    </row>
    <row r="333" ht="15.75" customHeight="1">
      <c r="C333" s="66"/>
      <c r="D333" s="66"/>
    </row>
    <row r="334" ht="15.75" customHeight="1">
      <c r="C334" s="66"/>
      <c r="D334" s="66"/>
    </row>
    <row r="335" ht="15.75" customHeight="1">
      <c r="C335" s="66"/>
      <c r="D335" s="66"/>
    </row>
    <row r="336" ht="15.75" customHeight="1">
      <c r="C336" s="66"/>
      <c r="D336" s="66"/>
    </row>
    <row r="337" ht="15.75" customHeight="1">
      <c r="C337" s="66"/>
      <c r="D337" s="66"/>
    </row>
    <row r="338" ht="15.75" customHeight="1">
      <c r="C338" s="66"/>
      <c r="D338" s="66"/>
    </row>
    <row r="339" ht="15.75" customHeight="1">
      <c r="C339" s="66"/>
      <c r="D339" s="66"/>
    </row>
    <row r="340" ht="15.75" customHeight="1">
      <c r="C340" s="66"/>
      <c r="D340" s="66"/>
    </row>
    <row r="341" ht="15.75" customHeight="1">
      <c r="C341" s="66"/>
      <c r="D341" s="66"/>
    </row>
    <row r="342" ht="15.75" customHeight="1">
      <c r="C342" s="66"/>
      <c r="D342" s="66"/>
    </row>
    <row r="343" ht="15.75" customHeight="1">
      <c r="C343" s="66"/>
      <c r="D343" s="66"/>
    </row>
    <row r="344" ht="15.75" customHeight="1">
      <c r="C344" s="66"/>
      <c r="D344" s="66"/>
    </row>
    <row r="345" ht="15.75" customHeight="1">
      <c r="C345" s="66"/>
      <c r="D345" s="66"/>
    </row>
    <row r="346" ht="15.75" customHeight="1">
      <c r="C346" s="66"/>
      <c r="D346" s="66"/>
    </row>
    <row r="347" ht="15.75" customHeight="1">
      <c r="C347" s="66"/>
      <c r="D347" s="66"/>
    </row>
    <row r="348" ht="15.75" customHeight="1">
      <c r="C348" s="66"/>
      <c r="D348" s="66"/>
    </row>
    <row r="349" ht="15.75" customHeight="1">
      <c r="C349" s="66"/>
      <c r="D349" s="66"/>
    </row>
    <row r="350" ht="15.75" customHeight="1">
      <c r="C350" s="66"/>
      <c r="D350" s="66"/>
    </row>
    <row r="351" ht="15.75" customHeight="1">
      <c r="C351" s="66"/>
      <c r="D351" s="66"/>
    </row>
    <row r="352" ht="15.75" customHeight="1">
      <c r="C352" s="66"/>
      <c r="D352" s="66"/>
    </row>
    <row r="353" ht="15.75" customHeight="1">
      <c r="C353" s="66"/>
      <c r="D353" s="66"/>
    </row>
    <row r="354" ht="15.75" customHeight="1">
      <c r="C354" s="66"/>
      <c r="D354" s="66"/>
    </row>
    <row r="355" ht="15.75" customHeight="1">
      <c r="C355" s="66"/>
      <c r="D355" s="66"/>
    </row>
    <row r="356" ht="15.75" customHeight="1">
      <c r="C356" s="66"/>
      <c r="D356" s="66"/>
    </row>
    <row r="357" ht="15.75" customHeight="1">
      <c r="C357" s="66"/>
      <c r="D357" s="66"/>
    </row>
    <row r="358" ht="15.75" customHeight="1">
      <c r="C358" s="66"/>
      <c r="D358" s="66"/>
    </row>
    <row r="359" ht="15.75" customHeight="1">
      <c r="C359" s="66"/>
      <c r="D359" s="66"/>
    </row>
    <row r="360" ht="15.75" customHeight="1">
      <c r="C360" s="66"/>
      <c r="D360" s="66"/>
    </row>
    <row r="361" ht="15.75" customHeight="1">
      <c r="C361" s="66"/>
      <c r="D361" s="66"/>
    </row>
    <row r="362" ht="15.75" customHeight="1">
      <c r="C362" s="66"/>
      <c r="D362" s="66"/>
    </row>
    <row r="363" ht="15.75" customHeight="1">
      <c r="C363" s="66"/>
      <c r="D363" s="66"/>
    </row>
    <row r="364" ht="15.75" customHeight="1">
      <c r="C364" s="66"/>
      <c r="D364" s="66"/>
    </row>
    <row r="365" ht="15.75" customHeight="1">
      <c r="C365" s="66"/>
      <c r="D365" s="66"/>
    </row>
    <row r="366" ht="15.75" customHeight="1">
      <c r="C366" s="66"/>
      <c r="D366" s="66"/>
    </row>
    <row r="367" ht="15.75" customHeight="1">
      <c r="C367" s="66"/>
      <c r="D367" s="66"/>
    </row>
    <row r="368" ht="15.75" customHeight="1">
      <c r="C368" s="66"/>
      <c r="D368" s="66"/>
    </row>
    <row r="369" ht="15.75" customHeight="1">
      <c r="C369" s="66"/>
      <c r="D369" s="66"/>
    </row>
    <row r="370" ht="15.75" customHeight="1">
      <c r="C370" s="66"/>
      <c r="D370" s="66"/>
    </row>
    <row r="371" ht="15.75" customHeight="1">
      <c r="C371" s="66"/>
      <c r="D371" s="66"/>
    </row>
    <row r="372" ht="15.75" customHeight="1">
      <c r="C372" s="66"/>
      <c r="D372" s="66"/>
    </row>
    <row r="373" ht="15.75" customHeight="1">
      <c r="C373" s="66"/>
      <c r="D373" s="66"/>
    </row>
    <row r="374" ht="15.75" customHeight="1">
      <c r="C374" s="66"/>
      <c r="D374" s="66"/>
    </row>
    <row r="375" ht="15.75" customHeight="1">
      <c r="C375" s="66"/>
      <c r="D375" s="66"/>
    </row>
    <row r="376" ht="15.75" customHeight="1">
      <c r="C376" s="66"/>
      <c r="D376" s="66"/>
    </row>
    <row r="377" ht="15.75" customHeight="1">
      <c r="C377" s="66"/>
      <c r="D377" s="66"/>
    </row>
    <row r="378" ht="15.75" customHeight="1">
      <c r="C378" s="66"/>
      <c r="D378" s="66"/>
    </row>
    <row r="379" ht="15.75" customHeight="1">
      <c r="C379" s="66"/>
      <c r="D379" s="66"/>
    </row>
    <row r="380" ht="15.75" customHeight="1">
      <c r="C380" s="66"/>
      <c r="D380" s="66"/>
    </row>
    <row r="381" ht="15.75" customHeight="1">
      <c r="C381" s="66"/>
      <c r="D381" s="66"/>
    </row>
    <row r="382" ht="15.75" customHeight="1">
      <c r="C382" s="66"/>
      <c r="D382" s="66"/>
    </row>
    <row r="383" ht="15.75" customHeight="1">
      <c r="C383" s="66"/>
      <c r="D383" s="66"/>
    </row>
    <row r="384" ht="15.75" customHeight="1">
      <c r="C384" s="66"/>
      <c r="D384" s="66"/>
    </row>
    <row r="385" ht="15.75" customHeight="1">
      <c r="C385" s="66"/>
      <c r="D385" s="66"/>
    </row>
    <row r="386" ht="15.75" customHeight="1">
      <c r="C386" s="66"/>
      <c r="D386" s="66"/>
    </row>
    <row r="387" ht="15.75" customHeight="1">
      <c r="C387" s="66"/>
      <c r="D387" s="66"/>
    </row>
    <row r="388" ht="15.75" customHeight="1">
      <c r="C388" s="66"/>
      <c r="D388" s="66"/>
    </row>
    <row r="389" ht="15.75" customHeight="1">
      <c r="C389" s="66"/>
      <c r="D389" s="66"/>
    </row>
    <row r="390" ht="15.75" customHeight="1">
      <c r="C390" s="66"/>
      <c r="D390" s="66"/>
    </row>
    <row r="391" ht="15.75" customHeight="1">
      <c r="C391" s="66"/>
      <c r="D391" s="66"/>
    </row>
    <row r="392" ht="15.75" customHeight="1">
      <c r="C392" s="66"/>
      <c r="D392" s="66"/>
    </row>
    <row r="393" ht="15.75" customHeight="1">
      <c r="C393" s="66"/>
      <c r="D393" s="66"/>
    </row>
    <row r="394" ht="15.75" customHeight="1">
      <c r="C394" s="66"/>
      <c r="D394" s="66"/>
    </row>
    <row r="395" ht="15.75" customHeight="1">
      <c r="C395" s="66"/>
      <c r="D395" s="66"/>
    </row>
    <row r="396" ht="15.75" customHeight="1">
      <c r="C396" s="66"/>
      <c r="D396" s="66"/>
    </row>
    <row r="397" ht="15.75" customHeight="1">
      <c r="C397" s="66"/>
      <c r="D397" s="66"/>
    </row>
    <row r="398" ht="15.75" customHeight="1">
      <c r="C398" s="66"/>
      <c r="D398" s="66"/>
    </row>
    <row r="399" ht="15.75" customHeight="1">
      <c r="C399" s="66"/>
      <c r="D399" s="66"/>
    </row>
    <row r="400" ht="15.75" customHeight="1">
      <c r="C400" s="66"/>
      <c r="D400" s="66"/>
    </row>
    <row r="401" ht="15.75" customHeight="1">
      <c r="C401" s="66"/>
      <c r="D401" s="66"/>
    </row>
    <row r="402" ht="15.75" customHeight="1">
      <c r="C402" s="66"/>
      <c r="D402" s="66"/>
    </row>
    <row r="403" ht="15.75" customHeight="1">
      <c r="C403" s="66"/>
      <c r="D403" s="66"/>
    </row>
    <row r="404" ht="15.75" customHeight="1">
      <c r="C404" s="66"/>
      <c r="D404" s="66"/>
    </row>
    <row r="405" ht="15.75" customHeight="1">
      <c r="C405" s="66"/>
      <c r="D405" s="66"/>
    </row>
    <row r="406" ht="15.75" customHeight="1">
      <c r="C406" s="66"/>
      <c r="D406" s="66"/>
    </row>
    <row r="407" ht="15.75" customHeight="1">
      <c r="C407" s="66"/>
      <c r="D407" s="66"/>
    </row>
    <row r="408" ht="15.75" customHeight="1">
      <c r="C408" s="66"/>
      <c r="D408" s="66"/>
    </row>
    <row r="409" ht="15.75" customHeight="1">
      <c r="C409" s="66"/>
      <c r="D409" s="66"/>
    </row>
    <row r="410" ht="15.75" customHeight="1">
      <c r="C410" s="66"/>
      <c r="D410" s="66"/>
    </row>
    <row r="411" ht="15.75" customHeight="1">
      <c r="C411" s="66"/>
      <c r="D411" s="66"/>
    </row>
    <row r="412" ht="15.75" customHeight="1">
      <c r="C412" s="66"/>
      <c r="D412" s="66"/>
    </row>
    <row r="413" ht="15.75" customHeight="1">
      <c r="C413" s="66"/>
      <c r="D413" s="66"/>
    </row>
    <row r="414" ht="15.75" customHeight="1">
      <c r="C414" s="66"/>
      <c r="D414" s="66"/>
    </row>
    <row r="415" ht="15.75" customHeight="1">
      <c r="C415" s="66"/>
      <c r="D415" s="66"/>
    </row>
    <row r="416" ht="15.75" customHeight="1">
      <c r="C416" s="66"/>
      <c r="D416" s="66"/>
    </row>
    <row r="417" ht="15.75" customHeight="1">
      <c r="C417" s="66"/>
      <c r="D417" s="66"/>
    </row>
    <row r="418" ht="15.75" customHeight="1">
      <c r="C418" s="66"/>
      <c r="D418" s="66"/>
    </row>
    <row r="419" ht="15.75" customHeight="1">
      <c r="C419" s="66"/>
      <c r="D419" s="66"/>
    </row>
    <row r="420" ht="15.75" customHeight="1">
      <c r="C420" s="66"/>
      <c r="D420" s="66"/>
    </row>
    <row r="421" ht="15.75" customHeight="1">
      <c r="C421" s="66"/>
      <c r="D421" s="66"/>
    </row>
    <row r="422" ht="15.75" customHeight="1">
      <c r="C422" s="66"/>
      <c r="D422" s="66"/>
    </row>
    <row r="423" ht="15.75" customHeight="1">
      <c r="C423" s="66"/>
      <c r="D423" s="66"/>
    </row>
    <row r="424" ht="15.75" customHeight="1">
      <c r="C424" s="66"/>
      <c r="D424" s="66"/>
    </row>
    <row r="425" ht="15.75" customHeight="1">
      <c r="C425" s="66"/>
      <c r="D425" s="66"/>
    </row>
    <row r="426" ht="15.75" customHeight="1">
      <c r="C426" s="66"/>
      <c r="D426" s="66"/>
    </row>
    <row r="427" ht="15.75" customHeight="1">
      <c r="C427" s="66"/>
      <c r="D427" s="66"/>
    </row>
    <row r="428" ht="15.75" customHeight="1">
      <c r="C428" s="66"/>
      <c r="D428" s="66"/>
    </row>
    <row r="429" ht="15.75" customHeight="1">
      <c r="C429" s="66"/>
      <c r="D429" s="66"/>
    </row>
    <row r="430" ht="15.75" customHeight="1">
      <c r="C430" s="66"/>
      <c r="D430" s="66"/>
    </row>
    <row r="431" ht="15.75" customHeight="1">
      <c r="C431" s="66"/>
      <c r="D431" s="66"/>
    </row>
    <row r="432" ht="15.75" customHeight="1">
      <c r="C432" s="66"/>
      <c r="D432" s="66"/>
    </row>
    <row r="433" ht="15.75" customHeight="1">
      <c r="C433" s="66"/>
      <c r="D433" s="66"/>
    </row>
    <row r="434" ht="15.75" customHeight="1">
      <c r="C434" s="66"/>
      <c r="D434" s="66"/>
    </row>
    <row r="435" ht="15.75" customHeight="1">
      <c r="C435" s="66"/>
      <c r="D435" s="66"/>
    </row>
    <row r="436" ht="15.75" customHeight="1">
      <c r="C436" s="66"/>
      <c r="D436" s="66"/>
    </row>
    <row r="437" ht="15.75" customHeight="1">
      <c r="C437" s="66"/>
      <c r="D437" s="66"/>
    </row>
    <row r="438" ht="15.75" customHeight="1">
      <c r="C438" s="66"/>
      <c r="D438" s="66"/>
    </row>
    <row r="439" ht="15.75" customHeight="1">
      <c r="C439" s="66"/>
      <c r="D439" s="66"/>
    </row>
    <row r="440" ht="15.75" customHeight="1">
      <c r="C440" s="66"/>
      <c r="D440" s="66"/>
    </row>
    <row r="441" ht="15.75" customHeight="1">
      <c r="C441" s="66"/>
      <c r="D441" s="66"/>
    </row>
    <row r="442" ht="15.75" customHeight="1">
      <c r="C442" s="66"/>
      <c r="D442" s="66"/>
    </row>
    <row r="443" ht="15.75" customHeight="1">
      <c r="C443" s="66"/>
      <c r="D443" s="66"/>
    </row>
    <row r="444" ht="15.75" customHeight="1">
      <c r="C444" s="66"/>
      <c r="D444" s="66"/>
    </row>
    <row r="445" ht="15.75" customHeight="1">
      <c r="C445" s="66"/>
      <c r="D445" s="66"/>
    </row>
    <row r="446" ht="15.75" customHeight="1">
      <c r="C446" s="66"/>
      <c r="D446" s="66"/>
    </row>
    <row r="447" ht="15.75" customHeight="1">
      <c r="C447" s="66"/>
      <c r="D447" s="66"/>
    </row>
    <row r="448" ht="15.75" customHeight="1">
      <c r="C448" s="66"/>
      <c r="D448" s="66"/>
    </row>
    <row r="449" ht="15.75" customHeight="1">
      <c r="C449" s="66"/>
      <c r="D449" s="66"/>
    </row>
    <row r="450" ht="15.75" customHeight="1">
      <c r="C450" s="66"/>
      <c r="D450" s="66"/>
    </row>
    <row r="451" ht="15.75" customHeight="1">
      <c r="C451" s="66"/>
      <c r="D451" s="66"/>
    </row>
    <row r="452" ht="15.75" customHeight="1">
      <c r="C452" s="66"/>
      <c r="D452" s="66"/>
    </row>
    <row r="453" ht="15.75" customHeight="1">
      <c r="C453" s="66"/>
      <c r="D453" s="66"/>
    </row>
    <row r="454" ht="15.75" customHeight="1">
      <c r="C454" s="66"/>
      <c r="D454" s="66"/>
    </row>
    <row r="455" ht="15.75" customHeight="1">
      <c r="C455" s="66"/>
      <c r="D455" s="66"/>
    </row>
    <row r="456" ht="15.75" customHeight="1">
      <c r="C456" s="66"/>
      <c r="D456" s="66"/>
    </row>
    <row r="457" ht="15.75" customHeight="1">
      <c r="C457" s="66"/>
      <c r="D457" s="66"/>
    </row>
    <row r="458" ht="15.75" customHeight="1">
      <c r="C458" s="66"/>
      <c r="D458" s="66"/>
    </row>
    <row r="459" ht="15.75" customHeight="1">
      <c r="C459" s="66"/>
      <c r="D459" s="66"/>
    </row>
    <row r="460" ht="15.75" customHeight="1">
      <c r="C460" s="66"/>
      <c r="D460" s="66"/>
    </row>
    <row r="461" ht="15.75" customHeight="1">
      <c r="C461" s="66"/>
      <c r="D461" s="66"/>
    </row>
    <row r="462" ht="15.75" customHeight="1">
      <c r="C462" s="66"/>
      <c r="D462" s="66"/>
    </row>
    <row r="463" ht="15.75" customHeight="1">
      <c r="C463" s="66"/>
      <c r="D463" s="66"/>
    </row>
    <row r="464" ht="15.75" customHeight="1">
      <c r="C464" s="66"/>
      <c r="D464" s="66"/>
    </row>
    <row r="465" ht="15.75" customHeight="1">
      <c r="C465" s="66"/>
      <c r="D465" s="66"/>
    </row>
    <row r="466" ht="15.75" customHeight="1">
      <c r="C466" s="66"/>
      <c r="D466" s="66"/>
    </row>
    <row r="467" ht="15.75" customHeight="1">
      <c r="C467" s="66"/>
      <c r="D467" s="66"/>
    </row>
    <row r="468" ht="15.75" customHeight="1">
      <c r="C468" s="66"/>
      <c r="D468" s="66"/>
    </row>
    <row r="469" ht="15.75" customHeight="1">
      <c r="C469" s="66"/>
      <c r="D469" s="66"/>
    </row>
    <row r="470" ht="15.75" customHeight="1">
      <c r="C470" s="66"/>
      <c r="D470" s="66"/>
    </row>
    <row r="471" ht="15.75" customHeight="1">
      <c r="C471" s="66"/>
      <c r="D471" s="66"/>
    </row>
    <row r="472" ht="15.75" customHeight="1">
      <c r="C472" s="66"/>
      <c r="D472" s="66"/>
    </row>
    <row r="473" ht="15.75" customHeight="1">
      <c r="C473" s="66"/>
      <c r="D473" s="66"/>
    </row>
    <row r="474" ht="15.75" customHeight="1">
      <c r="C474" s="66"/>
      <c r="D474" s="66"/>
    </row>
    <row r="475" ht="15.75" customHeight="1">
      <c r="C475" s="66"/>
      <c r="D475" s="66"/>
    </row>
    <row r="476" ht="15.75" customHeight="1">
      <c r="C476" s="66"/>
      <c r="D476" s="66"/>
    </row>
    <row r="477" ht="15.75" customHeight="1">
      <c r="C477" s="66"/>
      <c r="D477" s="66"/>
    </row>
    <row r="478" ht="15.75" customHeight="1">
      <c r="C478" s="66"/>
      <c r="D478" s="66"/>
    </row>
    <row r="479" ht="15.75" customHeight="1">
      <c r="C479" s="66"/>
      <c r="D479" s="66"/>
    </row>
    <row r="480" ht="15.75" customHeight="1">
      <c r="C480" s="66"/>
      <c r="D480" s="66"/>
    </row>
    <row r="481" ht="15.75" customHeight="1">
      <c r="C481" s="66"/>
      <c r="D481" s="66"/>
    </row>
    <row r="482" ht="15.75" customHeight="1">
      <c r="C482" s="66"/>
      <c r="D482" s="66"/>
    </row>
    <row r="483" ht="15.75" customHeight="1">
      <c r="C483" s="66"/>
      <c r="D483" s="66"/>
    </row>
    <row r="484" ht="15.75" customHeight="1">
      <c r="C484" s="66"/>
      <c r="D484" s="66"/>
    </row>
    <row r="485" ht="15.75" customHeight="1">
      <c r="C485" s="66"/>
      <c r="D485" s="66"/>
    </row>
    <row r="486" ht="15.75" customHeight="1">
      <c r="C486" s="66"/>
      <c r="D486" s="66"/>
    </row>
    <row r="487" ht="15.75" customHeight="1">
      <c r="C487" s="66"/>
      <c r="D487" s="66"/>
    </row>
    <row r="488" ht="15.75" customHeight="1">
      <c r="C488" s="66"/>
      <c r="D488" s="66"/>
    </row>
    <row r="489" ht="15.75" customHeight="1">
      <c r="C489" s="66"/>
      <c r="D489" s="66"/>
    </row>
    <row r="490" ht="15.75" customHeight="1">
      <c r="C490" s="66"/>
      <c r="D490" s="66"/>
    </row>
    <row r="491" ht="15.75" customHeight="1">
      <c r="C491" s="66"/>
      <c r="D491" s="66"/>
    </row>
    <row r="492" ht="15.75" customHeight="1">
      <c r="C492" s="66"/>
      <c r="D492" s="66"/>
    </row>
    <row r="493" ht="15.75" customHeight="1">
      <c r="C493" s="66"/>
      <c r="D493" s="66"/>
    </row>
    <row r="494" ht="15.75" customHeight="1">
      <c r="C494" s="66"/>
      <c r="D494" s="66"/>
    </row>
    <row r="495" ht="15.75" customHeight="1">
      <c r="C495" s="66"/>
      <c r="D495" s="66"/>
    </row>
    <row r="496" ht="15.75" customHeight="1">
      <c r="C496" s="66"/>
      <c r="D496" s="66"/>
    </row>
    <row r="497" ht="15.75" customHeight="1">
      <c r="C497" s="66"/>
      <c r="D497" s="66"/>
    </row>
    <row r="498" ht="15.75" customHeight="1">
      <c r="C498" s="66"/>
      <c r="D498" s="66"/>
    </row>
    <row r="499" ht="15.75" customHeight="1">
      <c r="C499" s="66"/>
      <c r="D499" s="66"/>
    </row>
    <row r="500" ht="15.75" customHeight="1">
      <c r="C500" s="66"/>
      <c r="D500" s="66"/>
    </row>
    <row r="501" ht="15.75" customHeight="1">
      <c r="C501" s="66"/>
      <c r="D501" s="66"/>
    </row>
    <row r="502" ht="15.75" customHeight="1">
      <c r="C502" s="66"/>
      <c r="D502" s="66"/>
    </row>
    <row r="503" ht="15.75" customHeight="1">
      <c r="C503" s="66"/>
      <c r="D503" s="66"/>
    </row>
    <row r="504" ht="15.75" customHeight="1">
      <c r="C504" s="66"/>
      <c r="D504" s="66"/>
    </row>
    <row r="505" ht="15.75" customHeight="1">
      <c r="C505" s="66"/>
      <c r="D505" s="66"/>
    </row>
    <row r="506" ht="15.75" customHeight="1">
      <c r="C506" s="66"/>
      <c r="D506" s="66"/>
    </row>
    <row r="507" ht="15.75" customHeight="1">
      <c r="C507" s="66"/>
      <c r="D507" s="66"/>
    </row>
    <row r="508" ht="15.75" customHeight="1">
      <c r="C508" s="66"/>
      <c r="D508" s="66"/>
    </row>
    <row r="509" ht="15.75" customHeight="1">
      <c r="C509" s="66"/>
      <c r="D509" s="66"/>
    </row>
    <row r="510" ht="15.75" customHeight="1">
      <c r="C510" s="66"/>
      <c r="D510" s="66"/>
    </row>
    <row r="511" ht="15.75" customHeight="1">
      <c r="C511" s="66"/>
      <c r="D511" s="66"/>
    </row>
    <row r="512" ht="15.75" customHeight="1">
      <c r="C512" s="66"/>
      <c r="D512" s="66"/>
    </row>
    <row r="513" ht="15.75" customHeight="1">
      <c r="C513" s="66"/>
      <c r="D513" s="66"/>
    </row>
    <row r="514" ht="15.75" customHeight="1">
      <c r="C514" s="66"/>
      <c r="D514" s="66"/>
    </row>
    <row r="515" ht="15.75" customHeight="1">
      <c r="C515" s="66"/>
      <c r="D515" s="66"/>
    </row>
    <row r="516" ht="15.75" customHeight="1">
      <c r="C516" s="66"/>
      <c r="D516" s="66"/>
    </row>
    <row r="517" ht="15.75" customHeight="1">
      <c r="C517" s="66"/>
      <c r="D517" s="66"/>
    </row>
    <row r="518" ht="15.75" customHeight="1">
      <c r="C518" s="66"/>
      <c r="D518" s="66"/>
    </row>
    <row r="519" ht="15.75" customHeight="1">
      <c r="C519" s="66"/>
      <c r="D519" s="66"/>
    </row>
    <row r="520" ht="15.75" customHeight="1">
      <c r="C520" s="66"/>
      <c r="D520" s="66"/>
    </row>
    <row r="521" ht="15.75" customHeight="1">
      <c r="C521" s="66"/>
      <c r="D521" s="66"/>
    </row>
    <row r="522" ht="15.75" customHeight="1">
      <c r="C522" s="66"/>
      <c r="D522" s="66"/>
    </row>
    <row r="523" ht="15.75" customHeight="1">
      <c r="C523" s="66"/>
      <c r="D523" s="66"/>
    </row>
    <row r="524" ht="15.75" customHeight="1">
      <c r="C524" s="66"/>
      <c r="D524" s="66"/>
    </row>
    <row r="525" ht="15.75" customHeight="1">
      <c r="C525" s="66"/>
      <c r="D525" s="66"/>
    </row>
    <row r="526" ht="15.75" customHeight="1">
      <c r="C526" s="66"/>
      <c r="D526" s="66"/>
    </row>
    <row r="527" ht="15.75" customHeight="1">
      <c r="C527" s="66"/>
      <c r="D527" s="66"/>
    </row>
    <row r="528" ht="15.75" customHeight="1">
      <c r="C528" s="66"/>
      <c r="D528" s="66"/>
    </row>
    <row r="529" ht="15.75" customHeight="1">
      <c r="C529" s="66"/>
      <c r="D529" s="66"/>
    </row>
    <row r="530" ht="15.75" customHeight="1">
      <c r="C530" s="66"/>
      <c r="D530" s="66"/>
    </row>
    <row r="531" ht="15.75" customHeight="1">
      <c r="C531" s="66"/>
      <c r="D531" s="66"/>
    </row>
    <row r="532" ht="15.75" customHeight="1">
      <c r="C532" s="66"/>
      <c r="D532" s="66"/>
    </row>
    <row r="533" ht="15.75" customHeight="1">
      <c r="C533" s="66"/>
      <c r="D533" s="66"/>
    </row>
    <row r="534" ht="15.75" customHeight="1">
      <c r="C534" s="66"/>
      <c r="D534" s="66"/>
    </row>
    <row r="535" ht="15.75" customHeight="1">
      <c r="C535" s="66"/>
      <c r="D535" s="66"/>
    </row>
    <row r="536" ht="15.75" customHeight="1">
      <c r="C536" s="66"/>
      <c r="D536" s="66"/>
    </row>
    <row r="537" ht="15.75" customHeight="1">
      <c r="C537" s="66"/>
      <c r="D537" s="66"/>
    </row>
    <row r="538" ht="15.75" customHeight="1">
      <c r="C538" s="66"/>
      <c r="D538" s="66"/>
    </row>
    <row r="539" ht="15.75" customHeight="1">
      <c r="C539" s="66"/>
      <c r="D539" s="66"/>
    </row>
    <row r="540" ht="15.75" customHeight="1">
      <c r="C540" s="66"/>
      <c r="D540" s="66"/>
    </row>
    <row r="541" ht="15.75" customHeight="1">
      <c r="C541" s="66"/>
      <c r="D541" s="66"/>
    </row>
    <row r="542" ht="15.75" customHeight="1">
      <c r="C542" s="66"/>
      <c r="D542" s="66"/>
    </row>
    <row r="543" ht="15.75" customHeight="1">
      <c r="C543" s="66"/>
      <c r="D543" s="66"/>
    </row>
    <row r="544" ht="15.75" customHeight="1">
      <c r="C544" s="66"/>
      <c r="D544" s="66"/>
    </row>
    <row r="545" ht="15.75" customHeight="1">
      <c r="C545" s="66"/>
      <c r="D545" s="66"/>
    </row>
    <row r="546" ht="15.75" customHeight="1">
      <c r="C546" s="66"/>
      <c r="D546" s="66"/>
    </row>
    <row r="547" ht="15.75" customHeight="1">
      <c r="C547" s="66"/>
      <c r="D547" s="66"/>
    </row>
    <row r="548" ht="15.75" customHeight="1">
      <c r="C548" s="66"/>
      <c r="D548" s="66"/>
    </row>
    <row r="549" ht="15.75" customHeight="1">
      <c r="C549" s="66"/>
      <c r="D549" s="66"/>
    </row>
    <row r="550" ht="15.75" customHeight="1">
      <c r="C550" s="66"/>
      <c r="D550" s="66"/>
    </row>
    <row r="551" ht="15.75" customHeight="1">
      <c r="C551" s="66"/>
      <c r="D551" s="66"/>
    </row>
    <row r="552" ht="15.75" customHeight="1">
      <c r="C552" s="66"/>
      <c r="D552" s="66"/>
    </row>
    <row r="553" ht="15.75" customHeight="1">
      <c r="C553" s="66"/>
      <c r="D553" s="66"/>
    </row>
    <row r="554" ht="15.75" customHeight="1">
      <c r="C554" s="66"/>
      <c r="D554" s="66"/>
    </row>
    <row r="555" ht="15.75" customHeight="1">
      <c r="C555" s="66"/>
      <c r="D555" s="66"/>
    </row>
    <row r="556" ht="15.75" customHeight="1">
      <c r="C556" s="66"/>
      <c r="D556" s="66"/>
    </row>
    <row r="557" ht="15.75" customHeight="1">
      <c r="C557" s="66"/>
      <c r="D557" s="66"/>
    </row>
    <row r="558" ht="15.75" customHeight="1">
      <c r="C558" s="66"/>
      <c r="D558" s="66"/>
    </row>
    <row r="559" ht="15.75" customHeight="1">
      <c r="C559" s="66"/>
      <c r="D559" s="66"/>
    </row>
    <row r="560" ht="15.75" customHeight="1">
      <c r="C560" s="66"/>
      <c r="D560" s="66"/>
    </row>
    <row r="561" ht="15.75" customHeight="1">
      <c r="C561" s="66"/>
      <c r="D561" s="66"/>
    </row>
    <row r="562" ht="15.75" customHeight="1">
      <c r="C562" s="66"/>
      <c r="D562" s="66"/>
    </row>
    <row r="563" ht="15.75" customHeight="1">
      <c r="C563" s="66"/>
      <c r="D563" s="66"/>
    </row>
    <row r="564" ht="15.75" customHeight="1">
      <c r="C564" s="66"/>
      <c r="D564" s="66"/>
    </row>
    <row r="565" ht="15.75" customHeight="1">
      <c r="C565" s="66"/>
      <c r="D565" s="66"/>
    </row>
    <row r="566" ht="15.75" customHeight="1">
      <c r="C566" s="66"/>
      <c r="D566" s="66"/>
    </row>
    <row r="567" ht="15.75" customHeight="1">
      <c r="C567" s="66"/>
      <c r="D567" s="66"/>
    </row>
    <row r="568" ht="15.75" customHeight="1">
      <c r="C568" s="66"/>
      <c r="D568" s="66"/>
    </row>
    <row r="569" ht="15.75" customHeight="1">
      <c r="C569" s="66"/>
      <c r="D569" s="66"/>
    </row>
    <row r="570" ht="15.75" customHeight="1">
      <c r="C570" s="66"/>
      <c r="D570" s="66"/>
    </row>
    <row r="571" ht="15.75" customHeight="1">
      <c r="C571" s="66"/>
      <c r="D571" s="66"/>
    </row>
    <row r="572" ht="15.75" customHeight="1">
      <c r="C572" s="66"/>
      <c r="D572" s="66"/>
    </row>
    <row r="573" ht="15.75" customHeight="1">
      <c r="C573" s="66"/>
      <c r="D573" s="66"/>
    </row>
    <row r="574" ht="15.75" customHeight="1">
      <c r="C574" s="66"/>
      <c r="D574" s="66"/>
    </row>
    <row r="575" ht="15.75" customHeight="1">
      <c r="C575" s="66"/>
      <c r="D575" s="66"/>
    </row>
    <row r="576" ht="15.75" customHeight="1">
      <c r="C576" s="66"/>
      <c r="D576" s="66"/>
    </row>
    <row r="577" ht="15.75" customHeight="1">
      <c r="C577" s="66"/>
      <c r="D577" s="66"/>
    </row>
    <row r="578" ht="15.75" customHeight="1">
      <c r="C578" s="66"/>
      <c r="D578" s="66"/>
    </row>
    <row r="579" ht="15.75" customHeight="1">
      <c r="C579" s="66"/>
      <c r="D579" s="66"/>
    </row>
    <row r="580" ht="15.75" customHeight="1">
      <c r="C580" s="66"/>
      <c r="D580" s="66"/>
    </row>
    <row r="581" ht="15.75" customHeight="1">
      <c r="C581" s="66"/>
      <c r="D581" s="66"/>
    </row>
    <row r="582" ht="15.75" customHeight="1">
      <c r="C582" s="66"/>
      <c r="D582" s="66"/>
    </row>
    <row r="583" ht="15.75" customHeight="1">
      <c r="C583" s="66"/>
      <c r="D583" s="66"/>
    </row>
    <row r="584" ht="15.75" customHeight="1">
      <c r="C584" s="66"/>
      <c r="D584" s="66"/>
    </row>
    <row r="585" ht="15.75" customHeight="1">
      <c r="C585" s="66"/>
      <c r="D585" s="66"/>
    </row>
    <row r="586" ht="15.75" customHeight="1">
      <c r="C586" s="66"/>
      <c r="D586" s="66"/>
    </row>
    <row r="587" ht="15.75" customHeight="1">
      <c r="C587" s="66"/>
      <c r="D587" s="66"/>
    </row>
    <row r="588" ht="15.75" customHeight="1">
      <c r="C588" s="66"/>
      <c r="D588" s="66"/>
    </row>
    <row r="589" ht="15.75" customHeight="1">
      <c r="C589" s="66"/>
      <c r="D589" s="66"/>
    </row>
    <row r="590" ht="15.75" customHeight="1">
      <c r="C590" s="66"/>
      <c r="D590" s="66"/>
    </row>
    <row r="591" ht="15.75" customHeight="1">
      <c r="C591" s="66"/>
      <c r="D591" s="66"/>
    </row>
    <row r="592" ht="15.75" customHeight="1">
      <c r="C592" s="66"/>
      <c r="D592" s="66"/>
    </row>
    <row r="593" ht="15.75" customHeight="1">
      <c r="C593" s="66"/>
      <c r="D593" s="66"/>
    </row>
    <row r="594" ht="15.75" customHeight="1">
      <c r="C594" s="66"/>
      <c r="D594" s="66"/>
    </row>
    <row r="595" ht="15.75" customHeight="1">
      <c r="C595" s="66"/>
      <c r="D595" s="66"/>
    </row>
    <row r="596" ht="15.75" customHeight="1">
      <c r="C596" s="66"/>
      <c r="D596" s="66"/>
    </row>
    <row r="597" ht="15.75" customHeight="1">
      <c r="C597" s="66"/>
      <c r="D597" s="66"/>
    </row>
    <row r="598" ht="15.75" customHeight="1">
      <c r="C598" s="66"/>
      <c r="D598" s="66"/>
    </row>
    <row r="599" ht="15.75" customHeight="1">
      <c r="C599" s="66"/>
      <c r="D599" s="66"/>
    </row>
    <row r="600" ht="15.75" customHeight="1">
      <c r="C600" s="66"/>
      <c r="D600" s="66"/>
    </row>
    <row r="601" ht="15.75" customHeight="1">
      <c r="C601" s="66"/>
      <c r="D601" s="66"/>
    </row>
    <row r="602" ht="15.75" customHeight="1">
      <c r="C602" s="66"/>
      <c r="D602" s="66"/>
    </row>
    <row r="603" ht="15.75" customHeight="1">
      <c r="C603" s="66"/>
      <c r="D603" s="66"/>
    </row>
    <row r="604" ht="15.75" customHeight="1">
      <c r="C604" s="66"/>
      <c r="D604" s="66"/>
    </row>
    <row r="605" ht="15.75" customHeight="1">
      <c r="C605" s="66"/>
      <c r="D605" s="66"/>
    </row>
    <row r="606" ht="15.75" customHeight="1">
      <c r="C606" s="66"/>
      <c r="D606" s="66"/>
    </row>
    <row r="607" ht="15.75" customHeight="1">
      <c r="C607" s="66"/>
      <c r="D607" s="66"/>
    </row>
    <row r="608" ht="15.75" customHeight="1">
      <c r="C608" s="66"/>
      <c r="D608" s="66"/>
    </row>
    <row r="609" ht="15.75" customHeight="1">
      <c r="C609" s="66"/>
      <c r="D609" s="66"/>
    </row>
    <row r="610" ht="15.75" customHeight="1">
      <c r="C610" s="66"/>
      <c r="D610" s="66"/>
    </row>
    <row r="611" ht="15.75" customHeight="1">
      <c r="C611" s="66"/>
      <c r="D611" s="66"/>
    </row>
    <row r="612" ht="15.75" customHeight="1">
      <c r="C612" s="66"/>
      <c r="D612" s="66"/>
    </row>
    <row r="613" ht="15.75" customHeight="1">
      <c r="C613" s="66"/>
      <c r="D613" s="66"/>
    </row>
    <row r="614" ht="15.75" customHeight="1">
      <c r="C614" s="66"/>
      <c r="D614" s="66"/>
    </row>
    <row r="615" ht="15.75" customHeight="1">
      <c r="C615" s="66"/>
      <c r="D615" s="66"/>
    </row>
    <row r="616" ht="15.75" customHeight="1">
      <c r="C616" s="66"/>
      <c r="D616" s="66"/>
    </row>
    <row r="617" ht="15.75" customHeight="1">
      <c r="C617" s="66"/>
      <c r="D617" s="66"/>
    </row>
    <row r="618" ht="15.75" customHeight="1">
      <c r="C618" s="66"/>
      <c r="D618" s="66"/>
    </row>
    <row r="619" ht="15.75" customHeight="1">
      <c r="C619" s="66"/>
      <c r="D619" s="66"/>
    </row>
    <row r="620" ht="15.75" customHeight="1">
      <c r="C620" s="66"/>
      <c r="D620" s="66"/>
    </row>
    <row r="621" ht="15.75" customHeight="1">
      <c r="C621" s="66"/>
      <c r="D621" s="66"/>
    </row>
    <row r="622" ht="15.75" customHeight="1">
      <c r="C622" s="66"/>
      <c r="D622" s="66"/>
    </row>
    <row r="623" ht="15.75" customHeight="1">
      <c r="C623" s="66"/>
      <c r="D623" s="66"/>
    </row>
    <row r="624" ht="15.75" customHeight="1">
      <c r="C624" s="66"/>
      <c r="D624" s="66"/>
    </row>
    <row r="625" ht="15.75" customHeight="1">
      <c r="C625" s="66"/>
      <c r="D625" s="66"/>
    </row>
    <row r="626" ht="15.75" customHeight="1">
      <c r="C626" s="66"/>
      <c r="D626" s="66"/>
    </row>
    <row r="627" ht="15.75" customHeight="1">
      <c r="C627" s="66"/>
      <c r="D627" s="66"/>
    </row>
    <row r="628" ht="15.75" customHeight="1">
      <c r="C628" s="66"/>
      <c r="D628" s="66"/>
    </row>
    <row r="629" ht="15.75" customHeight="1">
      <c r="C629" s="66"/>
      <c r="D629" s="66"/>
    </row>
    <row r="630" ht="15.75" customHeight="1">
      <c r="C630" s="66"/>
      <c r="D630" s="66"/>
    </row>
    <row r="631" ht="15.75" customHeight="1">
      <c r="C631" s="66"/>
      <c r="D631" s="66"/>
    </row>
    <row r="632" ht="15.75" customHeight="1">
      <c r="C632" s="66"/>
      <c r="D632" s="66"/>
    </row>
    <row r="633" ht="15.75" customHeight="1">
      <c r="C633" s="66"/>
      <c r="D633" s="66"/>
    </row>
    <row r="634" ht="15.75" customHeight="1">
      <c r="C634" s="66"/>
      <c r="D634" s="66"/>
    </row>
    <row r="635" ht="15.75" customHeight="1">
      <c r="C635" s="66"/>
      <c r="D635" s="66"/>
    </row>
    <row r="636" ht="15.75" customHeight="1">
      <c r="C636" s="66"/>
      <c r="D636" s="66"/>
    </row>
    <row r="637" ht="15.75" customHeight="1">
      <c r="C637" s="66"/>
      <c r="D637" s="66"/>
    </row>
    <row r="638" ht="15.75" customHeight="1">
      <c r="C638" s="66"/>
      <c r="D638" s="66"/>
    </row>
    <row r="639" ht="15.75" customHeight="1">
      <c r="C639" s="66"/>
      <c r="D639" s="66"/>
    </row>
    <row r="640" ht="15.75" customHeight="1">
      <c r="C640" s="66"/>
      <c r="D640" s="66"/>
    </row>
    <row r="641" ht="15.75" customHeight="1">
      <c r="C641" s="66"/>
      <c r="D641" s="66"/>
    </row>
    <row r="642" ht="15.75" customHeight="1">
      <c r="C642" s="66"/>
      <c r="D642" s="66"/>
    </row>
    <row r="643" ht="15.75" customHeight="1">
      <c r="C643" s="66"/>
      <c r="D643" s="66"/>
    </row>
    <row r="644" ht="15.75" customHeight="1">
      <c r="C644" s="66"/>
      <c r="D644" s="66"/>
    </row>
    <row r="645" ht="15.75" customHeight="1">
      <c r="C645" s="66"/>
      <c r="D645" s="66"/>
    </row>
    <row r="646" ht="15.75" customHeight="1">
      <c r="C646" s="66"/>
      <c r="D646" s="66"/>
    </row>
    <row r="647" ht="15.75" customHeight="1">
      <c r="C647" s="66"/>
      <c r="D647" s="66"/>
    </row>
    <row r="648" ht="15.75" customHeight="1">
      <c r="C648" s="66"/>
      <c r="D648" s="66"/>
    </row>
    <row r="649" ht="15.75" customHeight="1">
      <c r="C649" s="66"/>
      <c r="D649" s="66"/>
    </row>
    <row r="650" ht="15.75" customHeight="1">
      <c r="C650" s="66"/>
      <c r="D650" s="66"/>
    </row>
    <row r="651" ht="15.75" customHeight="1">
      <c r="C651" s="66"/>
      <c r="D651" s="66"/>
    </row>
    <row r="652" ht="15.75" customHeight="1">
      <c r="C652" s="66"/>
      <c r="D652" s="66"/>
    </row>
    <row r="653" ht="15.75" customHeight="1">
      <c r="C653" s="66"/>
      <c r="D653" s="66"/>
    </row>
    <row r="654" ht="15.75" customHeight="1">
      <c r="C654" s="66"/>
      <c r="D654" s="66"/>
    </row>
    <row r="655" ht="15.75" customHeight="1">
      <c r="C655" s="66"/>
      <c r="D655" s="66"/>
    </row>
    <row r="656" ht="15.75" customHeight="1">
      <c r="C656" s="66"/>
      <c r="D656" s="66"/>
    </row>
    <row r="657" ht="15.75" customHeight="1">
      <c r="C657" s="66"/>
      <c r="D657" s="66"/>
    </row>
    <row r="658" ht="15.75" customHeight="1">
      <c r="C658" s="66"/>
      <c r="D658" s="66"/>
    </row>
    <row r="659" ht="15.75" customHeight="1">
      <c r="C659" s="66"/>
      <c r="D659" s="66"/>
    </row>
    <row r="660" ht="15.75" customHeight="1">
      <c r="C660" s="66"/>
      <c r="D660" s="66"/>
    </row>
    <row r="661" ht="15.75" customHeight="1">
      <c r="C661" s="66"/>
      <c r="D661" s="66"/>
    </row>
    <row r="662" ht="15.75" customHeight="1">
      <c r="C662" s="66"/>
      <c r="D662" s="66"/>
    </row>
    <row r="663" ht="15.75" customHeight="1">
      <c r="C663" s="66"/>
      <c r="D663" s="66"/>
    </row>
    <row r="664" ht="15.75" customHeight="1">
      <c r="C664" s="66"/>
      <c r="D664" s="66"/>
    </row>
    <row r="665" ht="15.75" customHeight="1">
      <c r="C665" s="66"/>
      <c r="D665" s="66"/>
    </row>
    <row r="666" ht="15.75" customHeight="1">
      <c r="C666" s="66"/>
      <c r="D666" s="66"/>
    </row>
    <row r="667" ht="15.75" customHeight="1">
      <c r="C667" s="66"/>
      <c r="D667" s="66"/>
    </row>
    <row r="668" ht="15.75" customHeight="1">
      <c r="C668" s="66"/>
      <c r="D668" s="66"/>
    </row>
    <row r="669" ht="15.75" customHeight="1">
      <c r="C669" s="66"/>
      <c r="D669" s="66"/>
    </row>
    <row r="670" ht="15.75" customHeight="1">
      <c r="C670" s="66"/>
      <c r="D670" s="66"/>
    </row>
    <row r="671" ht="15.75" customHeight="1">
      <c r="C671" s="66"/>
      <c r="D671" s="66"/>
    </row>
    <row r="672" ht="15.75" customHeight="1">
      <c r="C672" s="66"/>
      <c r="D672" s="66"/>
    </row>
    <row r="673" ht="15.75" customHeight="1">
      <c r="C673" s="66"/>
      <c r="D673" s="66"/>
    </row>
    <row r="674" ht="15.75" customHeight="1">
      <c r="C674" s="66"/>
      <c r="D674" s="66"/>
    </row>
    <row r="675" ht="15.75" customHeight="1">
      <c r="C675" s="66"/>
      <c r="D675" s="66"/>
    </row>
    <row r="676" ht="15.75" customHeight="1">
      <c r="C676" s="66"/>
      <c r="D676" s="66"/>
    </row>
    <row r="677" ht="15.75" customHeight="1">
      <c r="C677" s="66"/>
      <c r="D677" s="66"/>
    </row>
    <row r="678" ht="15.75" customHeight="1">
      <c r="C678" s="66"/>
      <c r="D678" s="66"/>
    </row>
    <row r="679" ht="15.75" customHeight="1">
      <c r="C679" s="66"/>
      <c r="D679" s="66"/>
    </row>
    <row r="680" ht="15.75" customHeight="1">
      <c r="C680" s="66"/>
      <c r="D680" s="66"/>
    </row>
    <row r="681" ht="15.75" customHeight="1">
      <c r="C681" s="66"/>
      <c r="D681" s="66"/>
    </row>
    <row r="682" ht="15.75" customHeight="1">
      <c r="C682" s="66"/>
      <c r="D682" s="66"/>
    </row>
    <row r="683" ht="15.75" customHeight="1">
      <c r="C683" s="66"/>
      <c r="D683" s="66"/>
    </row>
    <row r="684" ht="15.75" customHeight="1">
      <c r="C684" s="66"/>
      <c r="D684" s="66"/>
    </row>
    <row r="685" ht="15.75" customHeight="1">
      <c r="C685" s="66"/>
      <c r="D685" s="66"/>
    </row>
    <row r="686" ht="15.75" customHeight="1">
      <c r="C686" s="66"/>
      <c r="D686" s="66"/>
    </row>
    <row r="687" ht="15.75" customHeight="1">
      <c r="C687" s="66"/>
      <c r="D687" s="66"/>
    </row>
    <row r="688" ht="15.75" customHeight="1">
      <c r="C688" s="66"/>
      <c r="D688" s="66"/>
    </row>
    <row r="689" ht="15.75" customHeight="1">
      <c r="C689" s="66"/>
      <c r="D689" s="66"/>
    </row>
    <row r="690" ht="15.75" customHeight="1">
      <c r="C690" s="66"/>
      <c r="D690" s="66"/>
    </row>
    <row r="691" ht="15.75" customHeight="1">
      <c r="C691" s="66"/>
      <c r="D691" s="66"/>
    </row>
    <row r="692" ht="15.75" customHeight="1">
      <c r="C692" s="66"/>
      <c r="D692" s="66"/>
    </row>
    <row r="693" ht="15.75" customHeight="1">
      <c r="C693" s="66"/>
      <c r="D693" s="66"/>
    </row>
    <row r="694" ht="15.75" customHeight="1">
      <c r="C694" s="66"/>
      <c r="D694" s="66"/>
    </row>
    <row r="695" ht="15.75" customHeight="1">
      <c r="C695" s="66"/>
      <c r="D695" s="66"/>
    </row>
    <row r="696" ht="15.75" customHeight="1">
      <c r="C696" s="66"/>
      <c r="D696" s="66"/>
    </row>
    <row r="697" ht="15.75" customHeight="1">
      <c r="C697" s="66"/>
      <c r="D697" s="66"/>
    </row>
    <row r="698" ht="15.75" customHeight="1">
      <c r="C698" s="66"/>
      <c r="D698" s="66"/>
    </row>
    <row r="699" ht="15.75" customHeight="1">
      <c r="C699" s="66"/>
      <c r="D699" s="66"/>
    </row>
    <row r="700" ht="15.75" customHeight="1">
      <c r="C700" s="66"/>
      <c r="D700" s="66"/>
    </row>
    <row r="701" ht="15.75" customHeight="1">
      <c r="C701" s="66"/>
      <c r="D701" s="66"/>
    </row>
    <row r="702" ht="15.75" customHeight="1">
      <c r="C702" s="66"/>
      <c r="D702" s="66"/>
    </row>
    <row r="703" ht="15.75" customHeight="1">
      <c r="C703" s="66"/>
      <c r="D703" s="66"/>
    </row>
    <row r="704" ht="15.75" customHeight="1">
      <c r="C704" s="66"/>
      <c r="D704" s="66"/>
    </row>
    <row r="705" ht="15.75" customHeight="1">
      <c r="C705" s="66"/>
      <c r="D705" s="66"/>
    </row>
    <row r="706" ht="15.75" customHeight="1">
      <c r="C706" s="66"/>
      <c r="D706" s="66"/>
    </row>
    <row r="707" ht="15.75" customHeight="1">
      <c r="C707" s="66"/>
      <c r="D707" s="66"/>
    </row>
    <row r="708" ht="15.75" customHeight="1">
      <c r="C708" s="66"/>
      <c r="D708" s="66"/>
    </row>
    <row r="709" ht="15.75" customHeight="1">
      <c r="C709" s="66"/>
      <c r="D709" s="66"/>
    </row>
    <row r="710" ht="15.75" customHeight="1">
      <c r="C710" s="66"/>
      <c r="D710" s="66"/>
    </row>
    <row r="711" ht="15.75" customHeight="1">
      <c r="C711" s="66"/>
      <c r="D711" s="66"/>
    </row>
    <row r="712" ht="15.75" customHeight="1">
      <c r="C712" s="66"/>
      <c r="D712" s="66"/>
    </row>
    <row r="713" ht="15.75" customHeight="1">
      <c r="C713" s="66"/>
      <c r="D713" s="66"/>
    </row>
    <row r="714" ht="15.75" customHeight="1">
      <c r="C714" s="66"/>
      <c r="D714" s="66"/>
    </row>
    <row r="715" ht="15.75" customHeight="1">
      <c r="C715" s="66"/>
      <c r="D715" s="66"/>
    </row>
    <row r="716" ht="15.75" customHeight="1">
      <c r="C716" s="66"/>
      <c r="D716" s="66"/>
    </row>
    <row r="717" ht="15.75" customHeight="1">
      <c r="C717" s="66"/>
      <c r="D717" s="66"/>
    </row>
    <row r="718" ht="15.75" customHeight="1">
      <c r="C718" s="66"/>
      <c r="D718" s="66"/>
    </row>
    <row r="719" ht="15.75" customHeight="1">
      <c r="C719" s="66"/>
      <c r="D719" s="66"/>
    </row>
    <row r="720" ht="15.75" customHeight="1">
      <c r="C720" s="66"/>
      <c r="D720" s="66"/>
    </row>
    <row r="721" ht="15.75" customHeight="1">
      <c r="C721" s="66"/>
      <c r="D721" s="66"/>
    </row>
    <row r="722" ht="15.75" customHeight="1">
      <c r="C722" s="66"/>
      <c r="D722" s="66"/>
    </row>
    <row r="723" ht="15.75" customHeight="1">
      <c r="C723" s="66"/>
      <c r="D723" s="66"/>
    </row>
    <row r="724" ht="15.75" customHeight="1">
      <c r="C724" s="66"/>
      <c r="D724" s="66"/>
    </row>
    <row r="725" ht="15.75" customHeight="1">
      <c r="C725" s="66"/>
      <c r="D725" s="66"/>
    </row>
    <row r="726" ht="15.75" customHeight="1">
      <c r="C726" s="66"/>
      <c r="D726" s="66"/>
    </row>
    <row r="727" ht="15.75" customHeight="1">
      <c r="C727" s="66"/>
      <c r="D727" s="66"/>
    </row>
    <row r="728" ht="15.75" customHeight="1">
      <c r="C728" s="66"/>
      <c r="D728" s="66"/>
    </row>
    <row r="729" ht="15.75" customHeight="1">
      <c r="C729" s="66"/>
      <c r="D729" s="66"/>
    </row>
    <row r="730" ht="15.75" customHeight="1">
      <c r="C730" s="66"/>
      <c r="D730" s="66"/>
    </row>
    <row r="731" ht="15.75" customHeight="1">
      <c r="C731" s="66"/>
      <c r="D731" s="66"/>
    </row>
    <row r="732" ht="15.75" customHeight="1">
      <c r="C732" s="66"/>
      <c r="D732" s="66"/>
    </row>
    <row r="733" ht="15.75" customHeight="1">
      <c r="C733" s="66"/>
      <c r="D733" s="66"/>
    </row>
    <row r="734" ht="15.75" customHeight="1">
      <c r="C734" s="66"/>
      <c r="D734" s="66"/>
    </row>
    <row r="735" ht="15.75" customHeight="1">
      <c r="C735" s="66"/>
      <c r="D735" s="66"/>
    </row>
    <row r="736" ht="15.75" customHeight="1">
      <c r="C736" s="66"/>
      <c r="D736" s="66"/>
    </row>
    <row r="737" ht="15.75" customHeight="1">
      <c r="C737" s="66"/>
      <c r="D737" s="66"/>
    </row>
    <row r="738" ht="15.75" customHeight="1">
      <c r="C738" s="66"/>
      <c r="D738" s="66"/>
    </row>
    <row r="739" ht="15.75" customHeight="1">
      <c r="C739" s="66"/>
      <c r="D739" s="66"/>
    </row>
    <row r="740" ht="15.75" customHeight="1">
      <c r="C740" s="66"/>
      <c r="D740" s="66"/>
    </row>
    <row r="741" ht="15.75" customHeight="1">
      <c r="C741" s="66"/>
      <c r="D741" s="66"/>
    </row>
    <row r="742" ht="15.75" customHeight="1">
      <c r="C742" s="66"/>
      <c r="D742" s="66"/>
    </row>
    <row r="743" ht="15.75" customHeight="1">
      <c r="C743" s="66"/>
      <c r="D743" s="66"/>
    </row>
    <row r="744" ht="15.75" customHeight="1">
      <c r="C744" s="66"/>
      <c r="D744" s="66"/>
    </row>
    <row r="745" ht="15.75" customHeight="1">
      <c r="C745" s="66"/>
      <c r="D745" s="66"/>
    </row>
    <row r="746" ht="15.75" customHeight="1">
      <c r="C746" s="66"/>
      <c r="D746" s="66"/>
    </row>
    <row r="747" ht="15.75" customHeight="1">
      <c r="C747" s="66"/>
      <c r="D747" s="66"/>
    </row>
    <row r="748" ht="15.75" customHeight="1">
      <c r="C748" s="66"/>
      <c r="D748" s="66"/>
    </row>
    <row r="749" ht="15.75" customHeight="1">
      <c r="C749" s="66"/>
      <c r="D749" s="66"/>
    </row>
    <row r="750" ht="15.75" customHeight="1">
      <c r="C750" s="66"/>
      <c r="D750" s="66"/>
    </row>
    <row r="751" ht="15.75" customHeight="1">
      <c r="C751" s="66"/>
      <c r="D751" s="66"/>
    </row>
    <row r="752" ht="15.75" customHeight="1">
      <c r="C752" s="66"/>
      <c r="D752" s="66"/>
    </row>
    <row r="753" ht="15.75" customHeight="1">
      <c r="C753" s="66"/>
      <c r="D753" s="66"/>
    </row>
    <row r="754" ht="15.75" customHeight="1">
      <c r="C754" s="66"/>
      <c r="D754" s="66"/>
    </row>
    <row r="755" ht="15.75" customHeight="1">
      <c r="C755" s="66"/>
      <c r="D755" s="66"/>
    </row>
    <row r="756" ht="15.75" customHeight="1">
      <c r="C756" s="66"/>
      <c r="D756" s="66"/>
    </row>
    <row r="757" ht="15.75" customHeight="1">
      <c r="C757" s="66"/>
      <c r="D757" s="66"/>
    </row>
    <row r="758" ht="15.75" customHeight="1">
      <c r="C758" s="66"/>
      <c r="D758" s="66"/>
    </row>
    <row r="759" ht="15.75" customHeight="1">
      <c r="C759" s="66"/>
      <c r="D759" s="66"/>
    </row>
    <row r="760" ht="15.75" customHeight="1">
      <c r="C760" s="66"/>
      <c r="D760" s="66"/>
    </row>
    <row r="761" ht="15.75" customHeight="1">
      <c r="C761" s="66"/>
      <c r="D761" s="66"/>
    </row>
    <row r="762" ht="15.75" customHeight="1">
      <c r="C762" s="66"/>
      <c r="D762" s="66"/>
    </row>
    <row r="763" ht="15.75" customHeight="1">
      <c r="C763" s="66"/>
      <c r="D763" s="66"/>
    </row>
    <row r="764" ht="15.75" customHeight="1">
      <c r="C764" s="66"/>
      <c r="D764" s="66"/>
    </row>
    <row r="765" ht="15.75" customHeight="1">
      <c r="C765" s="66"/>
      <c r="D765" s="66"/>
    </row>
    <row r="766" ht="15.75" customHeight="1">
      <c r="C766" s="66"/>
      <c r="D766" s="66"/>
    </row>
    <row r="767" ht="15.75" customHeight="1">
      <c r="C767" s="66"/>
      <c r="D767" s="66"/>
    </row>
    <row r="768" ht="15.75" customHeight="1">
      <c r="C768" s="66"/>
      <c r="D768" s="66"/>
    </row>
    <row r="769" ht="15.75" customHeight="1">
      <c r="C769" s="66"/>
      <c r="D769" s="66"/>
    </row>
    <row r="770" ht="15.75" customHeight="1">
      <c r="C770" s="66"/>
      <c r="D770" s="66"/>
    </row>
    <row r="771" ht="15.75" customHeight="1">
      <c r="C771" s="66"/>
      <c r="D771" s="66"/>
    </row>
    <row r="772" ht="15.75" customHeight="1">
      <c r="C772" s="66"/>
      <c r="D772" s="66"/>
    </row>
    <row r="773" ht="15.75" customHeight="1">
      <c r="C773" s="66"/>
      <c r="D773" s="66"/>
    </row>
    <row r="774" ht="15.75" customHeight="1">
      <c r="C774" s="66"/>
      <c r="D774" s="66"/>
    </row>
    <row r="775" ht="15.75" customHeight="1">
      <c r="C775" s="66"/>
      <c r="D775" s="66"/>
    </row>
    <row r="776" ht="15.75" customHeight="1">
      <c r="C776" s="66"/>
      <c r="D776" s="66"/>
    </row>
    <row r="777" ht="15.75" customHeight="1">
      <c r="C777" s="66"/>
      <c r="D777" s="66"/>
    </row>
    <row r="778" ht="15.75" customHeight="1">
      <c r="C778" s="66"/>
      <c r="D778" s="66"/>
    </row>
    <row r="779" ht="15.75" customHeight="1">
      <c r="C779" s="66"/>
      <c r="D779" s="66"/>
    </row>
    <row r="780" ht="15.75" customHeight="1">
      <c r="C780" s="66"/>
      <c r="D780" s="66"/>
    </row>
    <row r="781" ht="15.75" customHeight="1">
      <c r="C781" s="66"/>
      <c r="D781" s="66"/>
    </row>
    <row r="782" ht="15.75" customHeight="1">
      <c r="C782" s="66"/>
      <c r="D782" s="66"/>
    </row>
    <row r="783" ht="15.75" customHeight="1">
      <c r="C783" s="66"/>
      <c r="D783" s="66"/>
    </row>
    <row r="784" ht="15.75" customHeight="1">
      <c r="C784" s="66"/>
      <c r="D784" s="66"/>
    </row>
    <row r="785" ht="15.75" customHeight="1">
      <c r="C785" s="66"/>
      <c r="D785" s="66"/>
    </row>
    <row r="786" ht="15.75" customHeight="1">
      <c r="C786" s="66"/>
      <c r="D786" s="66"/>
    </row>
    <row r="787" ht="15.75" customHeight="1">
      <c r="C787" s="66"/>
      <c r="D787" s="66"/>
    </row>
    <row r="788" ht="15.75" customHeight="1">
      <c r="C788" s="66"/>
      <c r="D788" s="66"/>
    </row>
    <row r="789" ht="15.75" customHeight="1">
      <c r="C789" s="66"/>
      <c r="D789" s="66"/>
    </row>
    <row r="790" ht="15.75" customHeight="1">
      <c r="C790" s="66"/>
      <c r="D790" s="66"/>
    </row>
    <row r="791" ht="15.75" customHeight="1">
      <c r="C791" s="66"/>
      <c r="D791" s="66"/>
    </row>
    <row r="792" ht="15.75" customHeight="1">
      <c r="C792" s="66"/>
      <c r="D792" s="66"/>
    </row>
    <row r="793" ht="15.75" customHeight="1">
      <c r="C793" s="66"/>
      <c r="D793" s="66"/>
    </row>
    <row r="794" ht="15.75" customHeight="1">
      <c r="C794" s="66"/>
      <c r="D794" s="66"/>
    </row>
    <row r="795" ht="15.75" customHeight="1">
      <c r="C795" s="66"/>
      <c r="D795" s="66"/>
    </row>
    <row r="796" ht="15.75" customHeight="1">
      <c r="C796" s="66"/>
      <c r="D796" s="66"/>
    </row>
    <row r="797" ht="15.75" customHeight="1">
      <c r="C797" s="66"/>
      <c r="D797" s="66"/>
    </row>
    <row r="798" ht="15.75" customHeight="1">
      <c r="C798" s="66"/>
      <c r="D798" s="66"/>
    </row>
    <row r="799" ht="15.75" customHeight="1">
      <c r="C799" s="66"/>
      <c r="D799" s="66"/>
    </row>
    <row r="800" ht="15.75" customHeight="1">
      <c r="C800" s="66"/>
      <c r="D800" s="66"/>
    </row>
    <row r="801" ht="15.75" customHeight="1">
      <c r="C801" s="66"/>
      <c r="D801" s="66"/>
    </row>
    <row r="802" ht="15.75" customHeight="1">
      <c r="C802" s="66"/>
      <c r="D802" s="66"/>
    </row>
    <row r="803" ht="15.75" customHeight="1">
      <c r="C803" s="66"/>
      <c r="D803" s="66"/>
    </row>
    <row r="804" ht="15.75" customHeight="1">
      <c r="C804" s="66"/>
      <c r="D804" s="66"/>
    </row>
    <row r="805" ht="15.75" customHeight="1">
      <c r="C805" s="66"/>
      <c r="D805" s="66"/>
    </row>
    <row r="806" ht="15.75" customHeight="1">
      <c r="C806" s="66"/>
      <c r="D806" s="66"/>
    </row>
    <row r="807" ht="15.75" customHeight="1">
      <c r="C807" s="66"/>
      <c r="D807" s="66"/>
    </row>
    <row r="808" ht="15.75" customHeight="1">
      <c r="C808" s="66"/>
      <c r="D808" s="66"/>
    </row>
    <row r="809" ht="15.75" customHeight="1">
      <c r="C809" s="66"/>
      <c r="D809" s="66"/>
    </row>
    <row r="810" ht="15.75" customHeight="1">
      <c r="C810" s="66"/>
      <c r="D810" s="66"/>
    </row>
    <row r="811" ht="15.75" customHeight="1">
      <c r="C811" s="66"/>
      <c r="D811" s="66"/>
    </row>
    <row r="812" ht="15.75" customHeight="1">
      <c r="C812" s="66"/>
      <c r="D812" s="66"/>
    </row>
    <row r="813" ht="15.75" customHeight="1">
      <c r="C813" s="66"/>
      <c r="D813" s="66"/>
    </row>
    <row r="814" ht="15.75" customHeight="1">
      <c r="C814" s="66"/>
      <c r="D814" s="66"/>
    </row>
    <row r="815" ht="15.75" customHeight="1">
      <c r="C815" s="66"/>
      <c r="D815" s="66"/>
    </row>
    <row r="816" ht="15.75" customHeight="1">
      <c r="C816" s="66"/>
      <c r="D816" s="66"/>
    </row>
    <row r="817" ht="15.75" customHeight="1">
      <c r="C817" s="66"/>
      <c r="D817" s="66"/>
    </row>
    <row r="818" ht="15.75" customHeight="1">
      <c r="C818" s="66"/>
      <c r="D818" s="66"/>
    </row>
    <row r="819" ht="15.75" customHeight="1">
      <c r="C819" s="66"/>
      <c r="D819" s="66"/>
    </row>
    <row r="820" ht="15.75" customHeight="1">
      <c r="C820" s="66"/>
      <c r="D820" s="66"/>
    </row>
    <row r="821" ht="15.75" customHeight="1">
      <c r="C821" s="66"/>
      <c r="D821" s="66"/>
    </row>
    <row r="822" ht="15.75" customHeight="1">
      <c r="C822" s="66"/>
      <c r="D822" s="66"/>
    </row>
    <row r="823" ht="15.75" customHeight="1">
      <c r="C823" s="66"/>
      <c r="D823" s="66"/>
    </row>
    <row r="824" ht="15.75" customHeight="1">
      <c r="C824" s="66"/>
      <c r="D824" s="66"/>
    </row>
    <row r="825" ht="15.75" customHeight="1">
      <c r="C825" s="66"/>
      <c r="D825" s="66"/>
    </row>
    <row r="826" ht="15.75" customHeight="1">
      <c r="C826" s="66"/>
      <c r="D826" s="66"/>
    </row>
    <row r="827" ht="15.75" customHeight="1">
      <c r="C827" s="66"/>
      <c r="D827" s="66"/>
    </row>
    <row r="828" ht="15.75" customHeight="1">
      <c r="C828" s="66"/>
      <c r="D828" s="66"/>
    </row>
    <row r="829" ht="15.75" customHeight="1">
      <c r="C829" s="66"/>
      <c r="D829" s="66"/>
    </row>
    <row r="830" ht="15.75" customHeight="1">
      <c r="C830" s="66"/>
      <c r="D830" s="66"/>
    </row>
    <row r="831" ht="15.75" customHeight="1">
      <c r="C831" s="66"/>
      <c r="D831" s="66"/>
    </row>
    <row r="832" ht="15.75" customHeight="1">
      <c r="C832" s="66"/>
      <c r="D832" s="66"/>
    </row>
    <row r="833" ht="15.75" customHeight="1">
      <c r="C833" s="66"/>
      <c r="D833" s="66"/>
    </row>
    <row r="834" ht="15.75" customHeight="1">
      <c r="C834" s="66"/>
      <c r="D834" s="66"/>
    </row>
    <row r="835" ht="15.75" customHeight="1">
      <c r="C835" s="66"/>
      <c r="D835" s="66"/>
    </row>
    <row r="836" ht="15.75" customHeight="1">
      <c r="C836" s="66"/>
      <c r="D836" s="66"/>
    </row>
    <row r="837" ht="15.75" customHeight="1">
      <c r="C837" s="66"/>
      <c r="D837" s="66"/>
    </row>
    <row r="838" ht="15.75" customHeight="1">
      <c r="C838" s="66"/>
      <c r="D838" s="66"/>
    </row>
    <row r="839" ht="15.75" customHeight="1">
      <c r="C839" s="66"/>
      <c r="D839" s="66"/>
    </row>
    <row r="840" ht="15.75" customHeight="1">
      <c r="C840" s="66"/>
      <c r="D840" s="66"/>
    </row>
    <row r="841" ht="15.75" customHeight="1">
      <c r="C841" s="66"/>
      <c r="D841" s="66"/>
    </row>
    <row r="842" ht="15.75" customHeight="1">
      <c r="C842" s="66"/>
      <c r="D842" s="66"/>
    </row>
    <row r="843" ht="15.75" customHeight="1">
      <c r="C843" s="66"/>
      <c r="D843" s="66"/>
    </row>
    <row r="844" ht="15.75" customHeight="1">
      <c r="C844" s="66"/>
      <c r="D844" s="66"/>
    </row>
    <row r="845" ht="15.75" customHeight="1">
      <c r="C845" s="66"/>
      <c r="D845" s="66"/>
    </row>
    <row r="846" ht="15.75" customHeight="1">
      <c r="C846" s="66"/>
      <c r="D846" s="66"/>
    </row>
    <row r="847" ht="15.75" customHeight="1">
      <c r="C847" s="66"/>
      <c r="D847" s="66"/>
    </row>
    <row r="848" ht="15.75" customHeight="1">
      <c r="C848" s="66"/>
      <c r="D848" s="66"/>
    </row>
    <row r="849" ht="15.75" customHeight="1">
      <c r="C849" s="66"/>
      <c r="D849" s="66"/>
    </row>
    <row r="850" ht="15.75" customHeight="1">
      <c r="C850" s="66"/>
      <c r="D850" s="66"/>
    </row>
    <row r="851" ht="15.75" customHeight="1">
      <c r="C851" s="66"/>
      <c r="D851" s="66"/>
    </row>
    <row r="852" ht="15.75" customHeight="1">
      <c r="C852" s="66"/>
      <c r="D852" s="66"/>
    </row>
    <row r="853" ht="15.75" customHeight="1">
      <c r="C853" s="66"/>
      <c r="D853" s="66"/>
    </row>
    <row r="854" ht="15.75" customHeight="1">
      <c r="C854" s="66"/>
      <c r="D854" s="66"/>
    </row>
    <row r="855" ht="15.75" customHeight="1">
      <c r="C855" s="66"/>
      <c r="D855" s="66"/>
    </row>
    <row r="856" ht="15.75" customHeight="1">
      <c r="C856" s="66"/>
      <c r="D856" s="66"/>
    </row>
    <row r="857" ht="15.75" customHeight="1">
      <c r="C857" s="66"/>
      <c r="D857" s="66"/>
    </row>
    <row r="858" ht="15.75" customHeight="1">
      <c r="C858" s="66"/>
      <c r="D858" s="66"/>
    </row>
    <row r="859" ht="15.75" customHeight="1">
      <c r="C859" s="66"/>
      <c r="D859" s="66"/>
    </row>
    <row r="860" ht="15.75" customHeight="1">
      <c r="C860" s="66"/>
      <c r="D860" s="66"/>
    </row>
    <row r="861" ht="15.75" customHeight="1">
      <c r="C861" s="66"/>
      <c r="D861" s="66"/>
    </row>
    <row r="862" ht="15.75" customHeight="1">
      <c r="C862" s="66"/>
      <c r="D862" s="66"/>
    </row>
    <row r="863" ht="15.75" customHeight="1">
      <c r="C863" s="66"/>
      <c r="D863" s="66"/>
    </row>
    <row r="864" ht="15.75" customHeight="1">
      <c r="C864" s="66"/>
      <c r="D864" s="66"/>
    </row>
    <row r="865" ht="15.75" customHeight="1">
      <c r="C865" s="66"/>
      <c r="D865" s="66"/>
    </row>
    <row r="866" ht="15.75" customHeight="1">
      <c r="C866" s="66"/>
      <c r="D866" s="66"/>
    </row>
    <row r="867" ht="15.75" customHeight="1">
      <c r="C867" s="66"/>
      <c r="D867" s="66"/>
    </row>
    <row r="868" ht="15.75" customHeight="1">
      <c r="C868" s="66"/>
      <c r="D868" s="66"/>
    </row>
    <row r="869" ht="15.75" customHeight="1">
      <c r="C869" s="66"/>
      <c r="D869" s="66"/>
    </row>
    <row r="870" ht="15.75" customHeight="1">
      <c r="C870" s="66"/>
      <c r="D870" s="66"/>
    </row>
    <row r="871" ht="15.75" customHeight="1">
      <c r="C871" s="66"/>
      <c r="D871" s="66"/>
    </row>
    <row r="872" ht="15.75" customHeight="1">
      <c r="C872" s="66"/>
      <c r="D872" s="66"/>
    </row>
    <row r="873" ht="15.75" customHeight="1">
      <c r="C873" s="66"/>
      <c r="D873" s="66"/>
    </row>
    <row r="874" ht="15.75" customHeight="1">
      <c r="C874" s="66"/>
      <c r="D874" s="66"/>
    </row>
    <row r="875" ht="15.75" customHeight="1">
      <c r="C875" s="66"/>
      <c r="D875" s="66"/>
    </row>
    <row r="876" ht="15.75" customHeight="1">
      <c r="C876" s="66"/>
      <c r="D876" s="66"/>
    </row>
    <row r="877" ht="15.75" customHeight="1">
      <c r="C877" s="66"/>
      <c r="D877" s="66"/>
    </row>
    <row r="878" ht="15.75" customHeight="1">
      <c r="C878" s="66"/>
      <c r="D878" s="66"/>
    </row>
    <row r="879" ht="15.75" customHeight="1">
      <c r="C879" s="66"/>
      <c r="D879" s="66"/>
    </row>
    <row r="880" ht="15.75" customHeight="1">
      <c r="C880" s="66"/>
      <c r="D880" s="66"/>
    </row>
    <row r="881" ht="15.75" customHeight="1">
      <c r="C881" s="66"/>
      <c r="D881" s="66"/>
    </row>
    <row r="882" ht="15.75" customHeight="1">
      <c r="C882" s="66"/>
      <c r="D882" s="66"/>
    </row>
    <row r="883" ht="15.75" customHeight="1">
      <c r="C883" s="66"/>
      <c r="D883" s="66"/>
    </row>
    <row r="884" ht="15.75" customHeight="1">
      <c r="C884" s="66"/>
      <c r="D884" s="66"/>
    </row>
    <row r="885" ht="15.75" customHeight="1">
      <c r="C885" s="66"/>
      <c r="D885" s="66"/>
    </row>
    <row r="886" ht="15.75" customHeight="1">
      <c r="C886" s="66"/>
      <c r="D886" s="66"/>
    </row>
    <row r="887" ht="15.75" customHeight="1">
      <c r="C887" s="66"/>
      <c r="D887" s="66"/>
    </row>
    <row r="888" ht="15.75" customHeight="1">
      <c r="C888" s="66"/>
      <c r="D888" s="66"/>
    </row>
    <row r="889" ht="15.75" customHeight="1">
      <c r="C889" s="66"/>
      <c r="D889" s="66"/>
    </row>
    <row r="890" ht="15.75" customHeight="1">
      <c r="C890" s="66"/>
      <c r="D890" s="66"/>
    </row>
    <row r="891" ht="15.75" customHeight="1">
      <c r="C891" s="66"/>
      <c r="D891" s="66"/>
    </row>
    <row r="892" ht="15.75" customHeight="1">
      <c r="C892" s="66"/>
      <c r="D892" s="66"/>
    </row>
    <row r="893" ht="15.75" customHeight="1">
      <c r="C893" s="66"/>
      <c r="D893" s="66"/>
    </row>
    <row r="894" ht="15.75" customHeight="1">
      <c r="C894" s="66"/>
      <c r="D894" s="66"/>
    </row>
    <row r="895" ht="15.75" customHeight="1">
      <c r="C895" s="66"/>
      <c r="D895" s="66"/>
    </row>
    <row r="896" ht="15.75" customHeight="1">
      <c r="C896" s="66"/>
      <c r="D896" s="66"/>
    </row>
    <row r="897" ht="15.75" customHeight="1">
      <c r="C897" s="66"/>
      <c r="D897" s="66"/>
    </row>
    <row r="898" ht="15.75" customHeight="1">
      <c r="C898" s="66"/>
      <c r="D898" s="66"/>
    </row>
    <row r="899" ht="15.75" customHeight="1">
      <c r="C899" s="66"/>
      <c r="D899" s="66"/>
    </row>
    <row r="900" ht="15.75" customHeight="1">
      <c r="C900" s="66"/>
      <c r="D900" s="66"/>
    </row>
    <row r="901" ht="15.75" customHeight="1">
      <c r="C901" s="66"/>
      <c r="D901" s="66"/>
    </row>
    <row r="902" ht="15.75" customHeight="1">
      <c r="C902" s="66"/>
      <c r="D902" s="66"/>
    </row>
    <row r="903" ht="15.75" customHeight="1">
      <c r="C903" s="66"/>
      <c r="D903" s="66"/>
    </row>
    <row r="904" ht="15.75" customHeight="1">
      <c r="C904" s="66"/>
      <c r="D904" s="66"/>
    </row>
    <row r="905" ht="15.75" customHeight="1">
      <c r="C905" s="66"/>
      <c r="D905" s="66"/>
    </row>
    <row r="906" ht="15.75" customHeight="1">
      <c r="C906" s="66"/>
      <c r="D906" s="66"/>
    </row>
    <row r="907" ht="15.75" customHeight="1">
      <c r="C907" s="66"/>
      <c r="D907" s="66"/>
    </row>
    <row r="908" ht="15.75" customHeight="1">
      <c r="C908" s="66"/>
      <c r="D908" s="66"/>
    </row>
    <row r="909" ht="15.75" customHeight="1">
      <c r="C909" s="66"/>
      <c r="D909" s="66"/>
    </row>
    <row r="910" ht="15.75" customHeight="1">
      <c r="C910" s="66"/>
      <c r="D910" s="66"/>
    </row>
    <row r="911" ht="15.75" customHeight="1">
      <c r="C911" s="66"/>
      <c r="D911" s="66"/>
    </row>
    <row r="912" ht="15.75" customHeight="1">
      <c r="C912" s="66"/>
      <c r="D912" s="66"/>
    </row>
    <row r="913" ht="15.75" customHeight="1">
      <c r="C913" s="66"/>
      <c r="D913" s="66"/>
    </row>
    <row r="914" ht="15.75" customHeight="1">
      <c r="C914" s="66"/>
      <c r="D914" s="66"/>
    </row>
    <row r="915" ht="15.75" customHeight="1">
      <c r="C915" s="66"/>
      <c r="D915" s="66"/>
    </row>
    <row r="916" ht="15.75" customHeight="1">
      <c r="C916" s="66"/>
      <c r="D916" s="66"/>
    </row>
    <row r="917" ht="15.75" customHeight="1">
      <c r="C917" s="66"/>
      <c r="D917" s="66"/>
    </row>
    <row r="918" ht="15.75" customHeight="1">
      <c r="C918" s="66"/>
      <c r="D918" s="66"/>
    </row>
    <row r="919" ht="15.75" customHeight="1">
      <c r="C919" s="66"/>
      <c r="D919" s="66"/>
    </row>
    <row r="920" ht="15.75" customHeight="1">
      <c r="C920" s="66"/>
      <c r="D920" s="66"/>
    </row>
    <row r="921" ht="15.75" customHeight="1">
      <c r="C921" s="66"/>
      <c r="D921" s="66"/>
    </row>
    <row r="922" ht="15.75" customHeight="1">
      <c r="C922" s="66"/>
      <c r="D922" s="66"/>
    </row>
    <row r="923" ht="15.75" customHeight="1">
      <c r="C923" s="66"/>
      <c r="D923" s="66"/>
    </row>
    <row r="924" ht="15.75" customHeight="1">
      <c r="C924" s="66"/>
      <c r="D924" s="66"/>
    </row>
    <row r="925" ht="15.75" customHeight="1">
      <c r="C925" s="66"/>
      <c r="D925" s="66"/>
    </row>
    <row r="926" ht="15.75" customHeight="1">
      <c r="C926" s="66"/>
      <c r="D926" s="66"/>
    </row>
    <row r="927" ht="15.75" customHeight="1">
      <c r="C927" s="66"/>
      <c r="D927" s="66"/>
    </row>
    <row r="928" ht="15.75" customHeight="1">
      <c r="C928" s="66"/>
      <c r="D928" s="66"/>
    </row>
    <row r="929" ht="15.75" customHeight="1">
      <c r="C929" s="66"/>
      <c r="D929" s="66"/>
    </row>
    <row r="930" ht="15.75" customHeight="1">
      <c r="C930" s="66"/>
      <c r="D930" s="66"/>
    </row>
    <row r="931" ht="15.75" customHeight="1">
      <c r="C931" s="66"/>
      <c r="D931" s="66"/>
    </row>
    <row r="932" ht="15.75" customHeight="1">
      <c r="C932" s="66"/>
      <c r="D932" s="66"/>
    </row>
    <row r="933" ht="15.75" customHeight="1">
      <c r="C933" s="66"/>
      <c r="D933" s="66"/>
    </row>
    <row r="934" ht="15.75" customHeight="1">
      <c r="C934" s="66"/>
      <c r="D934" s="66"/>
    </row>
    <row r="935" ht="15.75" customHeight="1">
      <c r="C935" s="66"/>
      <c r="D935" s="66"/>
    </row>
    <row r="936" ht="15.75" customHeight="1">
      <c r="C936" s="66"/>
      <c r="D936" s="66"/>
    </row>
    <row r="937" ht="15.75" customHeight="1">
      <c r="C937" s="66"/>
      <c r="D937" s="66"/>
    </row>
    <row r="938" ht="15.75" customHeight="1">
      <c r="C938" s="66"/>
      <c r="D938" s="66"/>
    </row>
    <row r="939" ht="15.75" customHeight="1">
      <c r="C939" s="66"/>
      <c r="D939" s="66"/>
    </row>
    <row r="940" ht="15.75" customHeight="1">
      <c r="C940" s="66"/>
      <c r="D940" s="66"/>
    </row>
    <row r="941" ht="15.75" customHeight="1">
      <c r="C941" s="66"/>
      <c r="D941" s="66"/>
    </row>
    <row r="942" ht="15.75" customHeight="1">
      <c r="C942" s="66"/>
      <c r="D942" s="66"/>
    </row>
    <row r="943" ht="15.75" customHeight="1">
      <c r="C943" s="66"/>
      <c r="D943" s="66"/>
    </row>
    <row r="944" ht="15.75" customHeight="1">
      <c r="C944" s="66"/>
      <c r="D944" s="66"/>
    </row>
    <row r="945" ht="15.75" customHeight="1">
      <c r="C945" s="66"/>
      <c r="D945" s="66"/>
    </row>
    <row r="946" ht="15.75" customHeight="1">
      <c r="C946" s="66"/>
      <c r="D946" s="66"/>
    </row>
    <row r="947" ht="15.75" customHeight="1">
      <c r="C947" s="66"/>
      <c r="D947" s="66"/>
    </row>
    <row r="948" ht="15.75" customHeight="1">
      <c r="C948" s="66"/>
      <c r="D948" s="66"/>
    </row>
    <row r="949" ht="15.75" customHeight="1">
      <c r="C949" s="66"/>
      <c r="D949" s="66"/>
    </row>
    <row r="950" ht="15.75" customHeight="1">
      <c r="C950" s="66"/>
      <c r="D950" s="66"/>
    </row>
    <row r="951" ht="15.75" customHeight="1">
      <c r="C951" s="66"/>
      <c r="D951" s="66"/>
    </row>
    <row r="952" ht="15.75" customHeight="1">
      <c r="C952" s="66"/>
      <c r="D952" s="66"/>
    </row>
    <row r="953" ht="15.75" customHeight="1">
      <c r="C953" s="66"/>
      <c r="D953" s="66"/>
    </row>
    <row r="954" ht="15.75" customHeight="1">
      <c r="C954" s="66"/>
      <c r="D954" s="66"/>
    </row>
    <row r="955" ht="15.75" customHeight="1">
      <c r="C955" s="66"/>
      <c r="D955" s="66"/>
    </row>
    <row r="956" ht="15.75" customHeight="1">
      <c r="C956" s="66"/>
      <c r="D956" s="66"/>
    </row>
    <row r="957" ht="15.75" customHeight="1">
      <c r="C957" s="66"/>
      <c r="D957" s="66"/>
    </row>
    <row r="958" ht="15.75" customHeight="1">
      <c r="C958" s="66"/>
      <c r="D958" s="66"/>
    </row>
    <row r="959" ht="15.75" customHeight="1">
      <c r="C959" s="66"/>
      <c r="D959" s="66"/>
    </row>
    <row r="960" ht="15.75" customHeight="1">
      <c r="C960" s="66"/>
      <c r="D960" s="66"/>
    </row>
    <row r="961" ht="15.75" customHeight="1">
      <c r="C961" s="66"/>
      <c r="D961" s="66"/>
    </row>
    <row r="962" ht="15.75" customHeight="1">
      <c r="C962" s="66"/>
      <c r="D962" s="66"/>
    </row>
    <row r="963" ht="15.75" customHeight="1">
      <c r="C963" s="66"/>
      <c r="D963" s="66"/>
    </row>
    <row r="964" ht="15.75" customHeight="1">
      <c r="C964" s="66"/>
      <c r="D964" s="66"/>
    </row>
    <row r="965" ht="15.75" customHeight="1">
      <c r="C965" s="66"/>
      <c r="D965" s="66"/>
    </row>
    <row r="966" ht="15.75" customHeight="1">
      <c r="C966" s="66"/>
      <c r="D966" s="66"/>
    </row>
    <row r="967" ht="15.75" customHeight="1">
      <c r="C967" s="66"/>
      <c r="D967" s="66"/>
    </row>
    <row r="968" ht="15.75" customHeight="1">
      <c r="C968" s="66"/>
      <c r="D968" s="66"/>
    </row>
    <row r="969" ht="15.75" customHeight="1">
      <c r="C969" s="66"/>
      <c r="D969" s="66"/>
    </row>
    <row r="970" ht="15.75" customHeight="1">
      <c r="C970" s="66"/>
      <c r="D970" s="66"/>
    </row>
    <row r="971" ht="15.75" customHeight="1">
      <c r="C971" s="66"/>
      <c r="D971" s="66"/>
    </row>
    <row r="972" ht="15.75" customHeight="1">
      <c r="C972" s="66"/>
      <c r="D972" s="66"/>
    </row>
    <row r="973" ht="15.75" customHeight="1">
      <c r="C973" s="66"/>
      <c r="D973" s="66"/>
    </row>
    <row r="974" ht="15.75" customHeight="1">
      <c r="C974" s="66"/>
      <c r="D974" s="66"/>
    </row>
    <row r="975" ht="15.75" customHeight="1">
      <c r="C975" s="66"/>
      <c r="D975" s="66"/>
    </row>
    <row r="976" ht="15.75" customHeight="1">
      <c r="C976" s="66"/>
      <c r="D976" s="66"/>
    </row>
    <row r="977" ht="15.75" customHeight="1">
      <c r="C977" s="66"/>
      <c r="D977" s="66"/>
    </row>
    <row r="978" ht="15.75" customHeight="1">
      <c r="C978" s="66"/>
      <c r="D978" s="66"/>
    </row>
    <row r="979" ht="15.75" customHeight="1">
      <c r="C979" s="66"/>
      <c r="D979" s="66"/>
    </row>
    <row r="980" ht="15.75" customHeight="1">
      <c r="C980" s="66"/>
      <c r="D980" s="66"/>
    </row>
    <row r="981" ht="15.75" customHeight="1">
      <c r="C981" s="66"/>
      <c r="D981" s="66"/>
    </row>
    <row r="982" ht="15.75" customHeight="1">
      <c r="C982" s="66"/>
      <c r="D982" s="66"/>
    </row>
    <row r="983" ht="15.75" customHeight="1">
      <c r="C983" s="66"/>
      <c r="D983" s="66"/>
    </row>
    <row r="984" ht="15.75" customHeight="1">
      <c r="C984" s="66"/>
      <c r="D984" s="66"/>
    </row>
    <row r="985" ht="15.75" customHeight="1">
      <c r="C985" s="66"/>
      <c r="D985" s="66"/>
    </row>
    <row r="986" ht="15.75" customHeight="1">
      <c r="C986" s="66"/>
      <c r="D986" s="66"/>
    </row>
    <row r="987" ht="15.75" customHeight="1">
      <c r="C987" s="66"/>
      <c r="D987" s="66"/>
    </row>
    <row r="988" ht="15.75" customHeight="1">
      <c r="C988" s="66"/>
      <c r="D988" s="66"/>
    </row>
    <row r="989" ht="15.75" customHeight="1">
      <c r="C989" s="66"/>
      <c r="D989" s="66"/>
    </row>
    <row r="990" ht="15.75" customHeight="1">
      <c r="C990" s="66"/>
      <c r="D990" s="66"/>
    </row>
    <row r="991" ht="15.75" customHeight="1">
      <c r="C991" s="66"/>
      <c r="D991" s="66"/>
    </row>
    <row r="992" ht="15.75" customHeight="1">
      <c r="C992" s="66"/>
      <c r="D992" s="66"/>
    </row>
    <row r="993" ht="15.75" customHeight="1">
      <c r="C993" s="66"/>
      <c r="D993" s="66"/>
    </row>
    <row r="994" ht="15.75" customHeight="1">
      <c r="C994" s="66"/>
      <c r="D994" s="66"/>
    </row>
    <row r="995" ht="15.75" customHeight="1">
      <c r="C995" s="66"/>
      <c r="D995" s="66"/>
    </row>
    <row r="996" ht="15.75" customHeight="1">
      <c r="C996" s="66"/>
      <c r="D996" s="66"/>
    </row>
    <row r="997" ht="15.75" customHeight="1">
      <c r="C997" s="66"/>
      <c r="D997" s="66"/>
    </row>
    <row r="998" ht="15.75" customHeight="1">
      <c r="C998" s="66"/>
      <c r="D998" s="66"/>
    </row>
    <row r="999" ht="15.75" customHeight="1">
      <c r="C999" s="66"/>
      <c r="D999" s="66"/>
    </row>
    <row r="1000" ht="15.75" customHeight="1">
      <c r="C1000" s="66"/>
      <c r="D1000" s="66"/>
    </row>
  </sheetData>
  <mergeCells count="9">
    <mergeCell ref="L6:M6"/>
    <mergeCell ref="N6:O6"/>
    <mergeCell ref="H5:I5"/>
    <mergeCell ref="J5:K5"/>
    <mergeCell ref="L5:M5"/>
    <mergeCell ref="N5:O5"/>
    <mergeCell ref="P5:Q5"/>
    <mergeCell ref="H6:I6"/>
    <mergeCell ref="J6:K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29"/>
    <col customWidth="1" min="2" max="2" width="22.29"/>
    <col customWidth="1" min="3" max="3" width="16.86"/>
    <col customWidth="1" min="4" max="4" width="24.14"/>
    <col customWidth="1" min="5" max="5" width="27.86"/>
    <col customWidth="1" min="6" max="6" width="29.29"/>
    <col customWidth="1" min="7" max="7" width="11.71"/>
    <col customWidth="1" min="8" max="10" width="9.14"/>
    <col customWidth="1" min="11" max="11" width="10.86"/>
    <col customWidth="1" min="12" max="23" width="9.14"/>
  </cols>
  <sheetData>
    <row r="1" ht="16.5" customHeight="1">
      <c r="A1" s="67" t="s">
        <v>0</v>
      </c>
      <c r="B1" s="68" t="s">
        <v>12</v>
      </c>
      <c r="C1" s="69"/>
      <c r="D1" s="70" t="s">
        <v>50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ht="19.5" customHeight="1">
      <c r="A2" s="72"/>
      <c r="B2" s="73" t="s">
        <v>51</v>
      </c>
      <c r="C2" s="2" t="s">
        <v>3</v>
      </c>
      <c r="D2" s="74" t="s">
        <v>3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3" ht="19.5" customHeight="1">
      <c r="A3" s="4" t="str">
        <f>'ORÇAMENTO_EXECUTIVO'!A3</f>
        <v>INFRAESTRUTURA</v>
      </c>
      <c r="B3" s="5" t="str">
        <f>'ORÇAMENTO_EXECUTIVO'!B3</f>
        <v>#ERROR!</v>
      </c>
      <c r="C3" s="75" t="str">
        <f>'ORÇAMENTO_EXECUTIVO'!D3</f>
        <v>#ERROR!</v>
      </c>
      <c r="D3" s="76" t="str">
        <f>FIXED('CÁLCULO_MÉDIAS'!R10,2,FALSE)&amp;" "&amp;"-"&amp;FIXED('CÁLCULO_MÉDIAS'!S10,2,FALSE)</f>
        <v>140,00 -190,00</v>
      </c>
      <c r="E3" s="3" t="s">
        <v>5</v>
      </c>
      <c r="F3" s="77"/>
      <c r="G3" s="78"/>
      <c r="H3" s="79"/>
      <c r="I3" s="77"/>
      <c r="J3" s="78"/>
      <c r="K3" s="78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</row>
    <row r="4" ht="19.5" customHeight="1">
      <c r="A4" s="11" t="str">
        <f>'ORÇAMENTO_EXECUTIVO'!A4</f>
        <v>SUPRAESTRUTURA</v>
      </c>
      <c r="B4" s="12" t="str">
        <f>'ORÇAMENTO_EXECUTIVO'!B4</f>
        <v>#ERROR!</v>
      </c>
      <c r="C4" s="80" t="str">
        <f>'ORÇAMENTO_EXECUTIVO'!D4</f>
        <v>#ERROR!</v>
      </c>
      <c r="D4" s="81" t="str">
        <f>FIXED('CÁLCULO_MÉDIAS'!R11,2,FALSE)&amp;" "&amp;"-"&amp;FIXED('CÁLCULO_MÉDIAS'!S11,2,FALSE)</f>
        <v>650,00 -750,00</v>
      </c>
      <c r="E4" s="77" t="s">
        <v>52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</row>
    <row r="5" ht="19.5" customHeight="1">
      <c r="A5" s="4" t="str">
        <f>'ORÇAMENTO_EXECUTIVO'!A5</f>
        <v>ALVENARIA</v>
      </c>
      <c r="B5" s="5" t="str">
        <f>'ORÇAMENTO_EXECUTIVO'!B5</f>
        <v>#ERROR!</v>
      </c>
      <c r="C5" s="75" t="str">
        <f>'ORÇAMENTO_EXECUTIVO'!D5</f>
        <v>#ERROR!</v>
      </c>
      <c r="D5" s="76" t="str">
        <f>FIXED('CÁLCULO_MÉDIAS'!R12,2,FALSE)&amp;" "&amp;"-"&amp;FIXED('CÁLCULO_MÉDIAS'!S12,2,FALSE)</f>
        <v>110,00 -150,00</v>
      </c>
      <c r="E5" s="77" t="s">
        <v>5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</row>
    <row r="6" ht="19.5" customHeight="1">
      <c r="A6" s="11" t="str">
        <f>'ORÇAMENTO_EXECUTIVO'!A6</f>
        <v>INSTALAÇÕES ELÉTRICAS, HIDRÁULICAS, GLP E PREVENTIVAS</v>
      </c>
      <c r="B6" s="12" t="str">
        <f>'ORÇAMENTO_EXECUTIVO'!B6</f>
        <v>#ERROR!</v>
      </c>
      <c r="C6" s="80" t="str">
        <f>'ORÇAMENTO_EXECUTIVO'!D6</f>
        <v>#ERROR!</v>
      </c>
      <c r="D6" s="81" t="str">
        <f>FIXED('CÁLCULO_MÉDIAS'!R13,2,FALSE)&amp;" "&amp;"-"&amp;FIXED('CÁLCULO_MÉDIAS'!S13,2,FALSE)</f>
        <v>280,00 -350,00</v>
      </c>
      <c r="E6" s="77" t="s">
        <v>5</v>
      </c>
      <c r="F6" s="77" t="s">
        <v>53</v>
      </c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Z6" s="82" t="s">
        <v>54</v>
      </c>
    </row>
    <row r="7" ht="19.5" customHeight="1">
      <c r="A7" s="4" t="str">
        <f>'ORÇAMENTO_EXECUTIVO'!A7</f>
        <v>EQUIPAMENTOS E SISTEMAS ESPECIAIS</v>
      </c>
      <c r="B7" s="5" t="str">
        <f>'ORÇAMENTO_EXECUTIVO'!B7</f>
        <v>#ERROR!</v>
      </c>
      <c r="C7" s="75" t="str">
        <f>'ORÇAMENTO_EXECUTIVO'!D7</f>
        <v>#ERROR!</v>
      </c>
      <c r="D7" s="76" t="str">
        <f>FIXED('CÁLCULO_MÉDIAS'!R14,2,FALSE)&amp;" "&amp;"-"&amp;FIXED('CÁLCULO_MÉDIAS'!S14,2,FALSE)</f>
        <v>130,00 -180,00</v>
      </c>
      <c r="E7" s="77" t="s">
        <v>5</v>
      </c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Z7" s="82" t="s">
        <v>55</v>
      </c>
    </row>
    <row r="8" ht="19.5" customHeight="1">
      <c r="A8" s="11" t="str">
        <f>'ORÇAMENTO_EXECUTIVO'!A8</f>
        <v>IMPERMEABILIZAÇÃO</v>
      </c>
      <c r="B8" s="12" t="str">
        <f>'ORÇAMENTO_EXECUTIVO'!B8</f>
        <v>#ERROR!</v>
      </c>
      <c r="C8" s="80" t="str">
        <f>'ORÇAMENTO_EXECUTIVO'!D8</f>
        <v>#ERROR!</v>
      </c>
      <c r="D8" s="81" t="str">
        <f>FIXED('CÁLCULO_MÉDIAS'!R15,2,FALSE)&amp;" "&amp;"-"&amp;FIXED('CÁLCULO_MÉDIAS'!S15,2,FALSE)</f>
        <v>30,00 -70,00</v>
      </c>
      <c r="E8" s="77" t="s">
        <v>5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</row>
    <row r="9" ht="19.5" customHeight="1">
      <c r="A9" s="4" t="str">
        <f>'ORÇAMENTO_EXECUTIVO'!A9</f>
        <v>REVESTIMENTOS INTERNOS EM PISO E PAREDE</v>
      </c>
      <c r="B9" s="5" t="str">
        <f>'ORÇAMENTO_EXECUTIVO'!B9</f>
        <v>#ERROR!</v>
      </c>
      <c r="C9" s="75" t="str">
        <f>'ORÇAMENTO_EXECUTIVO'!D9</f>
        <v>#ERROR!</v>
      </c>
      <c r="D9" s="76" t="str">
        <f>FIXED('CÁLCULO_MÉDIAS'!R16,2,FALSE)&amp;" "&amp;"-"&amp;FIXED('CÁLCULO_MÉDIAS'!S16,2,FALSE)</f>
        <v>135,00 -180,00</v>
      </c>
      <c r="E9" s="77" t="s">
        <v>5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</row>
    <row r="10" ht="19.5" customHeight="1">
      <c r="A10" s="11" t="str">
        <f>'ORÇAMENTO_EXECUTIVO'!A10</f>
        <v>REVESTIMENTOS E ACABAMENTOS INTERNOS EM TETO</v>
      </c>
      <c r="B10" s="12" t="str">
        <f>'ORÇAMENTO_EXECUTIVO'!B10</f>
        <v>#ERROR!</v>
      </c>
      <c r="C10" s="80" t="str">
        <f>'ORÇAMENTO_EXECUTIVO'!D10</f>
        <v>#ERROR!</v>
      </c>
      <c r="D10" s="81" t="str">
        <f>FIXED('CÁLCULO_MÉDIAS'!R17,2,FALSE)&amp;" "&amp;"-"&amp;FIXED('CÁLCULO_MÉDIAS'!S17,2,FALSE)</f>
        <v>50,00 -80,00</v>
      </c>
      <c r="E10" s="77" t="s">
        <v>5</v>
      </c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</row>
    <row r="11" ht="19.5" customHeight="1">
      <c r="A11" s="4" t="str">
        <f>'ORÇAMENTO_EXECUTIVO'!A11</f>
        <v>ACABAMENTOS EM PISO E PAREDE</v>
      </c>
      <c r="B11" s="5" t="str">
        <f>'ORÇAMENTO_EXECUTIVO'!B11</f>
        <v>#ERROR!</v>
      </c>
      <c r="C11" s="75" t="str">
        <f>'ORÇAMENTO_EXECUTIVO'!D11</f>
        <v>#ERROR!</v>
      </c>
      <c r="D11" s="76" t="str">
        <f>FIXED('CÁLCULO_MÉDIAS'!R18,2,FALSE)&amp;" "&amp;"-"&amp;FIXED('CÁLCULO_MÉDIAS'!S18,2,FALSE)</f>
        <v>140,00 -180,00</v>
      </c>
      <c r="E11" s="77" t="s">
        <v>56</v>
      </c>
      <c r="F11" s="77" t="s">
        <v>57</v>
      </c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</row>
    <row r="12" ht="19.5" customHeight="1">
      <c r="A12" s="11" t="str">
        <f>'ORÇAMENTO_EXECUTIVO'!A12</f>
        <v>PINTURA INTERNA</v>
      </c>
      <c r="B12" s="12" t="str">
        <f>'ORÇAMENTO_EXECUTIVO'!B12</f>
        <v>#ERROR!</v>
      </c>
      <c r="C12" s="80" t="str">
        <f>'ORÇAMENTO_EXECUTIVO'!D12</f>
        <v>#ERROR!</v>
      </c>
      <c r="D12" s="81" t="str">
        <f>FIXED('CÁLCULO_MÉDIAS'!R19,2,FALSE)&amp;" "&amp;"-"&amp;FIXED('CÁLCULO_MÉDIAS'!S19,2,FALSE)</f>
        <v>130,00 -180,00</v>
      </c>
      <c r="E12" s="77" t="s">
        <v>5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</row>
    <row r="13" ht="19.5" customHeight="1">
      <c r="A13" s="4" t="str">
        <f>'ORÇAMENTO_EXECUTIVO'!A13</f>
        <v>ESQUADRIAS, VIDROS E FERRAGENS</v>
      </c>
      <c r="B13" s="5" t="str">
        <f>'ORÇAMENTO_EXECUTIVO'!B13</f>
        <v>#ERROR!</v>
      </c>
      <c r="C13" s="75" t="str">
        <f>'ORÇAMENTO_EXECUTIVO'!D13</f>
        <v>#ERROR!</v>
      </c>
      <c r="D13" s="76" t="str">
        <f>FIXED('CÁLCULO_MÉDIAS'!R20,2,FALSE)&amp;" "&amp;"-"&amp;FIXED('CÁLCULO_MÉDIAS'!S20,2,FALSE)</f>
        <v>230,00 -280,00</v>
      </c>
      <c r="E13" s="77" t="s">
        <v>5</v>
      </c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</row>
    <row r="14" ht="19.5" customHeight="1">
      <c r="A14" s="11" t="str">
        <f>'ORÇAMENTO_EXECUTIVO'!A14</f>
        <v>COBERTURA</v>
      </c>
      <c r="B14" s="12" t="str">
        <f>'ORÇAMENTO_EXECUTIVO'!B14</f>
        <v>#ERROR!</v>
      </c>
      <c r="C14" s="80" t="str">
        <f>'ORÇAMENTO_EXECUTIVO'!D14</f>
        <v>#ERROR!</v>
      </c>
      <c r="D14" s="81" t="str">
        <f>FIXED('CÁLCULO_MÉDIAS'!R21,2,FALSE)&amp;" "&amp;"-"&amp;FIXED('CÁLCULO_MÉDIAS'!S21,2,FALSE)</f>
        <v>5,00 -12,00</v>
      </c>
      <c r="E14" s="77" t="s">
        <v>58</v>
      </c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</row>
    <row r="15" ht="19.5" customHeight="1">
      <c r="A15" s="4" t="str">
        <f>'ORÇAMENTO_EXECUTIVO'!A15</f>
        <v>REVESTIMENTOS E ACABAMENTOS DE FACHADA</v>
      </c>
      <c r="B15" s="5" t="str">
        <f>'ORÇAMENTO_EXECUTIVO'!B15</f>
        <v>#ERROR!</v>
      </c>
      <c r="C15" s="75" t="str">
        <f>'ORÇAMENTO_EXECUTIVO'!D15</f>
        <v>#ERROR!</v>
      </c>
      <c r="D15" s="76" t="str">
        <f>FIXED('CÁLCULO_MÉDIAS'!R22,2,FALSE)&amp;" "&amp;"-"&amp;FIXED('CÁLCULO_MÉDIAS'!S22,2,FALSE)</f>
        <v>100,00 -170,00</v>
      </c>
      <c r="E15" s="77" t="s">
        <v>59</v>
      </c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</row>
    <row r="16" ht="19.5" customHeight="1">
      <c r="A16" s="83" t="str">
        <f>'ORÇAMENTO_EXECUTIVO'!A16</f>
        <v>SERVIÇOS COMPLEMENTARES</v>
      </c>
      <c r="B16" s="84" t="str">
        <f>'ORÇAMENTO_EXECUTIVO'!B16</f>
        <v>#ERROR!</v>
      </c>
      <c r="C16" s="85" t="str">
        <f>'ORÇAMENTO_EXECUTIVO'!D16</f>
        <v>#ERROR!</v>
      </c>
      <c r="D16" s="81" t="str">
        <f>FIXED('CÁLCULO_MÉDIAS'!R23,2,FALSE)&amp;" "&amp;"-"&amp;FIXED('CÁLCULO_MÉDIAS'!S23,2,FALSE)</f>
        <v>120,00 -170,00</v>
      </c>
      <c r="E16" s="77" t="s">
        <v>5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</row>
    <row r="17" ht="19.5" customHeight="1">
      <c r="A17" s="86" t="s">
        <v>40</v>
      </c>
      <c r="B17" s="87" t="str">
        <f t="shared" ref="B17:C17" si="1">SUM(B3:B16)</f>
        <v>#ERROR!</v>
      </c>
      <c r="C17" s="88" t="str">
        <f t="shared" si="1"/>
        <v>#ERROR!</v>
      </c>
      <c r="D17" s="89" t="str">
        <f>FIXED('CÁLCULO_MÉDIAS'!R24,2,FALSE)&amp;" "&amp;"-"&amp;FIXED('CÁLCULO_MÉDIAS'!S24,2,FALSE)</f>
        <v>2.510,00 -3.292,00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</row>
    <row r="18" ht="21.75" customHeight="1">
      <c r="A18" s="71"/>
      <c r="B18" s="90"/>
      <c r="C18" s="71"/>
      <c r="D18" s="9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</row>
    <row r="19" ht="21.75" customHeight="1">
      <c r="A19" s="71"/>
      <c r="B19" s="90"/>
      <c r="C19" s="71"/>
      <c r="D19" s="9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</row>
    <row r="20" ht="21.75" customHeight="1">
      <c r="A20" s="71" t="s">
        <v>30</v>
      </c>
      <c r="B20" s="90" t="str">
        <f>[1]ORÇAMENTO_EXECUTIVO!$D$171+[1]ORÇAMENTO_EXECUTIVO!$D$196+[1]ORÇAMENTO_EXECUTIVO!$D$218+[1]ORÇAMENTO_EXECUTIVO!$D$240+[1]ORÇAMENTO_EXECUTIVO!$D$262+[1]ORÇAMENTO_EXECUTIVO!$D$283+[1]ORÇAMENTO_EXECUTIVO!$D$304+[1]ORÇAMENTO_EXECUTIVO!$D$325+[1]ORÇAMENTO_EXECUTIVO!$D$344</f>
        <v>#ERROR!</v>
      </c>
      <c r="C20" s="90" t="str">
        <f>B20/'ORÇAMENTO_EXECUTIVO'!G2</f>
        <v>#ERROR!</v>
      </c>
      <c r="D20" s="9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</row>
    <row r="21" ht="21.75" customHeight="1">
      <c r="A21" s="71" t="s">
        <v>32</v>
      </c>
      <c r="B21" s="90" t="str">
        <f>SUM([1]ORÇAMENTO_EXECUTIVO!$D$330:$D$337,[1]ORÇAMENTO_EXECUTIVO!$D$310:$D$317,[1]ORÇAMENTO_EXECUTIVO!$D$289:$D$296,[1]ORÇAMENTO_EXECUTIVO!$D$268:$D$275,[1]ORÇAMENTO_EXECUTIVO!$D$247:$D$254,[1]ORÇAMENTO_EXECUTIVO!$D$225:$D$232,[1]ORÇAMENTO_EXECUTIVO!$D$203:$D$210,[1]ORÇAMENTO_EXECUTIVO!$D$179:$D$186,[1]ORÇAMENTO_EXECUTIVO!$D$157:$D$164)</f>
        <v>#ERROR!</v>
      </c>
      <c r="C21" s="71" t="str">
        <f>B21/B20</f>
        <v>#ERROR!</v>
      </c>
      <c r="D21" s="9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</row>
    <row r="22" ht="21.75" customHeight="1">
      <c r="A22" s="71" t="s">
        <v>34</v>
      </c>
      <c r="B22" s="90" t="str">
        <f>SUM([1]ORÇAMENTO_EXECUTIVO!$D$166:$D$167,[1]ORÇAMENTO_EXECUTIVO!$D$190:$D$192,[1]ORÇAMENTO_EXECUTIVO!$D$194,[1]ORÇAMENTO_EXECUTIVO!$D$212:$D$214,[1]ORÇAMENTO_EXECUTIVO!$D$216,[1]ORÇAMENTO_EXECUTIVO!$D$234:$D$236,[1]ORÇAMENTO_EXECUTIVO!$D$238,[1]ORÇAMENTO_EXECUTIVO!$D$256:$D$258,[1]ORÇAMENTO_EXECUTIVO!$D$260,[1]ORÇAMENTO_EXECUTIVO!$D$277:$D$279,[1]ORÇAMENTO_EXECUTIVO!$D$281,[1]ORÇAMENTO_EXECUTIVO!$D$298:$D$300,[1]ORÇAMENTO_EXECUTIVO!$D$302,[1]ORÇAMENTO_EXECUTIVO!$D$319:$D$320,[1]ORÇAMENTO_EXECUTIVO!$D$322:$D$323,[1]ORÇAMENTO_EXECUTIVO!$D$339:$D$340,[1]ORÇAMENTO_EXECUTIVO!$D$342)</f>
        <v>#ERROR!</v>
      </c>
      <c r="C22" s="90" t="str">
        <f>B22/'ORÇAMENTO_EXECUTIVO'!G2</f>
        <v>#ERROR!</v>
      </c>
      <c r="D22" s="9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</row>
    <row r="23" ht="21.75" customHeight="1">
      <c r="A23" s="71"/>
      <c r="B23" s="90"/>
      <c r="C23" s="71"/>
      <c r="D23" s="9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</row>
    <row r="24" ht="21.75" customHeight="1">
      <c r="A24" s="71"/>
      <c r="B24" s="90"/>
      <c r="C24" s="71"/>
      <c r="D24" s="9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</row>
    <row r="25" ht="21.75" customHeight="1">
      <c r="A25" s="71"/>
      <c r="B25" s="90"/>
      <c r="C25" s="71"/>
      <c r="D25" s="9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</row>
    <row r="26" ht="21.75" customHeight="1">
      <c r="A26" s="71"/>
      <c r="B26" s="90"/>
      <c r="C26" s="71"/>
      <c r="D26" s="9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</row>
    <row r="27" ht="21.75" customHeight="1">
      <c r="A27" s="71"/>
      <c r="B27" s="90"/>
      <c r="C27" s="71"/>
      <c r="D27" s="9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</row>
    <row r="28" ht="21.75" customHeight="1">
      <c r="A28" s="71"/>
      <c r="B28" s="90"/>
      <c r="C28" s="71"/>
      <c r="D28" s="9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</row>
    <row r="29" ht="21.75" customHeight="1">
      <c r="A29" s="71"/>
      <c r="B29" s="90"/>
      <c r="C29" s="71"/>
      <c r="D29" s="9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</row>
    <row r="30" ht="21.75" customHeight="1">
      <c r="A30" s="71"/>
      <c r="B30" s="90"/>
      <c r="C30" s="71"/>
      <c r="D30" s="9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</row>
    <row r="31" ht="21.75" customHeight="1">
      <c r="A31" s="71"/>
      <c r="B31" s="90"/>
      <c r="C31" s="71"/>
      <c r="D31" s="9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</row>
    <row r="32" ht="21.75" customHeight="1">
      <c r="A32" s="71"/>
      <c r="B32" s="90"/>
      <c r="C32" s="71"/>
      <c r="D32" s="9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</row>
    <row r="33" ht="21.75" customHeight="1">
      <c r="A33" s="71"/>
      <c r="B33" s="90"/>
      <c r="C33" s="71"/>
      <c r="D33" s="9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</row>
    <row r="34" ht="21.75" customHeight="1">
      <c r="A34" s="71"/>
      <c r="B34" s="90"/>
      <c r="C34" s="71"/>
      <c r="D34" s="9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</row>
    <row r="35" ht="21.75" customHeight="1">
      <c r="A35" s="71"/>
      <c r="B35" s="90"/>
      <c r="C35" s="71"/>
      <c r="D35" s="9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</row>
    <row r="36" ht="21.75" customHeight="1">
      <c r="A36" s="71"/>
      <c r="B36" s="90"/>
      <c r="C36" s="71"/>
      <c r="D36" s="9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</row>
    <row r="37" ht="21.75" customHeight="1">
      <c r="A37" s="71"/>
      <c r="B37" s="90"/>
      <c r="C37" s="71"/>
      <c r="D37" s="9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</row>
    <row r="38" ht="21.75" customHeight="1">
      <c r="A38" s="71"/>
      <c r="B38" s="90"/>
      <c r="C38" s="71"/>
      <c r="D38" s="9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</row>
    <row r="39" ht="21.75" customHeight="1">
      <c r="A39" s="71"/>
      <c r="B39" s="90"/>
      <c r="C39" s="71"/>
      <c r="D39" s="9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</row>
    <row r="40" ht="21.75" customHeight="1">
      <c r="A40" s="71"/>
      <c r="B40" s="90"/>
      <c r="C40" s="71"/>
      <c r="D40" s="9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</row>
    <row r="41" ht="21.75" customHeight="1">
      <c r="A41" s="71"/>
      <c r="B41" s="90"/>
      <c r="C41" s="71"/>
      <c r="D41" s="9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</row>
    <row r="42" ht="21.75" customHeight="1">
      <c r="A42" s="71"/>
      <c r="B42" s="90"/>
      <c r="C42" s="71"/>
      <c r="D42" s="9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</row>
    <row r="43" ht="21.75" customHeight="1">
      <c r="A43" s="71"/>
      <c r="B43" s="90"/>
      <c r="C43" s="71"/>
      <c r="D43" s="9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</row>
    <row r="44" ht="21.75" customHeight="1">
      <c r="A44" s="71"/>
      <c r="B44" s="90"/>
      <c r="C44" s="71"/>
      <c r="D44" s="9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</row>
    <row r="45" ht="21.75" customHeight="1">
      <c r="A45" s="71"/>
      <c r="B45" s="90"/>
      <c r="C45" s="71"/>
      <c r="D45" s="9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</row>
    <row r="46" ht="21.75" customHeight="1">
      <c r="A46" s="71"/>
      <c r="B46" s="90"/>
      <c r="C46" s="71"/>
      <c r="D46" s="9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</row>
    <row r="47" ht="21.75" customHeight="1">
      <c r="A47" s="71"/>
      <c r="B47" s="90"/>
      <c r="C47" s="71"/>
      <c r="D47" s="9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</row>
    <row r="48" ht="21.75" customHeight="1">
      <c r="A48" s="71"/>
      <c r="B48" s="90"/>
      <c r="C48" s="71"/>
      <c r="D48" s="9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</row>
    <row r="49" ht="21.75" customHeight="1">
      <c r="A49" s="71"/>
      <c r="B49" s="90"/>
      <c r="C49" s="71"/>
      <c r="D49" s="9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</row>
    <row r="50" ht="21.75" customHeight="1">
      <c r="A50" s="71"/>
      <c r="B50" s="90"/>
      <c r="C50" s="71"/>
      <c r="D50" s="9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</row>
    <row r="51" ht="21.75" customHeight="1">
      <c r="A51" s="71"/>
      <c r="B51" s="90"/>
      <c r="C51" s="71"/>
      <c r="D51" s="9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</row>
    <row r="52" ht="21.75" customHeight="1">
      <c r="A52" s="71"/>
      <c r="B52" s="90"/>
      <c r="C52" s="71"/>
      <c r="D52" s="9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</row>
    <row r="53" ht="21.75" customHeight="1">
      <c r="A53" s="71"/>
      <c r="B53" s="90"/>
      <c r="C53" s="71"/>
      <c r="D53" s="9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</row>
    <row r="54" ht="21.75" customHeight="1">
      <c r="A54" s="71"/>
      <c r="B54" s="90"/>
      <c r="C54" s="71"/>
      <c r="D54" s="9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</row>
    <row r="55" ht="21.75" customHeight="1">
      <c r="A55" s="71"/>
      <c r="B55" s="90"/>
      <c r="C55" s="71"/>
      <c r="D55" s="9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</row>
    <row r="56" ht="21.75" customHeight="1">
      <c r="A56" s="71"/>
      <c r="B56" s="90"/>
      <c r="C56" s="71"/>
      <c r="D56" s="9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</row>
    <row r="57" ht="21.75" customHeight="1">
      <c r="A57" s="71"/>
      <c r="B57" s="90"/>
      <c r="C57" s="71"/>
      <c r="D57" s="9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</row>
    <row r="58" ht="21.75" customHeight="1">
      <c r="A58" s="71"/>
      <c r="B58" s="90"/>
      <c r="C58" s="71"/>
      <c r="D58" s="9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</row>
    <row r="59" ht="21.75" customHeight="1">
      <c r="A59" s="71"/>
      <c r="B59" s="90"/>
      <c r="C59" s="71"/>
      <c r="D59" s="9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</row>
    <row r="60" ht="21.75" customHeight="1">
      <c r="A60" s="71"/>
      <c r="B60" s="90"/>
      <c r="C60" s="71"/>
      <c r="D60" s="9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</row>
    <row r="61" ht="21.75" customHeight="1">
      <c r="A61" s="71"/>
      <c r="B61" s="90"/>
      <c r="C61" s="71"/>
      <c r="D61" s="9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</row>
    <row r="62" ht="21.75" customHeight="1">
      <c r="A62" s="71"/>
      <c r="B62" s="90"/>
      <c r="C62" s="71"/>
      <c r="D62" s="9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</row>
    <row r="63" ht="21.75" customHeight="1">
      <c r="A63" s="71"/>
      <c r="B63" s="90"/>
      <c r="C63" s="71"/>
      <c r="D63" s="9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</row>
    <row r="64" ht="21.75" customHeight="1">
      <c r="A64" s="71"/>
      <c r="B64" s="90"/>
      <c r="C64" s="71"/>
      <c r="D64" s="9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</row>
    <row r="65" ht="21.75" customHeight="1">
      <c r="A65" s="71"/>
      <c r="B65" s="90"/>
      <c r="C65" s="71"/>
      <c r="D65" s="9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</row>
    <row r="66" ht="21.75" customHeight="1">
      <c r="A66" s="71"/>
      <c r="B66" s="90"/>
      <c r="C66" s="71"/>
      <c r="D66" s="9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</row>
    <row r="67" ht="21.75" customHeight="1">
      <c r="A67" s="71"/>
      <c r="B67" s="90"/>
      <c r="C67" s="71"/>
      <c r="D67" s="9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</row>
    <row r="68" ht="21.75" customHeight="1">
      <c r="A68" s="71"/>
      <c r="B68" s="90"/>
      <c r="C68" s="71"/>
      <c r="D68" s="9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</row>
    <row r="69" ht="21.75" customHeight="1">
      <c r="A69" s="71"/>
      <c r="B69" s="90"/>
      <c r="C69" s="71"/>
      <c r="D69" s="9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</row>
    <row r="70" ht="21.75" customHeight="1">
      <c r="A70" s="71"/>
      <c r="B70" s="90"/>
      <c r="C70" s="71"/>
      <c r="D70" s="9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</row>
    <row r="71" ht="21.75" customHeight="1">
      <c r="A71" s="71"/>
      <c r="B71" s="90"/>
      <c r="C71" s="71"/>
      <c r="D71" s="9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</row>
    <row r="72" ht="21.75" customHeight="1">
      <c r="A72" s="71"/>
      <c r="B72" s="90"/>
      <c r="C72" s="71"/>
      <c r="D72" s="9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</row>
    <row r="73" ht="21.75" customHeight="1">
      <c r="A73" s="71"/>
      <c r="B73" s="90"/>
      <c r="C73" s="71"/>
      <c r="D73" s="9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</row>
    <row r="74" ht="21.75" customHeight="1">
      <c r="A74" s="71"/>
      <c r="B74" s="90"/>
      <c r="C74" s="71"/>
      <c r="D74" s="9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</row>
    <row r="75" ht="21.75" customHeight="1">
      <c r="A75" s="71"/>
      <c r="B75" s="90"/>
      <c r="C75" s="71"/>
      <c r="D75" s="9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</row>
    <row r="76" ht="21.75" customHeight="1">
      <c r="A76" s="71"/>
      <c r="B76" s="90"/>
      <c r="C76" s="71"/>
      <c r="D76" s="9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</row>
    <row r="77" ht="21.75" customHeight="1">
      <c r="A77" s="71"/>
      <c r="B77" s="90"/>
      <c r="C77" s="71"/>
      <c r="D77" s="9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</row>
    <row r="78" ht="21.75" customHeight="1">
      <c r="A78" s="71"/>
      <c r="B78" s="90"/>
      <c r="C78" s="71"/>
      <c r="D78" s="9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</row>
    <row r="79" ht="21.75" customHeight="1">
      <c r="A79" s="71"/>
      <c r="B79" s="90"/>
      <c r="C79" s="71"/>
      <c r="D79" s="9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</row>
    <row r="80" ht="21.75" customHeight="1">
      <c r="A80" s="71"/>
      <c r="B80" s="90"/>
      <c r="C80" s="71"/>
      <c r="D80" s="9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</row>
    <row r="81" ht="21.75" customHeight="1">
      <c r="A81" s="71"/>
      <c r="B81" s="90"/>
      <c r="C81" s="71"/>
      <c r="D81" s="9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</row>
    <row r="82" ht="21.75" customHeight="1">
      <c r="A82" s="71"/>
      <c r="B82" s="90"/>
      <c r="C82" s="71"/>
      <c r="D82" s="9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</row>
    <row r="83" ht="21.75" customHeight="1">
      <c r="A83" s="71"/>
      <c r="B83" s="90"/>
      <c r="C83" s="71"/>
      <c r="D83" s="9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</row>
    <row r="84" ht="21.75" customHeight="1">
      <c r="A84" s="71"/>
      <c r="B84" s="90"/>
      <c r="C84" s="71"/>
      <c r="D84" s="9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</row>
    <row r="85" ht="21.75" customHeight="1">
      <c r="A85" s="71"/>
      <c r="B85" s="90"/>
      <c r="C85" s="71"/>
      <c r="D85" s="9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</row>
    <row r="86" ht="21.75" customHeight="1">
      <c r="A86" s="71"/>
      <c r="B86" s="90"/>
      <c r="C86" s="71"/>
      <c r="D86" s="9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</row>
    <row r="87" ht="21.75" customHeight="1">
      <c r="A87" s="71"/>
      <c r="B87" s="90"/>
      <c r="C87" s="71"/>
      <c r="D87" s="9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</row>
    <row r="88" ht="21.75" customHeight="1">
      <c r="A88" s="71"/>
      <c r="B88" s="90"/>
      <c r="C88" s="71"/>
      <c r="D88" s="9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</row>
    <row r="89" ht="21.75" customHeight="1">
      <c r="A89" s="71"/>
      <c r="B89" s="90"/>
      <c r="C89" s="71"/>
      <c r="D89" s="9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</row>
    <row r="90" ht="21.75" customHeight="1">
      <c r="A90" s="71"/>
      <c r="B90" s="90"/>
      <c r="C90" s="71"/>
      <c r="D90" s="9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</row>
    <row r="91" ht="21.75" customHeight="1">
      <c r="A91" s="71"/>
      <c r="B91" s="90"/>
      <c r="C91" s="71"/>
      <c r="D91" s="9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</row>
    <row r="92" ht="21.75" customHeight="1">
      <c r="A92" s="71"/>
      <c r="B92" s="90"/>
      <c r="C92" s="71"/>
      <c r="D92" s="9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</row>
    <row r="93" ht="21.75" customHeight="1">
      <c r="A93" s="71"/>
      <c r="B93" s="90"/>
      <c r="C93" s="71"/>
      <c r="D93" s="9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</row>
    <row r="94" ht="21.75" customHeight="1">
      <c r="A94" s="71"/>
      <c r="B94" s="90"/>
      <c r="C94" s="71"/>
      <c r="D94" s="9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</row>
    <row r="95" ht="21.75" customHeight="1">
      <c r="A95" s="71"/>
      <c r="B95" s="90"/>
      <c r="C95" s="71"/>
      <c r="D95" s="9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</row>
    <row r="96" ht="21.75" customHeight="1">
      <c r="A96" s="71"/>
      <c r="B96" s="90"/>
      <c r="C96" s="71"/>
      <c r="D96" s="9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</row>
    <row r="97" ht="21.75" customHeight="1">
      <c r="A97" s="71"/>
      <c r="B97" s="90"/>
      <c r="C97" s="71"/>
      <c r="D97" s="9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</row>
    <row r="98" ht="21.75" customHeight="1">
      <c r="A98" s="71"/>
      <c r="B98" s="90"/>
      <c r="C98" s="71"/>
      <c r="D98" s="9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</row>
    <row r="99" ht="21.75" customHeight="1">
      <c r="A99" s="71"/>
      <c r="B99" s="90"/>
      <c r="C99" s="71"/>
      <c r="D99" s="9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</row>
    <row r="100" ht="21.75" customHeight="1">
      <c r="A100" s="71"/>
      <c r="B100" s="90"/>
      <c r="C100" s="71"/>
      <c r="D100" s="9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</row>
    <row r="101" ht="21.75" customHeight="1">
      <c r="A101" s="71"/>
      <c r="B101" s="90"/>
      <c r="C101" s="71"/>
      <c r="D101" s="9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</row>
    <row r="102" ht="21.75" customHeight="1">
      <c r="A102" s="71"/>
      <c r="B102" s="90"/>
      <c r="C102" s="71"/>
      <c r="D102" s="9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</row>
    <row r="103" ht="21.75" customHeight="1">
      <c r="A103" s="71"/>
      <c r="B103" s="90"/>
      <c r="C103" s="71"/>
      <c r="D103" s="9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</row>
    <row r="104" ht="21.75" customHeight="1">
      <c r="A104" s="71"/>
      <c r="B104" s="90"/>
      <c r="C104" s="71"/>
      <c r="D104" s="9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</row>
    <row r="105" ht="21.75" customHeight="1">
      <c r="A105" s="71"/>
      <c r="B105" s="90"/>
      <c r="C105" s="71"/>
      <c r="D105" s="9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</row>
    <row r="106" ht="21.75" customHeight="1">
      <c r="A106" s="71"/>
      <c r="B106" s="90"/>
      <c r="C106" s="71"/>
      <c r="D106" s="9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</row>
    <row r="107" ht="21.75" customHeight="1">
      <c r="A107" s="71"/>
      <c r="B107" s="90"/>
      <c r="C107" s="71"/>
      <c r="D107" s="9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</row>
    <row r="108" ht="21.75" customHeight="1">
      <c r="A108" s="71"/>
      <c r="B108" s="90"/>
      <c r="C108" s="71"/>
      <c r="D108" s="9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</row>
    <row r="109" ht="21.75" customHeight="1">
      <c r="A109" s="71"/>
      <c r="B109" s="90"/>
      <c r="C109" s="71"/>
      <c r="D109" s="9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</row>
    <row r="110" ht="21.75" customHeight="1">
      <c r="A110" s="71"/>
      <c r="B110" s="90"/>
      <c r="C110" s="71"/>
      <c r="D110" s="9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</row>
    <row r="111" ht="21.75" customHeight="1">
      <c r="A111" s="71"/>
      <c r="B111" s="90"/>
      <c r="C111" s="71"/>
      <c r="D111" s="9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</row>
    <row r="112" ht="21.75" customHeight="1">
      <c r="A112" s="71"/>
      <c r="B112" s="90"/>
      <c r="C112" s="71"/>
      <c r="D112" s="9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</row>
    <row r="113" ht="21.75" customHeight="1">
      <c r="A113" s="71"/>
      <c r="B113" s="90"/>
      <c r="C113" s="71"/>
      <c r="D113" s="9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</row>
    <row r="114" ht="21.75" customHeight="1">
      <c r="A114" s="71"/>
      <c r="B114" s="90"/>
      <c r="C114" s="71"/>
      <c r="D114" s="9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</row>
    <row r="115" ht="21.75" customHeight="1">
      <c r="A115" s="71"/>
      <c r="B115" s="90"/>
      <c r="C115" s="71"/>
      <c r="D115" s="9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</row>
    <row r="116" ht="21.75" customHeight="1">
      <c r="A116" s="71"/>
      <c r="B116" s="90"/>
      <c r="C116" s="71"/>
      <c r="D116" s="9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</row>
    <row r="117" ht="21.75" customHeight="1">
      <c r="A117" s="71"/>
      <c r="B117" s="90"/>
      <c r="C117" s="71"/>
      <c r="D117" s="9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</row>
    <row r="118" ht="21.75" customHeight="1">
      <c r="A118" s="71"/>
      <c r="B118" s="90"/>
      <c r="C118" s="71"/>
      <c r="D118" s="9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</row>
    <row r="119" ht="21.75" customHeight="1">
      <c r="A119" s="71"/>
      <c r="B119" s="90"/>
      <c r="C119" s="71"/>
      <c r="D119" s="9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</row>
    <row r="120" ht="21.75" customHeight="1">
      <c r="A120" s="71"/>
      <c r="B120" s="90"/>
      <c r="C120" s="71"/>
      <c r="D120" s="9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</row>
    <row r="121" ht="21.75" customHeight="1">
      <c r="A121" s="71"/>
      <c r="B121" s="90"/>
      <c r="C121" s="71"/>
      <c r="D121" s="9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</row>
    <row r="122" ht="21.75" customHeight="1">
      <c r="A122" s="71"/>
      <c r="B122" s="90"/>
      <c r="C122" s="71"/>
      <c r="D122" s="9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</row>
    <row r="123" ht="21.75" customHeight="1">
      <c r="A123" s="71"/>
      <c r="B123" s="90"/>
      <c r="C123" s="71"/>
      <c r="D123" s="9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</row>
    <row r="124" ht="21.75" customHeight="1">
      <c r="A124" s="71"/>
      <c r="B124" s="90"/>
      <c r="C124" s="71"/>
      <c r="D124" s="9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</row>
    <row r="125" ht="21.75" customHeight="1">
      <c r="A125" s="71"/>
      <c r="B125" s="90"/>
      <c r="C125" s="71"/>
      <c r="D125" s="9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</row>
    <row r="126" ht="21.75" customHeight="1">
      <c r="A126" s="71"/>
      <c r="B126" s="90"/>
      <c r="C126" s="71"/>
      <c r="D126" s="9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</row>
    <row r="127" ht="21.75" customHeight="1">
      <c r="A127" s="71"/>
      <c r="B127" s="90"/>
      <c r="C127" s="71"/>
      <c r="D127" s="9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</row>
    <row r="128" ht="21.75" customHeight="1">
      <c r="A128" s="71"/>
      <c r="B128" s="90"/>
      <c r="C128" s="71"/>
      <c r="D128" s="9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</row>
    <row r="129" ht="21.75" customHeight="1">
      <c r="A129" s="71"/>
      <c r="B129" s="90"/>
      <c r="C129" s="71"/>
      <c r="D129" s="9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</row>
    <row r="130" ht="21.75" customHeight="1">
      <c r="A130" s="71"/>
      <c r="B130" s="90"/>
      <c r="C130" s="71"/>
      <c r="D130" s="9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</row>
    <row r="131" ht="21.75" customHeight="1">
      <c r="A131" s="71"/>
      <c r="B131" s="90"/>
      <c r="C131" s="71"/>
      <c r="D131" s="9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</row>
    <row r="132" ht="21.75" customHeight="1">
      <c r="A132" s="71"/>
      <c r="B132" s="90"/>
      <c r="C132" s="71"/>
      <c r="D132" s="9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</row>
    <row r="133" ht="21.75" customHeight="1">
      <c r="A133" s="71"/>
      <c r="B133" s="90"/>
      <c r="C133" s="71"/>
      <c r="D133" s="9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</row>
    <row r="134" ht="21.75" customHeight="1">
      <c r="A134" s="71"/>
      <c r="B134" s="90"/>
      <c r="C134" s="71"/>
      <c r="D134" s="9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</row>
    <row r="135" ht="21.75" customHeight="1">
      <c r="A135" s="71"/>
      <c r="B135" s="90"/>
      <c r="C135" s="71"/>
      <c r="D135" s="9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</row>
    <row r="136" ht="21.75" customHeight="1">
      <c r="A136" s="71"/>
      <c r="B136" s="90"/>
      <c r="C136" s="71"/>
      <c r="D136" s="9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</row>
    <row r="137" ht="21.75" customHeight="1">
      <c r="A137" s="71"/>
      <c r="B137" s="90"/>
      <c r="C137" s="71"/>
      <c r="D137" s="9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</row>
    <row r="138" ht="21.75" customHeight="1">
      <c r="A138" s="71"/>
      <c r="B138" s="90"/>
      <c r="C138" s="71"/>
      <c r="D138" s="9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</row>
    <row r="139" ht="21.75" customHeight="1">
      <c r="A139" s="71"/>
      <c r="B139" s="90"/>
      <c r="C139" s="71"/>
      <c r="D139" s="9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</row>
    <row r="140" ht="21.75" customHeight="1">
      <c r="A140" s="71"/>
      <c r="B140" s="90"/>
      <c r="C140" s="71"/>
      <c r="D140" s="9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</row>
    <row r="141" ht="21.75" customHeight="1">
      <c r="A141" s="71"/>
      <c r="B141" s="90"/>
      <c r="C141" s="71"/>
      <c r="D141" s="9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</row>
    <row r="142" ht="21.75" customHeight="1">
      <c r="A142" s="71"/>
      <c r="B142" s="90"/>
      <c r="C142" s="71"/>
      <c r="D142" s="9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</row>
    <row r="143" ht="21.75" customHeight="1">
      <c r="A143" s="71"/>
      <c r="B143" s="90"/>
      <c r="C143" s="71"/>
      <c r="D143" s="9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</row>
    <row r="144" ht="21.75" customHeight="1">
      <c r="A144" s="71"/>
      <c r="B144" s="90"/>
      <c r="C144" s="71"/>
      <c r="D144" s="9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</row>
    <row r="145" ht="21.75" customHeight="1">
      <c r="A145" s="71"/>
      <c r="B145" s="90"/>
      <c r="C145" s="71"/>
      <c r="D145" s="9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</row>
    <row r="146" ht="21.75" customHeight="1">
      <c r="A146" s="71"/>
      <c r="B146" s="90"/>
      <c r="C146" s="71"/>
      <c r="D146" s="9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</row>
    <row r="147" ht="21.75" customHeight="1">
      <c r="A147" s="71"/>
      <c r="B147" s="90"/>
      <c r="C147" s="71"/>
      <c r="D147" s="9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</row>
    <row r="148" ht="21.75" customHeight="1">
      <c r="A148" s="71"/>
      <c r="B148" s="90"/>
      <c r="C148" s="71"/>
      <c r="D148" s="9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</row>
    <row r="149" ht="21.75" customHeight="1">
      <c r="A149" s="71"/>
      <c r="B149" s="90"/>
      <c r="C149" s="71"/>
      <c r="D149" s="9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</row>
    <row r="150" ht="21.75" customHeight="1">
      <c r="A150" s="71"/>
      <c r="B150" s="90"/>
      <c r="C150" s="71"/>
      <c r="D150" s="9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</row>
    <row r="151" ht="21.75" customHeight="1">
      <c r="A151" s="71"/>
      <c r="B151" s="90"/>
      <c r="C151" s="71"/>
      <c r="D151" s="9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</row>
    <row r="152" ht="21.75" customHeight="1">
      <c r="A152" s="71"/>
      <c r="B152" s="90"/>
      <c r="C152" s="71"/>
      <c r="D152" s="9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</row>
    <row r="153" ht="21.75" customHeight="1">
      <c r="A153" s="71"/>
      <c r="B153" s="90"/>
      <c r="C153" s="71"/>
      <c r="D153" s="9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</row>
    <row r="154" ht="21.75" customHeight="1">
      <c r="A154" s="71"/>
      <c r="B154" s="90"/>
      <c r="C154" s="71"/>
      <c r="D154" s="9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</row>
    <row r="155" ht="21.75" customHeight="1">
      <c r="A155" s="71"/>
      <c r="B155" s="90"/>
      <c r="C155" s="71"/>
      <c r="D155" s="9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</row>
    <row r="156" ht="21.75" customHeight="1">
      <c r="A156" s="71"/>
      <c r="B156" s="90"/>
      <c r="C156" s="71"/>
      <c r="D156" s="9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</row>
    <row r="157" ht="21.75" customHeight="1">
      <c r="A157" s="71"/>
      <c r="B157" s="90"/>
      <c r="C157" s="71"/>
      <c r="D157" s="9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</row>
    <row r="158" ht="21.75" customHeight="1">
      <c r="A158" s="71"/>
      <c r="B158" s="90"/>
      <c r="C158" s="71"/>
      <c r="D158" s="9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</row>
    <row r="159" ht="21.75" customHeight="1">
      <c r="A159" s="71"/>
      <c r="B159" s="90"/>
      <c r="C159" s="71"/>
      <c r="D159" s="9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</row>
    <row r="160" ht="21.75" customHeight="1">
      <c r="A160" s="71"/>
      <c r="B160" s="90"/>
      <c r="C160" s="71"/>
      <c r="D160" s="9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</row>
    <row r="161" ht="21.75" customHeight="1">
      <c r="A161" s="71"/>
      <c r="B161" s="90"/>
      <c r="C161" s="71"/>
      <c r="D161" s="9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</row>
    <row r="162" ht="21.75" customHeight="1">
      <c r="A162" s="71"/>
      <c r="B162" s="90"/>
      <c r="C162" s="71"/>
      <c r="D162" s="9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</row>
    <row r="163" ht="21.75" customHeight="1">
      <c r="A163" s="71"/>
      <c r="B163" s="90"/>
      <c r="C163" s="71"/>
      <c r="D163" s="9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</row>
    <row r="164" ht="21.75" customHeight="1">
      <c r="A164" s="71"/>
      <c r="B164" s="90"/>
      <c r="C164" s="71"/>
      <c r="D164" s="9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</row>
    <row r="165" ht="21.75" customHeight="1">
      <c r="A165" s="71"/>
      <c r="B165" s="90"/>
      <c r="C165" s="71"/>
      <c r="D165" s="9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</row>
    <row r="166" ht="21.75" customHeight="1">
      <c r="A166" s="71"/>
      <c r="B166" s="90"/>
      <c r="C166" s="71"/>
      <c r="D166" s="9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</row>
    <row r="167" ht="21.75" customHeight="1">
      <c r="A167" s="71"/>
      <c r="B167" s="90"/>
      <c r="C167" s="71"/>
      <c r="D167" s="9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</row>
    <row r="168" ht="21.75" customHeight="1">
      <c r="A168" s="71"/>
      <c r="B168" s="90"/>
      <c r="C168" s="71"/>
      <c r="D168" s="9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</row>
    <row r="169" ht="21.75" customHeight="1">
      <c r="A169" s="71"/>
      <c r="B169" s="90"/>
      <c r="C169" s="71"/>
      <c r="D169" s="9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</row>
    <row r="170" ht="21.75" customHeight="1">
      <c r="A170" s="71"/>
      <c r="B170" s="90"/>
      <c r="C170" s="71"/>
      <c r="D170" s="9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</row>
    <row r="171" ht="21.75" customHeight="1">
      <c r="A171" s="71"/>
      <c r="B171" s="90"/>
      <c r="C171" s="71"/>
      <c r="D171" s="9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</row>
    <row r="172" ht="21.75" customHeight="1">
      <c r="A172" s="71"/>
      <c r="B172" s="90"/>
      <c r="C172" s="71"/>
      <c r="D172" s="9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</row>
    <row r="173" ht="21.75" customHeight="1">
      <c r="A173" s="71"/>
      <c r="B173" s="90"/>
      <c r="C173" s="71"/>
      <c r="D173" s="9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</row>
    <row r="174" ht="21.75" customHeight="1">
      <c r="A174" s="71"/>
      <c r="B174" s="90"/>
      <c r="C174" s="71"/>
      <c r="D174" s="9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</row>
    <row r="175" ht="21.75" customHeight="1">
      <c r="A175" s="71"/>
      <c r="B175" s="90"/>
      <c r="C175" s="71"/>
      <c r="D175" s="9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</row>
    <row r="176" ht="21.75" customHeight="1">
      <c r="A176" s="71"/>
      <c r="B176" s="90"/>
      <c r="C176" s="71"/>
      <c r="D176" s="9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</row>
    <row r="177" ht="21.75" customHeight="1">
      <c r="A177" s="71"/>
      <c r="B177" s="90"/>
      <c r="C177" s="71"/>
      <c r="D177" s="9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</row>
    <row r="178" ht="21.75" customHeight="1">
      <c r="A178" s="71"/>
      <c r="B178" s="90"/>
      <c r="C178" s="71"/>
      <c r="D178" s="9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</row>
    <row r="179" ht="21.75" customHeight="1">
      <c r="A179" s="71"/>
      <c r="B179" s="90"/>
      <c r="C179" s="71"/>
      <c r="D179" s="9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</row>
    <row r="180" ht="21.75" customHeight="1">
      <c r="A180" s="71"/>
      <c r="B180" s="90"/>
      <c r="C180" s="71"/>
      <c r="D180" s="9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</row>
    <row r="181" ht="21.75" customHeight="1">
      <c r="A181" s="71"/>
      <c r="B181" s="90"/>
      <c r="C181" s="71"/>
      <c r="D181" s="9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</row>
    <row r="182" ht="21.75" customHeight="1">
      <c r="A182" s="71"/>
      <c r="B182" s="90"/>
      <c r="C182" s="71"/>
      <c r="D182" s="9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</row>
    <row r="183" ht="21.75" customHeight="1">
      <c r="A183" s="71"/>
      <c r="B183" s="90"/>
      <c r="C183" s="71"/>
      <c r="D183" s="9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</row>
    <row r="184" ht="21.75" customHeight="1">
      <c r="A184" s="71"/>
      <c r="B184" s="90"/>
      <c r="C184" s="71"/>
      <c r="D184" s="9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</row>
    <row r="185" ht="21.75" customHeight="1">
      <c r="A185" s="71"/>
      <c r="B185" s="90"/>
      <c r="C185" s="71"/>
      <c r="D185" s="9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</row>
    <row r="186" ht="21.75" customHeight="1">
      <c r="A186" s="71"/>
      <c r="B186" s="90"/>
      <c r="C186" s="71"/>
      <c r="D186" s="9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</row>
    <row r="187" ht="21.75" customHeight="1">
      <c r="A187" s="71"/>
      <c r="B187" s="90"/>
      <c r="C187" s="71"/>
      <c r="D187" s="9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</row>
    <row r="188" ht="21.75" customHeight="1">
      <c r="A188" s="71"/>
      <c r="B188" s="90"/>
      <c r="C188" s="71"/>
      <c r="D188" s="9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</row>
    <row r="189" ht="21.75" customHeight="1">
      <c r="A189" s="71"/>
      <c r="B189" s="90"/>
      <c r="C189" s="71"/>
      <c r="D189" s="9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</row>
    <row r="190" ht="21.75" customHeight="1">
      <c r="A190" s="71"/>
      <c r="B190" s="90"/>
      <c r="C190" s="71"/>
      <c r="D190" s="9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</row>
    <row r="191" ht="21.75" customHeight="1">
      <c r="A191" s="71"/>
      <c r="B191" s="90"/>
      <c r="C191" s="71"/>
      <c r="D191" s="9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</row>
    <row r="192" ht="21.75" customHeight="1">
      <c r="A192" s="71"/>
      <c r="B192" s="90"/>
      <c r="C192" s="71"/>
      <c r="D192" s="9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</row>
    <row r="193" ht="21.75" customHeight="1">
      <c r="A193" s="71"/>
      <c r="B193" s="90"/>
      <c r="C193" s="71"/>
      <c r="D193" s="9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</row>
    <row r="194" ht="21.75" customHeight="1">
      <c r="A194" s="71"/>
      <c r="B194" s="90"/>
      <c r="C194" s="71"/>
      <c r="D194" s="9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</row>
    <row r="195" ht="21.75" customHeight="1">
      <c r="A195" s="71"/>
      <c r="B195" s="90"/>
      <c r="C195" s="71"/>
      <c r="D195" s="9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</row>
    <row r="196" ht="21.75" customHeight="1">
      <c r="A196" s="71"/>
      <c r="B196" s="90"/>
      <c r="C196" s="71"/>
      <c r="D196" s="9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</row>
    <row r="197" ht="21.75" customHeight="1">
      <c r="A197" s="71"/>
      <c r="B197" s="90"/>
      <c r="C197" s="71"/>
      <c r="D197" s="9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</row>
    <row r="198" ht="21.75" customHeight="1">
      <c r="A198" s="71"/>
      <c r="B198" s="90"/>
      <c r="C198" s="71"/>
      <c r="D198" s="9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</row>
    <row r="199" ht="21.75" customHeight="1">
      <c r="A199" s="71"/>
      <c r="B199" s="90"/>
      <c r="C199" s="71"/>
      <c r="D199" s="9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</row>
    <row r="200" ht="21.75" customHeight="1">
      <c r="A200" s="71"/>
      <c r="B200" s="90"/>
      <c r="C200" s="71"/>
      <c r="D200" s="9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</row>
    <row r="201" ht="21.75" customHeight="1">
      <c r="A201" s="71"/>
      <c r="B201" s="90"/>
      <c r="C201" s="71"/>
      <c r="D201" s="9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</row>
    <row r="202" ht="21.75" customHeight="1">
      <c r="A202" s="71"/>
      <c r="B202" s="90"/>
      <c r="C202" s="71"/>
      <c r="D202" s="9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</row>
    <row r="203" ht="21.75" customHeight="1">
      <c r="A203" s="71"/>
      <c r="B203" s="90"/>
      <c r="C203" s="71"/>
      <c r="D203" s="9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</row>
    <row r="204" ht="21.75" customHeight="1">
      <c r="A204" s="71"/>
      <c r="B204" s="90"/>
      <c r="C204" s="71"/>
      <c r="D204" s="9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</row>
    <row r="205" ht="21.75" customHeight="1">
      <c r="A205" s="71"/>
      <c r="B205" s="90"/>
      <c r="C205" s="71"/>
      <c r="D205" s="9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</row>
    <row r="206" ht="21.75" customHeight="1">
      <c r="A206" s="71"/>
      <c r="B206" s="90"/>
      <c r="C206" s="71"/>
      <c r="D206" s="9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</row>
    <row r="207" ht="21.75" customHeight="1">
      <c r="A207" s="71"/>
      <c r="B207" s="90"/>
      <c r="C207" s="71"/>
      <c r="D207" s="9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</row>
    <row r="208" ht="21.75" customHeight="1">
      <c r="A208" s="71"/>
      <c r="B208" s="90"/>
      <c r="C208" s="71"/>
      <c r="D208" s="9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</row>
    <row r="209" ht="21.75" customHeight="1">
      <c r="A209" s="71"/>
      <c r="B209" s="90"/>
      <c r="C209" s="71"/>
      <c r="D209" s="9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</row>
    <row r="210" ht="21.75" customHeight="1">
      <c r="A210" s="71"/>
      <c r="B210" s="90"/>
      <c r="C210" s="71"/>
      <c r="D210" s="9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</row>
    <row r="211" ht="21.75" customHeight="1">
      <c r="A211" s="71"/>
      <c r="B211" s="90"/>
      <c r="C211" s="71"/>
      <c r="D211" s="9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</row>
    <row r="212" ht="21.75" customHeight="1">
      <c r="A212" s="71"/>
      <c r="B212" s="90"/>
      <c r="C212" s="71"/>
      <c r="D212" s="9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</row>
    <row r="213" ht="21.75" customHeight="1">
      <c r="A213" s="71"/>
      <c r="B213" s="90"/>
      <c r="C213" s="71"/>
      <c r="D213" s="9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</row>
    <row r="214" ht="21.75" customHeight="1">
      <c r="A214" s="71"/>
      <c r="B214" s="90"/>
      <c r="C214" s="71"/>
      <c r="D214" s="9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</row>
    <row r="215" ht="21.75" customHeight="1">
      <c r="A215" s="71"/>
      <c r="B215" s="90"/>
      <c r="C215" s="71"/>
      <c r="D215" s="9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</row>
    <row r="216" ht="21.75" customHeight="1">
      <c r="A216" s="71"/>
      <c r="B216" s="90"/>
      <c r="C216" s="71"/>
      <c r="D216" s="9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</row>
    <row r="217" ht="21.75" customHeight="1">
      <c r="A217" s="71"/>
      <c r="B217" s="90"/>
      <c r="C217" s="71"/>
      <c r="D217" s="9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</row>
    <row r="218" ht="21.75" customHeight="1">
      <c r="A218" s="71"/>
      <c r="B218" s="90"/>
      <c r="C218" s="71"/>
      <c r="D218" s="9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</row>
    <row r="219" ht="21.75" customHeight="1">
      <c r="A219" s="71"/>
      <c r="B219" s="90"/>
      <c r="C219" s="71"/>
      <c r="D219" s="9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</row>
    <row r="220" ht="21.75" customHeight="1">
      <c r="A220" s="71"/>
      <c r="B220" s="90"/>
      <c r="C220" s="71"/>
      <c r="D220" s="9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</row>
    <row r="221" ht="21.75" customHeight="1">
      <c r="A221" s="71"/>
      <c r="B221" s="90"/>
      <c r="C221" s="71"/>
      <c r="D221" s="9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</row>
    <row r="222" ht="21.75" customHeight="1">
      <c r="A222" s="71"/>
      <c r="B222" s="90"/>
      <c r="C222" s="71"/>
      <c r="D222" s="9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</row>
    <row r="223" ht="15.75" customHeight="1">
      <c r="D223" s="65"/>
    </row>
    <row r="224" ht="15.75" customHeight="1">
      <c r="D224" s="65"/>
    </row>
    <row r="225" ht="15.75" customHeight="1">
      <c r="D225" s="65"/>
    </row>
    <row r="226" ht="15.75" customHeight="1">
      <c r="D226" s="65"/>
    </row>
    <row r="227" ht="15.75" customHeight="1">
      <c r="D227" s="65"/>
    </row>
    <row r="228" ht="15.75" customHeight="1">
      <c r="D228" s="65"/>
    </row>
    <row r="229" ht="15.75" customHeight="1">
      <c r="D229" s="65"/>
    </row>
    <row r="230" ht="15.75" customHeight="1">
      <c r="D230" s="65"/>
    </row>
    <row r="231" ht="15.75" customHeight="1">
      <c r="D231" s="65"/>
    </row>
    <row r="232" ht="15.75" customHeight="1">
      <c r="D232" s="65"/>
    </row>
    <row r="233" ht="15.75" customHeight="1">
      <c r="D233" s="65"/>
    </row>
    <row r="234" ht="15.75" customHeight="1">
      <c r="D234" s="65"/>
    </row>
    <row r="235" ht="15.75" customHeight="1">
      <c r="D235" s="65"/>
    </row>
    <row r="236" ht="15.75" customHeight="1">
      <c r="D236" s="65"/>
    </row>
    <row r="237" ht="15.75" customHeight="1">
      <c r="D237" s="65"/>
    </row>
    <row r="238" ht="15.75" customHeight="1">
      <c r="D238" s="65"/>
    </row>
    <row r="239" ht="15.75" customHeight="1">
      <c r="D239" s="65"/>
    </row>
    <row r="240" ht="15.75" customHeight="1">
      <c r="D240" s="65"/>
    </row>
    <row r="241" ht="15.75" customHeight="1">
      <c r="D241" s="65"/>
    </row>
    <row r="242" ht="15.75" customHeight="1">
      <c r="D242" s="65"/>
    </row>
    <row r="243" ht="15.75" customHeight="1">
      <c r="D243" s="65"/>
    </row>
    <row r="244" ht="15.75" customHeight="1">
      <c r="D244" s="65"/>
    </row>
    <row r="245" ht="15.75" customHeight="1">
      <c r="D245" s="65"/>
    </row>
    <row r="246" ht="15.75" customHeight="1">
      <c r="D246" s="65"/>
    </row>
    <row r="247" ht="15.75" customHeight="1">
      <c r="D247" s="65"/>
    </row>
    <row r="248" ht="15.75" customHeight="1">
      <c r="D248" s="65"/>
    </row>
    <row r="249" ht="15.75" customHeight="1">
      <c r="D249" s="65"/>
    </row>
    <row r="250" ht="15.75" customHeight="1">
      <c r="D250" s="65"/>
    </row>
    <row r="251" ht="15.75" customHeight="1">
      <c r="D251" s="65"/>
    </row>
    <row r="252" ht="15.75" customHeight="1">
      <c r="D252" s="65"/>
    </row>
    <row r="253" ht="15.75" customHeight="1">
      <c r="D253" s="65"/>
    </row>
    <row r="254" ht="15.75" customHeight="1">
      <c r="D254" s="65"/>
    </row>
    <row r="255" ht="15.75" customHeight="1">
      <c r="D255" s="65"/>
    </row>
    <row r="256" ht="15.75" customHeight="1">
      <c r="D256" s="65"/>
    </row>
    <row r="257" ht="15.75" customHeight="1">
      <c r="D257" s="65"/>
    </row>
    <row r="258" ht="15.75" customHeight="1">
      <c r="D258" s="65"/>
    </row>
    <row r="259" ht="15.75" customHeight="1">
      <c r="D259" s="65"/>
    </row>
    <row r="260" ht="15.75" customHeight="1">
      <c r="D260" s="65"/>
    </row>
    <row r="261" ht="15.75" customHeight="1">
      <c r="D261" s="65"/>
    </row>
    <row r="262" ht="15.75" customHeight="1">
      <c r="D262" s="65"/>
    </row>
    <row r="263" ht="15.75" customHeight="1">
      <c r="D263" s="65"/>
    </row>
    <row r="264" ht="15.75" customHeight="1">
      <c r="D264" s="65"/>
    </row>
    <row r="265" ht="15.75" customHeight="1">
      <c r="D265" s="65"/>
    </row>
    <row r="266" ht="15.75" customHeight="1">
      <c r="D266" s="65"/>
    </row>
    <row r="267" ht="15.75" customHeight="1">
      <c r="D267" s="65"/>
    </row>
    <row r="268" ht="15.75" customHeight="1">
      <c r="D268" s="65"/>
    </row>
    <row r="269" ht="15.75" customHeight="1">
      <c r="D269" s="65"/>
    </row>
    <row r="270" ht="15.75" customHeight="1">
      <c r="D270" s="65"/>
    </row>
    <row r="271" ht="15.75" customHeight="1">
      <c r="D271" s="65"/>
    </row>
    <row r="272" ht="15.75" customHeight="1">
      <c r="D272" s="65"/>
    </row>
    <row r="273" ht="15.75" customHeight="1">
      <c r="D273" s="65"/>
    </row>
    <row r="274" ht="15.75" customHeight="1">
      <c r="D274" s="65"/>
    </row>
    <row r="275" ht="15.75" customHeight="1">
      <c r="D275" s="65"/>
    </row>
    <row r="276" ht="15.75" customHeight="1">
      <c r="D276" s="65"/>
    </row>
    <row r="277" ht="15.75" customHeight="1">
      <c r="D277" s="65"/>
    </row>
    <row r="278" ht="15.75" customHeight="1">
      <c r="D278" s="65"/>
    </row>
    <row r="279" ht="15.75" customHeight="1">
      <c r="D279" s="65"/>
    </row>
    <row r="280" ht="15.75" customHeight="1">
      <c r="D280" s="65"/>
    </row>
    <row r="281" ht="15.75" customHeight="1">
      <c r="D281" s="65"/>
    </row>
    <row r="282" ht="15.75" customHeight="1">
      <c r="D282" s="65"/>
    </row>
    <row r="283" ht="15.75" customHeight="1">
      <c r="D283" s="65"/>
    </row>
    <row r="284" ht="15.75" customHeight="1">
      <c r="D284" s="65"/>
    </row>
    <row r="285" ht="15.75" customHeight="1">
      <c r="D285" s="65"/>
    </row>
    <row r="286" ht="15.75" customHeight="1">
      <c r="D286" s="65"/>
    </row>
    <row r="287" ht="15.75" customHeight="1">
      <c r="D287" s="65"/>
    </row>
    <row r="288" ht="15.75" customHeight="1">
      <c r="D288" s="65"/>
    </row>
    <row r="289" ht="15.75" customHeight="1">
      <c r="D289" s="65"/>
    </row>
    <row r="290" ht="15.75" customHeight="1">
      <c r="D290" s="65"/>
    </row>
    <row r="291" ht="15.75" customHeight="1">
      <c r="D291" s="65"/>
    </row>
    <row r="292" ht="15.75" customHeight="1">
      <c r="D292" s="65"/>
    </row>
    <row r="293" ht="15.75" customHeight="1">
      <c r="D293" s="65"/>
    </row>
    <row r="294" ht="15.75" customHeight="1">
      <c r="D294" s="65"/>
    </row>
    <row r="295" ht="15.75" customHeight="1">
      <c r="D295" s="65"/>
    </row>
    <row r="296" ht="15.75" customHeight="1">
      <c r="D296" s="65"/>
    </row>
    <row r="297" ht="15.75" customHeight="1">
      <c r="D297" s="65"/>
    </row>
    <row r="298" ht="15.75" customHeight="1">
      <c r="D298" s="65"/>
    </row>
    <row r="299" ht="15.75" customHeight="1">
      <c r="D299" s="65"/>
    </row>
    <row r="300" ht="15.75" customHeight="1">
      <c r="D300" s="65"/>
    </row>
    <row r="301" ht="15.75" customHeight="1">
      <c r="D301" s="65"/>
    </row>
    <row r="302" ht="15.75" customHeight="1">
      <c r="D302" s="65"/>
    </row>
    <row r="303" ht="15.75" customHeight="1">
      <c r="D303" s="65"/>
    </row>
    <row r="304" ht="15.75" customHeight="1">
      <c r="D304" s="65"/>
    </row>
    <row r="305" ht="15.75" customHeight="1">
      <c r="D305" s="65"/>
    </row>
    <row r="306" ht="15.75" customHeight="1">
      <c r="D306" s="65"/>
    </row>
    <row r="307" ht="15.75" customHeight="1">
      <c r="D307" s="65"/>
    </row>
    <row r="308" ht="15.75" customHeight="1">
      <c r="D308" s="65"/>
    </row>
    <row r="309" ht="15.75" customHeight="1">
      <c r="D309" s="65"/>
    </row>
    <row r="310" ht="15.75" customHeight="1">
      <c r="D310" s="65"/>
    </row>
    <row r="311" ht="15.75" customHeight="1">
      <c r="D311" s="65"/>
    </row>
    <row r="312" ht="15.75" customHeight="1">
      <c r="D312" s="65"/>
    </row>
    <row r="313" ht="15.75" customHeight="1">
      <c r="D313" s="65"/>
    </row>
    <row r="314" ht="15.75" customHeight="1">
      <c r="D314" s="65"/>
    </row>
    <row r="315" ht="15.75" customHeight="1">
      <c r="D315" s="65"/>
    </row>
    <row r="316" ht="15.75" customHeight="1">
      <c r="D316" s="65"/>
    </row>
    <row r="317" ht="15.75" customHeight="1">
      <c r="D317" s="65"/>
    </row>
    <row r="318" ht="15.75" customHeight="1">
      <c r="D318" s="65"/>
    </row>
    <row r="319" ht="15.75" customHeight="1">
      <c r="D319" s="65"/>
    </row>
    <row r="320" ht="15.75" customHeight="1">
      <c r="D320" s="65"/>
    </row>
    <row r="321" ht="15.75" customHeight="1">
      <c r="D321" s="65"/>
    </row>
    <row r="322" ht="15.75" customHeight="1">
      <c r="D322" s="65"/>
    </row>
    <row r="323" ht="15.75" customHeight="1">
      <c r="D323" s="65"/>
    </row>
    <row r="324" ht="15.75" customHeight="1">
      <c r="D324" s="65"/>
    </row>
    <row r="325" ht="15.75" customHeight="1">
      <c r="D325" s="65"/>
    </row>
    <row r="326" ht="15.75" customHeight="1">
      <c r="D326" s="65"/>
    </row>
    <row r="327" ht="15.75" customHeight="1">
      <c r="D327" s="65"/>
    </row>
    <row r="328" ht="15.75" customHeight="1">
      <c r="D328" s="65"/>
    </row>
    <row r="329" ht="15.75" customHeight="1">
      <c r="D329" s="65"/>
    </row>
    <row r="330" ht="15.75" customHeight="1">
      <c r="D330" s="65"/>
    </row>
    <row r="331" ht="15.75" customHeight="1">
      <c r="D331" s="65"/>
    </row>
    <row r="332" ht="15.75" customHeight="1">
      <c r="D332" s="65"/>
    </row>
    <row r="333" ht="15.75" customHeight="1">
      <c r="D333" s="65"/>
    </row>
    <row r="334" ht="15.75" customHeight="1">
      <c r="D334" s="65"/>
    </row>
    <row r="335" ht="15.75" customHeight="1">
      <c r="D335" s="65"/>
    </row>
    <row r="336" ht="15.75" customHeight="1">
      <c r="D336" s="65"/>
    </row>
    <row r="337" ht="15.75" customHeight="1">
      <c r="D337" s="65"/>
    </row>
    <row r="338" ht="15.75" customHeight="1">
      <c r="D338" s="65"/>
    </row>
    <row r="339" ht="15.75" customHeight="1">
      <c r="D339" s="65"/>
    </row>
    <row r="340" ht="15.75" customHeight="1">
      <c r="D340" s="65"/>
    </row>
    <row r="341" ht="15.75" customHeight="1">
      <c r="D341" s="65"/>
    </row>
    <row r="342" ht="15.75" customHeight="1">
      <c r="D342" s="65"/>
    </row>
    <row r="343" ht="15.75" customHeight="1">
      <c r="D343" s="65"/>
    </row>
    <row r="344" ht="15.75" customHeight="1">
      <c r="D344" s="65"/>
    </row>
    <row r="345" ht="15.75" customHeight="1">
      <c r="D345" s="65"/>
    </row>
    <row r="346" ht="15.75" customHeight="1">
      <c r="D346" s="65"/>
    </row>
    <row r="347" ht="15.75" customHeight="1">
      <c r="D347" s="65"/>
    </row>
    <row r="348" ht="15.75" customHeight="1">
      <c r="D348" s="65"/>
    </row>
    <row r="349" ht="15.75" customHeight="1">
      <c r="D349" s="65"/>
    </row>
    <row r="350" ht="15.75" customHeight="1">
      <c r="D350" s="65"/>
    </row>
    <row r="351" ht="15.75" customHeight="1">
      <c r="D351" s="65"/>
    </row>
    <row r="352" ht="15.75" customHeight="1">
      <c r="D352" s="65"/>
    </row>
    <row r="353" ht="15.75" customHeight="1">
      <c r="D353" s="65"/>
    </row>
    <row r="354" ht="15.75" customHeight="1">
      <c r="D354" s="65"/>
    </row>
    <row r="355" ht="15.75" customHeight="1">
      <c r="D355" s="65"/>
    </row>
    <row r="356" ht="15.75" customHeight="1">
      <c r="D356" s="65"/>
    </row>
    <row r="357" ht="15.75" customHeight="1">
      <c r="D357" s="65"/>
    </row>
    <row r="358" ht="15.75" customHeight="1">
      <c r="D358" s="65"/>
    </row>
    <row r="359" ht="15.75" customHeight="1">
      <c r="D359" s="65"/>
    </row>
    <row r="360" ht="15.75" customHeight="1">
      <c r="D360" s="65"/>
    </row>
    <row r="361" ht="15.75" customHeight="1">
      <c r="D361" s="65"/>
    </row>
    <row r="362" ht="15.75" customHeight="1">
      <c r="D362" s="65"/>
    </row>
    <row r="363" ht="15.75" customHeight="1">
      <c r="D363" s="65"/>
    </row>
    <row r="364" ht="15.75" customHeight="1">
      <c r="D364" s="65"/>
    </row>
    <row r="365" ht="15.75" customHeight="1">
      <c r="D365" s="65"/>
    </row>
    <row r="366" ht="15.75" customHeight="1">
      <c r="D366" s="65"/>
    </row>
    <row r="367" ht="15.75" customHeight="1">
      <c r="D367" s="65"/>
    </row>
    <row r="368" ht="15.75" customHeight="1">
      <c r="D368" s="65"/>
    </row>
    <row r="369" ht="15.75" customHeight="1">
      <c r="D369" s="65"/>
    </row>
    <row r="370" ht="15.75" customHeight="1">
      <c r="D370" s="65"/>
    </row>
    <row r="371" ht="15.75" customHeight="1">
      <c r="D371" s="65"/>
    </row>
    <row r="372" ht="15.75" customHeight="1">
      <c r="D372" s="65"/>
    </row>
    <row r="373" ht="15.75" customHeight="1">
      <c r="D373" s="65"/>
    </row>
    <row r="374" ht="15.75" customHeight="1">
      <c r="D374" s="65"/>
    </row>
    <row r="375" ht="15.75" customHeight="1">
      <c r="D375" s="65"/>
    </row>
    <row r="376" ht="15.75" customHeight="1">
      <c r="D376" s="65"/>
    </row>
    <row r="377" ht="15.75" customHeight="1">
      <c r="D377" s="65"/>
    </row>
    <row r="378" ht="15.75" customHeight="1">
      <c r="D378" s="65"/>
    </row>
    <row r="379" ht="15.75" customHeight="1">
      <c r="D379" s="65"/>
    </row>
    <row r="380" ht="15.75" customHeight="1">
      <c r="D380" s="65"/>
    </row>
    <row r="381" ht="15.75" customHeight="1">
      <c r="D381" s="65"/>
    </row>
    <row r="382" ht="15.75" customHeight="1">
      <c r="D382" s="65"/>
    </row>
    <row r="383" ht="15.75" customHeight="1">
      <c r="D383" s="65"/>
    </row>
    <row r="384" ht="15.75" customHeight="1">
      <c r="D384" s="65"/>
    </row>
    <row r="385" ht="15.75" customHeight="1">
      <c r="D385" s="65"/>
    </row>
    <row r="386" ht="15.75" customHeight="1">
      <c r="D386" s="65"/>
    </row>
    <row r="387" ht="15.75" customHeight="1">
      <c r="D387" s="65"/>
    </row>
    <row r="388" ht="15.75" customHeight="1">
      <c r="D388" s="65"/>
    </row>
    <row r="389" ht="15.75" customHeight="1">
      <c r="D389" s="65"/>
    </row>
    <row r="390" ht="15.75" customHeight="1">
      <c r="D390" s="65"/>
    </row>
    <row r="391" ht="15.75" customHeight="1">
      <c r="D391" s="65"/>
    </row>
    <row r="392" ht="15.75" customHeight="1">
      <c r="D392" s="65"/>
    </row>
    <row r="393" ht="15.75" customHeight="1">
      <c r="D393" s="65"/>
    </row>
    <row r="394" ht="15.75" customHeight="1">
      <c r="D394" s="65"/>
    </row>
    <row r="395" ht="15.75" customHeight="1">
      <c r="D395" s="65"/>
    </row>
    <row r="396" ht="15.75" customHeight="1">
      <c r="D396" s="65"/>
    </row>
    <row r="397" ht="15.75" customHeight="1">
      <c r="D397" s="65"/>
    </row>
    <row r="398" ht="15.75" customHeight="1">
      <c r="D398" s="65"/>
    </row>
    <row r="399" ht="15.75" customHeight="1">
      <c r="D399" s="65"/>
    </row>
    <row r="400" ht="15.75" customHeight="1">
      <c r="D400" s="65"/>
    </row>
    <row r="401" ht="15.75" customHeight="1">
      <c r="D401" s="65"/>
    </row>
    <row r="402" ht="15.75" customHeight="1">
      <c r="D402" s="65"/>
    </row>
    <row r="403" ht="15.75" customHeight="1">
      <c r="D403" s="65"/>
    </row>
    <row r="404" ht="15.75" customHeight="1">
      <c r="D404" s="65"/>
    </row>
    <row r="405" ht="15.75" customHeight="1">
      <c r="D405" s="65"/>
    </row>
    <row r="406" ht="15.75" customHeight="1">
      <c r="D406" s="65"/>
    </row>
    <row r="407" ht="15.75" customHeight="1">
      <c r="D407" s="65"/>
    </row>
    <row r="408" ht="15.75" customHeight="1">
      <c r="D408" s="65"/>
    </row>
    <row r="409" ht="15.75" customHeight="1">
      <c r="D409" s="65"/>
    </row>
    <row r="410" ht="15.75" customHeight="1">
      <c r="D410" s="65"/>
    </row>
    <row r="411" ht="15.75" customHeight="1">
      <c r="D411" s="65"/>
    </row>
    <row r="412" ht="15.75" customHeight="1">
      <c r="D412" s="65"/>
    </row>
    <row r="413" ht="15.75" customHeight="1">
      <c r="D413" s="65"/>
    </row>
    <row r="414" ht="15.75" customHeight="1">
      <c r="D414" s="65"/>
    </row>
    <row r="415" ht="15.75" customHeight="1">
      <c r="D415" s="65"/>
    </row>
    <row r="416" ht="15.75" customHeight="1">
      <c r="D416" s="65"/>
    </row>
    <row r="417" ht="15.75" customHeight="1">
      <c r="D417" s="65"/>
    </row>
    <row r="418" ht="15.75" customHeight="1">
      <c r="D418" s="65"/>
    </row>
    <row r="419" ht="15.75" customHeight="1">
      <c r="D419" s="65"/>
    </row>
    <row r="420" ht="15.75" customHeight="1">
      <c r="D420" s="65"/>
    </row>
    <row r="421" ht="15.75" customHeight="1">
      <c r="D421" s="65"/>
    </row>
    <row r="422" ht="15.75" customHeight="1">
      <c r="D422" s="65"/>
    </row>
    <row r="423" ht="15.75" customHeight="1">
      <c r="D423" s="65"/>
    </row>
    <row r="424" ht="15.75" customHeight="1">
      <c r="D424" s="65"/>
    </row>
    <row r="425" ht="15.75" customHeight="1">
      <c r="D425" s="65"/>
    </row>
    <row r="426" ht="15.75" customHeight="1">
      <c r="D426" s="65"/>
    </row>
    <row r="427" ht="15.75" customHeight="1">
      <c r="D427" s="65"/>
    </row>
    <row r="428" ht="15.75" customHeight="1">
      <c r="D428" s="65"/>
    </row>
    <row r="429" ht="15.75" customHeight="1">
      <c r="D429" s="65"/>
    </row>
    <row r="430" ht="15.75" customHeight="1">
      <c r="D430" s="65"/>
    </row>
    <row r="431" ht="15.75" customHeight="1">
      <c r="D431" s="65"/>
    </row>
    <row r="432" ht="15.75" customHeight="1">
      <c r="D432" s="65"/>
    </row>
    <row r="433" ht="15.75" customHeight="1">
      <c r="D433" s="65"/>
    </row>
    <row r="434" ht="15.75" customHeight="1">
      <c r="D434" s="65"/>
    </row>
    <row r="435" ht="15.75" customHeight="1">
      <c r="D435" s="65"/>
    </row>
    <row r="436" ht="15.75" customHeight="1">
      <c r="D436" s="65"/>
    </row>
    <row r="437" ht="15.75" customHeight="1">
      <c r="D437" s="65"/>
    </row>
    <row r="438" ht="15.75" customHeight="1">
      <c r="D438" s="65"/>
    </row>
    <row r="439" ht="15.75" customHeight="1">
      <c r="D439" s="65"/>
    </row>
    <row r="440" ht="15.75" customHeight="1">
      <c r="D440" s="65"/>
    </row>
    <row r="441" ht="15.75" customHeight="1">
      <c r="D441" s="65"/>
    </row>
    <row r="442" ht="15.75" customHeight="1">
      <c r="D442" s="65"/>
    </row>
    <row r="443" ht="15.75" customHeight="1">
      <c r="D443" s="65"/>
    </row>
    <row r="444" ht="15.75" customHeight="1">
      <c r="D444" s="65"/>
    </row>
    <row r="445" ht="15.75" customHeight="1">
      <c r="D445" s="65"/>
    </row>
    <row r="446" ht="15.75" customHeight="1">
      <c r="D446" s="65"/>
    </row>
    <row r="447" ht="15.75" customHeight="1">
      <c r="D447" s="65"/>
    </row>
    <row r="448" ht="15.75" customHeight="1">
      <c r="D448" s="65"/>
    </row>
    <row r="449" ht="15.75" customHeight="1">
      <c r="D449" s="65"/>
    </row>
    <row r="450" ht="15.75" customHeight="1">
      <c r="D450" s="65"/>
    </row>
    <row r="451" ht="15.75" customHeight="1">
      <c r="D451" s="65"/>
    </row>
    <row r="452" ht="15.75" customHeight="1">
      <c r="D452" s="65"/>
    </row>
    <row r="453" ht="15.75" customHeight="1">
      <c r="D453" s="65"/>
    </row>
    <row r="454" ht="15.75" customHeight="1">
      <c r="D454" s="65"/>
    </row>
    <row r="455" ht="15.75" customHeight="1">
      <c r="D455" s="65"/>
    </row>
    <row r="456" ht="15.75" customHeight="1">
      <c r="D456" s="65"/>
    </row>
    <row r="457" ht="15.75" customHeight="1">
      <c r="D457" s="65"/>
    </row>
    <row r="458" ht="15.75" customHeight="1">
      <c r="D458" s="65"/>
    </row>
    <row r="459" ht="15.75" customHeight="1">
      <c r="D459" s="65"/>
    </row>
    <row r="460" ht="15.75" customHeight="1">
      <c r="D460" s="65"/>
    </row>
    <row r="461" ht="15.75" customHeight="1">
      <c r="D461" s="65"/>
    </row>
    <row r="462" ht="15.75" customHeight="1">
      <c r="D462" s="65"/>
    </row>
    <row r="463" ht="15.75" customHeight="1">
      <c r="D463" s="65"/>
    </row>
    <row r="464" ht="15.75" customHeight="1">
      <c r="D464" s="65"/>
    </row>
    <row r="465" ht="15.75" customHeight="1">
      <c r="D465" s="65"/>
    </row>
    <row r="466" ht="15.75" customHeight="1">
      <c r="D466" s="65"/>
    </row>
    <row r="467" ht="15.75" customHeight="1">
      <c r="D467" s="65"/>
    </row>
    <row r="468" ht="15.75" customHeight="1">
      <c r="D468" s="65"/>
    </row>
    <row r="469" ht="15.75" customHeight="1">
      <c r="D469" s="65"/>
    </row>
    <row r="470" ht="15.75" customHeight="1">
      <c r="D470" s="65"/>
    </row>
    <row r="471" ht="15.75" customHeight="1">
      <c r="D471" s="65"/>
    </row>
    <row r="472" ht="15.75" customHeight="1">
      <c r="D472" s="65"/>
    </row>
    <row r="473" ht="15.75" customHeight="1">
      <c r="D473" s="65"/>
    </row>
    <row r="474" ht="15.75" customHeight="1">
      <c r="D474" s="65"/>
    </row>
    <row r="475" ht="15.75" customHeight="1">
      <c r="D475" s="65"/>
    </row>
    <row r="476" ht="15.75" customHeight="1">
      <c r="D476" s="65"/>
    </row>
    <row r="477" ht="15.75" customHeight="1">
      <c r="D477" s="65"/>
    </row>
    <row r="478" ht="15.75" customHeight="1">
      <c r="D478" s="65"/>
    </row>
    <row r="479" ht="15.75" customHeight="1">
      <c r="D479" s="65"/>
    </row>
    <row r="480" ht="15.75" customHeight="1">
      <c r="D480" s="65"/>
    </row>
    <row r="481" ht="15.75" customHeight="1">
      <c r="D481" s="65"/>
    </row>
    <row r="482" ht="15.75" customHeight="1">
      <c r="D482" s="65"/>
    </row>
    <row r="483" ht="15.75" customHeight="1">
      <c r="D483" s="65"/>
    </row>
    <row r="484" ht="15.75" customHeight="1">
      <c r="D484" s="65"/>
    </row>
    <row r="485" ht="15.75" customHeight="1">
      <c r="D485" s="65"/>
    </row>
    <row r="486" ht="15.75" customHeight="1">
      <c r="D486" s="65"/>
    </row>
    <row r="487" ht="15.75" customHeight="1">
      <c r="D487" s="65"/>
    </row>
    <row r="488" ht="15.75" customHeight="1">
      <c r="D488" s="65"/>
    </row>
    <row r="489" ht="15.75" customHeight="1">
      <c r="D489" s="65"/>
    </row>
    <row r="490" ht="15.75" customHeight="1">
      <c r="D490" s="65"/>
    </row>
    <row r="491" ht="15.75" customHeight="1">
      <c r="D491" s="65"/>
    </row>
    <row r="492" ht="15.75" customHeight="1">
      <c r="D492" s="65"/>
    </row>
    <row r="493" ht="15.75" customHeight="1">
      <c r="D493" s="65"/>
    </row>
    <row r="494" ht="15.75" customHeight="1">
      <c r="D494" s="65"/>
    </row>
    <row r="495" ht="15.75" customHeight="1">
      <c r="D495" s="65"/>
    </row>
    <row r="496" ht="15.75" customHeight="1">
      <c r="D496" s="65"/>
    </row>
    <row r="497" ht="15.75" customHeight="1">
      <c r="D497" s="65"/>
    </row>
    <row r="498" ht="15.75" customHeight="1">
      <c r="D498" s="65"/>
    </row>
    <row r="499" ht="15.75" customHeight="1">
      <c r="D499" s="65"/>
    </row>
    <row r="500" ht="15.75" customHeight="1">
      <c r="D500" s="65"/>
    </row>
    <row r="501" ht="15.75" customHeight="1">
      <c r="D501" s="65"/>
    </row>
    <row r="502" ht="15.75" customHeight="1">
      <c r="D502" s="65"/>
    </row>
    <row r="503" ht="15.75" customHeight="1">
      <c r="D503" s="65"/>
    </row>
    <row r="504" ht="15.75" customHeight="1">
      <c r="D504" s="65"/>
    </row>
    <row r="505" ht="15.75" customHeight="1">
      <c r="D505" s="65"/>
    </row>
    <row r="506" ht="15.75" customHeight="1">
      <c r="D506" s="65"/>
    </row>
    <row r="507" ht="15.75" customHeight="1">
      <c r="D507" s="65"/>
    </row>
    <row r="508" ht="15.75" customHeight="1">
      <c r="D508" s="65"/>
    </row>
    <row r="509" ht="15.75" customHeight="1">
      <c r="D509" s="65"/>
    </row>
    <row r="510" ht="15.75" customHeight="1">
      <c r="D510" s="65"/>
    </row>
    <row r="511" ht="15.75" customHeight="1">
      <c r="D511" s="65"/>
    </row>
    <row r="512" ht="15.75" customHeight="1">
      <c r="D512" s="65"/>
    </row>
    <row r="513" ht="15.75" customHeight="1">
      <c r="D513" s="65"/>
    </row>
    <row r="514" ht="15.75" customHeight="1">
      <c r="D514" s="65"/>
    </row>
    <row r="515" ht="15.75" customHeight="1">
      <c r="D515" s="65"/>
    </row>
    <row r="516" ht="15.75" customHeight="1">
      <c r="D516" s="65"/>
    </row>
    <row r="517" ht="15.75" customHeight="1">
      <c r="D517" s="65"/>
    </row>
    <row r="518" ht="15.75" customHeight="1">
      <c r="D518" s="65"/>
    </row>
    <row r="519" ht="15.75" customHeight="1">
      <c r="D519" s="65"/>
    </row>
    <row r="520" ht="15.75" customHeight="1">
      <c r="D520" s="65"/>
    </row>
    <row r="521" ht="15.75" customHeight="1">
      <c r="D521" s="65"/>
    </row>
    <row r="522" ht="15.75" customHeight="1">
      <c r="D522" s="65"/>
    </row>
    <row r="523" ht="15.75" customHeight="1">
      <c r="D523" s="65"/>
    </row>
    <row r="524" ht="15.75" customHeight="1">
      <c r="D524" s="65"/>
    </row>
    <row r="525" ht="15.75" customHeight="1">
      <c r="D525" s="65"/>
    </row>
    <row r="526" ht="15.75" customHeight="1">
      <c r="D526" s="65"/>
    </row>
    <row r="527" ht="15.75" customHeight="1">
      <c r="D527" s="65"/>
    </row>
    <row r="528" ht="15.75" customHeight="1">
      <c r="D528" s="65"/>
    </row>
    <row r="529" ht="15.75" customHeight="1">
      <c r="D529" s="65"/>
    </row>
    <row r="530" ht="15.75" customHeight="1">
      <c r="D530" s="65"/>
    </row>
    <row r="531" ht="15.75" customHeight="1">
      <c r="D531" s="65"/>
    </row>
    <row r="532" ht="15.75" customHeight="1">
      <c r="D532" s="65"/>
    </row>
    <row r="533" ht="15.75" customHeight="1">
      <c r="D533" s="65"/>
    </row>
    <row r="534" ht="15.75" customHeight="1">
      <c r="D534" s="65"/>
    </row>
    <row r="535" ht="15.75" customHeight="1">
      <c r="D535" s="65"/>
    </row>
    <row r="536" ht="15.75" customHeight="1">
      <c r="D536" s="65"/>
    </row>
    <row r="537" ht="15.75" customHeight="1">
      <c r="D537" s="65"/>
    </row>
    <row r="538" ht="15.75" customHeight="1">
      <c r="D538" s="65"/>
    </row>
    <row r="539" ht="15.75" customHeight="1">
      <c r="D539" s="65"/>
    </row>
    <row r="540" ht="15.75" customHeight="1">
      <c r="D540" s="65"/>
    </row>
    <row r="541" ht="15.75" customHeight="1">
      <c r="D541" s="65"/>
    </row>
    <row r="542" ht="15.75" customHeight="1">
      <c r="D542" s="65"/>
    </row>
    <row r="543" ht="15.75" customHeight="1">
      <c r="D543" s="65"/>
    </row>
    <row r="544" ht="15.75" customHeight="1">
      <c r="D544" s="65"/>
    </row>
    <row r="545" ht="15.75" customHeight="1">
      <c r="D545" s="65"/>
    </row>
    <row r="546" ht="15.75" customHeight="1">
      <c r="D546" s="65"/>
    </row>
    <row r="547" ht="15.75" customHeight="1">
      <c r="D547" s="65"/>
    </row>
    <row r="548" ht="15.75" customHeight="1">
      <c r="D548" s="65"/>
    </row>
    <row r="549" ht="15.75" customHeight="1">
      <c r="D549" s="65"/>
    </row>
    <row r="550" ht="15.75" customHeight="1">
      <c r="D550" s="65"/>
    </row>
    <row r="551" ht="15.75" customHeight="1">
      <c r="D551" s="65"/>
    </row>
    <row r="552" ht="15.75" customHeight="1">
      <c r="D552" s="65"/>
    </row>
    <row r="553" ht="15.75" customHeight="1">
      <c r="D553" s="65"/>
    </row>
    <row r="554" ht="15.75" customHeight="1">
      <c r="D554" s="65"/>
    </row>
    <row r="555" ht="15.75" customHeight="1">
      <c r="D555" s="65"/>
    </row>
    <row r="556" ht="15.75" customHeight="1">
      <c r="D556" s="65"/>
    </row>
    <row r="557" ht="15.75" customHeight="1">
      <c r="D557" s="65"/>
    </row>
    <row r="558" ht="15.75" customHeight="1">
      <c r="D558" s="65"/>
    </row>
    <row r="559" ht="15.75" customHeight="1">
      <c r="D559" s="65"/>
    </row>
    <row r="560" ht="15.75" customHeight="1">
      <c r="D560" s="65"/>
    </row>
    <row r="561" ht="15.75" customHeight="1">
      <c r="D561" s="65"/>
    </row>
    <row r="562" ht="15.75" customHeight="1">
      <c r="D562" s="65"/>
    </row>
    <row r="563" ht="15.75" customHeight="1">
      <c r="D563" s="65"/>
    </row>
    <row r="564" ht="15.75" customHeight="1">
      <c r="D564" s="65"/>
    </row>
    <row r="565" ht="15.75" customHeight="1">
      <c r="D565" s="65"/>
    </row>
    <row r="566" ht="15.75" customHeight="1">
      <c r="D566" s="65"/>
    </row>
    <row r="567" ht="15.75" customHeight="1">
      <c r="D567" s="65"/>
    </row>
    <row r="568" ht="15.75" customHeight="1">
      <c r="D568" s="65"/>
    </row>
    <row r="569" ht="15.75" customHeight="1">
      <c r="D569" s="65"/>
    </row>
    <row r="570" ht="15.75" customHeight="1">
      <c r="D570" s="65"/>
    </row>
    <row r="571" ht="15.75" customHeight="1">
      <c r="D571" s="65"/>
    </row>
    <row r="572" ht="15.75" customHeight="1">
      <c r="D572" s="65"/>
    </row>
    <row r="573" ht="15.75" customHeight="1">
      <c r="D573" s="65"/>
    </row>
    <row r="574" ht="15.75" customHeight="1">
      <c r="D574" s="65"/>
    </row>
    <row r="575" ht="15.75" customHeight="1">
      <c r="D575" s="65"/>
    </row>
    <row r="576" ht="15.75" customHeight="1">
      <c r="D576" s="65"/>
    </row>
    <row r="577" ht="15.75" customHeight="1">
      <c r="D577" s="65"/>
    </row>
    <row r="578" ht="15.75" customHeight="1">
      <c r="D578" s="65"/>
    </row>
    <row r="579" ht="15.75" customHeight="1">
      <c r="D579" s="65"/>
    </row>
    <row r="580" ht="15.75" customHeight="1">
      <c r="D580" s="65"/>
    </row>
    <row r="581" ht="15.75" customHeight="1">
      <c r="D581" s="65"/>
    </row>
    <row r="582" ht="15.75" customHeight="1">
      <c r="D582" s="65"/>
    </row>
    <row r="583" ht="15.75" customHeight="1">
      <c r="D583" s="65"/>
    </row>
    <row r="584" ht="15.75" customHeight="1">
      <c r="D584" s="65"/>
    </row>
    <row r="585" ht="15.75" customHeight="1">
      <c r="D585" s="65"/>
    </row>
    <row r="586" ht="15.75" customHeight="1">
      <c r="D586" s="65"/>
    </row>
    <row r="587" ht="15.75" customHeight="1">
      <c r="D587" s="65"/>
    </row>
    <row r="588" ht="15.75" customHeight="1">
      <c r="D588" s="65"/>
    </row>
    <row r="589" ht="15.75" customHeight="1">
      <c r="D589" s="65"/>
    </row>
    <row r="590" ht="15.75" customHeight="1">
      <c r="D590" s="65"/>
    </row>
    <row r="591" ht="15.75" customHeight="1">
      <c r="D591" s="65"/>
    </row>
    <row r="592" ht="15.75" customHeight="1">
      <c r="D592" s="65"/>
    </row>
    <row r="593" ht="15.75" customHeight="1">
      <c r="D593" s="65"/>
    </row>
    <row r="594" ht="15.75" customHeight="1">
      <c r="D594" s="65"/>
    </row>
    <row r="595" ht="15.75" customHeight="1">
      <c r="D595" s="65"/>
    </row>
    <row r="596" ht="15.75" customHeight="1">
      <c r="D596" s="65"/>
    </row>
    <row r="597" ht="15.75" customHeight="1">
      <c r="D597" s="65"/>
    </row>
    <row r="598" ht="15.75" customHeight="1">
      <c r="D598" s="65"/>
    </row>
    <row r="599" ht="15.75" customHeight="1">
      <c r="D599" s="65"/>
    </row>
    <row r="600" ht="15.75" customHeight="1">
      <c r="D600" s="65"/>
    </row>
    <row r="601" ht="15.75" customHeight="1">
      <c r="D601" s="65"/>
    </row>
    <row r="602" ht="15.75" customHeight="1">
      <c r="D602" s="65"/>
    </row>
    <row r="603" ht="15.75" customHeight="1">
      <c r="D603" s="65"/>
    </row>
    <row r="604" ht="15.75" customHeight="1">
      <c r="D604" s="65"/>
    </row>
    <row r="605" ht="15.75" customHeight="1">
      <c r="D605" s="65"/>
    </row>
    <row r="606" ht="15.75" customHeight="1">
      <c r="D606" s="65"/>
    </row>
    <row r="607" ht="15.75" customHeight="1">
      <c r="D607" s="65"/>
    </row>
    <row r="608" ht="15.75" customHeight="1">
      <c r="D608" s="65"/>
    </row>
    <row r="609" ht="15.75" customHeight="1">
      <c r="D609" s="65"/>
    </row>
    <row r="610" ht="15.75" customHeight="1">
      <c r="D610" s="65"/>
    </row>
    <row r="611" ht="15.75" customHeight="1">
      <c r="D611" s="65"/>
    </row>
    <row r="612" ht="15.75" customHeight="1">
      <c r="D612" s="65"/>
    </row>
    <row r="613" ht="15.75" customHeight="1">
      <c r="D613" s="65"/>
    </row>
    <row r="614" ht="15.75" customHeight="1">
      <c r="D614" s="65"/>
    </row>
    <row r="615" ht="15.75" customHeight="1">
      <c r="D615" s="65"/>
    </row>
    <row r="616" ht="15.75" customHeight="1">
      <c r="D616" s="65"/>
    </row>
    <row r="617" ht="15.75" customHeight="1">
      <c r="D617" s="65"/>
    </row>
    <row r="618" ht="15.75" customHeight="1">
      <c r="D618" s="65"/>
    </row>
    <row r="619" ht="15.75" customHeight="1">
      <c r="D619" s="65"/>
    </row>
    <row r="620" ht="15.75" customHeight="1">
      <c r="D620" s="65"/>
    </row>
    <row r="621" ht="15.75" customHeight="1">
      <c r="D621" s="65"/>
    </row>
    <row r="622" ht="15.75" customHeight="1">
      <c r="D622" s="65"/>
    </row>
    <row r="623" ht="15.75" customHeight="1">
      <c r="D623" s="65"/>
    </row>
    <row r="624" ht="15.75" customHeight="1">
      <c r="D624" s="65"/>
    </row>
    <row r="625" ht="15.75" customHeight="1">
      <c r="D625" s="65"/>
    </row>
    <row r="626" ht="15.75" customHeight="1">
      <c r="D626" s="65"/>
    </row>
    <row r="627" ht="15.75" customHeight="1">
      <c r="D627" s="65"/>
    </row>
    <row r="628" ht="15.75" customHeight="1">
      <c r="D628" s="65"/>
    </row>
    <row r="629" ht="15.75" customHeight="1">
      <c r="D629" s="65"/>
    </row>
    <row r="630" ht="15.75" customHeight="1">
      <c r="D630" s="65"/>
    </row>
    <row r="631" ht="15.75" customHeight="1">
      <c r="D631" s="65"/>
    </row>
    <row r="632" ht="15.75" customHeight="1">
      <c r="D632" s="65"/>
    </row>
    <row r="633" ht="15.75" customHeight="1">
      <c r="D633" s="65"/>
    </row>
    <row r="634" ht="15.75" customHeight="1">
      <c r="D634" s="65"/>
    </row>
    <row r="635" ht="15.75" customHeight="1">
      <c r="D635" s="65"/>
    </row>
    <row r="636" ht="15.75" customHeight="1">
      <c r="D636" s="65"/>
    </row>
    <row r="637" ht="15.75" customHeight="1">
      <c r="D637" s="65"/>
    </row>
    <row r="638" ht="15.75" customHeight="1">
      <c r="D638" s="65"/>
    </row>
    <row r="639" ht="15.75" customHeight="1">
      <c r="D639" s="65"/>
    </row>
    <row r="640" ht="15.75" customHeight="1">
      <c r="D640" s="65"/>
    </row>
    <row r="641" ht="15.75" customHeight="1">
      <c r="D641" s="65"/>
    </row>
    <row r="642" ht="15.75" customHeight="1">
      <c r="D642" s="65"/>
    </row>
    <row r="643" ht="15.75" customHeight="1">
      <c r="D643" s="65"/>
    </row>
    <row r="644" ht="15.75" customHeight="1">
      <c r="D644" s="65"/>
    </row>
    <row r="645" ht="15.75" customHeight="1">
      <c r="D645" s="65"/>
    </row>
    <row r="646" ht="15.75" customHeight="1">
      <c r="D646" s="65"/>
    </row>
    <row r="647" ht="15.75" customHeight="1">
      <c r="D647" s="65"/>
    </row>
    <row r="648" ht="15.75" customHeight="1">
      <c r="D648" s="65"/>
    </row>
    <row r="649" ht="15.75" customHeight="1">
      <c r="D649" s="65"/>
    </row>
    <row r="650" ht="15.75" customHeight="1">
      <c r="D650" s="65"/>
    </row>
    <row r="651" ht="15.75" customHeight="1">
      <c r="D651" s="65"/>
    </row>
    <row r="652" ht="15.75" customHeight="1">
      <c r="D652" s="65"/>
    </row>
    <row r="653" ht="15.75" customHeight="1">
      <c r="D653" s="65"/>
    </row>
    <row r="654" ht="15.75" customHeight="1">
      <c r="D654" s="65"/>
    </row>
    <row r="655" ht="15.75" customHeight="1">
      <c r="D655" s="65"/>
    </row>
    <row r="656" ht="15.75" customHeight="1">
      <c r="D656" s="65"/>
    </row>
    <row r="657" ht="15.75" customHeight="1">
      <c r="D657" s="65"/>
    </row>
    <row r="658" ht="15.75" customHeight="1">
      <c r="D658" s="65"/>
    </row>
    <row r="659" ht="15.75" customHeight="1">
      <c r="D659" s="65"/>
    </row>
    <row r="660" ht="15.75" customHeight="1">
      <c r="D660" s="65"/>
    </row>
    <row r="661" ht="15.75" customHeight="1">
      <c r="D661" s="65"/>
    </row>
    <row r="662" ht="15.75" customHeight="1">
      <c r="D662" s="65"/>
    </row>
    <row r="663" ht="15.75" customHeight="1">
      <c r="D663" s="65"/>
    </row>
    <row r="664" ht="15.75" customHeight="1">
      <c r="D664" s="65"/>
    </row>
    <row r="665" ht="15.75" customHeight="1">
      <c r="D665" s="65"/>
    </row>
    <row r="666" ht="15.75" customHeight="1">
      <c r="D666" s="65"/>
    </row>
    <row r="667" ht="15.75" customHeight="1">
      <c r="D667" s="65"/>
    </row>
    <row r="668" ht="15.75" customHeight="1">
      <c r="D668" s="65"/>
    </row>
    <row r="669" ht="15.75" customHeight="1">
      <c r="D669" s="65"/>
    </row>
    <row r="670" ht="15.75" customHeight="1">
      <c r="D670" s="65"/>
    </row>
    <row r="671" ht="15.75" customHeight="1">
      <c r="D671" s="65"/>
    </row>
    <row r="672" ht="15.75" customHeight="1">
      <c r="D672" s="65"/>
    </row>
    <row r="673" ht="15.75" customHeight="1">
      <c r="D673" s="65"/>
    </row>
    <row r="674" ht="15.75" customHeight="1">
      <c r="D674" s="65"/>
    </row>
    <row r="675" ht="15.75" customHeight="1">
      <c r="D675" s="65"/>
    </row>
    <row r="676" ht="15.75" customHeight="1">
      <c r="D676" s="65"/>
    </row>
    <row r="677" ht="15.75" customHeight="1">
      <c r="D677" s="65"/>
    </row>
    <row r="678" ht="15.75" customHeight="1">
      <c r="D678" s="65"/>
    </row>
    <row r="679" ht="15.75" customHeight="1">
      <c r="D679" s="65"/>
    </row>
    <row r="680" ht="15.75" customHeight="1">
      <c r="D680" s="65"/>
    </row>
    <row r="681" ht="15.75" customHeight="1">
      <c r="D681" s="65"/>
    </row>
    <row r="682" ht="15.75" customHeight="1">
      <c r="D682" s="65"/>
    </row>
    <row r="683" ht="15.75" customHeight="1">
      <c r="D683" s="65"/>
    </row>
    <row r="684" ht="15.75" customHeight="1">
      <c r="D684" s="65"/>
    </row>
    <row r="685" ht="15.75" customHeight="1">
      <c r="D685" s="65"/>
    </row>
    <row r="686" ht="15.75" customHeight="1">
      <c r="D686" s="65"/>
    </row>
    <row r="687" ht="15.75" customHeight="1">
      <c r="D687" s="65"/>
    </row>
    <row r="688" ht="15.75" customHeight="1">
      <c r="D688" s="65"/>
    </row>
    <row r="689" ht="15.75" customHeight="1">
      <c r="D689" s="65"/>
    </row>
    <row r="690" ht="15.75" customHeight="1">
      <c r="D690" s="65"/>
    </row>
    <row r="691" ht="15.75" customHeight="1">
      <c r="D691" s="65"/>
    </row>
    <row r="692" ht="15.75" customHeight="1">
      <c r="D692" s="65"/>
    </row>
    <row r="693" ht="15.75" customHeight="1">
      <c r="D693" s="65"/>
    </row>
    <row r="694" ht="15.75" customHeight="1">
      <c r="D694" s="65"/>
    </row>
    <row r="695" ht="15.75" customHeight="1">
      <c r="D695" s="65"/>
    </row>
    <row r="696" ht="15.75" customHeight="1">
      <c r="D696" s="65"/>
    </row>
    <row r="697" ht="15.75" customHeight="1">
      <c r="D697" s="65"/>
    </row>
    <row r="698" ht="15.75" customHeight="1">
      <c r="D698" s="65"/>
    </row>
    <row r="699" ht="15.75" customHeight="1">
      <c r="D699" s="65"/>
    </row>
    <row r="700" ht="15.75" customHeight="1">
      <c r="D700" s="65"/>
    </row>
    <row r="701" ht="15.75" customHeight="1">
      <c r="D701" s="65"/>
    </row>
    <row r="702" ht="15.75" customHeight="1">
      <c r="D702" s="65"/>
    </row>
    <row r="703" ht="15.75" customHeight="1">
      <c r="D703" s="65"/>
    </row>
    <row r="704" ht="15.75" customHeight="1">
      <c r="D704" s="65"/>
    </row>
    <row r="705" ht="15.75" customHeight="1">
      <c r="D705" s="65"/>
    </row>
    <row r="706" ht="15.75" customHeight="1">
      <c r="D706" s="65"/>
    </row>
    <row r="707" ht="15.75" customHeight="1">
      <c r="D707" s="65"/>
    </row>
    <row r="708" ht="15.75" customHeight="1">
      <c r="D708" s="65"/>
    </row>
    <row r="709" ht="15.75" customHeight="1">
      <c r="D709" s="65"/>
    </row>
    <row r="710" ht="15.75" customHeight="1">
      <c r="D710" s="65"/>
    </row>
    <row r="711" ht="15.75" customHeight="1">
      <c r="D711" s="65"/>
    </row>
    <row r="712" ht="15.75" customHeight="1">
      <c r="D712" s="65"/>
    </row>
    <row r="713" ht="15.75" customHeight="1">
      <c r="D713" s="65"/>
    </row>
    <row r="714" ht="15.75" customHeight="1">
      <c r="D714" s="65"/>
    </row>
    <row r="715" ht="15.75" customHeight="1">
      <c r="D715" s="65"/>
    </row>
    <row r="716" ht="15.75" customHeight="1">
      <c r="D716" s="65"/>
    </row>
    <row r="717" ht="15.75" customHeight="1">
      <c r="D717" s="65"/>
    </row>
    <row r="718" ht="15.75" customHeight="1">
      <c r="D718" s="65"/>
    </row>
    <row r="719" ht="15.75" customHeight="1">
      <c r="D719" s="65"/>
    </row>
    <row r="720" ht="15.75" customHeight="1">
      <c r="D720" s="65"/>
    </row>
    <row r="721" ht="15.75" customHeight="1">
      <c r="D721" s="65"/>
    </row>
    <row r="722" ht="15.75" customHeight="1">
      <c r="D722" s="65"/>
    </row>
    <row r="723" ht="15.75" customHeight="1">
      <c r="D723" s="65"/>
    </row>
    <row r="724" ht="15.75" customHeight="1">
      <c r="D724" s="65"/>
    </row>
    <row r="725" ht="15.75" customHeight="1">
      <c r="D725" s="65"/>
    </row>
    <row r="726" ht="15.75" customHeight="1">
      <c r="D726" s="65"/>
    </row>
    <row r="727" ht="15.75" customHeight="1">
      <c r="D727" s="65"/>
    </row>
    <row r="728" ht="15.75" customHeight="1">
      <c r="D728" s="65"/>
    </row>
    <row r="729" ht="15.75" customHeight="1">
      <c r="D729" s="65"/>
    </row>
    <row r="730" ht="15.75" customHeight="1">
      <c r="D730" s="65"/>
    </row>
    <row r="731" ht="15.75" customHeight="1">
      <c r="D731" s="65"/>
    </row>
    <row r="732" ht="15.75" customHeight="1">
      <c r="D732" s="65"/>
    </row>
    <row r="733" ht="15.75" customHeight="1">
      <c r="D733" s="65"/>
    </row>
    <row r="734" ht="15.75" customHeight="1">
      <c r="D734" s="65"/>
    </row>
    <row r="735" ht="15.75" customHeight="1">
      <c r="D735" s="65"/>
    </row>
    <row r="736" ht="15.75" customHeight="1">
      <c r="D736" s="65"/>
    </row>
    <row r="737" ht="15.75" customHeight="1">
      <c r="D737" s="65"/>
    </row>
    <row r="738" ht="15.75" customHeight="1">
      <c r="D738" s="65"/>
    </row>
    <row r="739" ht="15.75" customHeight="1">
      <c r="D739" s="65"/>
    </row>
    <row r="740" ht="15.75" customHeight="1">
      <c r="D740" s="65"/>
    </row>
    <row r="741" ht="15.75" customHeight="1">
      <c r="D741" s="65"/>
    </row>
    <row r="742" ht="15.75" customHeight="1">
      <c r="D742" s="65"/>
    </row>
    <row r="743" ht="15.75" customHeight="1">
      <c r="D743" s="65"/>
    </row>
    <row r="744" ht="15.75" customHeight="1">
      <c r="D744" s="65"/>
    </row>
    <row r="745" ht="15.75" customHeight="1">
      <c r="D745" s="65"/>
    </row>
    <row r="746" ht="15.75" customHeight="1">
      <c r="D746" s="65"/>
    </row>
    <row r="747" ht="15.75" customHeight="1">
      <c r="D747" s="65"/>
    </row>
    <row r="748" ht="15.75" customHeight="1">
      <c r="D748" s="65"/>
    </row>
    <row r="749" ht="15.75" customHeight="1">
      <c r="D749" s="65"/>
    </row>
    <row r="750" ht="15.75" customHeight="1">
      <c r="D750" s="65"/>
    </row>
    <row r="751" ht="15.75" customHeight="1">
      <c r="D751" s="65"/>
    </row>
    <row r="752" ht="15.75" customHeight="1">
      <c r="D752" s="65"/>
    </row>
    <row r="753" ht="15.75" customHeight="1">
      <c r="D753" s="65"/>
    </row>
    <row r="754" ht="15.75" customHeight="1">
      <c r="D754" s="65"/>
    </row>
    <row r="755" ht="15.75" customHeight="1">
      <c r="D755" s="65"/>
    </row>
    <row r="756" ht="15.75" customHeight="1">
      <c r="D756" s="65"/>
    </row>
    <row r="757" ht="15.75" customHeight="1">
      <c r="D757" s="65"/>
    </row>
    <row r="758" ht="15.75" customHeight="1">
      <c r="D758" s="65"/>
    </row>
    <row r="759" ht="15.75" customHeight="1">
      <c r="D759" s="65"/>
    </row>
    <row r="760" ht="15.75" customHeight="1">
      <c r="D760" s="65"/>
    </row>
    <row r="761" ht="15.75" customHeight="1">
      <c r="D761" s="65"/>
    </row>
    <row r="762" ht="15.75" customHeight="1">
      <c r="D762" s="65"/>
    </row>
    <row r="763" ht="15.75" customHeight="1">
      <c r="D763" s="65"/>
    </row>
    <row r="764" ht="15.75" customHeight="1">
      <c r="D764" s="65"/>
    </row>
    <row r="765" ht="15.75" customHeight="1">
      <c r="D765" s="65"/>
    </row>
    <row r="766" ht="15.75" customHeight="1">
      <c r="D766" s="65"/>
    </row>
    <row r="767" ht="15.75" customHeight="1">
      <c r="D767" s="65"/>
    </row>
    <row r="768" ht="15.75" customHeight="1">
      <c r="D768" s="65"/>
    </row>
    <row r="769" ht="15.75" customHeight="1">
      <c r="D769" s="65"/>
    </row>
    <row r="770" ht="15.75" customHeight="1">
      <c r="D770" s="65"/>
    </row>
    <row r="771" ht="15.75" customHeight="1">
      <c r="D771" s="65"/>
    </row>
    <row r="772" ht="15.75" customHeight="1">
      <c r="D772" s="65"/>
    </row>
    <row r="773" ht="15.75" customHeight="1">
      <c r="D773" s="65"/>
    </row>
    <row r="774" ht="15.75" customHeight="1">
      <c r="D774" s="65"/>
    </row>
    <row r="775" ht="15.75" customHeight="1">
      <c r="D775" s="65"/>
    </row>
    <row r="776" ht="15.75" customHeight="1">
      <c r="D776" s="65"/>
    </row>
    <row r="777" ht="15.75" customHeight="1">
      <c r="D777" s="65"/>
    </row>
    <row r="778" ht="15.75" customHeight="1">
      <c r="D778" s="65"/>
    </row>
    <row r="779" ht="15.75" customHeight="1">
      <c r="D779" s="65"/>
    </row>
    <row r="780" ht="15.75" customHeight="1">
      <c r="D780" s="65"/>
    </row>
    <row r="781" ht="15.75" customHeight="1">
      <c r="D781" s="65"/>
    </row>
    <row r="782" ht="15.75" customHeight="1">
      <c r="D782" s="65"/>
    </row>
    <row r="783" ht="15.75" customHeight="1">
      <c r="D783" s="65"/>
    </row>
    <row r="784" ht="15.75" customHeight="1">
      <c r="D784" s="65"/>
    </row>
    <row r="785" ht="15.75" customHeight="1">
      <c r="D785" s="65"/>
    </row>
    <row r="786" ht="15.75" customHeight="1">
      <c r="D786" s="65"/>
    </row>
    <row r="787" ht="15.75" customHeight="1">
      <c r="D787" s="65"/>
    </row>
    <row r="788" ht="15.75" customHeight="1">
      <c r="D788" s="65"/>
    </row>
    <row r="789" ht="15.75" customHeight="1">
      <c r="D789" s="65"/>
    </row>
    <row r="790" ht="15.75" customHeight="1">
      <c r="D790" s="65"/>
    </row>
    <row r="791" ht="15.75" customHeight="1">
      <c r="D791" s="65"/>
    </row>
    <row r="792" ht="15.75" customHeight="1">
      <c r="D792" s="65"/>
    </row>
    <row r="793" ht="15.75" customHeight="1">
      <c r="D793" s="65"/>
    </row>
    <row r="794" ht="15.75" customHeight="1">
      <c r="D794" s="65"/>
    </row>
    <row r="795" ht="15.75" customHeight="1">
      <c r="D795" s="65"/>
    </row>
    <row r="796" ht="15.75" customHeight="1">
      <c r="D796" s="65"/>
    </row>
    <row r="797" ht="15.75" customHeight="1">
      <c r="D797" s="65"/>
    </row>
    <row r="798" ht="15.75" customHeight="1">
      <c r="D798" s="65"/>
    </row>
    <row r="799" ht="15.75" customHeight="1">
      <c r="D799" s="65"/>
    </row>
    <row r="800" ht="15.75" customHeight="1">
      <c r="D800" s="65"/>
    </row>
    <row r="801" ht="15.75" customHeight="1">
      <c r="D801" s="65"/>
    </row>
    <row r="802" ht="15.75" customHeight="1">
      <c r="D802" s="65"/>
    </row>
    <row r="803" ht="15.75" customHeight="1">
      <c r="D803" s="65"/>
    </row>
    <row r="804" ht="15.75" customHeight="1">
      <c r="D804" s="65"/>
    </row>
    <row r="805" ht="15.75" customHeight="1">
      <c r="D805" s="65"/>
    </row>
    <row r="806" ht="15.75" customHeight="1">
      <c r="D806" s="65"/>
    </row>
    <row r="807" ht="15.75" customHeight="1">
      <c r="D807" s="65"/>
    </row>
    <row r="808" ht="15.75" customHeight="1">
      <c r="D808" s="65"/>
    </row>
    <row r="809" ht="15.75" customHeight="1">
      <c r="D809" s="65"/>
    </row>
    <row r="810" ht="15.75" customHeight="1">
      <c r="D810" s="65"/>
    </row>
    <row r="811" ht="15.75" customHeight="1">
      <c r="D811" s="65"/>
    </row>
    <row r="812" ht="15.75" customHeight="1">
      <c r="D812" s="65"/>
    </row>
    <row r="813" ht="15.75" customHeight="1">
      <c r="D813" s="65"/>
    </row>
    <row r="814" ht="15.75" customHeight="1">
      <c r="D814" s="65"/>
    </row>
    <row r="815" ht="15.75" customHeight="1">
      <c r="D815" s="65"/>
    </row>
    <row r="816" ht="15.75" customHeight="1">
      <c r="D816" s="65"/>
    </row>
    <row r="817" ht="15.75" customHeight="1">
      <c r="D817" s="65"/>
    </row>
    <row r="818" ht="15.75" customHeight="1">
      <c r="D818" s="65"/>
    </row>
    <row r="819" ht="15.75" customHeight="1">
      <c r="D819" s="65"/>
    </row>
    <row r="820" ht="15.75" customHeight="1">
      <c r="D820" s="65"/>
    </row>
    <row r="821" ht="15.75" customHeight="1">
      <c r="D821" s="65"/>
    </row>
    <row r="822" ht="15.75" customHeight="1">
      <c r="D822" s="65"/>
    </row>
    <row r="823" ht="15.75" customHeight="1">
      <c r="D823" s="65"/>
    </row>
    <row r="824" ht="15.75" customHeight="1">
      <c r="D824" s="65"/>
    </row>
    <row r="825" ht="15.75" customHeight="1">
      <c r="D825" s="65"/>
    </row>
    <row r="826" ht="15.75" customHeight="1">
      <c r="D826" s="65"/>
    </row>
    <row r="827" ht="15.75" customHeight="1">
      <c r="D827" s="65"/>
    </row>
    <row r="828" ht="15.75" customHeight="1">
      <c r="D828" s="65"/>
    </row>
    <row r="829" ht="15.75" customHeight="1">
      <c r="D829" s="65"/>
    </row>
    <row r="830" ht="15.75" customHeight="1">
      <c r="D830" s="65"/>
    </row>
    <row r="831" ht="15.75" customHeight="1">
      <c r="D831" s="65"/>
    </row>
    <row r="832" ht="15.75" customHeight="1">
      <c r="D832" s="65"/>
    </row>
    <row r="833" ht="15.75" customHeight="1">
      <c r="D833" s="65"/>
    </row>
    <row r="834" ht="15.75" customHeight="1">
      <c r="D834" s="65"/>
    </row>
    <row r="835" ht="15.75" customHeight="1">
      <c r="D835" s="65"/>
    </row>
    <row r="836" ht="15.75" customHeight="1">
      <c r="D836" s="65"/>
    </row>
    <row r="837" ht="15.75" customHeight="1">
      <c r="D837" s="65"/>
    </row>
    <row r="838" ht="15.75" customHeight="1">
      <c r="D838" s="65"/>
    </row>
    <row r="839" ht="15.75" customHeight="1">
      <c r="D839" s="65"/>
    </row>
    <row r="840" ht="15.75" customHeight="1">
      <c r="D840" s="65"/>
    </row>
    <row r="841" ht="15.75" customHeight="1">
      <c r="D841" s="65"/>
    </row>
    <row r="842" ht="15.75" customHeight="1">
      <c r="D842" s="65"/>
    </row>
    <row r="843" ht="15.75" customHeight="1">
      <c r="D843" s="65"/>
    </row>
    <row r="844" ht="15.75" customHeight="1">
      <c r="D844" s="65"/>
    </row>
    <row r="845" ht="15.75" customHeight="1">
      <c r="D845" s="65"/>
    </row>
    <row r="846" ht="15.75" customHeight="1">
      <c r="D846" s="65"/>
    </row>
    <row r="847" ht="15.75" customHeight="1">
      <c r="D847" s="65"/>
    </row>
    <row r="848" ht="15.75" customHeight="1">
      <c r="D848" s="65"/>
    </row>
    <row r="849" ht="15.75" customHeight="1">
      <c r="D849" s="65"/>
    </row>
    <row r="850" ht="15.75" customHeight="1">
      <c r="D850" s="65"/>
    </row>
    <row r="851" ht="15.75" customHeight="1">
      <c r="D851" s="65"/>
    </row>
    <row r="852" ht="15.75" customHeight="1">
      <c r="D852" s="65"/>
    </row>
    <row r="853" ht="15.75" customHeight="1">
      <c r="D853" s="65"/>
    </row>
    <row r="854" ht="15.75" customHeight="1">
      <c r="D854" s="65"/>
    </row>
    <row r="855" ht="15.75" customHeight="1">
      <c r="D855" s="65"/>
    </row>
    <row r="856" ht="15.75" customHeight="1">
      <c r="D856" s="65"/>
    </row>
    <row r="857" ht="15.75" customHeight="1">
      <c r="D857" s="65"/>
    </row>
    <row r="858" ht="15.75" customHeight="1">
      <c r="D858" s="65"/>
    </row>
    <row r="859" ht="15.75" customHeight="1">
      <c r="D859" s="65"/>
    </row>
    <row r="860" ht="15.75" customHeight="1">
      <c r="D860" s="65"/>
    </row>
    <row r="861" ht="15.75" customHeight="1">
      <c r="D861" s="65"/>
    </row>
    <row r="862" ht="15.75" customHeight="1">
      <c r="D862" s="65"/>
    </row>
    <row r="863" ht="15.75" customHeight="1">
      <c r="D863" s="65"/>
    </row>
    <row r="864" ht="15.75" customHeight="1">
      <c r="D864" s="65"/>
    </row>
    <row r="865" ht="15.75" customHeight="1">
      <c r="D865" s="65"/>
    </row>
    <row r="866" ht="15.75" customHeight="1">
      <c r="D866" s="65"/>
    </row>
    <row r="867" ht="15.75" customHeight="1">
      <c r="D867" s="65"/>
    </row>
    <row r="868" ht="15.75" customHeight="1">
      <c r="D868" s="65"/>
    </row>
    <row r="869" ht="15.75" customHeight="1">
      <c r="D869" s="65"/>
    </row>
    <row r="870" ht="15.75" customHeight="1">
      <c r="D870" s="65"/>
    </row>
    <row r="871" ht="15.75" customHeight="1">
      <c r="D871" s="65"/>
    </row>
    <row r="872" ht="15.75" customHeight="1">
      <c r="D872" s="65"/>
    </row>
    <row r="873" ht="15.75" customHeight="1">
      <c r="D873" s="65"/>
    </row>
    <row r="874" ht="15.75" customHeight="1">
      <c r="D874" s="65"/>
    </row>
    <row r="875" ht="15.75" customHeight="1">
      <c r="D875" s="65"/>
    </row>
    <row r="876" ht="15.75" customHeight="1">
      <c r="D876" s="65"/>
    </row>
    <row r="877" ht="15.75" customHeight="1">
      <c r="D877" s="65"/>
    </row>
    <row r="878" ht="15.75" customHeight="1">
      <c r="D878" s="65"/>
    </row>
    <row r="879" ht="15.75" customHeight="1">
      <c r="D879" s="65"/>
    </row>
    <row r="880" ht="15.75" customHeight="1">
      <c r="D880" s="65"/>
    </row>
    <row r="881" ht="15.75" customHeight="1">
      <c r="D881" s="65"/>
    </row>
    <row r="882" ht="15.75" customHeight="1">
      <c r="D882" s="65"/>
    </row>
    <row r="883" ht="15.75" customHeight="1">
      <c r="D883" s="65"/>
    </row>
    <row r="884" ht="15.75" customHeight="1">
      <c r="D884" s="65"/>
    </row>
    <row r="885" ht="15.75" customHeight="1">
      <c r="D885" s="65"/>
    </row>
    <row r="886" ht="15.75" customHeight="1">
      <c r="D886" s="65"/>
    </row>
    <row r="887" ht="15.75" customHeight="1">
      <c r="D887" s="65"/>
    </row>
    <row r="888" ht="15.75" customHeight="1">
      <c r="D888" s="65"/>
    </row>
    <row r="889" ht="15.75" customHeight="1">
      <c r="D889" s="65"/>
    </row>
    <row r="890" ht="15.75" customHeight="1">
      <c r="D890" s="65"/>
    </row>
    <row r="891" ht="15.75" customHeight="1">
      <c r="D891" s="65"/>
    </row>
    <row r="892" ht="15.75" customHeight="1">
      <c r="D892" s="65"/>
    </row>
    <row r="893" ht="15.75" customHeight="1">
      <c r="D893" s="65"/>
    </row>
    <row r="894" ht="15.75" customHeight="1">
      <c r="D894" s="65"/>
    </row>
    <row r="895" ht="15.75" customHeight="1">
      <c r="D895" s="65"/>
    </row>
    <row r="896" ht="15.75" customHeight="1">
      <c r="D896" s="65"/>
    </row>
    <row r="897" ht="15.75" customHeight="1">
      <c r="D897" s="65"/>
    </row>
    <row r="898" ht="15.75" customHeight="1">
      <c r="D898" s="65"/>
    </row>
    <row r="899" ht="15.75" customHeight="1">
      <c r="D899" s="65"/>
    </row>
    <row r="900" ht="15.75" customHeight="1">
      <c r="D900" s="65"/>
    </row>
    <row r="901" ht="15.75" customHeight="1">
      <c r="D901" s="65"/>
    </row>
    <row r="902" ht="15.75" customHeight="1">
      <c r="D902" s="65"/>
    </row>
    <row r="903" ht="15.75" customHeight="1">
      <c r="D903" s="65"/>
    </row>
    <row r="904" ht="15.75" customHeight="1">
      <c r="D904" s="65"/>
    </row>
    <row r="905" ht="15.75" customHeight="1">
      <c r="D905" s="65"/>
    </row>
    <row r="906" ht="15.75" customHeight="1">
      <c r="D906" s="65"/>
    </row>
    <row r="907" ht="15.75" customHeight="1">
      <c r="D907" s="65"/>
    </row>
    <row r="908" ht="15.75" customHeight="1">
      <c r="D908" s="65"/>
    </row>
    <row r="909" ht="15.75" customHeight="1">
      <c r="D909" s="65"/>
    </row>
    <row r="910" ht="15.75" customHeight="1">
      <c r="D910" s="65"/>
    </row>
    <row r="911" ht="15.75" customHeight="1">
      <c r="D911" s="65"/>
    </row>
    <row r="912" ht="15.75" customHeight="1">
      <c r="D912" s="65"/>
    </row>
    <row r="913" ht="15.75" customHeight="1">
      <c r="D913" s="65"/>
    </row>
    <row r="914" ht="15.75" customHeight="1">
      <c r="D914" s="65"/>
    </row>
    <row r="915" ht="15.75" customHeight="1">
      <c r="D915" s="65"/>
    </row>
    <row r="916" ht="15.75" customHeight="1">
      <c r="D916" s="65"/>
    </row>
    <row r="917" ht="15.75" customHeight="1">
      <c r="D917" s="65"/>
    </row>
    <row r="918" ht="15.75" customHeight="1">
      <c r="D918" s="65"/>
    </row>
    <row r="919" ht="15.75" customHeight="1">
      <c r="D919" s="65"/>
    </row>
    <row r="920" ht="15.75" customHeight="1">
      <c r="D920" s="65"/>
    </row>
    <row r="921" ht="15.75" customHeight="1">
      <c r="D921" s="65"/>
    </row>
    <row r="922" ht="15.75" customHeight="1">
      <c r="D922" s="65"/>
    </row>
    <row r="923" ht="15.75" customHeight="1">
      <c r="D923" s="65"/>
    </row>
    <row r="924" ht="15.75" customHeight="1">
      <c r="D924" s="65"/>
    </row>
    <row r="925" ht="15.75" customHeight="1">
      <c r="D925" s="65"/>
    </row>
    <row r="926" ht="15.75" customHeight="1">
      <c r="D926" s="65"/>
    </row>
    <row r="927" ht="15.75" customHeight="1">
      <c r="D927" s="65"/>
    </row>
    <row r="928" ht="15.75" customHeight="1">
      <c r="D928" s="65"/>
    </row>
    <row r="929" ht="15.75" customHeight="1">
      <c r="D929" s="65"/>
    </row>
    <row r="930" ht="15.75" customHeight="1">
      <c r="D930" s="65"/>
    </row>
    <row r="931" ht="15.75" customHeight="1">
      <c r="D931" s="65"/>
    </row>
    <row r="932" ht="15.75" customHeight="1">
      <c r="D932" s="65"/>
    </row>
    <row r="933" ht="15.75" customHeight="1">
      <c r="D933" s="65"/>
    </row>
    <row r="934" ht="15.75" customHeight="1">
      <c r="D934" s="65"/>
    </row>
    <row r="935" ht="15.75" customHeight="1">
      <c r="D935" s="65"/>
    </row>
    <row r="936" ht="15.75" customHeight="1">
      <c r="D936" s="65"/>
    </row>
    <row r="937" ht="15.75" customHeight="1">
      <c r="D937" s="65"/>
    </row>
    <row r="938" ht="15.75" customHeight="1">
      <c r="D938" s="65"/>
    </row>
    <row r="939" ht="15.75" customHeight="1">
      <c r="D939" s="65"/>
    </row>
    <row r="940" ht="15.75" customHeight="1">
      <c r="D940" s="65"/>
    </row>
    <row r="941" ht="15.75" customHeight="1">
      <c r="D941" s="65"/>
    </row>
    <row r="942" ht="15.75" customHeight="1">
      <c r="D942" s="65"/>
    </row>
    <row r="943" ht="15.75" customHeight="1">
      <c r="D943" s="65"/>
    </row>
    <row r="944" ht="15.75" customHeight="1">
      <c r="D944" s="65"/>
    </row>
    <row r="945" ht="15.75" customHeight="1">
      <c r="D945" s="65"/>
    </row>
    <row r="946" ht="15.75" customHeight="1">
      <c r="D946" s="65"/>
    </row>
    <row r="947" ht="15.75" customHeight="1">
      <c r="D947" s="65"/>
    </row>
    <row r="948" ht="15.75" customHeight="1">
      <c r="D948" s="65"/>
    </row>
    <row r="949" ht="15.75" customHeight="1">
      <c r="D949" s="65"/>
    </row>
    <row r="950" ht="15.75" customHeight="1">
      <c r="D950" s="65"/>
    </row>
    <row r="951" ht="15.75" customHeight="1">
      <c r="D951" s="65"/>
    </row>
    <row r="952" ht="15.75" customHeight="1">
      <c r="D952" s="65"/>
    </row>
    <row r="953" ht="15.75" customHeight="1">
      <c r="D953" s="65"/>
    </row>
    <row r="954" ht="15.75" customHeight="1">
      <c r="D954" s="65"/>
    </row>
    <row r="955" ht="15.75" customHeight="1">
      <c r="D955" s="65"/>
    </row>
    <row r="956" ht="15.75" customHeight="1">
      <c r="D956" s="65"/>
    </row>
    <row r="957" ht="15.75" customHeight="1">
      <c r="D957" s="65"/>
    </row>
    <row r="958" ht="15.75" customHeight="1">
      <c r="D958" s="65"/>
    </row>
    <row r="959" ht="15.75" customHeight="1">
      <c r="D959" s="65"/>
    </row>
    <row r="960" ht="15.75" customHeight="1">
      <c r="D960" s="65"/>
    </row>
    <row r="961" ht="15.75" customHeight="1">
      <c r="D961" s="65"/>
    </row>
    <row r="962" ht="15.75" customHeight="1">
      <c r="D962" s="65"/>
    </row>
    <row r="963" ht="15.75" customHeight="1">
      <c r="D963" s="65"/>
    </row>
    <row r="964" ht="15.75" customHeight="1">
      <c r="D964" s="65"/>
    </row>
    <row r="965" ht="15.75" customHeight="1">
      <c r="D965" s="65"/>
    </row>
    <row r="966" ht="15.75" customHeight="1">
      <c r="D966" s="65"/>
    </row>
    <row r="967" ht="15.75" customHeight="1">
      <c r="D967" s="65"/>
    </row>
    <row r="968" ht="15.75" customHeight="1">
      <c r="D968" s="65"/>
    </row>
    <row r="969" ht="15.75" customHeight="1">
      <c r="D969" s="65"/>
    </row>
    <row r="970" ht="15.75" customHeight="1">
      <c r="D970" s="65"/>
    </row>
    <row r="971" ht="15.75" customHeight="1">
      <c r="D971" s="65"/>
    </row>
    <row r="972" ht="15.75" customHeight="1">
      <c r="D972" s="65"/>
    </row>
    <row r="973" ht="15.75" customHeight="1">
      <c r="D973" s="65"/>
    </row>
    <row r="974" ht="15.75" customHeight="1">
      <c r="D974" s="65"/>
    </row>
    <row r="975" ht="15.75" customHeight="1">
      <c r="D975" s="65"/>
    </row>
    <row r="976" ht="15.75" customHeight="1">
      <c r="D976" s="65"/>
    </row>
    <row r="977" ht="15.75" customHeight="1">
      <c r="D977" s="65"/>
    </row>
    <row r="978" ht="15.75" customHeight="1">
      <c r="D978" s="65"/>
    </row>
    <row r="979" ht="15.75" customHeight="1">
      <c r="D979" s="65"/>
    </row>
    <row r="980" ht="15.75" customHeight="1">
      <c r="D980" s="65"/>
    </row>
    <row r="981" ht="15.75" customHeight="1">
      <c r="D981" s="65"/>
    </row>
    <row r="982" ht="15.75" customHeight="1">
      <c r="D982" s="65"/>
    </row>
    <row r="983" ht="15.75" customHeight="1">
      <c r="D983" s="65"/>
    </row>
    <row r="984" ht="15.75" customHeight="1">
      <c r="D984" s="65"/>
    </row>
    <row r="985" ht="15.75" customHeight="1">
      <c r="D985" s="65"/>
    </row>
    <row r="986" ht="15.75" customHeight="1">
      <c r="D986" s="65"/>
    </row>
    <row r="987" ht="15.75" customHeight="1">
      <c r="D987" s="65"/>
    </row>
    <row r="988" ht="15.75" customHeight="1">
      <c r="D988" s="65"/>
    </row>
    <row r="989" ht="15.75" customHeight="1">
      <c r="D989" s="65"/>
    </row>
    <row r="990" ht="15.75" customHeight="1">
      <c r="D990" s="65"/>
    </row>
    <row r="991" ht="15.75" customHeight="1">
      <c r="D991" s="65"/>
    </row>
    <row r="992" ht="15.75" customHeight="1">
      <c r="D992" s="65"/>
    </row>
    <row r="993" ht="15.75" customHeight="1">
      <c r="D993" s="65"/>
    </row>
    <row r="994" ht="15.75" customHeight="1">
      <c r="D994" s="65"/>
    </row>
    <row r="995" ht="15.75" customHeight="1">
      <c r="D995" s="65"/>
    </row>
    <row r="996" ht="15.75" customHeight="1">
      <c r="D996" s="65"/>
    </row>
    <row r="997" ht="15.75" customHeight="1">
      <c r="D997" s="65"/>
    </row>
    <row r="998" ht="15.75" customHeight="1">
      <c r="D998" s="65"/>
    </row>
    <row r="999" ht="15.75" customHeight="1">
      <c r="D999" s="65"/>
    </row>
    <row r="1000" ht="15.75" customHeight="1">
      <c r="D1000" s="65"/>
    </row>
  </sheetData>
  <mergeCells count="2">
    <mergeCell ref="A1:A2"/>
    <mergeCell ref="B1:C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86"/>
    <col customWidth="1" hidden="1" min="2" max="2" width="23.86"/>
    <col customWidth="1" min="3" max="5" width="23.86"/>
    <col customWidth="1" min="6" max="6" width="10.86"/>
    <col customWidth="1" min="7" max="7" width="9.14"/>
    <col customWidth="1" min="8" max="8" width="11.71"/>
    <col customWidth="1" min="9" max="11" width="9.14"/>
    <col customWidth="1" min="12" max="12" width="10.86"/>
    <col customWidth="1" min="13" max="24" width="9.14"/>
  </cols>
  <sheetData>
    <row r="1" ht="16.5" customHeight="1">
      <c r="A1" s="67" t="s">
        <v>0</v>
      </c>
      <c r="B1" s="68" t="s">
        <v>12</v>
      </c>
      <c r="C1" s="69"/>
      <c r="D1" s="70" t="s">
        <v>11</v>
      </c>
      <c r="E1" s="70" t="s">
        <v>14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ht="19.5" customHeight="1">
      <c r="A2" s="72"/>
      <c r="B2" s="73" t="s">
        <v>51</v>
      </c>
      <c r="C2" s="2" t="s">
        <v>3</v>
      </c>
      <c r="D2" s="74" t="s">
        <v>60</v>
      </c>
      <c r="E2" s="74" t="s">
        <v>60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ht="19.5" customHeight="1">
      <c r="A3" s="4" t="str">
        <f>'ORÇAMENTO_EXECUTIVO'!A3</f>
        <v>INFRAESTRUTURA</v>
      </c>
      <c r="B3" s="5" t="str">
        <f>'ORÇAMENTO_EXECUTIVO'!B3</f>
        <v>#ERROR!</v>
      </c>
      <c r="C3" s="92" t="str">
        <f>'ORÇAMENTO_EXECUTIVO'!D3</f>
        <v>#ERROR!</v>
      </c>
      <c r="D3" s="93">
        <f>'CÁLCULO_MÉDIAS'!D10</f>
        <v>175.9285593</v>
      </c>
      <c r="E3" s="7">
        <f>'CÁLCULO_MÉDIAS'!J10</f>
        <v>262.4793746</v>
      </c>
      <c r="F3" s="78"/>
      <c r="G3" s="77"/>
      <c r="H3" s="78"/>
      <c r="I3" s="79"/>
      <c r="J3" s="77"/>
      <c r="K3" s="78"/>
      <c r="L3" s="78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</row>
    <row r="4" ht="19.5" customHeight="1">
      <c r="A4" s="11" t="str">
        <f>'ORÇAMENTO_EXECUTIVO'!A4</f>
        <v>SUPRAESTRUTURA</v>
      </c>
      <c r="B4" s="12" t="str">
        <f>'ORÇAMENTO_EXECUTIVO'!B4</f>
        <v>#ERROR!</v>
      </c>
      <c r="C4" s="94" t="str">
        <f>'ORÇAMENTO_EXECUTIVO'!D4</f>
        <v>#ERROR!</v>
      </c>
      <c r="D4" s="95">
        <f>'CÁLCULO_MÉDIAS'!D11</f>
        <v>665.5065555</v>
      </c>
      <c r="E4" s="14">
        <f>'CÁLCULO_MÉDIAS'!J11</f>
        <v>664.8747485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</row>
    <row r="5" ht="19.5" customHeight="1">
      <c r="A5" s="4" t="str">
        <f>'ORÇAMENTO_EXECUTIVO'!A5</f>
        <v>ALVENARIA</v>
      </c>
      <c r="B5" s="5" t="str">
        <f>'ORÇAMENTO_EXECUTIVO'!B5</f>
        <v>#ERROR!</v>
      </c>
      <c r="C5" s="92" t="str">
        <f>'ORÇAMENTO_EXECUTIVO'!D5</f>
        <v>#ERROR!</v>
      </c>
      <c r="D5" s="93">
        <f>'CÁLCULO_MÉDIAS'!D12</f>
        <v>150.0051462</v>
      </c>
      <c r="E5" s="7">
        <f>'CÁLCULO_MÉDIAS'!J12</f>
        <v>112.8886753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</row>
    <row r="6" ht="19.5" customHeight="1">
      <c r="A6" s="11" t="str">
        <f>'ORÇAMENTO_EXECUTIVO'!A6</f>
        <v>INSTALAÇÕES ELÉTRICAS, HIDRÁULICAS, GLP E PREVENTIVAS</v>
      </c>
      <c r="B6" s="12" t="str">
        <f>'ORÇAMENTO_EXECUTIVO'!B6</f>
        <v>#ERROR!</v>
      </c>
      <c r="C6" s="94" t="str">
        <f>'ORÇAMENTO_EXECUTIVO'!D6</f>
        <v>#ERROR!</v>
      </c>
      <c r="D6" s="95">
        <f>'CÁLCULO_MÉDIAS'!D13</f>
        <v>280.458955</v>
      </c>
      <c r="E6" s="14">
        <f>'CÁLCULO_MÉDIAS'!J13</f>
        <v>295.2780243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AA6" s="82" t="s">
        <v>54</v>
      </c>
    </row>
    <row r="7" ht="19.5" customHeight="1">
      <c r="A7" s="4" t="str">
        <f>'ORÇAMENTO_EXECUTIVO'!A7</f>
        <v>EQUIPAMENTOS E SISTEMAS ESPECIAIS</v>
      </c>
      <c r="B7" s="5" t="str">
        <f>'ORÇAMENTO_EXECUTIVO'!B7</f>
        <v>#ERROR!</v>
      </c>
      <c r="C7" s="92" t="str">
        <f>'ORÇAMENTO_EXECUTIVO'!D7</f>
        <v>#ERROR!</v>
      </c>
      <c r="D7" s="93">
        <f>'CÁLCULO_MÉDIAS'!D14</f>
        <v>157.0513729</v>
      </c>
      <c r="E7" s="7">
        <f>'CÁLCULO_MÉDIAS'!J14</f>
        <v>211.1171529</v>
      </c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AA7" s="82" t="s">
        <v>55</v>
      </c>
    </row>
    <row r="8" ht="19.5" customHeight="1">
      <c r="A8" s="11" t="str">
        <f>'ORÇAMENTO_EXECUTIVO'!A8</f>
        <v>IMPERMEABILIZAÇÃO</v>
      </c>
      <c r="B8" s="12" t="str">
        <f>'ORÇAMENTO_EXECUTIVO'!B8</f>
        <v>#ERROR!</v>
      </c>
      <c r="C8" s="94" t="str">
        <f>'ORÇAMENTO_EXECUTIVO'!D8</f>
        <v>#ERROR!</v>
      </c>
      <c r="D8" s="95">
        <f>'CÁLCULO_MÉDIAS'!D15</f>
        <v>71.48674075</v>
      </c>
      <c r="E8" s="14">
        <f>'CÁLCULO_MÉDIAS'!J15</f>
        <v>59.27202956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</row>
    <row r="9" ht="19.5" customHeight="1">
      <c r="A9" s="4" t="str">
        <f>'ORÇAMENTO_EXECUTIVO'!A9</f>
        <v>REVESTIMENTOS INTERNOS EM PISO E PAREDE</v>
      </c>
      <c r="B9" s="5" t="str">
        <f>'ORÇAMENTO_EXECUTIVO'!B9</f>
        <v>#ERROR!</v>
      </c>
      <c r="C9" s="92" t="str">
        <f>'ORÇAMENTO_EXECUTIVO'!D9</f>
        <v>#ERROR!</v>
      </c>
      <c r="D9" s="93">
        <f>'CÁLCULO_MÉDIAS'!D16</f>
        <v>156.1991816</v>
      </c>
      <c r="E9" s="7">
        <f>'CÁLCULO_MÉDIAS'!J16</f>
        <v>138.0738128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</row>
    <row r="10" ht="19.5" customHeight="1">
      <c r="A10" s="11" t="str">
        <f>'ORÇAMENTO_EXECUTIVO'!A10</f>
        <v>REVESTIMENTOS E ACABAMENTOS INTERNOS EM TETO</v>
      </c>
      <c r="B10" s="12" t="str">
        <f>'ORÇAMENTO_EXECUTIVO'!B10</f>
        <v>#ERROR!</v>
      </c>
      <c r="C10" s="94" t="str">
        <f>'ORÇAMENTO_EXECUTIVO'!D10</f>
        <v>#ERROR!</v>
      </c>
      <c r="D10" s="95">
        <f>'CÁLCULO_MÉDIAS'!D17</f>
        <v>56.21757603</v>
      </c>
      <c r="E10" s="14">
        <f>'CÁLCULO_MÉDIAS'!J17</f>
        <v>48.74708973</v>
      </c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</row>
    <row r="11" ht="19.5" customHeight="1">
      <c r="A11" s="4" t="str">
        <f>'ORÇAMENTO_EXECUTIVO'!A11</f>
        <v>ACABAMENTOS EM PISO E PAREDE</v>
      </c>
      <c r="B11" s="5" t="str">
        <f>'ORÇAMENTO_EXECUTIVO'!B11</f>
        <v>#ERROR!</v>
      </c>
      <c r="C11" s="92" t="str">
        <f>'ORÇAMENTO_EXECUTIVO'!D11</f>
        <v>#ERROR!</v>
      </c>
      <c r="D11" s="93">
        <f>'CÁLCULO_MÉDIAS'!D18</f>
        <v>215.3913364</v>
      </c>
      <c r="E11" s="7">
        <f>'CÁLCULO_MÉDIAS'!J18</f>
        <v>143.4586658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</row>
    <row r="12" ht="19.5" customHeight="1">
      <c r="A12" s="11" t="str">
        <f>'ORÇAMENTO_EXECUTIVO'!A12</f>
        <v>PINTURA INTERNA</v>
      </c>
      <c r="B12" s="12" t="str">
        <f>'ORÇAMENTO_EXECUTIVO'!B12</f>
        <v>#ERROR!</v>
      </c>
      <c r="C12" s="94" t="str">
        <f>'ORÇAMENTO_EXECUTIVO'!D12</f>
        <v>#ERROR!</v>
      </c>
      <c r="D12" s="95">
        <f>'CÁLCULO_MÉDIAS'!D19</f>
        <v>128.5805232</v>
      </c>
      <c r="E12" s="14">
        <f>'CÁLCULO_MÉDIAS'!J19</f>
        <v>107.0014079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</row>
    <row r="13" ht="19.5" customHeight="1">
      <c r="A13" s="4" t="str">
        <f>'ORÇAMENTO_EXECUTIVO'!A13</f>
        <v>ESQUADRIAS, VIDROS E FERRAGENS</v>
      </c>
      <c r="B13" s="5" t="str">
        <f>'ORÇAMENTO_EXECUTIVO'!B13</f>
        <v>#ERROR!</v>
      </c>
      <c r="C13" s="92" t="str">
        <f>'ORÇAMENTO_EXECUTIVO'!D13</f>
        <v>#ERROR!</v>
      </c>
      <c r="D13" s="93">
        <f>'CÁLCULO_MÉDIAS'!D20</f>
        <v>249.5440271</v>
      </c>
      <c r="E13" s="7">
        <f>'CÁLCULO_MÉDIAS'!J20</f>
        <v>240.5277253</v>
      </c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</row>
    <row r="14" ht="19.5" customHeight="1">
      <c r="A14" s="11" t="str">
        <f>'ORÇAMENTO_EXECUTIVO'!A14</f>
        <v>COBERTURA</v>
      </c>
      <c r="B14" s="12" t="str">
        <f>'ORÇAMENTO_EXECUTIVO'!B14</f>
        <v>#ERROR!</v>
      </c>
      <c r="C14" s="94" t="str">
        <f>'ORÇAMENTO_EXECUTIVO'!D14</f>
        <v>#ERROR!</v>
      </c>
      <c r="D14" s="95">
        <f>'CÁLCULO_MÉDIAS'!D21</f>
        <v>12.9625109</v>
      </c>
      <c r="E14" s="14">
        <f>'CÁLCULO_MÉDIAS'!J21</f>
        <v>15.56196734</v>
      </c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</row>
    <row r="15" ht="19.5" customHeight="1">
      <c r="A15" s="4" t="str">
        <f>'ORÇAMENTO_EXECUTIVO'!A15</f>
        <v>REVESTIMENTOS E ACABAMENTOS DE FACHADA</v>
      </c>
      <c r="B15" s="5" t="str">
        <f>'ORÇAMENTO_EXECUTIVO'!B15</f>
        <v>#ERROR!</v>
      </c>
      <c r="C15" s="92" t="str">
        <f>'ORÇAMENTO_EXECUTIVO'!D15</f>
        <v>#ERROR!</v>
      </c>
      <c r="D15" s="93">
        <f>'CÁLCULO_MÉDIAS'!D22</f>
        <v>105.6213489</v>
      </c>
      <c r="E15" s="7">
        <f>'CÁLCULO_MÉDIAS'!J22</f>
        <v>162.7436534</v>
      </c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</row>
    <row r="16" ht="19.5" customHeight="1">
      <c r="A16" s="83" t="str">
        <f>'ORÇAMENTO_EXECUTIVO'!A16</f>
        <v>SERVIÇOS COMPLEMENTARES</v>
      </c>
      <c r="B16" s="84" t="str">
        <f>'ORÇAMENTO_EXECUTIVO'!B16</f>
        <v>#ERROR!</v>
      </c>
      <c r="C16" s="96" t="str">
        <f>'ORÇAMENTO_EXECUTIVO'!D16</f>
        <v>#ERROR!</v>
      </c>
      <c r="D16" s="95">
        <f>'CÁLCULO_MÉDIAS'!D23</f>
        <v>119.3164726</v>
      </c>
      <c r="E16" s="14">
        <f>'CÁLCULO_MÉDIAS'!J23</f>
        <v>95.62622809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</row>
    <row r="17" ht="19.5" customHeight="1">
      <c r="A17" s="86" t="s">
        <v>40</v>
      </c>
      <c r="B17" s="87" t="str">
        <f t="shared" ref="B17:D17" si="1">SUM(B3:B16)</f>
        <v>#ERROR!</v>
      </c>
      <c r="C17" s="97" t="str">
        <f t="shared" si="1"/>
        <v>#ERROR!</v>
      </c>
      <c r="D17" s="97">
        <f t="shared" si="1"/>
        <v>2544.270306</v>
      </c>
      <c r="E17" s="98">
        <f>'CÁLCULO_MÉDIAS'!J24</f>
        <v>2823.466478</v>
      </c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</row>
    <row r="18" ht="21.75" customHeight="1">
      <c r="A18" s="71"/>
      <c r="B18" s="90"/>
      <c r="C18" s="71"/>
      <c r="D18" s="71"/>
      <c r="E18" s="9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 ht="21.75" customHeight="1">
      <c r="A19" s="71"/>
      <c r="B19" s="90"/>
      <c r="C19" s="71"/>
      <c r="D19" s="71"/>
      <c r="E19" s="9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 ht="21.75" customHeight="1">
      <c r="A20" s="71"/>
      <c r="B20" s="90"/>
      <c r="C20" s="71"/>
      <c r="D20" s="71"/>
      <c r="E20" s="9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</row>
    <row r="21" ht="21.75" hidden="1" customHeight="1">
      <c r="A21" s="71"/>
      <c r="B21" s="90">
        <v>2007.57</v>
      </c>
      <c r="C21" s="71"/>
      <c r="D21" s="71"/>
      <c r="E21" s="9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</row>
    <row r="22" ht="21.75" hidden="1" customHeight="1">
      <c r="A22" s="71"/>
      <c r="B22" s="90">
        <v>2461.35</v>
      </c>
      <c r="C22" s="71"/>
      <c r="D22" s="71"/>
      <c r="E22" s="9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</row>
    <row r="23" ht="21.75" hidden="1" customHeight="1">
      <c r="A23" s="71"/>
      <c r="B23" s="90">
        <f>B22/B21</f>
        <v>1.22603446</v>
      </c>
      <c r="C23" s="71"/>
      <c r="D23" s="71"/>
      <c r="E23" s="9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</row>
    <row r="24" ht="21.75" hidden="1" customHeight="1">
      <c r="A24" s="71"/>
      <c r="B24" s="90"/>
      <c r="C24" s="71"/>
      <c r="D24" s="71"/>
      <c r="E24" s="9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</row>
    <row r="25" ht="21.75" hidden="1" customHeight="1">
      <c r="A25" s="71"/>
      <c r="B25" s="90"/>
      <c r="C25" s="71"/>
      <c r="D25" s="71"/>
      <c r="E25" s="9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</row>
    <row r="26" ht="21.75" hidden="1" customHeight="1">
      <c r="A26" s="71"/>
      <c r="B26" s="90"/>
      <c r="C26" s="71">
        <v>1.1023</v>
      </c>
      <c r="D26" s="71"/>
      <c r="E26" s="9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</row>
    <row r="27" ht="21.75" hidden="1" customHeight="1">
      <c r="A27" s="71"/>
      <c r="B27" s="90"/>
      <c r="C27" s="71"/>
      <c r="D27" s="71"/>
      <c r="E27" s="9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</row>
    <row r="28" ht="21.75" hidden="1" customHeight="1">
      <c r="A28" s="99" t="s">
        <v>61</v>
      </c>
      <c r="B28" s="90">
        <v>900.0</v>
      </c>
      <c r="C28" s="90"/>
      <c r="D28" s="90"/>
      <c r="E28" s="90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</row>
    <row r="29" ht="21.75" hidden="1" customHeight="1">
      <c r="A29" s="100" t="s">
        <v>62</v>
      </c>
      <c r="B29" s="90">
        <v>25.0</v>
      </c>
      <c r="C29" s="90"/>
      <c r="D29" s="90"/>
      <c r="E29" s="90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</row>
    <row r="30" ht="21.75" hidden="1" customHeight="1">
      <c r="A30" s="99" t="s">
        <v>63</v>
      </c>
      <c r="B30" s="90">
        <v>15.0</v>
      </c>
      <c r="C30" s="90"/>
      <c r="D30" s="90"/>
      <c r="E30" s="90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</row>
    <row r="31" ht="21.75" hidden="1" customHeight="1">
      <c r="A31" s="100" t="s">
        <v>64</v>
      </c>
      <c r="B31" s="90">
        <v>150.0</v>
      </c>
      <c r="C31" s="90"/>
      <c r="D31" s="90"/>
      <c r="E31" s="90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</row>
    <row r="32" ht="21.75" hidden="1" customHeight="1">
      <c r="A32" s="99" t="s">
        <v>65</v>
      </c>
      <c r="B32" s="90">
        <v>440.0</v>
      </c>
      <c r="C32" s="90"/>
      <c r="D32" s="90"/>
      <c r="E32" s="90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</row>
    <row r="33" ht="21.75" hidden="1" customHeight="1">
      <c r="A33" s="100" t="s">
        <v>66</v>
      </c>
      <c r="B33" s="90"/>
      <c r="C33" s="90"/>
      <c r="D33" s="90"/>
      <c r="E33" s="90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</row>
    <row r="34" ht="21.75" hidden="1" customHeight="1">
      <c r="A34" s="99" t="s">
        <v>67</v>
      </c>
      <c r="B34" s="90">
        <v>55.0</v>
      </c>
      <c r="C34" s="90"/>
      <c r="D34" s="90"/>
      <c r="E34" s="90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</row>
    <row r="35" ht="21.75" hidden="1" customHeight="1">
      <c r="A35" s="100" t="s">
        <v>68</v>
      </c>
      <c r="B35" s="90">
        <v>170.0</v>
      </c>
      <c r="C35" s="90"/>
      <c r="D35" s="90"/>
      <c r="E35" s="90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</row>
    <row r="36" ht="21.75" hidden="1" customHeight="1">
      <c r="A36" s="99" t="s">
        <v>69</v>
      </c>
      <c r="B36" s="90">
        <v>165.0</v>
      </c>
      <c r="C36" s="90"/>
      <c r="D36" s="90"/>
      <c r="E36" s="90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</row>
    <row r="37" ht="21.75" hidden="1" customHeight="1">
      <c r="A37" s="100" t="s">
        <v>70</v>
      </c>
      <c r="B37" s="90">
        <v>40.0</v>
      </c>
      <c r="C37" s="90"/>
      <c r="D37" s="90"/>
      <c r="E37" s="90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</row>
    <row r="38" ht="21.75" hidden="1" customHeight="1">
      <c r="A38" s="99" t="s">
        <v>71</v>
      </c>
      <c r="B38" s="90">
        <v>55.0</v>
      </c>
      <c r="C38" s="90"/>
      <c r="D38" s="90"/>
      <c r="E38" s="90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</row>
    <row r="39" ht="21.75" hidden="1" customHeight="1">
      <c r="A39" s="100" t="s">
        <v>72</v>
      </c>
      <c r="B39" s="90">
        <v>35.0</v>
      </c>
      <c r="C39" s="90"/>
      <c r="D39" s="90"/>
      <c r="E39" s="90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</row>
    <row r="40" ht="21.75" hidden="1" customHeight="1">
      <c r="A40" s="99" t="s">
        <v>73</v>
      </c>
      <c r="B40" s="90">
        <v>130.0</v>
      </c>
      <c r="C40" s="90"/>
      <c r="D40" s="90"/>
      <c r="E40" s="90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</row>
    <row r="41" ht="21.75" hidden="1" customHeight="1">
      <c r="A41" s="100" t="s">
        <v>74</v>
      </c>
      <c r="B41" s="90">
        <v>35.0</v>
      </c>
      <c r="C41" s="90"/>
      <c r="D41" s="90"/>
      <c r="E41" s="90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</row>
    <row r="42" ht="21.75" hidden="1" customHeight="1">
      <c r="A42" s="99" t="s">
        <v>75</v>
      </c>
      <c r="B42" s="90">
        <v>35.0</v>
      </c>
      <c r="C42" s="90"/>
      <c r="D42" s="90"/>
      <c r="E42" s="90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</row>
    <row r="43" ht="21.75" hidden="1" customHeight="1">
      <c r="A43" s="100" t="s">
        <v>76</v>
      </c>
      <c r="B43" s="90">
        <v>430.0</v>
      </c>
      <c r="C43" s="90"/>
      <c r="D43" s="90"/>
      <c r="E43" s="90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</row>
    <row r="44" ht="21.75" hidden="1" customHeight="1">
      <c r="A44" s="99" t="s">
        <v>72</v>
      </c>
      <c r="B44" s="90">
        <v>35.0</v>
      </c>
      <c r="C44" s="90"/>
      <c r="D44" s="90"/>
      <c r="E44" s="90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</row>
    <row r="45" ht="21.75" hidden="1" customHeight="1">
      <c r="A45" s="100" t="s">
        <v>77</v>
      </c>
      <c r="B45" s="90">
        <v>150.0</v>
      </c>
      <c r="C45" s="90"/>
      <c r="D45" s="90"/>
      <c r="E45" s="90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</row>
    <row r="46" ht="21.75" hidden="1" customHeight="1">
      <c r="A46" s="71"/>
      <c r="B46" s="90"/>
      <c r="C46" s="71"/>
      <c r="D46" s="71"/>
      <c r="E46" s="9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</row>
    <row r="47" ht="21.75" hidden="1" customHeight="1">
      <c r="A47" s="71"/>
      <c r="B47" s="90"/>
      <c r="C47" s="71"/>
      <c r="D47" s="71"/>
      <c r="E47" s="9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</row>
    <row r="48" ht="21.75" hidden="1" customHeight="1">
      <c r="A48" s="71"/>
      <c r="B48" s="90"/>
      <c r="C48" s="71"/>
      <c r="D48" s="71"/>
      <c r="E48" s="9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</row>
    <row r="49" ht="21.75" hidden="1" customHeight="1">
      <c r="A49" s="71"/>
      <c r="B49" s="90"/>
      <c r="C49" s="71"/>
      <c r="D49" s="71"/>
      <c r="E49" s="9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</row>
    <row r="50" ht="21.75" hidden="1" customHeight="1">
      <c r="A50" s="71"/>
      <c r="B50" s="90"/>
      <c r="C50" s="71"/>
      <c r="D50" s="71"/>
      <c r="E50" s="9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</row>
    <row r="51" ht="21.75" hidden="1" customHeight="1">
      <c r="A51" s="71"/>
      <c r="B51" s="90"/>
      <c r="C51" s="71"/>
      <c r="D51" s="71"/>
      <c r="E51" s="9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</row>
    <row r="52" ht="21.75" hidden="1" customHeight="1">
      <c r="A52" s="71"/>
      <c r="B52" s="90"/>
      <c r="C52" s="71"/>
      <c r="D52" s="71"/>
      <c r="E52" s="9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</row>
    <row r="53" ht="21.75" hidden="1" customHeight="1">
      <c r="A53" s="71"/>
      <c r="B53" s="90"/>
      <c r="C53" s="71"/>
      <c r="D53" s="71"/>
      <c r="E53" s="9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</row>
    <row r="54" ht="21.75" hidden="1" customHeight="1">
      <c r="A54" s="71"/>
      <c r="B54" s="90"/>
      <c r="C54" s="71"/>
      <c r="D54" s="71"/>
      <c r="E54" s="9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</row>
    <row r="55" ht="21.75" hidden="1" customHeight="1">
      <c r="A55" s="71"/>
      <c r="B55" s="90"/>
      <c r="C55" s="71"/>
      <c r="D55" s="71"/>
      <c r="E55" s="9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</row>
    <row r="56" ht="21.75" hidden="1" customHeight="1">
      <c r="A56" s="71"/>
      <c r="B56" s="90"/>
      <c r="C56" s="71"/>
      <c r="D56" s="71"/>
      <c r="E56" s="9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</row>
    <row r="57" ht="21.75" hidden="1" customHeight="1">
      <c r="A57" s="71"/>
      <c r="B57" s="90"/>
      <c r="C57" s="71"/>
      <c r="D57" s="71"/>
      <c r="E57" s="9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</row>
    <row r="58" ht="21.75" hidden="1" customHeight="1">
      <c r="A58" s="71"/>
      <c r="B58" s="90"/>
      <c r="C58" s="71"/>
      <c r="D58" s="71"/>
      <c r="E58" s="9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</row>
    <row r="59" ht="21.75" hidden="1" customHeight="1">
      <c r="A59" s="71"/>
      <c r="B59" s="90"/>
      <c r="C59" s="71"/>
      <c r="D59" s="71"/>
      <c r="E59" s="9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</row>
    <row r="60" ht="21.75" hidden="1" customHeight="1">
      <c r="A60" s="71"/>
      <c r="B60" s="90"/>
      <c r="C60" s="71"/>
      <c r="D60" s="71"/>
      <c r="E60" s="9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</row>
    <row r="61" ht="21.75" hidden="1" customHeight="1">
      <c r="A61" s="71"/>
      <c r="B61" s="90"/>
      <c r="C61" s="71"/>
      <c r="D61" s="71"/>
      <c r="E61" s="9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</row>
    <row r="62" ht="21.75" hidden="1" customHeight="1">
      <c r="A62" s="71"/>
      <c r="B62" s="90"/>
      <c r="C62" s="71"/>
      <c r="D62" s="71"/>
      <c r="E62" s="9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</row>
    <row r="63" ht="21.75" hidden="1" customHeight="1">
      <c r="A63" s="71"/>
      <c r="B63" s="90"/>
      <c r="C63" s="71"/>
      <c r="D63" s="71"/>
      <c r="E63" s="9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</row>
    <row r="64" ht="21.75" hidden="1" customHeight="1">
      <c r="A64" s="71"/>
      <c r="B64" s="90"/>
      <c r="C64" s="71"/>
      <c r="D64" s="71"/>
      <c r="E64" s="9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</row>
    <row r="65" ht="21.75" hidden="1" customHeight="1">
      <c r="A65" s="71"/>
      <c r="B65" s="90"/>
      <c r="C65" s="71"/>
      <c r="D65" s="71"/>
      <c r="E65" s="9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</row>
    <row r="66" ht="21.75" hidden="1" customHeight="1">
      <c r="A66" s="71"/>
      <c r="B66" s="90"/>
      <c r="C66" s="71"/>
      <c r="D66" s="71"/>
      <c r="E66" s="9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</row>
    <row r="67" ht="21.75" hidden="1" customHeight="1">
      <c r="A67" s="71"/>
      <c r="B67" s="90"/>
      <c r="C67" s="71"/>
      <c r="D67" s="71"/>
      <c r="E67" s="9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</row>
    <row r="68" ht="21.75" hidden="1" customHeight="1">
      <c r="A68" s="71"/>
      <c r="B68" s="90"/>
      <c r="C68" s="71"/>
      <c r="D68" s="71"/>
      <c r="E68" s="9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</row>
    <row r="69" ht="21.75" hidden="1" customHeight="1">
      <c r="A69" s="71"/>
      <c r="B69" s="90"/>
      <c r="C69" s="71"/>
      <c r="D69" s="71"/>
      <c r="E69" s="9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</row>
    <row r="70" ht="21.75" hidden="1" customHeight="1">
      <c r="A70" s="71"/>
      <c r="B70" s="90"/>
      <c r="C70" s="71"/>
      <c r="D70" s="71"/>
      <c r="E70" s="9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</row>
    <row r="71" ht="21.75" hidden="1" customHeight="1">
      <c r="A71" s="71"/>
      <c r="B71" s="90"/>
      <c r="C71" s="71"/>
      <c r="D71" s="71"/>
      <c r="E71" s="9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</row>
    <row r="72" ht="21.75" hidden="1" customHeight="1">
      <c r="A72" s="71"/>
      <c r="B72" s="90"/>
      <c r="C72" s="71"/>
      <c r="D72" s="71"/>
      <c r="E72" s="9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</row>
    <row r="73" ht="21.75" hidden="1" customHeight="1">
      <c r="A73" s="71"/>
      <c r="B73" s="90"/>
      <c r="C73" s="71"/>
      <c r="D73" s="71"/>
      <c r="E73" s="9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</row>
    <row r="74" ht="21.75" customHeight="1">
      <c r="A74" s="71"/>
      <c r="B74" s="90"/>
      <c r="C74" s="71"/>
      <c r="D74" s="71"/>
      <c r="E74" s="9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</row>
    <row r="75" ht="21.75" customHeight="1">
      <c r="A75" s="71"/>
      <c r="B75" s="90"/>
      <c r="C75" s="71"/>
      <c r="D75" s="71"/>
      <c r="E75" s="9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</row>
    <row r="76" ht="21.75" customHeight="1">
      <c r="A76" s="71"/>
      <c r="B76" s="90"/>
      <c r="C76" s="71"/>
      <c r="D76" s="71"/>
      <c r="E76" s="9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</row>
    <row r="77" ht="21.75" customHeight="1">
      <c r="A77" s="71"/>
      <c r="B77" s="90"/>
      <c r="C77" s="71"/>
      <c r="D77" s="71"/>
      <c r="E77" s="9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</row>
    <row r="78" ht="21.75" customHeight="1">
      <c r="A78" s="71"/>
      <c r="B78" s="90"/>
      <c r="C78" s="71"/>
      <c r="D78" s="71"/>
      <c r="E78" s="9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</row>
    <row r="79" ht="21.75" customHeight="1">
      <c r="A79" s="71"/>
      <c r="B79" s="90"/>
      <c r="C79" s="71"/>
      <c r="D79" s="71"/>
      <c r="E79" s="9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</row>
    <row r="80" ht="21.75" customHeight="1">
      <c r="A80" s="71"/>
      <c r="B80" s="90"/>
      <c r="C80" s="71"/>
      <c r="D80" s="71"/>
      <c r="E80" s="9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</row>
    <row r="81" ht="21.75" customHeight="1">
      <c r="A81" s="71"/>
      <c r="B81" s="90"/>
      <c r="C81" s="71"/>
      <c r="D81" s="71"/>
      <c r="E81" s="9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</row>
    <row r="82" ht="21.75" customHeight="1">
      <c r="A82" s="71"/>
      <c r="B82" s="90"/>
      <c r="C82" s="71"/>
      <c r="D82" s="71"/>
      <c r="E82" s="9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</row>
    <row r="83" ht="21.75" customHeight="1">
      <c r="A83" s="71"/>
      <c r="B83" s="90"/>
      <c r="C83" s="71"/>
      <c r="D83" s="71"/>
      <c r="E83" s="9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</row>
    <row r="84" ht="21.75" customHeight="1">
      <c r="A84" s="71"/>
      <c r="B84" s="90"/>
      <c r="C84" s="71"/>
      <c r="D84" s="71"/>
      <c r="E84" s="9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</row>
    <row r="85" ht="21.75" customHeight="1">
      <c r="A85" s="71"/>
      <c r="B85" s="90"/>
      <c r="C85" s="71"/>
      <c r="D85" s="71"/>
      <c r="E85" s="9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</row>
    <row r="86" ht="21.75" customHeight="1">
      <c r="A86" s="71"/>
      <c r="B86" s="90"/>
      <c r="C86" s="71"/>
      <c r="D86" s="71"/>
      <c r="E86" s="9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</row>
    <row r="87" ht="21.75" customHeight="1">
      <c r="A87" s="71"/>
      <c r="B87" s="90"/>
      <c r="C87" s="71"/>
      <c r="D87" s="71"/>
      <c r="E87" s="9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</row>
    <row r="88" ht="21.75" customHeight="1">
      <c r="A88" s="71"/>
      <c r="B88" s="90"/>
      <c r="C88" s="71"/>
      <c r="D88" s="71"/>
      <c r="E88" s="9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</row>
    <row r="89" ht="21.75" customHeight="1">
      <c r="A89" s="71"/>
      <c r="B89" s="90"/>
      <c r="C89" s="71"/>
      <c r="D89" s="71"/>
      <c r="E89" s="9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</row>
    <row r="90" ht="21.75" customHeight="1">
      <c r="A90" s="71"/>
      <c r="B90" s="90"/>
      <c r="C90" s="71"/>
      <c r="D90" s="71"/>
      <c r="E90" s="9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</row>
    <row r="91" ht="21.75" customHeight="1">
      <c r="A91" s="71"/>
      <c r="B91" s="90"/>
      <c r="C91" s="71"/>
      <c r="D91" s="71"/>
      <c r="E91" s="9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</row>
    <row r="92" ht="21.75" customHeight="1">
      <c r="A92" s="71"/>
      <c r="B92" s="90"/>
      <c r="C92" s="71"/>
      <c r="D92" s="71"/>
      <c r="E92" s="9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</row>
    <row r="93" ht="21.75" customHeight="1">
      <c r="A93" s="71"/>
      <c r="B93" s="90"/>
      <c r="C93" s="71"/>
      <c r="D93" s="71"/>
      <c r="E93" s="9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</row>
    <row r="94" ht="21.75" customHeight="1">
      <c r="A94" s="71"/>
      <c r="B94" s="90"/>
      <c r="C94" s="71"/>
      <c r="D94" s="71"/>
      <c r="E94" s="9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</row>
    <row r="95" ht="21.75" customHeight="1">
      <c r="A95" s="71"/>
      <c r="B95" s="90"/>
      <c r="C95" s="71"/>
      <c r="D95" s="71"/>
      <c r="E95" s="9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</row>
    <row r="96" ht="21.75" customHeight="1">
      <c r="A96" s="71"/>
      <c r="B96" s="90"/>
      <c r="C96" s="71"/>
      <c r="D96" s="71"/>
      <c r="E96" s="9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</row>
    <row r="97" ht="21.75" customHeight="1">
      <c r="A97" s="71"/>
      <c r="B97" s="90"/>
      <c r="C97" s="71"/>
      <c r="D97" s="71"/>
      <c r="E97" s="9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</row>
    <row r="98" ht="21.75" customHeight="1">
      <c r="A98" s="71"/>
      <c r="B98" s="90"/>
      <c r="C98" s="71"/>
      <c r="D98" s="71"/>
      <c r="E98" s="9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</row>
    <row r="99" ht="21.75" customHeight="1">
      <c r="A99" s="71"/>
      <c r="B99" s="90"/>
      <c r="C99" s="71"/>
      <c r="D99" s="71"/>
      <c r="E99" s="9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</row>
    <row r="100" ht="21.75" customHeight="1">
      <c r="A100" s="71"/>
      <c r="B100" s="90"/>
      <c r="C100" s="71"/>
      <c r="D100" s="71"/>
      <c r="E100" s="9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</row>
    <row r="101" ht="21.75" customHeight="1">
      <c r="A101" s="71"/>
      <c r="B101" s="90"/>
      <c r="C101" s="71"/>
      <c r="D101" s="71"/>
      <c r="E101" s="9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</row>
    <row r="102" ht="21.75" customHeight="1">
      <c r="A102" s="71"/>
      <c r="B102" s="90"/>
      <c r="C102" s="71"/>
      <c r="D102" s="71"/>
      <c r="E102" s="9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</row>
    <row r="103" ht="21.75" customHeight="1">
      <c r="A103" s="71"/>
      <c r="B103" s="90"/>
      <c r="C103" s="71"/>
      <c r="D103" s="71"/>
      <c r="E103" s="9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</row>
    <row r="104" ht="21.75" customHeight="1">
      <c r="A104" s="71"/>
      <c r="B104" s="90"/>
      <c r="C104" s="71"/>
      <c r="D104" s="71"/>
      <c r="E104" s="9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</row>
    <row r="105" ht="21.75" customHeight="1">
      <c r="A105" s="71"/>
      <c r="B105" s="90"/>
      <c r="C105" s="71"/>
      <c r="D105" s="71"/>
      <c r="E105" s="9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</row>
    <row r="106" ht="21.75" customHeight="1">
      <c r="A106" s="71"/>
      <c r="B106" s="90"/>
      <c r="C106" s="71"/>
      <c r="D106" s="71"/>
      <c r="E106" s="9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</row>
    <row r="107" ht="21.75" customHeight="1">
      <c r="A107" s="71"/>
      <c r="B107" s="90"/>
      <c r="C107" s="71"/>
      <c r="D107" s="71"/>
      <c r="E107" s="9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</row>
    <row r="108" ht="21.75" customHeight="1">
      <c r="A108" s="71"/>
      <c r="B108" s="90"/>
      <c r="C108" s="71"/>
      <c r="D108" s="71"/>
      <c r="E108" s="9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</row>
    <row r="109" ht="21.75" customHeight="1">
      <c r="A109" s="71"/>
      <c r="B109" s="90"/>
      <c r="C109" s="71"/>
      <c r="D109" s="71"/>
      <c r="E109" s="9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</row>
    <row r="110" ht="21.75" customHeight="1">
      <c r="A110" s="71"/>
      <c r="B110" s="90"/>
      <c r="C110" s="71"/>
      <c r="D110" s="71"/>
      <c r="E110" s="9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</row>
    <row r="111" ht="21.75" customHeight="1">
      <c r="A111" s="71"/>
      <c r="B111" s="90"/>
      <c r="C111" s="71"/>
      <c r="D111" s="71"/>
      <c r="E111" s="9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</row>
    <row r="112" ht="21.75" customHeight="1">
      <c r="A112" s="71"/>
      <c r="B112" s="90"/>
      <c r="C112" s="71"/>
      <c r="D112" s="71"/>
      <c r="E112" s="9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</row>
    <row r="113" ht="21.75" customHeight="1">
      <c r="A113" s="71"/>
      <c r="B113" s="90"/>
      <c r="C113" s="71"/>
      <c r="D113" s="71"/>
      <c r="E113" s="9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</row>
    <row r="114" ht="21.75" customHeight="1">
      <c r="A114" s="71"/>
      <c r="B114" s="90"/>
      <c r="C114" s="71"/>
      <c r="D114" s="71"/>
      <c r="E114" s="9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</row>
    <row r="115" ht="21.75" customHeight="1">
      <c r="A115" s="71"/>
      <c r="B115" s="90"/>
      <c r="C115" s="71"/>
      <c r="D115" s="71"/>
      <c r="E115" s="9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</row>
    <row r="116" ht="21.75" customHeight="1">
      <c r="A116" s="71"/>
      <c r="B116" s="90"/>
      <c r="C116" s="71"/>
      <c r="D116" s="71"/>
      <c r="E116" s="9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</row>
    <row r="117" ht="21.75" customHeight="1">
      <c r="A117" s="71"/>
      <c r="B117" s="90"/>
      <c r="C117" s="71"/>
      <c r="D117" s="71"/>
      <c r="E117" s="9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</row>
    <row r="118" ht="21.75" customHeight="1">
      <c r="A118" s="71"/>
      <c r="B118" s="90"/>
      <c r="C118" s="71"/>
      <c r="D118" s="71"/>
      <c r="E118" s="9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</row>
    <row r="119" ht="21.75" customHeight="1">
      <c r="A119" s="71"/>
      <c r="B119" s="90"/>
      <c r="C119" s="71"/>
      <c r="D119" s="71"/>
      <c r="E119" s="9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</row>
    <row r="120" ht="21.75" customHeight="1">
      <c r="A120" s="71"/>
      <c r="B120" s="90"/>
      <c r="C120" s="71"/>
      <c r="D120" s="71"/>
      <c r="E120" s="9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</row>
    <row r="121" ht="21.75" customHeight="1">
      <c r="A121" s="71"/>
      <c r="B121" s="90"/>
      <c r="C121" s="71"/>
      <c r="D121" s="71"/>
      <c r="E121" s="9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</row>
    <row r="122" ht="21.75" customHeight="1">
      <c r="A122" s="71"/>
      <c r="B122" s="90"/>
      <c r="C122" s="71"/>
      <c r="D122" s="71"/>
      <c r="E122" s="9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</row>
    <row r="123" ht="21.75" customHeight="1">
      <c r="A123" s="71"/>
      <c r="B123" s="90"/>
      <c r="C123" s="71"/>
      <c r="D123" s="71"/>
      <c r="E123" s="9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</row>
    <row r="124" ht="21.75" customHeight="1">
      <c r="A124" s="71"/>
      <c r="B124" s="90"/>
      <c r="C124" s="71"/>
      <c r="D124" s="71"/>
      <c r="E124" s="9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</row>
    <row r="125" ht="21.75" customHeight="1">
      <c r="A125" s="71"/>
      <c r="B125" s="90"/>
      <c r="C125" s="71"/>
      <c r="D125" s="71"/>
      <c r="E125" s="9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</row>
    <row r="126" ht="21.75" customHeight="1">
      <c r="A126" s="71"/>
      <c r="B126" s="90"/>
      <c r="C126" s="71"/>
      <c r="D126" s="71"/>
      <c r="E126" s="9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</row>
    <row r="127" ht="21.75" customHeight="1">
      <c r="A127" s="71"/>
      <c r="B127" s="90"/>
      <c r="C127" s="71"/>
      <c r="D127" s="71"/>
      <c r="E127" s="9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</row>
    <row r="128" ht="21.75" customHeight="1">
      <c r="A128" s="71"/>
      <c r="B128" s="90"/>
      <c r="C128" s="71"/>
      <c r="D128" s="71"/>
      <c r="E128" s="9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</row>
    <row r="129" ht="21.75" customHeight="1">
      <c r="A129" s="71"/>
      <c r="B129" s="90"/>
      <c r="C129" s="71"/>
      <c r="D129" s="71"/>
      <c r="E129" s="9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</row>
    <row r="130" ht="21.75" customHeight="1">
      <c r="A130" s="71"/>
      <c r="B130" s="90"/>
      <c r="C130" s="71"/>
      <c r="D130" s="71"/>
      <c r="E130" s="9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</row>
    <row r="131" ht="21.75" customHeight="1">
      <c r="A131" s="71"/>
      <c r="B131" s="90"/>
      <c r="C131" s="71"/>
      <c r="D131" s="71"/>
      <c r="E131" s="9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</row>
    <row r="132" ht="21.75" customHeight="1">
      <c r="A132" s="71"/>
      <c r="B132" s="90"/>
      <c r="C132" s="71"/>
      <c r="D132" s="71"/>
      <c r="E132" s="9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</row>
    <row r="133" ht="21.75" customHeight="1">
      <c r="A133" s="71"/>
      <c r="B133" s="90"/>
      <c r="C133" s="71"/>
      <c r="D133" s="71"/>
      <c r="E133" s="9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</row>
    <row r="134" ht="21.75" customHeight="1">
      <c r="A134" s="71"/>
      <c r="B134" s="90"/>
      <c r="C134" s="71"/>
      <c r="D134" s="71"/>
      <c r="E134" s="9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</row>
    <row r="135" ht="21.75" customHeight="1">
      <c r="A135" s="71"/>
      <c r="B135" s="90"/>
      <c r="C135" s="71"/>
      <c r="D135" s="71"/>
      <c r="E135" s="9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</row>
    <row r="136" ht="21.75" customHeight="1">
      <c r="A136" s="71"/>
      <c r="B136" s="90"/>
      <c r="C136" s="71"/>
      <c r="D136" s="71"/>
      <c r="E136" s="9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</row>
    <row r="137" ht="21.75" customHeight="1">
      <c r="A137" s="71"/>
      <c r="B137" s="90"/>
      <c r="C137" s="71"/>
      <c r="D137" s="71"/>
      <c r="E137" s="9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</row>
    <row r="138" ht="21.75" customHeight="1">
      <c r="A138" s="71"/>
      <c r="B138" s="90"/>
      <c r="C138" s="71"/>
      <c r="D138" s="71"/>
      <c r="E138" s="9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</row>
    <row r="139" ht="21.75" customHeight="1">
      <c r="A139" s="71"/>
      <c r="B139" s="90"/>
      <c r="C139" s="71"/>
      <c r="D139" s="71"/>
      <c r="E139" s="9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</row>
    <row r="140" ht="21.75" customHeight="1">
      <c r="A140" s="71"/>
      <c r="B140" s="90"/>
      <c r="C140" s="71"/>
      <c r="D140" s="71"/>
      <c r="E140" s="9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</row>
    <row r="141" ht="21.75" customHeight="1">
      <c r="A141" s="71"/>
      <c r="B141" s="90"/>
      <c r="C141" s="71"/>
      <c r="D141" s="71"/>
      <c r="E141" s="9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</row>
    <row r="142" ht="21.75" customHeight="1">
      <c r="A142" s="71"/>
      <c r="B142" s="90"/>
      <c r="C142" s="71"/>
      <c r="D142" s="71"/>
      <c r="E142" s="9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</row>
    <row r="143" ht="21.75" customHeight="1">
      <c r="A143" s="71"/>
      <c r="B143" s="90"/>
      <c r="C143" s="71"/>
      <c r="D143" s="71"/>
      <c r="E143" s="9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</row>
    <row r="144" ht="21.75" customHeight="1">
      <c r="A144" s="71"/>
      <c r="B144" s="90"/>
      <c r="C144" s="71"/>
      <c r="D144" s="71"/>
      <c r="E144" s="9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</row>
    <row r="145" ht="21.75" customHeight="1">
      <c r="A145" s="71"/>
      <c r="B145" s="90"/>
      <c r="C145" s="71"/>
      <c r="D145" s="71"/>
      <c r="E145" s="9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</row>
    <row r="146" ht="21.75" customHeight="1">
      <c r="A146" s="71"/>
      <c r="B146" s="90"/>
      <c r="C146" s="71"/>
      <c r="D146" s="71"/>
      <c r="E146" s="9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</row>
    <row r="147" ht="21.75" customHeight="1">
      <c r="A147" s="71"/>
      <c r="B147" s="90"/>
      <c r="C147" s="71"/>
      <c r="D147" s="71"/>
      <c r="E147" s="9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</row>
    <row r="148" ht="21.75" customHeight="1">
      <c r="A148" s="71"/>
      <c r="B148" s="90"/>
      <c r="C148" s="71"/>
      <c r="D148" s="71"/>
      <c r="E148" s="9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</row>
    <row r="149" ht="21.75" customHeight="1">
      <c r="A149" s="71"/>
      <c r="B149" s="90"/>
      <c r="C149" s="71"/>
      <c r="D149" s="71"/>
      <c r="E149" s="9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</row>
    <row r="150" ht="21.75" customHeight="1">
      <c r="A150" s="71"/>
      <c r="B150" s="90"/>
      <c r="C150" s="71"/>
      <c r="D150" s="71"/>
      <c r="E150" s="9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</row>
    <row r="151" ht="21.75" customHeight="1">
      <c r="A151" s="71"/>
      <c r="B151" s="90"/>
      <c r="C151" s="71"/>
      <c r="D151" s="71"/>
      <c r="E151" s="9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</row>
    <row r="152" ht="21.75" customHeight="1">
      <c r="A152" s="71"/>
      <c r="B152" s="90"/>
      <c r="C152" s="71"/>
      <c r="D152" s="71"/>
      <c r="E152" s="9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</row>
    <row r="153" ht="21.75" customHeight="1">
      <c r="A153" s="71"/>
      <c r="B153" s="90"/>
      <c r="C153" s="71"/>
      <c r="D153" s="71"/>
      <c r="E153" s="9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</row>
    <row r="154" ht="21.75" customHeight="1">
      <c r="A154" s="71"/>
      <c r="B154" s="90"/>
      <c r="C154" s="71"/>
      <c r="D154" s="71"/>
      <c r="E154" s="9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</row>
    <row r="155" ht="21.75" customHeight="1">
      <c r="A155" s="71"/>
      <c r="B155" s="90"/>
      <c r="C155" s="71"/>
      <c r="D155" s="71"/>
      <c r="E155" s="9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</row>
    <row r="156" ht="21.75" customHeight="1">
      <c r="A156" s="71"/>
      <c r="B156" s="90"/>
      <c r="C156" s="71"/>
      <c r="D156" s="71"/>
      <c r="E156" s="9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</row>
    <row r="157" ht="21.75" customHeight="1">
      <c r="A157" s="71"/>
      <c r="B157" s="90"/>
      <c r="C157" s="71"/>
      <c r="D157" s="71"/>
      <c r="E157" s="9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</row>
    <row r="158" ht="21.75" customHeight="1">
      <c r="A158" s="71"/>
      <c r="B158" s="90"/>
      <c r="C158" s="71"/>
      <c r="D158" s="71"/>
      <c r="E158" s="9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</row>
    <row r="159" ht="21.75" customHeight="1">
      <c r="A159" s="71"/>
      <c r="B159" s="90"/>
      <c r="C159" s="71"/>
      <c r="D159" s="71"/>
      <c r="E159" s="9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</row>
    <row r="160" ht="21.75" customHeight="1">
      <c r="A160" s="71"/>
      <c r="B160" s="90"/>
      <c r="C160" s="71"/>
      <c r="D160" s="71"/>
      <c r="E160" s="9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</row>
    <row r="161" ht="21.75" customHeight="1">
      <c r="A161" s="71"/>
      <c r="B161" s="90"/>
      <c r="C161" s="71"/>
      <c r="D161" s="71"/>
      <c r="E161" s="9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</row>
    <row r="162" ht="21.75" customHeight="1">
      <c r="A162" s="71"/>
      <c r="B162" s="90"/>
      <c r="C162" s="71"/>
      <c r="D162" s="71"/>
      <c r="E162" s="9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</row>
    <row r="163" ht="21.75" customHeight="1">
      <c r="A163" s="71"/>
      <c r="B163" s="90"/>
      <c r="C163" s="71"/>
      <c r="D163" s="71"/>
      <c r="E163" s="9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</row>
    <row r="164" ht="21.75" customHeight="1">
      <c r="A164" s="71"/>
      <c r="B164" s="90"/>
      <c r="C164" s="71"/>
      <c r="D164" s="71"/>
      <c r="E164" s="9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</row>
    <row r="165" ht="21.75" customHeight="1">
      <c r="A165" s="71"/>
      <c r="B165" s="90"/>
      <c r="C165" s="71"/>
      <c r="D165" s="71"/>
      <c r="E165" s="9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</row>
    <row r="166" ht="21.75" customHeight="1">
      <c r="A166" s="71"/>
      <c r="B166" s="90"/>
      <c r="C166" s="71"/>
      <c r="D166" s="71"/>
      <c r="E166" s="9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</row>
    <row r="167" ht="21.75" customHeight="1">
      <c r="A167" s="71"/>
      <c r="B167" s="90"/>
      <c r="C167" s="71"/>
      <c r="D167" s="71"/>
      <c r="E167" s="9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</row>
    <row r="168" ht="21.75" customHeight="1">
      <c r="A168" s="71"/>
      <c r="B168" s="90"/>
      <c r="C168" s="71"/>
      <c r="D168" s="71"/>
      <c r="E168" s="9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</row>
    <row r="169" ht="21.75" customHeight="1">
      <c r="A169" s="71"/>
      <c r="B169" s="90"/>
      <c r="C169" s="71"/>
      <c r="D169" s="71"/>
      <c r="E169" s="9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</row>
    <row r="170" ht="21.75" customHeight="1">
      <c r="A170" s="71"/>
      <c r="B170" s="90"/>
      <c r="C170" s="71"/>
      <c r="D170" s="71"/>
      <c r="E170" s="9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</row>
    <row r="171" ht="21.75" customHeight="1">
      <c r="A171" s="71"/>
      <c r="B171" s="90"/>
      <c r="C171" s="71"/>
      <c r="D171" s="71"/>
      <c r="E171" s="9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</row>
    <row r="172" ht="21.75" customHeight="1">
      <c r="A172" s="71"/>
      <c r="B172" s="90"/>
      <c r="C172" s="71"/>
      <c r="D172" s="71"/>
      <c r="E172" s="9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</row>
    <row r="173" ht="21.75" customHeight="1">
      <c r="A173" s="71"/>
      <c r="B173" s="90"/>
      <c r="C173" s="71"/>
      <c r="D173" s="71"/>
      <c r="E173" s="9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</row>
    <row r="174" ht="21.75" customHeight="1">
      <c r="A174" s="71"/>
      <c r="B174" s="90"/>
      <c r="C174" s="71"/>
      <c r="D174" s="71"/>
      <c r="E174" s="9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</row>
    <row r="175" ht="21.75" customHeight="1">
      <c r="A175" s="71"/>
      <c r="B175" s="90"/>
      <c r="C175" s="71"/>
      <c r="D175" s="71"/>
      <c r="E175" s="9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</row>
    <row r="176" ht="21.75" customHeight="1">
      <c r="A176" s="71"/>
      <c r="B176" s="90"/>
      <c r="C176" s="71"/>
      <c r="D176" s="71"/>
      <c r="E176" s="9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</row>
    <row r="177" ht="21.75" customHeight="1">
      <c r="A177" s="71"/>
      <c r="B177" s="90"/>
      <c r="C177" s="71"/>
      <c r="D177" s="71"/>
      <c r="E177" s="9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</row>
    <row r="178" ht="21.75" customHeight="1">
      <c r="A178" s="71"/>
      <c r="B178" s="90"/>
      <c r="C178" s="71"/>
      <c r="D178" s="71"/>
      <c r="E178" s="9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</row>
    <row r="179" ht="21.75" customHeight="1">
      <c r="A179" s="71"/>
      <c r="B179" s="90"/>
      <c r="C179" s="71"/>
      <c r="D179" s="71"/>
      <c r="E179" s="9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</row>
    <row r="180" ht="21.75" customHeight="1">
      <c r="A180" s="71"/>
      <c r="B180" s="90"/>
      <c r="C180" s="71"/>
      <c r="D180" s="71"/>
      <c r="E180" s="9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</row>
    <row r="181" ht="21.75" customHeight="1">
      <c r="A181" s="71"/>
      <c r="B181" s="90"/>
      <c r="C181" s="71"/>
      <c r="D181" s="71"/>
      <c r="E181" s="9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</row>
    <row r="182" ht="21.75" customHeight="1">
      <c r="A182" s="71"/>
      <c r="B182" s="90"/>
      <c r="C182" s="71"/>
      <c r="D182" s="71"/>
      <c r="E182" s="9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</row>
    <row r="183" ht="21.75" customHeight="1">
      <c r="A183" s="71"/>
      <c r="B183" s="90"/>
      <c r="C183" s="71"/>
      <c r="D183" s="71"/>
      <c r="E183" s="9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</row>
    <row r="184" ht="21.75" customHeight="1">
      <c r="A184" s="71"/>
      <c r="B184" s="90"/>
      <c r="C184" s="71"/>
      <c r="D184" s="71"/>
      <c r="E184" s="9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</row>
    <row r="185" ht="21.75" customHeight="1">
      <c r="A185" s="71"/>
      <c r="B185" s="90"/>
      <c r="C185" s="71"/>
      <c r="D185" s="71"/>
      <c r="E185" s="9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</row>
    <row r="186" ht="21.75" customHeight="1">
      <c r="A186" s="71"/>
      <c r="B186" s="90"/>
      <c r="C186" s="71"/>
      <c r="D186" s="71"/>
      <c r="E186" s="9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</row>
    <row r="187" ht="21.75" customHeight="1">
      <c r="A187" s="71"/>
      <c r="B187" s="90"/>
      <c r="C187" s="71"/>
      <c r="D187" s="71"/>
      <c r="E187" s="9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</row>
    <row r="188" ht="21.75" customHeight="1">
      <c r="A188" s="71"/>
      <c r="B188" s="90"/>
      <c r="C188" s="71"/>
      <c r="D188" s="71"/>
      <c r="E188" s="9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</row>
    <row r="189" ht="21.75" customHeight="1">
      <c r="A189" s="71"/>
      <c r="B189" s="90"/>
      <c r="C189" s="71"/>
      <c r="D189" s="71"/>
      <c r="E189" s="9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</row>
    <row r="190" ht="21.75" customHeight="1">
      <c r="A190" s="71"/>
      <c r="B190" s="90"/>
      <c r="C190" s="71"/>
      <c r="D190" s="71"/>
      <c r="E190" s="9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</row>
    <row r="191" ht="21.75" customHeight="1">
      <c r="A191" s="71"/>
      <c r="B191" s="90"/>
      <c r="C191" s="71"/>
      <c r="D191" s="71"/>
      <c r="E191" s="9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</row>
    <row r="192" ht="21.75" customHeight="1">
      <c r="A192" s="71"/>
      <c r="B192" s="90"/>
      <c r="C192" s="71"/>
      <c r="D192" s="71"/>
      <c r="E192" s="9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</row>
    <row r="193" ht="21.75" customHeight="1">
      <c r="A193" s="71"/>
      <c r="B193" s="90"/>
      <c r="C193" s="71"/>
      <c r="D193" s="71"/>
      <c r="E193" s="9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</row>
    <row r="194" ht="21.75" customHeight="1">
      <c r="A194" s="71"/>
      <c r="B194" s="90"/>
      <c r="C194" s="71"/>
      <c r="D194" s="71"/>
      <c r="E194" s="9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</row>
    <row r="195" ht="21.75" customHeight="1">
      <c r="A195" s="71"/>
      <c r="B195" s="90"/>
      <c r="C195" s="71"/>
      <c r="D195" s="71"/>
      <c r="E195" s="9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</row>
    <row r="196" ht="21.75" customHeight="1">
      <c r="A196" s="71"/>
      <c r="B196" s="90"/>
      <c r="C196" s="71"/>
      <c r="D196" s="71"/>
      <c r="E196" s="9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</row>
    <row r="197" ht="21.75" customHeight="1">
      <c r="A197" s="71"/>
      <c r="B197" s="90"/>
      <c r="C197" s="71"/>
      <c r="D197" s="71"/>
      <c r="E197" s="9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</row>
    <row r="198" ht="21.75" customHeight="1">
      <c r="A198" s="71"/>
      <c r="B198" s="90"/>
      <c r="C198" s="71"/>
      <c r="D198" s="71"/>
      <c r="E198" s="9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</row>
    <row r="199" ht="21.75" customHeight="1">
      <c r="A199" s="71"/>
      <c r="B199" s="90"/>
      <c r="C199" s="71"/>
      <c r="D199" s="71"/>
      <c r="E199" s="9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</row>
    <row r="200" ht="21.75" customHeight="1">
      <c r="A200" s="71"/>
      <c r="B200" s="90"/>
      <c r="C200" s="71"/>
      <c r="D200" s="71"/>
      <c r="E200" s="9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</row>
    <row r="201" ht="21.75" customHeight="1">
      <c r="A201" s="71"/>
      <c r="B201" s="90"/>
      <c r="C201" s="71"/>
      <c r="D201" s="71"/>
      <c r="E201" s="9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</row>
    <row r="202" ht="21.75" customHeight="1">
      <c r="A202" s="71"/>
      <c r="B202" s="90"/>
      <c r="C202" s="71"/>
      <c r="D202" s="71"/>
      <c r="E202" s="9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</row>
    <row r="203" ht="21.75" customHeight="1">
      <c r="A203" s="71"/>
      <c r="B203" s="90"/>
      <c r="C203" s="71"/>
      <c r="D203" s="71"/>
      <c r="E203" s="9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</row>
    <row r="204" ht="21.75" customHeight="1">
      <c r="A204" s="71"/>
      <c r="B204" s="90"/>
      <c r="C204" s="71"/>
      <c r="D204" s="71"/>
      <c r="E204" s="9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</row>
    <row r="205" ht="21.75" customHeight="1">
      <c r="A205" s="71"/>
      <c r="B205" s="90"/>
      <c r="C205" s="71"/>
      <c r="D205" s="71"/>
      <c r="E205" s="9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</row>
    <row r="206" ht="21.75" customHeight="1">
      <c r="A206" s="71"/>
      <c r="B206" s="90"/>
      <c r="C206" s="71"/>
      <c r="D206" s="71"/>
      <c r="E206" s="9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</row>
    <row r="207" ht="21.75" customHeight="1">
      <c r="A207" s="71"/>
      <c r="B207" s="90"/>
      <c r="C207" s="71"/>
      <c r="D207" s="71"/>
      <c r="E207" s="9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</row>
    <row r="208" ht="21.75" customHeight="1">
      <c r="A208" s="71"/>
      <c r="B208" s="90"/>
      <c r="C208" s="71"/>
      <c r="D208" s="71"/>
      <c r="E208" s="9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</row>
    <row r="209" ht="21.75" customHeight="1">
      <c r="A209" s="71"/>
      <c r="B209" s="90"/>
      <c r="C209" s="71"/>
      <c r="D209" s="71"/>
      <c r="E209" s="9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</row>
    <row r="210" ht="21.75" customHeight="1">
      <c r="A210" s="71"/>
      <c r="B210" s="90"/>
      <c r="C210" s="71"/>
      <c r="D210" s="71"/>
      <c r="E210" s="9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</row>
    <row r="211" ht="21.75" customHeight="1">
      <c r="A211" s="71"/>
      <c r="B211" s="90"/>
      <c r="C211" s="71"/>
      <c r="D211" s="71"/>
      <c r="E211" s="9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</row>
    <row r="212" ht="21.75" customHeight="1">
      <c r="A212" s="71"/>
      <c r="B212" s="90"/>
      <c r="C212" s="71"/>
      <c r="D212" s="71"/>
      <c r="E212" s="9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</row>
    <row r="213" ht="21.75" customHeight="1">
      <c r="A213" s="71"/>
      <c r="B213" s="90"/>
      <c r="C213" s="71"/>
      <c r="D213" s="71"/>
      <c r="E213" s="9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</row>
    <row r="214" ht="21.75" customHeight="1">
      <c r="A214" s="71"/>
      <c r="B214" s="90"/>
      <c r="C214" s="71"/>
      <c r="D214" s="71"/>
      <c r="E214" s="9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</row>
    <row r="215" ht="21.75" customHeight="1">
      <c r="A215" s="71"/>
      <c r="B215" s="90"/>
      <c r="C215" s="71"/>
      <c r="D215" s="71"/>
      <c r="E215" s="9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</row>
    <row r="216" ht="21.75" customHeight="1">
      <c r="A216" s="71"/>
      <c r="B216" s="90"/>
      <c r="C216" s="71"/>
      <c r="D216" s="71"/>
      <c r="E216" s="9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</row>
    <row r="217" ht="21.75" customHeight="1">
      <c r="A217" s="71"/>
      <c r="B217" s="90"/>
      <c r="C217" s="71"/>
      <c r="D217" s="71"/>
      <c r="E217" s="9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</row>
    <row r="218" ht="21.75" customHeight="1">
      <c r="A218" s="71"/>
      <c r="B218" s="90"/>
      <c r="C218" s="71"/>
      <c r="D218" s="71"/>
      <c r="E218" s="9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</row>
    <row r="219" ht="21.75" customHeight="1">
      <c r="A219" s="71"/>
      <c r="B219" s="90"/>
      <c r="C219" s="71"/>
      <c r="D219" s="71"/>
      <c r="E219" s="9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</row>
    <row r="220" ht="21.75" customHeight="1">
      <c r="A220" s="71"/>
      <c r="B220" s="90"/>
      <c r="C220" s="71"/>
      <c r="D220" s="71"/>
      <c r="E220" s="9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</row>
    <row r="221" ht="21.75" customHeight="1">
      <c r="A221" s="71"/>
      <c r="B221" s="90"/>
      <c r="C221" s="71"/>
      <c r="D221" s="71"/>
      <c r="E221" s="9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</row>
    <row r="222" ht="21.75" customHeight="1">
      <c r="A222" s="71"/>
      <c r="B222" s="90"/>
      <c r="C222" s="71"/>
      <c r="D222" s="71"/>
      <c r="E222" s="9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</row>
    <row r="223" ht="21.75" customHeight="1">
      <c r="A223" s="71"/>
      <c r="B223" s="90"/>
      <c r="C223" s="71"/>
      <c r="D223" s="71"/>
      <c r="E223" s="9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</row>
    <row r="224" ht="21.75" customHeight="1">
      <c r="A224" s="71"/>
      <c r="B224" s="90"/>
      <c r="C224" s="71"/>
      <c r="D224" s="71"/>
      <c r="E224" s="9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</row>
    <row r="225" ht="21.75" customHeight="1">
      <c r="A225" s="71"/>
      <c r="B225" s="90"/>
      <c r="C225" s="71"/>
      <c r="D225" s="71"/>
      <c r="E225" s="9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</row>
    <row r="226" ht="21.75" customHeight="1">
      <c r="A226" s="71"/>
      <c r="B226" s="90"/>
      <c r="C226" s="71"/>
      <c r="D226" s="71"/>
      <c r="E226" s="9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</row>
    <row r="227" ht="21.75" customHeight="1">
      <c r="A227" s="71"/>
      <c r="B227" s="90"/>
      <c r="C227" s="71"/>
      <c r="D227" s="71"/>
      <c r="E227" s="9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</row>
    <row r="228" ht="21.75" customHeight="1">
      <c r="A228" s="71"/>
      <c r="B228" s="90"/>
      <c r="C228" s="71"/>
      <c r="D228" s="71"/>
      <c r="E228" s="9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</row>
    <row r="229" ht="21.75" customHeight="1">
      <c r="A229" s="71"/>
      <c r="B229" s="90"/>
      <c r="C229" s="71"/>
      <c r="D229" s="71"/>
      <c r="E229" s="9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</row>
    <row r="230" ht="21.75" customHeight="1">
      <c r="A230" s="71"/>
      <c r="B230" s="90"/>
      <c r="C230" s="71"/>
      <c r="D230" s="71"/>
      <c r="E230" s="9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</row>
    <row r="231" ht="21.75" customHeight="1">
      <c r="A231" s="71"/>
      <c r="B231" s="90"/>
      <c r="C231" s="71"/>
      <c r="D231" s="71"/>
      <c r="E231" s="9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</row>
    <row r="232" ht="21.75" customHeight="1">
      <c r="A232" s="71"/>
      <c r="B232" s="90"/>
      <c r="C232" s="71"/>
      <c r="D232" s="71"/>
      <c r="E232" s="9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</row>
    <row r="233" ht="21.75" customHeight="1">
      <c r="A233" s="71"/>
      <c r="B233" s="90"/>
      <c r="C233" s="71"/>
      <c r="D233" s="71"/>
      <c r="E233" s="9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</row>
    <row r="234" ht="21.75" customHeight="1">
      <c r="A234" s="71"/>
      <c r="B234" s="90"/>
      <c r="C234" s="71"/>
      <c r="D234" s="71"/>
      <c r="E234" s="9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</row>
    <row r="235" ht="21.75" customHeight="1">
      <c r="A235" s="71"/>
      <c r="B235" s="90"/>
      <c r="C235" s="71"/>
      <c r="D235" s="71"/>
      <c r="E235" s="9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</row>
    <row r="236" ht="21.75" customHeight="1">
      <c r="A236" s="71"/>
      <c r="B236" s="90"/>
      <c r="C236" s="71"/>
      <c r="D236" s="71"/>
      <c r="E236" s="9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</row>
    <row r="237" ht="21.75" customHeight="1">
      <c r="A237" s="71"/>
      <c r="B237" s="90"/>
      <c r="C237" s="71"/>
      <c r="D237" s="71"/>
      <c r="E237" s="9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</row>
    <row r="238" ht="21.75" customHeight="1">
      <c r="A238" s="71"/>
      <c r="B238" s="90"/>
      <c r="C238" s="71"/>
      <c r="D238" s="71"/>
      <c r="E238" s="9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</row>
    <row r="239" ht="21.75" customHeight="1">
      <c r="A239" s="71"/>
      <c r="B239" s="90"/>
      <c r="C239" s="71"/>
      <c r="D239" s="71"/>
      <c r="E239" s="9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</row>
    <row r="240" ht="21.75" customHeight="1">
      <c r="A240" s="71"/>
      <c r="B240" s="90"/>
      <c r="C240" s="71"/>
      <c r="D240" s="71"/>
      <c r="E240" s="9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</row>
    <row r="241" ht="21.75" customHeight="1">
      <c r="A241" s="71"/>
      <c r="B241" s="90"/>
      <c r="C241" s="71"/>
      <c r="D241" s="71"/>
      <c r="E241" s="9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</row>
    <row r="242" ht="21.75" customHeight="1">
      <c r="A242" s="71"/>
      <c r="B242" s="90"/>
      <c r="C242" s="71"/>
      <c r="D242" s="71"/>
      <c r="E242" s="9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</row>
    <row r="243" ht="21.75" customHeight="1">
      <c r="A243" s="71"/>
      <c r="B243" s="90"/>
      <c r="C243" s="71"/>
      <c r="D243" s="71"/>
      <c r="E243" s="9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</row>
    <row r="244" ht="21.75" customHeight="1">
      <c r="A244" s="71"/>
      <c r="B244" s="90"/>
      <c r="C244" s="71"/>
      <c r="D244" s="71"/>
      <c r="E244" s="9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</row>
    <row r="245" ht="21.75" customHeight="1">
      <c r="A245" s="71"/>
      <c r="B245" s="90"/>
      <c r="C245" s="71"/>
      <c r="D245" s="71"/>
      <c r="E245" s="9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</row>
    <row r="246" ht="15.75" customHeight="1">
      <c r="E246" s="65"/>
    </row>
    <row r="247" ht="15.75" customHeight="1">
      <c r="E247" s="65"/>
    </row>
    <row r="248" ht="15.75" customHeight="1">
      <c r="E248" s="65"/>
    </row>
    <row r="249" ht="15.75" customHeight="1">
      <c r="E249" s="65"/>
    </row>
    <row r="250" ht="15.75" customHeight="1">
      <c r="E250" s="65"/>
    </row>
    <row r="251" ht="15.75" customHeight="1">
      <c r="E251" s="65"/>
    </row>
    <row r="252" ht="15.75" customHeight="1">
      <c r="E252" s="65"/>
    </row>
    <row r="253" ht="15.75" customHeight="1">
      <c r="E253" s="65"/>
    </row>
    <row r="254" ht="15.75" customHeight="1">
      <c r="E254" s="65"/>
    </row>
    <row r="255" ht="15.75" customHeight="1">
      <c r="E255" s="65"/>
    </row>
    <row r="256" ht="15.75" customHeight="1">
      <c r="E256" s="65"/>
    </row>
    <row r="257" ht="15.75" customHeight="1">
      <c r="E257" s="65"/>
    </row>
    <row r="258" ht="15.75" customHeight="1">
      <c r="E258" s="65"/>
    </row>
    <row r="259" ht="15.75" customHeight="1">
      <c r="E259" s="65"/>
    </row>
    <row r="260" ht="15.75" customHeight="1">
      <c r="E260" s="65"/>
    </row>
    <row r="261" ht="15.75" customHeight="1">
      <c r="E261" s="65"/>
    </row>
    <row r="262" ht="15.75" customHeight="1">
      <c r="E262" s="65"/>
    </row>
    <row r="263" ht="15.75" customHeight="1">
      <c r="E263" s="65"/>
    </row>
    <row r="264" ht="15.75" customHeight="1">
      <c r="E264" s="65"/>
    </row>
    <row r="265" ht="15.75" customHeight="1">
      <c r="E265" s="65"/>
    </row>
    <row r="266" ht="15.75" customHeight="1">
      <c r="E266" s="65"/>
    </row>
    <row r="267" ht="15.75" customHeight="1">
      <c r="E267" s="65"/>
    </row>
    <row r="268" ht="15.75" customHeight="1">
      <c r="E268" s="65"/>
    </row>
    <row r="269" ht="15.75" customHeight="1">
      <c r="E269" s="65"/>
    </row>
    <row r="270" ht="15.75" customHeight="1">
      <c r="E270" s="65"/>
    </row>
    <row r="271" ht="15.75" customHeight="1">
      <c r="E271" s="65"/>
    </row>
    <row r="272" ht="15.75" customHeight="1">
      <c r="E272" s="65"/>
    </row>
    <row r="273" ht="15.75" customHeight="1">
      <c r="E273" s="65"/>
    </row>
    <row r="274" ht="15.75" customHeight="1">
      <c r="E274" s="65"/>
    </row>
    <row r="275" ht="15.75" customHeight="1">
      <c r="E275" s="65"/>
    </row>
    <row r="276" ht="15.75" customHeight="1">
      <c r="E276" s="65"/>
    </row>
    <row r="277" ht="15.75" customHeight="1">
      <c r="E277" s="65"/>
    </row>
    <row r="278" ht="15.75" customHeight="1">
      <c r="E278" s="65"/>
    </row>
    <row r="279" ht="15.75" customHeight="1">
      <c r="E279" s="65"/>
    </row>
    <row r="280" ht="15.75" customHeight="1">
      <c r="E280" s="65"/>
    </row>
    <row r="281" ht="15.75" customHeight="1">
      <c r="E281" s="65"/>
    </row>
    <row r="282" ht="15.75" customHeight="1">
      <c r="E282" s="65"/>
    </row>
    <row r="283" ht="15.75" customHeight="1">
      <c r="E283" s="65"/>
    </row>
    <row r="284" ht="15.75" customHeight="1">
      <c r="E284" s="65"/>
    </row>
    <row r="285" ht="15.75" customHeight="1">
      <c r="E285" s="65"/>
    </row>
    <row r="286" ht="15.75" customHeight="1">
      <c r="E286" s="65"/>
    </row>
    <row r="287" ht="15.75" customHeight="1">
      <c r="E287" s="65"/>
    </row>
    <row r="288" ht="15.75" customHeight="1">
      <c r="E288" s="65"/>
    </row>
    <row r="289" ht="15.75" customHeight="1">
      <c r="E289" s="65"/>
    </row>
    <row r="290" ht="15.75" customHeight="1">
      <c r="E290" s="65"/>
    </row>
    <row r="291" ht="15.75" customHeight="1">
      <c r="E291" s="65"/>
    </row>
    <row r="292" ht="15.75" customHeight="1">
      <c r="E292" s="65"/>
    </row>
    <row r="293" ht="15.75" customHeight="1">
      <c r="E293" s="65"/>
    </row>
    <row r="294" ht="15.75" customHeight="1">
      <c r="E294" s="65"/>
    </row>
    <row r="295" ht="15.75" customHeight="1">
      <c r="E295" s="65"/>
    </row>
    <row r="296" ht="15.75" customHeight="1">
      <c r="E296" s="65"/>
    </row>
    <row r="297" ht="15.75" customHeight="1">
      <c r="E297" s="65"/>
    </row>
    <row r="298" ht="15.75" customHeight="1">
      <c r="E298" s="65"/>
    </row>
    <row r="299" ht="15.75" customHeight="1">
      <c r="E299" s="65"/>
    </row>
    <row r="300" ht="15.75" customHeight="1">
      <c r="E300" s="65"/>
    </row>
    <row r="301" ht="15.75" customHeight="1">
      <c r="E301" s="65"/>
    </row>
    <row r="302" ht="15.75" customHeight="1">
      <c r="E302" s="65"/>
    </row>
    <row r="303" ht="15.75" customHeight="1">
      <c r="E303" s="65"/>
    </row>
    <row r="304" ht="15.75" customHeight="1">
      <c r="E304" s="65"/>
    </row>
    <row r="305" ht="15.75" customHeight="1">
      <c r="E305" s="65"/>
    </row>
    <row r="306" ht="15.75" customHeight="1">
      <c r="E306" s="65"/>
    </row>
    <row r="307" ht="15.75" customHeight="1">
      <c r="E307" s="65"/>
    </row>
    <row r="308" ht="15.75" customHeight="1">
      <c r="E308" s="65"/>
    </row>
    <row r="309" ht="15.75" customHeight="1">
      <c r="E309" s="65"/>
    </row>
    <row r="310" ht="15.75" customHeight="1">
      <c r="E310" s="65"/>
    </row>
    <row r="311" ht="15.75" customHeight="1">
      <c r="E311" s="65"/>
    </row>
    <row r="312" ht="15.75" customHeight="1">
      <c r="E312" s="65"/>
    </row>
    <row r="313" ht="15.75" customHeight="1">
      <c r="E313" s="65"/>
    </row>
    <row r="314" ht="15.75" customHeight="1">
      <c r="E314" s="65"/>
    </row>
    <row r="315" ht="15.75" customHeight="1">
      <c r="E315" s="65"/>
    </row>
    <row r="316" ht="15.75" customHeight="1">
      <c r="E316" s="65"/>
    </row>
    <row r="317" ht="15.75" customHeight="1">
      <c r="E317" s="65"/>
    </row>
    <row r="318" ht="15.75" customHeight="1">
      <c r="E318" s="65"/>
    </row>
    <row r="319" ht="15.75" customHeight="1">
      <c r="E319" s="65"/>
    </row>
    <row r="320" ht="15.75" customHeight="1">
      <c r="E320" s="65"/>
    </row>
    <row r="321" ht="15.75" customHeight="1">
      <c r="E321" s="65"/>
    </row>
    <row r="322" ht="15.75" customHeight="1">
      <c r="E322" s="65"/>
    </row>
    <row r="323" ht="15.75" customHeight="1">
      <c r="E323" s="65"/>
    </row>
    <row r="324" ht="15.75" customHeight="1">
      <c r="E324" s="65"/>
    </row>
    <row r="325" ht="15.75" customHeight="1">
      <c r="E325" s="65"/>
    </row>
    <row r="326" ht="15.75" customHeight="1">
      <c r="E326" s="65"/>
    </row>
    <row r="327" ht="15.75" customHeight="1">
      <c r="E327" s="65"/>
    </row>
    <row r="328" ht="15.75" customHeight="1">
      <c r="E328" s="65"/>
    </row>
    <row r="329" ht="15.75" customHeight="1">
      <c r="E329" s="65"/>
    </row>
    <row r="330" ht="15.75" customHeight="1">
      <c r="E330" s="65"/>
    </row>
    <row r="331" ht="15.75" customHeight="1">
      <c r="E331" s="65"/>
    </row>
    <row r="332" ht="15.75" customHeight="1">
      <c r="E332" s="65"/>
    </row>
    <row r="333" ht="15.75" customHeight="1">
      <c r="E333" s="65"/>
    </row>
    <row r="334" ht="15.75" customHeight="1">
      <c r="E334" s="65"/>
    </row>
    <row r="335" ht="15.75" customHeight="1">
      <c r="E335" s="65"/>
    </row>
    <row r="336" ht="15.75" customHeight="1">
      <c r="E336" s="65"/>
    </row>
    <row r="337" ht="15.75" customHeight="1">
      <c r="E337" s="65"/>
    </row>
    <row r="338" ht="15.75" customHeight="1">
      <c r="E338" s="65"/>
    </row>
    <row r="339" ht="15.75" customHeight="1">
      <c r="E339" s="65"/>
    </row>
    <row r="340" ht="15.75" customHeight="1">
      <c r="E340" s="65"/>
    </row>
    <row r="341" ht="15.75" customHeight="1">
      <c r="E341" s="65"/>
    </row>
    <row r="342" ht="15.75" customHeight="1">
      <c r="E342" s="65"/>
    </row>
    <row r="343" ht="15.75" customHeight="1">
      <c r="E343" s="65"/>
    </row>
    <row r="344" ht="15.75" customHeight="1">
      <c r="E344" s="65"/>
    </row>
    <row r="345" ht="15.75" customHeight="1">
      <c r="E345" s="65"/>
    </row>
    <row r="346" ht="15.75" customHeight="1">
      <c r="E346" s="65"/>
    </row>
    <row r="347" ht="15.75" customHeight="1">
      <c r="E347" s="65"/>
    </row>
    <row r="348" ht="15.75" customHeight="1">
      <c r="E348" s="65"/>
    </row>
    <row r="349" ht="15.75" customHeight="1">
      <c r="E349" s="65"/>
    </row>
    <row r="350" ht="15.75" customHeight="1">
      <c r="E350" s="65"/>
    </row>
    <row r="351" ht="15.75" customHeight="1">
      <c r="E351" s="65"/>
    </row>
    <row r="352" ht="15.75" customHeight="1">
      <c r="E352" s="65"/>
    </row>
    <row r="353" ht="15.75" customHeight="1">
      <c r="E353" s="65"/>
    </row>
    <row r="354" ht="15.75" customHeight="1">
      <c r="E354" s="65"/>
    </row>
    <row r="355" ht="15.75" customHeight="1">
      <c r="E355" s="65"/>
    </row>
    <row r="356" ht="15.75" customHeight="1">
      <c r="E356" s="65"/>
    </row>
    <row r="357" ht="15.75" customHeight="1">
      <c r="E357" s="65"/>
    </row>
    <row r="358" ht="15.75" customHeight="1">
      <c r="E358" s="65"/>
    </row>
    <row r="359" ht="15.75" customHeight="1">
      <c r="E359" s="65"/>
    </row>
    <row r="360" ht="15.75" customHeight="1">
      <c r="E360" s="65"/>
    </row>
    <row r="361" ht="15.75" customHeight="1">
      <c r="E361" s="65"/>
    </row>
    <row r="362" ht="15.75" customHeight="1">
      <c r="E362" s="65"/>
    </row>
    <row r="363" ht="15.75" customHeight="1">
      <c r="E363" s="65"/>
    </row>
    <row r="364" ht="15.75" customHeight="1">
      <c r="E364" s="65"/>
    </row>
    <row r="365" ht="15.75" customHeight="1">
      <c r="E365" s="65"/>
    </row>
    <row r="366" ht="15.75" customHeight="1">
      <c r="E366" s="65"/>
    </row>
    <row r="367" ht="15.75" customHeight="1">
      <c r="E367" s="65"/>
    </row>
    <row r="368" ht="15.75" customHeight="1">
      <c r="E368" s="65"/>
    </row>
    <row r="369" ht="15.75" customHeight="1">
      <c r="E369" s="65"/>
    </row>
    <row r="370" ht="15.75" customHeight="1">
      <c r="E370" s="65"/>
    </row>
    <row r="371" ht="15.75" customHeight="1">
      <c r="E371" s="65"/>
    </row>
    <row r="372" ht="15.75" customHeight="1">
      <c r="E372" s="65"/>
    </row>
    <row r="373" ht="15.75" customHeight="1">
      <c r="E373" s="65"/>
    </row>
    <row r="374" ht="15.75" customHeight="1">
      <c r="E374" s="65"/>
    </row>
    <row r="375" ht="15.75" customHeight="1">
      <c r="E375" s="65"/>
    </row>
    <row r="376" ht="15.75" customHeight="1">
      <c r="E376" s="65"/>
    </row>
    <row r="377" ht="15.75" customHeight="1">
      <c r="E377" s="65"/>
    </row>
    <row r="378" ht="15.75" customHeight="1">
      <c r="E378" s="65"/>
    </row>
    <row r="379" ht="15.75" customHeight="1">
      <c r="E379" s="65"/>
    </row>
    <row r="380" ht="15.75" customHeight="1">
      <c r="E380" s="65"/>
    </row>
    <row r="381" ht="15.75" customHeight="1">
      <c r="E381" s="65"/>
    </row>
    <row r="382" ht="15.75" customHeight="1">
      <c r="E382" s="65"/>
    </row>
    <row r="383" ht="15.75" customHeight="1">
      <c r="E383" s="65"/>
    </row>
    <row r="384" ht="15.75" customHeight="1">
      <c r="E384" s="65"/>
    </row>
    <row r="385" ht="15.75" customHeight="1">
      <c r="E385" s="65"/>
    </row>
    <row r="386" ht="15.75" customHeight="1">
      <c r="E386" s="65"/>
    </row>
    <row r="387" ht="15.75" customHeight="1">
      <c r="E387" s="65"/>
    </row>
    <row r="388" ht="15.75" customHeight="1">
      <c r="E388" s="65"/>
    </row>
    <row r="389" ht="15.75" customHeight="1">
      <c r="E389" s="65"/>
    </row>
    <row r="390" ht="15.75" customHeight="1">
      <c r="E390" s="65"/>
    </row>
    <row r="391" ht="15.75" customHeight="1">
      <c r="E391" s="65"/>
    </row>
    <row r="392" ht="15.75" customHeight="1">
      <c r="E392" s="65"/>
    </row>
    <row r="393" ht="15.75" customHeight="1">
      <c r="E393" s="65"/>
    </row>
    <row r="394" ht="15.75" customHeight="1">
      <c r="E394" s="65"/>
    </row>
    <row r="395" ht="15.75" customHeight="1">
      <c r="E395" s="65"/>
    </row>
    <row r="396" ht="15.75" customHeight="1">
      <c r="E396" s="65"/>
    </row>
    <row r="397" ht="15.75" customHeight="1">
      <c r="E397" s="65"/>
    </row>
    <row r="398" ht="15.75" customHeight="1">
      <c r="E398" s="65"/>
    </row>
    <row r="399" ht="15.75" customHeight="1">
      <c r="E399" s="65"/>
    </row>
    <row r="400" ht="15.75" customHeight="1">
      <c r="E400" s="65"/>
    </row>
    <row r="401" ht="15.75" customHeight="1">
      <c r="E401" s="65"/>
    </row>
    <row r="402" ht="15.75" customHeight="1">
      <c r="E402" s="65"/>
    </row>
    <row r="403" ht="15.75" customHeight="1">
      <c r="E403" s="65"/>
    </row>
    <row r="404" ht="15.75" customHeight="1">
      <c r="E404" s="65"/>
    </row>
    <row r="405" ht="15.75" customHeight="1">
      <c r="E405" s="65"/>
    </row>
    <row r="406" ht="15.75" customHeight="1">
      <c r="E406" s="65"/>
    </row>
    <row r="407" ht="15.75" customHeight="1">
      <c r="E407" s="65"/>
    </row>
    <row r="408" ht="15.75" customHeight="1">
      <c r="E408" s="65"/>
    </row>
    <row r="409" ht="15.75" customHeight="1">
      <c r="E409" s="65"/>
    </row>
    <row r="410" ht="15.75" customHeight="1">
      <c r="E410" s="65"/>
    </row>
    <row r="411" ht="15.75" customHeight="1">
      <c r="E411" s="65"/>
    </row>
    <row r="412" ht="15.75" customHeight="1">
      <c r="E412" s="65"/>
    </row>
    <row r="413" ht="15.75" customHeight="1">
      <c r="E413" s="65"/>
    </row>
    <row r="414" ht="15.75" customHeight="1">
      <c r="E414" s="65"/>
    </row>
    <row r="415" ht="15.75" customHeight="1">
      <c r="E415" s="65"/>
    </row>
    <row r="416" ht="15.75" customHeight="1">
      <c r="E416" s="65"/>
    </row>
    <row r="417" ht="15.75" customHeight="1">
      <c r="E417" s="65"/>
    </row>
    <row r="418" ht="15.75" customHeight="1">
      <c r="E418" s="65"/>
    </row>
    <row r="419" ht="15.75" customHeight="1">
      <c r="E419" s="65"/>
    </row>
    <row r="420" ht="15.75" customHeight="1">
      <c r="E420" s="65"/>
    </row>
    <row r="421" ht="15.75" customHeight="1">
      <c r="E421" s="65"/>
    </row>
    <row r="422" ht="15.75" customHeight="1">
      <c r="E422" s="65"/>
    </row>
    <row r="423" ht="15.75" customHeight="1">
      <c r="E423" s="65"/>
    </row>
    <row r="424" ht="15.75" customHeight="1">
      <c r="E424" s="65"/>
    </row>
    <row r="425" ht="15.75" customHeight="1">
      <c r="E425" s="65"/>
    </row>
    <row r="426" ht="15.75" customHeight="1">
      <c r="E426" s="65"/>
    </row>
    <row r="427" ht="15.75" customHeight="1">
      <c r="E427" s="65"/>
    </row>
    <row r="428" ht="15.75" customHeight="1">
      <c r="E428" s="65"/>
    </row>
    <row r="429" ht="15.75" customHeight="1">
      <c r="E429" s="65"/>
    </row>
    <row r="430" ht="15.75" customHeight="1">
      <c r="E430" s="65"/>
    </row>
    <row r="431" ht="15.75" customHeight="1">
      <c r="E431" s="65"/>
    </row>
    <row r="432" ht="15.75" customHeight="1">
      <c r="E432" s="65"/>
    </row>
    <row r="433" ht="15.75" customHeight="1">
      <c r="E433" s="65"/>
    </row>
    <row r="434" ht="15.75" customHeight="1">
      <c r="E434" s="65"/>
    </row>
    <row r="435" ht="15.75" customHeight="1">
      <c r="E435" s="65"/>
    </row>
    <row r="436" ht="15.75" customHeight="1">
      <c r="E436" s="65"/>
    </row>
    <row r="437" ht="15.75" customHeight="1">
      <c r="E437" s="65"/>
    </row>
    <row r="438" ht="15.75" customHeight="1">
      <c r="E438" s="65"/>
    </row>
    <row r="439" ht="15.75" customHeight="1">
      <c r="E439" s="65"/>
    </row>
    <row r="440" ht="15.75" customHeight="1">
      <c r="E440" s="65"/>
    </row>
    <row r="441" ht="15.75" customHeight="1">
      <c r="E441" s="65"/>
    </row>
    <row r="442" ht="15.75" customHeight="1">
      <c r="E442" s="65"/>
    </row>
    <row r="443" ht="15.75" customHeight="1">
      <c r="E443" s="65"/>
    </row>
    <row r="444" ht="15.75" customHeight="1">
      <c r="E444" s="65"/>
    </row>
    <row r="445" ht="15.75" customHeight="1">
      <c r="E445" s="65"/>
    </row>
    <row r="446" ht="15.75" customHeight="1">
      <c r="E446" s="65"/>
    </row>
    <row r="447" ht="15.75" customHeight="1">
      <c r="E447" s="65"/>
    </row>
    <row r="448" ht="15.75" customHeight="1">
      <c r="E448" s="65"/>
    </row>
    <row r="449" ht="15.75" customHeight="1">
      <c r="E449" s="65"/>
    </row>
    <row r="450" ht="15.75" customHeight="1">
      <c r="E450" s="65"/>
    </row>
    <row r="451" ht="15.75" customHeight="1">
      <c r="E451" s="65"/>
    </row>
    <row r="452" ht="15.75" customHeight="1">
      <c r="E452" s="65"/>
    </row>
    <row r="453" ht="15.75" customHeight="1">
      <c r="E453" s="65"/>
    </row>
    <row r="454" ht="15.75" customHeight="1">
      <c r="E454" s="65"/>
    </row>
    <row r="455" ht="15.75" customHeight="1">
      <c r="E455" s="65"/>
    </row>
    <row r="456" ht="15.75" customHeight="1">
      <c r="E456" s="65"/>
    </row>
    <row r="457" ht="15.75" customHeight="1">
      <c r="E457" s="65"/>
    </row>
    <row r="458" ht="15.75" customHeight="1">
      <c r="E458" s="65"/>
    </row>
    <row r="459" ht="15.75" customHeight="1">
      <c r="E459" s="65"/>
    </row>
    <row r="460" ht="15.75" customHeight="1">
      <c r="E460" s="65"/>
    </row>
    <row r="461" ht="15.75" customHeight="1">
      <c r="E461" s="65"/>
    </row>
    <row r="462" ht="15.75" customHeight="1">
      <c r="E462" s="65"/>
    </row>
    <row r="463" ht="15.75" customHeight="1">
      <c r="E463" s="65"/>
    </row>
    <row r="464" ht="15.75" customHeight="1">
      <c r="E464" s="65"/>
    </row>
    <row r="465" ht="15.75" customHeight="1">
      <c r="E465" s="65"/>
    </row>
    <row r="466" ht="15.75" customHeight="1">
      <c r="E466" s="65"/>
    </row>
    <row r="467" ht="15.75" customHeight="1">
      <c r="E467" s="65"/>
    </row>
    <row r="468" ht="15.75" customHeight="1">
      <c r="E468" s="65"/>
    </row>
    <row r="469" ht="15.75" customHeight="1">
      <c r="E469" s="65"/>
    </row>
    <row r="470" ht="15.75" customHeight="1">
      <c r="E470" s="65"/>
    </row>
    <row r="471" ht="15.75" customHeight="1">
      <c r="E471" s="65"/>
    </row>
    <row r="472" ht="15.75" customHeight="1">
      <c r="E472" s="65"/>
    </row>
    <row r="473" ht="15.75" customHeight="1">
      <c r="E473" s="65"/>
    </row>
    <row r="474" ht="15.75" customHeight="1">
      <c r="E474" s="65"/>
    </row>
    <row r="475" ht="15.75" customHeight="1">
      <c r="E475" s="65"/>
    </row>
    <row r="476" ht="15.75" customHeight="1">
      <c r="E476" s="65"/>
    </row>
    <row r="477" ht="15.75" customHeight="1">
      <c r="E477" s="65"/>
    </row>
    <row r="478" ht="15.75" customHeight="1">
      <c r="E478" s="65"/>
    </row>
    <row r="479" ht="15.75" customHeight="1">
      <c r="E479" s="65"/>
    </row>
    <row r="480" ht="15.75" customHeight="1">
      <c r="E480" s="65"/>
    </row>
    <row r="481" ht="15.75" customHeight="1">
      <c r="E481" s="65"/>
    </row>
    <row r="482" ht="15.75" customHeight="1">
      <c r="E482" s="65"/>
    </row>
    <row r="483" ht="15.75" customHeight="1">
      <c r="E483" s="65"/>
    </row>
    <row r="484" ht="15.75" customHeight="1">
      <c r="E484" s="65"/>
    </row>
    <row r="485" ht="15.75" customHeight="1">
      <c r="E485" s="65"/>
    </row>
    <row r="486" ht="15.75" customHeight="1">
      <c r="E486" s="65"/>
    </row>
    <row r="487" ht="15.75" customHeight="1">
      <c r="E487" s="65"/>
    </row>
    <row r="488" ht="15.75" customHeight="1">
      <c r="E488" s="65"/>
    </row>
    <row r="489" ht="15.75" customHeight="1">
      <c r="E489" s="65"/>
    </row>
    <row r="490" ht="15.75" customHeight="1">
      <c r="E490" s="65"/>
    </row>
    <row r="491" ht="15.75" customHeight="1">
      <c r="E491" s="65"/>
    </row>
    <row r="492" ht="15.75" customHeight="1">
      <c r="E492" s="65"/>
    </row>
    <row r="493" ht="15.75" customHeight="1">
      <c r="E493" s="65"/>
    </row>
    <row r="494" ht="15.75" customHeight="1">
      <c r="E494" s="65"/>
    </row>
    <row r="495" ht="15.75" customHeight="1">
      <c r="E495" s="65"/>
    </row>
    <row r="496" ht="15.75" customHeight="1">
      <c r="E496" s="65"/>
    </row>
    <row r="497" ht="15.75" customHeight="1">
      <c r="E497" s="65"/>
    </row>
    <row r="498" ht="15.75" customHeight="1">
      <c r="E498" s="65"/>
    </row>
    <row r="499" ht="15.75" customHeight="1">
      <c r="E499" s="65"/>
    </row>
    <row r="500" ht="15.75" customHeight="1">
      <c r="E500" s="65"/>
    </row>
    <row r="501" ht="15.75" customHeight="1">
      <c r="E501" s="65"/>
    </row>
    <row r="502" ht="15.75" customHeight="1">
      <c r="E502" s="65"/>
    </row>
    <row r="503" ht="15.75" customHeight="1">
      <c r="E503" s="65"/>
    </row>
    <row r="504" ht="15.75" customHeight="1">
      <c r="E504" s="65"/>
    </row>
    <row r="505" ht="15.75" customHeight="1">
      <c r="E505" s="65"/>
    </row>
    <row r="506" ht="15.75" customHeight="1">
      <c r="E506" s="65"/>
    </row>
    <row r="507" ht="15.75" customHeight="1">
      <c r="E507" s="65"/>
    </row>
    <row r="508" ht="15.75" customHeight="1">
      <c r="E508" s="65"/>
    </row>
    <row r="509" ht="15.75" customHeight="1">
      <c r="E509" s="65"/>
    </row>
    <row r="510" ht="15.75" customHeight="1">
      <c r="E510" s="65"/>
    </row>
    <row r="511" ht="15.75" customHeight="1">
      <c r="E511" s="65"/>
    </row>
    <row r="512" ht="15.75" customHeight="1">
      <c r="E512" s="65"/>
    </row>
    <row r="513" ht="15.75" customHeight="1">
      <c r="E513" s="65"/>
    </row>
    <row r="514" ht="15.75" customHeight="1">
      <c r="E514" s="65"/>
    </row>
    <row r="515" ht="15.75" customHeight="1">
      <c r="E515" s="65"/>
    </row>
    <row r="516" ht="15.75" customHeight="1">
      <c r="E516" s="65"/>
    </row>
    <row r="517" ht="15.75" customHeight="1">
      <c r="E517" s="65"/>
    </row>
    <row r="518" ht="15.75" customHeight="1">
      <c r="E518" s="65"/>
    </row>
    <row r="519" ht="15.75" customHeight="1">
      <c r="E519" s="65"/>
    </row>
    <row r="520" ht="15.75" customHeight="1">
      <c r="E520" s="65"/>
    </row>
    <row r="521" ht="15.75" customHeight="1">
      <c r="E521" s="65"/>
    </row>
    <row r="522" ht="15.75" customHeight="1">
      <c r="E522" s="65"/>
    </row>
    <row r="523" ht="15.75" customHeight="1">
      <c r="E523" s="65"/>
    </row>
    <row r="524" ht="15.75" customHeight="1">
      <c r="E524" s="65"/>
    </row>
    <row r="525" ht="15.75" customHeight="1">
      <c r="E525" s="65"/>
    </row>
    <row r="526" ht="15.75" customHeight="1">
      <c r="E526" s="65"/>
    </row>
    <row r="527" ht="15.75" customHeight="1">
      <c r="E527" s="65"/>
    </row>
    <row r="528" ht="15.75" customHeight="1">
      <c r="E528" s="65"/>
    </row>
    <row r="529" ht="15.75" customHeight="1">
      <c r="E529" s="65"/>
    </row>
    <row r="530" ht="15.75" customHeight="1">
      <c r="E530" s="65"/>
    </row>
    <row r="531" ht="15.75" customHeight="1">
      <c r="E531" s="65"/>
    </row>
    <row r="532" ht="15.75" customHeight="1">
      <c r="E532" s="65"/>
    </row>
    <row r="533" ht="15.75" customHeight="1">
      <c r="E533" s="65"/>
    </row>
    <row r="534" ht="15.75" customHeight="1">
      <c r="E534" s="65"/>
    </row>
    <row r="535" ht="15.75" customHeight="1">
      <c r="E535" s="65"/>
    </row>
    <row r="536" ht="15.75" customHeight="1">
      <c r="E536" s="65"/>
    </row>
    <row r="537" ht="15.75" customHeight="1">
      <c r="E537" s="65"/>
    </row>
    <row r="538" ht="15.75" customHeight="1">
      <c r="E538" s="65"/>
    </row>
    <row r="539" ht="15.75" customHeight="1">
      <c r="E539" s="65"/>
    </row>
    <row r="540" ht="15.75" customHeight="1">
      <c r="E540" s="65"/>
    </row>
    <row r="541" ht="15.75" customHeight="1">
      <c r="E541" s="65"/>
    </row>
    <row r="542" ht="15.75" customHeight="1">
      <c r="E542" s="65"/>
    </row>
    <row r="543" ht="15.75" customHeight="1">
      <c r="E543" s="65"/>
    </row>
    <row r="544" ht="15.75" customHeight="1">
      <c r="E544" s="65"/>
    </row>
    <row r="545" ht="15.75" customHeight="1">
      <c r="E545" s="65"/>
    </row>
    <row r="546" ht="15.75" customHeight="1">
      <c r="E546" s="65"/>
    </row>
    <row r="547" ht="15.75" customHeight="1">
      <c r="E547" s="65"/>
    </row>
    <row r="548" ht="15.75" customHeight="1">
      <c r="E548" s="65"/>
    </row>
    <row r="549" ht="15.75" customHeight="1">
      <c r="E549" s="65"/>
    </row>
    <row r="550" ht="15.75" customHeight="1">
      <c r="E550" s="65"/>
    </row>
    <row r="551" ht="15.75" customHeight="1">
      <c r="E551" s="65"/>
    </row>
    <row r="552" ht="15.75" customHeight="1">
      <c r="E552" s="65"/>
    </row>
    <row r="553" ht="15.75" customHeight="1">
      <c r="E553" s="65"/>
    </row>
    <row r="554" ht="15.75" customHeight="1">
      <c r="E554" s="65"/>
    </row>
    <row r="555" ht="15.75" customHeight="1">
      <c r="E555" s="65"/>
    </row>
    <row r="556" ht="15.75" customHeight="1">
      <c r="E556" s="65"/>
    </row>
    <row r="557" ht="15.75" customHeight="1">
      <c r="E557" s="65"/>
    </row>
    <row r="558" ht="15.75" customHeight="1">
      <c r="E558" s="65"/>
    </row>
    <row r="559" ht="15.75" customHeight="1">
      <c r="E559" s="65"/>
    </row>
    <row r="560" ht="15.75" customHeight="1">
      <c r="E560" s="65"/>
    </row>
    <row r="561" ht="15.75" customHeight="1">
      <c r="E561" s="65"/>
    </row>
    <row r="562" ht="15.75" customHeight="1">
      <c r="E562" s="65"/>
    </row>
    <row r="563" ht="15.75" customHeight="1">
      <c r="E563" s="65"/>
    </row>
    <row r="564" ht="15.75" customHeight="1">
      <c r="E564" s="65"/>
    </row>
    <row r="565" ht="15.75" customHeight="1">
      <c r="E565" s="65"/>
    </row>
    <row r="566" ht="15.75" customHeight="1">
      <c r="E566" s="65"/>
    </row>
    <row r="567" ht="15.75" customHeight="1">
      <c r="E567" s="65"/>
    </row>
    <row r="568" ht="15.75" customHeight="1">
      <c r="E568" s="65"/>
    </row>
    <row r="569" ht="15.75" customHeight="1">
      <c r="E569" s="65"/>
    </row>
    <row r="570" ht="15.75" customHeight="1">
      <c r="E570" s="65"/>
    </row>
    <row r="571" ht="15.75" customHeight="1">
      <c r="E571" s="65"/>
    </row>
    <row r="572" ht="15.75" customHeight="1">
      <c r="E572" s="65"/>
    </row>
    <row r="573" ht="15.75" customHeight="1">
      <c r="E573" s="65"/>
    </row>
    <row r="574" ht="15.75" customHeight="1">
      <c r="E574" s="65"/>
    </row>
    <row r="575" ht="15.75" customHeight="1">
      <c r="E575" s="65"/>
    </row>
    <row r="576" ht="15.75" customHeight="1">
      <c r="E576" s="65"/>
    </row>
    <row r="577" ht="15.75" customHeight="1">
      <c r="E577" s="65"/>
    </row>
    <row r="578" ht="15.75" customHeight="1">
      <c r="E578" s="65"/>
    </row>
    <row r="579" ht="15.75" customHeight="1">
      <c r="E579" s="65"/>
    </row>
    <row r="580" ht="15.75" customHeight="1">
      <c r="E580" s="65"/>
    </row>
    <row r="581" ht="15.75" customHeight="1">
      <c r="E581" s="65"/>
    </row>
    <row r="582" ht="15.75" customHeight="1">
      <c r="E582" s="65"/>
    </row>
    <row r="583" ht="15.75" customHeight="1">
      <c r="E583" s="65"/>
    </row>
    <row r="584" ht="15.75" customHeight="1">
      <c r="E584" s="65"/>
    </row>
    <row r="585" ht="15.75" customHeight="1">
      <c r="E585" s="65"/>
    </row>
    <row r="586" ht="15.75" customHeight="1">
      <c r="E586" s="65"/>
    </row>
    <row r="587" ht="15.75" customHeight="1">
      <c r="E587" s="65"/>
    </row>
    <row r="588" ht="15.75" customHeight="1">
      <c r="E588" s="65"/>
    </row>
    <row r="589" ht="15.75" customHeight="1">
      <c r="E589" s="65"/>
    </row>
    <row r="590" ht="15.75" customHeight="1">
      <c r="E590" s="65"/>
    </row>
    <row r="591" ht="15.75" customHeight="1">
      <c r="E591" s="65"/>
    </row>
    <row r="592" ht="15.75" customHeight="1">
      <c r="E592" s="65"/>
    </row>
    <row r="593" ht="15.75" customHeight="1">
      <c r="E593" s="65"/>
    </row>
    <row r="594" ht="15.75" customHeight="1">
      <c r="E594" s="65"/>
    </row>
    <row r="595" ht="15.75" customHeight="1">
      <c r="E595" s="65"/>
    </row>
    <row r="596" ht="15.75" customHeight="1">
      <c r="E596" s="65"/>
    </row>
    <row r="597" ht="15.75" customHeight="1">
      <c r="E597" s="65"/>
    </row>
    <row r="598" ht="15.75" customHeight="1">
      <c r="E598" s="65"/>
    </row>
    <row r="599" ht="15.75" customHeight="1">
      <c r="E599" s="65"/>
    </row>
    <row r="600" ht="15.75" customHeight="1">
      <c r="E600" s="65"/>
    </row>
    <row r="601" ht="15.75" customHeight="1">
      <c r="E601" s="65"/>
    </row>
    <row r="602" ht="15.75" customHeight="1">
      <c r="E602" s="65"/>
    </row>
    <row r="603" ht="15.75" customHeight="1">
      <c r="E603" s="65"/>
    </row>
    <row r="604" ht="15.75" customHeight="1">
      <c r="E604" s="65"/>
    </row>
    <row r="605" ht="15.75" customHeight="1">
      <c r="E605" s="65"/>
    </row>
    <row r="606" ht="15.75" customHeight="1">
      <c r="E606" s="65"/>
    </row>
    <row r="607" ht="15.75" customHeight="1">
      <c r="E607" s="65"/>
    </row>
    <row r="608" ht="15.75" customHeight="1">
      <c r="E608" s="65"/>
    </row>
    <row r="609" ht="15.75" customHeight="1">
      <c r="E609" s="65"/>
    </row>
    <row r="610" ht="15.75" customHeight="1">
      <c r="E610" s="65"/>
    </row>
    <row r="611" ht="15.75" customHeight="1">
      <c r="E611" s="65"/>
    </row>
    <row r="612" ht="15.75" customHeight="1">
      <c r="E612" s="65"/>
    </row>
    <row r="613" ht="15.75" customHeight="1">
      <c r="E613" s="65"/>
    </row>
    <row r="614" ht="15.75" customHeight="1">
      <c r="E614" s="65"/>
    </row>
    <row r="615" ht="15.75" customHeight="1">
      <c r="E615" s="65"/>
    </row>
    <row r="616" ht="15.75" customHeight="1">
      <c r="E616" s="65"/>
    </row>
    <row r="617" ht="15.75" customHeight="1">
      <c r="E617" s="65"/>
    </row>
    <row r="618" ht="15.75" customHeight="1">
      <c r="E618" s="65"/>
    </row>
    <row r="619" ht="15.75" customHeight="1">
      <c r="E619" s="65"/>
    </row>
    <row r="620" ht="15.75" customHeight="1">
      <c r="E620" s="65"/>
    </row>
    <row r="621" ht="15.75" customHeight="1">
      <c r="E621" s="65"/>
    </row>
    <row r="622" ht="15.75" customHeight="1">
      <c r="E622" s="65"/>
    </row>
    <row r="623" ht="15.75" customHeight="1">
      <c r="E623" s="65"/>
    </row>
    <row r="624" ht="15.75" customHeight="1">
      <c r="E624" s="65"/>
    </row>
    <row r="625" ht="15.75" customHeight="1">
      <c r="E625" s="65"/>
    </row>
    <row r="626" ht="15.75" customHeight="1">
      <c r="E626" s="65"/>
    </row>
    <row r="627" ht="15.75" customHeight="1">
      <c r="E627" s="65"/>
    </row>
    <row r="628" ht="15.75" customHeight="1">
      <c r="E628" s="65"/>
    </row>
    <row r="629" ht="15.75" customHeight="1">
      <c r="E629" s="65"/>
    </row>
    <row r="630" ht="15.75" customHeight="1">
      <c r="E630" s="65"/>
    </row>
    <row r="631" ht="15.75" customHeight="1">
      <c r="E631" s="65"/>
    </row>
    <row r="632" ht="15.75" customHeight="1">
      <c r="E632" s="65"/>
    </row>
    <row r="633" ht="15.75" customHeight="1">
      <c r="E633" s="65"/>
    </row>
    <row r="634" ht="15.75" customHeight="1">
      <c r="E634" s="65"/>
    </row>
    <row r="635" ht="15.75" customHeight="1">
      <c r="E635" s="65"/>
    </row>
    <row r="636" ht="15.75" customHeight="1">
      <c r="E636" s="65"/>
    </row>
    <row r="637" ht="15.75" customHeight="1">
      <c r="E637" s="65"/>
    </row>
    <row r="638" ht="15.75" customHeight="1">
      <c r="E638" s="65"/>
    </row>
    <row r="639" ht="15.75" customHeight="1">
      <c r="E639" s="65"/>
    </row>
    <row r="640" ht="15.75" customHeight="1">
      <c r="E640" s="65"/>
    </row>
    <row r="641" ht="15.75" customHeight="1">
      <c r="E641" s="65"/>
    </row>
    <row r="642" ht="15.75" customHeight="1">
      <c r="E642" s="65"/>
    </row>
    <row r="643" ht="15.75" customHeight="1">
      <c r="E643" s="65"/>
    </row>
    <row r="644" ht="15.75" customHeight="1">
      <c r="E644" s="65"/>
    </row>
    <row r="645" ht="15.75" customHeight="1">
      <c r="E645" s="65"/>
    </row>
    <row r="646" ht="15.75" customHeight="1">
      <c r="E646" s="65"/>
    </row>
    <row r="647" ht="15.75" customHeight="1">
      <c r="E647" s="65"/>
    </row>
    <row r="648" ht="15.75" customHeight="1">
      <c r="E648" s="65"/>
    </row>
    <row r="649" ht="15.75" customHeight="1">
      <c r="E649" s="65"/>
    </row>
    <row r="650" ht="15.75" customHeight="1">
      <c r="E650" s="65"/>
    </row>
    <row r="651" ht="15.75" customHeight="1">
      <c r="E651" s="65"/>
    </row>
    <row r="652" ht="15.75" customHeight="1">
      <c r="E652" s="65"/>
    </row>
    <row r="653" ht="15.75" customHeight="1">
      <c r="E653" s="65"/>
    </row>
    <row r="654" ht="15.75" customHeight="1">
      <c r="E654" s="65"/>
    </row>
    <row r="655" ht="15.75" customHeight="1">
      <c r="E655" s="65"/>
    </row>
    <row r="656" ht="15.75" customHeight="1">
      <c r="E656" s="65"/>
    </row>
    <row r="657" ht="15.75" customHeight="1">
      <c r="E657" s="65"/>
    </row>
    <row r="658" ht="15.75" customHeight="1">
      <c r="E658" s="65"/>
    </row>
    <row r="659" ht="15.75" customHeight="1">
      <c r="E659" s="65"/>
    </row>
    <row r="660" ht="15.75" customHeight="1">
      <c r="E660" s="65"/>
    </row>
    <row r="661" ht="15.75" customHeight="1">
      <c r="E661" s="65"/>
    </row>
    <row r="662" ht="15.75" customHeight="1">
      <c r="E662" s="65"/>
    </row>
    <row r="663" ht="15.75" customHeight="1">
      <c r="E663" s="65"/>
    </row>
    <row r="664" ht="15.75" customHeight="1">
      <c r="E664" s="65"/>
    </row>
    <row r="665" ht="15.75" customHeight="1">
      <c r="E665" s="65"/>
    </row>
    <row r="666" ht="15.75" customHeight="1">
      <c r="E666" s="65"/>
    </row>
    <row r="667" ht="15.75" customHeight="1">
      <c r="E667" s="65"/>
    </row>
    <row r="668" ht="15.75" customHeight="1">
      <c r="E668" s="65"/>
    </row>
    <row r="669" ht="15.75" customHeight="1">
      <c r="E669" s="65"/>
    </row>
    <row r="670" ht="15.75" customHeight="1">
      <c r="E670" s="65"/>
    </row>
    <row r="671" ht="15.75" customHeight="1">
      <c r="E671" s="65"/>
    </row>
    <row r="672" ht="15.75" customHeight="1">
      <c r="E672" s="65"/>
    </row>
    <row r="673" ht="15.75" customHeight="1">
      <c r="E673" s="65"/>
    </row>
    <row r="674" ht="15.75" customHeight="1">
      <c r="E674" s="65"/>
    </row>
    <row r="675" ht="15.75" customHeight="1">
      <c r="E675" s="65"/>
    </row>
    <row r="676" ht="15.75" customHeight="1">
      <c r="E676" s="65"/>
    </row>
    <row r="677" ht="15.75" customHeight="1">
      <c r="E677" s="65"/>
    </row>
    <row r="678" ht="15.75" customHeight="1">
      <c r="E678" s="65"/>
    </row>
    <row r="679" ht="15.75" customHeight="1">
      <c r="E679" s="65"/>
    </row>
    <row r="680" ht="15.75" customHeight="1">
      <c r="E680" s="65"/>
    </row>
    <row r="681" ht="15.75" customHeight="1">
      <c r="E681" s="65"/>
    </row>
    <row r="682" ht="15.75" customHeight="1">
      <c r="E682" s="65"/>
    </row>
    <row r="683" ht="15.75" customHeight="1">
      <c r="E683" s="65"/>
    </row>
    <row r="684" ht="15.75" customHeight="1">
      <c r="E684" s="65"/>
    </row>
    <row r="685" ht="15.75" customHeight="1">
      <c r="E685" s="65"/>
    </row>
    <row r="686" ht="15.75" customHeight="1">
      <c r="E686" s="65"/>
    </row>
    <row r="687" ht="15.75" customHeight="1">
      <c r="E687" s="65"/>
    </row>
    <row r="688" ht="15.75" customHeight="1">
      <c r="E688" s="65"/>
    </row>
    <row r="689" ht="15.75" customHeight="1">
      <c r="E689" s="65"/>
    </row>
    <row r="690" ht="15.75" customHeight="1">
      <c r="E690" s="65"/>
    </row>
    <row r="691" ht="15.75" customHeight="1">
      <c r="E691" s="65"/>
    </row>
    <row r="692" ht="15.75" customHeight="1">
      <c r="E692" s="65"/>
    </row>
    <row r="693" ht="15.75" customHeight="1">
      <c r="E693" s="65"/>
    </row>
    <row r="694" ht="15.75" customHeight="1">
      <c r="E694" s="65"/>
    </row>
    <row r="695" ht="15.75" customHeight="1">
      <c r="E695" s="65"/>
    </row>
    <row r="696" ht="15.75" customHeight="1">
      <c r="E696" s="65"/>
    </row>
    <row r="697" ht="15.75" customHeight="1">
      <c r="E697" s="65"/>
    </row>
    <row r="698" ht="15.75" customHeight="1">
      <c r="E698" s="65"/>
    </row>
    <row r="699" ht="15.75" customHeight="1">
      <c r="E699" s="65"/>
    </row>
    <row r="700" ht="15.75" customHeight="1">
      <c r="E700" s="65"/>
    </row>
    <row r="701" ht="15.75" customHeight="1">
      <c r="E701" s="65"/>
    </row>
    <row r="702" ht="15.75" customHeight="1">
      <c r="E702" s="65"/>
    </row>
    <row r="703" ht="15.75" customHeight="1">
      <c r="E703" s="65"/>
    </row>
    <row r="704" ht="15.75" customHeight="1">
      <c r="E704" s="65"/>
    </row>
    <row r="705" ht="15.75" customHeight="1">
      <c r="E705" s="65"/>
    </row>
    <row r="706" ht="15.75" customHeight="1">
      <c r="E706" s="65"/>
    </row>
    <row r="707" ht="15.75" customHeight="1">
      <c r="E707" s="65"/>
    </row>
    <row r="708" ht="15.75" customHeight="1">
      <c r="E708" s="65"/>
    </row>
    <row r="709" ht="15.75" customHeight="1">
      <c r="E709" s="65"/>
    </row>
    <row r="710" ht="15.75" customHeight="1">
      <c r="E710" s="65"/>
    </row>
    <row r="711" ht="15.75" customHeight="1">
      <c r="E711" s="65"/>
    </row>
    <row r="712" ht="15.75" customHeight="1">
      <c r="E712" s="65"/>
    </row>
    <row r="713" ht="15.75" customHeight="1">
      <c r="E713" s="65"/>
    </row>
    <row r="714" ht="15.75" customHeight="1">
      <c r="E714" s="65"/>
    </row>
    <row r="715" ht="15.75" customHeight="1">
      <c r="E715" s="65"/>
    </row>
    <row r="716" ht="15.75" customHeight="1">
      <c r="E716" s="65"/>
    </row>
    <row r="717" ht="15.75" customHeight="1">
      <c r="E717" s="65"/>
    </row>
    <row r="718" ht="15.75" customHeight="1">
      <c r="E718" s="65"/>
    </row>
    <row r="719" ht="15.75" customHeight="1">
      <c r="E719" s="65"/>
    </row>
    <row r="720" ht="15.75" customHeight="1">
      <c r="E720" s="65"/>
    </row>
    <row r="721" ht="15.75" customHeight="1">
      <c r="E721" s="65"/>
    </row>
    <row r="722" ht="15.75" customHeight="1">
      <c r="E722" s="65"/>
    </row>
    <row r="723" ht="15.75" customHeight="1">
      <c r="E723" s="65"/>
    </row>
    <row r="724" ht="15.75" customHeight="1">
      <c r="E724" s="65"/>
    </row>
    <row r="725" ht="15.75" customHeight="1">
      <c r="E725" s="65"/>
    </row>
    <row r="726" ht="15.75" customHeight="1">
      <c r="E726" s="65"/>
    </row>
    <row r="727" ht="15.75" customHeight="1">
      <c r="E727" s="65"/>
    </row>
    <row r="728" ht="15.75" customHeight="1">
      <c r="E728" s="65"/>
    </row>
    <row r="729" ht="15.75" customHeight="1">
      <c r="E729" s="65"/>
    </row>
    <row r="730" ht="15.75" customHeight="1">
      <c r="E730" s="65"/>
    </row>
    <row r="731" ht="15.75" customHeight="1">
      <c r="E731" s="65"/>
    </row>
    <row r="732" ht="15.75" customHeight="1">
      <c r="E732" s="65"/>
    </row>
    <row r="733" ht="15.75" customHeight="1">
      <c r="E733" s="65"/>
    </row>
    <row r="734" ht="15.75" customHeight="1">
      <c r="E734" s="65"/>
    </row>
    <row r="735" ht="15.75" customHeight="1">
      <c r="E735" s="65"/>
    </row>
    <row r="736" ht="15.75" customHeight="1">
      <c r="E736" s="65"/>
    </row>
    <row r="737" ht="15.75" customHeight="1">
      <c r="E737" s="65"/>
    </row>
    <row r="738" ht="15.75" customHeight="1">
      <c r="E738" s="65"/>
    </row>
    <row r="739" ht="15.75" customHeight="1">
      <c r="E739" s="65"/>
    </row>
    <row r="740" ht="15.75" customHeight="1">
      <c r="E740" s="65"/>
    </row>
    <row r="741" ht="15.75" customHeight="1">
      <c r="E741" s="65"/>
    </row>
    <row r="742" ht="15.75" customHeight="1">
      <c r="E742" s="65"/>
    </row>
    <row r="743" ht="15.75" customHeight="1">
      <c r="E743" s="65"/>
    </row>
    <row r="744" ht="15.75" customHeight="1">
      <c r="E744" s="65"/>
    </row>
    <row r="745" ht="15.75" customHeight="1">
      <c r="E745" s="65"/>
    </row>
    <row r="746" ht="15.75" customHeight="1">
      <c r="E746" s="65"/>
    </row>
    <row r="747" ht="15.75" customHeight="1">
      <c r="E747" s="65"/>
    </row>
    <row r="748" ht="15.75" customHeight="1">
      <c r="E748" s="65"/>
    </row>
    <row r="749" ht="15.75" customHeight="1">
      <c r="E749" s="65"/>
    </row>
    <row r="750" ht="15.75" customHeight="1">
      <c r="E750" s="65"/>
    </row>
    <row r="751" ht="15.75" customHeight="1">
      <c r="E751" s="65"/>
    </row>
    <row r="752" ht="15.75" customHeight="1">
      <c r="E752" s="65"/>
    </row>
    <row r="753" ht="15.75" customHeight="1">
      <c r="E753" s="65"/>
    </row>
    <row r="754" ht="15.75" customHeight="1">
      <c r="E754" s="65"/>
    </row>
    <row r="755" ht="15.75" customHeight="1">
      <c r="E755" s="65"/>
    </row>
    <row r="756" ht="15.75" customHeight="1">
      <c r="E756" s="65"/>
    </row>
    <row r="757" ht="15.75" customHeight="1">
      <c r="E757" s="65"/>
    </row>
    <row r="758" ht="15.75" customHeight="1">
      <c r="E758" s="65"/>
    </row>
    <row r="759" ht="15.75" customHeight="1">
      <c r="E759" s="65"/>
    </row>
    <row r="760" ht="15.75" customHeight="1">
      <c r="E760" s="65"/>
    </row>
    <row r="761" ht="15.75" customHeight="1">
      <c r="E761" s="65"/>
    </row>
    <row r="762" ht="15.75" customHeight="1">
      <c r="E762" s="65"/>
    </row>
    <row r="763" ht="15.75" customHeight="1">
      <c r="E763" s="65"/>
    </row>
    <row r="764" ht="15.75" customHeight="1">
      <c r="E764" s="65"/>
    </row>
    <row r="765" ht="15.75" customHeight="1">
      <c r="E765" s="65"/>
    </row>
    <row r="766" ht="15.75" customHeight="1">
      <c r="E766" s="65"/>
    </row>
    <row r="767" ht="15.75" customHeight="1">
      <c r="E767" s="65"/>
    </row>
    <row r="768" ht="15.75" customHeight="1">
      <c r="E768" s="65"/>
    </row>
    <row r="769" ht="15.75" customHeight="1">
      <c r="E769" s="65"/>
    </row>
    <row r="770" ht="15.75" customHeight="1">
      <c r="E770" s="65"/>
    </row>
    <row r="771" ht="15.75" customHeight="1">
      <c r="E771" s="65"/>
    </row>
    <row r="772" ht="15.75" customHeight="1">
      <c r="E772" s="65"/>
    </row>
    <row r="773" ht="15.75" customHeight="1">
      <c r="E773" s="65"/>
    </row>
    <row r="774" ht="15.75" customHeight="1">
      <c r="E774" s="65"/>
    </row>
    <row r="775" ht="15.75" customHeight="1">
      <c r="E775" s="65"/>
    </row>
    <row r="776" ht="15.75" customHeight="1">
      <c r="E776" s="65"/>
    </row>
    <row r="777" ht="15.75" customHeight="1">
      <c r="E777" s="65"/>
    </row>
    <row r="778" ht="15.75" customHeight="1">
      <c r="E778" s="65"/>
    </row>
    <row r="779" ht="15.75" customHeight="1">
      <c r="E779" s="65"/>
    </row>
    <row r="780" ht="15.75" customHeight="1">
      <c r="E780" s="65"/>
    </row>
    <row r="781" ht="15.75" customHeight="1">
      <c r="E781" s="65"/>
    </row>
    <row r="782" ht="15.75" customHeight="1">
      <c r="E782" s="65"/>
    </row>
    <row r="783" ht="15.75" customHeight="1">
      <c r="E783" s="65"/>
    </row>
    <row r="784" ht="15.75" customHeight="1">
      <c r="E784" s="65"/>
    </row>
    <row r="785" ht="15.75" customHeight="1">
      <c r="E785" s="65"/>
    </row>
    <row r="786" ht="15.75" customHeight="1">
      <c r="E786" s="65"/>
    </row>
    <row r="787" ht="15.75" customHeight="1">
      <c r="E787" s="65"/>
    </row>
    <row r="788" ht="15.75" customHeight="1">
      <c r="E788" s="65"/>
    </row>
    <row r="789" ht="15.75" customHeight="1">
      <c r="E789" s="65"/>
    </row>
    <row r="790" ht="15.75" customHeight="1">
      <c r="E790" s="65"/>
    </row>
    <row r="791" ht="15.75" customHeight="1">
      <c r="E791" s="65"/>
    </row>
    <row r="792" ht="15.75" customHeight="1">
      <c r="E792" s="65"/>
    </row>
    <row r="793" ht="15.75" customHeight="1">
      <c r="E793" s="65"/>
    </row>
    <row r="794" ht="15.75" customHeight="1">
      <c r="E794" s="65"/>
    </row>
    <row r="795" ht="15.75" customHeight="1">
      <c r="E795" s="65"/>
    </row>
    <row r="796" ht="15.75" customHeight="1">
      <c r="E796" s="65"/>
    </row>
    <row r="797" ht="15.75" customHeight="1">
      <c r="E797" s="65"/>
    </row>
    <row r="798" ht="15.75" customHeight="1">
      <c r="E798" s="65"/>
    </row>
    <row r="799" ht="15.75" customHeight="1">
      <c r="E799" s="65"/>
    </row>
    <row r="800" ht="15.75" customHeight="1">
      <c r="E800" s="65"/>
    </row>
    <row r="801" ht="15.75" customHeight="1">
      <c r="E801" s="65"/>
    </row>
    <row r="802" ht="15.75" customHeight="1">
      <c r="E802" s="65"/>
    </row>
    <row r="803" ht="15.75" customHeight="1">
      <c r="E803" s="65"/>
    </row>
    <row r="804" ht="15.75" customHeight="1">
      <c r="E804" s="65"/>
    </row>
    <row r="805" ht="15.75" customHeight="1">
      <c r="E805" s="65"/>
    </row>
    <row r="806" ht="15.75" customHeight="1">
      <c r="E806" s="65"/>
    </row>
    <row r="807" ht="15.75" customHeight="1">
      <c r="E807" s="65"/>
    </row>
    <row r="808" ht="15.75" customHeight="1">
      <c r="E808" s="65"/>
    </row>
    <row r="809" ht="15.75" customHeight="1">
      <c r="E809" s="65"/>
    </row>
    <row r="810" ht="15.75" customHeight="1">
      <c r="E810" s="65"/>
    </row>
    <row r="811" ht="15.75" customHeight="1">
      <c r="E811" s="65"/>
    </row>
    <row r="812" ht="15.75" customHeight="1">
      <c r="E812" s="65"/>
    </row>
    <row r="813" ht="15.75" customHeight="1">
      <c r="E813" s="65"/>
    </row>
    <row r="814" ht="15.75" customHeight="1">
      <c r="E814" s="65"/>
    </row>
    <row r="815" ht="15.75" customHeight="1">
      <c r="E815" s="65"/>
    </row>
    <row r="816" ht="15.75" customHeight="1">
      <c r="E816" s="65"/>
    </row>
    <row r="817" ht="15.75" customHeight="1">
      <c r="E817" s="65"/>
    </row>
    <row r="818" ht="15.75" customHeight="1">
      <c r="E818" s="65"/>
    </row>
    <row r="819" ht="15.75" customHeight="1">
      <c r="E819" s="65"/>
    </row>
    <row r="820" ht="15.75" customHeight="1">
      <c r="E820" s="65"/>
    </row>
    <row r="821" ht="15.75" customHeight="1">
      <c r="E821" s="65"/>
    </row>
    <row r="822" ht="15.75" customHeight="1">
      <c r="E822" s="65"/>
    </row>
    <row r="823" ht="15.75" customHeight="1">
      <c r="E823" s="65"/>
    </row>
    <row r="824" ht="15.75" customHeight="1">
      <c r="E824" s="65"/>
    </row>
    <row r="825" ht="15.75" customHeight="1">
      <c r="E825" s="65"/>
    </row>
    <row r="826" ht="15.75" customHeight="1">
      <c r="E826" s="65"/>
    </row>
    <row r="827" ht="15.75" customHeight="1">
      <c r="E827" s="65"/>
    </row>
    <row r="828" ht="15.75" customHeight="1">
      <c r="E828" s="65"/>
    </row>
    <row r="829" ht="15.75" customHeight="1">
      <c r="E829" s="65"/>
    </row>
    <row r="830" ht="15.75" customHeight="1">
      <c r="E830" s="65"/>
    </row>
    <row r="831" ht="15.75" customHeight="1">
      <c r="E831" s="65"/>
    </row>
    <row r="832" ht="15.75" customHeight="1">
      <c r="E832" s="65"/>
    </row>
    <row r="833" ht="15.75" customHeight="1">
      <c r="E833" s="65"/>
    </row>
    <row r="834" ht="15.75" customHeight="1">
      <c r="E834" s="65"/>
    </row>
    <row r="835" ht="15.75" customHeight="1">
      <c r="E835" s="65"/>
    </row>
    <row r="836" ht="15.75" customHeight="1">
      <c r="E836" s="65"/>
    </row>
    <row r="837" ht="15.75" customHeight="1">
      <c r="E837" s="65"/>
    </row>
    <row r="838" ht="15.75" customHeight="1">
      <c r="E838" s="65"/>
    </row>
    <row r="839" ht="15.75" customHeight="1">
      <c r="E839" s="65"/>
    </row>
    <row r="840" ht="15.75" customHeight="1">
      <c r="E840" s="65"/>
    </row>
    <row r="841" ht="15.75" customHeight="1">
      <c r="E841" s="65"/>
    </row>
    <row r="842" ht="15.75" customHeight="1">
      <c r="E842" s="65"/>
    </row>
    <row r="843" ht="15.75" customHeight="1">
      <c r="E843" s="65"/>
    </row>
    <row r="844" ht="15.75" customHeight="1">
      <c r="E844" s="65"/>
    </row>
    <row r="845" ht="15.75" customHeight="1">
      <c r="E845" s="65"/>
    </row>
    <row r="846" ht="15.75" customHeight="1">
      <c r="E846" s="65"/>
    </row>
    <row r="847" ht="15.75" customHeight="1">
      <c r="E847" s="65"/>
    </row>
    <row r="848" ht="15.75" customHeight="1">
      <c r="E848" s="65"/>
    </row>
    <row r="849" ht="15.75" customHeight="1">
      <c r="E849" s="65"/>
    </row>
    <row r="850" ht="15.75" customHeight="1">
      <c r="E850" s="65"/>
    </row>
    <row r="851" ht="15.75" customHeight="1">
      <c r="E851" s="65"/>
    </row>
    <row r="852" ht="15.75" customHeight="1">
      <c r="E852" s="65"/>
    </row>
    <row r="853" ht="15.75" customHeight="1">
      <c r="E853" s="65"/>
    </row>
    <row r="854" ht="15.75" customHeight="1">
      <c r="E854" s="65"/>
    </row>
    <row r="855" ht="15.75" customHeight="1">
      <c r="E855" s="65"/>
    </row>
    <row r="856" ht="15.75" customHeight="1">
      <c r="E856" s="65"/>
    </row>
    <row r="857" ht="15.75" customHeight="1">
      <c r="E857" s="65"/>
    </row>
    <row r="858" ht="15.75" customHeight="1">
      <c r="E858" s="65"/>
    </row>
    <row r="859" ht="15.75" customHeight="1">
      <c r="E859" s="65"/>
    </row>
    <row r="860" ht="15.75" customHeight="1">
      <c r="E860" s="65"/>
    </row>
    <row r="861" ht="15.75" customHeight="1">
      <c r="E861" s="65"/>
    </row>
    <row r="862" ht="15.75" customHeight="1">
      <c r="E862" s="65"/>
    </row>
    <row r="863" ht="15.75" customHeight="1">
      <c r="E863" s="65"/>
    </row>
    <row r="864" ht="15.75" customHeight="1">
      <c r="E864" s="65"/>
    </row>
    <row r="865" ht="15.75" customHeight="1">
      <c r="E865" s="65"/>
    </row>
    <row r="866" ht="15.75" customHeight="1">
      <c r="E866" s="65"/>
    </row>
    <row r="867" ht="15.75" customHeight="1">
      <c r="E867" s="65"/>
    </row>
    <row r="868" ht="15.75" customHeight="1">
      <c r="E868" s="65"/>
    </row>
    <row r="869" ht="15.75" customHeight="1">
      <c r="E869" s="65"/>
    </row>
    <row r="870" ht="15.75" customHeight="1">
      <c r="E870" s="65"/>
    </row>
    <row r="871" ht="15.75" customHeight="1">
      <c r="E871" s="65"/>
    </row>
    <row r="872" ht="15.75" customHeight="1">
      <c r="E872" s="65"/>
    </row>
    <row r="873" ht="15.75" customHeight="1">
      <c r="E873" s="65"/>
    </row>
    <row r="874" ht="15.75" customHeight="1">
      <c r="E874" s="65"/>
    </row>
    <row r="875" ht="15.75" customHeight="1">
      <c r="E875" s="65"/>
    </row>
    <row r="876" ht="15.75" customHeight="1">
      <c r="E876" s="65"/>
    </row>
    <row r="877" ht="15.75" customHeight="1">
      <c r="E877" s="65"/>
    </row>
    <row r="878" ht="15.75" customHeight="1">
      <c r="E878" s="65"/>
    </row>
    <row r="879" ht="15.75" customHeight="1">
      <c r="E879" s="65"/>
    </row>
    <row r="880" ht="15.75" customHeight="1">
      <c r="E880" s="65"/>
    </row>
    <row r="881" ht="15.75" customHeight="1">
      <c r="E881" s="65"/>
    </row>
    <row r="882" ht="15.75" customHeight="1">
      <c r="E882" s="65"/>
    </row>
    <row r="883" ht="15.75" customHeight="1">
      <c r="E883" s="65"/>
    </row>
    <row r="884" ht="15.75" customHeight="1">
      <c r="E884" s="65"/>
    </row>
    <row r="885" ht="15.75" customHeight="1">
      <c r="E885" s="65"/>
    </row>
    <row r="886" ht="15.75" customHeight="1">
      <c r="E886" s="65"/>
    </row>
    <row r="887" ht="15.75" customHeight="1">
      <c r="E887" s="65"/>
    </row>
    <row r="888" ht="15.75" customHeight="1">
      <c r="E888" s="65"/>
    </row>
    <row r="889" ht="15.75" customHeight="1">
      <c r="E889" s="65"/>
    </row>
    <row r="890" ht="15.75" customHeight="1">
      <c r="E890" s="65"/>
    </row>
    <row r="891" ht="15.75" customHeight="1">
      <c r="E891" s="65"/>
    </row>
    <row r="892" ht="15.75" customHeight="1">
      <c r="E892" s="65"/>
    </row>
    <row r="893" ht="15.75" customHeight="1">
      <c r="E893" s="65"/>
    </row>
    <row r="894" ht="15.75" customHeight="1">
      <c r="E894" s="65"/>
    </row>
    <row r="895" ht="15.75" customHeight="1">
      <c r="E895" s="65"/>
    </row>
    <row r="896" ht="15.75" customHeight="1">
      <c r="E896" s="65"/>
    </row>
    <row r="897" ht="15.75" customHeight="1">
      <c r="E897" s="65"/>
    </row>
    <row r="898" ht="15.75" customHeight="1">
      <c r="E898" s="65"/>
    </row>
    <row r="899" ht="15.75" customHeight="1">
      <c r="E899" s="65"/>
    </row>
    <row r="900" ht="15.75" customHeight="1">
      <c r="E900" s="65"/>
    </row>
    <row r="901" ht="15.75" customHeight="1">
      <c r="E901" s="65"/>
    </row>
    <row r="902" ht="15.75" customHeight="1">
      <c r="E902" s="65"/>
    </row>
    <row r="903" ht="15.75" customHeight="1">
      <c r="E903" s="65"/>
    </row>
    <row r="904" ht="15.75" customHeight="1">
      <c r="E904" s="65"/>
    </row>
    <row r="905" ht="15.75" customHeight="1">
      <c r="E905" s="65"/>
    </row>
    <row r="906" ht="15.75" customHeight="1">
      <c r="E906" s="65"/>
    </row>
    <row r="907" ht="15.75" customHeight="1">
      <c r="E907" s="65"/>
    </row>
    <row r="908" ht="15.75" customHeight="1">
      <c r="E908" s="65"/>
    </row>
    <row r="909" ht="15.75" customHeight="1">
      <c r="E909" s="65"/>
    </row>
    <row r="910" ht="15.75" customHeight="1">
      <c r="E910" s="65"/>
    </row>
    <row r="911" ht="15.75" customHeight="1">
      <c r="E911" s="65"/>
    </row>
    <row r="912" ht="15.75" customHeight="1">
      <c r="E912" s="65"/>
    </row>
    <row r="913" ht="15.75" customHeight="1">
      <c r="E913" s="65"/>
    </row>
    <row r="914" ht="15.75" customHeight="1">
      <c r="E914" s="65"/>
    </row>
    <row r="915" ht="15.75" customHeight="1">
      <c r="E915" s="65"/>
    </row>
    <row r="916" ht="15.75" customHeight="1">
      <c r="E916" s="65"/>
    </row>
    <row r="917" ht="15.75" customHeight="1">
      <c r="E917" s="65"/>
    </row>
    <row r="918" ht="15.75" customHeight="1">
      <c r="E918" s="65"/>
    </row>
    <row r="919" ht="15.75" customHeight="1">
      <c r="E919" s="65"/>
    </row>
    <row r="920" ht="15.75" customHeight="1">
      <c r="E920" s="65"/>
    </row>
    <row r="921" ht="15.75" customHeight="1">
      <c r="E921" s="65"/>
    </row>
    <row r="922" ht="15.75" customHeight="1">
      <c r="E922" s="65"/>
    </row>
    <row r="923" ht="15.75" customHeight="1">
      <c r="E923" s="65"/>
    </row>
    <row r="924" ht="15.75" customHeight="1">
      <c r="E924" s="65"/>
    </row>
    <row r="925" ht="15.75" customHeight="1">
      <c r="E925" s="65"/>
    </row>
    <row r="926" ht="15.75" customHeight="1">
      <c r="E926" s="65"/>
    </row>
    <row r="927" ht="15.75" customHeight="1">
      <c r="E927" s="65"/>
    </row>
    <row r="928" ht="15.75" customHeight="1">
      <c r="E928" s="65"/>
    </row>
    <row r="929" ht="15.75" customHeight="1">
      <c r="E929" s="65"/>
    </row>
    <row r="930" ht="15.75" customHeight="1">
      <c r="E930" s="65"/>
    </row>
    <row r="931" ht="15.75" customHeight="1">
      <c r="E931" s="65"/>
    </row>
    <row r="932" ht="15.75" customHeight="1">
      <c r="E932" s="65"/>
    </row>
    <row r="933" ht="15.75" customHeight="1">
      <c r="E933" s="65"/>
    </row>
    <row r="934" ht="15.75" customHeight="1">
      <c r="E934" s="65"/>
    </row>
    <row r="935" ht="15.75" customHeight="1">
      <c r="E935" s="65"/>
    </row>
    <row r="936" ht="15.75" customHeight="1">
      <c r="E936" s="65"/>
    </row>
    <row r="937" ht="15.75" customHeight="1">
      <c r="E937" s="65"/>
    </row>
    <row r="938" ht="15.75" customHeight="1">
      <c r="E938" s="65"/>
    </row>
    <row r="939" ht="15.75" customHeight="1">
      <c r="E939" s="65"/>
    </row>
    <row r="940" ht="15.75" customHeight="1">
      <c r="E940" s="65"/>
    </row>
    <row r="941" ht="15.75" customHeight="1">
      <c r="E941" s="65"/>
    </row>
    <row r="942" ht="15.75" customHeight="1">
      <c r="E942" s="65"/>
    </row>
    <row r="943" ht="15.75" customHeight="1">
      <c r="E943" s="65"/>
    </row>
    <row r="944" ht="15.75" customHeight="1">
      <c r="E944" s="65"/>
    </row>
    <row r="945" ht="15.75" customHeight="1">
      <c r="E945" s="65"/>
    </row>
    <row r="946" ht="15.75" customHeight="1">
      <c r="E946" s="65"/>
    </row>
    <row r="947" ht="15.75" customHeight="1">
      <c r="E947" s="65"/>
    </row>
    <row r="948" ht="15.75" customHeight="1">
      <c r="E948" s="65"/>
    </row>
    <row r="949" ht="15.75" customHeight="1">
      <c r="E949" s="65"/>
    </row>
    <row r="950" ht="15.75" customHeight="1">
      <c r="E950" s="65"/>
    </row>
    <row r="951" ht="15.75" customHeight="1">
      <c r="E951" s="65"/>
    </row>
    <row r="952" ht="15.75" customHeight="1">
      <c r="E952" s="65"/>
    </row>
    <row r="953" ht="15.75" customHeight="1">
      <c r="E953" s="65"/>
    </row>
    <row r="954" ht="15.75" customHeight="1">
      <c r="E954" s="65"/>
    </row>
    <row r="955" ht="15.75" customHeight="1">
      <c r="E955" s="65"/>
    </row>
    <row r="956" ht="15.75" customHeight="1">
      <c r="E956" s="65"/>
    </row>
    <row r="957" ht="15.75" customHeight="1">
      <c r="E957" s="65"/>
    </row>
    <row r="958" ht="15.75" customHeight="1">
      <c r="E958" s="65"/>
    </row>
    <row r="959" ht="15.75" customHeight="1">
      <c r="E959" s="65"/>
    </row>
    <row r="960" ht="15.75" customHeight="1">
      <c r="E960" s="65"/>
    </row>
    <row r="961" ht="15.75" customHeight="1">
      <c r="E961" s="65"/>
    </row>
    <row r="962" ht="15.75" customHeight="1">
      <c r="E962" s="65"/>
    </row>
    <row r="963" ht="15.75" customHeight="1">
      <c r="E963" s="65"/>
    </row>
    <row r="964" ht="15.75" customHeight="1">
      <c r="E964" s="65"/>
    </row>
    <row r="965" ht="15.75" customHeight="1">
      <c r="E965" s="65"/>
    </row>
    <row r="966" ht="15.75" customHeight="1">
      <c r="E966" s="65"/>
    </row>
    <row r="967" ht="15.75" customHeight="1">
      <c r="E967" s="65"/>
    </row>
    <row r="968" ht="15.75" customHeight="1">
      <c r="E968" s="65"/>
    </row>
    <row r="969" ht="15.75" customHeight="1">
      <c r="E969" s="65"/>
    </row>
    <row r="970" ht="15.75" customHeight="1">
      <c r="E970" s="65"/>
    </row>
    <row r="971" ht="15.75" customHeight="1">
      <c r="E971" s="65"/>
    </row>
    <row r="972" ht="15.75" customHeight="1">
      <c r="E972" s="65"/>
    </row>
    <row r="973" ht="15.75" customHeight="1">
      <c r="E973" s="65"/>
    </row>
    <row r="974" ht="15.75" customHeight="1">
      <c r="E974" s="65"/>
    </row>
    <row r="975" ht="15.75" customHeight="1">
      <c r="E975" s="65"/>
    </row>
    <row r="976" ht="15.75" customHeight="1">
      <c r="E976" s="65"/>
    </row>
    <row r="977" ht="15.75" customHeight="1">
      <c r="E977" s="65"/>
    </row>
    <row r="978" ht="15.75" customHeight="1">
      <c r="E978" s="65"/>
    </row>
    <row r="979" ht="15.75" customHeight="1">
      <c r="E979" s="65"/>
    </row>
    <row r="980" ht="15.75" customHeight="1">
      <c r="E980" s="65"/>
    </row>
    <row r="981" ht="15.75" customHeight="1">
      <c r="E981" s="65"/>
    </row>
    <row r="982" ht="15.75" customHeight="1">
      <c r="E982" s="65"/>
    </row>
    <row r="983" ht="15.75" customHeight="1">
      <c r="E983" s="65"/>
    </row>
    <row r="984" ht="15.75" customHeight="1">
      <c r="E984" s="65"/>
    </row>
    <row r="985" ht="15.75" customHeight="1">
      <c r="E985" s="65"/>
    </row>
    <row r="986" ht="15.75" customHeight="1">
      <c r="E986" s="65"/>
    </row>
    <row r="987" ht="15.75" customHeight="1">
      <c r="E987" s="65"/>
    </row>
    <row r="988" ht="15.75" customHeight="1">
      <c r="E988" s="65"/>
    </row>
    <row r="989" ht="15.75" customHeight="1">
      <c r="E989" s="65"/>
    </row>
    <row r="990" ht="15.75" customHeight="1">
      <c r="E990" s="65"/>
    </row>
    <row r="991" ht="15.75" customHeight="1">
      <c r="E991" s="65"/>
    </row>
    <row r="992" ht="15.75" customHeight="1">
      <c r="E992" s="65"/>
    </row>
    <row r="993" ht="15.75" customHeight="1">
      <c r="E993" s="65"/>
    </row>
    <row r="994" ht="15.75" customHeight="1">
      <c r="E994" s="65"/>
    </row>
    <row r="995" ht="15.75" customHeight="1">
      <c r="E995" s="65"/>
    </row>
    <row r="996" ht="15.75" customHeight="1">
      <c r="E996" s="65"/>
    </row>
    <row r="997" ht="15.75" customHeight="1">
      <c r="E997" s="65"/>
    </row>
    <row r="998" ht="15.75" customHeight="1">
      <c r="E998" s="65"/>
    </row>
    <row r="999" ht="15.75" customHeight="1">
      <c r="E999" s="65"/>
    </row>
    <row r="1000" ht="15.75" customHeight="1">
      <c r="E1000" s="65"/>
    </row>
  </sheetData>
  <mergeCells count="2">
    <mergeCell ref="A1:A2"/>
    <mergeCell ref="B1:C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6.14"/>
    <col customWidth="1" min="3" max="3" width="22.14"/>
    <col customWidth="1" min="4" max="4" width="24.0"/>
    <col customWidth="1" hidden="1" min="5" max="5" width="22.14"/>
    <col customWidth="1" hidden="1" min="6" max="6" width="24.0"/>
    <col customWidth="1" min="7" max="7" width="18.86"/>
    <col customWidth="1" min="8" max="8" width="20.29"/>
    <col customWidth="1" min="9" max="9" width="19.0"/>
    <col customWidth="1" min="10" max="14" width="21.29"/>
    <col customWidth="1" min="15" max="15" width="17.0"/>
    <col customWidth="1" min="16" max="16" width="21.29"/>
    <col customWidth="1" min="17" max="17" width="8.71"/>
    <col customWidth="1" min="18" max="19" width="17.0"/>
    <col customWidth="1" min="20" max="26" width="8.71"/>
  </cols>
  <sheetData>
    <row r="1" ht="13.5" customHeight="1">
      <c r="R1" s="65"/>
      <c r="S1" s="65"/>
    </row>
    <row r="2" ht="13.5" customHeight="1">
      <c r="R2" s="65"/>
      <c r="S2" s="65"/>
    </row>
    <row r="3" ht="13.5" customHeight="1">
      <c r="C3" s="101" t="s">
        <v>78</v>
      </c>
      <c r="D3" s="102">
        <v>45047.0</v>
      </c>
      <c r="E3" s="101" t="s">
        <v>78</v>
      </c>
      <c r="F3" s="102">
        <v>44774.0</v>
      </c>
      <c r="G3" s="101" t="s">
        <v>78</v>
      </c>
      <c r="H3" s="102">
        <v>44866.0</v>
      </c>
      <c r="I3" s="101" t="s">
        <v>78</v>
      </c>
      <c r="J3" s="102">
        <v>44256.0</v>
      </c>
      <c r="K3" s="101" t="s">
        <v>78</v>
      </c>
      <c r="L3" s="102">
        <v>44958.0</v>
      </c>
      <c r="M3" s="101" t="s">
        <v>78</v>
      </c>
      <c r="N3" s="102">
        <v>45047.0</v>
      </c>
      <c r="O3" s="101" t="s">
        <v>78</v>
      </c>
      <c r="P3" s="102">
        <v>45261.0</v>
      </c>
      <c r="R3" s="65"/>
      <c r="S3" s="65"/>
    </row>
    <row r="4" ht="13.5" customHeight="1">
      <c r="C4" s="103" t="s">
        <v>79</v>
      </c>
      <c r="D4" s="104">
        <v>2688.94</v>
      </c>
      <c r="E4" s="103" t="s">
        <v>79</v>
      </c>
      <c r="F4" s="104">
        <v>2572.55</v>
      </c>
      <c r="G4" s="103" t="s">
        <v>79</v>
      </c>
      <c r="H4" s="104">
        <v>2633.22</v>
      </c>
      <c r="I4" s="103" t="s">
        <v>79</v>
      </c>
      <c r="J4" s="104">
        <v>2140.56</v>
      </c>
      <c r="K4" s="103" t="s">
        <v>79</v>
      </c>
      <c r="L4" s="104">
        <v>2662.47</v>
      </c>
      <c r="M4" s="103" t="s">
        <v>79</v>
      </c>
      <c r="N4" s="104">
        <v>2688.94</v>
      </c>
      <c r="O4" s="103" t="s">
        <v>79</v>
      </c>
      <c r="P4" s="104">
        <v>2752.67</v>
      </c>
      <c r="R4" s="65"/>
      <c r="S4" s="65"/>
    </row>
    <row r="5" ht="13.5" customHeight="1">
      <c r="R5" s="65"/>
      <c r="S5" s="65"/>
    </row>
    <row r="6" ht="18.75" customHeight="1">
      <c r="C6" s="105" t="s">
        <v>11</v>
      </c>
      <c r="D6" s="106"/>
      <c r="E6" s="105" t="s">
        <v>80</v>
      </c>
      <c r="F6" s="106"/>
      <c r="G6" s="105" t="s">
        <v>81</v>
      </c>
      <c r="H6" s="107"/>
      <c r="I6" s="105" t="s">
        <v>14</v>
      </c>
      <c r="J6" s="106"/>
      <c r="K6" s="105" t="s">
        <v>82</v>
      </c>
      <c r="L6" s="106"/>
      <c r="M6" s="105" t="s">
        <v>83</v>
      </c>
      <c r="N6" s="106"/>
      <c r="O6" s="108" t="s">
        <v>13</v>
      </c>
      <c r="P6" s="106"/>
      <c r="R6" s="109" t="s">
        <v>84</v>
      </c>
      <c r="S6" s="22"/>
    </row>
    <row r="7" ht="18.75" customHeight="1">
      <c r="B7" s="110"/>
      <c r="C7" s="111" t="s">
        <v>85</v>
      </c>
      <c r="D7" s="111" t="s">
        <v>86</v>
      </c>
      <c r="E7" s="111" t="s">
        <v>85</v>
      </c>
      <c r="F7" s="111" t="s">
        <v>86</v>
      </c>
      <c r="G7" s="111" t="s">
        <v>85</v>
      </c>
      <c r="H7" s="111" t="s">
        <v>86</v>
      </c>
      <c r="I7" s="112" t="s">
        <v>85</v>
      </c>
      <c r="J7" s="113" t="s">
        <v>86</v>
      </c>
      <c r="K7" s="111" t="s">
        <v>85</v>
      </c>
      <c r="L7" s="111" t="s">
        <v>86</v>
      </c>
      <c r="M7" s="112" t="s">
        <v>85</v>
      </c>
      <c r="N7" s="113" t="s">
        <v>86</v>
      </c>
      <c r="O7" s="111" t="s">
        <v>85</v>
      </c>
      <c r="P7" s="111" t="s">
        <v>86</v>
      </c>
      <c r="R7" s="114" t="s">
        <v>87</v>
      </c>
      <c r="S7" s="114" t="s">
        <v>88</v>
      </c>
    </row>
    <row r="8" ht="18.75" customHeight="1">
      <c r="B8" s="115" t="s">
        <v>89</v>
      </c>
      <c r="C8" s="116">
        <v>283.33076286145285</v>
      </c>
      <c r="D8" s="117">
        <f>('ORÇAMENTO_EXECUTIVO'!$B$19/'CÁLCULO_MÉDIAS'!D$4)*C8</f>
        <v>290.5611797</v>
      </c>
      <c r="E8" s="116">
        <v>307.8011910864052</v>
      </c>
      <c r="F8" s="117">
        <f>('ORÇAMENTO_EXECUTIVO'!$B$19/'CÁLCULO_MÉDIAS'!F$4)*E8</f>
        <v>329.93732</v>
      </c>
      <c r="G8" s="116">
        <v>330.1869621543015</v>
      </c>
      <c r="H8" s="117">
        <f>('ORÇAMENTO_EXECUTIVO'!$B$19/'CÁLCULO_MÉDIAS'!H$4)*G8</f>
        <v>345.7783092</v>
      </c>
      <c r="I8" s="116">
        <f>53.76+152.58</f>
        <v>206.34</v>
      </c>
      <c r="J8" s="118">
        <f>('ORÇAMENTO_EXECUTIVO'!$B$19/'CÁLCULO_MÉDIAS'!J$4)*I8</f>
        <v>265.8159222</v>
      </c>
      <c r="K8" s="116">
        <v>425.96973518284994</v>
      </c>
      <c r="L8" s="118">
        <f>('ORÇAMENTO_EXECUTIVO'!$B$19/'CÁLCULO_MÉDIAS'!L$4)*K8</f>
        <v>441.1832257</v>
      </c>
      <c r="M8" s="116">
        <f>306.853550565509+12.39</f>
        <v>319.2435506</v>
      </c>
      <c r="N8" s="118">
        <f>('ORÇAMENTO_EXECUTIVO'!$B$19/'CÁLCULO_MÉDIAS'!N$4)*M8</f>
        <v>327.3904384</v>
      </c>
      <c r="O8" s="119">
        <v>393.04915498123785</v>
      </c>
      <c r="P8" s="118">
        <f>('ORÇAMENTO_EXECUTIVO'!$B$19/'CÁLCULO_MÉDIAS'!P$4)*O8</f>
        <v>393.7473899</v>
      </c>
      <c r="R8" s="120">
        <v>260.0</v>
      </c>
      <c r="S8" s="120">
        <v>350.0</v>
      </c>
    </row>
    <row r="9" ht="18.75" customHeight="1">
      <c r="B9" s="121" t="s">
        <v>90</v>
      </c>
      <c r="C9" s="116">
        <v>0.0</v>
      </c>
      <c r="D9" s="117">
        <f>('ORÇAMENTO_EXECUTIVO'!$B$19/'CÁLCULO_MÉDIAS'!D$4)*C9</f>
        <v>0</v>
      </c>
      <c r="E9" s="116">
        <v>0.0</v>
      </c>
      <c r="F9" s="117">
        <f>('ORÇAMENTO_EXECUTIVO'!$B$19/'CÁLCULO_MÉDIAS'!F$4)*E9</f>
        <v>0</v>
      </c>
      <c r="G9" s="116">
        <v>0.0</v>
      </c>
      <c r="H9" s="117">
        <f>('ORÇAMENTO_EXECUTIVO'!$B$19/'CÁLCULO_MÉDIAS'!H$4)*G9</f>
        <v>0</v>
      </c>
      <c r="I9" s="116">
        <v>0.0</v>
      </c>
      <c r="J9" s="118">
        <f>('ORÇAMENTO_EXECUTIVO'!$B$19/'CÁLCULO_MÉDIAS'!J$4)*I9</f>
        <v>0</v>
      </c>
      <c r="K9" s="116">
        <v>19.587790125287146</v>
      </c>
      <c r="L9" s="118">
        <f>('ORÇAMENTO_EXECUTIVO'!$B$19/'CÁLCULO_MÉDIAS'!L$4)*K9</f>
        <v>20.2873672</v>
      </c>
      <c r="M9" s="116">
        <v>26.51528495666163</v>
      </c>
      <c r="N9" s="118">
        <f>('ORÇAMENTO_EXECUTIVO'!$B$19/'CÁLCULO_MÉDIAS'!N$4)*M9</f>
        <v>27.19193778</v>
      </c>
      <c r="O9" s="122">
        <v>17.92288603029222</v>
      </c>
      <c r="P9" s="118">
        <f>('ORÇAMENTO_EXECUTIVO'!$B$19/'CÁLCULO_MÉDIAS'!P$4)*O9</f>
        <v>17.95472527</v>
      </c>
      <c r="R9" s="120"/>
      <c r="S9" s="120"/>
    </row>
    <row r="10" ht="18.75" customHeight="1">
      <c r="B10" s="123" t="s">
        <v>8</v>
      </c>
      <c r="C10" s="124">
        <v>171.55069706541298</v>
      </c>
      <c r="D10" s="117">
        <f>('ORÇAMENTO_EXECUTIVO'!$B$19/'CÁLCULO_MÉDIAS'!D$4)*C10</f>
        <v>175.9285593</v>
      </c>
      <c r="E10" s="124">
        <v>145.26</v>
      </c>
      <c r="F10" s="117">
        <f>('ORÇAMENTO_EXECUTIVO'!$B$19/'CÁLCULO_MÉDIAS'!F$4)*E10</f>
        <v>155.706659</v>
      </c>
      <c r="G10" s="116">
        <v>138.7742540695263</v>
      </c>
      <c r="H10" s="117">
        <f>('ORÇAMENTO_EXECUTIVO'!$B$19/'CÁLCULO_MÉDIAS'!H$4)*G10</f>
        <v>145.3271402</v>
      </c>
      <c r="I10" s="116">
        <v>203.75</v>
      </c>
      <c r="J10" s="118">
        <f>('ORÇAMENTO_EXECUTIVO'!$B$19/'CÁLCULO_MÉDIAS'!J$4)*I10</f>
        <v>262.4793746</v>
      </c>
      <c r="K10" s="124">
        <v>195.59039548493175</v>
      </c>
      <c r="L10" s="118">
        <f>('ORÇAMENTO_EXECUTIVO'!$B$19/'CÁLCULO_MÉDIAS'!L$4)*K10</f>
        <v>202.5758979</v>
      </c>
      <c r="M10" s="124">
        <f>268.371509227372+41.56</f>
        <v>309.9315092</v>
      </c>
      <c r="N10" s="118">
        <f>('ORÇAMENTO_EXECUTIVO'!$B$19/'CÁLCULO_MÉDIAS'!N$4)*M10</f>
        <v>317.8407598</v>
      </c>
      <c r="O10" s="122">
        <v>227.462505499282</v>
      </c>
      <c r="P10" s="118">
        <f>('ORÇAMENTO_EXECUTIVO'!$B$19/'CÁLCULO_MÉDIAS'!P$4)*O10</f>
        <v>227.8665829</v>
      </c>
      <c r="R10" s="120">
        <v>140.0</v>
      </c>
      <c r="S10" s="120">
        <v>190.0</v>
      </c>
    </row>
    <row r="11" ht="18.75" customHeight="1">
      <c r="B11" s="121" t="s">
        <v>9</v>
      </c>
      <c r="C11" s="124">
        <v>648.9458787744561</v>
      </c>
      <c r="D11" s="117">
        <f>('ORÇAMENTO_EXECUTIVO'!$B$19/'CÁLCULO_MÉDIAS'!D$4)*C11</f>
        <v>665.5065555</v>
      </c>
      <c r="E11" s="124">
        <v>684.09</v>
      </c>
      <c r="F11" s="117">
        <f>('ORÇAMENTO_EXECUTIVO'!$B$19/'CÁLCULO_MÉDIAS'!F$4)*E11</f>
        <v>733.2876797</v>
      </c>
      <c r="G11" s="116">
        <v>440.2100290332987</v>
      </c>
      <c r="H11" s="117">
        <f>('ORÇAMENTO_EXECUTIVO'!$B$19/'CÁLCULO_MÉDIAS'!H$4)*G11</f>
        <v>460.9966382</v>
      </c>
      <c r="I11" s="116">
        <v>516.11</v>
      </c>
      <c r="J11" s="118">
        <f>('ORÇAMENTO_EXECUTIVO'!$B$19/'CÁLCULO_MÉDIAS'!J$4)*I11</f>
        <v>664.8747485</v>
      </c>
      <c r="K11" s="124">
        <v>730.8882893748303</v>
      </c>
      <c r="L11" s="118">
        <f>('ORÇAMENTO_EXECUTIVO'!$B$19/'CÁLCULO_MÉDIAS'!L$4)*K11</f>
        <v>756.9919328</v>
      </c>
      <c r="M11" s="124">
        <f>424.075395917568+352.64</f>
        <v>776.7153959</v>
      </c>
      <c r="N11" s="118">
        <f>('ORÇAMENTO_EXECUTIVO'!$B$19/'CÁLCULO_MÉDIAS'!N$4)*M11</f>
        <v>796.5366677</v>
      </c>
      <c r="O11" s="122">
        <v>753.3324075455745</v>
      </c>
      <c r="P11" s="118">
        <f>('ORÇAMENTO_EXECUTIVO'!$B$19/'CÁLCULO_MÉDIAS'!P$4)*O11</f>
        <v>754.6706702</v>
      </c>
      <c r="R11" s="120">
        <v>650.0</v>
      </c>
      <c r="S11" s="120">
        <v>750.0</v>
      </c>
    </row>
    <row r="12" ht="18.75" customHeight="1">
      <c r="B12" s="125" t="s">
        <v>10</v>
      </c>
      <c r="C12" s="124">
        <v>146.27237045394705</v>
      </c>
      <c r="D12" s="117">
        <f>('ORÇAMENTO_EXECUTIVO'!$B$19/'CÁLCULO_MÉDIAS'!D$4)*C12</f>
        <v>150.0051462</v>
      </c>
      <c r="E12" s="124">
        <v>102.26703338940926</v>
      </c>
      <c r="F12" s="117">
        <f>('ORÇAMENTO_EXECUTIVO'!$B$19/'CÁLCULO_MÉDIAS'!F$4)*E12</f>
        <v>109.6217685</v>
      </c>
      <c r="G12" s="116">
        <v>119.63618870107992</v>
      </c>
      <c r="H12" s="117">
        <f>('ORÇAMENTO_EXECUTIVO'!$B$19/'CÁLCULO_MÉDIAS'!H$4)*G12</f>
        <v>125.2853801</v>
      </c>
      <c r="I12" s="116">
        <v>87.63</v>
      </c>
      <c r="J12" s="118">
        <f>('ORÇAMENTO_EXECUTIVO'!$B$19/'CÁLCULO_MÉDIAS'!J$4)*I12</f>
        <v>112.8886753</v>
      </c>
      <c r="K12" s="124">
        <v>119.11837394906888</v>
      </c>
      <c r="L12" s="118">
        <f>('ORÇAMENTO_EXECUTIVO'!$B$19/'CÁLCULO_MÉDIAS'!L$4)*K12</f>
        <v>123.3726815</v>
      </c>
      <c r="M12" s="124">
        <f>45.9182137373762+52.78</f>
        <v>98.69821374</v>
      </c>
      <c r="N12" s="118">
        <f>('ORÇAMENTO_EXECUTIVO'!$B$19/'CÁLCULO_MÉDIAS'!N$4)*M12</f>
        <v>101.216928</v>
      </c>
      <c r="O12" s="122">
        <v>120.12284291214054</v>
      </c>
      <c r="P12" s="118">
        <f>('ORÇAMENTO_EXECUTIVO'!$B$19/'CÁLCULO_MÉDIAS'!P$4)*O12</f>
        <v>120.336236</v>
      </c>
      <c r="R12" s="120">
        <v>110.0</v>
      </c>
      <c r="S12" s="120">
        <v>150.0</v>
      </c>
    </row>
    <row r="13" ht="18.75" customHeight="1">
      <c r="B13" s="121" t="s">
        <v>16</v>
      </c>
      <c r="C13" s="124">
        <v>273.47992517387667</v>
      </c>
      <c r="D13" s="117">
        <f>('ORÇAMENTO_EXECUTIVO'!$B$19/'CÁLCULO_MÉDIAS'!D$4)*C13</f>
        <v>280.458955</v>
      </c>
      <c r="E13" s="124">
        <v>395.648900807977</v>
      </c>
      <c r="F13" s="117">
        <f>('ORÇAMENTO_EXECUTIVO'!$B$19/'CÁLCULO_MÉDIAS'!F$4)*E13</f>
        <v>424.1027708</v>
      </c>
      <c r="G13" s="116">
        <v>241.53844940678877</v>
      </c>
      <c r="H13" s="117">
        <f>('ORÇAMENTO_EXECUTIVO'!$B$19/'CÁLCULO_MÉDIAS'!H$4)*G13</f>
        <v>252.9438355</v>
      </c>
      <c r="I13" s="116">
        <f>115.12+96.69+17.4</f>
        <v>229.21</v>
      </c>
      <c r="J13" s="118">
        <f>('ORÇAMENTO_EXECUTIVO'!$B$19/'CÁLCULO_MÉDIAS'!J$4)*I13</f>
        <v>295.2780243</v>
      </c>
      <c r="K13" s="124">
        <v>311.09536882330696</v>
      </c>
      <c r="L13" s="118">
        <f>('ORÇAMENTO_EXECUTIVO'!$B$19/'CÁLCULO_MÉDIAS'!L$4)*K13</f>
        <v>322.2061264</v>
      </c>
      <c r="M13" s="124">
        <f>133.232025739994+119</f>
        <v>252.2320257</v>
      </c>
      <c r="N13" s="118">
        <f>('ORÇAMENTO_EXECUTIVO'!$B$19/'CÁLCULO_MÉDIAS'!N$4)*M13</f>
        <v>258.668823</v>
      </c>
      <c r="O13" s="122">
        <v>343.65137637821664</v>
      </c>
      <c r="P13" s="118">
        <f>('ORÇAMENTO_EXECUTIVO'!$B$19/'CÁLCULO_MÉDIAS'!P$4)*O13</f>
        <v>344.2618583</v>
      </c>
      <c r="R13" s="120">
        <v>280.0</v>
      </c>
      <c r="S13" s="120">
        <v>350.0</v>
      </c>
    </row>
    <row r="14" ht="18.75" customHeight="1">
      <c r="B14" s="125" t="s">
        <v>19</v>
      </c>
      <c r="C14" s="124">
        <v>153.1432565712868</v>
      </c>
      <c r="D14" s="117">
        <f>('ORÇAMENTO_EXECUTIVO'!$B$19/'CÁLCULO_MÉDIAS'!D$4)*C14</f>
        <v>157.0513729</v>
      </c>
      <c r="E14" s="124">
        <v>151.23889129945096</v>
      </c>
      <c r="F14" s="117">
        <f>('ORÇAMENTO_EXECUTIVO'!$B$19/'CÁLCULO_MÉDIAS'!F$4)*E14</f>
        <v>162.115534</v>
      </c>
      <c r="G14" s="116">
        <v>125.58391647422079</v>
      </c>
      <c r="H14" s="117">
        <f>('ORÇAMENTO_EXECUTIVO'!$B$19/'CÁLCULO_MÉDIAS'!H$4)*G14</f>
        <v>131.5139581</v>
      </c>
      <c r="I14" s="116">
        <f>126.98+36.9</f>
        <v>163.88</v>
      </c>
      <c r="J14" s="118">
        <f>('ORÇAMENTO_EXECUTIVO'!$B$19/'CÁLCULO_MÉDIAS'!J$4)*I14</f>
        <v>211.1171529</v>
      </c>
      <c r="K14" s="124">
        <v>234.957569619241</v>
      </c>
      <c r="L14" s="118">
        <f>('ORÇAMENTO_EXECUTIVO'!$B$19/'CÁLCULO_MÉDIAS'!L$4)*K14</f>
        <v>243.349069</v>
      </c>
      <c r="M14" s="124">
        <v>247.28447097827882</v>
      </c>
      <c r="N14" s="118">
        <f>('ORÇAMENTO_EXECUTIVO'!$B$19/'CÁLCULO_MÉDIAS'!N$4)*M14</f>
        <v>253.5950099</v>
      </c>
      <c r="O14" s="126">
        <v>183.52384796344097</v>
      </c>
      <c r="P14" s="118">
        <f>('ORÇAMENTO_EXECUTIVO'!$B$19/'CÁLCULO_MÉDIAS'!P$4)*O14</f>
        <v>183.8498702</v>
      </c>
      <c r="R14" s="120">
        <v>130.0</v>
      </c>
      <c r="S14" s="120">
        <v>180.0</v>
      </c>
    </row>
    <row r="15" ht="18.75" customHeight="1">
      <c r="B15" s="125" t="s">
        <v>21</v>
      </c>
      <c r="C15" s="124">
        <v>69.70784196213259</v>
      </c>
      <c r="D15" s="117">
        <f>('ORÇAMENTO_EXECUTIVO'!$B$19/'CÁLCULO_MÉDIAS'!D$4)*C15</f>
        <v>71.48674075</v>
      </c>
      <c r="E15" s="124">
        <v>26.84</v>
      </c>
      <c r="F15" s="117">
        <f>('ORÇAMENTO_EXECUTIVO'!$B$19/'CÁLCULO_MÉDIAS'!F$4)*E15</f>
        <v>28.77025146</v>
      </c>
      <c r="G15" s="116">
        <v>28.96162996113532</v>
      </c>
      <c r="H15" s="117">
        <f>('ORÇAMENTO_EXECUTIVO'!$B$19/'CÁLCULO_MÉDIAS'!H$4)*G15</f>
        <v>30.329191</v>
      </c>
      <c r="I15" s="116">
        <v>46.01</v>
      </c>
      <c r="J15" s="118">
        <f>('ORÇAMENTO_EXECUTIVO'!$B$19/'CÁLCULO_MÉDIAS'!J$4)*I15</f>
        <v>59.27202956</v>
      </c>
      <c r="K15" s="124">
        <v>40.385539920806394</v>
      </c>
      <c r="L15" s="118">
        <f>('ORÇAMENTO_EXECUTIVO'!$B$19/'CÁLCULO_MÉDIAS'!L$4)*K15</f>
        <v>41.82790772</v>
      </c>
      <c r="M15" s="124">
        <f>21.1585217854063+29.7</f>
        <v>50.85852179</v>
      </c>
      <c r="N15" s="118">
        <f>('ORÇAMENTO_EXECUTIVO'!$B$19/'CÁLCULO_MÉDIAS'!N$4)*M15</f>
        <v>52.15639818</v>
      </c>
      <c r="O15" s="122">
        <v>53.9756199313862</v>
      </c>
      <c r="P15" s="118">
        <f>('ORÇAMENTO_EXECUTIVO'!$B$19/'CÁLCULO_MÉDIAS'!P$4)*O15</f>
        <v>54.0715053</v>
      </c>
      <c r="R15" s="120">
        <v>30.0</v>
      </c>
      <c r="S15" s="120">
        <v>70.0</v>
      </c>
    </row>
    <row r="16" ht="18.75" customHeight="1">
      <c r="B16" s="121" t="s">
        <v>23</v>
      </c>
      <c r="C16" s="124">
        <v>152.3122715127481</v>
      </c>
      <c r="D16" s="117">
        <f>('ORÇAMENTO_EXECUTIVO'!$B$19/'CÁLCULO_MÉDIAS'!D$4)*C16</f>
        <v>156.1991816</v>
      </c>
      <c r="E16" s="124">
        <v>143.04</v>
      </c>
      <c r="F16" s="117">
        <f>('ORÇAMENTO_EXECUTIVO'!$B$19/'CÁLCULO_MÉDIAS'!F$4)*E16</f>
        <v>153.3270033</v>
      </c>
      <c r="G16" s="116">
        <v>234.72587240710115</v>
      </c>
      <c r="H16" s="117">
        <f>('ORÇAMENTO_EXECUTIVO'!$B$19/'CÁLCULO_MÉDIAS'!H$4)*G16</f>
        <v>245.8095703</v>
      </c>
      <c r="I16" s="116">
        <v>107.18</v>
      </c>
      <c r="J16" s="118">
        <f>('ORÇAMENTO_EXECUTIVO'!$B$19/'CÁLCULO_MÉDIAS'!J$4)*I16</f>
        <v>138.0738128</v>
      </c>
      <c r="K16" s="124">
        <v>171.46501171912092</v>
      </c>
      <c r="L16" s="118">
        <f>('ORÇAMENTO_EXECUTIVO'!$B$19/'CÁLCULO_MÉDIAS'!L$4)*K16</f>
        <v>177.5888771</v>
      </c>
      <c r="M16" s="124">
        <f>61.5070901205645+125.46</f>
        <v>186.9670901</v>
      </c>
      <c r="N16" s="118">
        <f>('ORÇAMENTO_EXECUTIVO'!$B$19/'CÁLCULO_MÉDIAS'!N$4)*M16</f>
        <v>191.7383687</v>
      </c>
      <c r="O16" s="122">
        <v>181.93321537315026</v>
      </c>
      <c r="P16" s="118">
        <f>('ORÇAMENTO_EXECUTIVO'!$B$19/'CÁLCULO_MÉDIAS'!P$4)*O16</f>
        <v>182.2564119</v>
      </c>
      <c r="R16" s="120">
        <v>135.0</v>
      </c>
      <c r="S16" s="120">
        <v>180.0</v>
      </c>
    </row>
    <row r="17" ht="18.75" customHeight="1">
      <c r="B17" s="125" t="s">
        <v>25</v>
      </c>
      <c r="C17" s="124">
        <v>54.818639993384274</v>
      </c>
      <c r="D17" s="117">
        <f>('ORÇAMENTO_EXECUTIVO'!$B$19/'CÁLCULO_MÉDIAS'!D$4)*C17</f>
        <v>56.21757603</v>
      </c>
      <c r="E17" s="124">
        <v>70.15561170594847</v>
      </c>
      <c r="F17" s="117">
        <f>('ORÇAMENTO_EXECUTIVO'!$B$19/'CÁLCULO_MÉDIAS'!F$4)*E17</f>
        <v>75.2009907</v>
      </c>
      <c r="G17" s="116">
        <v>55.03867931774308</v>
      </c>
      <c r="H17" s="117">
        <f>('ORÇAMENTO_EXECUTIVO'!$B$19/'CÁLCULO_MÉDIAS'!H$4)*G17</f>
        <v>57.6375922</v>
      </c>
      <c r="I17" s="116">
        <v>37.84</v>
      </c>
      <c r="J17" s="118">
        <f>('ORÇAMENTO_EXECUTIVO'!$B$19/'CÁLCULO_MÉDIAS'!J$4)*I17</f>
        <v>48.74708973</v>
      </c>
      <c r="K17" s="124">
        <v>82.25295643352251</v>
      </c>
      <c r="L17" s="118">
        <f>('ORÇAMENTO_EXECUTIVO'!$B$19/'CÁLCULO_MÉDIAS'!L$4)*K17</f>
        <v>85.19061719</v>
      </c>
      <c r="M17" s="124">
        <f>54.2873850783883+15.35</f>
        <v>69.63738508</v>
      </c>
      <c r="N17" s="118">
        <f>('ORÇAMENTO_EXECUTIVO'!$B$19/'CÁLCULO_MÉDIAS'!N$4)*M17</f>
        <v>71.41448586</v>
      </c>
      <c r="O17" s="122">
        <v>55.01060856833051</v>
      </c>
      <c r="P17" s="118">
        <f>('ORÇAMENTO_EXECUTIVO'!$B$19/'CÁLCULO_MÉDIAS'!P$4)*O17</f>
        <v>55.10833255</v>
      </c>
      <c r="R17" s="120">
        <v>50.0</v>
      </c>
      <c r="S17" s="120">
        <v>80.0</v>
      </c>
    </row>
    <row r="18" ht="18.75" customHeight="1">
      <c r="B18" s="121" t="s">
        <v>27</v>
      </c>
      <c r="C18" s="124">
        <v>210.0314699169898</v>
      </c>
      <c r="D18" s="117">
        <f>('ORÇAMENTO_EXECUTIVO'!$B$19/'CÁLCULO_MÉDIAS'!D$4)*C18</f>
        <v>215.3913364</v>
      </c>
      <c r="E18" s="124">
        <v>167.78667972935523</v>
      </c>
      <c r="F18" s="117">
        <f>('ORÇAMENTO_EXECUTIVO'!$B$19/'CÁLCULO_MÉDIAS'!F$4)*E18</f>
        <v>179.8533893</v>
      </c>
      <c r="G18" s="116">
        <v>165.18748649465164</v>
      </c>
      <c r="H18" s="117">
        <f>('ORÇAMENTO_EXECUTIVO'!$B$19/'CÁLCULO_MÉDIAS'!H$4)*G18</f>
        <v>172.9875989</v>
      </c>
      <c r="I18" s="116">
        <v>111.36</v>
      </c>
      <c r="J18" s="118">
        <f>('ORÇAMENTO_EXECUTIVO'!$B$19/'CÁLCULO_MÉDIAS'!J$4)*I18</f>
        <v>143.4586658</v>
      </c>
      <c r="K18" s="124">
        <v>171.08275181950387</v>
      </c>
      <c r="L18" s="118">
        <f>('ORÇAMENTO_EXECUTIVO'!$B$19/'CÁLCULO_MÉDIAS'!L$4)*K18</f>
        <v>177.1929648</v>
      </c>
      <c r="M18" s="124">
        <f>128.113840140444+57.38</f>
        <v>185.4938401</v>
      </c>
      <c r="N18" s="118">
        <f>('ORÇAMENTO_EXECUTIVO'!$B$19/'CÁLCULO_MÉDIAS'!N$4)*M18</f>
        <v>190.2275223</v>
      </c>
      <c r="O18" s="122">
        <v>148.70478618145466</v>
      </c>
      <c r="P18" s="118">
        <f>('ORÇAMENTO_EXECUTIVO'!$B$19/'CÁLCULO_MÉDIAS'!P$4)*O18</f>
        <v>148.9689538</v>
      </c>
      <c r="R18" s="120">
        <v>140.0</v>
      </c>
      <c r="S18" s="120">
        <v>180.0</v>
      </c>
    </row>
    <row r="19" ht="18.75" customHeight="1">
      <c r="B19" s="125" t="s">
        <v>29</v>
      </c>
      <c r="C19" s="124">
        <v>125.3808845584622</v>
      </c>
      <c r="D19" s="117">
        <f>('ORÇAMENTO_EXECUTIVO'!$B$19/'CÁLCULO_MÉDIAS'!D$4)*C19</f>
        <v>128.5805232</v>
      </c>
      <c r="E19" s="124">
        <v>81.30016752839809</v>
      </c>
      <c r="F19" s="117">
        <f>('ORÇAMENTO_EXECUTIVO'!$B$19/'CÁLCULO_MÉDIAS'!F$4)*E19</f>
        <v>87.1470292</v>
      </c>
      <c r="G19" s="116">
        <v>110.39978903493726</v>
      </c>
      <c r="H19" s="117">
        <f>('ORÇAMENTO_EXECUTIVO'!$B$19/'CÁLCULO_MÉDIAS'!H$4)*G19</f>
        <v>115.6128399</v>
      </c>
      <c r="I19" s="116">
        <v>83.06</v>
      </c>
      <c r="J19" s="118">
        <f>('ORÇAMENTO_EXECUTIVO'!$B$19/'CÁLCULO_MÉDIAS'!J$4)*I19</f>
        <v>107.0014079</v>
      </c>
      <c r="K19" s="124">
        <v>131.719845544152</v>
      </c>
      <c r="L19" s="118">
        <f>('ORÇAMENTO_EXECUTIVO'!$B$19/'CÁLCULO_MÉDIAS'!L$4)*K19</f>
        <v>136.4242141</v>
      </c>
      <c r="M19" s="124">
        <f>35.9030401086365+97.72</f>
        <v>133.6230401</v>
      </c>
      <c r="N19" s="118">
        <f>('ORÇAMENTO_EXECUTIVO'!$B$19/'CÁLCULO_MÉDIAS'!N$4)*M19</f>
        <v>137.0330132</v>
      </c>
      <c r="O19" s="122">
        <v>173.39863257808926</v>
      </c>
      <c r="P19" s="118">
        <f>('ORÇAMENTO_EXECUTIVO'!$B$19/'CÁLCULO_MÉDIAS'!P$4)*O19</f>
        <v>173.7066678</v>
      </c>
      <c r="R19" s="120">
        <v>130.0</v>
      </c>
      <c r="S19" s="120">
        <v>180.0</v>
      </c>
    </row>
    <row r="20" ht="18.75" customHeight="1">
      <c r="B20" s="121" t="s">
        <v>31</v>
      </c>
      <c r="C20" s="124">
        <v>243.33429413738463</v>
      </c>
      <c r="D20" s="117">
        <f>('ORÇAMENTO_EXECUTIVO'!$B$19/'CÁLCULO_MÉDIAS'!D$4)*C20</f>
        <v>249.5440271</v>
      </c>
      <c r="E20" s="124">
        <v>186.45529550301794</v>
      </c>
      <c r="F20" s="117">
        <f>('ORÇAMENTO_EXECUTIVO'!$B$19/'CÁLCULO_MÉDIAS'!F$4)*E20</f>
        <v>199.8645953</v>
      </c>
      <c r="G20" s="116">
        <v>147.28733031905907</v>
      </c>
      <c r="H20" s="117">
        <f>('ORÇAMENTO_EXECUTIVO'!$B$19/'CÁLCULO_MÉDIAS'!H$4)*G20</f>
        <v>154.2422018</v>
      </c>
      <c r="I20" s="116">
        <v>186.71</v>
      </c>
      <c r="J20" s="118">
        <f>('ORÇAMENTO_EXECUTIVO'!$B$19/'CÁLCULO_MÉDIAS'!J$4)*I20</f>
        <v>240.5277253</v>
      </c>
      <c r="K20" s="124">
        <v>323.4743153851151</v>
      </c>
      <c r="L20" s="118">
        <f>('ORÇAMENTO_EXECUTIVO'!$B$19/'CÁLCULO_MÉDIAS'!L$4)*K20</f>
        <v>335.0271865</v>
      </c>
      <c r="M20" s="124">
        <f>250.558807445514+9.23</f>
        <v>259.7888074</v>
      </c>
      <c r="N20" s="118">
        <f>('ORÇAMENTO_EXECUTIVO'!$B$19/'CÁLCULO_MÉDIAS'!N$4)*M20</f>
        <v>266.4184489</v>
      </c>
      <c r="O20" s="122">
        <v>208.1226579069553</v>
      </c>
      <c r="P20" s="118">
        <f>('ORÇAMENTO_EXECUTIVO'!$B$19/'CÁLCULO_MÉDIAS'!P$4)*O20</f>
        <v>208.4923789</v>
      </c>
      <c r="R20" s="120">
        <v>230.0</v>
      </c>
      <c r="S20" s="120">
        <v>280.0</v>
      </c>
    </row>
    <row r="21" ht="18.75" customHeight="1">
      <c r="B21" s="125" t="s">
        <v>33</v>
      </c>
      <c r="C21" s="124">
        <v>12.639947654031838</v>
      </c>
      <c r="D21" s="117">
        <f>('ORÇAMENTO_EXECUTIVO'!$B$19/'CÁLCULO_MÉDIAS'!D$4)*C21</f>
        <v>12.9625109</v>
      </c>
      <c r="E21" s="124">
        <v>8.67</v>
      </c>
      <c r="F21" s="117">
        <f>('ORÇAMENTO_EXECUTIVO'!$B$19/'CÁLCULO_MÉDIAS'!F$4)*E21</f>
        <v>9.293520126</v>
      </c>
      <c r="G21" s="116">
        <v>0.0</v>
      </c>
      <c r="H21" s="117">
        <f>('ORÇAMENTO_EXECUTIVO'!$B$19/'CÁLCULO_MÉDIAS'!H$4)*G21</f>
        <v>0</v>
      </c>
      <c r="I21" s="116">
        <v>12.08</v>
      </c>
      <c r="J21" s="118">
        <f>('ORÇAMENTO_EXECUTIVO'!$B$19/'CÁLCULO_MÉDIAS'!J$4)*I21</f>
        <v>15.56196734</v>
      </c>
      <c r="K21" s="124">
        <v>5.004967507966836</v>
      </c>
      <c r="L21" s="118">
        <f>('ORÇAMENTO_EXECUTIVO'!$B$19/'CÁLCULO_MÉDIAS'!L$4)*K21</f>
        <v>5.183719704</v>
      </c>
      <c r="M21" s="124">
        <f>2.57125170509111+1.44</f>
        <v>4.011251705</v>
      </c>
      <c r="N21" s="118">
        <f>('ORÇAMENTO_EXECUTIVO'!$B$19/'CÁLCULO_MÉDIAS'!N$4)*M21</f>
        <v>4.11361624</v>
      </c>
      <c r="O21" s="122">
        <v>13.493415250930482</v>
      </c>
      <c r="P21" s="118">
        <f>('ORÇAMENTO_EXECUTIVO'!$B$19/'CÁLCULO_MÉDIAS'!P$4)*O21</f>
        <v>13.51738572</v>
      </c>
      <c r="R21" s="120">
        <v>5.0</v>
      </c>
      <c r="S21" s="120">
        <v>12.0</v>
      </c>
    </row>
    <row r="22" ht="18.75" customHeight="1">
      <c r="B22" s="121" t="s">
        <v>35</v>
      </c>
      <c r="C22" s="124">
        <v>102.99303370882639</v>
      </c>
      <c r="D22" s="117">
        <f>('ORÇAMENTO_EXECUTIVO'!$B$19/'CÁLCULO_MÉDIAS'!D$4)*C22</f>
        <v>105.6213489</v>
      </c>
      <c r="E22" s="124">
        <v>84.89</v>
      </c>
      <c r="F22" s="117">
        <f>('ORÇAMENTO_EXECUTIVO'!$B$19/'CÁLCULO_MÉDIAS'!F$4)*E22</f>
        <v>90.99503154</v>
      </c>
      <c r="G22" s="116">
        <v>26.873961688334965</v>
      </c>
      <c r="H22" s="117">
        <f>('ORÇAMENTO_EXECUTIVO'!$B$19/'CÁLCULO_MÉDIAS'!H$4)*G22</f>
        <v>28.14294354</v>
      </c>
      <c r="I22" s="116">
        <v>126.33</v>
      </c>
      <c r="J22" s="118">
        <f>('ORÇAMENTO_EXECUTIVO'!$B$19/'CÁLCULO_MÉDIAS'!J$4)*I22</f>
        <v>162.7436534</v>
      </c>
      <c r="K22" s="124">
        <v>165.68145313767593</v>
      </c>
      <c r="L22" s="118">
        <f>('ORÇAMENTO_EXECUTIVO'!$B$19/'CÁLCULO_MÉDIAS'!L$4)*K22</f>
        <v>171.598759</v>
      </c>
      <c r="M22" s="124">
        <f>150.750039454126+64.44</f>
        <v>215.1900395</v>
      </c>
      <c r="N22" s="118">
        <f>('ORÇAMENTO_EXECUTIVO'!$B$19/'CÁLCULO_MÉDIAS'!N$4)*M22</f>
        <v>220.6815493</v>
      </c>
      <c r="O22" s="122">
        <v>131.44433827627864</v>
      </c>
      <c r="P22" s="118">
        <f>('ORÇAMENTO_EXECUTIVO'!$B$19/'CÁLCULO_MÉDIAS'!P$4)*O22</f>
        <v>131.6778435</v>
      </c>
      <c r="R22" s="120">
        <v>100.0</v>
      </c>
      <c r="S22" s="120">
        <v>170.0</v>
      </c>
    </row>
    <row r="23" ht="18.75" customHeight="1">
      <c r="B23" s="127" t="s">
        <v>36</v>
      </c>
      <c r="C23" s="124">
        <v>116.34736354830952</v>
      </c>
      <c r="D23" s="117">
        <f>('ORÇAMENTO_EXECUTIVO'!$B$19/'CÁLCULO_MÉDIAS'!D$4)*C23</f>
        <v>119.3164726</v>
      </c>
      <c r="E23" s="124">
        <v>166.8701155156241</v>
      </c>
      <c r="F23" s="117">
        <f>('ORÇAMENTO_EXECUTIVO'!$B$19/'CÁLCULO_MÉDIAS'!F$4)*E23</f>
        <v>178.8709085</v>
      </c>
      <c r="G23" s="124">
        <v>125.1290430276559</v>
      </c>
      <c r="H23" s="117">
        <f>('ORÇAMENTO_EXECUTIVO'!$B$19/'CÁLCULO_MÉDIAS'!H$4)*G23</f>
        <v>131.0376056</v>
      </c>
      <c r="I23" s="116">
        <v>74.23</v>
      </c>
      <c r="J23" s="118">
        <f>('ORÇAMENTO_EXECUTIVO'!$B$19/'CÁLCULO_MÉDIAS'!J$4)*I23</f>
        <v>95.62622809</v>
      </c>
      <c r="K23" s="124">
        <v>142.841716072437</v>
      </c>
      <c r="L23" s="118">
        <f>('ORÇAMENTO_EXECUTIVO'!$B$19/'CÁLCULO_MÉDIAS'!L$4)*K23</f>
        <v>147.9433017</v>
      </c>
      <c r="M23" s="124">
        <f>154.053109535665+12.4</f>
        <v>166.4531095</v>
      </c>
      <c r="N23" s="118">
        <f>('ORÇAMENTO_EXECUTIVO'!$B$19/'CÁLCULO_MÉDIAS'!N$4)*M23</f>
        <v>170.7008846</v>
      </c>
      <c r="O23" s="128">
        <v>120.65759582482893</v>
      </c>
      <c r="P23" s="118">
        <f>('ORÇAMENTO_EXECUTIVO'!$B$19/'CÁLCULO_MÉDIAS'!P$4)*O23</f>
        <v>120.8719389</v>
      </c>
      <c r="R23" s="129">
        <v>120.0</v>
      </c>
      <c r="S23" s="129">
        <v>170.0</v>
      </c>
    </row>
    <row r="24" ht="18.75" customHeight="1">
      <c r="B24" s="130" t="s">
        <v>40</v>
      </c>
      <c r="C24" s="131">
        <f t="shared" ref="C24:P24" si="1">SUM(C8:C23)</f>
        <v>2764.288638</v>
      </c>
      <c r="D24" s="132">
        <f t="shared" si="1"/>
        <v>2834.831486</v>
      </c>
      <c r="E24" s="131">
        <f t="shared" si="1"/>
        <v>2722.313887</v>
      </c>
      <c r="F24" s="132">
        <f t="shared" si="1"/>
        <v>2918.094451</v>
      </c>
      <c r="G24" s="131">
        <f t="shared" si="1"/>
        <v>2289.533592</v>
      </c>
      <c r="H24" s="132">
        <f t="shared" si="1"/>
        <v>2397.644805</v>
      </c>
      <c r="I24" s="131">
        <f t="shared" si="1"/>
        <v>2191.72</v>
      </c>
      <c r="J24" s="132">
        <f t="shared" si="1"/>
        <v>2823.466478</v>
      </c>
      <c r="K24" s="131">
        <f t="shared" si="1"/>
        <v>3271.11608</v>
      </c>
      <c r="L24" s="132">
        <f t="shared" si="1"/>
        <v>3387.943848</v>
      </c>
      <c r="M24" s="131">
        <f t="shared" si="1"/>
        <v>3302.643536</v>
      </c>
      <c r="N24" s="133">
        <f t="shared" si="1"/>
        <v>3386.924852</v>
      </c>
      <c r="O24" s="131">
        <f t="shared" si="1"/>
        <v>3125.805891</v>
      </c>
      <c r="P24" s="132">
        <f t="shared" si="1"/>
        <v>3131.358751</v>
      </c>
      <c r="R24" s="134">
        <f t="shared" ref="R24:S24" si="2">SUM(R8:R23)</f>
        <v>2510</v>
      </c>
      <c r="S24" s="134">
        <f t="shared" si="2"/>
        <v>3292</v>
      </c>
    </row>
    <row r="25" ht="15.75" customHeight="1">
      <c r="R25" s="65"/>
      <c r="S25" s="65"/>
    </row>
    <row r="26" ht="15.75" customHeight="1">
      <c r="B26" s="135"/>
      <c r="C26" s="110"/>
      <c r="E26" s="110"/>
      <c r="G26" s="135"/>
      <c r="H26" s="110"/>
      <c r="I26" s="136">
        <f>I24/J4</f>
        <v>1.023900288</v>
      </c>
      <c r="O26" s="135"/>
      <c r="P26" s="110"/>
      <c r="R26" s="65"/>
      <c r="S26" s="65"/>
    </row>
    <row r="27" ht="15.75" customHeight="1">
      <c r="C27" s="110"/>
      <c r="E27" s="110"/>
      <c r="H27" s="110"/>
      <c r="P27" s="110"/>
      <c r="R27" s="65"/>
      <c r="S27" s="65"/>
    </row>
    <row r="28" ht="15.75" customHeight="1">
      <c r="R28" s="65"/>
      <c r="S28" s="65"/>
    </row>
    <row r="29" ht="15.75" customHeight="1">
      <c r="R29" s="65"/>
      <c r="S29" s="65"/>
    </row>
    <row r="30" ht="15.75" customHeight="1">
      <c r="R30" s="65"/>
      <c r="S30" s="65"/>
    </row>
    <row r="31" ht="15.75" customHeight="1">
      <c r="R31" s="65"/>
      <c r="S31" s="65"/>
    </row>
    <row r="32" ht="15.75" customHeight="1">
      <c r="R32" s="65"/>
      <c r="S32" s="65"/>
    </row>
    <row r="33" ht="15.75" customHeight="1">
      <c r="R33" s="65"/>
      <c r="S33" s="65"/>
    </row>
    <row r="34" ht="15.75" customHeight="1">
      <c r="R34" s="65"/>
      <c r="S34" s="65"/>
    </row>
    <row r="35" ht="15.75" customHeight="1">
      <c r="R35" s="65"/>
      <c r="S35" s="65"/>
    </row>
    <row r="36" ht="15.75" customHeight="1">
      <c r="R36" s="65"/>
      <c r="S36" s="65"/>
    </row>
    <row r="37" ht="15.75" customHeight="1">
      <c r="R37" s="65"/>
      <c r="S37" s="65"/>
    </row>
    <row r="38" ht="15.75" customHeight="1">
      <c r="R38" s="65"/>
      <c r="S38" s="65"/>
    </row>
    <row r="39" ht="15.75" customHeight="1">
      <c r="R39" s="65"/>
      <c r="S39" s="65"/>
    </row>
    <row r="40" ht="15.75" customHeight="1">
      <c r="R40" s="65"/>
      <c r="S40" s="65"/>
    </row>
    <row r="41" ht="15.75" customHeight="1">
      <c r="R41" s="65"/>
      <c r="S41" s="65"/>
    </row>
    <row r="42" ht="15.75" customHeight="1">
      <c r="R42" s="65"/>
      <c r="S42" s="65"/>
    </row>
    <row r="43" ht="15.75" customHeight="1">
      <c r="R43" s="65"/>
      <c r="S43" s="65"/>
    </row>
    <row r="44" ht="15.75" customHeight="1">
      <c r="R44" s="65"/>
      <c r="S44" s="65"/>
    </row>
    <row r="45" ht="15.75" customHeight="1">
      <c r="R45" s="65"/>
      <c r="S45" s="65"/>
    </row>
    <row r="46" ht="15.75" customHeight="1">
      <c r="R46" s="65"/>
      <c r="S46" s="65"/>
    </row>
    <row r="47" ht="15.75" customHeight="1">
      <c r="R47" s="65"/>
      <c r="S47" s="65"/>
    </row>
    <row r="48" ht="15.75" customHeight="1">
      <c r="R48" s="65"/>
      <c r="S48" s="65"/>
    </row>
    <row r="49" ht="15.75" customHeight="1">
      <c r="R49" s="65"/>
      <c r="S49" s="65"/>
    </row>
    <row r="50" ht="15.75" customHeight="1">
      <c r="R50" s="65"/>
      <c r="S50" s="65"/>
    </row>
    <row r="51" ht="15.75" customHeight="1">
      <c r="R51" s="65"/>
      <c r="S51" s="65"/>
    </row>
    <row r="52" ht="15.75" customHeight="1">
      <c r="R52" s="65"/>
      <c r="S52" s="65"/>
    </row>
    <row r="53" ht="15.75" customHeight="1">
      <c r="R53" s="65"/>
      <c r="S53" s="65"/>
    </row>
    <row r="54" ht="15.75" customHeight="1">
      <c r="R54" s="65"/>
      <c r="S54" s="65"/>
    </row>
    <row r="55" ht="15.75" customHeight="1">
      <c r="R55" s="65"/>
      <c r="S55" s="65"/>
    </row>
    <row r="56" ht="15.75" customHeight="1">
      <c r="R56" s="65"/>
      <c r="S56" s="65"/>
    </row>
    <row r="57" ht="15.75" customHeight="1">
      <c r="R57" s="65"/>
      <c r="S57" s="65"/>
    </row>
    <row r="58" ht="15.75" customHeight="1">
      <c r="R58" s="65"/>
      <c r="S58" s="65"/>
    </row>
    <row r="59" ht="15.75" customHeight="1">
      <c r="R59" s="65"/>
      <c r="S59" s="65"/>
    </row>
    <row r="60" ht="15.75" customHeight="1">
      <c r="R60" s="65"/>
      <c r="S60" s="65"/>
    </row>
    <row r="61" ht="15.75" customHeight="1">
      <c r="R61" s="65"/>
      <c r="S61" s="65"/>
    </row>
    <row r="62" ht="15.75" customHeight="1">
      <c r="R62" s="65"/>
      <c r="S62" s="65"/>
    </row>
    <row r="63" ht="15.75" customHeight="1">
      <c r="R63" s="65"/>
      <c r="S63" s="65"/>
    </row>
    <row r="64" ht="15.75" customHeight="1">
      <c r="R64" s="65"/>
      <c r="S64" s="65"/>
    </row>
    <row r="65" ht="15.75" customHeight="1">
      <c r="R65" s="65"/>
      <c r="S65" s="65"/>
    </row>
    <row r="66" ht="15.75" customHeight="1">
      <c r="R66" s="65"/>
      <c r="S66" s="65"/>
    </row>
    <row r="67" ht="15.75" customHeight="1">
      <c r="R67" s="65"/>
      <c r="S67" s="65"/>
    </row>
    <row r="68" ht="15.75" customHeight="1">
      <c r="R68" s="65"/>
      <c r="S68" s="65"/>
    </row>
    <row r="69" ht="15.75" customHeight="1">
      <c r="R69" s="65"/>
      <c r="S69" s="65"/>
    </row>
    <row r="70" ht="15.75" customHeight="1">
      <c r="R70" s="65"/>
      <c r="S70" s="65"/>
    </row>
    <row r="71" ht="15.75" customHeight="1">
      <c r="R71" s="65"/>
      <c r="S71" s="65"/>
    </row>
    <row r="72" ht="15.75" customHeight="1">
      <c r="R72" s="65"/>
      <c r="S72" s="65"/>
    </row>
    <row r="73" ht="15.75" customHeight="1">
      <c r="R73" s="65"/>
      <c r="S73" s="65"/>
    </row>
    <row r="74" ht="15.75" customHeight="1">
      <c r="R74" s="65"/>
      <c r="S74" s="65"/>
    </row>
    <row r="75" ht="15.75" customHeight="1">
      <c r="R75" s="65"/>
      <c r="S75" s="65"/>
    </row>
    <row r="76" ht="15.75" customHeight="1">
      <c r="R76" s="65"/>
      <c r="S76" s="65"/>
    </row>
    <row r="77" ht="15.75" customHeight="1">
      <c r="R77" s="65"/>
      <c r="S77" s="65"/>
    </row>
    <row r="78" ht="15.75" customHeight="1">
      <c r="R78" s="65"/>
      <c r="S78" s="65"/>
    </row>
    <row r="79" ht="15.75" customHeight="1">
      <c r="R79" s="65"/>
      <c r="S79" s="65"/>
    </row>
    <row r="80" ht="15.75" customHeight="1">
      <c r="R80" s="65"/>
      <c r="S80" s="65"/>
    </row>
    <row r="81" ht="15.75" customHeight="1">
      <c r="R81" s="65"/>
      <c r="S81" s="65"/>
    </row>
    <row r="82" ht="15.75" customHeight="1">
      <c r="R82" s="65"/>
      <c r="S82" s="65"/>
    </row>
    <row r="83" ht="15.75" customHeight="1">
      <c r="R83" s="65"/>
      <c r="S83" s="65"/>
    </row>
    <row r="84" ht="15.75" customHeight="1">
      <c r="R84" s="65"/>
      <c r="S84" s="65"/>
    </row>
    <row r="85" ht="15.75" customHeight="1">
      <c r="R85" s="65"/>
      <c r="S85" s="65"/>
    </row>
    <row r="86" ht="15.75" customHeight="1">
      <c r="R86" s="65"/>
      <c r="S86" s="65"/>
    </row>
    <row r="87" ht="15.75" customHeight="1">
      <c r="R87" s="65"/>
      <c r="S87" s="65"/>
    </row>
    <row r="88" ht="15.75" customHeight="1">
      <c r="R88" s="65"/>
      <c r="S88" s="65"/>
    </row>
    <row r="89" ht="15.75" customHeight="1">
      <c r="R89" s="65"/>
      <c r="S89" s="65"/>
    </row>
    <row r="90" ht="15.75" customHeight="1">
      <c r="R90" s="65"/>
      <c r="S90" s="65"/>
    </row>
    <row r="91" ht="15.75" customHeight="1">
      <c r="R91" s="65"/>
      <c r="S91" s="65"/>
    </row>
    <row r="92" ht="15.75" customHeight="1">
      <c r="R92" s="65"/>
      <c r="S92" s="65"/>
    </row>
    <row r="93" ht="15.75" customHeight="1">
      <c r="R93" s="65"/>
      <c r="S93" s="65"/>
    </row>
    <row r="94" ht="15.75" customHeight="1">
      <c r="R94" s="65"/>
      <c r="S94" s="65"/>
    </row>
    <row r="95" ht="15.75" customHeight="1">
      <c r="R95" s="65"/>
      <c r="S95" s="65"/>
    </row>
    <row r="96" ht="15.75" customHeight="1">
      <c r="R96" s="65"/>
      <c r="S96" s="65"/>
    </row>
    <row r="97" ht="15.75" customHeight="1">
      <c r="R97" s="65"/>
      <c r="S97" s="65"/>
    </row>
    <row r="98" ht="15.75" customHeight="1">
      <c r="R98" s="65"/>
      <c r="S98" s="65"/>
    </row>
    <row r="99" ht="15.75" customHeight="1">
      <c r="R99" s="65"/>
      <c r="S99" s="65"/>
    </row>
    <row r="100" ht="15.75" customHeight="1">
      <c r="R100" s="65"/>
      <c r="S100" s="65"/>
    </row>
    <row r="101" ht="15.75" customHeight="1">
      <c r="R101" s="65"/>
      <c r="S101" s="65"/>
    </row>
    <row r="102" ht="15.75" customHeight="1">
      <c r="R102" s="65"/>
      <c r="S102" s="65"/>
    </row>
    <row r="103" ht="15.75" customHeight="1">
      <c r="R103" s="65"/>
      <c r="S103" s="65"/>
    </row>
    <row r="104" ht="15.75" customHeight="1">
      <c r="R104" s="65"/>
      <c r="S104" s="65"/>
    </row>
    <row r="105" ht="15.75" customHeight="1">
      <c r="R105" s="65"/>
      <c r="S105" s="65"/>
    </row>
    <row r="106" ht="15.75" customHeight="1">
      <c r="R106" s="65"/>
      <c r="S106" s="65"/>
    </row>
    <row r="107" ht="15.75" customHeight="1">
      <c r="R107" s="65"/>
      <c r="S107" s="65"/>
    </row>
    <row r="108" ht="15.75" customHeight="1">
      <c r="R108" s="65"/>
      <c r="S108" s="65"/>
    </row>
    <row r="109" ht="15.75" customHeight="1">
      <c r="R109" s="65"/>
      <c r="S109" s="65"/>
    </row>
    <row r="110" ht="15.75" customHeight="1">
      <c r="R110" s="65"/>
      <c r="S110" s="65"/>
    </row>
    <row r="111" ht="15.75" customHeight="1">
      <c r="R111" s="65"/>
      <c r="S111" s="65"/>
    </row>
    <row r="112" ht="15.75" customHeight="1">
      <c r="R112" s="65"/>
      <c r="S112" s="65"/>
    </row>
    <row r="113" ht="15.75" customHeight="1">
      <c r="R113" s="65"/>
      <c r="S113" s="65"/>
    </row>
    <row r="114" ht="15.75" customHeight="1">
      <c r="R114" s="65"/>
      <c r="S114" s="65"/>
    </row>
    <row r="115" ht="15.75" customHeight="1">
      <c r="R115" s="65"/>
      <c r="S115" s="65"/>
    </row>
    <row r="116" ht="15.75" customHeight="1">
      <c r="R116" s="65"/>
      <c r="S116" s="65"/>
    </row>
    <row r="117" ht="15.75" customHeight="1">
      <c r="R117" s="65"/>
      <c r="S117" s="65"/>
    </row>
    <row r="118" ht="15.75" customHeight="1">
      <c r="R118" s="65"/>
      <c r="S118" s="65"/>
    </row>
    <row r="119" ht="15.75" customHeight="1">
      <c r="R119" s="65"/>
      <c r="S119" s="65"/>
    </row>
    <row r="120" ht="15.75" customHeight="1">
      <c r="R120" s="65"/>
      <c r="S120" s="65"/>
    </row>
    <row r="121" ht="15.75" customHeight="1">
      <c r="R121" s="65"/>
      <c r="S121" s="65"/>
    </row>
    <row r="122" ht="15.75" customHeight="1">
      <c r="R122" s="65"/>
      <c r="S122" s="65"/>
    </row>
    <row r="123" ht="15.75" customHeight="1">
      <c r="R123" s="65"/>
      <c r="S123" s="65"/>
    </row>
    <row r="124" ht="15.75" customHeight="1">
      <c r="R124" s="65"/>
      <c r="S124" s="65"/>
    </row>
    <row r="125" ht="15.75" customHeight="1">
      <c r="R125" s="65"/>
      <c r="S125" s="65"/>
    </row>
    <row r="126" ht="15.75" customHeight="1">
      <c r="R126" s="65"/>
      <c r="S126" s="65"/>
    </row>
    <row r="127" ht="15.75" customHeight="1">
      <c r="R127" s="65"/>
      <c r="S127" s="65"/>
    </row>
    <row r="128" ht="15.75" customHeight="1">
      <c r="R128" s="65"/>
      <c r="S128" s="65"/>
    </row>
    <row r="129" ht="15.75" customHeight="1">
      <c r="R129" s="65"/>
      <c r="S129" s="65"/>
    </row>
    <row r="130" ht="15.75" customHeight="1">
      <c r="R130" s="65"/>
      <c r="S130" s="65"/>
    </row>
    <row r="131" ht="15.75" customHeight="1">
      <c r="R131" s="65"/>
      <c r="S131" s="65"/>
    </row>
    <row r="132" ht="15.75" customHeight="1">
      <c r="R132" s="65"/>
      <c r="S132" s="65"/>
    </row>
    <row r="133" ht="15.75" customHeight="1">
      <c r="R133" s="65"/>
      <c r="S133" s="65"/>
    </row>
    <row r="134" ht="15.75" customHeight="1">
      <c r="R134" s="65"/>
      <c r="S134" s="65"/>
    </row>
    <row r="135" ht="15.75" customHeight="1">
      <c r="R135" s="65"/>
      <c r="S135" s="65"/>
    </row>
    <row r="136" ht="15.75" customHeight="1">
      <c r="R136" s="65"/>
      <c r="S136" s="65"/>
    </row>
    <row r="137" ht="15.75" customHeight="1">
      <c r="R137" s="65"/>
      <c r="S137" s="65"/>
    </row>
    <row r="138" ht="15.75" customHeight="1">
      <c r="R138" s="65"/>
      <c r="S138" s="65"/>
    </row>
    <row r="139" ht="15.75" customHeight="1">
      <c r="R139" s="65"/>
      <c r="S139" s="65"/>
    </row>
    <row r="140" ht="15.75" customHeight="1">
      <c r="R140" s="65"/>
      <c r="S140" s="65"/>
    </row>
    <row r="141" ht="15.75" customHeight="1">
      <c r="R141" s="65"/>
      <c r="S141" s="65"/>
    </row>
    <row r="142" ht="15.75" customHeight="1">
      <c r="R142" s="65"/>
      <c r="S142" s="65"/>
    </row>
    <row r="143" ht="15.75" customHeight="1">
      <c r="R143" s="65"/>
      <c r="S143" s="65"/>
    </row>
    <row r="144" ht="15.75" customHeight="1">
      <c r="R144" s="65"/>
      <c r="S144" s="65"/>
    </row>
    <row r="145" ht="15.75" customHeight="1">
      <c r="R145" s="65"/>
      <c r="S145" s="65"/>
    </row>
    <row r="146" ht="15.75" customHeight="1">
      <c r="R146" s="65"/>
      <c r="S146" s="65"/>
    </row>
    <row r="147" ht="15.75" customHeight="1">
      <c r="R147" s="65"/>
      <c r="S147" s="65"/>
    </row>
    <row r="148" ht="15.75" customHeight="1">
      <c r="R148" s="65"/>
      <c r="S148" s="65"/>
    </row>
    <row r="149" ht="15.75" customHeight="1">
      <c r="R149" s="65"/>
      <c r="S149" s="65"/>
    </row>
    <row r="150" ht="15.75" customHeight="1">
      <c r="R150" s="65"/>
      <c r="S150" s="65"/>
    </row>
    <row r="151" ht="15.75" customHeight="1">
      <c r="R151" s="65"/>
      <c r="S151" s="65"/>
    </row>
    <row r="152" ht="15.75" customHeight="1">
      <c r="R152" s="65"/>
      <c r="S152" s="65"/>
    </row>
    <row r="153" ht="15.75" customHeight="1">
      <c r="R153" s="65"/>
      <c r="S153" s="65"/>
    </row>
    <row r="154" ht="15.75" customHeight="1">
      <c r="R154" s="65"/>
      <c r="S154" s="65"/>
    </row>
    <row r="155" ht="15.75" customHeight="1">
      <c r="R155" s="65"/>
      <c r="S155" s="65"/>
    </row>
    <row r="156" ht="15.75" customHeight="1">
      <c r="R156" s="65"/>
      <c r="S156" s="65"/>
    </row>
    <row r="157" ht="15.75" customHeight="1">
      <c r="R157" s="65"/>
      <c r="S157" s="65"/>
    </row>
    <row r="158" ht="15.75" customHeight="1">
      <c r="R158" s="65"/>
      <c r="S158" s="65"/>
    </row>
    <row r="159" ht="15.75" customHeight="1">
      <c r="R159" s="65"/>
      <c r="S159" s="65"/>
    </row>
    <row r="160" ht="15.75" customHeight="1">
      <c r="R160" s="65"/>
      <c r="S160" s="65"/>
    </row>
    <row r="161" ht="15.75" customHeight="1">
      <c r="R161" s="65"/>
      <c r="S161" s="65"/>
    </row>
    <row r="162" ht="15.75" customHeight="1">
      <c r="R162" s="65"/>
      <c r="S162" s="65"/>
    </row>
    <row r="163" ht="15.75" customHeight="1">
      <c r="R163" s="65"/>
      <c r="S163" s="65"/>
    </row>
    <row r="164" ht="15.75" customHeight="1">
      <c r="R164" s="65"/>
      <c r="S164" s="65"/>
    </row>
    <row r="165" ht="15.75" customHeight="1">
      <c r="R165" s="65"/>
      <c r="S165" s="65"/>
    </row>
    <row r="166" ht="15.75" customHeight="1">
      <c r="R166" s="65"/>
      <c r="S166" s="65"/>
    </row>
    <row r="167" ht="15.75" customHeight="1">
      <c r="R167" s="65"/>
      <c r="S167" s="65"/>
    </row>
    <row r="168" ht="15.75" customHeight="1">
      <c r="R168" s="65"/>
      <c r="S168" s="65"/>
    </row>
    <row r="169" ht="15.75" customHeight="1">
      <c r="R169" s="65"/>
      <c r="S169" s="65"/>
    </row>
    <row r="170" ht="15.75" customHeight="1">
      <c r="R170" s="65"/>
      <c r="S170" s="65"/>
    </row>
    <row r="171" ht="15.75" customHeight="1">
      <c r="R171" s="65"/>
      <c r="S171" s="65"/>
    </row>
    <row r="172" ht="15.75" customHeight="1">
      <c r="R172" s="65"/>
      <c r="S172" s="65"/>
    </row>
    <row r="173" ht="15.75" customHeight="1">
      <c r="R173" s="65"/>
      <c r="S173" s="65"/>
    </row>
    <row r="174" ht="15.75" customHeight="1">
      <c r="R174" s="65"/>
      <c r="S174" s="65"/>
    </row>
    <row r="175" ht="15.75" customHeight="1">
      <c r="R175" s="65"/>
      <c r="S175" s="65"/>
    </row>
    <row r="176" ht="15.75" customHeight="1">
      <c r="R176" s="65"/>
      <c r="S176" s="65"/>
    </row>
    <row r="177" ht="15.75" customHeight="1">
      <c r="R177" s="65"/>
      <c r="S177" s="65"/>
    </row>
    <row r="178" ht="15.75" customHeight="1">
      <c r="R178" s="65"/>
      <c r="S178" s="65"/>
    </row>
    <row r="179" ht="15.75" customHeight="1">
      <c r="R179" s="65"/>
      <c r="S179" s="65"/>
    </row>
    <row r="180" ht="15.75" customHeight="1">
      <c r="R180" s="65"/>
      <c r="S180" s="65"/>
    </row>
    <row r="181" ht="15.75" customHeight="1">
      <c r="R181" s="65"/>
      <c r="S181" s="65"/>
    </row>
    <row r="182" ht="15.75" customHeight="1">
      <c r="R182" s="65"/>
      <c r="S182" s="65"/>
    </row>
    <row r="183" ht="15.75" customHeight="1">
      <c r="R183" s="65"/>
      <c r="S183" s="65"/>
    </row>
    <row r="184" ht="15.75" customHeight="1">
      <c r="R184" s="65"/>
      <c r="S184" s="65"/>
    </row>
    <row r="185" ht="15.75" customHeight="1">
      <c r="R185" s="65"/>
      <c r="S185" s="65"/>
    </row>
    <row r="186" ht="15.75" customHeight="1">
      <c r="R186" s="65"/>
      <c r="S186" s="65"/>
    </row>
    <row r="187" ht="15.75" customHeight="1">
      <c r="R187" s="65"/>
      <c r="S187" s="65"/>
    </row>
    <row r="188" ht="15.75" customHeight="1">
      <c r="R188" s="65"/>
      <c r="S188" s="65"/>
    </row>
    <row r="189" ht="15.75" customHeight="1">
      <c r="R189" s="65"/>
      <c r="S189" s="65"/>
    </row>
    <row r="190" ht="15.75" customHeight="1">
      <c r="R190" s="65"/>
      <c r="S190" s="65"/>
    </row>
    <row r="191" ht="15.75" customHeight="1">
      <c r="R191" s="65"/>
      <c r="S191" s="65"/>
    </row>
    <row r="192" ht="15.75" customHeight="1">
      <c r="R192" s="65"/>
      <c r="S192" s="65"/>
    </row>
    <row r="193" ht="15.75" customHeight="1">
      <c r="R193" s="65"/>
      <c r="S193" s="65"/>
    </row>
    <row r="194" ht="15.75" customHeight="1">
      <c r="R194" s="65"/>
      <c r="S194" s="65"/>
    </row>
    <row r="195" ht="15.75" customHeight="1">
      <c r="R195" s="65"/>
      <c r="S195" s="65"/>
    </row>
    <row r="196" ht="15.75" customHeight="1">
      <c r="R196" s="65"/>
      <c r="S196" s="65"/>
    </row>
    <row r="197" ht="15.75" customHeight="1">
      <c r="R197" s="65"/>
      <c r="S197" s="65"/>
    </row>
    <row r="198" ht="15.75" customHeight="1">
      <c r="R198" s="65"/>
      <c r="S198" s="65"/>
    </row>
    <row r="199" ht="15.75" customHeight="1">
      <c r="R199" s="65"/>
      <c r="S199" s="65"/>
    </row>
    <row r="200" ht="15.75" customHeight="1">
      <c r="R200" s="65"/>
      <c r="S200" s="65"/>
    </row>
    <row r="201" ht="15.75" customHeight="1">
      <c r="R201" s="65"/>
      <c r="S201" s="65"/>
    </row>
    <row r="202" ht="15.75" customHeight="1">
      <c r="R202" s="65"/>
      <c r="S202" s="65"/>
    </row>
    <row r="203" ht="15.75" customHeight="1">
      <c r="R203" s="65"/>
      <c r="S203" s="65"/>
    </row>
    <row r="204" ht="15.75" customHeight="1">
      <c r="R204" s="65"/>
      <c r="S204" s="65"/>
    </row>
    <row r="205" ht="15.75" customHeight="1">
      <c r="R205" s="65"/>
      <c r="S205" s="65"/>
    </row>
    <row r="206" ht="15.75" customHeight="1">
      <c r="R206" s="65"/>
      <c r="S206" s="65"/>
    </row>
    <row r="207" ht="15.75" customHeight="1">
      <c r="R207" s="65"/>
      <c r="S207" s="65"/>
    </row>
    <row r="208" ht="15.75" customHeight="1">
      <c r="R208" s="65"/>
      <c r="S208" s="65"/>
    </row>
    <row r="209" ht="15.75" customHeight="1">
      <c r="R209" s="65"/>
      <c r="S209" s="65"/>
    </row>
    <row r="210" ht="15.75" customHeight="1">
      <c r="R210" s="65"/>
      <c r="S210" s="65"/>
    </row>
    <row r="211" ht="15.75" customHeight="1">
      <c r="R211" s="65"/>
      <c r="S211" s="65"/>
    </row>
    <row r="212" ht="15.75" customHeight="1">
      <c r="R212" s="65"/>
      <c r="S212" s="65"/>
    </row>
    <row r="213" ht="15.75" customHeight="1">
      <c r="R213" s="65"/>
      <c r="S213" s="65"/>
    </row>
    <row r="214" ht="15.75" customHeight="1">
      <c r="R214" s="65"/>
      <c r="S214" s="65"/>
    </row>
    <row r="215" ht="15.75" customHeight="1">
      <c r="R215" s="65"/>
      <c r="S215" s="65"/>
    </row>
    <row r="216" ht="15.75" customHeight="1">
      <c r="R216" s="65"/>
      <c r="S216" s="65"/>
    </row>
    <row r="217" ht="15.75" customHeight="1">
      <c r="R217" s="65"/>
      <c r="S217" s="65"/>
    </row>
    <row r="218" ht="15.75" customHeight="1">
      <c r="R218" s="65"/>
      <c r="S218" s="65"/>
    </row>
    <row r="219" ht="15.75" customHeight="1">
      <c r="R219" s="65"/>
      <c r="S219" s="65"/>
    </row>
    <row r="220" ht="15.75" customHeight="1">
      <c r="R220" s="65"/>
      <c r="S220" s="65"/>
    </row>
    <row r="221" ht="15.75" customHeight="1">
      <c r="R221" s="65"/>
      <c r="S221" s="65"/>
    </row>
    <row r="222" ht="15.75" customHeight="1">
      <c r="R222" s="65"/>
      <c r="S222" s="65"/>
    </row>
    <row r="223" ht="15.75" customHeight="1">
      <c r="R223" s="65"/>
      <c r="S223" s="65"/>
    </row>
    <row r="224" ht="15.75" customHeight="1">
      <c r="R224" s="65"/>
      <c r="S224" s="65"/>
    </row>
    <row r="225" ht="15.75" customHeight="1">
      <c r="R225" s="65"/>
      <c r="S225" s="65"/>
    </row>
    <row r="226" ht="15.75" customHeight="1">
      <c r="R226" s="65"/>
      <c r="S226" s="65"/>
    </row>
    <row r="227" ht="15.75" customHeight="1">
      <c r="R227" s="65"/>
      <c r="S227" s="65"/>
    </row>
    <row r="228" ht="15.75" customHeight="1">
      <c r="R228" s="65"/>
      <c r="S228" s="65"/>
    </row>
    <row r="229" ht="15.75" customHeight="1">
      <c r="R229" s="65"/>
      <c r="S229" s="65"/>
    </row>
    <row r="230" ht="15.75" customHeight="1">
      <c r="R230" s="65"/>
      <c r="S230" s="65"/>
    </row>
    <row r="231" ht="15.75" customHeight="1">
      <c r="R231" s="65"/>
      <c r="S231" s="65"/>
    </row>
    <row r="232" ht="15.75" customHeight="1">
      <c r="R232" s="65"/>
      <c r="S232" s="65"/>
    </row>
    <row r="233" ht="15.75" customHeight="1">
      <c r="R233" s="65"/>
      <c r="S233" s="65"/>
    </row>
    <row r="234" ht="15.75" customHeight="1">
      <c r="R234" s="65"/>
      <c r="S234" s="65"/>
    </row>
    <row r="235" ht="15.75" customHeight="1">
      <c r="R235" s="65"/>
      <c r="S235" s="65"/>
    </row>
    <row r="236" ht="15.75" customHeight="1">
      <c r="R236" s="65"/>
      <c r="S236" s="65"/>
    </row>
    <row r="237" ht="15.75" customHeight="1">
      <c r="R237" s="65"/>
      <c r="S237" s="65"/>
    </row>
    <row r="238" ht="15.75" customHeight="1">
      <c r="R238" s="65"/>
      <c r="S238" s="65"/>
    </row>
    <row r="239" ht="15.75" customHeight="1">
      <c r="R239" s="65"/>
      <c r="S239" s="65"/>
    </row>
    <row r="240" ht="15.75" customHeight="1">
      <c r="R240" s="65"/>
      <c r="S240" s="65"/>
    </row>
    <row r="241" ht="15.75" customHeight="1">
      <c r="R241" s="65"/>
      <c r="S241" s="65"/>
    </row>
    <row r="242" ht="15.75" customHeight="1">
      <c r="R242" s="65"/>
      <c r="S242" s="65"/>
    </row>
    <row r="243" ht="15.75" customHeight="1">
      <c r="R243" s="65"/>
      <c r="S243" s="65"/>
    </row>
    <row r="244" ht="15.75" customHeight="1">
      <c r="R244" s="65"/>
      <c r="S244" s="65"/>
    </row>
    <row r="245" ht="15.75" customHeight="1">
      <c r="R245" s="65"/>
      <c r="S245" s="65"/>
    </row>
    <row r="246" ht="15.75" customHeight="1">
      <c r="R246" s="65"/>
      <c r="S246" s="65"/>
    </row>
    <row r="247" ht="15.75" customHeight="1">
      <c r="R247" s="65"/>
      <c r="S247" s="65"/>
    </row>
    <row r="248" ht="15.75" customHeight="1">
      <c r="R248" s="65"/>
      <c r="S248" s="65"/>
    </row>
    <row r="249" ht="15.75" customHeight="1">
      <c r="R249" s="65"/>
      <c r="S249" s="65"/>
    </row>
    <row r="250" ht="15.75" customHeight="1">
      <c r="R250" s="65"/>
      <c r="S250" s="65"/>
    </row>
    <row r="251" ht="15.75" customHeight="1">
      <c r="R251" s="65"/>
      <c r="S251" s="65"/>
    </row>
    <row r="252" ht="15.75" customHeight="1">
      <c r="R252" s="65"/>
      <c r="S252" s="65"/>
    </row>
    <row r="253" ht="15.75" customHeight="1">
      <c r="R253" s="65"/>
      <c r="S253" s="65"/>
    </row>
    <row r="254" ht="15.75" customHeight="1">
      <c r="R254" s="65"/>
      <c r="S254" s="65"/>
    </row>
    <row r="255" ht="15.75" customHeight="1">
      <c r="R255" s="65"/>
      <c r="S255" s="65"/>
    </row>
    <row r="256" ht="15.75" customHeight="1">
      <c r="R256" s="65"/>
      <c r="S256" s="65"/>
    </row>
    <row r="257" ht="15.75" customHeight="1">
      <c r="R257" s="65"/>
      <c r="S257" s="65"/>
    </row>
    <row r="258" ht="15.75" customHeight="1">
      <c r="R258" s="65"/>
      <c r="S258" s="65"/>
    </row>
    <row r="259" ht="15.75" customHeight="1">
      <c r="R259" s="65"/>
      <c r="S259" s="65"/>
    </row>
    <row r="260" ht="15.75" customHeight="1">
      <c r="R260" s="65"/>
      <c r="S260" s="65"/>
    </row>
    <row r="261" ht="15.75" customHeight="1">
      <c r="R261" s="65"/>
      <c r="S261" s="65"/>
    </row>
    <row r="262" ht="15.75" customHeight="1">
      <c r="R262" s="65"/>
      <c r="S262" s="65"/>
    </row>
    <row r="263" ht="15.75" customHeight="1">
      <c r="R263" s="65"/>
      <c r="S263" s="65"/>
    </row>
    <row r="264" ht="15.75" customHeight="1">
      <c r="R264" s="65"/>
      <c r="S264" s="65"/>
    </row>
    <row r="265" ht="15.75" customHeight="1">
      <c r="R265" s="65"/>
      <c r="S265" s="65"/>
    </row>
    <row r="266" ht="15.75" customHeight="1">
      <c r="R266" s="65"/>
      <c r="S266" s="65"/>
    </row>
    <row r="267" ht="15.75" customHeight="1">
      <c r="R267" s="65"/>
      <c r="S267" s="65"/>
    </row>
    <row r="268" ht="15.75" customHeight="1">
      <c r="R268" s="65"/>
      <c r="S268" s="65"/>
    </row>
    <row r="269" ht="15.75" customHeight="1">
      <c r="R269" s="65"/>
      <c r="S269" s="65"/>
    </row>
    <row r="270" ht="15.75" customHeight="1">
      <c r="R270" s="65"/>
      <c r="S270" s="65"/>
    </row>
    <row r="271" ht="15.75" customHeight="1">
      <c r="R271" s="65"/>
      <c r="S271" s="65"/>
    </row>
    <row r="272" ht="15.75" customHeight="1">
      <c r="R272" s="65"/>
      <c r="S272" s="65"/>
    </row>
    <row r="273" ht="15.75" customHeight="1">
      <c r="R273" s="65"/>
      <c r="S273" s="65"/>
    </row>
    <row r="274" ht="15.75" customHeight="1">
      <c r="R274" s="65"/>
      <c r="S274" s="65"/>
    </row>
    <row r="275" ht="15.75" customHeight="1">
      <c r="R275" s="65"/>
      <c r="S275" s="65"/>
    </row>
    <row r="276" ht="15.75" customHeight="1">
      <c r="R276" s="65"/>
      <c r="S276" s="65"/>
    </row>
    <row r="277" ht="15.75" customHeight="1">
      <c r="R277" s="65"/>
      <c r="S277" s="65"/>
    </row>
    <row r="278" ht="15.75" customHeight="1">
      <c r="R278" s="65"/>
      <c r="S278" s="65"/>
    </row>
    <row r="279" ht="15.75" customHeight="1">
      <c r="R279" s="65"/>
      <c r="S279" s="65"/>
    </row>
    <row r="280" ht="15.75" customHeight="1">
      <c r="R280" s="65"/>
      <c r="S280" s="65"/>
    </row>
    <row r="281" ht="15.75" customHeight="1">
      <c r="R281" s="65"/>
      <c r="S281" s="65"/>
    </row>
    <row r="282" ht="15.75" customHeight="1">
      <c r="R282" s="65"/>
      <c r="S282" s="65"/>
    </row>
    <row r="283" ht="15.75" customHeight="1">
      <c r="R283" s="65"/>
      <c r="S283" s="65"/>
    </row>
    <row r="284" ht="15.75" customHeight="1">
      <c r="R284" s="65"/>
      <c r="S284" s="65"/>
    </row>
    <row r="285" ht="15.75" customHeight="1">
      <c r="R285" s="65"/>
      <c r="S285" s="65"/>
    </row>
    <row r="286" ht="15.75" customHeight="1">
      <c r="R286" s="65"/>
      <c r="S286" s="65"/>
    </row>
    <row r="287" ht="15.75" customHeight="1">
      <c r="R287" s="65"/>
      <c r="S287" s="65"/>
    </row>
    <row r="288" ht="15.75" customHeight="1">
      <c r="R288" s="65"/>
      <c r="S288" s="65"/>
    </row>
    <row r="289" ht="15.75" customHeight="1">
      <c r="R289" s="65"/>
      <c r="S289" s="65"/>
    </row>
    <row r="290" ht="15.75" customHeight="1">
      <c r="R290" s="65"/>
      <c r="S290" s="65"/>
    </row>
    <row r="291" ht="15.75" customHeight="1">
      <c r="R291" s="65"/>
      <c r="S291" s="65"/>
    </row>
    <row r="292" ht="15.75" customHeight="1">
      <c r="R292" s="65"/>
      <c r="S292" s="65"/>
    </row>
    <row r="293" ht="15.75" customHeight="1">
      <c r="R293" s="65"/>
      <c r="S293" s="65"/>
    </row>
    <row r="294" ht="15.75" customHeight="1">
      <c r="R294" s="65"/>
      <c r="S294" s="65"/>
    </row>
    <row r="295" ht="15.75" customHeight="1">
      <c r="R295" s="65"/>
      <c r="S295" s="65"/>
    </row>
    <row r="296" ht="15.75" customHeight="1">
      <c r="R296" s="65"/>
      <c r="S296" s="65"/>
    </row>
    <row r="297" ht="15.75" customHeight="1">
      <c r="R297" s="65"/>
      <c r="S297" s="65"/>
    </row>
    <row r="298" ht="15.75" customHeight="1">
      <c r="R298" s="65"/>
      <c r="S298" s="65"/>
    </row>
    <row r="299" ht="15.75" customHeight="1">
      <c r="R299" s="65"/>
      <c r="S299" s="65"/>
    </row>
    <row r="300" ht="15.75" customHeight="1">
      <c r="R300" s="65"/>
      <c r="S300" s="65"/>
    </row>
    <row r="301" ht="15.75" customHeight="1">
      <c r="R301" s="65"/>
      <c r="S301" s="65"/>
    </row>
    <row r="302" ht="15.75" customHeight="1">
      <c r="R302" s="65"/>
      <c r="S302" s="65"/>
    </row>
    <row r="303" ht="15.75" customHeight="1">
      <c r="R303" s="65"/>
      <c r="S303" s="65"/>
    </row>
    <row r="304" ht="15.75" customHeight="1">
      <c r="R304" s="65"/>
      <c r="S304" s="65"/>
    </row>
    <row r="305" ht="15.75" customHeight="1">
      <c r="R305" s="65"/>
      <c r="S305" s="65"/>
    </row>
    <row r="306" ht="15.75" customHeight="1">
      <c r="R306" s="65"/>
      <c r="S306" s="65"/>
    </row>
    <row r="307" ht="15.75" customHeight="1">
      <c r="R307" s="65"/>
      <c r="S307" s="65"/>
    </row>
    <row r="308" ht="15.75" customHeight="1">
      <c r="R308" s="65"/>
      <c r="S308" s="65"/>
    </row>
    <row r="309" ht="15.75" customHeight="1">
      <c r="R309" s="65"/>
      <c r="S309" s="65"/>
    </row>
    <row r="310" ht="15.75" customHeight="1">
      <c r="R310" s="65"/>
      <c r="S310" s="65"/>
    </row>
    <row r="311" ht="15.75" customHeight="1">
      <c r="R311" s="65"/>
      <c r="S311" s="65"/>
    </row>
    <row r="312" ht="15.75" customHeight="1">
      <c r="R312" s="65"/>
      <c r="S312" s="65"/>
    </row>
    <row r="313" ht="15.75" customHeight="1">
      <c r="R313" s="65"/>
      <c r="S313" s="65"/>
    </row>
    <row r="314" ht="15.75" customHeight="1">
      <c r="R314" s="65"/>
      <c r="S314" s="65"/>
    </row>
    <row r="315" ht="15.75" customHeight="1">
      <c r="R315" s="65"/>
      <c r="S315" s="65"/>
    </row>
    <row r="316" ht="15.75" customHeight="1">
      <c r="R316" s="65"/>
      <c r="S316" s="65"/>
    </row>
    <row r="317" ht="15.75" customHeight="1">
      <c r="R317" s="65"/>
      <c r="S317" s="65"/>
    </row>
    <row r="318" ht="15.75" customHeight="1">
      <c r="R318" s="65"/>
      <c r="S318" s="65"/>
    </row>
    <row r="319" ht="15.75" customHeight="1">
      <c r="R319" s="65"/>
      <c r="S319" s="65"/>
    </row>
    <row r="320" ht="15.75" customHeight="1">
      <c r="R320" s="65"/>
      <c r="S320" s="65"/>
    </row>
    <row r="321" ht="15.75" customHeight="1">
      <c r="R321" s="65"/>
      <c r="S321" s="65"/>
    </row>
    <row r="322" ht="15.75" customHeight="1">
      <c r="R322" s="65"/>
      <c r="S322" s="65"/>
    </row>
    <row r="323" ht="15.75" customHeight="1">
      <c r="R323" s="65"/>
      <c r="S323" s="65"/>
    </row>
    <row r="324" ht="15.75" customHeight="1">
      <c r="R324" s="65"/>
      <c r="S324" s="65"/>
    </row>
    <row r="325" ht="15.75" customHeight="1">
      <c r="R325" s="65"/>
      <c r="S325" s="65"/>
    </row>
    <row r="326" ht="15.75" customHeight="1">
      <c r="R326" s="65"/>
      <c r="S326" s="65"/>
    </row>
    <row r="327" ht="15.75" customHeight="1">
      <c r="R327" s="65"/>
      <c r="S327" s="65"/>
    </row>
    <row r="328" ht="15.75" customHeight="1">
      <c r="R328" s="65"/>
      <c r="S328" s="65"/>
    </row>
    <row r="329" ht="15.75" customHeight="1">
      <c r="R329" s="65"/>
      <c r="S329" s="65"/>
    </row>
    <row r="330" ht="15.75" customHeight="1">
      <c r="R330" s="65"/>
      <c r="S330" s="65"/>
    </row>
    <row r="331" ht="15.75" customHeight="1">
      <c r="R331" s="65"/>
      <c r="S331" s="65"/>
    </row>
    <row r="332" ht="15.75" customHeight="1">
      <c r="R332" s="65"/>
      <c r="S332" s="65"/>
    </row>
    <row r="333" ht="15.75" customHeight="1">
      <c r="R333" s="65"/>
      <c r="S333" s="65"/>
    </row>
    <row r="334" ht="15.75" customHeight="1">
      <c r="R334" s="65"/>
      <c r="S334" s="65"/>
    </row>
    <row r="335" ht="15.75" customHeight="1">
      <c r="R335" s="65"/>
      <c r="S335" s="65"/>
    </row>
    <row r="336" ht="15.75" customHeight="1">
      <c r="R336" s="65"/>
      <c r="S336" s="65"/>
    </row>
    <row r="337" ht="15.75" customHeight="1">
      <c r="R337" s="65"/>
      <c r="S337" s="65"/>
    </row>
    <row r="338" ht="15.75" customHeight="1">
      <c r="R338" s="65"/>
      <c r="S338" s="65"/>
    </row>
    <row r="339" ht="15.75" customHeight="1">
      <c r="R339" s="65"/>
      <c r="S339" s="65"/>
    </row>
    <row r="340" ht="15.75" customHeight="1">
      <c r="R340" s="65"/>
      <c r="S340" s="65"/>
    </row>
    <row r="341" ht="15.75" customHeight="1">
      <c r="R341" s="65"/>
      <c r="S341" s="65"/>
    </row>
    <row r="342" ht="15.75" customHeight="1">
      <c r="R342" s="65"/>
      <c r="S342" s="65"/>
    </row>
    <row r="343" ht="15.75" customHeight="1">
      <c r="R343" s="65"/>
      <c r="S343" s="65"/>
    </row>
    <row r="344" ht="15.75" customHeight="1">
      <c r="R344" s="65"/>
      <c r="S344" s="65"/>
    </row>
    <row r="345" ht="15.75" customHeight="1">
      <c r="R345" s="65"/>
      <c r="S345" s="65"/>
    </row>
    <row r="346" ht="15.75" customHeight="1">
      <c r="R346" s="65"/>
      <c r="S346" s="65"/>
    </row>
    <row r="347" ht="15.75" customHeight="1">
      <c r="R347" s="65"/>
      <c r="S347" s="65"/>
    </row>
    <row r="348" ht="15.75" customHeight="1">
      <c r="R348" s="65"/>
      <c r="S348" s="65"/>
    </row>
    <row r="349" ht="15.75" customHeight="1">
      <c r="R349" s="65"/>
      <c r="S349" s="65"/>
    </row>
    <row r="350" ht="15.75" customHeight="1">
      <c r="R350" s="65"/>
      <c r="S350" s="65"/>
    </row>
    <row r="351" ht="15.75" customHeight="1">
      <c r="R351" s="65"/>
      <c r="S351" s="65"/>
    </row>
    <row r="352" ht="15.75" customHeight="1">
      <c r="R352" s="65"/>
      <c r="S352" s="65"/>
    </row>
    <row r="353" ht="15.75" customHeight="1">
      <c r="R353" s="65"/>
      <c r="S353" s="65"/>
    </row>
    <row r="354" ht="15.75" customHeight="1">
      <c r="R354" s="65"/>
      <c r="S354" s="65"/>
    </row>
    <row r="355" ht="15.75" customHeight="1">
      <c r="R355" s="65"/>
      <c r="S355" s="65"/>
    </row>
    <row r="356" ht="15.75" customHeight="1">
      <c r="R356" s="65"/>
      <c r="S356" s="65"/>
    </row>
    <row r="357" ht="15.75" customHeight="1">
      <c r="R357" s="65"/>
      <c r="S357" s="65"/>
    </row>
    <row r="358" ht="15.75" customHeight="1">
      <c r="R358" s="65"/>
      <c r="S358" s="65"/>
    </row>
    <row r="359" ht="15.75" customHeight="1">
      <c r="R359" s="65"/>
      <c r="S359" s="65"/>
    </row>
    <row r="360" ht="15.75" customHeight="1">
      <c r="R360" s="65"/>
      <c r="S360" s="65"/>
    </row>
    <row r="361" ht="15.75" customHeight="1">
      <c r="R361" s="65"/>
      <c r="S361" s="65"/>
    </row>
    <row r="362" ht="15.75" customHeight="1">
      <c r="R362" s="65"/>
      <c r="S362" s="65"/>
    </row>
    <row r="363" ht="15.75" customHeight="1">
      <c r="R363" s="65"/>
      <c r="S363" s="65"/>
    </row>
    <row r="364" ht="15.75" customHeight="1">
      <c r="R364" s="65"/>
      <c r="S364" s="65"/>
    </row>
    <row r="365" ht="15.75" customHeight="1">
      <c r="R365" s="65"/>
      <c r="S365" s="65"/>
    </row>
    <row r="366" ht="15.75" customHeight="1">
      <c r="R366" s="65"/>
      <c r="S366" s="65"/>
    </row>
    <row r="367" ht="15.75" customHeight="1">
      <c r="R367" s="65"/>
      <c r="S367" s="65"/>
    </row>
    <row r="368" ht="15.75" customHeight="1">
      <c r="R368" s="65"/>
      <c r="S368" s="65"/>
    </row>
    <row r="369" ht="15.75" customHeight="1">
      <c r="R369" s="65"/>
      <c r="S369" s="65"/>
    </row>
    <row r="370" ht="15.75" customHeight="1">
      <c r="R370" s="65"/>
      <c r="S370" s="65"/>
    </row>
    <row r="371" ht="15.75" customHeight="1">
      <c r="R371" s="65"/>
      <c r="S371" s="65"/>
    </row>
    <row r="372" ht="15.75" customHeight="1">
      <c r="R372" s="65"/>
      <c r="S372" s="65"/>
    </row>
    <row r="373" ht="15.75" customHeight="1">
      <c r="R373" s="65"/>
      <c r="S373" s="65"/>
    </row>
    <row r="374" ht="15.75" customHeight="1">
      <c r="R374" s="65"/>
      <c r="S374" s="65"/>
    </row>
    <row r="375" ht="15.75" customHeight="1">
      <c r="R375" s="65"/>
      <c r="S375" s="65"/>
    </row>
    <row r="376" ht="15.75" customHeight="1">
      <c r="R376" s="65"/>
      <c r="S376" s="65"/>
    </row>
    <row r="377" ht="15.75" customHeight="1">
      <c r="R377" s="65"/>
      <c r="S377" s="65"/>
    </row>
    <row r="378" ht="15.75" customHeight="1">
      <c r="R378" s="65"/>
      <c r="S378" s="65"/>
    </row>
    <row r="379" ht="15.75" customHeight="1">
      <c r="R379" s="65"/>
      <c r="S379" s="65"/>
    </row>
    <row r="380" ht="15.75" customHeight="1">
      <c r="R380" s="65"/>
      <c r="S380" s="65"/>
    </row>
    <row r="381" ht="15.75" customHeight="1">
      <c r="R381" s="65"/>
      <c r="S381" s="65"/>
    </row>
    <row r="382" ht="15.75" customHeight="1">
      <c r="R382" s="65"/>
      <c r="S382" s="65"/>
    </row>
    <row r="383" ht="15.75" customHeight="1">
      <c r="R383" s="65"/>
      <c r="S383" s="65"/>
    </row>
    <row r="384" ht="15.75" customHeight="1">
      <c r="R384" s="65"/>
      <c r="S384" s="65"/>
    </row>
    <row r="385" ht="15.75" customHeight="1">
      <c r="R385" s="65"/>
      <c r="S385" s="65"/>
    </row>
    <row r="386" ht="15.75" customHeight="1">
      <c r="R386" s="65"/>
      <c r="S386" s="65"/>
    </row>
    <row r="387" ht="15.75" customHeight="1">
      <c r="R387" s="65"/>
      <c r="S387" s="65"/>
    </row>
    <row r="388" ht="15.75" customHeight="1">
      <c r="R388" s="65"/>
      <c r="S388" s="65"/>
    </row>
    <row r="389" ht="15.75" customHeight="1">
      <c r="R389" s="65"/>
      <c r="S389" s="65"/>
    </row>
    <row r="390" ht="15.75" customHeight="1">
      <c r="R390" s="65"/>
      <c r="S390" s="65"/>
    </row>
    <row r="391" ht="15.75" customHeight="1">
      <c r="R391" s="65"/>
      <c r="S391" s="65"/>
    </row>
    <row r="392" ht="15.75" customHeight="1">
      <c r="R392" s="65"/>
      <c r="S392" s="65"/>
    </row>
    <row r="393" ht="15.75" customHeight="1">
      <c r="R393" s="65"/>
      <c r="S393" s="65"/>
    </row>
    <row r="394" ht="15.75" customHeight="1">
      <c r="R394" s="65"/>
      <c r="S394" s="65"/>
    </row>
    <row r="395" ht="15.75" customHeight="1">
      <c r="R395" s="65"/>
      <c r="S395" s="65"/>
    </row>
    <row r="396" ht="15.75" customHeight="1">
      <c r="R396" s="65"/>
      <c r="S396" s="65"/>
    </row>
    <row r="397" ht="15.75" customHeight="1">
      <c r="R397" s="65"/>
      <c r="S397" s="65"/>
    </row>
    <row r="398" ht="15.75" customHeight="1">
      <c r="R398" s="65"/>
      <c r="S398" s="65"/>
    </row>
    <row r="399" ht="15.75" customHeight="1">
      <c r="R399" s="65"/>
      <c r="S399" s="65"/>
    </row>
    <row r="400" ht="15.75" customHeight="1">
      <c r="R400" s="65"/>
      <c r="S400" s="65"/>
    </row>
    <row r="401" ht="15.75" customHeight="1">
      <c r="R401" s="65"/>
      <c r="S401" s="65"/>
    </row>
    <row r="402" ht="15.75" customHeight="1">
      <c r="R402" s="65"/>
      <c r="S402" s="65"/>
    </row>
    <row r="403" ht="15.75" customHeight="1">
      <c r="R403" s="65"/>
      <c r="S403" s="65"/>
    </row>
    <row r="404" ht="15.75" customHeight="1">
      <c r="R404" s="65"/>
      <c r="S404" s="65"/>
    </row>
    <row r="405" ht="15.75" customHeight="1">
      <c r="R405" s="65"/>
      <c r="S405" s="65"/>
    </row>
    <row r="406" ht="15.75" customHeight="1">
      <c r="R406" s="65"/>
      <c r="S406" s="65"/>
    </row>
    <row r="407" ht="15.75" customHeight="1">
      <c r="R407" s="65"/>
      <c r="S407" s="65"/>
    </row>
    <row r="408" ht="15.75" customHeight="1">
      <c r="R408" s="65"/>
      <c r="S408" s="65"/>
    </row>
    <row r="409" ht="15.75" customHeight="1">
      <c r="R409" s="65"/>
      <c r="S409" s="65"/>
    </row>
    <row r="410" ht="15.75" customHeight="1">
      <c r="R410" s="65"/>
      <c r="S410" s="65"/>
    </row>
    <row r="411" ht="15.75" customHeight="1">
      <c r="R411" s="65"/>
      <c r="S411" s="65"/>
    </row>
    <row r="412" ht="15.75" customHeight="1">
      <c r="R412" s="65"/>
      <c r="S412" s="65"/>
    </row>
    <row r="413" ht="15.75" customHeight="1">
      <c r="R413" s="65"/>
      <c r="S413" s="65"/>
    </row>
    <row r="414" ht="15.75" customHeight="1">
      <c r="R414" s="65"/>
      <c r="S414" s="65"/>
    </row>
    <row r="415" ht="15.75" customHeight="1">
      <c r="R415" s="65"/>
      <c r="S415" s="65"/>
    </row>
    <row r="416" ht="15.75" customHeight="1">
      <c r="R416" s="65"/>
      <c r="S416" s="65"/>
    </row>
    <row r="417" ht="15.75" customHeight="1">
      <c r="R417" s="65"/>
      <c r="S417" s="65"/>
    </row>
    <row r="418" ht="15.75" customHeight="1">
      <c r="R418" s="65"/>
      <c r="S418" s="65"/>
    </row>
    <row r="419" ht="15.75" customHeight="1">
      <c r="R419" s="65"/>
      <c r="S419" s="65"/>
    </row>
    <row r="420" ht="15.75" customHeight="1">
      <c r="R420" s="65"/>
      <c r="S420" s="65"/>
    </row>
    <row r="421" ht="15.75" customHeight="1">
      <c r="R421" s="65"/>
      <c r="S421" s="65"/>
    </row>
    <row r="422" ht="15.75" customHeight="1">
      <c r="R422" s="65"/>
      <c r="S422" s="65"/>
    </row>
    <row r="423" ht="15.75" customHeight="1">
      <c r="R423" s="65"/>
      <c r="S423" s="65"/>
    </row>
    <row r="424" ht="15.75" customHeight="1">
      <c r="R424" s="65"/>
      <c r="S424" s="65"/>
    </row>
    <row r="425" ht="15.75" customHeight="1">
      <c r="R425" s="65"/>
      <c r="S425" s="65"/>
    </row>
    <row r="426" ht="15.75" customHeight="1">
      <c r="R426" s="65"/>
      <c r="S426" s="65"/>
    </row>
    <row r="427" ht="15.75" customHeight="1">
      <c r="R427" s="65"/>
      <c r="S427" s="65"/>
    </row>
    <row r="428" ht="15.75" customHeight="1">
      <c r="R428" s="65"/>
      <c r="S428" s="65"/>
    </row>
    <row r="429" ht="15.75" customHeight="1">
      <c r="R429" s="65"/>
      <c r="S429" s="65"/>
    </row>
    <row r="430" ht="15.75" customHeight="1">
      <c r="R430" s="65"/>
      <c r="S430" s="65"/>
    </row>
    <row r="431" ht="15.75" customHeight="1">
      <c r="R431" s="65"/>
      <c r="S431" s="65"/>
    </row>
    <row r="432" ht="15.75" customHeight="1">
      <c r="R432" s="65"/>
      <c r="S432" s="65"/>
    </row>
    <row r="433" ht="15.75" customHeight="1">
      <c r="R433" s="65"/>
      <c r="S433" s="65"/>
    </row>
    <row r="434" ht="15.75" customHeight="1">
      <c r="R434" s="65"/>
      <c r="S434" s="65"/>
    </row>
    <row r="435" ht="15.75" customHeight="1">
      <c r="R435" s="65"/>
      <c r="S435" s="65"/>
    </row>
    <row r="436" ht="15.75" customHeight="1">
      <c r="R436" s="65"/>
      <c r="S436" s="65"/>
    </row>
    <row r="437" ht="15.75" customHeight="1">
      <c r="R437" s="65"/>
      <c r="S437" s="65"/>
    </row>
    <row r="438" ht="15.75" customHeight="1">
      <c r="R438" s="65"/>
      <c r="S438" s="65"/>
    </row>
    <row r="439" ht="15.75" customHeight="1">
      <c r="R439" s="65"/>
      <c r="S439" s="65"/>
    </row>
    <row r="440" ht="15.75" customHeight="1">
      <c r="R440" s="65"/>
      <c r="S440" s="65"/>
    </row>
    <row r="441" ht="15.75" customHeight="1">
      <c r="R441" s="65"/>
      <c r="S441" s="65"/>
    </row>
    <row r="442" ht="15.75" customHeight="1">
      <c r="R442" s="65"/>
      <c r="S442" s="65"/>
    </row>
    <row r="443" ht="15.75" customHeight="1">
      <c r="R443" s="65"/>
      <c r="S443" s="65"/>
    </row>
    <row r="444" ht="15.75" customHeight="1">
      <c r="R444" s="65"/>
      <c r="S444" s="65"/>
    </row>
    <row r="445" ht="15.75" customHeight="1">
      <c r="R445" s="65"/>
      <c r="S445" s="65"/>
    </row>
    <row r="446" ht="15.75" customHeight="1">
      <c r="R446" s="65"/>
      <c r="S446" s="65"/>
    </row>
    <row r="447" ht="15.75" customHeight="1">
      <c r="R447" s="65"/>
      <c r="S447" s="65"/>
    </row>
    <row r="448" ht="15.75" customHeight="1">
      <c r="R448" s="65"/>
      <c r="S448" s="65"/>
    </row>
    <row r="449" ht="15.75" customHeight="1">
      <c r="R449" s="65"/>
      <c r="S449" s="65"/>
    </row>
    <row r="450" ht="15.75" customHeight="1">
      <c r="R450" s="65"/>
      <c r="S450" s="65"/>
    </row>
    <row r="451" ht="15.75" customHeight="1">
      <c r="R451" s="65"/>
      <c r="S451" s="65"/>
    </row>
    <row r="452" ht="15.75" customHeight="1">
      <c r="R452" s="65"/>
      <c r="S452" s="65"/>
    </row>
    <row r="453" ht="15.75" customHeight="1">
      <c r="R453" s="65"/>
      <c r="S453" s="65"/>
    </row>
    <row r="454" ht="15.75" customHeight="1">
      <c r="R454" s="65"/>
      <c r="S454" s="65"/>
    </row>
    <row r="455" ht="15.75" customHeight="1">
      <c r="R455" s="65"/>
      <c r="S455" s="65"/>
    </row>
    <row r="456" ht="15.75" customHeight="1">
      <c r="R456" s="65"/>
      <c r="S456" s="65"/>
    </row>
    <row r="457" ht="15.75" customHeight="1">
      <c r="R457" s="65"/>
      <c r="S457" s="65"/>
    </row>
    <row r="458" ht="15.75" customHeight="1">
      <c r="R458" s="65"/>
      <c r="S458" s="65"/>
    </row>
    <row r="459" ht="15.75" customHeight="1">
      <c r="R459" s="65"/>
      <c r="S459" s="65"/>
    </row>
    <row r="460" ht="15.75" customHeight="1">
      <c r="R460" s="65"/>
      <c r="S460" s="65"/>
    </row>
    <row r="461" ht="15.75" customHeight="1">
      <c r="R461" s="65"/>
      <c r="S461" s="65"/>
    </row>
    <row r="462" ht="15.75" customHeight="1">
      <c r="R462" s="65"/>
      <c r="S462" s="65"/>
    </row>
    <row r="463" ht="15.75" customHeight="1">
      <c r="R463" s="65"/>
      <c r="S463" s="65"/>
    </row>
    <row r="464" ht="15.75" customHeight="1">
      <c r="R464" s="65"/>
      <c r="S464" s="65"/>
    </row>
    <row r="465" ht="15.75" customHeight="1">
      <c r="R465" s="65"/>
      <c r="S465" s="65"/>
    </row>
    <row r="466" ht="15.75" customHeight="1">
      <c r="R466" s="65"/>
      <c r="S466" s="65"/>
    </row>
    <row r="467" ht="15.75" customHeight="1">
      <c r="R467" s="65"/>
      <c r="S467" s="65"/>
    </row>
    <row r="468" ht="15.75" customHeight="1">
      <c r="R468" s="65"/>
      <c r="S468" s="65"/>
    </row>
    <row r="469" ht="15.75" customHeight="1">
      <c r="R469" s="65"/>
      <c r="S469" s="65"/>
    </row>
    <row r="470" ht="15.75" customHeight="1">
      <c r="R470" s="65"/>
      <c r="S470" s="65"/>
    </row>
    <row r="471" ht="15.75" customHeight="1">
      <c r="R471" s="65"/>
      <c r="S471" s="65"/>
    </row>
    <row r="472" ht="15.75" customHeight="1">
      <c r="R472" s="65"/>
      <c r="S472" s="65"/>
    </row>
    <row r="473" ht="15.75" customHeight="1">
      <c r="R473" s="65"/>
      <c r="S473" s="65"/>
    </row>
    <row r="474" ht="15.75" customHeight="1">
      <c r="R474" s="65"/>
      <c r="S474" s="65"/>
    </row>
    <row r="475" ht="15.75" customHeight="1">
      <c r="R475" s="65"/>
      <c r="S475" s="65"/>
    </row>
    <row r="476" ht="15.75" customHeight="1">
      <c r="R476" s="65"/>
      <c r="S476" s="65"/>
    </row>
    <row r="477" ht="15.75" customHeight="1">
      <c r="R477" s="65"/>
      <c r="S477" s="65"/>
    </row>
    <row r="478" ht="15.75" customHeight="1">
      <c r="R478" s="65"/>
      <c r="S478" s="65"/>
    </row>
    <row r="479" ht="15.75" customHeight="1">
      <c r="R479" s="65"/>
      <c r="S479" s="65"/>
    </row>
    <row r="480" ht="15.75" customHeight="1">
      <c r="R480" s="65"/>
      <c r="S480" s="65"/>
    </row>
    <row r="481" ht="15.75" customHeight="1">
      <c r="R481" s="65"/>
      <c r="S481" s="65"/>
    </row>
    <row r="482" ht="15.75" customHeight="1">
      <c r="R482" s="65"/>
      <c r="S482" s="65"/>
    </row>
    <row r="483" ht="15.75" customHeight="1">
      <c r="R483" s="65"/>
      <c r="S483" s="65"/>
    </row>
    <row r="484" ht="15.75" customHeight="1">
      <c r="R484" s="65"/>
      <c r="S484" s="65"/>
    </row>
    <row r="485" ht="15.75" customHeight="1">
      <c r="R485" s="65"/>
      <c r="S485" s="65"/>
    </row>
    <row r="486" ht="15.75" customHeight="1">
      <c r="R486" s="65"/>
      <c r="S486" s="65"/>
    </row>
    <row r="487" ht="15.75" customHeight="1">
      <c r="R487" s="65"/>
      <c r="S487" s="65"/>
    </row>
    <row r="488" ht="15.75" customHeight="1">
      <c r="R488" s="65"/>
      <c r="S488" s="65"/>
    </row>
    <row r="489" ht="15.75" customHeight="1">
      <c r="R489" s="65"/>
      <c r="S489" s="65"/>
    </row>
    <row r="490" ht="15.75" customHeight="1">
      <c r="R490" s="65"/>
      <c r="S490" s="65"/>
    </row>
    <row r="491" ht="15.75" customHeight="1">
      <c r="R491" s="65"/>
      <c r="S491" s="65"/>
    </row>
    <row r="492" ht="15.75" customHeight="1">
      <c r="R492" s="65"/>
      <c r="S492" s="65"/>
    </row>
    <row r="493" ht="15.75" customHeight="1">
      <c r="R493" s="65"/>
      <c r="S493" s="65"/>
    </row>
    <row r="494" ht="15.75" customHeight="1">
      <c r="R494" s="65"/>
      <c r="S494" s="65"/>
    </row>
    <row r="495" ht="15.75" customHeight="1">
      <c r="R495" s="65"/>
      <c r="S495" s="65"/>
    </row>
    <row r="496" ht="15.75" customHeight="1">
      <c r="R496" s="65"/>
      <c r="S496" s="65"/>
    </row>
    <row r="497" ht="15.75" customHeight="1">
      <c r="R497" s="65"/>
      <c r="S497" s="65"/>
    </row>
    <row r="498" ht="15.75" customHeight="1">
      <c r="R498" s="65"/>
      <c r="S498" s="65"/>
    </row>
    <row r="499" ht="15.75" customHeight="1">
      <c r="R499" s="65"/>
      <c r="S499" s="65"/>
    </row>
    <row r="500" ht="15.75" customHeight="1">
      <c r="R500" s="65"/>
      <c r="S500" s="65"/>
    </row>
    <row r="501" ht="15.75" customHeight="1">
      <c r="R501" s="65"/>
      <c r="S501" s="65"/>
    </row>
    <row r="502" ht="15.75" customHeight="1">
      <c r="R502" s="65"/>
      <c r="S502" s="65"/>
    </row>
    <row r="503" ht="15.75" customHeight="1">
      <c r="R503" s="65"/>
      <c r="S503" s="65"/>
    </row>
    <row r="504" ht="15.75" customHeight="1">
      <c r="R504" s="65"/>
      <c r="S504" s="65"/>
    </row>
    <row r="505" ht="15.75" customHeight="1">
      <c r="R505" s="65"/>
      <c r="S505" s="65"/>
    </row>
    <row r="506" ht="15.75" customHeight="1">
      <c r="R506" s="65"/>
      <c r="S506" s="65"/>
    </row>
    <row r="507" ht="15.75" customHeight="1">
      <c r="R507" s="65"/>
      <c r="S507" s="65"/>
    </row>
    <row r="508" ht="15.75" customHeight="1">
      <c r="R508" s="65"/>
      <c r="S508" s="65"/>
    </row>
    <row r="509" ht="15.75" customHeight="1">
      <c r="R509" s="65"/>
      <c r="S509" s="65"/>
    </row>
    <row r="510" ht="15.75" customHeight="1">
      <c r="R510" s="65"/>
      <c r="S510" s="65"/>
    </row>
    <row r="511" ht="15.75" customHeight="1">
      <c r="R511" s="65"/>
      <c r="S511" s="65"/>
    </row>
    <row r="512" ht="15.75" customHeight="1">
      <c r="R512" s="65"/>
      <c r="S512" s="65"/>
    </row>
    <row r="513" ht="15.75" customHeight="1">
      <c r="R513" s="65"/>
      <c r="S513" s="65"/>
    </row>
    <row r="514" ht="15.75" customHeight="1">
      <c r="R514" s="65"/>
      <c r="S514" s="65"/>
    </row>
    <row r="515" ht="15.75" customHeight="1">
      <c r="R515" s="65"/>
      <c r="S515" s="65"/>
    </row>
    <row r="516" ht="15.75" customHeight="1">
      <c r="R516" s="65"/>
      <c r="S516" s="65"/>
    </row>
    <row r="517" ht="15.75" customHeight="1">
      <c r="R517" s="65"/>
      <c r="S517" s="65"/>
    </row>
    <row r="518" ht="15.75" customHeight="1">
      <c r="R518" s="65"/>
      <c r="S518" s="65"/>
    </row>
    <row r="519" ht="15.75" customHeight="1">
      <c r="R519" s="65"/>
      <c r="S519" s="65"/>
    </row>
    <row r="520" ht="15.75" customHeight="1">
      <c r="R520" s="65"/>
      <c r="S520" s="65"/>
    </row>
    <row r="521" ht="15.75" customHeight="1">
      <c r="R521" s="65"/>
      <c r="S521" s="65"/>
    </row>
    <row r="522" ht="15.75" customHeight="1">
      <c r="R522" s="65"/>
      <c r="S522" s="65"/>
    </row>
    <row r="523" ht="15.75" customHeight="1">
      <c r="R523" s="65"/>
      <c r="S523" s="65"/>
    </row>
    <row r="524" ht="15.75" customHeight="1">
      <c r="R524" s="65"/>
      <c r="S524" s="65"/>
    </row>
    <row r="525" ht="15.75" customHeight="1">
      <c r="R525" s="65"/>
      <c r="S525" s="65"/>
    </row>
    <row r="526" ht="15.75" customHeight="1">
      <c r="R526" s="65"/>
      <c r="S526" s="65"/>
    </row>
    <row r="527" ht="15.75" customHeight="1">
      <c r="R527" s="65"/>
      <c r="S527" s="65"/>
    </row>
    <row r="528" ht="15.75" customHeight="1">
      <c r="R528" s="65"/>
      <c r="S528" s="65"/>
    </row>
    <row r="529" ht="15.75" customHeight="1">
      <c r="R529" s="65"/>
      <c r="S529" s="65"/>
    </row>
    <row r="530" ht="15.75" customHeight="1">
      <c r="R530" s="65"/>
      <c r="S530" s="65"/>
    </row>
    <row r="531" ht="15.75" customHeight="1">
      <c r="R531" s="65"/>
      <c r="S531" s="65"/>
    </row>
    <row r="532" ht="15.75" customHeight="1">
      <c r="R532" s="65"/>
      <c r="S532" s="65"/>
    </row>
    <row r="533" ht="15.75" customHeight="1">
      <c r="R533" s="65"/>
      <c r="S533" s="65"/>
    </row>
    <row r="534" ht="15.75" customHeight="1">
      <c r="R534" s="65"/>
      <c r="S534" s="65"/>
    </row>
    <row r="535" ht="15.75" customHeight="1">
      <c r="R535" s="65"/>
      <c r="S535" s="65"/>
    </row>
    <row r="536" ht="15.75" customHeight="1">
      <c r="R536" s="65"/>
      <c r="S536" s="65"/>
    </row>
    <row r="537" ht="15.75" customHeight="1">
      <c r="R537" s="65"/>
      <c r="S537" s="65"/>
    </row>
    <row r="538" ht="15.75" customHeight="1">
      <c r="R538" s="65"/>
      <c r="S538" s="65"/>
    </row>
    <row r="539" ht="15.75" customHeight="1">
      <c r="R539" s="65"/>
      <c r="S539" s="65"/>
    </row>
    <row r="540" ht="15.75" customHeight="1">
      <c r="R540" s="65"/>
      <c r="S540" s="65"/>
    </row>
    <row r="541" ht="15.75" customHeight="1">
      <c r="R541" s="65"/>
      <c r="S541" s="65"/>
    </row>
    <row r="542" ht="15.75" customHeight="1">
      <c r="R542" s="65"/>
      <c r="S542" s="65"/>
    </row>
    <row r="543" ht="15.75" customHeight="1">
      <c r="R543" s="65"/>
      <c r="S543" s="65"/>
    </row>
    <row r="544" ht="15.75" customHeight="1">
      <c r="R544" s="65"/>
      <c r="S544" s="65"/>
    </row>
    <row r="545" ht="15.75" customHeight="1">
      <c r="R545" s="65"/>
      <c r="S545" s="65"/>
    </row>
    <row r="546" ht="15.75" customHeight="1">
      <c r="R546" s="65"/>
      <c r="S546" s="65"/>
    </row>
    <row r="547" ht="15.75" customHeight="1">
      <c r="R547" s="65"/>
      <c r="S547" s="65"/>
    </row>
    <row r="548" ht="15.75" customHeight="1">
      <c r="R548" s="65"/>
      <c r="S548" s="65"/>
    </row>
    <row r="549" ht="15.75" customHeight="1">
      <c r="R549" s="65"/>
      <c r="S549" s="65"/>
    </row>
    <row r="550" ht="15.75" customHeight="1">
      <c r="R550" s="65"/>
      <c r="S550" s="65"/>
    </row>
    <row r="551" ht="15.75" customHeight="1">
      <c r="R551" s="65"/>
      <c r="S551" s="65"/>
    </row>
    <row r="552" ht="15.75" customHeight="1">
      <c r="R552" s="65"/>
      <c r="S552" s="65"/>
    </row>
    <row r="553" ht="15.75" customHeight="1">
      <c r="R553" s="65"/>
      <c r="S553" s="65"/>
    </row>
    <row r="554" ht="15.75" customHeight="1">
      <c r="R554" s="65"/>
      <c r="S554" s="65"/>
    </row>
    <row r="555" ht="15.75" customHeight="1">
      <c r="R555" s="65"/>
      <c r="S555" s="65"/>
    </row>
    <row r="556" ht="15.75" customHeight="1">
      <c r="R556" s="65"/>
      <c r="S556" s="65"/>
    </row>
    <row r="557" ht="15.75" customHeight="1">
      <c r="R557" s="65"/>
      <c r="S557" s="65"/>
    </row>
    <row r="558" ht="15.75" customHeight="1">
      <c r="R558" s="65"/>
      <c r="S558" s="65"/>
    </row>
    <row r="559" ht="15.75" customHeight="1">
      <c r="R559" s="65"/>
      <c r="S559" s="65"/>
    </row>
    <row r="560" ht="15.75" customHeight="1">
      <c r="R560" s="65"/>
      <c r="S560" s="65"/>
    </row>
    <row r="561" ht="15.75" customHeight="1">
      <c r="R561" s="65"/>
      <c r="S561" s="65"/>
    </row>
    <row r="562" ht="15.75" customHeight="1">
      <c r="R562" s="65"/>
      <c r="S562" s="65"/>
    </row>
    <row r="563" ht="15.75" customHeight="1">
      <c r="R563" s="65"/>
      <c r="S563" s="65"/>
    </row>
    <row r="564" ht="15.75" customHeight="1">
      <c r="R564" s="65"/>
      <c r="S564" s="65"/>
    </row>
    <row r="565" ht="15.75" customHeight="1">
      <c r="R565" s="65"/>
      <c r="S565" s="65"/>
    </row>
    <row r="566" ht="15.75" customHeight="1">
      <c r="R566" s="65"/>
      <c r="S566" s="65"/>
    </row>
    <row r="567" ht="15.75" customHeight="1">
      <c r="R567" s="65"/>
      <c r="S567" s="65"/>
    </row>
    <row r="568" ht="15.75" customHeight="1">
      <c r="R568" s="65"/>
      <c r="S568" s="65"/>
    </row>
    <row r="569" ht="15.75" customHeight="1">
      <c r="R569" s="65"/>
      <c r="S569" s="65"/>
    </row>
    <row r="570" ht="15.75" customHeight="1">
      <c r="R570" s="65"/>
      <c r="S570" s="65"/>
    </row>
    <row r="571" ht="15.75" customHeight="1">
      <c r="R571" s="65"/>
      <c r="S571" s="65"/>
    </row>
    <row r="572" ht="15.75" customHeight="1">
      <c r="R572" s="65"/>
      <c r="S572" s="65"/>
    </row>
    <row r="573" ht="15.75" customHeight="1">
      <c r="R573" s="65"/>
      <c r="S573" s="65"/>
    </row>
    <row r="574" ht="15.75" customHeight="1">
      <c r="R574" s="65"/>
      <c r="S574" s="65"/>
    </row>
    <row r="575" ht="15.75" customHeight="1">
      <c r="R575" s="65"/>
      <c r="S575" s="65"/>
    </row>
    <row r="576" ht="15.75" customHeight="1">
      <c r="R576" s="65"/>
      <c r="S576" s="65"/>
    </row>
    <row r="577" ht="15.75" customHeight="1">
      <c r="R577" s="65"/>
      <c r="S577" s="65"/>
    </row>
    <row r="578" ht="15.75" customHeight="1">
      <c r="R578" s="65"/>
      <c r="S578" s="65"/>
    </row>
    <row r="579" ht="15.75" customHeight="1">
      <c r="R579" s="65"/>
      <c r="S579" s="65"/>
    </row>
    <row r="580" ht="15.75" customHeight="1">
      <c r="R580" s="65"/>
      <c r="S580" s="65"/>
    </row>
    <row r="581" ht="15.75" customHeight="1">
      <c r="R581" s="65"/>
      <c r="S581" s="65"/>
    </row>
    <row r="582" ht="15.75" customHeight="1">
      <c r="R582" s="65"/>
      <c r="S582" s="65"/>
    </row>
    <row r="583" ht="15.75" customHeight="1">
      <c r="R583" s="65"/>
      <c r="S583" s="65"/>
    </row>
    <row r="584" ht="15.75" customHeight="1">
      <c r="R584" s="65"/>
      <c r="S584" s="65"/>
    </row>
    <row r="585" ht="15.75" customHeight="1">
      <c r="R585" s="65"/>
      <c r="S585" s="65"/>
    </row>
    <row r="586" ht="15.75" customHeight="1">
      <c r="R586" s="65"/>
      <c r="S586" s="65"/>
    </row>
    <row r="587" ht="15.75" customHeight="1">
      <c r="R587" s="65"/>
      <c r="S587" s="65"/>
    </row>
    <row r="588" ht="15.75" customHeight="1">
      <c r="R588" s="65"/>
      <c r="S588" s="65"/>
    </row>
    <row r="589" ht="15.75" customHeight="1">
      <c r="R589" s="65"/>
      <c r="S589" s="65"/>
    </row>
    <row r="590" ht="15.75" customHeight="1">
      <c r="R590" s="65"/>
      <c r="S590" s="65"/>
    </row>
    <row r="591" ht="15.75" customHeight="1">
      <c r="R591" s="65"/>
      <c r="S591" s="65"/>
    </row>
    <row r="592" ht="15.75" customHeight="1">
      <c r="R592" s="65"/>
      <c r="S592" s="65"/>
    </row>
    <row r="593" ht="15.75" customHeight="1">
      <c r="R593" s="65"/>
      <c r="S593" s="65"/>
    </row>
    <row r="594" ht="15.75" customHeight="1">
      <c r="R594" s="65"/>
      <c r="S594" s="65"/>
    </row>
    <row r="595" ht="15.75" customHeight="1">
      <c r="R595" s="65"/>
      <c r="S595" s="65"/>
    </row>
    <row r="596" ht="15.75" customHeight="1">
      <c r="R596" s="65"/>
      <c r="S596" s="65"/>
    </row>
    <row r="597" ht="15.75" customHeight="1">
      <c r="R597" s="65"/>
      <c r="S597" s="65"/>
    </row>
    <row r="598" ht="15.75" customHeight="1">
      <c r="R598" s="65"/>
      <c r="S598" s="65"/>
    </row>
    <row r="599" ht="15.75" customHeight="1">
      <c r="R599" s="65"/>
      <c r="S599" s="65"/>
    </row>
    <row r="600" ht="15.75" customHeight="1">
      <c r="R600" s="65"/>
      <c r="S600" s="65"/>
    </row>
    <row r="601" ht="15.75" customHeight="1">
      <c r="R601" s="65"/>
      <c r="S601" s="65"/>
    </row>
    <row r="602" ht="15.75" customHeight="1">
      <c r="R602" s="65"/>
      <c r="S602" s="65"/>
    </row>
    <row r="603" ht="15.75" customHeight="1">
      <c r="R603" s="65"/>
      <c r="S603" s="65"/>
    </row>
    <row r="604" ht="15.75" customHeight="1">
      <c r="R604" s="65"/>
      <c r="S604" s="65"/>
    </row>
    <row r="605" ht="15.75" customHeight="1">
      <c r="R605" s="65"/>
      <c r="S605" s="65"/>
    </row>
    <row r="606" ht="15.75" customHeight="1">
      <c r="R606" s="65"/>
      <c r="S606" s="65"/>
    </row>
    <row r="607" ht="15.75" customHeight="1">
      <c r="R607" s="65"/>
      <c r="S607" s="65"/>
    </row>
    <row r="608" ht="15.75" customHeight="1">
      <c r="R608" s="65"/>
      <c r="S608" s="65"/>
    </row>
    <row r="609" ht="15.75" customHeight="1">
      <c r="R609" s="65"/>
      <c r="S609" s="65"/>
    </row>
    <row r="610" ht="15.75" customHeight="1">
      <c r="R610" s="65"/>
      <c r="S610" s="65"/>
    </row>
    <row r="611" ht="15.75" customHeight="1">
      <c r="R611" s="65"/>
      <c r="S611" s="65"/>
    </row>
    <row r="612" ht="15.75" customHeight="1">
      <c r="R612" s="65"/>
      <c r="S612" s="65"/>
    </row>
    <row r="613" ht="15.75" customHeight="1">
      <c r="R613" s="65"/>
      <c r="S613" s="65"/>
    </row>
    <row r="614" ht="15.75" customHeight="1">
      <c r="R614" s="65"/>
      <c r="S614" s="65"/>
    </row>
    <row r="615" ht="15.75" customHeight="1">
      <c r="R615" s="65"/>
      <c r="S615" s="65"/>
    </row>
    <row r="616" ht="15.75" customHeight="1">
      <c r="R616" s="65"/>
      <c r="S616" s="65"/>
    </row>
    <row r="617" ht="15.75" customHeight="1">
      <c r="R617" s="65"/>
      <c r="S617" s="65"/>
    </row>
    <row r="618" ht="15.75" customHeight="1">
      <c r="R618" s="65"/>
      <c r="S618" s="65"/>
    </row>
    <row r="619" ht="15.75" customHeight="1">
      <c r="R619" s="65"/>
      <c r="S619" s="65"/>
    </row>
    <row r="620" ht="15.75" customHeight="1">
      <c r="R620" s="65"/>
      <c r="S620" s="65"/>
    </row>
    <row r="621" ht="15.75" customHeight="1">
      <c r="R621" s="65"/>
      <c r="S621" s="65"/>
    </row>
    <row r="622" ht="15.75" customHeight="1">
      <c r="R622" s="65"/>
      <c r="S622" s="65"/>
    </row>
    <row r="623" ht="15.75" customHeight="1">
      <c r="R623" s="65"/>
      <c r="S623" s="65"/>
    </row>
    <row r="624" ht="15.75" customHeight="1">
      <c r="R624" s="65"/>
      <c r="S624" s="65"/>
    </row>
    <row r="625" ht="15.75" customHeight="1">
      <c r="R625" s="65"/>
      <c r="S625" s="65"/>
    </row>
    <row r="626" ht="15.75" customHeight="1">
      <c r="R626" s="65"/>
      <c r="S626" s="65"/>
    </row>
    <row r="627" ht="15.75" customHeight="1">
      <c r="R627" s="65"/>
      <c r="S627" s="65"/>
    </row>
    <row r="628" ht="15.75" customHeight="1">
      <c r="R628" s="65"/>
      <c r="S628" s="65"/>
    </row>
    <row r="629" ht="15.75" customHeight="1">
      <c r="R629" s="65"/>
      <c r="S629" s="65"/>
    </row>
    <row r="630" ht="15.75" customHeight="1">
      <c r="R630" s="65"/>
      <c r="S630" s="65"/>
    </row>
    <row r="631" ht="15.75" customHeight="1">
      <c r="R631" s="65"/>
      <c r="S631" s="65"/>
    </row>
    <row r="632" ht="15.75" customHeight="1">
      <c r="R632" s="65"/>
      <c r="S632" s="65"/>
    </row>
    <row r="633" ht="15.75" customHeight="1">
      <c r="R633" s="65"/>
      <c r="S633" s="65"/>
    </row>
    <row r="634" ht="15.75" customHeight="1">
      <c r="R634" s="65"/>
      <c r="S634" s="65"/>
    </row>
    <row r="635" ht="15.75" customHeight="1">
      <c r="R635" s="65"/>
      <c r="S635" s="65"/>
    </row>
    <row r="636" ht="15.75" customHeight="1">
      <c r="R636" s="65"/>
      <c r="S636" s="65"/>
    </row>
    <row r="637" ht="15.75" customHeight="1">
      <c r="R637" s="65"/>
      <c r="S637" s="65"/>
    </row>
    <row r="638" ht="15.75" customHeight="1">
      <c r="R638" s="65"/>
      <c r="S638" s="65"/>
    </row>
    <row r="639" ht="15.75" customHeight="1">
      <c r="R639" s="65"/>
      <c r="S639" s="65"/>
    </row>
    <row r="640" ht="15.75" customHeight="1">
      <c r="R640" s="65"/>
      <c r="S640" s="65"/>
    </row>
    <row r="641" ht="15.75" customHeight="1">
      <c r="R641" s="65"/>
      <c r="S641" s="65"/>
    </row>
    <row r="642" ht="15.75" customHeight="1">
      <c r="R642" s="65"/>
      <c r="S642" s="65"/>
    </row>
    <row r="643" ht="15.75" customHeight="1">
      <c r="R643" s="65"/>
      <c r="S643" s="65"/>
    </row>
    <row r="644" ht="15.75" customHeight="1">
      <c r="R644" s="65"/>
      <c r="S644" s="65"/>
    </row>
    <row r="645" ht="15.75" customHeight="1">
      <c r="R645" s="65"/>
      <c r="S645" s="65"/>
    </row>
    <row r="646" ht="15.75" customHeight="1">
      <c r="R646" s="65"/>
      <c r="S646" s="65"/>
    </row>
    <row r="647" ht="15.75" customHeight="1">
      <c r="R647" s="65"/>
      <c r="S647" s="65"/>
    </row>
    <row r="648" ht="15.75" customHeight="1">
      <c r="R648" s="65"/>
      <c r="S648" s="65"/>
    </row>
    <row r="649" ht="15.75" customHeight="1">
      <c r="R649" s="65"/>
      <c r="S649" s="65"/>
    </row>
    <row r="650" ht="15.75" customHeight="1">
      <c r="R650" s="65"/>
      <c r="S650" s="65"/>
    </row>
    <row r="651" ht="15.75" customHeight="1">
      <c r="R651" s="65"/>
      <c r="S651" s="65"/>
    </row>
    <row r="652" ht="15.75" customHeight="1">
      <c r="R652" s="65"/>
      <c r="S652" s="65"/>
    </row>
    <row r="653" ht="15.75" customHeight="1">
      <c r="R653" s="65"/>
      <c r="S653" s="65"/>
    </row>
    <row r="654" ht="15.75" customHeight="1">
      <c r="R654" s="65"/>
      <c r="S654" s="65"/>
    </row>
    <row r="655" ht="15.75" customHeight="1">
      <c r="R655" s="65"/>
      <c r="S655" s="65"/>
    </row>
    <row r="656" ht="15.75" customHeight="1">
      <c r="R656" s="65"/>
      <c r="S656" s="65"/>
    </row>
    <row r="657" ht="15.75" customHeight="1">
      <c r="R657" s="65"/>
      <c r="S657" s="65"/>
    </row>
    <row r="658" ht="15.75" customHeight="1">
      <c r="R658" s="65"/>
      <c r="S658" s="65"/>
    </row>
    <row r="659" ht="15.75" customHeight="1">
      <c r="R659" s="65"/>
      <c r="S659" s="65"/>
    </row>
    <row r="660" ht="15.75" customHeight="1">
      <c r="R660" s="65"/>
      <c r="S660" s="65"/>
    </row>
    <row r="661" ht="15.75" customHeight="1">
      <c r="R661" s="65"/>
      <c r="S661" s="65"/>
    </row>
    <row r="662" ht="15.75" customHeight="1">
      <c r="R662" s="65"/>
      <c r="S662" s="65"/>
    </row>
    <row r="663" ht="15.75" customHeight="1">
      <c r="R663" s="65"/>
      <c r="S663" s="65"/>
    </row>
    <row r="664" ht="15.75" customHeight="1">
      <c r="R664" s="65"/>
      <c r="S664" s="65"/>
    </row>
    <row r="665" ht="15.75" customHeight="1">
      <c r="R665" s="65"/>
      <c r="S665" s="65"/>
    </row>
    <row r="666" ht="15.75" customHeight="1">
      <c r="R666" s="65"/>
      <c r="S666" s="65"/>
    </row>
    <row r="667" ht="15.75" customHeight="1">
      <c r="R667" s="65"/>
      <c r="S667" s="65"/>
    </row>
    <row r="668" ht="15.75" customHeight="1">
      <c r="R668" s="65"/>
      <c r="S668" s="65"/>
    </row>
    <row r="669" ht="15.75" customHeight="1">
      <c r="R669" s="65"/>
      <c r="S669" s="65"/>
    </row>
    <row r="670" ht="15.75" customHeight="1">
      <c r="R670" s="65"/>
      <c r="S670" s="65"/>
    </row>
    <row r="671" ht="15.75" customHeight="1">
      <c r="R671" s="65"/>
      <c r="S671" s="65"/>
    </row>
    <row r="672" ht="15.75" customHeight="1">
      <c r="R672" s="65"/>
      <c r="S672" s="65"/>
    </row>
    <row r="673" ht="15.75" customHeight="1">
      <c r="R673" s="65"/>
      <c r="S673" s="65"/>
    </row>
    <row r="674" ht="15.75" customHeight="1">
      <c r="R674" s="65"/>
      <c r="S674" s="65"/>
    </row>
    <row r="675" ht="15.75" customHeight="1">
      <c r="R675" s="65"/>
      <c r="S675" s="65"/>
    </row>
    <row r="676" ht="15.75" customHeight="1">
      <c r="R676" s="65"/>
      <c r="S676" s="65"/>
    </row>
    <row r="677" ht="15.75" customHeight="1">
      <c r="R677" s="65"/>
      <c r="S677" s="65"/>
    </row>
    <row r="678" ht="15.75" customHeight="1">
      <c r="R678" s="65"/>
      <c r="S678" s="65"/>
    </row>
    <row r="679" ht="15.75" customHeight="1">
      <c r="R679" s="65"/>
      <c r="S679" s="65"/>
    </row>
    <row r="680" ht="15.75" customHeight="1">
      <c r="R680" s="65"/>
      <c r="S680" s="65"/>
    </row>
    <row r="681" ht="15.75" customHeight="1">
      <c r="R681" s="65"/>
      <c r="S681" s="65"/>
    </row>
    <row r="682" ht="15.75" customHeight="1">
      <c r="R682" s="65"/>
      <c r="S682" s="65"/>
    </row>
    <row r="683" ht="15.75" customHeight="1">
      <c r="R683" s="65"/>
      <c r="S683" s="65"/>
    </row>
    <row r="684" ht="15.75" customHeight="1">
      <c r="R684" s="65"/>
      <c r="S684" s="65"/>
    </row>
    <row r="685" ht="15.75" customHeight="1">
      <c r="R685" s="65"/>
      <c r="S685" s="65"/>
    </row>
    <row r="686" ht="15.75" customHeight="1">
      <c r="R686" s="65"/>
      <c r="S686" s="65"/>
    </row>
    <row r="687" ht="15.75" customHeight="1">
      <c r="R687" s="65"/>
      <c r="S687" s="65"/>
    </row>
    <row r="688" ht="15.75" customHeight="1">
      <c r="R688" s="65"/>
      <c r="S688" s="65"/>
    </row>
    <row r="689" ht="15.75" customHeight="1">
      <c r="R689" s="65"/>
      <c r="S689" s="65"/>
    </row>
    <row r="690" ht="15.75" customHeight="1">
      <c r="R690" s="65"/>
      <c r="S690" s="65"/>
    </row>
    <row r="691" ht="15.75" customHeight="1">
      <c r="R691" s="65"/>
      <c r="S691" s="65"/>
    </row>
    <row r="692" ht="15.75" customHeight="1">
      <c r="R692" s="65"/>
      <c r="S692" s="65"/>
    </row>
    <row r="693" ht="15.75" customHeight="1">
      <c r="R693" s="65"/>
      <c r="S693" s="65"/>
    </row>
    <row r="694" ht="15.75" customHeight="1">
      <c r="R694" s="65"/>
      <c r="S694" s="65"/>
    </row>
    <row r="695" ht="15.75" customHeight="1">
      <c r="R695" s="65"/>
      <c r="S695" s="65"/>
    </row>
    <row r="696" ht="15.75" customHeight="1">
      <c r="R696" s="65"/>
      <c r="S696" s="65"/>
    </row>
    <row r="697" ht="15.75" customHeight="1">
      <c r="R697" s="65"/>
      <c r="S697" s="65"/>
    </row>
    <row r="698" ht="15.75" customHeight="1">
      <c r="R698" s="65"/>
      <c r="S698" s="65"/>
    </row>
    <row r="699" ht="15.75" customHeight="1">
      <c r="R699" s="65"/>
      <c r="S699" s="65"/>
    </row>
    <row r="700" ht="15.75" customHeight="1">
      <c r="R700" s="65"/>
      <c r="S700" s="65"/>
    </row>
    <row r="701" ht="15.75" customHeight="1">
      <c r="R701" s="65"/>
      <c r="S701" s="65"/>
    </row>
    <row r="702" ht="15.75" customHeight="1">
      <c r="R702" s="65"/>
      <c r="S702" s="65"/>
    </row>
    <row r="703" ht="15.75" customHeight="1">
      <c r="R703" s="65"/>
      <c r="S703" s="65"/>
    </row>
    <row r="704" ht="15.75" customHeight="1">
      <c r="R704" s="65"/>
      <c r="S704" s="65"/>
    </row>
    <row r="705" ht="15.75" customHeight="1">
      <c r="R705" s="65"/>
      <c r="S705" s="65"/>
    </row>
    <row r="706" ht="15.75" customHeight="1">
      <c r="R706" s="65"/>
      <c r="S706" s="65"/>
    </row>
    <row r="707" ht="15.75" customHeight="1">
      <c r="R707" s="65"/>
      <c r="S707" s="65"/>
    </row>
    <row r="708" ht="15.75" customHeight="1">
      <c r="R708" s="65"/>
      <c r="S708" s="65"/>
    </row>
    <row r="709" ht="15.75" customHeight="1">
      <c r="R709" s="65"/>
      <c r="S709" s="65"/>
    </row>
    <row r="710" ht="15.75" customHeight="1">
      <c r="R710" s="65"/>
      <c r="S710" s="65"/>
    </row>
    <row r="711" ht="15.75" customHeight="1">
      <c r="R711" s="65"/>
      <c r="S711" s="65"/>
    </row>
    <row r="712" ht="15.75" customHeight="1">
      <c r="R712" s="65"/>
      <c r="S712" s="65"/>
    </row>
    <row r="713" ht="15.75" customHeight="1">
      <c r="R713" s="65"/>
      <c r="S713" s="65"/>
    </row>
    <row r="714" ht="15.75" customHeight="1">
      <c r="R714" s="65"/>
      <c r="S714" s="65"/>
    </row>
    <row r="715" ht="15.75" customHeight="1">
      <c r="R715" s="65"/>
      <c r="S715" s="65"/>
    </row>
    <row r="716" ht="15.75" customHeight="1">
      <c r="R716" s="65"/>
      <c r="S716" s="65"/>
    </row>
    <row r="717" ht="15.75" customHeight="1">
      <c r="R717" s="65"/>
      <c r="S717" s="65"/>
    </row>
    <row r="718" ht="15.75" customHeight="1">
      <c r="R718" s="65"/>
      <c r="S718" s="65"/>
    </row>
    <row r="719" ht="15.75" customHeight="1">
      <c r="R719" s="65"/>
      <c r="S719" s="65"/>
    </row>
    <row r="720" ht="15.75" customHeight="1">
      <c r="R720" s="65"/>
      <c r="S720" s="65"/>
    </row>
    <row r="721" ht="15.75" customHeight="1">
      <c r="R721" s="65"/>
      <c r="S721" s="65"/>
    </row>
    <row r="722" ht="15.75" customHeight="1">
      <c r="R722" s="65"/>
      <c r="S722" s="65"/>
    </row>
    <row r="723" ht="15.75" customHeight="1">
      <c r="R723" s="65"/>
      <c r="S723" s="65"/>
    </row>
    <row r="724" ht="15.75" customHeight="1">
      <c r="R724" s="65"/>
      <c r="S724" s="65"/>
    </row>
    <row r="725" ht="15.75" customHeight="1">
      <c r="R725" s="65"/>
      <c r="S725" s="65"/>
    </row>
    <row r="726" ht="15.75" customHeight="1">
      <c r="R726" s="65"/>
      <c r="S726" s="65"/>
    </row>
    <row r="727" ht="15.75" customHeight="1">
      <c r="R727" s="65"/>
      <c r="S727" s="65"/>
    </row>
    <row r="728" ht="15.75" customHeight="1">
      <c r="R728" s="65"/>
      <c r="S728" s="65"/>
    </row>
    <row r="729" ht="15.75" customHeight="1">
      <c r="R729" s="65"/>
      <c r="S729" s="65"/>
    </row>
    <row r="730" ht="15.75" customHeight="1">
      <c r="R730" s="65"/>
      <c r="S730" s="65"/>
    </row>
    <row r="731" ht="15.75" customHeight="1">
      <c r="R731" s="65"/>
      <c r="S731" s="65"/>
    </row>
    <row r="732" ht="15.75" customHeight="1">
      <c r="R732" s="65"/>
      <c r="S732" s="65"/>
    </row>
    <row r="733" ht="15.75" customHeight="1">
      <c r="R733" s="65"/>
      <c r="S733" s="65"/>
    </row>
    <row r="734" ht="15.75" customHeight="1">
      <c r="R734" s="65"/>
      <c r="S734" s="65"/>
    </row>
    <row r="735" ht="15.75" customHeight="1">
      <c r="R735" s="65"/>
      <c r="S735" s="65"/>
    </row>
    <row r="736" ht="15.75" customHeight="1">
      <c r="R736" s="65"/>
      <c r="S736" s="65"/>
    </row>
    <row r="737" ht="15.75" customHeight="1">
      <c r="R737" s="65"/>
      <c r="S737" s="65"/>
    </row>
    <row r="738" ht="15.75" customHeight="1">
      <c r="R738" s="65"/>
      <c r="S738" s="65"/>
    </row>
    <row r="739" ht="15.75" customHeight="1">
      <c r="R739" s="65"/>
      <c r="S739" s="65"/>
    </row>
    <row r="740" ht="15.75" customHeight="1">
      <c r="R740" s="65"/>
      <c r="S740" s="65"/>
    </row>
    <row r="741" ht="15.75" customHeight="1">
      <c r="R741" s="65"/>
      <c r="S741" s="65"/>
    </row>
    <row r="742" ht="15.75" customHeight="1">
      <c r="R742" s="65"/>
      <c r="S742" s="65"/>
    </row>
    <row r="743" ht="15.75" customHeight="1">
      <c r="R743" s="65"/>
      <c r="S743" s="65"/>
    </row>
    <row r="744" ht="15.75" customHeight="1">
      <c r="R744" s="65"/>
      <c r="S744" s="65"/>
    </row>
    <row r="745" ht="15.75" customHeight="1">
      <c r="R745" s="65"/>
      <c r="S745" s="65"/>
    </row>
    <row r="746" ht="15.75" customHeight="1">
      <c r="R746" s="65"/>
      <c r="S746" s="65"/>
    </row>
    <row r="747" ht="15.75" customHeight="1">
      <c r="R747" s="65"/>
      <c r="S747" s="65"/>
    </row>
    <row r="748" ht="15.75" customHeight="1">
      <c r="R748" s="65"/>
      <c r="S748" s="65"/>
    </row>
    <row r="749" ht="15.75" customHeight="1">
      <c r="R749" s="65"/>
      <c r="S749" s="65"/>
    </row>
    <row r="750" ht="15.75" customHeight="1">
      <c r="R750" s="65"/>
      <c r="S750" s="65"/>
    </row>
    <row r="751" ht="15.75" customHeight="1">
      <c r="R751" s="65"/>
      <c r="S751" s="65"/>
    </row>
    <row r="752" ht="15.75" customHeight="1">
      <c r="R752" s="65"/>
      <c r="S752" s="65"/>
    </row>
    <row r="753" ht="15.75" customHeight="1">
      <c r="R753" s="65"/>
      <c r="S753" s="65"/>
    </row>
    <row r="754" ht="15.75" customHeight="1">
      <c r="R754" s="65"/>
      <c r="S754" s="65"/>
    </row>
    <row r="755" ht="15.75" customHeight="1">
      <c r="R755" s="65"/>
      <c r="S755" s="65"/>
    </row>
    <row r="756" ht="15.75" customHeight="1">
      <c r="R756" s="65"/>
      <c r="S756" s="65"/>
    </row>
    <row r="757" ht="15.75" customHeight="1">
      <c r="R757" s="65"/>
      <c r="S757" s="65"/>
    </row>
    <row r="758" ht="15.75" customHeight="1">
      <c r="R758" s="65"/>
      <c r="S758" s="65"/>
    </row>
    <row r="759" ht="15.75" customHeight="1">
      <c r="R759" s="65"/>
      <c r="S759" s="65"/>
    </row>
    <row r="760" ht="15.75" customHeight="1">
      <c r="R760" s="65"/>
      <c r="S760" s="65"/>
    </row>
    <row r="761" ht="15.75" customHeight="1">
      <c r="R761" s="65"/>
      <c r="S761" s="65"/>
    </row>
    <row r="762" ht="15.75" customHeight="1">
      <c r="R762" s="65"/>
      <c r="S762" s="65"/>
    </row>
    <row r="763" ht="15.75" customHeight="1">
      <c r="R763" s="65"/>
      <c r="S763" s="65"/>
    </row>
    <row r="764" ht="15.75" customHeight="1">
      <c r="R764" s="65"/>
      <c r="S764" s="65"/>
    </row>
    <row r="765" ht="15.75" customHeight="1">
      <c r="R765" s="65"/>
      <c r="S765" s="65"/>
    </row>
    <row r="766" ht="15.75" customHeight="1">
      <c r="R766" s="65"/>
      <c r="S766" s="65"/>
    </row>
    <row r="767" ht="15.75" customHeight="1">
      <c r="R767" s="65"/>
      <c r="S767" s="65"/>
    </row>
    <row r="768" ht="15.75" customHeight="1">
      <c r="R768" s="65"/>
      <c r="S768" s="65"/>
    </row>
    <row r="769" ht="15.75" customHeight="1">
      <c r="R769" s="65"/>
      <c r="S769" s="65"/>
    </row>
    <row r="770" ht="15.75" customHeight="1">
      <c r="R770" s="65"/>
      <c r="S770" s="65"/>
    </row>
    <row r="771" ht="15.75" customHeight="1">
      <c r="R771" s="65"/>
      <c r="S771" s="65"/>
    </row>
    <row r="772" ht="15.75" customHeight="1">
      <c r="R772" s="65"/>
      <c r="S772" s="65"/>
    </row>
    <row r="773" ht="15.75" customHeight="1">
      <c r="R773" s="65"/>
      <c r="S773" s="65"/>
    </row>
    <row r="774" ht="15.75" customHeight="1">
      <c r="R774" s="65"/>
      <c r="S774" s="65"/>
    </row>
    <row r="775" ht="15.75" customHeight="1">
      <c r="R775" s="65"/>
      <c r="S775" s="65"/>
    </row>
    <row r="776" ht="15.75" customHeight="1">
      <c r="R776" s="65"/>
      <c r="S776" s="65"/>
    </row>
    <row r="777" ht="15.75" customHeight="1">
      <c r="R777" s="65"/>
      <c r="S777" s="65"/>
    </row>
    <row r="778" ht="15.75" customHeight="1">
      <c r="R778" s="65"/>
      <c r="S778" s="65"/>
    </row>
    <row r="779" ht="15.75" customHeight="1">
      <c r="R779" s="65"/>
      <c r="S779" s="65"/>
    </row>
    <row r="780" ht="15.75" customHeight="1">
      <c r="R780" s="65"/>
      <c r="S780" s="65"/>
    </row>
    <row r="781" ht="15.75" customHeight="1">
      <c r="R781" s="65"/>
      <c r="S781" s="65"/>
    </row>
    <row r="782" ht="15.75" customHeight="1">
      <c r="R782" s="65"/>
      <c r="S782" s="65"/>
    </row>
    <row r="783" ht="15.75" customHeight="1">
      <c r="R783" s="65"/>
      <c r="S783" s="65"/>
    </row>
    <row r="784" ht="15.75" customHeight="1">
      <c r="R784" s="65"/>
      <c r="S784" s="65"/>
    </row>
    <row r="785" ht="15.75" customHeight="1">
      <c r="R785" s="65"/>
      <c r="S785" s="65"/>
    </row>
    <row r="786" ht="15.75" customHeight="1">
      <c r="R786" s="65"/>
      <c r="S786" s="65"/>
    </row>
    <row r="787" ht="15.75" customHeight="1">
      <c r="R787" s="65"/>
      <c r="S787" s="65"/>
    </row>
    <row r="788" ht="15.75" customHeight="1">
      <c r="R788" s="65"/>
      <c r="S788" s="65"/>
    </row>
    <row r="789" ht="15.75" customHeight="1">
      <c r="R789" s="65"/>
      <c r="S789" s="65"/>
    </row>
    <row r="790" ht="15.75" customHeight="1">
      <c r="R790" s="65"/>
      <c r="S790" s="65"/>
    </row>
    <row r="791" ht="15.75" customHeight="1">
      <c r="R791" s="65"/>
      <c r="S791" s="65"/>
    </row>
    <row r="792" ht="15.75" customHeight="1">
      <c r="R792" s="65"/>
      <c r="S792" s="65"/>
    </row>
    <row r="793" ht="15.75" customHeight="1">
      <c r="R793" s="65"/>
      <c r="S793" s="65"/>
    </row>
    <row r="794" ht="15.75" customHeight="1">
      <c r="R794" s="65"/>
      <c r="S794" s="65"/>
    </row>
    <row r="795" ht="15.75" customHeight="1">
      <c r="R795" s="65"/>
      <c r="S795" s="65"/>
    </row>
    <row r="796" ht="15.75" customHeight="1">
      <c r="R796" s="65"/>
      <c r="S796" s="65"/>
    </row>
    <row r="797" ht="15.75" customHeight="1">
      <c r="R797" s="65"/>
      <c r="S797" s="65"/>
    </row>
    <row r="798" ht="15.75" customHeight="1">
      <c r="R798" s="65"/>
      <c r="S798" s="65"/>
    </row>
    <row r="799" ht="15.75" customHeight="1">
      <c r="R799" s="65"/>
      <c r="S799" s="65"/>
    </row>
    <row r="800" ht="15.75" customHeight="1">
      <c r="R800" s="65"/>
      <c r="S800" s="65"/>
    </row>
    <row r="801" ht="15.75" customHeight="1">
      <c r="R801" s="65"/>
      <c r="S801" s="65"/>
    </row>
    <row r="802" ht="15.75" customHeight="1">
      <c r="R802" s="65"/>
      <c r="S802" s="65"/>
    </row>
    <row r="803" ht="15.75" customHeight="1">
      <c r="R803" s="65"/>
      <c r="S803" s="65"/>
    </row>
    <row r="804" ht="15.75" customHeight="1">
      <c r="R804" s="65"/>
      <c r="S804" s="65"/>
    </row>
    <row r="805" ht="15.75" customHeight="1">
      <c r="R805" s="65"/>
      <c r="S805" s="65"/>
    </row>
    <row r="806" ht="15.75" customHeight="1">
      <c r="R806" s="65"/>
      <c r="S806" s="65"/>
    </row>
    <row r="807" ht="15.75" customHeight="1">
      <c r="R807" s="65"/>
      <c r="S807" s="65"/>
    </row>
    <row r="808" ht="15.75" customHeight="1">
      <c r="R808" s="65"/>
      <c r="S808" s="65"/>
    </row>
    <row r="809" ht="15.75" customHeight="1">
      <c r="R809" s="65"/>
      <c r="S809" s="65"/>
    </row>
    <row r="810" ht="15.75" customHeight="1">
      <c r="R810" s="65"/>
      <c r="S810" s="65"/>
    </row>
    <row r="811" ht="15.75" customHeight="1">
      <c r="R811" s="65"/>
      <c r="S811" s="65"/>
    </row>
    <row r="812" ht="15.75" customHeight="1">
      <c r="R812" s="65"/>
      <c r="S812" s="65"/>
    </row>
    <row r="813" ht="15.75" customHeight="1">
      <c r="R813" s="65"/>
      <c r="S813" s="65"/>
    </row>
    <row r="814" ht="15.75" customHeight="1">
      <c r="R814" s="65"/>
      <c r="S814" s="65"/>
    </row>
    <row r="815" ht="15.75" customHeight="1">
      <c r="R815" s="65"/>
      <c r="S815" s="65"/>
    </row>
    <row r="816" ht="15.75" customHeight="1">
      <c r="R816" s="65"/>
      <c r="S816" s="65"/>
    </row>
    <row r="817" ht="15.75" customHeight="1">
      <c r="R817" s="65"/>
      <c r="S817" s="65"/>
    </row>
    <row r="818" ht="15.75" customHeight="1">
      <c r="R818" s="65"/>
      <c r="S818" s="65"/>
    </row>
    <row r="819" ht="15.75" customHeight="1">
      <c r="R819" s="65"/>
      <c r="S819" s="65"/>
    </row>
    <row r="820" ht="15.75" customHeight="1">
      <c r="R820" s="65"/>
      <c r="S820" s="65"/>
    </row>
    <row r="821" ht="15.75" customHeight="1">
      <c r="R821" s="65"/>
      <c r="S821" s="65"/>
    </row>
    <row r="822" ht="15.75" customHeight="1">
      <c r="R822" s="65"/>
      <c r="S822" s="65"/>
    </row>
    <row r="823" ht="15.75" customHeight="1">
      <c r="R823" s="65"/>
      <c r="S823" s="65"/>
    </row>
    <row r="824" ht="15.75" customHeight="1">
      <c r="R824" s="65"/>
      <c r="S824" s="65"/>
    </row>
    <row r="825" ht="15.75" customHeight="1">
      <c r="R825" s="65"/>
      <c r="S825" s="65"/>
    </row>
    <row r="826" ht="15.75" customHeight="1">
      <c r="R826" s="65"/>
      <c r="S826" s="65"/>
    </row>
    <row r="827" ht="15.75" customHeight="1">
      <c r="R827" s="65"/>
      <c r="S827" s="65"/>
    </row>
    <row r="828" ht="15.75" customHeight="1">
      <c r="R828" s="65"/>
      <c r="S828" s="65"/>
    </row>
    <row r="829" ht="15.75" customHeight="1">
      <c r="R829" s="65"/>
      <c r="S829" s="65"/>
    </row>
    <row r="830" ht="15.75" customHeight="1">
      <c r="R830" s="65"/>
      <c r="S830" s="65"/>
    </row>
    <row r="831" ht="15.75" customHeight="1">
      <c r="R831" s="65"/>
      <c r="S831" s="65"/>
    </row>
    <row r="832" ht="15.75" customHeight="1">
      <c r="R832" s="65"/>
      <c r="S832" s="65"/>
    </row>
    <row r="833" ht="15.75" customHeight="1">
      <c r="R833" s="65"/>
      <c r="S833" s="65"/>
    </row>
    <row r="834" ht="15.75" customHeight="1">
      <c r="R834" s="65"/>
      <c r="S834" s="65"/>
    </row>
    <row r="835" ht="15.75" customHeight="1">
      <c r="R835" s="65"/>
      <c r="S835" s="65"/>
    </row>
    <row r="836" ht="15.75" customHeight="1">
      <c r="R836" s="65"/>
      <c r="S836" s="65"/>
    </row>
    <row r="837" ht="15.75" customHeight="1">
      <c r="R837" s="65"/>
      <c r="S837" s="65"/>
    </row>
    <row r="838" ht="15.75" customHeight="1">
      <c r="R838" s="65"/>
      <c r="S838" s="65"/>
    </row>
    <row r="839" ht="15.75" customHeight="1">
      <c r="R839" s="65"/>
      <c r="S839" s="65"/>
    </row>
    <row r="840" ht="15.75" customHeight="1">
      <c r="R840" s="65"/>
      <c r="S840" s="65"/>
    </row>
    <row r="841" ht="15.75" customHeight="1">
      <c r="R841" s="65"/>
      <c r="S841" s="65"/>
    </row>
    <row r="842" ht="15.75" customHeight="1">
      <c r="R842" s="65"/>
      <c r="S842" s="65"/>
    </row>
    <row r="843" ht="15.75" customHeight="1">
      <c r="R843" s="65"/>
      <c r="S843" s="65"/>
    </row>
    <row r="844" ht="15.75" customHeight="1">
      <c r="R844" s="65"/>
      <c r="S844" s="65"/>
    </row>
    <row r="845" ht="15.75" customHeight="1">
      <c r="R845" s="65"/>
      <c r="S845" s="65"/>
    </row>
    <row r="846" ht="15.75" customHeight="1">
      <c r="R846" s="65"/>
      <c r="S846" s="65"/>
    </row>
    <row r="847" ht="15.75" customHeight="1">
      <c r="R847" s="65"/>
      <c r="S847" s="65"/>
    </row>
    <row r="848" ht="15.75" customHeight="1">
      <c r="R848" s="65"/>
      <c r="S848" s="65"/>
    </row>
    <row r="849" ht="15.75" customHeight="1">
      <c r="R849" s="65"/>
      <c r="S849" s="65"/>
    </row>
    <row r="850" ht="15.75" customHeight="1">
      <c r="R850" s="65"/>
      <c r="S850" s="65"/>
    </row>
    <row r="851" ht="15.75" customHeight="1">
      <c r="R851" s="65"/>
      <c r="S851" s="65"/>
    </row>
    <row r="852" ht="15.75" customHeight="1">
      <c r="R852" s="65"/>
      <c r="S852" s="65"/>
    </row>
    <row r="853" ht="15.75" customHeight="1">
      <c r="R853" s="65"/>
      <c r="S853" s="65"/>
    </row>
    <row r="854" ht="15.75" customHeight="1">
      <c r="R854" s="65"/>
      <c r="S854" s="65"/>
    </row>
    <row r="855" ht="15.75" customHeight="1">
      <c r="R855" s="65"/>
      <c r="S855" s="65"/>
    </row>
    <row r="856" ht="15.75" customHeight="1">
      <c r="R856" s="65"/>
      <c r="S856" s="65"/>
    </row>
    <row r="857" ht="15.75" customHeight="1">
      <c r="R857" s="65"/>
      <c r="S857" s="65"/>
    </row>
    <row r="858" ht="15.75" customHeight="1">
      <c r="R858" s="65"/>
      <c r="S858" s="65"/>
    </row>
    <row r="859" ht="15.75" customHeight="1">
      <c r="R859" s="65"/>
      <c r="S859" s="65"/>
    </row>
    <row r="860" ht="15.75" customHeight="1">
      <c r="R860" s="65"/>
      <c r="S860" s="65"/>
    </row>
    <row r="861" ht="15.75" customHeight="1">
      <c r="R861" s="65"/>
      <c r="S861" s="65"/>
    </row>
    <row r="862" ht="15.75" customHeight="1">
      <c r="R862" s="65"/>
      <c r="S862" s="65"/>
    </row>
    <row r="863" ht="15.75" customHeight="1">
      <c r="R863" s="65"/>
      <c r="S863" s="65"/>
    </row>
    <row r="864" ht="15.75" customHeight="1">
      <c r="R864" s="65"/>
      <c r="S864" s="65"/>
    </row>
    <row r="865" ht="15.75" customHeight="1">
      <c r="R865" s="65"/>
      <c r="S865" s="65"/>
    </row>
    <row r="866" ht="15.75" customHeight="1">
      <c r="R866" s="65"/>
      <c r="S866" s="65"/>
    </row>
    <row r="867" ht="15.75" customHeight="1">
      <c r="R867" s="65"/>
      <c r="S867" s="65"/>
    </row>
    <row r="868" ht="15.75" customHeight="1">
      <c r="R868" s="65"/>
      <c r="S868" s="65"/>
    </row>
    <row r="869" ht="15.75" customHeight="1">
      <c r="R869" s="65"/>
      <c r="S869" s="65"/>
    </row>
    <row r="870" ht="15.75" customHeight="1">
      <c r="R870" s="65"/>
      <c r="S870" s="65"/>
    </row>
    <row r="871" ht="15.75" customHeight="1">
      <c r="R871" s="65"/>
      <c r="S871" s="65"/>
    </row>
    <row r="872" ht="15.75" customHeight="1">
      <c r="R872" s="65"/>
      <c r="S872" s="65"/>
    </row>
    <row r="873" ht="15.75" customHeight="1">
      <c r="R873" s="65"/>
      <c r="S873" s="65"/>
    </row>
    <row r="874" ht="15.75" customHeight="1">
      <c r="R874" s="65"/>
      <c r="S874" s="65"/>
    </row>
    <row r="875" ht="15.75" customHeight="1">
      <c r="R875" s="65"/>
      <c r="S875" s="65"/>
    </row>
    <row r="876" ht="15.75" customHeight="1">
      <c r="R876" s="65"/>
      <c r="S876" s="65"/>
    </row>
    <row r="877" ht="15.75" customHeight="1">
      <c r="R877" s="65"/>
      <c r="S877" s="65"/>
    </row>
    <row r="878" ht="15.75" customHeight="1">
      <c r="R878" s="65"/>
      <c r="S878" s="65"/>
    </row>
    <row r="879" ht="15.75" customHeight="1">
      <c r="R879" s="65"/>
      <c r="S879" s="65"/>
    </row>
    <row r="880" ht="15.75" customHeight="1">
      <c r="R880" s="65"/>
      <c r="S880" s="65"/>
    </row>
    <row r="881" ht="15.75" customHeight="1">
      <c r="R881" s="65"/>
      <c r="S881" s="65"/>
    </row>
    <row r="882" ht="15.75" customHeight="1">
      <c r="R882" s="65"/>
      <c r="S882" s="65"/>
    </row>
    <row r="883" ht="15.75" customHeight="1">
      <c r="R883" s="65"/>
      <c r="S883" s="65"/>
    </row>
    <row r="884" ht="15.75" customHeight="1">
      <c r="R884" s="65"/>
      <c r="S884" s="65"/>
    </row>
    <row r="885" ht="15.75" customHeight="1">
      <c r="R885" s="65"/>
      <c r="S885" s="65"/>
    </row>
    <row r="886" ht="15.75" customHeight="1">
      <c r="R886" s="65"/>
      <c r="S886" s="65"/>
    </row>
    <row r="887" ht="15.75" customHeight="1">
      <c r="R887" s="65"/>
      <c r="S887" s="65"/>
    </row>
    <row r="888" ht="15.75" customHeight="1">
      <c r="R888" s="65"/>
      <c r="S888" s="65"/>
    </row>
    <row r="889" ht="15.75" customHeight="1">
      <c r="R889" s="65"/>
      <c r="S889" s="65"/>
    </row>
    <row r="890" ht="15.75" customHeight="1">
      <c r="R890" s="65"/>
      <c r="S890" s="65"/>
    </row>
    <row r="891" ht="15.75" customHeight="1">
      <c r="R891" s="65"/>
      <c r="S891" s="65"/>
    </row>
    <row r="892" ht="15.75" customHeight="1">
      <c r="R892" s="65"/>
      <c r="S892" s="65"/>
    </row>
    <row r="893" ht="15.75" customHeight="1">
      <c r="R893" s="65"/>
      <c r="S893" s="65"/>
    </row>
    <row r="894" ht="15.75" customHeight="1">
      <c r="R894" s="65"/>
      <c r="S894" s="65"/>
    </row>
    <row r="895" ht="15.75" customHeight="1">
      <c r="R895" s="65"/>
      <c r="S895" s="65"/>
    </row>
    <row r="896" ht="15.75" customHeight="1">
      <c r="R896" s="65"/>
      <c r="S896" s="65"/>
    </row>
    <row r="897" ht="15.75" customHeight="1">
      <c r="R897" s="65"/>
      <c r="S897" s="65"/>
    </row>
    <row r="898" ht="15.75" customHeight="1">
      <c r="R898" s="65"/>
      <c r="S898" s="65"/>
    </row>
    <row r="899" ht="15.75" customHeight="1">
      <c r="R899" s="65"/>
      <c r="S899" s="65"/>
    </row>
    <row r="900" ht="15.75" customHeight="1">
      <c r="R900" s="65"/>
      <c r="S900" s="65"/>
    </row>
    <row r="901" ht="15.75" customHeight="1">
      <c r="R901" s="65"/>
      <c r="S901" s="65"/>
    </row>
    <row r="902" ht="15.75" customHeight="1">
      <c r="R902" s="65"/>
      <c r="S902" s="65"/>
    </row>
    <row r="903" ht="15.75" customHeight="1">
      <c r="R903" s="65"/>
      <c r="S903" s="65"/>
    </row>
    <row r="904" ht="15.75" customHeight="1">
      <c r="R904" s="65"/>
      <c r="S904" s="65"/>
    </row>
    <row r="905" ht="15.75" customHeight="1">
      <c r="R905" s="65"/>
      <c r="S905" s="65"/>
    </row>
    <row r="906" ht="15.75" customHeight="1">
      <c r="R906" s="65"/>
      <c r="S906" s="65"/>
    </row>
    <row r="907" ht="15.75" customHeight="1">
      <c r="R907" s="65"/>
      <c r="S907" s="65"/>
    </row>
    <row r="908" ht="15.75" customHeight="1">
      <c r="R908" s="65"/>
      <c r="S908" s="65"/>
    </row>
    <row r="909" ht="15.75" customHeight="1">
      <c r="R909" s="65"/>
      <c r="S909" s="65"/>
    </row>
    <row r="910" ht="15.75" customHeight="1">
      <c r="R910" s="65"/>
      <c r="S910" s="65"/>
    </row>
    <row r="911" ht="15.75" customHeight="1">
      <c r="R911" s="65"/>
      <c r="S911" s="65"/>
    </row>
    <row r="912" ht="15.75" customHeight="1">
      <c r="R912" s="65"/>
      <c r="S912" s="65"/>
    </row>
    <row r="913" ht="15.75" customHeight="1">
      <c r="R913" s="65"/>
      <c r="S913" s="65"/>
    </row>
    <row r="914" ht="15.75" customHeight="1">
      <c r="R914" s="65"/>
      <c r="S914" s="65"/>
    </row>
    <row r="915" ht="15.75" customHeight="1">
      <c r="R915" s="65"/>
      <c r="S915" s="65"/>
    </row>
    <row r="916" ht="15.75" customHeight="1">
      <c r="R916" s="65"/>
      <c r="S916" s="65"/>
    </row>
    <row r="917" ht="15.75" customHeight="1">
      <c r="R917" s="65"/>
      <c r="S917" s="65"/>
    </row>
    <row r="918" ht="15.75" customHeight="1">
      <c r="R918" s="65"/>
      <c r="S918" s="65"/>
    </row>
    <row r="919" ht="15.75" customHeight="1">
      <c r="R919" s="65"/>
      <c r="S919" s="65"/>
    </row>
    <row r="920" ht="15.75" customHeight="1">
      <c r="R920" s="65"/>
      <c r="S920" s="65"/>
    </row>
    <row r="921" ht="15.75" customHeight="1">
      <c r="R921" s="65"/>
      <c r="S921" s="65"/>
    </row>
    <row r="922" ht="15.75" customHeight="1">
      <c r="R922" s="65"/>
      <c r="S922" s="65"/>
    </row>
    <row r="923" ht="15.75" customHeight="1">
      <c r="R923" s="65"/>
      <c r="S923" s="65"/>
    </row>
    <row r="924" ht="15.75" customHeight="1">
      <c r="R924" s="65"/>
      <c r="S924" s="65"/>
    </row>
    <row r="925" ht="15.75" customHeight="1">
      <c r="R925" s="65"/>
      <c r="S925" s="65"/>
    </row>
    <row r="926" ht="15.75" customHeight="1">
      <c r="R926" s="65"/>
      <c r="S926" s="65"/>
    </row>
    <row r="927" ht="15.75" customHeight="1">
      <c r="R927" s="65"/>
      <c r="S927" s="65"/>
    </row>
    <row r="928" ht="15.75" customHeight="1">
      <c r="R928" s="65"/>
      <c r="S928" s="65"/>
    </row>
    <row r="929" ht="15.75" customHeight="1">
      <c r="R929" s="65"/>
      <c r="S929" s="65"/>
    </row>
    <row r="930" ht="15.75" customHeight="1">
      <c r="R930" s="65"/>
      <c r="S930" s="65"/>
    </row>
    <row r="931" ht="15.75" customHeight="1">
      <c r="R931" s="65"/>
      <c r="S931" s="65"/>
    </row>
    <row r="932" ht="15.75" customHeight="1">
      <c r="R932" s="65"/>
      <c r="S932" s="65"/>
    </row>
    <row r="933" ht="15.75" customHeight="1">
      <c r="R933" s="65"/>
      <c r="S933" s="65"/>
    </row>
    <row r="934" ht="15.75" customHeight="1">
      <c r="R934" s="65"/>
      <c r="S934" s="65"/>
    </row>
    <row r="935" ht="15.75" customHeight="1">
      <c r="R935" s="65"/>
      <c r="S935" s="65"/>
    </row>
    <row r="936" ht="15.75" customHeight="1">
      <c r="R936" s="65"/>
      <c r="S936" s="65"/>
    </row>
    <row r="937" ht="15.75" customHeight="1">
      <c r="R937" s="65"/>
      <c r="S937" s="65"/>
    </row>
    <row r="938" ht="15.75" customHeight="1">
      <c r="R938" s="65"/>
      <c r="S938" s="65"/>
    </row>
    <row r="939" ht="15.75" customHeight="1">
      <c r="R939" s="65"/>
      <c r="S939" s="65"/>
    </row>
    <row r="940" ht="15.75" customHeight="1">
      <c r="R940" s="65"/>
      <c r="S940" s="65"/>
    </row>
    <row r="941" ht="15.75" customHeight="1">
      <c r="R941" s="65"/>
      <c r="S941" s="65"/>
    </row>
    <row r="942" ht="15.75" customHeight="1">
      <c r="R942" s="65"/>
      <c r="S942" s="65"/>
    </row>
    <row r="943" ht="15.75" customHeight="1">
      <c r="R943" s="65"/>
      <c r="S943" s="65"/>
    </row>
    <row r="944" ht="15.75" customHeight="1">
      <c r="R944" s="65"/>
      <c r="S944" s="65"/>
    </row>
    <row r="945" ht="15.75" customHeight="1">
      <c r="R945" s="65"/>
      <c r="S945" s="65"/>
    </row>
    <row r="946" ht="15.75" customHeight="1">
      <c r="R946" s="65"/>
      <c r="S946" s="65"/>
    </row>
    <row r="947" ht="15.75" customHeight="1">
      <c r="R947" s="65"/>
      <c r="S947" s="65"/>
    </row>
    <row r="948" ht="15.75" customHeight="1">
      <c r="R948" s="65"/>
      <c r="S948" s="65"/>
    </row>
    <row r="949" ht="15.75" customHeight="1">
      <c r="R949" s="65"/>
      <c r="S949" s="65"/>
    </row>
    <row r="950" ht="15.75" customHeight="1">
      <c r="R950" s="65"/>
      <c r="S950" s="65"/>
    </row>
    <row r="951" ht="15.75" customHeight="1">
      <c r="R951" s="65"/>
      <c r="S951" s="65"/>
    </row>
    <row r="952" ht="15.75" customHeight="1">
      <c r="R952" s="65"/>
      <c r="S952" s="65"/>
    </row>
    <row r="953" ht="15.75" customHeight="1">
      <c r="R953" s="65"/>
      <c r="S953" s="65"/>
    </row>
    <row r="954" ht="15.75" customHeight="1">
      <c r="R954" s="65"/>
      <c r="S954" s="65"/>
    </row>
    <row r="955" ht="15.75" customHeight="1">
      <c r="R955" s="65"/>
      <c r="S955" s="65"/>
    </row>
    <row r="956" ht="15.75" customHeight="1">
      <c r="R956" s="65"/>
      <c r="S956" s="65"/>
    </row>
    <row r="957" ht="15.75" customHeight="1">
      <c r="R957" s="65"/>
      <c r="S957" s="65"/>
    </row>
    <row r="958" ht="15.75" customHeight="1">
      <c r="R958" s="65"/>
      <c r="S958" s="65"/>
    </row>
    <row r="959" ht="15.75" customHeight="1">
      <c r="R959" s="65"/>
      <c r="S959" s="65"/>
    </row>
    <row r="960" ht="15.75" customHeight="1">
      <c r="R960" s="65"/>
      <c r="S960" s="65"/>
    </row>
    <row r="961" ht="15.75" customHeight="1">
      <c r="R961" s="65"/>
      <c r="S961" s="65"/>
    </row>
    <row r="962" ht="15.75" customHeight="1">
      <c r="R962" s="65"/>
      <c r="S962" s="65"/>
    </row>
    <row r="963" ht="15.75" customHeight="1">
      <c r="R963" s="65"/>
      <c r="S963" s="65"/>
    </row>
    <row r="964" ht="15.75" customHeight="1">
      <c r="R964" s="65"/>
      <c r="S964" s="65"/>
    </row>
    <row r="965" ht="15.75" customHeight="1">
      <c r="R965" s="65"/>
      <c r="S965" s="65"/>
    </row>
    <row r="966" ht="15.75" customHeight="1">
      <c r="R966" s="65"/>
      <c r="S966" s="65"/>
    </row>
    <row r="967" ht="15.75" customHeight="1">
      <c r="R967" s="65"/>
      <c r="S967" s="65"/>
    </row>
    <row r="968" ht="15.75" customHeight="1">
      <c r="R968" s="65"/>
      <c r="S968" s="65"/>
    </row>
    <row r="969" ht="15.75" customHeight="1">
      <c r="R969" s="65"/>
      <c r="S969" s="65"/>
    </row>
    <row r="970" ht="15.75" customHeight="1">
      <c r="R970" s="65"/>
      <c r="S970" s="65"/>
    </row>
    <row r="971" ht="15.75" customHeight="1">
      <c r="R971" s="65"/>
      <c r="S971" s="65"/>
    </row>
    <row r="972" ht="15.75" customHeight="1">
      <c r="R972" s="65"/>
      <c r="S972" s="65"/>
    </row>
    <row r="973" ht="15.75" customHeight="1">
      <c r="R973" s="65"/>
      <c r="S973" s="65"/>
    </row>
    <row r="974" ht="15.75" customHeight="1">
      <c r="R974" s="65"/>
      <c r="S974" s="65"/>
    </row>
    <row r="975" ht="15.75" customHeight="1">
      <c r="R975" s="65"/>
      <c r="S975" s="65"/>
    </row>
    <row r="976" ht="15.75" customHeight="1">
      <c r="R976" s="65"/>
      <c r="S976" s="65"/>
    </row>
    <row r="977" ht="15.75" customHeight="1">
      <c r="R977" s="65"/>
      <c r="S977" s="65"/>
    </row>
    <row r="978" ht="15.75" customHeight="1">
      <c r="R978" s="65"/>
      <c r="S978" s="65"/>
    </row>
    <row r="979" ht="15.75" customHeight="1">
      <c r="R979" s="65"/>
      <c r="S979" s="65"/>
    </row>
    <row r="980" ht="15.75" customHeight="1">
      <c r="R980" s="65"/>
      <c r="S980" s="65"/>
    </row>
    <row r="981" ht="15.75" customHeight="1">
      <c r="R981" s="65"/>
      <c r="S981" s="65"/>
    </row>
    <row r="982" ht="15.75" customHeight="1">
      <c r="R982" s="65"/>
      <c r="S982" s="65"/>
    </row>
    <row r="983" ht="15.75" customHeight="1">
      <c r="R983" s="65"/>
      <c r="S983" s="65"/>
    </row>
    <row r="984" ht="15.75" customHeight="1">
      <c r="R984" s="65"/>
      <c r="S984" s="65"/>
    </row>
    <row r="985" ht="15.75" customHeight="1">
      <c r="R985" s="65"/>
      <c r="S985" s="65"/>
    </row>
    <row r="986" ht="15.75" customHeight="1">
      <c r="R986" s="65"/>
      <c r="S986" s="65"/>
    </row>
    <row r="987" ht="15.75" customHeight="1">
      <c r="R987" s="65"/>
      <c r="S987" s="65"/>
    </row>
    <row r="988" ht="15.75" customHeight="1">
      <c r="R988" s="65"/>
      <c r="S988" s="65"/>
    </row>
    <row r="989" ht="15.75" customHeight="1">
      <c r="R989" s="65"/>
      <c r="S989" s="65"/>
    </row>
    <row r="990" ht="15.75" customHeight="1">
      <c r="R990" s="65"/>
      <c r="S990" s="65"/>
    </row>
    <row r="991" ht="15.75" customHeight="1">
      <c r="R991" s="65"/>
      <c r="S991" s="65"/>
    </row>
    <row r="992" ht="15.75" customHeight="1">
      <c r="R992" s="65"/>
      <c r="S992" s="65"/>
    </row>
    <row r="993" ht="15.75" customHeight="1">
      <c r="R993" s="65"/>
      <c r="S993" s="65"/>
    </row>
    <row r="994" ht="15.75" customHeight="1">
      <c r="R994" s="65"/>
      <c r="S994" s="65"/>
    </row>
    <row r="995" ht="15.75" customHeight="1">
      <c r="R995" s="65"/>
      <c r="S995" s="65"/>
    </row>
    <row r="996" ht="15.75" customHeight="1">
      <c r="R996" s="65"/>
      <c r="S996" s="65"/>
    </row>
    <row r="997" ht="15.75" customHeight="1">
      <c r="R997" s="65"/>
      <c r="S997" s="65"/>
    </row>
    <row r="998" ht="15.75" customHeight="1">
      <c r="R998" s="65"/>
      <c r="S998" s="65"/>
    </row>
    <row r="999" ht="15.75" customHeight="1">
      <c r="R999" s="65"/>
      <c r="S999" s="65"/>
    </row>
    <row r="1000" ht="15.75" customHeight="1">
      <c r="R1000" s="65"/>
      <c r="S1000" s="65"/>
    </row>
  </sheetData>
  <mergeCells count="8">
    <mergeCell ref="C6:D6"/>
    <mergeCell ref="E6:F6"/>
    <mergeCell ref="G6:H6"/>
    <mergeCell ref="I6:J6"/>
    <mergeCell ref="K6:L6"/>
    <mergeCell ref="M6:N6"/>
    <mergeCell ref="O6:P6"/>
    <mergeCell ref="R6:S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43"/>
    <col customWidth="1" min="2" max="2" width="21.71"/>
    <col customWidth="1" min="3" max="3" width="18.43"/>
    <col customWidth="1" min="4" max="4" width="20.0"/>
    <col customWidth="1" min="5" max="5" width="17.71"/>
    <col customWidth="1" min="6" max="6" width="19.29"/>
    <col customWidth="1" min="7" max="7" width="14.29"/>
    <col customWidth="1" min="8" max="17" width="9.14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2.5" customHeight="1">
      <c r="A2" s="4" t="s">
        <v>4</v>
      </c>
      <c r="B2" s="137" t="str">
        <f t="shared" ref="B2:B5" si="1">#REF!</f>
        <v>#REF!</v>
      </c>
      <c r="C2" s="6" t="str">
        <f t="shared" ref="C2:C17" si="2">B2/B$18</f>
        <v>#REF!</v>
      </c>
      <c r="D2" s="76" t="str">
        <f>B2/AREAS_PRIVATIVAS!G$2</f>
        <v>#REF!</v>
      </c>
      <c r="E2" s="3"/>
      <c r="F2" s="8" t="s">
        <v>91</v>
      </c>
      <c r="G2" s="9">
        <v>5401.56</v>
      </c>
      <c r="H2" s="10" t="s">
        <v>7</v>
      </c>
      <c r="I2" s="3"/>
      <c r="J2" s="3"/>
      <c r="K2" s="3"/>
      <c r="L2" s="3"/>
      <c r="M2" s="3"/>
      <c r="N2" s="3"/>
      <c r="O2" s="3"/>
      <c r="P2" s="3"/>
      <c r="Q2" s="3"/>
    </row>
    <row r="3" ht="19.5" customHeight="1">
      <c r="A3" s="11" t="s">
        <v>8</v>
      </c>
      <c r="B3" s="138" t="str">
        <f t="shared" si="1"/>
        <v>#REF!</v>
      </c>
      <c r="C3" s="13" t="str">
        <f t="shared" si="2"/>
        <v>#REF!</v>
      </c>
      <c r="D3" s="81" t="str">
        <f>B3/AREAS_PRIVATIVAS!G$2</f>
        <v>#REF!</v>
      </c>
      <c r="E3" s="3"/>
      <c r="F3" s="15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19.5" customHeight="1">
      <c r="A4" s="4" t="s">
        <v>9</v>
      </c>
      <c r="B4" s="137" t="str">
        <f t="shared" si="1"/>
        <v>#REF!</v>
      </c>
      <c r="C4" s="6" t="str">
        <f t="shared" si="2"/>
        <v>#REF!</v>
      </c>
      <c r="D4" s="76" t="str">
        <f>B4/AREAS_PRIVATIVAS!G$2</f>
        <v>#REF!</v>
      </c>
      <c r="E4" s="3"/>
      <c r="F4" s="15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9.5" customHeight="1">
      <c r="A5" s="11" t="s">
        <v>10</v>
      </c>
      <c r="B5" s="138" t="str">
        <f t="shared" si="1"/>
        <v>#REF!</v>
      </c>
      <c r="C5" s="13" t="str">
        <f t="shared" si="2"/>
        <v>#REF!</v>
      </c>
      <c r="D5" s="81" t="str">
        <f>B5/AREAS_PRIVATIVAS!G$2</f>
        <v>#REF!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19.5" customHeight="1">
      <c r="A6" s="4" t="s">
        <v>16</v>
      </c>
      <c r="B6" s="137" t="str">
        <f>#REF!+#REF!+#REF!</f>
        <v>#REF!</v>
      </c>
      <c r="C6" s="6" t="str">
        <f t="shared" si="2"/>
        <v>#REF!</v>
      </c>
      <c r="D6" s="76" t="str">
        <f>B6/AREAS_PRIVATIVAS!G$2</f>
        <v>#REF!</v>
      </c>
      <c r="E6" s="3"/>
      <c r="F6" s="19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19.5" customHeight="1">
      <c r="A7" s="11" t="s">
        <v>19</v>
      </c>
      <c r="B7" s="138" t="str">
        <f>#REF!+#REF!</f>
        <v>#REF!</v>
      </c>
      <c r="C7" s="13" t="str">
        <f t="shared" si="2"/>
        <v>#REF!</v>
      </c>
      <c r="D7" s="81" t="str">
        <f>B7/AREAS_PRIVATIVAS!G$2</f>
        <v>#REF!</v>
      </c>
      <c r="E7" s="139" t="str">
        <f>#REF!/AREAS_PRIVATIVAS!G2</f>
        <v>#REF!</v>
      </c>
      <c r="F7" s="24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19.5" customHeight="1">
      <c r="A8" s="4" t="s">
        <v>21</v>
      </c>
      <c r="B8" s="137" t="str">
        <f t="shared" ref="B8:B16" si="3">#REF!</f>
        <v>#REF!</v>
      </c>
      <c r="C8" s="6" t="str">
        <f t="shared" si="2"/>
        <v>#REF!</v>
      </c>
      <c r="D8" s="76" t="str">
        <f>B8/AREAS_PRIVATIVAS!G$2</f>
        <v>#REF!</v>
      </c>
      <c r="E8" s="3"/>
      <c r="F8" s="19"/>
      <c r="G8" s="140"/>
      <c r="H8" s="3"/>
      <c r="I8" s="3"/>
      <c r="J8" s="3"/>
      <c r="K8" s="3"/>
      <c r="L8" s="3"/>
      <c r="M8" s="3"/>
      <c r="N8" s="3"/>
      <c r="O8" s="3"/>
      <c r="P8" s="3"/>
      <c r="Q8" s="3"/>
    </row>
    <row r="9" ht="19.5" customHeight="1">
      <c r="A9" s="11" t="s">
        <v>23</v>
      </c>
      <c r="B9" s="138" t="str">
        <f t="shared" si="3"/>
        <v>#REF!</v>
      </c>
      <c r="C9" s="13" t="str">
        <f t="shared" si="2"/>
        <v>#REF!</v>
      </c>
      <c r="D9" s="81" t="str">
        <f>B9/AREAS_PRIVATIVAS!G$2</f>
        <v>#REF!</v>
      </c>
      <c r="E9" s="3"/>
      <c r="F9" s="32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19.5" customHeight="1">
      <c r="A10" s="4" t="s">
        <v>25</v>
      </c>
      <c r="B10" s="137" t="str">
        <f t="shared" si="3"/>
        <v>#REF!</v>
      </c>
      <c r="C10" s="6" t="str">
        <f t="shared" si="2"/>
        <v>#REF!</v>
      </c>
      <c r="D10" s="76" t="str">
        <f>B10/AREAS_PRIVATIVAS!G$2</f>
        <v>#REF!</v>
      </c>
      <c r="E10" s="3"/>
      <c r="F10" s="3"/>
      <c r="G10" s="141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19.5" customHeight="1">
      <c r="A11" s="11" t="s">
        <v>27</v>
      </c>
      <c r="B11" s="138" t="str">
        <f t="shared" si="3"/>
        <v>#REF!</v>
      </c>
      <c r="C11" s="13" t="str">
        <f t="shared" si="2"/>
        <v>#REF!</v>
      </c>
      <c r="D11" s="81" t="str">
        <f>B11/AREAS_PRIVATIVAS!G$2</f>
        <v>#REF!</v>
      </c>
      <c r="E11" s="3"/>
      <c r="F11" s="3"/>
      <c r="G11" s="32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19.5" customHeight="1">
      <c r="A12" s="4" t="s">
        <v>29</v>
      </c>
      <c r="B12" s="137" t="str">
        <f t="shared" si="3"/>
        <v>#REF!</v>
      </c>
      <c r="C12" s="6" t="str">
        <f t="shared" si="2"/>
        <v>#REF!</v>
      </c>
      <c r="D12" s="76" t="str">
        <f>B12/AREAS_PRIVATIVAS!G$2</f>
        <v>#REF!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19.5" customHeight="1">
      <c r="A13" s="11" t="s">
        <v>31</v>
      </c>
      <c r="B13" s="138" t="str">
        <f t="shared" si="3"/>
        <v>#REF!</v>
      </c>
      <c r="C13" s="13" t="str">
        <f t="shared" si="2"/>
        <v>#REF!</v>
      </c>
      <c r="D13" s="81" t="str">
        <f>B13/AREAS_PRIVATIVAS!G$2</f>
        <v>#REF!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19.5" customHeight="1">
      <c r="A14" s="4" t="s">
        <v>33</v>
      </c>
      <c r="B14" s="137" t="str">
        <f t="shared" si="3"/>
        <v>#REF!</v>
      </c>
      <c r="C14" s="6" t="str">
        <f t="shared" si="2"/>
        <v>#REF!</v>
      </c>
      <c r="D14" s="76" t="str">
        <f>B14/AREAS_PRIVATIVAS!G$2</f>
        <v>#REF!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19.5" customHeight="1">
      <c r="A15" s="11" t="s">
        <v>35</v>
      </c>
      <c r="B15" s="138" t="str">
        <f t="shared" si="3"/>
        <v>#REF!</v>
      </c>
      <c r="C15" s="13" t="str">
        <f t="shared" si="2"/>
        <v>#REF!</v>
      </c>
      <c r="D15" s="81" t="str">
        <f>B15/AREAS_PRIVATIVAS!G$2</f>
        <v>#REF!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t="19.5" customHeight="1">
      <c r="A16" s="4" t="s">
        <v>36</v>
      </c>
      <c r="B16" s="137" t="str">
        <f t="shared" si="3"/>
        <v>#REF!</v>
      </c>
      <c r="C16" s="6" t="str">
        <f t="shared" si="2"/>
        <v>#REF!</v>
      </c>
      <c r="D16" s="76" t="str">
        <f>B16/AREAS_PRIVATIVAS!G$2</f>
        <v>#REF!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19.5" customHeight="1">
      <c r="A17" s="11" t="s">
        <v>38</v>
      </c>
      <c r="B17" s="138" t="str">
        <f>SUM(B2:B16)*0.026</f>
        <v>#REF!</v>
      </c>
      <c r="C17" s="13" t="str">
        <f t="shared" si="2"/>
        <v>#REF!</v>
      </c>
      <c r="D17" s="81" t="str">
        <f>B17/AREAS_PRIVATIVAS!G$2</f>
        <v>#REF!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9.5" customHeight="1">
      <c r="A18" s="1" t="s">
        <v>40</v>
      </c>
      <c r="B18" s="142" t="str">
        <f t="shared" ref="B18:D18" si="4">SUM(B2:B17)</f>
        <v>#REF!</v>
      </c>
      <c r="C18" s="52" t="str">
        <f t="shared" si="4"/>
        <v>#REF!</v>
      </c>
      <c r="D18" s="73" t="str">
        <f t="shared" si="4"/>
        <v>#REF!</v>
      </c>
      <c r="E18" s="3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22.5" customHeight="1">
      <c r="A19" s="3"/>
      <c r="B19" s="3"/>
      <c r="C19" s="19"/>
      <c r="D19" s="19"/>
      <c r="E19" s="3"/>
      <c r="F19" s="3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22.5" customHeight="1">
      <c r="A20" s="143" t="s">
        <v>92</v>
      </c>
      <c r="B20" s="144" t="s">
        <v>93</v>
      </c>
      <c r="C20" s="145" t="s">
        <v>94</v>
      </c>
      <c r="D20" s="1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0" customHeight="1">
      <c r="A21" s="146" t="s">
        <v>95</v>
      </c>
      <c r="B21" s="147">
        <f>SUM(B22:B27)*13+SUM(D22:D27)</f>
        <v>7221.47</v>
      </c>
      <c r="C21" s="148" t="str">
        <f>'ORÇAMENTO_EXECUTIVO'!B18/AREAS_PRIVATIVAS!B21</f>
        <v>#ERROR!</v>
      </c>
      <c r="D21" s="19"/>
      <c r="E21" s="3"/>
      <c r="F21" s="3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9.5" customHeight="1">
      <c r="A22" s="4" t="s">
        <v>96</v>
      </c>
      <c r="B22" s="149">
        <v>78.59</v>
      </c>
      <c r="C22" s="150" t="str">
        <f t="shared" ref="C22:C26" si="5">B22*$C$21</f>
        <v>#ERROR!</v>
      </c>
      <c r="D22" s="19">
        <v>86.29</v>
      </c>
      <c r="E22" s="24"/>
      <c r="F22" s="3"/>
      <c r="G22" s="32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9.5" customHeight="1">
      <c r="A23" s="146" t="s">
        <v>97</v>
      </c>
      <c r="B23" s="147">
        <v>77.56</v>
      </c>
      <c r="C23" s="151" t="str">
        <f t="shared" si="5"/>
        <v>#ERROR!</v>
      </c>
      <c r="D23" s="19">
        <v>99.74</v>
      </c>
      <c r="E23" s="61"/>
      <c r="F23" s="32"/>
      <c r="G23" s="32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9.5" customHeight="1">
      <c r="A24" s="4" t="s">
        <v>98</v>
      </c>
      <c r="B24" s="149">
        <v>77.2</v>
      </c>
      <c r="C24" s="150" t="str">
        <f t="shared" si="5"/>
        <v>#ERROR!</v>
      </c>
      <c r="D24" s="19">
        <v>116.13</v>
      </c>
      <c r="E24" s="63"/>
      <c r="F24" s="6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9.5" customHeight="1">
      <c r="A25" s="146" t="s">
        <v>99</v>
      </c>
      <c r="B25" s="147">
        <v>78.67</v>
      </c>
      <c r="C25" s="151" t="str">
        <f t="shared" si="5"/>
        <v>#ERROR!</v>
      </c>
      <c r="D25" s="19">
        <v>102.55</v>
      </c>
      <c r="E25" s="152">
        <f>B21/'ORÇAMENTO_EXECUTIVO'!G2</f>
        <v>0.5768426451</v>
      </c>
      <c r="F25" s="32"/>
      <c r="G25" s="32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9.5" customHeight="1">
      <c r="A26" s="4" t="s">
        <v>100</v>
      </c>
      <c r="B26" s="149">
        <v>81.78</v>
      </c>
      <c r="C26" s="150" t="str">
        <f t="shared" si="5"/>
        <v>#ERROR!</v>
      </c>
      <c r="D26" s="19">
        <v>123.34</v>
      </c>
      <c r="E26" s="63"/>
      <c r="F26" s="6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9.5" customHeight="1">
      <c r="A27" s="153" t="s">
        <v>101</v>
      </c>
      <c r="B27" s="154">
        <v>112.43</v>
      </c>
      <c r="C27" s="155" t="str">
        <f>B27*C21</f>
        <v>#ERROR!</v>
      </c>
      <c r="D27" s="19">
        <v>112.43</v>
      </c>
      <c r="E27" s="61"/>
      <c r="F27" s="32"/>
      <c r="G27" s="32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9.5" customHeight="1">
      <c r="A28" s="3"/>
      <c r="B28" s="3"/>
      <c r="C28" s="19"/>
      <c r="D28" s="1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9.5" customHeight="1">
      <c r="A29" s="3"/>
      <c r="B29" s="3"/>
      <c r="C29" s="19"/>
      <c r="D29" s="19"/>
      <c r="E29" s="3"/>
      <c r="F29" s="3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9.5" customHeight="1">
      <c r="A30" s="3"/>
      <c r="B30" s="3"/>
      <c r="C30" s="19"/>
      <c r="D30" s="1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9.5" customHeight="1">
      <c r="A31" s="3"/>
      <c r="B31" s="3"/>
      <c r="C31" s="19"/>
      <c r="D31" s="19"/>
      <c r="E31" s="3"/>
      <c r="F31" s="3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9.5" customHeight="1">
      <c r="A32" s="3"/>
      <c r="B32" s="3"/>
      <c r="C32" s="19"/>
      <c r="D32" s="1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9.5" customHeight="1">
      <c r="A33" s="3"/>
      <c r="B33" s="3"/>
      <c r="C33" s="19"/>
      <c r="D33" s="1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9.5" customHeight="1">
      <c r="A34" s="3"/>
      <c r="B34" s="3"/>
      <c r="C34" s="19"/>
      <c r="D34" s="1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9.5" customHeight="1">
      <c r="A35" s="3"/>
      <c r="B35" s="3"/>
      <c r="C35" s="19"/>
      <c r="D35" s="1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9.5" customHeight="1">
      <c r="A36" s="3"/>
      <c r="B36" s="3"/>
      <c r="C36" s="19"/>
      <c r="D36" s="1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9.5" customHeight="1">
      <c r="A37" s="3"/>
      <c r="B37" s="3"/>
      <c r="C37" s="19"/>
      <c r="D37" s="1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9.5" customHeight="1">
      <c r="A38" s="3"/>
      <c r="B38" s="3"/>
      <c r="C38" s="19"/>
      <c r="D38" s="1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9.5" customHeight="1">
      <c r="A39" s="3"/>
      <c r="B39" s="3"/>
      <c r="C39" s="19"/>
      <c r="D39" s="1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9.5" customHeight="1">
      <c r="A40" s="3"/>
      <c r="B40" s="3"/>
      <c r="C40" s="19"/>
      <c r="D40" s="1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9.5" customHeight="1">
      <c r="A41" s="3"/>
      <c r="B41" s="3"/>
      <c r="C41" s="19"/>
      <c r="D41" s="1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9.5" customHeight="1">
      <c r="A42" s="3"/>
      <c r="B42" s="3"/>
      <c r="C42" s="19"/>
      <c r="D42" s="1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9.5" customHeight="1">
      <c r="A43" s="3"/>
      <c r="B43" s="3"/>
      <c r="C43" s="19"/>
      <c r="D43" s="1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9.5" customHeight="1">
      <c r="A44" s="3"/>
      <c r="B44" s="3"/>
      <c r="C44" s="19"/>
      <c r="D44" s="1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9.5" customHeight="1">
      <c r="A45" s="3"/>
      <c r="B45" s="3"/>
      <c r="C45" s="19"/>
      <c r="D45" s="1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9.5" customHeight="1">
      <c r="A46" s="3"/>
      <c r="B46" s="3"/>
      <c r="C46" s="19"/>
      <c r="D46" s="1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9.5" customHeight="1">
      <c r="A47" s="3"/>
      <c r="B47" s="3"/>
      <c r="C47" s="19"/>
      <c r="D47" s="1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9.5" customHeight="1">
      <c r="A48" s="3"/>
      <c r="B48" s="3"/>
      <c r="C48" s="19"/>
      <c r="D48" s="1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9.5" customHeight="1">
      <c r="A49" s="3"/>
      <c r="B49" s="3"/>
      <c r="C49" s="19"/>
      <c r="D49" s="1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9.5" customHeight="1">
      <c r="A50" s="3"/>
      <c r="B50" s="3"/>
      <c r="C50" s="19"/>
      <c r="D50" s="1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9.5" customHeight="1">
      <c r="A51" s="3"/>
      <c r="B51" s="3"/>
      <c r="C51" s="19"/>
      <c r="D51" s="1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9.5" customHeight="1">
      <c r="A52" s="3"/>
      <c r="B52" s="3"/>
      <c r="C52" s="19"/>
      <c r="D52" s="1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9.5" customHeight="1">
      <c r="A53" s="3"/>
      <c r="B53" s="3"/>
      <c r="C53" s="19"/>
      <c r="D53" s="1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9.5" customHeight="1">
      <c r="A54" s="3"/>
      <c r="B54" s="3"/>
      <c r="C54" s="19"/>
      <c r="D54" s="1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9.5" customHeight="1">
      <c r="A55" s="3"/>
      <c r="B55" s="3"/>
      <c r="C55" s="19"/>
      <c r="D55" s="1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9.5" customHeight="1">
      <c r="A56" s="3"/>
      <c r="B56" s="3"/>
      <c r="C56" s="19"/>
      <c r="D56" s="1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9.5" customHeight="1">
      <c r="A57" s="3"/>
      <c r="B57" s="3"/>
      <c r="C57" s="19"/>
      <c r="D57" s="1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9.5" customHeight="1">
      <c r="A58" s="3"/>
      <c r="B58" s="3"/>
      <c r="C58" s="19"/>
      <c r="D58" s="1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9.5" customHeight="1">
      <c r="A59" s="3"/>
      <c r="B59" s="3"/>
      <c r="C59" s="19"/>
      <c r="D59" s="1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9.5" customHeight="1">
      <c r="A60" s="3"/>
      <c r="B60" s="3"/>
      <c r="C60" s="19"/>
      <c r="D60" s="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9.5" customHeight="1">
      <c r="A61" s="3"/>
      <c r="B61" s="3"/>
      <c r="C61" s="19"/>
      <c r="D61" s="1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9.5" customHeight="1">
      <c r="A62" s="3"/>
      <c r="B62" s="3"/>
      <c r="C62" s="19"/>
      <c r="D62" s="1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9.5" customHeight="1">
      <c r="A63" s="3"/>
      <c r="B63" s="3"/>
      <c r="C63" s="19"/>
      <c r="D63" s="1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9.5" customHeight="1">
      <c r="A64" s="3"/>
      <c r="B64" s="3"/>
      <c r="C64" s="19"/>
      <c r="D64" s="1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9.5" customHeight="1">
      <c r="A65" s="3"/>
      <c r="B65" s="3"/>
      <c r="C65" s="19"/>
      <c r="D65" s="1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9.5" customHeight="1">
      <c r="A66" s="3"/>
      <c r="B66" s="3"/>
      <c r="C66" s="19"/>
      <c r="D66" s="1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9.5" customHeight="1">
      <c r="A67" s="3"/>
      <c r="B67" s="3"/>
      <c r="C67" s="19"/>
      <c r="D67" s="1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9.5" customHeight="1">
      <c r="A68" s="3"/>
      <c r="B68" s="3"/>
      <c r="C68" s="19"/>
      <c r="D68" s="1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9.5" customHeight="1">
      <c r="A69" s="3"/>
      <c r="B69" s="3"/>
      <c r="C69" s="19"/>
      <c r="D69" s="1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9.5" customHeight="1">
      <c r="A70" s="3"/>
      <c r="B70" s="3"/>
      <c r="C70" s="19"/>
      <c r="D70" s="1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9.5" customHeight="1">
      <c r="A71" s="3"/>
      <c r="B71" s="3"/>
      <c r="C71" s="19"/>
      <c r="D71" s="1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9.5" customHeight="1">
      <c r="A72" s="3"/>
      <c r="B72" s="3"/>
      <c r="C72" s="19"/>
      <c r="D72" s="1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9.5" customHeight="1">
      <c r="A73" s="3"/>
      <c r="B73" s="3"/>
      <c r="C73" s="19"/>
      <c r="D73" s="1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9.5" customHeight="1">
      <c r="A74" s="3"/>
      <c r="B74" s="3"/>
      <c r="C74" s="19"/>
      <c r="D74" s="1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9.5" customHeight="1">
      <c r="A75" s="3"/>
      <c r="B75" s="3"/>
      <c r="C75" s="19"/>
      <c r="D75" s="1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9.5" customHeight="1">
      <c r="A76" s="3"/>
      <c r="B76" s="3"/>
      <c r="C76" s="19"/>
      <c r="D76" s="1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9.5" customHeight="1">
      <c r="A77" s="3"/>
      <c r="B77" s="3"/>
      <c r="C77" s="19"/>
      <c r="D77" s="1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9.5" customHeight="1">
      <c r="A78" s="3"/>
      <c r="B78" s="3"/>
      <c r="C78" s="19"/>
      <c r="D78" s="1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9.5" customHeight="1">
      <c r="A79" s="3"/>
      <c r="B79" s="3"/>
      <c r="C79" s="19"/>
      <c r="D79" s="1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9.5" customHeight="1">
      <c r="A80" s="3"/>
      <c r="B80" s="3"/>
      <c r="C80" s="19"/>
      <c r="D80" s="1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9.5" customHeight="1">
      <c r="A81" s="3"/>
      <c r="B81" s="3"/>
      <c r="C81" s="19"/>
      <c r="D81" s="1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9.5" customHeight="1">
      <c r="A82" s="3"/>
      <c r="B82" s="3"/>
      <c r="C82" s="19"/>
      <c r="D82" s="1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9.5" customHeight="1">
      <c r="A83" s="3"/>
      <c r="B83" s="3"/>
      <c r="C83" s="19"/>
      <c r="D83" s="1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9.5" customHeight="1">
      <c r="A84" s="3"/>
      <c r="B84" s="3"/>
      <c r="C84" s="19"/>
      <c r="D84" s="1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9.5" customHeight="1">
      <c r="A85" s="3"/>
      <c r="B85" s="3"/>
      <c r="C85" s="19"/>
      <c r="D85" s="1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9.5" customHeight="1">
      <c r="A86" s="3"/>
      <c r="B86" s="3"/>
      <c r="C86" s="19"/>
      <c r="D86" s="1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9.5" customHeight="1">
      <c r="A87" s="3"/>
      <c r="B87" s="3"/>
      <c r="C87" s="19"/>
      <c r="D87" s="1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9.5" customHeight="1">
      <c r="A88" s="3"/>
      <c r="B88" s="3"/>
      <c r="C88" s="19"/>
      <c r="D88" s="1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9.5" customHeight="1">
      <c r="A89" s="3"/>
      <c r="B89" s="3"/>
      <c r="C89" s="19"/>
      <c r="D89" s="1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9.5" customHeight="1">
      <c r="A90" s="3"/>
      <c r="B90" s="3"/>
      <c r="C90" s="19"/>
      <c r="D90" s="1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9.5" customHeight="1">
      <c r="A91" s="3"/>
      <c r="B91" s="3"/>
      <c r="C91" s="19"/>
      <c r="D91" s="1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9.5" customHeight="1">
      <c r="A92" s="3"/>
      <c r="B92" s="3"/>
      <c r="C92" s="19"/>
      <c r="D92" s="1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9.5" customHeight="1">
      <c r="A93" s="3"/>
      <c r="B93" s="3"/>
      <c r="C93" s="19"/>
      <c r="D93" s="1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9.5" customHeight="1">
      <c r="A94" s="3"/>
      <c r="B94" s="3"/>
      <c r="C94" s="19"/>
      <c r="D94" s="1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9.5" customHeight="1">
      <c r="A95" s="3"/>
      <c r="B95" s="3"/>
      <c r="C95" s="19"/>
      <c r="D95" s="1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9.5" customHeight="1">
      <c r="A96" s="3"/>
      <c r="B96" s="3"/>
      <c r="C96" s="19"/>
      <c r="D96" s="1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9.5" customHeight="1">
      <c r="A97" s="3"/>
      <c r="B97" s="3"/>
      <c r="C97" s="19"/>
      <c r="D97" s="1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9.5" customHeight="1">
      <c r="A98" s="3"/>
      <c r="B98" s="3"/>
      <c r="C98" s="19"/>
      <c r="D98" s="1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9.5" customHeight="1">
      <c r="A99" s="3"/>
      <c r="B99" s="3"/>
      <c r="C99" s="19"/>
      <c r="D99" s="1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9.5" customHeight="1">
      <c r="A100" s="3"/>
      <c r="B100" s="3"/>
      <c r="C100" s="19"/>
      <c r="D100" s="1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9.5" customHeight="1">
      <c r="A101" s="3"/>
      <c r="B101" s="3"/>
      <c r="C101" s="19"/>
      <c r="D101" s="1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9.5" customHeight="1">
      <c r="A102" s="3"/>
      <c r="B102" s="3"/>
      <c r="C102" s="19"/>
      <c r="D102" s="1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9.5" customHeight="1">
      <c r="A103" s="3"/>
      <c r="B103" s="3"/>
      <c r="C103" s="19"/>
      <c r="D103" s="1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9.5" customHeight="1">
      <c r="A104" s="3"/>
      <c r="B104" s="3"/>
      <c r="C104" s="19"/>
      <c r="D104" s="1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9.5" customHeight="1">
      <c r="A105" s="3"/>
      <c r="B105" s="3"/>
      <c r="C105" s="19"/>
      <c r="D105" s="1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9.5" customHeight="1">
      <c r="A106" s="3"/>
      <c r="B106" s="3"/>
      <c r="C106" s="19"/>
      <c r="D106" s="1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9.5" customHeight="1">
      <c r="A107" s="3"/>
      <c r="B107" s="3"/>
      <c r="C107" s="19"/>
      <c r="D107" s="1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9.5" customHeight="1">
      <c r="A108" s="3"/>
      <c r="B108" s="3"/>
      <c r="C108" s="19"/>
      <c r="D108" s="1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9.5" customHeight="1">
      <c r="A109" s="3"/>
      <c r="B109" s="3"/>
      <c r="C109" s="19"/>
      <c r="D109" s="1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9.5" customHeight="1">
      <c r="A110" s="3"/>
      <c r="B110" s="3"/>
      <c r="C110" s="19"/>
      <c r="D110" s="1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9.5" customHeight="1">
      <c r="A111" s="3"/>
      <c r="B111" s="3"/>
      <c r="C111" s="19"/>
      <c r="D111" s="1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9.5" customHeight="1">
      <c r="A112" s="3"/>
      <c r="B112" s="3"/>
      <c r="C112" s="19"/>
      <c r="D112" s="1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9.5" customHeight="1">
      <c r="A113" s="3"/>
      <c r="B113" s="3"/>
      <c r="C113" s="19"/>
      <c r="D113" s="1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9.5" customHeight="1">
      <c r="A114" s="3"/>
      <c r="B114" s="3"/>
      <c r="C114" s="19"/>
      <c r="D114" s="1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9.5" customHeight="1">
      <c r="A115" s="3"/>
      <c r="B115" s="3"/>
      <c r="C115" s="19"/>
      <c r="D115" s="1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9.5" customHeight="1">
      <c r="A116" s="3"/>
      <c r="B116" s="3"/>
      <c r="C116" s="19"/>
      <c r="D116" s="1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9.5" customHeight="1">
      <c r="A117" s="3"/>
      <c r="B117" s="3"/>
      <c r="C117" s="19"/>
      <c r="D117" s="1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9.5" customHeight="1">
      <c r="A118" s="3"/>
      <c r="B118" s="3"/>
      <c r="C118" s="19"/>
      <c r="D118" s="1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9.5" customHeight="1">
      <c r="A119" s="3"/>
      <c r="B119" s="3"/>
      <c r="C119" s="19"/>
      <c r="D119" s="1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9.5" customHeight="1">
      <c r="A120" s="3"/>
      <c r="B120" s="3"/>
      <c r="C120" s="19"/>
      <c r="D120" s="1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9.5" customHeight="1">
      <c r="A121" s="3"/>
      <c r="B121" s="3"/>
      <c r="C121" s="19"/>
      <c r="D121" s="1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9.5" customHeight="1">
      <c r="A122" s="3"/>
      <c r="B122" s="3"/>
      <c r="C122" s="19"/>
      <c r="D122" s="1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9.5" customHeight="1">
      <c r="A123" s="3"/>
      <c r="B123" s="3"/>
      <c r="C123" s="19"/>
      <c r="D123" s="1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9.5" customHeight="1">
      <c r="A124" s="3"/>
      <c r="B124" s="3"/>
      <c r="C124" s="19"/>
      <c r="D124" s="1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9.5" customHeight="1">
      <c r="A125" s="3"/>
      <c r="B125" s="3"/>
      <c r="C125" s="19"/>
      <c r="D125" s="1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9.5" customHeight="1">
      <c r="A126" s="3"/>
      <c r="B126" s="3"/>
      <c r="C126" s="19"/>
      <c r="D126" s="1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9.5" customHeight="1">
      <c r="A127" s="3"/>
      <c r="B127" s="3"/>
      <c r="C127" s="19"/>
      <c r="D127" s="1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9.5" customHeight="1">
      <c r="A128" s="3"/>
      <c r="B128" s="3"/>
      <c r="C128" s="19"/>
      <c r="D128" s="1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9.5" customHeight="1">
      <c r="A129" s="3"/>
      <c r="B129" s="3"/>
      <c r="C129" s="19"/>
      <c r="D129" s="1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9.5" customHeight="1">
      <c r="A130" s="3"/>
      <c r="B130" s="3"/>
      <c r="C130" s="19"/>
      <c r="D130" s="1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9.5" customHeight="1">
      <c r="A131" s="3"/>
      <c r="B131" s="3"/>
      <c r="C131" s="19"/>
      <c r="D131" s="1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9.5" customHeight="1">
      <c r="A132" s="3"/>
      <c r="B132" s="3"/>
      <c r="C132" s="19"/>
      <c r="D132" s="1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9.5" customHeight="1">
      <c r="A133" s="3"/>
      <c r="B133" s="3"/>
      <c r="C133" s="19"/>
      <c r="D133" s="1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9.5" customHeight="1">
      <c r="A134" s="3"/>
      <c r="B134" s="3"/>
      <c r="C134" s="19"/>
      <c r="D134" s="1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9.5" customHeight="1">
      <c r="A135" s="3"/>
      <c r="B135" s="3"/>
      <c r="C135" s="19"/>
      <c r="D135" s="1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9.5" customHeight="1">
      <c r="A136" s="3"/>
      <c r="B136" s="3"/>
      <c r="C136" s="19"/>
      <c r="D136" s="1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9.5" customHeight="1">
      <c r="A137" s="3"/>
      <c r="B137" s="3"/>
      <c r="C137" s="19"/>
      <c r="D137" s="1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9.5" customHeight="1">
      <c r="A138" s="3"/>
      <c r="B138" s="3"/>
      <c r="C138" s="19"/>
      <c r="D138" s="1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9.5" customHeight="1">
      <c r="A139" s="3"/>
      <c r="B139" s="3"/>
      <c r="C139" s="19"/>
      <c r="D139" s="1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9.5" customHeight="1">
      <c r="A140" s="3"/>
      <c r="B140" s="3"/>
      <c r="C140" s="19"/>
      <c r="D140" s="1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9.5" customHeight="1">
      <c r="A141" s="3"/>
      <c r="B141" s="3"/>
      <c r="C141" s="19"/>
      <c r="D141" s="1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9.5" customHeight="1">
      <c r="A142" s="3"/>
      <c r="B142" s="3"/>
      <c r="C142" s="19"/>
      <c r="D142" s="1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9.5" customHeight="1">
      <c r="A143" s="3"/>
      <c r="B143" s="3"/>
      <c r="C143" s="19"/>
      <c r="D143" s="1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9.5" customHeight="1">
      <c r="A144" s="3"/>
      <c r="B144" s="3"/>
      <c r="C144" s="19"/>
      <c r="D144" s="1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9.5" customHeight="1">
      <c r="A145" s="3"/>
      <c r="B145" s="3"/>
      <c r="C145" s="19"/>
      <c r="D145" s="1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9.5" customHeight="1">
      <c r="A146" s="3"/>
      <c r="B146" s="3"/>
      <c r="C146" s="19"/>
      <c r="D146" s="1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9.5" customHeight="1">
      <c r="A147" s="3"/>
      <c r="B147" s="3"/>
      <c r="C147" s="19"/>
      <c r="D147" s="1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9.5" customHeight="1">
      <c r="A148" s="3"/>
      <c r="B148" s="3"/>
      <c r="C148" s="19"/>
      <c r="D148" s="1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9.5" customHeight="1">
      <c r="A149" s="3"/>
      <c r="B149" s="3"/>
      <c r="C149" s="19"/>
      <c r="D149" s="1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9.5" customHeight="1">
      <c r="A150" s="3"/>
      <c r="B150" s="3"/>
      <c r="C150" s="19"/>
      <c r="D150" s="1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9.5" customHeight="1">
      <c r="A151" s="3"/>
      <c r="B151" s="3"/>
      <c r="C151" s="19"/>
      <c r="D151" s="1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9.5" customHeight="1">
      <c r="A152" s="3"/>
      <c r="B152" s="3"/>
      <c r="C152" s="19"/>
      <c r="D152" s="1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9.5" customHeight="1">
      <c r="A153" s="3"/>
      <c r="B153" s="3"/>
      <c r="C153" s="19"/>
      <c r="D153" s="1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9.5" customHeight="1">
      <c r="A154" s="3"/>
      <c r="B154" s="3"/>
      <c r="C154" s="19"/>
      <c r="D154" s="1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9.5" customHeight="1">
      <c r="A155" s="3"/>
      <c r="B155" s="3"/>
      <c r="C155" s="19"/>
      <c r="D155" s="1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9.5" customHeight="1">
      <c r="A156" s="3"/>
      <c r="B156" s="3"/>
      <c r="C156" s="19"/>
      <c r="D156" s="1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9.5" customHeight="1">
      <c r="A157" s="3"/>
      <c r="B157" s="3"/>
      <c r="C157" s="19"/>
      <c r="D157" s="1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9.5" customHeight="1">
      <c r="A158" s="3"/>
      <c r="B158" s="3"/>
      <c r="C158" s="19"/>
      <c r="D158" s="1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9.5" customHeight="1">
      <c r="A159" s="3"/>
      <c r="B159" s="3"/>
      <c r="C159" s="19"/>
      <c r="D159" s="1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9.5" customHeight="1">
      <c r="A160" s="3"/>
      <c r="B160" s="3"/>
      <c r="C160" s="19"/>
      <c r="D160" s="1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9.5" customHeight="1">
      <c r="A161" s="3"/>
      <c r="B161" s="3"/>
      <c r="C161" s="19"/>
      <c r="D161" s="1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9.5" customHeight="1">
      <c r="A162" s="3"/>
      <c r="B162" s="3"/>
      <c r="C162" s="19"/>
      <c r="D162" s="1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9.5" customHeight="1">
      <c r="A163" s="3"/>
      <c r="B163" s="3"/>
      <c r="C163" s="19"/>
      <c r="D163" s="1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9.5" customHeight="1">
      <c r="A164" s="3"/>
      <c r="B164" s="3"/>
      <c r="C164" s="19"/>
      <c r="D164" s="1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9.5" customHeight="1">
      <c r="A165" s="3"/>
      <c r="B165" s="3"/>
      <c r="C165" s="19"/>
      <c r="D165" s="1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9.5" customHeight="1">
      <c r="A166" s="3"/>
      <c r="B166" s="3"/>
      <c r="C166" s="19"/>
      <c r="D166" s="1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9.5" customHeight="1">
      <c r="A167" s="3"/>
      <c r="B167" s="3"/>
      <c r="C167" s="19"/>
      <c r="D167" s="1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9.5" customHeight="1">
      <c r="A168" s="3"/>
      <c r="B168" s="3"/>
      <c r="C168" s="19"/>
      <c r="D168" s="1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9.5" customHeight="1">
      <c r="A169" s="3"/>
      <c r="B169" s="3"/>
      <c r="C169" s="19"/>
      <c r="D169" s="1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9.5" customHeight="1">
      <c r="A170" s="3"/>
      <c r="B170" s="3"/>
      <c r="C170" s="19"/>
      <c r="D170" s="1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9.5" customHeight="1">
      <c r="A171" s="3"/>
      <c r="B171" s="3"/>
      <c r="C171" s="19"/>
      <c r="D171" s="1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9.5" customHeight="1">
      <c r="A172" s="3"/>
      <c r="B172" s="3"/>
      <c r="C172" s="19"/>
      <c r="D172" s="1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9.5" customHeight="1">
      <c r="A173" s="3"/>
      <c r="B173" s="3"/>
      <c r="C173" s="19"/>
      <c r="D173" s="1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9.5" customHeight="1">
      <c r="A174" s="3"/>
      <c r="B174" s="3"/>
      <c r="C174" s="19"/>
      <c r="D174" s="1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9.5" customHeight="1">
      <c r="A175" s="3"/>
      <c r="B175" s="3"/>
      <c r="C175" s="19"/>
      <c r="D175" s="1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9.5" customHeight="1">
      <c r="A176" s="3"/>
      <c r="B176" s="3"/>
      <c r="C176" s="19"/>
      <c r="D176" s="1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9.5" customHeight="1">
      <c r="A177" s="3"/>
      <c r="B177" s="3"/>
      <c r="C177" s="19"/>
      <c r="D177" s="1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9.5" customHeight="1">
      <c r="A178" s="3"/>
      <c r="B178" s="3"/>
      <c r="C178" s="19"/>
      <c r="D178" s="1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9.5" customHeight="1">
      <c r="A179" s="3"/>
      <c r="B179" s="3"/>
      <c r="C179" s="19"/>
      <c r="D179" s="1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9.5" customHeight="1">
      <c r="A180" s="3"/>
      <c r="B180" s="3"/>
      <c r="C180" s="19"/>
      <c r="D180" s="1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9.5" customHeight="1">
      <c r="A181" s="3"/>
      <c r="B181" s="3"/>
      <c r="C181" s="19"/>
      <c r="D181" s="1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9.5" customHeight="1">
      <c r="A182" s="3"/>
      <c r="B182" s="3"/>
      <c r="C182" s="19"/>
      <c r="D182" s="1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9.5" customHeight="1">
      <c r="A183" s="3"/>
      <c r="B183" s="3"/>
      <c r="C183" s="19"/>
      <c r="D183" s="1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9.5" customHeight="1">
      <c r="A184" s="3"/>
      <c r="B184" s="3"/>
      <c r="C184" s="19"/>
      <c r="D184" s="1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9.5" customHeight="1">
      <c r="A185" s="3"/>
      <c r="B185" s="3"/>
      <c r="C185" s="19"/>
      <c r="D185" s="1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9.5" customHeight="1">
      <c r="A186" s="3"/>
      <c r="B186" s="3"/>
      <c r="C186" s="19"/>
      <c r="D186" s="1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9.5" customHeight="1">
      <c r="A187" s="3"/>
      <c r="B187" s="3"/>
      <c r="C187" s="19"/>
      <c r="D187" s="1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9.5" customHeight="1">
      <c r="A188" s="3"/>
      <c r="B188" s="3"/>
      <c r="C188" s="19"/>
      <c r="D188" s="1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9.5" customHeight="1">
      <c r="A189" s="3"/>
      <c r="B189" s="3"/>
      <c r="C189" s="19"/>
      <c r="D189" s="1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9.5" customHeight="1">
      <c r="A190" s="3"/>
      <c r="B190" s="3"/>
      <c r="C190" s="19"/>
      <c r="D190" s="1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9.5" customHeight="1">
      <c r="A191" s="3"/>
      <c r="B191" s="3"/>
      <c r="C191" s="19"/>
      <c r="D191" s="1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9.5" customHeight="1">
      <c r="A192" s="3"/>
      <c r="B192" s="3"/>
      <c r="C192" s="19"/>
      <c r="D192" s="1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9.5" customHeight="1">
      <c r="A193" s="3"/>
      <c r="B193" s="3"/>
      <c r="C193" s="19"/>
      <c r="D193" s="1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9.5" customHeight="1">
      <c r="A194" s="3"/>
      <c r="B194" s="3"/>
      <c r="C194" s="19"/>
      <c r="D194" s="1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9.5" customHeight="1">
      <c r="A195" s="3"/>
      <c r="B195" s="3"/>
      <c r="C195" s="19"/>
      <c r="D195" s="1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9.5" customHeight="1">
      <c r="A196" s="3"/>
      <c r="B196" s="3"/>
      <c r="C196" s="19"/>
      <c r="D196" s="1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9.5" customHeight="1">
      <c r="A197" s="3"/>
      <c r="B197" s="3"/>
      <c r="C197" s="19"/>
      <c r="D197" s="1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9.5" customHeight="1">
      <c r="A198" s="3"/>
      <c r="B198" s="3"/>
      <c r="C198" s="19"/>
      <c r="D198" s="1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9.5" customHeight="1">
      <c r="A199" s="3"/>
      <c r="B199" s="3"/>
      <c r="C199" s="19"/>
      <c r="D199" s="1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9.5" customHeight="1">
      <c r="A200" s="3"/>
      <c r="B200" s="3"/>
      <c r="C200" s="19"/>
      <c r="D200" s="1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9.5" customHeight="1">
      <c r="A201" s="3"/>
      <c r="B201" s="3"/>
      <c r="C201" s="19"/>
      <c r="D201" s="1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9.5" customHeight="1">
      <c r="A202" s="3"/>
      <c r="B202" s="3"/>
      <c r="C202" s="19"/>
      <c r="D202" s="1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9.5" customHeight="1">
      <c r="A203" s="3"/>
      <c r="B203" s="3"/>
      <c r="C203" s="19"/>
      <c r="D203" s="1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9.5" customHeight="1">
      <c r="A204" s="3"/>
      <c r="B204" s="3"/>
      <c r="C204" s="19"/>
      <c r="D204" s="1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9.5" customHeight="1">
      <c r="A205" s="3"/>
      <c r="B205" s="3"/>
      <c r="C205" s="19"/>
      <c r="D205" s="1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9.5" customHeight="1">
      <c r="A206" s="3"/>
      <c r="B206" s="3"/>
      <c r="C206" s="19"/>
      <c r="D206" s="1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9.5" customHeight="1">
      <c r="A207" s="3"/>
      <c r="B207" s="3"/>
      <c r="C207" s="19"/>
      <c r="D207" s="1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9.5" customHeight="1">
      <c r="A208" s="3"/>
      <c r="B208" s="3"/>
      <c r="C208" s="19"/>
      <c r="D208" s="1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9.5" customHeight="1">
      <c r="A209" s="3"/>
      <c r="B209" s="3"/>
      <c r="C209" s="19"/>
      <c r="D209" s="1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9.5" customHeight="1">
      <c r="A210" s="3"/>
      <c r="B210" s="3"/>
      <c r="C210" s="19"/>
      <c r="D210" s="1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9.5" customHeight="1">
      <c r="A211" s="3"/>
      <c r="B211" s="3"/>
      <c r="C211" s="19"/>
      <c r="D211" s="1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9.5" customHeight="1">
      <c r="A212" s="3"/>
      <c r="B212" s="3"/>
      <c r="C212" s="19"/>
      <c r="D212" s="1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9.5" customHeight="1">
      <c r="A213" s="3"/>
      <c r="B213" s="3"/>
      <c r="C213" s="19"/>
      <c r="D213" s="1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9.5" customHeight="1">
      <c r="A214" s="3"/>
      <c r="B214" s="3"/>
      <c r="C214" s="19"/>
      <c r="D214" s="1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9.5" customHeight="1">
      <c r="A215" s="3"/>
      <c r="B215" s="3"/>
      <c r="C215" s="19"/>
      <c r="D215" s="1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9.5" customHeight="1">
      <c r="A216" s="3"/>
      <c r="B216" s="3"/>
      <c r="C216" s="19"/>
      <c r="D216" s="1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9.5" customHeight="1">
      <c r="A217" s="3"/>
      <c r="B217" s="3"/>
      <c r="C217" s="19"/>
      <c r="D217" s="1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9.5" customHeight="1">
      <c r="A218" s="3"/>
      <c r="B218" s="3"/>
      <c r="C218" s="19"/>
      <c r="D218" s="1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9.5" customHeight="1">
      <c r="A219" s="3"/>
      <c r="B219" s="3"/>
      <c r="C219" s="19"/>
      <c r="D219" s="1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9.5" customHeight="1">
      <c r="A220" s="3"/>
      <c r="B220" s="3"/>
      <c r="C220" s="19"/>
      <c r="D220" s="1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9.5" customHeight="1">
      <c r="A221" s="3"/>
      <c r="B221" s="3"/>
      <c r="C221" s="19"/>
      <c r="D221" s="1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9.5" customHeight="1">
      <c r="A222" s="3"/>
      <c r="B222" s="3"/>
      <c r="C222" s="19"/>
      <c r="D222" s="1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9.5" customHeight="1">
      <c r="A223" s="3"/>
      <c r="B223" s="3"/>
      <c r="C223" s="19"/>
      <c r="D223" s="1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9.5" customHeight="1">
      <c r="A224" s="3"/>
      <c r="B224" s="3"/>
      <c r="C224" s="19"/>
      <c r="D224" s="1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9.5" customHeight="1">
      <c r="A225" s="3"/>
      <c r="B225" s="3"/>
      <c r="C225" s="19"/>
      <c r="D225" s="1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9.5" customHeight="1">
      <c r="A226" s="3"/>
      <c r="B226" s="3"/>
      <c r="C226" s="19"/>
      <c r="D226" s="1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9.5" customHeight="1">
      <c r="A227" s="3"/>
      <c r="B227" s="3"/>
      <c r="C227" s="19"/>
      <c r="D227" s="1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C228" s="66"/>
      <c r="D228" s="66"/>
    </row>
    <row r="229" ht="15.75" customHeight="1">
      <c r="C229" s="66"/>
      <c r="D229" s="66"/>
    </row>
    <row r="230" ht="15.75" customHeight="1">
      <c r="C230" s="66"/>
      <c r="D230" s="66"/>
    </row>
    <row r="231" ht="15.75" customHeight="1">
      <c r="C231" s="66"/>
      <c r="D231" s="66"/>
    </row>
    <row r="232" ht="15.75" customHeight="1">
      <c r="C232" s="66"/>
      <c r="D232" s="66"/>
    </row>
    <row r="233" ht="15.75" customHeight="1">
      <c r="C233" s="66"/>
      <c r="D233" s="66"/>
    </row>
    <row r="234" ht="15.75" customHeight="1">
      <c r="C234" s="66"/>
      <c r="D234" s="66"/>
    </row>
    <row r="235" ht="15.75" customHeight="1">
      <c r="C235" s="66"/>
      <c r="D235" s="66"/>
    </row>
    <row r="236" ht="15.75" customHeight="1">
      <c r="C236" s="66"/>
      <c r="D236" s="66"/>
    </row>
    <row r="237" ht="15.75" customHeight="1">
      <c r="C237" s="66"/>
      <c r="D237" s="66"/>
    </row>
    <row r="238" ht="15.75" customHeight="1">
      <c r="C238" s="66"/>
      <c r="D238" s="66"/>
    </row>
    <row r="239" ht="15.75" customHeight="1">
      <c r="C239" s="66"/>
      <c r="D239" s="66"/>
    </row>
    <row r="240" ht="15.75" customHeight="1">
      <c r="C240" s="66"/>
      <c r="D240" s="66"/>
    </row>
    <row r="241" ht="15.75" customHeight="1">
      <c r="C241" s="66"/>
      <c r="D241" s="66"/>
    </row>
    <row r="242" ht="15.75" customHeight="1">
      <c r="C242" s="66"/>
      <c r="D242" s="66"/>
    </row>
    <row r="243" ht="15.75" customHeight="1">
      <c r="C243" s="66"/>
      <c r="D243" s="66"/>
    </row>
    <row r="244" ht="15.75" customHeight="1">
      <c r="C244" s="66"/>
      <c r="D244" s="66"/>
    </row>
    <row r="245" ht="15.75" customHeight="1">
      <c r="C245" s="66"/>
      <c r="D245" s="66"/>
    </row>
    <row r="246" ht="15.75" customHeight="1">
      <c r="C246" s="66"/>
      <c r="D246" s="66"/>
    </row>
    <row r="247" ht="15.75" customHeight="1">
      <c r="C247" s="66"/>
      <c r="D247" s="66"/>
    </row>
    <row r="248" ht="15.75" customHeight="1">
      <c r="C248" s="66"/>
      <c r="D248" s="66"/>
    </row>
    <row r="249" ht="15.75" customHeight="1">
      <c r="C249" s="66"/>
      <c r="D249" s="66"/>
    </row>
    <row r="250" ht="15.75" customHeight="1">
      <c r="C250" s="66"/>
      <c r="D250" s="66"/>
    </row>
    <row r="251" ht="15.75" customHeight="1">
      <c r="C251" s="66"/>
      <c r="D251" s="66"/>
    </row>
    <row r="252" ht="15.75" customHeight="1">
      <c r="C252" s="66"/>
      <c r="D252" s="66"/>
    </row>
    <row r="253" ht="15.75" customHeight="1">
      <c r="C253" s="66"/>
      <c r="D253" s="66"/>
    </row>
    <row r="254" ht="15.75" customHeight="1">
      <c r="C254" s="66"/>
      <c r="D254" s="66"/>
    </row>
    <row r="255" ht="15.75" customHeight="1">
      <c r="C255" s="66"/>
      <c r="D255" s="66"/>
    </row>
    <row r="256" ht="15.75" customHeight="1">
      <c r="C256" s="66"/>
      <c r="D256" s="66"/>
    </row>
    <row r="257" ht="15.75" customHeight="1">
      <c r="C257" s="66"/>
      <c r="D257" s="66"/>
    </row>
    <row r="258" ht="15.75" customHeight="1">
      <c r="C258" s="66"/>
      <c r="D258" s="66"/>
    </row>
    <row r="259" ht="15.75" customHeight="1">
      <c r="C259" s="66"/>
      <c r="D259" s="66"/>
    </row>
    <row r="260" ht="15.75" customHeight="1">
      <c r="C260" s="66"/>
      <c r="D260" s="66"/>
    </row>
    <row r="261" ht="15.75" customHeight="1">
      <c r="C261" s="66"/>
      <c r="D261" s="66"/>
    </row>
    <row r="262" ht="15.75" customHeight="1">
      <c r="C262" s="66"/>
      <c r="D262" s="66"/>
    </row>
    <row r="263" ht="15.75" customHeight="1">
      <c r="C263" s="66"/>
      <c r="D263" s="66"/>
    </row>
    <row r="264" ht="15.75" customHeight="1">
      <c r="C264" s="66"/>
      <c r="D264" s="66"/>
    </row>
    <row r="265" ht="15.75" customHeight="1">
      <c r="C265" s="66"/>
      <c r="D265" s="66"/>
    </row>
    <row r="266" ht="15.75" customHeight="1">
      <c r="C266" s="66"/>
      <c r="D266" s="66"/>
    </row>
    <row r="267" ht="15.75" customHeight="1">
      <c r="C267" s="66"/>
      <c r="D267" s="66"/>
    </row>
    <row r="268" ht="15.75" customHeight="1">
      <c r="C268" s="66"/>
      <c r="D268" s="66"/>
    </row>
    <row r="269" ht="15.75" customHeight="1">
      <c r="C269" s="66"/>
      <c r="D269" s="66"/>
    </row>
    <row r="270" ht="15.75" customHeight="1">
      <c r="C270" s="66"/>
      <c r="D270" s="66"/>
    </row>
    <row r="271" ht="15.75" customHeight="1">
      <c r="C271" s="66"/>
      <c r="D271" s="66"/>
    </row>
    <row r="272" ht="15.75" customHeight="1">
      <c r="C272" s="66"/>
      <c r="D272" s="66"/>
    </row>
    <row r="273" ht="15.75" customHeight="1">
      <c r="C273" s="66"/>
      <c r="D273" s="66"/>
    </row>
    <row r="274" ht="15.75" customHeight="1">
      <c r="C274" s="66"/>
      <c r="D274" s="66"/>
    </row>
    <row r="275" ht="15.75" customHeight="1">
      <c r="C275" s="66"/>
      <c r="D275" s="66"/>
    </row>
    <row r="276" ht="15.75" customHeight="1">
      <c r="C276" s="66"/>
      <c r="D276" s="66"/>
    </row>
    <row r="277" ht="15.75" customHeight="1">
      <c r="C277" s="66"/>
      <c r="D277" s="66"/>
    </row>
    <row r="278" ht="15.75" customHeight="1">
      <c r="C278" s="66"/>
      <c r="D278" s="66"/>
    </row>
    <row r="279" ht="15.75" customHeight="1">
      <c r="C279" s="66"/>
      <c r="D279" s="66"/>
    </row>
    <row r="280" ht="15.75" customHeight="1">
      <c r="C280" s="66"/>
      <c r="D280" s="66"/>
    </row>
    <row r="281" ht="15.75" customHeight="1">
      <c r="C281" s="66"/>
      <c r="D281" s="66"/>
    </row>
    <row r="282" ht="15.75" customHeight="1">
      <c r="C282" s="66"/>
      <c r="D282" s="66"/>
    </row>
    <row r="283" ht="15.75" customHeight="1">
      <c r="C283" s="66"/>
      <c r="D283" s="66"/>
    </row>
    <row r="284" ht="15.75" customHeight="1">
      <c r="C284" s="66"/>
      <c r="D284" s="66"/>
    </row>
    <row r="285" ht="15.75" customHeight="1">
      <c r="C285" s="66"/>
      <c r="D285" s="66"/>
    </row>
    <row r="286" ht="15.75" customHeight="1">
      <c r="C286" s="66"/>
      <c r="D286" s="66"/>
    </row>
    <row r="287" ht="15.75" customHeight="1">
      <c r="C287" s="66"/>
      <c r="D287" s="66"/>
    </row>
    <row r="288" ht="15.75" customHeight="1">
      <c r="C288" s="66"/>
      <c r="D288" s="66"/>
    </row>
    <row r="289" ht="15.75" customHeight="1">
      <c r="C289" s="66"/>
      <c r="D289" s="66"/>
    </row>
    <row r="290" ht="15.75" customHeight="1">
      <c r="C290" s="66"/>
      <c r="D290" s="66"/>
    </row>
    <row r="291" ht="15.75" customHeight="1">
      <c r="C291" s="66"/>
      <c r="D291" s="66"/>
    </row>
    <row r="292" ht="15.75" customHeight="1">
      <c r="C292" s="66"/>
      <c r="D292" s="66"/>
    </row>
    <row r="293" ht="15.75" customHeight="1">
      <c r="C293" s="66"/>
      <c r="D293" s="66"/>
    </row>
    <row r="294" ht="15.75" customHeight="1">
      <c r="C294" s="66"/>
      <c r="D294" s="66"/>
    </row>
    <row r="295" ht="15.75" customHeight="1">
      <c r="C295" s="66"/>
      <c r="D295" s="66"/>
    </row>
    <row r="296" ht="15.75" customHeight="1">
      <c r="C296" s="66"/>
      <c r="D296" s="66"/>
    </row>
    <row r="297" ht="15.75" customHeight="1">
      <c r="C297" s="66"/>
      <c r="D297" s="66"/>
    </row>
    <row r="298" ht="15.75" customHeight="1">
      <c r="C298" s="66"/>
      <c r="D298" s="66"/>
    </row>
    <row r="299" ht="15.75" customHeight="1">
      <c r="C299" s="66"/>
      <c r="D299" s="66"/>
    </row>
    <row r="300" ht="15.75" customHeight="1">
      <c r="C300" s="66"/>
      <c r="D300" s="66"/>
    </row>
    <row r="301" ht="15.75" customHeight="1">
      <c r="C301" s="66"/>
      <c r="D301" s="66"/>
    </row>
    <row r="302" ht="15.75" customHeight="1">
      <c r="C302" s="66"/>
      <c r="D302" s="66"/>
    </row>
    <row r="303" ht="15.75" customHeight="1">
      <c r="C303" s="66"/>
      <c r="D303" s="66"/>
    </row>
    <row r="304" ht="15.75" customHeight="1">
      <c r="C304" s="66"/>
      <c r="D304" s="66"/>
    </row>
    <row r="305" ht="15.75" customHeight="1">
      <c r="C305" s="66"/>
      <c r="D305" s="66"/>
    </row>
    <row r="306" ht="15.75" customHeight="1">
      <c r="C306" s="66"/>
      <c r="D306" s="66"/>
    </row>
    <row r="307" ht="15.75" customHeight="1">
      <c r="C307" s="66"/>
      <c r="D307" s="66"/>
    </row>
    <row r="308" ht="15.75" customHeight="1">
      <c r="C308" s="66"/>
      <c r="D308" s="66"/>
    </row>
    <row r="309" ht="15.75" customHeight="1">
      <c r="C309" s="66"/>
      <c r="D309" s="66"/>
    </row>
    <row r="310" ht="15.75" customHeight="1">
      <c r="C310" s="66"/>
      <c r="D310" s="66"/>
    </row>
    <row r="311" ht="15.75" customHeight="1">
      <c r="C311" s="66"/>
      <c r="D311" s="66"/>
    </row>
    <row r="312" ht="15.75" customHeight="1">
      <c r="C312" s="66"/>
      <c r="D312" s="66"/>
    </row>
    <row r="313" ht="15.75" customHeight="1">
      <c r="C313" s="66"/>
      <c r="D313" s="66"/>
    </row>
    <row r="314" ht="15.75" customHeight="1">
      <c r="C314" s="66"/>
      <c r="D314" s="66"/>
    </row>
    <row r="315" ht="15.75" customHeight="1">
      <c r="C315" s="66"/>
      <c r="D315" s="66"/>
    </row>
    <row r="316" ht="15.75" customHeight="1">
      <c r="C316" s="66"/>
      <c r="D316" s="66"/>
    </row>
    <row r="317" ht="15.75" customHeight="1">
      <c r="C317" s="66"/>
      <c r="D317" s="66"/>
    </row>
    <row r="318" ht="15.75" customHeight="1">
      <c r="C318" s="66"/>
      <c r="D318" s="66"/>
    </row>
    <row r="319" ht="15.75" customHeight="1">
      <c r="C319" s="66"/>
      <c r="D319" s="66"/>
    </row>
    <row r="320" ht="15.75" customHeight="1">
      <c r="C320" s="66"/>
      <c r="D320" s="66"/>
    </row>
    <row r="321" ht="15.75" customHeight="1">
      <c r="C321" s="66"/>
      <c r="D321" s="66"/>
    </row>
    <row r="322" ht="15.75" customHeight="1">
      <c r="C322" s="66"/>
      <c r="D322" s="66"/>
    </row>
    <row r="323" ht="15.75" customHeight="1">
      <c r="C323" s="66"/>
      <c r="D323" s="66"/>
    </row>
    <row r="324" ht="15.75" customHeight="1">
      <c r="C324" s="66"/>
      <c r="D324" s="66"/>
    </row>
    <row r="325" ht="15.75" customHeight="1">
      <c r="C325" s="66"/>
      <c r="D325" s="66"/>
    </row>
    <row r="326" ht="15.75" customHeight="1">
      <c r="C326" s="66"/>
      <c r="D326" s="66"/>
    </row>
    <row r="327" ht="15.75" customHeight="1">
      <c r="C327" s="66"/>
      <c r="D327" s="66"/>
    </row>
    <row r="328" ht="15.75" customHeight="1">
      <c r="C328" s="66"/>
      <c r="D328" s="66"/>
    </row>
    <row r="329" ht="15.75" customHeight="1">
      <c r="C329" s="66"/>
      <c r="D329" s="66"/>
    </row>
    <row r="330" ht="15.75" customHeight="1">
      <c r="C330" s="66"/>
      <c r="D330" s="66"/>
    </row>
    <row r="331" ht="15.75" customHeight="1">
      <c r="C331" s="66"/>
      <c r="D331" s="66"/>
    </row>
    <row r="332" ht="15.75" customHeight="1">
      <c r="C332" s="66"/>
      <c r="D332" s="66"/>
    </row>
    <row r="333" ht="15.75" customHeight="1">
      <c r="C333" s="66"/>
      <c r="D333" s="66"/>
    </row>
    <row r="334" ht="15.75" customHeight="1">
      <c r="C334" s="66"/>
      <c r="D334" s="66"/>
    </row>
    <row r="335" ht="15.75" customHeight="1">
      <c r="C335" s="66"/>
      <c r="D335" s="66"/>
    </row>
    <row r="336" ht="15.75" customHeight="1">
      <c r="C336" s="66"/>
      <c r="D336" s="66"/>
    </row>
    <row r="337" ht="15.75" customHeight="1">
      <c r="C337" s="66"/>
      <c r="D337" s="66"/>
    </row>
    <row r="338" ht="15.75" customHeight="1">
      <c r="C338" s="66"/>
      <c r="D338" s="66"/>
    </row>
    <row r="339" ht="15.75" customHeight="1">
      <c r="C339" s="66"/>
      <c r="D339" s="66"/>
    </row>
    <row r="340" ht="15.75" customHeight="1">
      <c r="C340" s="66"/>
      <c r="D340" s="66"/>
    </row>
    <row r="341" ht="15.75" customHeight="1">
      <c r="C341" s="66"/>
      <c r="D341" s="66"/>
    </row>
    <row r="342" ht="15.75" customHeight="1">
      <c r="C342" s="66"/>
      <c r="D342" s="66"/>
    </row>
    <row r="343" ht="15.75" customHeight="1">
      <c r="C343" s="66"/>
      <c r="D343" s="66"/>
    </row>
    <row r="344" ht="15.75" customHeight="1">
      <c r="C344" s="66"/>
      <c r="D344" s="66"/>
    </row>
    <row r="345" ht="15.75" customHeight="1">
      <c r="C345" s="66"/>
      <c r="D345" s="66"/>
    </row>
    <row r="346" ht="15.75" customHeight="1">
      <c r="C346" s="66"/>
      <c r="D346" s="66"/>
    </row>
    <row r="347" ht="15.75" customHeight="1">
      <c r="C347" s="66"/>
      <c r="D347" s="66"/>
    </row>
    <row r="348" ht="15.75" customHeight="1">
      <c r="C348" s="66"/>
      <c r="D348" s="66"/>
    </row>
    <row r="349" ht="15.75" customHeight="1">
      <c r="C349" s="66"/>
      <c r="D349" s="66"/>
    </row>
    <row r="350" ht="15.75" customHeight="1">
      <c r="C350" s="66"/>
      <c r="D350" s="66"/>
    </row>
    <row r="351" ht="15.75" customHeight="1">
      <c r="C351" s="66"/>
      <c r="D351" s="66"/>
    </row>
    <row r="352" ht="15.75" customHeight="1">
      <c r="C352" s="66"/>
      <c r="D352" s="66"/>
    </row>
    <row r="353" ht="15.75" customHeight="1">
      <c r="C353" s="66"/>
      <c r="D353" s="66"/>
    </row>
    <row r="354" ht="15.75" customHeight="1">
      <c r="C354" s="66"/>
      <c r="D354" s="66"/>
    </row>
    <row r="355" ht="15.75" customHeight="1">
      <c r="C355" s="66"/>
      <c r="D355" s="66"/>
    </row>
    <row r="356" ht="15.75" customHeight="1">
      <c r="C356" s="66"/>
      <c r="D356" s="66"/>
    </row>
    <row r="357" ht="15.75" customHeight="1">
      <c r="C357" s="66"/>
      <c r="D357" s="66"/>
    </row>
    <row r="358" ht="15.75" customHeight="1">
      <c r="C358" s="66"/>
      <c r="D358" s="66"/>
    </row>
    <row r="359" ht="15.75" customHeight="1">
      <c r="C359" s="66"/>
      <c r="D359" s="66"/>
    </row>
    <row r="360" ht="15.75" customHeight="1">
      <c r="C360" s="66"/>
      <c r="D360" s="66"/>
    </row>
    <row r="361" ht="15.75" customHeight="1">
      <c r="C361" s="66"/>
      <c r="D361" s="66"/>
    </row>
    <row r="362" ht="15.75" customHeight="1">
      <c r="C362" s="66"/>
      <c r="D362" s="66"/>
    </row>
    <row r="363" ht="15.75" customHeight="1">
      <c r="C363" s="66"/>
      <c r="D363" s="66"/>
    </row>
    <row r="364" ht="15.75" customHeight="1">
      <c r="C364" s="66"/>
      <c r="D364" s="66"/>
    </row>
    <row r="365" ht="15.75" customHeight="1">
      <c r="C365" s="66"/>
      <c r="D365" s="66"/>
    </row>
    <row r="366" ht="15.75" customHeight="1">
      <c r="C366" s="66"/>
      <c r="D366" s="66"/>
    </row>
    <row r="367" ht="15.75" customHeight="1">
      <c r="C367" s="66"/>
      <c r="D367" s="66"/>
    </row>
    <row r="368" ht="15.75" customHeight="1">
      <c r="C368" s="66"/>
      <c r="D368" s="66"/>
    </row>
    <row r="369" ht="15.75" customHeight="1">
      <c r="C369" s="66"/>
      <c r="D369" s="66"/>
    </row>
    <row r="370" ht="15.75" customHeight="1">
      <c r="C370" s="66"/>
      <c r="D370" s="66"/>
    </row>
    <row r="371" ht="15.75" customHeight="1">
      <c r="C371" s="66"/>
      <c r="D371" s="66"/>
    </row>
    <row r="372" ht="15.75" customHeight="1">
      <c r="C372" s="66"/>
      <c r="D372" s="66"/>
    </row>
    <row r="373" ht="15.75" customHeight="1">
      <c r="C373" s="66"/>
      <c r="D373" s="66"/>
    </row>
    <row r="374" ht="15.75" customHeight="1">
      <c r="C374" s="66"/>
      <c r="D374" s="66"/>
    </row>
    <row r="375" ht="15.75" customHeight="1">
      <c r="C375" s="66"/>
      <c r="D375" s="66"/>
    </row>
    <row r="376" ht="15.75" customHeight="1">
      <c r="C376" s="66"/>
      <c r="D376" s="66"/>
    </row>
    <row r="377" ht="15.75" customHeight="1">
      <c r="C377" s="66"/>
      <c r="D377" s="66"/>
    </row>
    <row r="378" ht="15.75" customHeight="1">
      <c r="C378" s="66"/>
      <c r="D378" s="66"/>
    </row>
    <row r="379" ht="15.75" customHeight="1">
      <c r="C379" s="66"/>
      <c r="D379" s="66"/>
    </row>
    <row r="380" ht="15.75" customHeight="1">
      <c r="C380" s="66"/>
      <c r="D380" s="66"/>
    </row>
    <row r="381" ht="15.75" customHeight="1">
      <c r="C381" s="66"/>
      <c r="D381" s="66"/>
    </row>
    <row r="382" ht="15.75" customHeight="1">
      <c r="C382" s="66"/>
      <c r="D382" s="66"/>
    </row>
    <row r="383" ht="15.75" customHeight="1">
      <c r="C383" s="66"/>
      <c r="D383" s="66"/>
    </row>
    <row r="384" ht="15.75" customHeight="1">
      <c r="C384" s="66"/>
      <c r="D384" s="66"/>
    </row>
    <row r="385" ht="15.75" customHeight="1">
      <c r="C385" s="66"/>
      <c r="D385" s="66"/>
    </row>
    <row r="386" ht="15.75" customHeight="1">
      <c r="C386" s="66"/>
      <c r="D386" s="66"/>
    </row>
    <row r="387" ht="15.75" customHeight="1">
      <c r="C387" s="66"/>
      <c r="D387" s="66"/>
    </row>
    <row r="388" ht="15.75" customHeight="1">
      <c r="C388" s="66"/>
      <c r="D388" s="66"/>
    </row>
    <row r="389" ht="15.75" customHeight="1">
      <c r="C389" s="66"/>
      <c r="D389" s="66"/>
    </row>
    <row r="390" ht="15.75" customHeight="1">
      <c r="C390" s="66"/>
      <c r="D390" s="66"/>
    </row>
    <row r="391" ht="15.75" customHeight="1">
      <c r="C391" s="66"/>
      <c r="D391" s="66"/>
    </row>
    <row r="392" ht="15.75" customHeight="1">
      <c r="C392" s="66"/>
      <c r="D392" s="66"/>
    </row>
    <row r="393" ht="15.75" customHeight="1">
      <c r="C393" s="66"/>
      <c r="D393" s="66"/>
    </row>
    <row r="394" ht="15.75" customHeight="1">
      <c r="C394" s="66"/>
      <c r="D394" s="66"/>
    </row>
    <row r="395" ht="15.75" customHeight="1">
      <c r="C395" s="66"/>
      <c r="D395" s="66"/>
    </row>
    <row r="396" ht="15.75" customHeight="1">
      <c r="C396" s="66"/>
      <c r="D396" s="66"/>
    </row>
    <row r="397" ht="15.75" customHeight="1">
      <c r="C397" s="66"/>
      <c r="D397" s="66"/>
    </row>
    <row r="398" ht="15.75" customHeight="1">
      <c r="C398" s="66"/>
      <c r="D398" s="66"/>
    </row>
    <row r="399" ht="15.75" customHeight="1">
      <c r="C399" s="66"/>
      <c r="D399" s="66"/>
    </row>
    <row r="400" ht="15.75" customHeight="1">
      <c r="C400" s="66"/>
      <c r="D400" s="66"/>
    </row>
    <row r="401" ht="15.75" customHeight="1">
      <c r="C401" s="66"/>
      <c r="D401" s="66"/>
    </row>
    <row r="402" ht="15.75" customHeight="1">
      <c r="C402" s="66"/>
      <c r="D402" s="66"/>
    </row>
    <row r="403" ht="15.75" customHeight="1">
      <c r="C403" s="66"/>
      <c r="D403" s="66"/>
    </row>
    <row r="404" ht="15.75" customHeight="1">
      <c r="C404" s="66"/>
      <c r="D404" s="66"/>
    </row>
    <row r="405" ht="15.75" customHeight="1">
      <c r="C405" s="66"/>
      <c r="D405" s="66"/>
    </row>
    <row r="406" ht="15.75" customHeight="1">
      <c r="C406" s="66"/>
      <c r="D406" s="66"/>
    </row>
    <row r="407" ht="15.75" customHeight="1">
      <c r="C407" s="66"/>
      <c r="D407" s="66"/>
    </row>
    <row r="408" ht="15.75" customHeight="1">
      <c r="C408" s="66"/>
      <c r="D408" s="66"/>
    </row>
    <row r="409" ht="15.75" customHeight="1">
      <c r="C409" s="66"/>
      <c r="D409" s="66"/>
    </row>
    <row r="410" ht="15.75" customHeight="1">
      <c r="C410" s="66"/>
      <c r="D410" s="66"/>
    </row>
    <row r="411" ht="15.75" customHeight="1">
      <c r="C411" s="66"/>
      <c r="D411" s="66"/>
    </row>
    <row r="412" ht="15.75" customHeight="1">
      <c r="C412" s="66"/>
      <c r="D412" s="66"/>
    </row>
    <row r="413" ht="15.75" customHeight="1">
      <c r="C413" s="66"/>
      <c r="D413" s="66"/>
    </row>
    <row r="414" ht="15.75" customHeight="1">
      <c r="C414" s="66"/>
      <c r="D414" s="66"/>
    </row>
    <row r="415" ht="15.75" customHeight="1">
      <c r="C415" s="66"/>
      <c r="D415" s="66"/>
    </row>
    <row r="416" ht="15.75" customHeight="1">
      <c r="C416" s="66"/>
      <c r="D416" s="66"/>
    </row>
    <row r="417" ht="15.75" customHeight="1">
      <c r="C417" s="66"/>
      <c r="D417" s="66"/>
    </row>
    <row r="418" ht="15.75" customHeight="1">
      <c r="C418" s="66"/>
      <c r="D418" s="66"/>
    </row>
    <row r="419" ht="15.75" customHeight="1">
      <c r="C419" s="66"/>
      <c r="D419" s="66"/>
    </row>
    <row r="420" ht="15.75" customHeight="1">
      <c r="C420" s="66"/>
      <c r="D420" s="66"/>
    </row>
    <row r="421" ht="15.75" customHeight="1">
      <c r="C421" s="66"/>
      <c r="D421" s="66"/>
    </row>
    <row r="422" ht="15.75" customHeight="1">
      <c r="C422" s="66"/>
      <c r="D422" s="66"/>
    </row>
    <row r="423" ht="15.75" customHeight="1">
      <c r="C423" s="66"/>
      <c r="D423" s="66"/>
    </row>
    <row r="424" ht="15.75" customHeight="1">
      <c r="C424" s="66"/>
      <c r="D424" s="66"/>
    </row>
    <row r="425" ht="15.75" customHeight="1">
      <c r="C425" s="66"/>
      <c r="D425" s="66"/>
    </row>
    <row r="426" ht="15.75" customHeight="1">
      <c r="C426" s="66"/>
      <c r="D426" s="66"/>
    </row>
    <row r="427" ht="15.75" customHeight="1">
      <c r="C427" s="66"/>
      <c r="D427" s="66"/>
    </row>
    <row r="428" ht="15.75" customHeight="1">
      <c r="C428" s="66"/>
      <c r="D428" s="66"/>
    </row>
    <row r="429" ht="15.75" customHeight="1">
      <c r="C429" s="66"/>
      <c r="D429" s="66"/>
    </row>
    <row r="430" ht="15.75" customHeight="1">
      <c r="C430" s="66"/>
      <c r="D430" s="66"/>
    </row>
    <row r="431" ht="15.75" customHeight="1">
      <c r="C431" s="66"/>
      <c r="D431" s="66"/>
    </row>
    <row r="432" ht="15.75" customHeight="1">
      <c r="C432" s="66"/>
      <c r="D432" s="66"/>
    </row>
    <row r="433" ht="15.75" customHeight="1">
      <c r="C433" s="66"/>
      <c r="D433" s="66"/>
    </row>
    <row r="434" ht="15.75" customHeight="1">
      <c r="C434" s="66"/>
      <c r="D434" s="66"/>
    </row>
    <row r="435" ht="15.75" customHeight="1">
      <c r="C435" s="66"/>
      <c r="D435" s="66"/>
    </row>
    <row r="436" ht="15.75" customHeight="1">
      <c r="C436" s="66"/>
      <c r="D436" s="66"/>
    </row>
    <row r="437" ht="15.75" customHeight="1">
      <c r="C437" s="66"/>
      <c r="D437" s="66"/>
    </row>
    <row r="438" ht="15.75" customHeight="1">
      <c r="C438" s="66"/>
      <c r="D438" s="66"/>
    </row>
    <row r="439" ht="15.75" customHeight="1">
      <c r="C439" s="66"/>
      <c r="D439" s="66"/>
    </row>
    <row r="440" ht="15.75" customHeight="1">
      <c r="C440" s="66"/>
      <c r="D440" s="66"/>
    </row>
    <row r="441" ht="15.75" customHeight="1">
      <c r="C441" s="66"/>
      <c r="D441" s="66"/>
    </row>
    <row r="442" ht="15.75" customHeight="1">
      <c r="C442" s="66"/>
      <c r="D442" s="66"/>
    </row>
    <row r="443" ht="15.75" customHeight="1">
      <c r="C443" s="66"/>
      <c r="D443" s="66"/>
    </row>
    <row r="444" ht="15.75" customHeight="1">
      <c r="C444" s="66"/>
      <c r="D444" s="66"/>
    </row>
    <row r="445" ht="15.75" customHeight="1">
      <c r="C445" s="66"/>
      <c r="D445" s="66"/>
    </row>
    <row r="446" ht="15.75" customHeight="1">
      <c r="C446" s="66"/>
      <c r="D446" s="66"/>
    </row>
    <row r="447" ht="15.75" customHeight="1">
      <c r="C447" s="66"/>
      <c r="D447" s="66"/>
    </row>
    <row r="448" ht="15.75" customHeight="1">
      <c r="C448" s="66"/>
      <c r="D448" s="66"/>
    </row>
    <row r="449" ht="15.75" customHeight="1">
      <c r="C449" s="66"/>
      <c r="D449" s="66"/>
    </row>
    <row r="450" ht="15.75" customHeight="1">
      <c r="C450" s="66"/>
      <c r="D450" s="66"/>
    </row>
    <row r="451" ht="15.75" customHeight="1">
      <c r="C451" s="66"/>
      <c r="D451" s="66"/>
    </row>
    <row r="452" ht="15.75" customHeight="1">
      <c r="C452" s="66"/>
      <c r="D452" s="66"/>
    </row>
    <row r="453" ht="15.75" customHeight="1">
      <c r="C453" s="66"/>
      <c r="D453" s="66"/>
    </row>
    <row r="454" ht="15.75" customHeight="1">
      <c r="C454" s="66"/>
      <c r="D454" s="66"/>
    </row>
    <row r="455" ht="15.75" customHeight="1">
      <c r="C455" s="66"/>
      <c r="D455" s="66"/>
    </row>
    <row r="456" ht="15.75" customHeight="1">
      <c r="C456" s="66"/>
      <c r="D456" s="66"/>
    </row>
    <row r="457" ht="15.75" customHeight="1">
      <c r="C457" s="66"/>
      <c r="D457" s="66"/>
    </row>
    <row r="458" ht="15.75" customHeight="1">
      <c r="C458" s="66"/>
      <c r="D458" s="66"/>
    </row>
    <row r="459" ht="15.75" customHeight="1">
      <c r="C459" s="66"/>
      <c r="D459" s="66"/>
    </row>
    <row r="460" ht="15.75" customHeight="1">
      <c r="C460" s="66"/>
      <c r="D460" s="66"/>
    </row>
    <row r="461" ht="15.75" customHeight="1">
      <c r="C461" s="66"/>
      <c r="D461" s="66"/>
    </row>
    <row r="462" ht="15.75" customHeight="1">
      <c r="C462" s="66"/>
      <c r="D462" s="66"/>
    </row>
    <row r="463" ht="15.75" customHeight="1">
      <c r="C463" s="66"/>
      <c r="D463" s="66"/>
    </row>
    <row r="464" ht="15.75" customHeight="1">
      <c r="C464" s="66"/>
      <c r="D464" s="66"/>
    </row>
    <row r="465" ht="15.75" customHeight="1">
      <c r="C465" s="66"/>
      <c r="D465" s="66"/>
    </row>
    <row r="466" ht="15.75" customHeight="1">
      <c r="C466" s="66"/>
      <c r="D466" s="66"/>
    </row>
    <row r="467" ht="15.75" customHeight="1">
      <c r="C467" s="66"/>
      <c r="D467" s="66"/>
    </row>
    <row r="468" ht="15.75" customHeight="1">
      <c r="C468" s="66"/>
      <c r="D468" s="66"/>
    </row>
    <row r="469" ht="15.75" customHeight="1">
      <c r="C469" s="66"/>
      <c r="D469" s="66"/>
    </row>
    <row r="470" ht="15.75" customHeight="1">
      <c r="C470" s="66"/>
      <c r="D470" s="66"/>
    </row>
    <row r="471" ht="15.75" customHeight="1">
      <c r="C471" s="66"/>
      <c r="D471" s="66"/>
    </row>
    <row r="472" ht="15.75" customHeight="1">
      <c r="C472" s="66"/>
      <c r="D472" s="66"/>
    </row>
    <row r="473" ht="15.75" customHeight="1">
      <c r="C473" s="66"/>
      <c r="D473" s="66"/>
    </row>
    <row r="474" ht="15.75" customHeight="1">
      <c r="C474" s="66"/>
      <c r="D474" s="66"/>
    </row>
    <row r="475" ht="15.75" customHeight="1">
      <c r="C475" s="66"/>
      <c r="D475" s="66"/>
    </row>
    <row r="476" ht="15.75" customHeight="1">
      <c r="C476" s="66"/>
      <c r="D476" s="66"/>
    </row>
    <row r="477" ht="15.75" customHeight="1">
      <c r="C477" s="66"/>
      <c r="D477" s="66"/>
    </row>
    <row r="478" ht="15.75" customHeight="1">
      <c r="C478" s="66"/>
      <c r="D478" s="66"/>
    </row>
    <row r="479" ht="15.75" customHeight="1">
      <c r="C479" s="66"/>
      <c r="D479" s="66"/>
    </row>
    <row r="480" ht="15.75" customHeight="1">
      <c r="C480" s="66"/>
      <c r="D480" s="66"/>
    </row>
    <row r="481" ht="15.75" customHeight="1">
      <c r="C481" s="66"/>
      <c r="D481" s="66"/>
    </row>
    <row r="482" ht="15.75" customHeight="1">
      <c r="C482" s="66"/>
      <c r="D482" s="66"/>
    </row>
    <row r="483" ht="15.75" customHeight="1">
      <c r="C483" s="66"/>
      <c r="D483" s="66"/>
    </row>
    <row r="484" ht="15.75" customHeight="1">
      <c r="C484" s="66"/>
      <c r="D484" s="66"/>
    </row>
    <row r="485" ht="15.75" customHeight="1">
      <c r="C485" s="66"/>
      <c r="D485" s="66"/>
    </row>
    <row r="486" ht="15.75" customHeight="1">
      <c r="C486" s="66"/>
      <c r="D486" s="66"/>
    </row>
    <row r="487" ht="15.75" customHeight="1">
      <c r="C487" s="66"/>
      <c r="D487" s="66"/>
    </row>
    <row r="488" ht="15.75" customHeight="1">
      <c r="C488" s="66"/>
      <c r="D488" s="66"/>
    </row>
    <row r="489" ht="15.75" customHeight="1">
      <c r="C489" s="66"/>
      <c r="D489" s="66"/>
    </row>
    <row r="490" ht="15.75" customHeight="1">
      <c r="C490" s="66"/>
      <c r="D490" s="66"/>
    </row>
    <row r="491" ht="15.75" customHeight="1">
      <c r="C491" s="66"/>
      <c r="D491" s="66"/>
    </row>
    <row r="492" ht="15.75" customHeight="1">
      <c r="C492" s="66"/>
      <c r="D492" s="66"/>
    </row>
    <row r="493" ht="15.75" customHeight="1">
      <c r="C493" s="66"/>
      <c r="D493" s="66"/>
    </row>
    <row r="494" ht="15.75" customHeight="1">
      <c r="C494" s="66"/>
      <c r="D494" s="66"/>
    </row>
    <row r="495" ht="15.75" customHeight="1">
      <c r="C495" s="66"/>
      <c r="D495" s="66"/>
    </row>
    <row r="496" ht="15.75" customHeight="1">
      <c r="C496" s="66"/>
      <c r="D496" s="66"/>
    </row>
    <row r="497" ht="15.75" customHeight="1">
      <c r="C497" s="66"/>
      <c r="D497" s="66"/>
    </row>
    <row r="498" ht="15.75" customHeight="1">
      <c r="C498" s="66"/>
      <c r="D498" s="66"/>
    </row>
    <row r="499" ht="15.75" customHeight="1">
      <c r="C499" s="66"/>
      <c r="D499" s="66"/>
    </row>
    <row r="500" ht="15.75" customHeight="1">
      <c r="C500" s="66"/>
      <c r="D500" s="66"/>
    </row>
    <row r="501" ht="15.75" customHeight="1">
      <c r="C501" s="66"/>
      <c r="D501" s="66"/>
    </row>
    <row r="502" ht="15.75" customHeight="1">
      <c r="C502" s="66"/>
      <c r="D502" s="66"/>
    </row>
    <row r="503" ht="15.75" customHeight="1">
      <c r="C503" s="66"/>
      <c r="D503" s="66"/>
    </row>
    <row r="504" ht="15.75" customHeight="1">
      <c r="C504" s="66"/>
      <c r="D504" s="66"/>
    </row>
    <row r="505" ht="15.75" customHeight="1">
      <c r="C505" s="66"/>
      <c r="D505" s="66"/>
    </row>
    <row r="506" ht="15.75" customHeight="1">
      <c r="C506" s="66"/>
      <c r="D506" s="66"/>
    </row>
    <row r="507" ht="15.75" customHeight="1">
      <c r="C507" s="66"/>
      <c r="D507" s="66"/>
    </row>
    <row r="508" ht="15.75" customHeight="1">
      <c r="C508" s="66"/>
      <c r="D508" s="66"/>
    </row>
    <row r="509" ht="15.75" customHeight="1">
      <c r="C509" s="66"/>
      <c r="D509" s="66"/>
    </row>
    <row r="510" ht="15.75" customHeight="1">
      <c r="C510" s="66"/>
      <c r="D510" s="66"/>
    </row>
    <row r="511" ht="15.75" customHeight="1">
      <c r="C511" s="66"/>
      <c r="D511" s="66"/>
    </row>
    <row r="512" ht="15.75" customHeight="1">
      <c r="C512" s="66"/>
      <c r="D512" s="66"/>
    </row>
    <row r="513" ht="15.75" customHeight="1">
      <c r="C513" s="66"/>
      <c r="D513" s="66"/>
    </row>
    <row r="514" ht="15.75" customHeight="1">
      <c r="C514" s="66"/>
      <c r="D514" s="66"/>
    </row>
    <row r="515" ht="15.75" customHeight="1">
      <c r="C515" s="66"/>
      <c r="D515" s="66"/>
    </row>
    <row r="516" ht="15.75" customHeight="1">
      <c r="C516" s="66"/>
      <c r="D516" s="66"/>
    </row>
    <row r="517" ht="15.75" customHeight="1">
      <c r="C517" s="66"/>
      <c r="D517" s="66"/>
    </row>
    <row r="518" ht="15.75" customHeight="1">
      <c r="C518" s="66"/>
      <c r="D518" s="66"/>
    </row>
    <row r="519" ht="15.75" customHeight="1">
      <c r="C519" s="66"/>
      <c r="D519" s="66"/>
    </row>
    <row r="520" ht="15.75" customHeight="1">
      <c r="C520" s="66"/>
      <c r="D520" s="66"/>
    </row>
    <row r="521" ht="15.75" customHeight="1">
      <c r="C521" s="66"/>
      <c r="D521" s="66"/>
    </row>
    <row r="522" ht="15.75" customHeight="1">
      <c r="C522" s="66"/>
      <c r="D522" s="66"/>
    </row>
    <row r="523" ht="15.75" customHeight="1">
      <c r="C523" s="66"/>
      <c r="D523" s="66"/>
    </row>
    <row r="524" ht="15.75" customHeight="1">
      <c r="C524" s="66"/>
      <c r="D524" s="66"/>
    </row>
    <row r="525" ht="15.75" customHeight="1">
      <c r="C525" s="66"/>
      <c r="D525" s="66"/>
    </row>
    <row r="526" ht="15.75" customHeight="1">
      <c r="C526" s="66"/>
      <c r="D526" s="66"/>
    </row>
    <row r="527" ht="15.75" customHeight="1">
      <c r="C527" s="66"/>
      <c r="D527" s="66"/>
    </row>
    <row r="528" ht="15.75" customHeight="1">
      <c r="C528" s="66"/>
      <c r="D528" s="66"/>
    </row>
    <row r="529" ht="15.75" customHeight="1">
      <c r="C529" s="66"/>
      <c r="D529" s="66"/>
    </row>
    <row r="530" ht="15.75" customHeight="1">
      <c r="C530" s="66"/>
      <c r="D530" s="66"/>
    </row>
    <row r="531" ht="15.75" customHeight="1">
      <c r="C531" s="66"/>
      <c r="D531" s="66"/>
    </row>
    <row r="532" ht="15.75" customHeight="1">
      <c r="C532" s="66"/>
      <c r="D532" s="66"/>
    </row>
    <row r="533" ht="15.75" customHeight="1">
      <c r="C533" s="66"/>
      <c r="D533" s="66"/>
    </row>
    <row r="534" ht="15.75" customHeight="1">
      <c r="C534" s="66"/>
      <c r="D534" s="66"/>
    </row>
    <row r="535" ht="15.75" customHeight="1">
      <c r="C535" s="66"/>
      <c r="D535" s="66"/>
    </row>
    <row r="536" ht="15.75" customHeight="1">
      <c r="C536" s="66"/>
      <c r="D536" s="66"/>
    </row>
    <row r="537" ht="15.75" customHeight="1">
      <c r="C537" s="66"/>
      <c r="D537" s="66"/>
    </row>
    <row r="538" ht="15.75" customHeight="1">
      <c r="C538" s="66"/>
      <c r="D538" s="66"/>
    </row>
    <row r="539" ht="15.75" customHeight="1">
      <c r="C539" s="66"/>
      <c r="D539" s="66"/>
    </row>
    <row r="540" ht="15.75" customHeight="1">
      <c r="C540" s="66"/>
      <c r="D540" s="66"/>
    </row>
    <row r="541" ht="15.75" customHeight="1">
      <c r="C541" s="66"/>
      <c r="D541" s="66"/>
    </row>
    <row r="542" ht="15.75" customHeight="1">
      <c r="C542" s="66"/>
      <c r="D542" s="66"/>
    </row>
    <row r="543" ht="15.75" customHeight="1">
      <c r="C543" s="66"/>
      <c r="D543" s="66"/>
    </row>
    <row r="544" ht="15.75" customHeight="1">
      <c r="C544" s="66"/>
      <c r="D544" s="66"/>
    </row>
    <row r="545" ht="15.75" customHeight="1">
      <c r="C545" s="66"/>
      <c r="D545" s="66"/>
    </row>
    <row r="546" ht="15.75" customHeight="1">
      <c r="C546" s="66"/>
      <c r="D546" s="66"/>
    </row>
    <row r="547" ht="15.75" customHeight="1">
      <c r="C547" s="66"/>
      <c r="D547" s="66"/>
    </row>
    <row r="548" ht="15.75" customHeight="1">
      <c r="C548" s="66"/>
      <c r="D548" s="66"/>
    </row>
    <row r="549" ht="15.75" customHeight="1">
      <c r="C549" s="66"/>
      <c r="D549" s="66"/>
    </row>
    <row r="550" ht="15.75" customHeight="1">
      <c r="C550" s="66"/>
      <c r="D550" s="66"/>
    </row>
    <row r="551" ht="15.75" customHeight="1">
      <c r="C551" s="66"/>
      <c r="D551" s="66"/>
    </row>
    <row r="552" ht="15.75" customHeight="1">
      <c r="C552" s="66"/>
      <c r="D552" s="66"/>
    </row>
    <row r="553" ht="15.75" customHeight="1">
      <c r="C553" s="66"/>
      <c r="D553" s="66"/>
    </row>
    <row r="554" ht="15.75" customHeight="1">
      <c r="C554" s="66"/>
      <c r="D554" s="66"/>
    </row>
    <row r="555" ht="15.75" customHeight="1">
      <c r="C555" s="66"/>
      <c r="D555" s="66"/>
    </row>
    <row r="556" ht="15.75" customHeight="1">
      <c r="C556" s="66"/>
      <c r="D556" s="66"/>
    </row>
    <row r="557" ht="15.75" customHeight="1">
      <c r="C557" s="66"/>
      <c r="D557" s="66"/>
    </row>
    <row r="558" ht="15.75" customHeight="1">
      <c r="C558" s="66"/>
      <c r="D558" s="66"/>
    </row>
    <row r="559" ht="15.75" customHeight="1">
      <c r="C559" s="66"/>
      <c r="D559" s="66"/>
    </row>
    <row r="560" ht="15.75" customHeight="1">
      <c r="C560" s="66"/>
      <c r="D560" s="66"/>
    </row>
    <row r="561" ht="15.75" customHeight="1">
      <c r="C561" s="66"/>
      <c r="D561" s="66"/>
    </row>
    <row r="562" ht="15.75" customHeight="1">
      <c r="C562" s="66"/>
      <c r="D562" s="66"/>
    </row>
    <row r="563" ht="15.75" customHeight="1">
      <c r="C563" s="66"/>
      <c r="D563" s="66"/>
    </row>
    <row r="564" ht="15.75" customHeight="1">
      <c r="C564" s="66"/>
      <c r="D564" s="66"/>
    </row>
    <row r="565" ht="15.75" customHeight="1">
      <c r="C565" s="66"/>
      <c r="D565" s="66"/>
    </row>
    <row r="566" ht="15.75" customHeight="1">
      <c r="C566" s="66"/>
      <c r="D566" s="66"/>
    </row>
    <row r="567" ht="15.75" customHeight="1">
      <c r="C567" s="66"/>
      <c r="D567" s="66"/>
    </row>
    <row r="568" ht="15.75" customHeight="1">
      <c r="C568" s="66"/>
      <c r="D568" s="66"/>
    </row>
    <row r="569" ht="15.75" customHeight="1">
      <c r="C569" s="66"/>
      <c r="D569" s="66"/>
    </row>
    <row r="570" ht="15.75" customHeight="1">
      <c r="C570" s="66"/>
      <c r="D570" s="66"/>
    </row>
    <row r="571" ht="15.75" customHeight="1">
      <c r="C571" s="66"/>
      <c r="D571" s="66"/>
    </row>
    <row r="572" ht="15.75" customHeight="1">
      <c r="C572" s="66"/>
      <c r="D572" s="66"/>
    </row>
    <row r="573" ht="15.75" customHeight="1">
      <c r="C573" s="66"/>
      <c r="D573" s="66"/>
    </row>
    <row r="574" ht="15.75" customHeight="1">
      <c r="C574" s="66"/>
      <c r="D574" s="66"/>
    </row>
    <row r="575" ht="15.75" customHeight="1">
      <c r="C575" s="66"/>
      <c r="D575" s="66"/>
    </row>
    <row r="576" ht="15.75" customHeight="1">
      <c r="C576" s="66"/>
      <c r="D576" s="66"/>
    </row>
    <row r="577" ht="15.75" customHeight="1">
      <c r="C577" s="66"/>
      <c r="D577" s="66"/>
    </row>
    <row r="578" ht="15.75" customHeight="1">
      <c r="C578" s="66"/>
      <c r="D578" s="66"/>
    </row>
    <row r="579" ht="15.75" customHeight="1">
      <c r="C579" s="66"/>
      <c r="D579" s="66"/>
    </row>
    <row r="580" ht="15.75" customHeight="1">
      <c r="C580" s="66"/>
      <c r="D580" s="66"/>
    </row>
    <row r="581" ht="15.75" customHeight="1">
      <c r="C581" s="66"/>
      <c r="D581" s="66"/>
    </row>
    <row r="582" ht="15.75" customHeight="1">
      <c r="C582" s="66"/>
      <c r="D582" s="66"/>
    </row>
    <row r="583" ht="15.75" customHeight="1">
      <c r="C583" s="66"/>
      <c r="D583" s="66"/>
    </row>
    <row r="584" ht="15.75" customHeight="1">
      <c r="C584" s="66"/>
      <c r="D584" s="66"/>
    </row>
    <row r="585" ht="15.75" customHeight="1">
      <c r="C585" s="66"/>
      <c r="D585" s="66"/>
    </row>
    <row r="586" ht="15.75" customHeight="1">
      <c r="C586" s="66"/>
      <c r="D586" s="66"/>
    </row>
    <row r="587" ht="15.75" customHeight="1">
      <c r="C587" s="66"/>
      <c r="D587" s="66"/>
    </row>
    <row r="588" ht="15.75" customHeight="1">
      <c r="C588" s="66"/>
      <c r="D588" s="66"/>
    </row>
    <row r="589" ht="15.75" customHeight="1">
      <c r="C589" s="66"/>
      <c r="D589" s="66"/>
    </row>
    <row r="590" ht="15.75" customHeight="1">
      <c r="C590" s="66"/>
      <c r="D590" s="66"/>
    </row>
    <row r="591" ht="15.75" customHeight="1">
      <c r="C591" s="66"/>
      <c r="D591" s="66"/>
    </row>
    <row r="592" ht="15.75" customHeight="1">
      <c r="C592" s="66"/>
      <c r="D592" s="66"/>
    </row>
    <row r="593" ht="15.75" customHeight="1">
      <c r="C593" s="66"/>
      <c r="D593" s="66"/>
    </row>
    <row r="594" ht="15.75" customHeight="1">
      <c r="C594" s="66"/>
      <c r="D594" s="66"/>
    </row>
    <row r="595" ht="15.75" customHeight="1">
      <c r="C595" s="66"/>
      <c r="D595" s="66"/>
    </row>
    <row r="596" ht="15.75" customHeight="1">
      <c r="C596" s="66"/>
      <c r="D596" s="66"/>
    </row>
    <row r="597" ht="15.75" customHeight="1">
      <c r="C597" s="66"/>
      <c r="D597" s="66"/>
    </row>
    <row r="598" ht="15.75" customHeight="1">
      <c r="C598" s="66"/>
      <c r="D598" s="66"/>
    </row>
    <row r="599" ht="15.75" customHeight="1">
      <c r="C599" s="66"/>
      <c r="D599" s="66"/>
    </row>
    <row r="600" ht="15.75" customHeight="1">
      <c r="C600" s="66"/>
      <c r="D600" s="66"/>
    </row>
    <row r="601" ht="15.75" customHeight="1">
      <c r="C601" s="66"/>
      <c r="D601" s="66"/>
    </row>
    <row r="602" ht="15.75" customHeight="1">
      <c r="C602" s="66"/>
      <c r="D602" s="66"/>
    </row>
    <row r="603" ht="15.75" customHeight="1">
      <c r="C603" s="66"/>
      <c r="D603" s="66"/>
    </row>
    <row r="604" ht="15.75" customHeight="1">
      <c r="C604" s="66"/>
      <c r="D604" s="66"/>
    </row>
    <row r="605" ht="15.75" customHeight="1">
      <c r="C605" s="66"/>
      <c r="D605" s="66"/>
    </row>
    <row r="606" ht="15.75" customHeight="1">
      <c r="C606" s="66"/>
      <c r="D606" s="66"/>
    </row>
    <row r="607" ht="15.75" customHeight="1">
      <c r="C607" s="66"/>
      <c r="D607" s="66"/>
    </row>
    <row r="608" ht="15.75" customHeight="1">
      <c r="C608" s="66"/>
      <c r="D608" s="66"/>
    </row>
    <row r="609" ht="15.75" customHeight="1">
      <c r="C609" s="66"/>
      <c r="D609" s="66"/>
    </row>
    <row r="610" ht="15.75" customHeight="1">
      <c r="C610" s="66"/>
      <c r="D610" s="66"/>
    </row>
    <row r="611" ht="15.75" customHeight="1">
      <c r="C611" s="66"/>
      <c r="D611" s="66"/>
    </row>
    <row r="612" ht="15.75" customHeight="1">
      <c r="C612" s="66"/>
      <c r="D612" s="66"/>
    </row>
    <row r="613" ht="15.75" customHeight="1">
      <c r="C613" s="66"/>
      <c r="D613" s="66"/>
    </row>
    <row r="614" ht="15.75" customHeight="1">
      <c r="C614" s="66"/>
      <c r="D614" s="66"/>
    </row>
    <row r="615" ht="15.75" customHeight="1">
      <c r="C615" s="66"/>
      <c r="D615" s="66"/>
    </row>
    <row r="616" ht="15.75" customHeight="1">
      <c r="C616" s="66"/>
      <c r="D616" s="66"/>
    </row>
    <row r="617" ht="15.75" customHeight="1">
      <c r="C617" s="66"/>
      <c r="D617" s="66"/>
    </row>
    <row r="618" ht="15.75" customHeight="1">
      <c r="C618" s="66"/>
      <c r="D618" s="66"/>
    </row>
    <row r="619" ht="15.75" customHeight="1">
      <c r="C619" s="66"/>
      <c r="D619" s="66"/>
    </row>
    <row r="620" ht="15.75" customHeight="1">
      <c r="C620" s="66"/>
      <c r="D620" s="66"/>
    </row>
    <row r="621" ht="15.75" customHeight="1">
      <c r="C621" s="66"/>
      <c r="D621" s="66"/>
    </row>
    <row r="622" ht="15.75" customHeight="1">
      <c r="C622" s="66"/>
      <c r="D622" s="66"/>
    </row>
    <row r="623" ht="15.75" customHeight="1">
      <c r="C623" s="66"/>
      <c r="D623" s="66"/>
    </row>
    <row r="624" ht="15.75" customHeight="1">
      <c r="C624" s="66"/>
      <c r="D624" s="66"/>
    </row>
    <row r="625" ht="15.75" customHeight="1">
      <c r="C625" s="66"/>
      <c r="D625" s="66"/>
    </row>
    <row r="626" ht="15.75" customHeight="1">
      <c r="C626" s="66"/>
      <c r="D626" s="66"/>
    </row>
    <row r="627" ht="15.75" customHeight="1">
      <c r="C627" s="66"/>
      <c r="D627" s="66"/>
    </row>
    <row r="628" ht="15.75" customHeight="1">
      <c r="C628" s="66"/>
      <c r="D628" s="66"/>
    </row>
    <row r="629" ht="15.75" customHeight="1">
      <c r="C629" s="66"/>
      <c r="D629" s="66"/>
    </row>
    <row r="630" ht="15.75" customHeight="1">
      <c r="C630" s="66"/>
      <c r="D630" s="66"/>
    </row>
    <row r="631" ht="15.75" customHeight="1">
      <c r="C631" s="66"/>
      <c r="D631" s="66"/>
    </row>
    <row r="632" ht="15.75" customHeight="1">
      <c r="C632" s="66"/>
      <c r="D632" s="66"/>
    </row>
    <row r="633" ht="15.75" customHeight="1">
      <c r="C633" s="66"/>
      <c r="D633" s="66"/>
    </row>
    <row r="634" ht="15.75" customHeight="1">
      <c r="C634" s="66"/>
      <c r="D634" s="66"/>
    </row>
    <row r="635" ht="15.75" customHeight="1">
      <c r="C635" s="66"/>
      <c r="D635" s="66"/>
    </row>
    <row r="636" ht="15.75" customHeight="1">
      <c r="C636" s="66"/>
      <c r="D636" s="66"/>
    </row>
    <row r="637" ht="15.75" customHeight="1">
      <c r="C637" s="66"/>
      <c r="D637" s="66"/>
    </row>
    <row r="638" ht="15.75" customHeight="1">
      <c r="C638" s="66"/>
      <c r="D638" s="66"/>
    </row>
    <row r="639" ht="15.75" customHeight="1">
      <c r="C639" s="66"/>
      <c r="D639" s="66"/>
    </row>
    <row r="640" ht="15.75" customHeight="1">
      <c r="C640" s="66"/>
      <c r="D640" s="66"/>
    </row>
    <row r="641" ht="15.75" customHeight="1">
      <c r="C641" s="66"/>
      <c r="D641" s="66"/>
    </row>
    <row r="642" ht="15.75" customHeight="1">
      <c r="C642" s="66"/>
      <c r="D642" s="66"/>
    </row>
    <row r="643" ht="15.75" customHeight="1">
      <c r="C643" s="66"/>
      <c r="D643" s="66"/>
    </row>
    <row r="644" ht="15.75" customHeight="1">
      <c r="C644" s="66"/>
      <c r="D644" s="66"/>
    </row>
    <row r="645" ht="15.75" customHeight="1">
      <c r="C645" s="66"/>
      <c r="D645" s="66"/>
    </row>
    <row r="646" ht="15.75" customHeight="1">
      <c r="C646" s="66"/>
      <c r="D646" s="66"/>
    </row>
    <row r="647" ht="15.75" customHeight="1">
      <c r="C647" s="66"/>
      <c r="D647" s="66"/>
    </row>
    <row r="648" ht="15.75" customHeight="1">
      <c r="C648" s="66"/>
      <c r="D648" s="66"/>
    </row>
    <row r="649" ht="15.75" customHeight="1">
      <c r="C649" s="66"/>
      <c r="D649" s="66"/>
    </row>
    <row r="650" ht="15.75" customHeight="1">
      <c r="C650" s="66"/>
      <c r="D650" s="66"/>
    </row>
    <row r="651" ht="15.75" customHeight="1">
      <c r="C651" s="66"/>
      <c r="D651" s="66"/>
    </row>
    <row r="652" ht="15.75" customHeight="1">
      <c r="C652" s="66"/>
      <c r="D652" s="66"/>
    </row>
    <row r="653" ht="15.75" customHeight="1">
      <c r="C653" s="66"/>
      <c r="D653" s="66"/>
    </row>
    <row r="654" ht="15.75" customHeight="1">
      <c r="C654" s="66"/>
      <c r="D654" s="66"/>
    </row>
    <row r="655" ht="15.75" customHeight="1">
      <c r="C655" s="66"/>
      <c r="D655" s="66"/>
    </row>
    <row r="656" ht="15.75" customHeight="1">
      <c r="C656" s="66"/>
      <c r="D656" s="66"/>
    </row>
    <row r="657" ht="15.75" customHeight="1">
      <c r="C657" s="66"/>
      <c r="D657" s="66"/>
    </row>
    <row r="658" ht="15.75" customHeight="1">
      <c r="C658" s="66"/>
      <c r="D658" s="66"/>
    </row>
    <row r="659" ht="15.75" customHeight="1">
      <c r="C659" s="66"/>
      <c r="D659" s="66"/>
    </row>
    <row r="660" ht="15.75" customHeight="1">
      <c r="C660" s="66"/>
      <c r="D660" s="66"/>
    </row>
    <row r="661" ht="15.75" customHeight="1">
      <c r="C661" s="66"/>
      <c r="D661" s="66"/>
    </row>
    <row r="662" ht="15.75" customHeight="1">
      <c r="C662" s="66"/>
      <c r="D662" s="66"/>
    </row>
    <row r="663" ht="15.75" customHeight="1">
      <c r="C663" s="66"/>
      <c r="D663" s="66"/>
    </row>
    <row r="664" ht="15.75" customHeight="1">
      <c r="C664" s="66"/>
      <c r="D664" s="66"/>
    </row>
    <row r="665" ht="15.75" customHeight="1">
      <c r="C665" s="66"/>
      <c r="D665" s="66"/>
    </row>
    <row r="666" ht="15.75" customHeight="1">
      <c r="C666" s="66"/>
      <c r="D666" s="66"/>
    </row>
    <row r="667" ht="15.75" customHeight="1">
      <c r="C667" s="66"/>
      <c r="D667" s="66"/>
    </row>
    <row r="668" ht="15.75" customHeight="1">
      <c r="C668" s="66"/>
      <c r="D668" s="66"/>
    </row>
    <row r="669" ht="15.75" customHeight="1">
      <c r="C669" s="66"/>
      <c r="D669" s="66"/>
    </row>
    <row r="670" ht="15.75" customHeight="1">
      <c r="C670" s="66"/>
      <c r="D670" s="66"/>
    </row>
    <row r="671" ht="15.75" customHeight="1">
      <c r="C671" s="66"/>
      <c r="D671" s="66"/>
    </row>
    <row r="672" ht="15.75" customHeight="1">
      <c r="C672" s="66"/>
      <c r="D672" s="66"/>
    </row>
    <row r="673" ht="15.75" customHeight="1">
      <c r="C673" s="66"/>
      <c r="D673" s="66"/>
    </row>
    <row r="674" ht="15.75" customHeight="1">
      <c r="C674" s="66"/>
      <c r="D674" s="66"/>
    </row>
    <row r="675" ht="15.75" customHeight="1">
      <c r="C675" s="66"/>
      <c r="D675" s="66"/>
    </row>
    <row r="676" ht="15.75" customHeight="1">
      <c r="C676" s="66"/>
      <c r="D676" s="66"/>
    </row>
    <row r="677" ht="15.75" customHeight="1">
      <c r="C677" s="66"/>
      <c r="D677" s="66"/>
    </row>
    <row r="678" ht="15.75" customHeight="1">
      <c r="C678" s="66"/>
      <c r="D678" s="66"/>
    </row>
    <row r="679" ht="15.75" customHeight="1">
      <c r="C679" s="66"/>
      <c r="D679" s="66"/>
    </row>
    <row r="680" ht="15.75" customHeight="1">
      <c r="C680" s="66"/>
      <c r="D680" s="66"/>
    </row>
    <row r="681" ht="15.75" customHeight="1">
      <c r="C681" s="66"/>
      <c r="D681" s="66"/>
    </row>
    <row r="682" ht="15.75" customHeight="1">
      <c r="C682" s="66"/>
      <c r="D682" s="66"/>
    </row>
    <row r="683" ht="15.75" customHeight="1">
      <c r="C683" s="66"/>
      <c r="D683" s="66"/>
    </row>
    <row r="684" ht="15.75" customHeight="1">
      <c r="C684" s="66"/>
      <c r="D684" s="66"/>
    </row>
    <row r="685" ht="15.75" customHeight="1">
      <c r="C685" s="66"/>
      <c r="D685" s="66"/>
    </row>
    <row r="686" ht="15.75" customHeight="1">
      <c r="C686" s="66"/>
      <c r="D686" s="66"/>
    </row>
    <row r="687" ht="15.75" customHeight="1">
      <c r="C687" s="66"/>
      <c r="D687" s="66"/>
    </row>
    <row r="688" ht="15.75" customHeight="1">
      <c r="C688" s="66"/>
      <c r="D688" s="66"/>
    </row>
    <row r="689" ht="15.75" customHeight="1">
      <c r="C689" s="66"/>
      <c r="D689" s="66"/>
    </row>
    <row r="690" ht="15.75" customHeight="1">
      <c r="C690" s="66"/>
      <c r="D690" s="66"/>
    </row>
    <row r="691" ht="15.75" customHeight="1">
      <c r="C691" s="66"/>
      <c r="D691" s="66"/>
    </row>
    <row r="692" ht="15.75" customHeight="1">
      <c r="C692" s="66"/>
      <c r="D692" s="66"/>
    </row>
    <row r="693" ht="15.75" customHeight="1">
      <c r="C693" s="66"/>
      <c r="D693" s="66"/>
    </row>
    <row r="694" ht="15.75" customHeight="1">
      <c r="C694" s="66"/>
      <c r="D694" s="66"/>
    </row>
    <row r="695" ht="15.75" customHeight="1">
      <c r="C695" s="66"/>
      <c r="D695" s="66"/>
    </row>
    <row r="696" ht="15.75" customHeight="1">
      <c r="C696" s="66"/>
      <c r="D696" s="66"/>
    </row>
    <row r="697" ht="15.75" customHeight="1">
      <c r="C697" s="66"/>
      <c r="D697" s="66"/>
    </row>
    <row r="698" ht="15.75" customHeight="1">
      <c r="C698" s="66"/>
      <c r="D698" s="66"/>
    </row>
    <row r="699" ht="15.75" customHeight="1">
      <c r="C699" s="66"/>
      <c r="D699" s="66"/>
    </row>
    <row r="700" ht="15.75" customHeight="1">
      <c r="C700" s="66"/>
      <c r="D700" s="66"/>
    </row>
    <row r="701" ht="15.75" customHeight="1">
      <c r="C701" s="66"/>
      <c r="D701" s="66"/>
    </row>
    <row r="702" ht="15.75" customHeight="1">
      <c r="C702" s="66"/>
      <c r="D702" s="66"/>
    </row>
    <row r="703" ht="15.75" customHeight="1">
      <c r="C703" s="66"/>
      <c r="D703" s="66"/>
    </row>
    <row r="704" ht="15.75" customHeight="1">
      <c r="C704" s="66"/>
      <c r="D704" s="66"/>
    </row>
    <row r="705" ht="15.75" customHeight="1">
      <c r="C705" s="66"/>
      <c r="D705" s="66"/>
    </row>
    <row r="706" ht="15.75" customHeight="1">
      <c r="C706" s="66"/>
      <c r="D706" s="66"/>
    </row>
    <row r="707" ht="15.75" customHeight="1">
      <c r="C707" s="66"/>
      <c r="D707" s="66"/>
    </row>
    <row r="708" ht="15.75" customHeight="1">
      <c r="C708" s="66"/>
      <c r="D708" s="66"/>
    </row>
    <row r="709" ht="15.75" customHeight="1">
      <c r="C709" s="66"/>
      <c r="D709" s="66"/>
    </row>
    <row r="710" ht="15.75" customHeight="1">
      <c r="C710" s="66"/>
      <c r="D710" s="66"/>
    </row>
    <row r="711" ht="15.75" customHeight="1">
      <c r="C711" s="66"/>
      <c r="D711" s="66"/>
    </row>
    <row r="712" ht="15.75" customHeight="1">
      <c r="C712" s="66"/>
      <c r="D712" s="66"/>
    </row>
    <row r="713" ht="15.75" customHeight="1">
      <c r="C713" s="66"/>
      <c r="D713" s="66"/>
    </row>
    <row r="714" ht="15.75" customHeight="1">
      <c r="C714" s="66"/>
      <c r="D714" s="66"/>
    </row>
    <row r="715" ht="15.75" customHeight="1">
      <c r="C715" s="66"/>
      <c r="D715" s="66"/>
    </row>
    <row r="716" ht="15.75" customHeight="1">
      <c r="C716" s="66"/>
      <c r="D716" s="66"/>
    </row>
    <row r="717" ht="15.75" customHeight="1">
      <c r="C717" s="66"/>
      <c r="D717" s="66"/>
    </row>
    <row r="718" ht="15.75" customHeight="1">
      <c r="C718" s="66"/>
      <c r="D718" s="66"/>
    </row>
    <row r="719" ht="15.75" customHeight="1">
      <c r="C719" s="66"/>
      <c r="D719" s="66"/>
    </row>
    <row r="720" ht="15.75" customHeight="1">
      <c r="C720" s="66"/>
      <c r="D720" s="66"/>
    </row>
    <row r="721" ht="15.75" customHeight="1">
      <c r="C721" s="66"/>
      <c r="D721" s="66"/>
    </row>
    <row r="722" ht="15.75" customHeight="1">
      <c r="C722" s="66"/>
      <c r="D722" s="66"/>
    </row>
    <row r="723" ht="15.75" customHeight="1">
      <c r="C723" s="66"/>
      <c r="D723" s="66"/>
    </row>
    <row r="724" ht="15.75" customHeight="1">
      <c r="C724" s="66"/>
      <c r="D724" s="66"/>
    </row>
    <row r="725" ht="15.75" customHeight="1">
      <c r="C725" s="66"/>
      <c r="D725" s="66"/>
    </row>
    <row r="726" ht="15.75" customHeight="1">
      <c r="C726" s="66"/>
      <c r="D726" s="66"/>
    </row>
    <row r="727" ht="15.75" customHeight="1">
      <c r="C727" s="66"/>
      <c r="D727" s="66"/>
    </row>
    <row r="728" ht="15.75" customHeight="1">
      <c r="C728" s="66"/>
      <c r="D728" s="66"/>
    </row>
    <row r="729" ht="15.75" customHeight="1">
      <c r="C729" s="66"/>
      <c r="D729" s="66"/>
    </row>
    <row r="730" ht="15.75" customHeight="1">
      <c r="C730" s="66"/>
      <c r="D730" s="66"/>
    </row>
    <row r="731" ht="15.75" customHeight="1">
      <c r="C731" s="66"/>
      <c r="D731" s="66"/>
    </row>
    <row r="732" ht="15.75" customHeight="1">
      <c r="C732" s="66"/>
      <c r="D732" s="66"/>
    </row>
    <row r="733" ht="15.75" customHeight="1">
      <c r="C733" s="66"/>
      <c r="D733" s="66"/>
    </row>
    <row r="734" ht="15.75" customHeight="1">
      <c r="C734" s="66"/>
      <c r="D734" s="66"/>
    </row>
    <row r="735" ht="15.75" customHeight="1">
      <c r="C735" s="66"/>
      <c r="D735" s="66"/>
    </row>
    <row r="736" ht="15.75" customHeight="1">
      <c r="C736" s="66"/>
      <c r="D736" s="66"/>
    </row>
    <row r="737" ht="15.75" customHeight="1">
      <c r="C737" s="66"/>
      <c r="D737" s="66"/>
    </row>
    <row r="738" ht="15.75" customHeight="1">
      <c r="C738" s="66"/>
      <c r="D738" s="66"/>
    </row>
    <row r="739" ht="15.75" customHeight="1">
      <c r="C739" s="66"/>
      <c r="D739" s="66"/>
    </row>
    <row r="740" ht="15.75" customHeight="1">
      <c r="C740" s="66"/>
      <c r="D740" s="66"/>
    </row>
    <row r="741" ht="15.75" customHeight="1">
      <c r="C741" s="66"/>
      <c r="D741" s="66"/>
    </row>
    <row r="742" ht="15.75" customHeight="1">
      <c r="C742" s="66"/>
      <c r="D742" s="66"/>
    </row>
    <row r="743" ht="15.75" customHeight="1">
      <c r="C743" s="66"/>
      <c r="D743" s="66"/>
    </row>
    <row r="744" ht="15.75" customHeight="1">
      <c r="C744" s="66"/>
      <c r="D744" s="66"/>
    </row>
    <row r="745" ht="15.75" customHeight="1">
      <c r="C745" s="66"/>
      <c r="D745" s="66"/>
    </row>
    <row r="746" ht="15.75" customHeight="1">
      <c r="C746" s="66"/>
      <c r="D746" s="66"/>
    </row>
    <row r="747" ht="15.75" customHeight="1">
      <c r="C747" s="66"/>
      <c r="D747" s="66"/>
    </row>
    <row r="748" ht="15.75" customHeight="1">
      <c r="C748" s="66"/>
      <c r="D748" s="66"/>
    </row>
    <row r="749" ht="15.75" customHeight="1">
      <c r="C749" s="66"/>
      <c r="D749" s="66"/>
    </row>
    <row r="750" ht="15.75" customHeight="1">
      <c r="C750" s="66"/>
      <c r="D750" s="66"/>
    </row>
    <row r="751" ht="15.75" customHeight="1">
      <c r="C751" s="66"/>
      <c r="D751" s="66"/>
    </row>
    <row r="752" ht="15.75" customHeight="1">
      <c r="C752" s="66"/>
      <c r="D752" s="66"/>
    </row>
    <row r="753" ht="15.75" customHeight="1">
      <c r="C753" s="66"/>
      <c r="D753" s="66"/>
    </row>
    <row r="754" ht="15.75" customHeight="1">
      <c r="C754" s="66"/>
      <c r="D754" s="66"/>
    </row>
    <row r="755" ht="15.75" customHeight="1">
      <c r="C755" s="66"/>
      <c r="D755" s="66"/>
    </row>
    <row r="756" ht="15.75" customHeight="1">
      <c r="C756" s="66"/>
      <c r="D756" s="66"/>
    </row>
    <row r="757" ht="15.75" customHeight="1">
      <c r="C757" s="66"/>
      <c r="D757" s="66"/>
    </row>
    <row r="758" ht="15.75" customHeight="1">
      <c r="C758" s="66"/>
      <c r="D758" s="66"/>
    </row>
    <row r="759" ht="15.75" customHeight="1">
      <c r="C759" s="66"/>
      <c r="D759" s="66"/>
    </row>
    <row r="760" ht="15.75" customHeight="1">
      <c r="C760" s="66"/>
      <c r="D760" s="66"/>
    </row>
    <row r="761" ht="15.75" customHeight="1">
      <c r="C761" s="66"/>
      <c r="D761" s="66"/>
    </row>
    <row r="762" ht="15.75" customHeight="1">
      <c r="C762" s="66"/>
      <c r="D762" s="66"/>
    </row>
    <row r="763" ht="15.75" customHeight="1">
      <c r="C763" s="66"/>
      <c r="D763" s="66"/>
    </row>
    <row r="764" ht="15.75" customHeight="1">
      <c r="C764" s="66"/>
      <c r="D764" s="66"/>
    </row>
    <row r="765" ht="15.75" customHeight="1">
      <c r="C765" s="66"/>
      <c r="D765" s="66"/>
    </row>
    <row r="766" ht="15.75" customHeight="1">
      <c r="C766" s="66"/>
      <c r="D766" s="66"/>
    </row>
    <row r="767" ht="15.75" customHeight="1">
      <c r="C767" s="66"/>
      <c r="D767" s="66"/>
    </row>
    <row r="768" ht="15.75" customHeight="1">
      <c r="C768" s="66"/>
      <c r="D768" s="66"/>
    </row>
    <row r="769" ht="15.75" customHeight="1">
      <c r="C769" s="66"/>
      <c r="D769" s="66"/>
    </row>
    <row r="770" ht="15.75" customHeight="1">
      <c r="C770" s="66"/>
      <c r="D770" s="66"/>
    </row>
    <row r="771" ht="15.75" customHeight="1">
      <c r="C771" s="66"/>
      <c r="D771" s="66"/>
    </row>
    <row r="772" ht="15.75" customHeight="1">
      <c r="C772" s="66"/>
      <c r="D772" s="66"/>
    </row>
    <row r="773" ht="15.75" customHeight="1">
      <c r="C773" s="66"/>
      <c r="D773" s="66"/>
    </row>
    <row r="774" ht="15.75" customHeight="1">
      <c r="C774" s="66"/>
      <c r="D774" s="66"/>
    </row>
    <row r="775" ht="15.75" customHeight="1">
      <c r="C775" s="66"/>
      <c r="D775" s="66"/>
    </row>
    <row r="776" ht="15.75" customHeight="1">
      <c r="C776" s="66"/>
      <c r="D776" s="66"/>
    </row>
    <row r="777" ht="15.75" customHeight="1">
      <c r="C777" s="66"/>
      <c r="D777" s="66"/>
    </row>
    <row r="778" ht="15.75" customHeight="1">
      <c r="C778" s="66"/>
      <c r="D778" s="66"/>
    </row>
    <row r="779" ht="15.75" customHeight="1">
      <c r="C779" s="66"/>
      <c r="D779" s="66"/>
    </row>
    <row r="780" ht="15.75" customHeight="1">
      <c r="C780" s="66"/>
      <c r="D780" s="66"/>
    </row>
    <row r="781" ht="15.75" customHeight="1">
      <c r="C781" s="66"/>
      <c r="D781" s="66"/>
    </row>
    <row r="782" ht="15.75" customHeight="1">
      <c r="C782" s="66"/>
      <c r="D782" s="66"/>
    </row>
    <row r="783" ht="15.75" customHeight="1">
      <c r="C783" s="66"/>
      <c r="D783" s="66"/>
    </row>
    <row r="784" ht="15.75" customHeight="1">
      <c r="C784" s="66"/>
      <c r="D784" s="66"/>
    </row>
    <row r="785" ht="15.75" customHeight="1">
      <c r="C785" s="66"/>
      <c r="D785" s="66"/>
    </row>
    <row r="786" ht="15.75" customHeight="1">
      <c r="C786" s="66"/>
      <c r="D786" s="66"/>
    </row>
    <row r="787" ht="15.75" customHeight="1">
      <c r="C787" s="66"/>
      <c r="D787" s="66"/>
    </row>
    <row r="788" ht="15.75" customHeight="1">
      <c r="C788" s="66"/>
      <c r="D788" s="66"/>
    </row>
    <row r="789" ht="15.75" customHeight="1">
      <c r="C789" s="66"/>
      <c r="D789" s="66"/>
    </row>
    <row r="790" ht="15.75" customHeight="1">
      <c r="C790" s="66"/>
      <c r="D790" s="66"/>
    </row>
    <row r="791" ht="15.75" customHeight="1">
      <c r="C791" s="66"/>
      <c r="D791" s="66"/>
    </row>
    <row r="792" ht="15.75" customHeight="1">
      <c r="C792" s="66"/>
      <c r="D792" s="66"/>
    </row>
    <row r="793" ht="15.75" customHeight="1">
      <c r="C793" s="66"/>
      <c r="D793" s="66"/>
    </row>
    <row r="794" ht="15.75" customHeight="1">
      <c r="C794" s="66"/>
      <c r="D794" s="66"/>
    </row>
    <row r="795" ht="15.75" customHeight="1">
      <c r="C795" s="66"/>
      <c r="D795" s="66"/>
    </row>
    <row r="796" ht="15.75" customHeight="1">
      <c r="C796" s="66"/>
      <c r="D796" s="66"/>
    </row>
    <row r="797" ht="15.75" customHeight="1">
      <c r="C797" s="66"/>
      <c r="D797" s="66"/>
    </row>
    <row r="798" ht="15.75" customHeight="1">
      <c r="C798" s="66"/>
      <c r="D798" s="66"/>
    </row>
    <row r="799" ht="15.75" customHeight="1">
      <c r="C799" s="66"/>
      <c r="D799" s="66"/>
    </row>
    <row r="800" ht="15.75" customHeight="1">
      <c r="C800" s="66"/>
      <c r="D800" s="66"/>
    </row>
    <row r="801" ht="15.75" customHeight="1">
      <c r="C801" s="66"/>
      <c r="D801" s="66"/>
    </row>
    <row r="802" ht="15.75" customHeight="1">
      <c r="C802" s="66"/>
      <c r="D802" s="66"/>
    </row>
    <row r="803" ht="15.75" customHeight="1">
      <c r="C803" s="66"/>
      <c r="D803" s="66"/>
    </row>
    <row r="804" ht="15.75" customHeight="1">
      <c r="C804" s="66"/>
      <c r="D804" s="66"/>
    </row>
    <row r="805" ht="15.75" customHeight="1">
      <c r="C805" s="66"/>
      <c r="D805" s="66"/>
    </row>
    <row r="806" ht="15.75" customHeight="1">
      <c r="C806" s="66"/>
      <c r="D806" s="66"/>
    </row>
    <row r="807" ht="15.75" customHeight="1">
      <c r="C807" s="66"/>
      <c r="D807" s="66"/>
    </row>
    <row r="808" ht="15.75" customHeight="1">
      <c r="C808" s="66"/>
      <c r="D808" s="66"/>
    </row>
    <row r="809" ht="15.75" customHeight="1">
      <c r="C809" s="66"/>
      <c r="D809" s="66"/>
    </row>
    <row r="810" ht="15.75" customHeight="1">
      <c r="C810" s="66"/>
      <c r="D810" s="66"/>
    </row>
    <row r="811" ht="15.75" customHeight="1">
      <c r="C811" s="66"/>
      <c r="D811" s="66"/>
    </row>
    <row r="812" ht="15.75" customHeight="1">
      <c r="C812" s="66"/>
      <c r="D812" s="66"/>
    </row>
    <row r="813" ht="15.75" customHeight="1">
      <c r="C813" s="66"/>
      <c r="D813" s="66"/>
    </row>
    <row r="814" ht="15.75" customHeight="1">
      <c r="C814" s="66"/>
      <c r="D814" s="66"/>
    </row>
    <row r="815" ht="15.75" customHeight="1">
      <c r="C815" s="66"/>
      <c r="D815" s="66"/>
    </row>
    <row r="816" ht="15.75" customHeight="1">
      <c r="C816" s="66"/>
      <c r="D816" s="66"/>
    </row>
    <row r="817" ht="15.75" customHeight="1">
      <c r="C817" s="66"/>
      <c r="D817" s="66"/>
    </row>
    <row r="818" ht="15.75" customHeight="1">
      <c r="C818" s="66"/>
      <c r="D818" s="66"/>
    </row>
    <row r="819" ht="15.75" customHeight="1">
      <c r="C819" s="66"/>
      <c r="D819" s="66"/>
    </row>
    <row r="820" ht="15.75" customHeight="1">
      <c r="C820" s="66"/>
      <c r="D820" s="66"/>
    </row>
    <row r="821" ht="15.75" customHeight="1">
      <c r="C821" s="66"/>
      <c r="D821" s="66"/>
    </row>
    <row r="822" ht="15.75" customHeight="1">
      <c r="C822" s="66"/>
      <c r="D822" s="66"/>
    </row>
    <row r="823" ht="15.75" customHeight="1">
      <c r="C823" s="66"/>
      <c r="D823" s="66"/>
    </row>
    <row r="824" ht="15.75" customHeight="1">
      <c r="C824" s="66"/>
      <c r="D824" s="66"/>
    </row>
    <row r="825" ht="15.75" customHeight="1">
      <c r="C825" s="66"/>
      <c r="D825" s="66"/>
    </row>
    <row r="826" ht="15.75" customHeight="1">
      <c r="C826" s="66"/>
      <c r="D826" s="66"/>
    </row>
    <row r="827" ht="15.75" customHeight="1">
      <c r="C827" s="66"/>
      <c r="D827" s="66"/>
    </row>
    <row r="828" ht="15.75" customHeight="1">
      <c r="C828" s="66"/>
      <c r="D828" s="66"/>
    </row>
    <row r="829" ht="15.75" customHeight="1">
      <c r="C829" s="66"/>
      <c r="D829" s="66"/>
    </row>
    <row r="830" ht="15.75" customHeight="1">
      <c r="C830" s="66"/>
      <c r="D830" s="66"/>
    </row>
    <row r="831" ht="15.75" customHeight="1">
      <c r="C831" s="66"/>
      <c r="D831" s="66"/>
    </row>
    <row r="832" ht="15.75" customHeight="1">
      <c r="C832" s="66"/>
      <c r="D832" s="66"/>
    </row>
    <row r="833" ht="15.75" customHeight="1">
      <c r="C833" s="66"/>
      <c r="D833" s="66"/>
    </row>
    <row r="834" ht="15.75" customHeight="1">
      <c r="C834" s="66"/>
      <c r="D834" s="66"/>
    </row>
    <row r="835" ht="15.75" customHeight="1">
      <c r="C835" s="66"/>
      <c r="D835" s="66"/>
    </row>
    <row r="836" ht="15.75" customHeight="1">
      <c r="C836" s="66"/>
      <c r="D836" s="66"/>
    </row>
    <row r="837" ht="15.75" customHeight="1">
      <c r="C837" s="66"/>
      <c r="D837" s="66"/>
    </row>
    <row r="838" ht="15.75" customHeight="1">
      <c r="C838" s="66"/>
      <c r="D838" s="66"/>
    </row>
    <row r="839" ht="15.75" customHeight="1">
      <c r="C839" s="66"/>
      <c r="D839" s="66"/>
    </row>
    <row r="840" ht="15.75" customHeight="1">
      <c r="C840" s="66"/>
      <c r="D840" s="66"/>
    </row>
    <row r="841" ht="15.75" customHeight="1">
      <c r="C841" s="66"/>
      <c r="D841" s="66"/>
    </row>
    <row r="842" ht="15.75" customHeight="1">
      <c r="C842" s="66"/>
      <c r="D842" s="66"/>
    </row>
    <row r="843" ht="15.75" customHeight="1">
      <c r="C843" s="66"/>
      <c r="D843" s="66"/>
    </row>
    <row r="844" ht="15.75" customHeight="1">
      <c r="C844" s="66"/>
      <c r="D844" s="66"/>
    </row>
    <row r="845" ht="15.75" customHeight="1">
      <c r="C845" s="66"/>
      <c r="D845" s="66"/>
    </row>
    <row r="846" ht="15.75" customHeight="1">
      <c r="C846" s="66"/>
      <c r="D846" s="66"/>
    </row>
    <row r="847" ht="15.75" customHeight="1">
      <c r="C847" s="66"/>
      <c r="D847" s="66"/>
    </row>
    <row r="848" ht="15.75" customHeight="1">
      <c r="C848" s="66"/>
      <c r="D848" s="66"/>
    </row>
    <row r="849" ht="15.75" customHeight="1">
      <c r="C849" s="66"/>
      <c r="D849" s="66"/>
    </row>
    <row r="850" ht="15.75" customHeight="1">
      <c r="C850" s="66"/>
      <c r="D850" s="66"/>
    </row>
    <row r="851" ht="15.75" customHeight="1">
      <c r="C851" s="66"/>
      <c r="D851" s="66"/>
    </row>
    <row r="852" ht="15.75" customHeight="1">
      <c r="C852" s="66"/>
      <c r="D852" s="66"/>
    </row>
    <row r="853" ht="15.75" customHeight="1">
      <c r="C853" s="66"/>
      <c r="D853" s="66"/>
    </row>
    <row r="854" ht="15.75" customHeight="1">
      <c r="C854" s="66"/>
      <c r="D854" s="66"/>
    </row>
    <row r="855" ht="15.75" customHeight="1">
      <c r="C855" s="66"/>
      <c r="D855" s="66"/>
    </row>
    <row r="856" ht="15.75" customHeight="1">
      <c r="C856" s="66"/>
      <c r="D856" s="66"/>
    </row>
    <row r="857" ht="15.75" customHeight="1">
      <c r="C857" s="66"/>
      <c r="D857" s="66"/>
    </row>
    <row r="858" ht="15.75" customHeight="1">
      <c r="C858" s="66"/>
      <c r="D858" s="66"/>
    </row>
    <row r="859" ht="15.75" customHeight="1">
      <c r="C859" s="66"/>
      <c r="D859" s="66"/>
    </row>
    <row r="860" ht="15.75" customHeight="1">
      <c r="C860" s="66"/>
      <c r="D860" s="66"/>
    </row>
    <row r="861" ht="15.75" customHeight="1">
      <c r="C861" s="66"/>
      <c r="D861" s="66"/>
    </row>
    <row r="862" ht="15.75" customHeight="1">
      <c r="C862" s="66"/>
      <c r="D862" s="66"/>
    </row>
    <row r="863" ht="15.75" customHeight="1">
      <c r="C863" s="66"/>
      <c r="D863" s="66"/>
    </row>
    <row r="864" ht="15.75" customHeight="1">
      <c r="C864" s="66"/>
      <c r="D864" s="66"/>
    </row>
    <row r="865" ht="15.75" customHeight="1">
      <c r="C865" s="66"/>
      <c r="D865" s="66"/>
    </row>
    <row r="866" ht="15.75" customHeight="1">
      <c r="C866" s="66"/>
      <c r="D866" s="66"/>
    </row>
    <row r="867" ht="15.75" customHeight="1">
      <c r="C867" s="66"/>
      <c r="D867" s="66"/>
    </row>
    <row r="868" ht="15.75" customHeight="1">
      <c r="C868" s="66"/>
      <c r="D868" s="66"/>
    </row>
    <row r="869" ht="15.75" customHeight="1">
      <c r="C869" s="66"/>
      <c r="D869" s="66"/>
    </row>
    <row r="870" ht="15.75" customHeight="1">
      <c r="C870" s="66"/>
      <c r="D870" s="66"/>
    </row>
    <row r="871" ht="15.75" customHeight="1">
      <c r="C871" s="66"/>
      <c r="D871" s="66"/>
    </row>
    <row r="872" ht="15.75" customHeight="1">
      <c r="C872" s="66"/>
      <c r="D872" s="66"/>
    </row>
    <row r="873" ht="15.75" customHeight="1">
      <c r="C873" s="66"/>
      <c r="D873" s="66"/>
    </row>
    <row r="874" ht="15.75" customHeight="1">
      <c r="C874" s="66"/>
      <c r="D874" s="66"/>
    </row>
    <row r="875" ht="15.75" customHeight="1">
      <c r="C875" s="66"/>
      <c r="D875" s="66"/>
    </row>
    <row r="876" ht="15.75" customHeight="1">
      <c r="C876" s="66"/>
      <c r="D876" s="66"/>
    </row>
    <row r="877" ht="15.75" customHeight="1">
      <c r="C877" s="66"/>
      <c r="D877" s="66"/>
    </row>
    <row r="878" ht="15.75" customHeight="1">
      <c r="C878" s="66"/>
      <c r="D878" s="66"/>
    </row>
    <row r="879" ht="15.75" customHeight="1">
      <c r="C879" s="66"/>
      <c r="D879" s="66"/>
    </row>
    <row r="880" ht="15.75" customHeight="1">
      <c r="C880" s="66"/>
      <c r="D880" s="66"/>
    </row>
    <row r="881" ht="15.75" customHeight="1">
      <c r="C881" s="66"/>
      <c r="D881" s="66"/>
    </row>
    <row r="882" ht="15.75" customHeight="1">
      <c r="C882" s="66"/>
      <c r="D882" s="66"/>
    </row>
    <row r="883" ht="15.75" customHeight="1">
      <c r="C883" s="66"/>
      <c r="D883" s="66"/>
    </row>
    <row r="884" ht="15.75" customHeight="1">
      <c r="C884" s="66"/>
      <c r="D884" s="66"/>
    </row>
    <row r="885" ht="15.75" customHeight="1">
      <c r="C885" s="66"/>
      <c r="D885" s="66"/>
    </row>
    <row r="886" ht="15.75" customHeight="1">
      <c r="C886" s="66"/>
      <c r="D886" s="66"/>
    </row>
    <row r="887" ht="15.75" customHeight="1">
      <c r="C887" s="66"/>
      <c r="D887" s="66"/>
    </row>
    <row r="888" ht="15.75" customHeight="1">
      <c r="C888" s="66"/>
      <c r="D888" s="66"/>
    </row>
    <row r="889" ht="15.75" customHeight="1">
      <c r="C889" s="66"/>
      <c r="D889" s="66"/>
    </row>
    <row r="890" ht="15.75" customHeight="1">
      <c r="C890" s="66"/>
      <c r="D890" s="66"/>
    </row>
    <row r="891" ht="15.75" customHeight="1">
      <c r="C891" s="66"/>
      <c r="D891" s="66"/>
    </row>
    <row r="892" ht="15.75" customHeight="1">
      <c r="C892" s="66"/>
      <c r="D892" s="66"/>
    </row>
    <row r="893" ht="15.75" customHeight="1">
      <c r="C893" s="66"/>
      <c r="D893" s="66"/>
    </row>
    <row r="894" ht="15.75" customHeight="1">
      <c r="C894" s="66"/>
      <c r="D894" s="66"/>
    </row>
    <row r="895" ht="15.75" customHeight="1">
      <c r="C895" s="66"/>
      <c r="D895" s="66"/>
    </row>
    <row r="896" ht="15.75" customHeight="1">
      <c r="C896" s="66"/>
      <c r="D896" s="66"/>
    </row>
    <row r="897" ht="15.75" customHeight="1">
      <c r="C897" s="66"/>
      <c r="D897" s="66"/>
    </row>
    <row r="898" ht="15.75" customHeight="1">
      <c r="C898" s="66"/>
      <c r="D898" s="66"/>
    </row>
    <row r="899" ht="15.75" customHeight="1">
      <c r="C899" s="66"/>
      <c r="D899" s="66"/>
    </row>
    <row r="900" ht="15.75" customHeight="1">
      <c r="C900" s="66"/>
      <c r="D900" s="66"/>
    </row>
    <row r="901" ht="15.75" customHeight="1">
      <c r="C901" s="66"/>
      <c r="D901" s="66"/>
    </row>
    <row r="902" ht="15.75" customHeight="1">
      <c r="C902" s="66"/>
      <c r="D902" s="66"/>
    </row>
    <row r="903" ht="15.75" customHeight="1">
      <c r="C903" s="66"/>
      <c r="D903" s="66"/>
    </row>
    <row r="904" ht="15.75" customHeight="1">
      <c r="C904" s="66"/>
      <c r="D904" s="66"/>
    </row>
    <row r="905" ht="15.75" customHeight="1">
      <c r="C905" s="66"/>
      <c r="D905" s="66"/>
    </row>
    <row r="906" ht="15.75" customHeight="1">
      <c r="C906" s="66"/>
      <c r="D906" s="66"/>
    </row>
    <row r="907" ht="15.75" customHeight="1">
      <c r="C907" s="66"/>
      <c r="D907" s="66"/>
    </row>
    <row r="908" ht="15.75" customHeight="1">
      <c r="C908" s="66"/>
      <c r="D908" s="66"/>
    </row>
    <row r="909" ht="15.75" customHeight="1">
      <c r="C909" s="66"/>
      <c r="D909" s="66"/>
    </row>
    <row r="910" ht="15.75" customHeight="1">
      <c r="C910" s="66"/>
      <c r="D910" s="66"/>
    </row>
    <row r="911" ht="15.75" customHeight="1">
      <c r="C911" s="66"/>
      <c r="D911" s="66"/>
    </row>
    <row r="912" ht="15.75" customHeight="1">
      <c r="C912" s="66"/>
      <c r="D912" s="66"/>
    </row>
    <row r="913" ht="15.75" customHeight="1">
      <c r="C913" s="66"/>
      <c r="D913" s="66"/>
    </row>
    <row r="914" ht="15.75" customHeight="1">
      <c r="C914" s="66"/>
      <c r="D914" s="66"/>
    </row>
    <row r="915" ht="15.75" customHeight="1">
      <c r="C915" s="66"/>
      <c r="D915" s="66"/>
    </row>
    <row r="916" ht="15.75" customHeight="1">
      <c r="C916" s="66"/>
      <c r="D916" s="66"/>
    </row>
    <row r="917" ht="15.75" customHeight="1">
      <c r="C917" s="66"/>
      <c r="D917" s="66"/>
    </row>
    <row r="918" ht="15.75" customHeight="1">
      <c r="C918" s="66"/>
      <c r="D918" s="66"/>
    </row>
    <row r="919" ht="15.75" customHeight="1">
      <c r="C919" s="66"/>
      <c r="D919" s="66"/>
    </row>
    <row r="920" ht="15.75" customHeight="1">
      <c r="C920" s="66"/>
      <c r="D920" s="66"/>
    </row>
    <row r="921" ht="15.75" customHeight="1">
      <c r="C921" s="66"/>
      <c r="D921" s="66"/>
    </row>
    <row r="922" ht="15.75" customHeight="1">
      <c r="C922" s="66"/>
      <c r="D922" s="66"/>
    </row>
    <row r="923" ht="15.75" customHeight="1">
      <c r="C923" s="66"/>
      <c r="D923" s="66"/>
    </row>
    <row r="924" ht="15.75" customHeight="1">
      <c r="C924" s="66"/>
      <c r="D924" s="66"/>
    </row>
    <row r="925" ht="15.75" customHeight="1">
      <c r="C925" s="66"/>
      <c r="D925" s="66"/>
    </row>
    <row r="926" ht="15.75" customHeight="1">
      <c r="C926" s="66"/>
      <c r="D926" s="66"/>
    </row>
    <row r="927" ht="15.75" customHeight="1">
      <c r="C927" s="66"/>
      <c r="D927" s="66"/>
    </row>
    <row r="928" ht="15.75" customHeight="1">
      <c r="C928" s="66"/>
      <c r="D928" s="66"/>
    </row>
    <row r="929" ht="15.75" customHeight="1">
      <c r="C929" s="66"/>
      <c r="D929" s="66"/>
    </row>
    <row r="930" ht="15.75" customHeight="1">
      <c r="C930" s="66"/>
      <c r="D930" s="66"/>
    </row>
    <row r="931" ht="15.75" customHeight="1">
      <c r="C931" s="66"/>
      <c r="D931" s="66"/>
    </row>
    <row r="932" ht="15.75" customHeight="1">
      <c r="C932" s="66"/>
      <c r="D932" s="66"/>
    </row>
    <row r="933" ht="15.75" customHeight="1">
      <c r="C933" s="66"/>
      <c r="D933" s="66"/>
    </row>
    <row r="934" ht="15.75" customHeight="1">
      <c r="C934" s="66"/>
      <c r="D934" s="66"/>
    </row>
    <row r="935" ht="15.75" customHeight="1">
      <c r="C935" s="66"/>
      <c r="D935" s="66"/>
    </row>
    <row r="936" ht="15.75" customHeight="1">
      <c r="C936" s="66"/>
      <c r="D936" s="66"/>
    </row>
    <row r="937" ht="15.75" customHeight="1">
      <c r="C937" s="66"/>
      <c r="D937" s="66"/>
    </row>
    <row r="938" ht="15.75" customHeight="1">
      <c r="C938" s="66"/>
      <c r="D938" s="66"/>
    </row>
    <row r="939" ht="15.75" customHeight="1">
      <c r="C939" s="66"/>
      <c r="D939" s="66"/>
    </row>
    <row r="940" ht="15.75" customHeight="1">
      <c r="C940" s="66"/>
      <c r="D940" s="66"/>
    </row>
    <row r="941" ht="15.75" customHeight="1">
      <c r="C941" s="66"/>
      <c r="D941" s="66"/>
    </row>
    <row r="942" ht="15.75" customHeight="1">
      <c r="C942" s="66"/>
      <c r="D942" s="66"/>
    </row>
    <row r="943" ht="15.75" customHeight="1">
      <c r="C943" s="66"/>
      <c r="D943" s="66"/>
    </row>
    <row r="944" ht="15.75" customHeight="1">
      <c r="C944" s="66"/>
      <c r="D944" s="66"/>
    </row>
    <row r="945" ht="15.75" customHeight="1">
      <c r="C945" s="66"/>
      <c r="D945" s="66"/>
    </row>
    <row r="946" ht="15.75" customHeight="1">
      <c r="C946" s="66"/>
      <c r="D946" s="66"/>
    </row>
    <row r="947" ht="15.75" customHeight="1">
      <c r="C947" s="66"/>
      <c r="D947" s="66"/>
    </row>
    <row r="948" ht="15.75" customHeight="1">
      <c r="C948" s="66"/>
      <c r="D948" s="66"/>
    </row>
    <row r="949" ht="15.75" customHeight="1">
      <c r="C949" s="66"/>
      <c r="D949" s="66"/>
    </row>
    <row r="950" ht="15.75" customHeight="1">
      <c r="C950" s="66"/>
      <c r="D950" s="66"/>
    </row>
    <row r="951" ht="15.75" customHeight="1">
      <c r="C951" s="66"/>
      <c r="D951" s="66"/>
    </row>
    <row r="952" ht="15.75" customHeight="1">
      <c r="C952" s="66"/>
      <c r="D952" s="66"/>
    </row>
    <row r="953" ht="15.75" customHeight="1">
      <c r="C953" s="66"/>
      <c r="D953" s="66"/>
    </row>
    <row r="954" ht="15.75" customHeight="1">
      <c r="C954" s="66"/>
      <c r="D954" s="66"/>
    </row>
    <row r="955" ht="15.75" customHeight="1">
      <c r="C955" s="66"/>
      <c r="D955" s="66"/>
    </row>
    <row r="956" ht="15.75" customHeight="1">
      <c r="C956" s="66"/>
      <c r="D956" s="66"/>
    </row>
    <row r="957" ht="15.75" customHeight="1">
      <c r="C957" s="66"/>
      <c r="D957" s="66"/>
    </row>
    <row r="958" ht="15.75" customHeight="1">
      <c r="C958" s="66"/>
      <c r="D958" s="66"/>
    </row>
    <row r="959" ht="15.75" customHeight="1">
      <c r="C959" s="66"/>
      <c r="D959" s="66"/>
    </row>
    <row r="960" ht="15.75" customHeight="1">
      <c r="C960" s="66"/>
      <c r="D960" s="66"/>
    </row>
    <row r="961" ht="15.75" customHeight="1">
      <c r="C961" s="66"/>
      <c r="D961" s="66"/>
    </row>
    <row r="962" ht="15.75" customHeight="1">
      <c r="C962" s="66"/>
      <c r="D962" s="66"/>
    </row>
    <row r="963" ht="15.75" customHeight="1">
      <c r="C963" s="66"/>
      <c r="D963" s="66"/>
    </row>
    <row r="964" ht="15.75" customHeight="1">
      <c r="C964" s="66"/>
      <c r="D964" s="66"/>
    </row>
    <row r="965" ht="15.75" customHeight="1">
      <c r="C965" s="66"/>
      <c r="D965" s="66"/>
    </row>
    <row r="966" ht="15.75" customHeight="1">
      <c r="C966" s="66"/>
      <c r="D966" s="66"/>
    </row>
    <row r="967" ht="15.75" customHeight="1">
      <c r="C967" s="66"/>
      <c r="D967" s="66"/>
    </row>
    <row r="968" ht="15.75" customHeight="1">
      <c r="C968" s="66"/>
      <c r="D968" s="66"/>
    </row>
    <row r="969" ht="15.75" customHeight="1">
      <c r="C969" s="66"/>
      <c r="D969" s="66"/>
    </row>
    <row r="970" ht="15.75" customHeight="1">
      <c r="C970" s="66"/>
      <c r="D970" s="66"/>
    </row>
    <row r="971" ht="15.75" customHeight="1">
      <c r="C971" s="66"/>
      <c r="D971" s="66"/>
    </row>
    <row r="972" ht="15.75" customHeight="1">
      <c r="C972" s="66"/>
      <c r="D972" s="66"/>
    </row>
    <row r="973" ht="15.75" customHeight="1">
      <c r="C973" s="66"/>
      <c r="D973" s="66"/>
    </row>
    <row r="974" ht="15.75" customHeight="1">
      <c r="C974" s="66"/>
      <c r="D974" s="66"/>
    </row>
    <row r="975" ht="15.75" customHeight="1">
      <c r="C975" s="66"/>
      <c r="D975" s="66"/>
    </row>
    <row r="976" ht="15.75" customHeight="1">
      <c r="C976" s="66"/>
      <c r="D976" s="66"/>
    </row>
    <row r="977" ht="15.75" customHeight="1">
      <c r="C977" s="66"/>
      <c r="D977" s="66"/>
    </row>
    <row r="978" ht="15.75" customHeight="1">
      <c r="C978" s="66"/>
      <c r="D978" s="66"/>
    </row>
    <row r="979" ht="15.75" customHeight="1">
      <c r="C979" s="66"/>
      <c r="D979" s="66"/>
    </row>
    <row r="980" ht="15.75" customHeight="1">
      <c r="C980" s="66"/>
      <c r="D980" s="66"/>
    </row>
    <row r="981" ht="15.75" customHeight="1">
      <c r="C981" s="66"/>
      <c r="D981" s="66"/>
    </row>
    <row r="982" ht="15.75" customHeight="1">
      <c r="C982" s="66"/>
      <c r="D982" s="66"/>
    </row>
    <row r="983" ht="15.75" customHeight="1">
      <c r="C983" s="66"/>
      <c r="D983" s="66"/>
    </row>
    <row r="984" ht="15.75" customHeight="1">
      <c r="C984" s="66"/>
      <c r="D984" s="66"/>
    </row>
    <row r="985" ht="15.75" customHeight="1">
      <c r="C985" s="66"/>
      <c r="D985" s="66"/>
    </row>
    <row r="986" ht="15.75" customHeight="1">
      <c r="C986" s="66"/>
      <c r="D986" s="66"/>
    </row>
    <row r="987" ht="15.75" customHeight="1">
      <c r="C987" s="66"/>
      <c r="D987" s="66"/>
    </row>
    <row r="988" ht="15.75" customHeight="1">
      <c r="C988" s="66"/>
      <c r="D988" s="66"/>
    </row>
    <row r="989" ht="15.75" customHeight="1">
      <c r="C989" s="66"/>
      <c r="D989" s="66"/>
    </row>
    <row r="990" ht="15.75" customHeight="1">
      <c r="C990" s="66"/>
      <c r="D990" s="66"/>
    </row>
    <row r="991" ht="15.75" customHeight="1">
      <c r="C991" s="66"/>
      <c r="D991" s="66"/>
    </row>
    <row r="992" ht="15.75" customHeight="1">
      <c r="C992" s="66"/>
      <c r="D992" s="66"/>
    </row>
    <row r="993" ht="15.75" customHeight="1">
      <c r="C993" s="66"/>
      <c r="D993" s="66"/>
    </row>
    <row r="994" ht="15.75" customHeight="1">
      <c r="C994" s="66"/>
      <c r="D994" s="66"/>
    </row>
    <row r="995" ht="15.75" customHeight="1">
      <c r="C995" s="66"/>
      <c r="D995" s="66"/>
    </row>
    <row r="996" ht="15.75" customHeight="1">
      <c r="C996" s="66"/>
      <c r="D996" s="66"/>
    </row>
    <row r="997" ht="15.75" customHeight="1">
      <c r="C997" s="66"/>
      <c r="D997" s="66"/>
    </row>
    <row r="998" ht="15.75" customHeight="1">
      <c r="C998" s="66"/>
      <c r="D998" s="66"/>
    </row>
    <row r="999" ht="15.75" customHeight="1">
      <c r="C999" s="66"/>
      <c r="D999" s="66"/>
    </row>
    <row r="1000" ht="15.75" customHeight="1">
      <c r="C1000" s="66"/>
      <c r="D1000" s="6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2021-06-30T18:49:34Z</dcterms:created>
  <dc:creator>Methodo</dc:creator>
</cp:coreProperties>
</file>