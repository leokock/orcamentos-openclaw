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abrem 10.2020\Gran Torino\03. Custo\03.5 Custo - Determinação do orçamento\"/>
    </mc:Choice>
  </mc:AlternateContent>
  <xr:revisionPtr revIDLastSave="0" documentId="13_ncr:1_{60CE97D1-631E-4415-BE07-83704B530292}" xr6:coauthVersionLast="47" xr6:coauthVersionMax="47" xr10:uidLastSave="{00000000-0000-0000-0000-000000000000}"/>
  <bookViews>
    <workbookView xWindow="-105" yWindow="0" windowWidth="19410" windowHeight="15585" activeTab="4" xr2:uid="{00000000-000D-0000-FFFF-FFFF00000000}"/>
  </bookViews>
  <sheets>
    <sheet name="CAPA" sheetId="24" r:id="rId1"/>
    <sheet name="OBRA" sheetId="52" r:id="rId2"/>
    <sheet name="EPC's" sheetId="55" r:id="rId3"/>
    <sheet name="CANTEIRO" sheetId="54" r:id="rId4"/>
    <sheet name="ORÇAMENTO_EXECUTIVO" sheetId="1" r:id="rId5"/>
    <sheet name="MOBILIÁRIO R00" sheetId="5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0" localSheetId="3">#REF!</definedName>
    <definedName name="\0" localSheetId="0">#REF!</definedName>
    <definedName name="\0" localSheetId="2">#REF!</definedName>
    <definedName name="\0" localSheetId="5">#REF!</definedName>
    <definedName name="\0" localSheetId="1">#REF!</definedName>
    <definedName name="\0">#REF!</definedName>
    <definedName name="\a" localSheetId="0">#REF!</definedName>
    <definedName name="\a" localSheetId="2">#REF!</definedName>
    <definedName name="\a" localSheetId="5">#REF!</definedName>
    <definedName name="\a" localSheetId="1">#REF!</definedName>
    <definedName name="\a">#REF!</definedName>
    <definedName name="\m" localSheetId="2">#REF!</definedName>
    <definedName name="\m" localSheetId="5">#REF!</definedName>
    <definedName name="\m" localSheetId="1">#REF!</definedName>
    <definedName name="\m">#REF!</definedName>
    <definedName name="_FilterDatabase" localSheetId="5" hidden="1">'MOBILIÁRIO R00'!$E$10:$H$184</definedName>
    <definedName name="_xlnm._FilterDatabase" localSheetId="0" hidden="1">CAPA!#REF!</definedName>
    <definedName name="_xlnm._FilterDatabase" localSheetId="2" hidden="1">'EPC''s'!#REF!</definedName>
    <definedName name="_xlnm._FilterDatabase" localSheetId="1" hidden="1">OBRA!#REF!</definedName>
    <definedName name="_xlnm._FilterDatabase" localSheetId="4" hidden="1">ORÇAMENTO_EXECUTIVO!$A$12:$H$1701</definedName>
    <definedName name="aa" localSheetId="3">#REF!</definedName>
    <definedName name="aa" localSheetId="0">#REF!</definedName>
    <definedName name="aa" localSheetId="2">#REF!</definedName>
    <definedName name="aa" localSheetId="5">#REF!</definedName>
    <definedName name="aa" localSheetId="1">#REF!</definedName>
    <definedName name="aa">#REF!</definedName>
    <definedName name="aaaa" localSheetId="3">'[1]M.O.'!#REF!</definedName>
    <definedName name="aaaa" localSheetId="0">'[1]M.O.'!#REF!</definedName>
    <definedName name="aaaa" localSheetId="2">'[1]M.O.'!#REF!</definedName>
    <definedName name="aaaa" localSheetId="5">'[1]M.O.'!#REF!</definedName>
    <definedName name="aaaa" localSheetId="1">'[1]M.O.'!#REF!</definedName>
    <definedName name="aaaa">'[1]M.O.'!#REF!</definedName>
    <definedName name="angelo" localSheetId="0">[2]Geral!#REF!</definedName>
    <definedName name="angelo" localSheetId="2">[2]Geral!#REF!</definedName>
    <definedName name="angelo" localSheetId="5">[2]Geral!#REF!</definedName>
    <definedName name="angelo" localSheetId="1">[2]Geral!#REF!</definedName>
    <definedName name="angelo">[2]Geral!#REF!</definedName>
    <definedName name="area" localSheetId="5">#REF!</definedName>
    <definedName name="area">#REF!</definedName>
    <definedName name="_xlnm.Print_Area" localSheetId="3">#REF!</definedName>
    <definedName name="_xlnm.Print_Area" localSheetId="0">CAPA!$A$1:$F$56</definedName>
    <definedName name="_xlnm.Print_Area" localSheetId="2">'EPC''s'!$A$1:$F$65</definedName>
    <definedName name="_xlnm.Print_Area" localSheetId="1">OBRA!$A$1:$E$14</definedName>
    <definedName name="_xlnm.Print_Area" localSheetId="4">ORÇAMENTO_EXECUTIVO!$A$1:$H$1698</definedName>
    <definedName name="_xlnm.Print_Area">#REF!</definedName>
    <definedName name="Areaimpresso" localSheetId="5">#REF!</definedName>
    <definedName name="Areaimpresso">#REF!</definedName>
    <definedName name="aux" localSheetId="0">#REF!</definedName>
    <definedName name="aux" localSheetId="2">#REF!</definedName>
    <definedName name="aux" localSheetId="5">#REF!</definedName>
    <definedName name="aux" localSheetId="1">#REF!</definedName>
    <definedName name="aux">#REF!</definedName>
    <definedName name="BDA" localSheetId="0">#REF!</definedName>
    <definedName name="BDA" localSheetId="2">#REF!</definedName>
    <definedName name="BDA" localSheetId="5">#REF!</definedName>
    <definedName name="BDA" localSheetId="1">#REF!</definedName>
    <definedName name="BDA">#REF!</definedName>
    <definedName name="BDI" localSheetId="5">#REF!</definedName>
    <definedName name="BDI">#REF!</definedName>
    <definedName name="ca" localSheetId="5">#REF!</definedName>
    <definedName name="ca">#REF!</definedName>
    <definedName name="Capa" localSheetId="5">#REF!</definedName>
    <definedName name="Capa">#REF!</definedName>
    <definedName name="cronograma" localSheetId="3">#REF!</definedName>
    <definedName name="cronograma" localSheetId="2">#REF!</definedName>
    <definedName name="cronograma" localSheetId="5">#REF!</definedName>
    <definedName name="cronograma" localSheetId="1">#REF!</definedName>
    <definedName name="cronograma">#REF!</definedName>
    <definedName name="D" localSheetId="5">#REF!</definedName>
    <definedName name="D" localSheetId="1">#REF!</definedName>
    <definedName name="D">#REF!</definedName>
    <definedName name="direto" localSheetId="5">#REF!</definedName>
    <definedName name="direto" localSheetId="1">#REF!</definedName>
    <definedName name="direto">#REF!</definedName>
    <definedName name="DRE" localSheetId="5">#REF!</definedName>
    <definedName name="DRE">#REF!</definedName>
    <definedName name="ea" localSheetId="5">#REF!</definedName>
    <definedName name="ea">#REF!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3">#REF!</definedName>
    <definedName name="FFFFFFF" localSheetId="0">#REF!</definedName>
    <definedName name="FFFFFFF" localSheetId="2">#REF!</definedName>
    <definedName name="FFFFFFF" localSheetId="5">#REF!</definedName>
    <definedName name="FFFFFFF" localSheetId="1">#REF!</definedName>
    <definedName name="FFFFFFF">#REF!</definedName>
    <definedName name="item_1" localSheetId="3">#REF!</definedName>
    <definedName name="item_1" localSheetId="2">#REF!</definedName>
    <definedName name="item_1" localSheetId="5">#REF!</definedName>
    <definedName name="item_1" localSheetId="1">#REF!</definedName>
    <definedName name="item_1">#REF!</definedName>
    <definedName name="LS" localSheetId="3">'[1]M.O.'!#REF!</definedName>
    <definedName name="LS" localSheetId="2">'[1]M.O.'!#REF!</definedName>
    <definedName name="LS" localSheetId="5">'[1]M.O.'!#REF!</definedName>
    <definedName name="LS" localSheetId="1">'[1]M.O.'!#REF!</definedName>
    <definedName name="LS">'[1]M.O.'!#REF!</definedName>
    <definedName name="MENU" localSheetId="3">#REF!</definedName>
    <definedName name="MENU" localSheetId="0">#REF!</definedName>
    <definedName name="MENU" localSheetId="2">#REF!</definedName>
    <definedName name="MENU" localSheetId="5">#REF!</definedName>
    <definedName name="MENU" localSheetId="1">#REF!</definedName>
    <definedName name="MENU">#REF!</definedName>
    <definedName name="MENU1" localSheetId="0">#REF!</definedName>
    <definedName name="MENU1" localSheetId="2">#REF!</definedName>
    <definedName name="MENU1" localSheetId="5">#REF!</definedName>
    <definedName name="MENU1" localSheetId="1">#REF!</definedName>
    <definedName name="MENU1">#REF!</definedName>
    <definedName name="MENU2" localSheetId="0">#REF!</definedName>
    <definedName name="MENU2" localSheetId="2">#REF!</definedName>
    <definedName name="MENU2" localSheetId="5">#REF!</definedName>
    <definedName name="MENU2" localSheetId="1">#REF!</definedName>
    <definedName name="MENU2">#REF!</definedName>
    <definedName name="MENU3" localSheetId="5">#REF!</definedName>
    <definedName name="MENU3">#REF!</definedName>
    <definedName name="MENU4" localSheetId="5">#REF!</definedName>
    <definedName name="MENU4">#REF!</definedName>
    <definedName name="MENU5" localSheetId="5">#REF!</definedName>
    <definedName name="MENU5">#REF!</definedName>
    <definedName name="MENU6" localSheetId="5">#REF!</definedName>
    <definedName name="MENU6">#REF!</definedName>
    <definedName name="mo" localSheetId="5">#REF!</definedName>
    <definedName name="mo">#REF!</definedName>
    <definedName name="OAE" localSheetId="5">#REF!</definedName>
    <definedName name="OAE">#REF!</definedName>
    <definedName name="ParamValues1" localSheetId="5">[3]ParamValues!$A$1:$A$39</definedName>
    <definedName name="ParamValues1" localSheetId="1">[3]ParamValues!$A$1:$A$39</definedName>
    <definedName name="ParamValues1">[4]ParamValues!$A$1:$A$11</definedName>
    <definedName name="PAV" localSheetId="3">#REF!</definedName>
    <definedName name="PAV" localSheetId="2">#REF!</definedName>
    <definedName name="PAV" localSheetId="5">#REF!</definedName>
    <definedName name="PAV" localSheetId="1">#REF!</definedName>
    <definedName name="PAV">#REF!</definedName>
    <definedName name="pr" localSheetId="5">#REF!</definedName>
    <definedName name="pr" localSheetId="1">#REF!</definedName>
    <definedName name="pr">#REF!</definedName>
    <definedName name="PRE" localSheetId="5">#REF!</definedName>
    <definedName name="PRE" localSheetId="1">#REF!</definedName>
    <definedName name="PRE">#REF!</definedName>
    <definedName name="Print_Area" localSheetId="5">'MOBILIÁRIO R00'!$B$1:$H$94</definedName>
    <definedName name="Print_Area">#REF!</definedName>
    <definedName name="Print_Area_MI" localSheetId="5">#REF!</definedName>
    <definedName name="Print_Area_MI">#REF!</definedName>
    <definedName name="Print_Titles" localSheetId="5">#REF!</definedName>
    <definedName name="Print_Titles">#REF!</definedName>
    <definedName name="qe" localSheetId="5">#REF!</definedName>
    <definedName name="qe">#REF!</definedName>
    <definedName name="qee" localSheetId="5">#REF!</definedName>
    <definedName name="qee">#REF!</definedName>
    <definedName name="reforsu" localSheetId="5">#REF!</definedName>
    <definedName name="reforsu">#REF!</definedName>
    <definedName name="ren" localSheetId="5">#REF!</definedName>
    <definedName name="ren">#REF!</definedName>
    <definedName name="REV" localSheetId="5">#REF!</definedName>
    <definedName name="REV">#REF!</definedName>
    <definedName name="sa" localSheetId="5">#REF!</definedName>
    <definedName name="sa">#REF!</definedName>
    <definedName name="SEG" localSheetId="5">#REF!</definedName>
    <definedName name="SEG">#REF!</definedName>
    <definedName name="SIH" localSheetId="5">#REF!</definedName>
    <definedName name="SIH">#REF!</definedName>
    <definedName name="SIV" localSheetId="5">#REF!</definedName>
    <definedName name="SIV">#REF!</definedName>
    <definedName name="ss" localSheetId="5">#REF!</definedName>
    <definedName name="ss">#REF!</definedName>
    <definedName name="susref" localSheetId="5">#REF!</definedName>
    <definedName name="susref">#REF!</definedName>
    <definedName name="tania" localSheetId="5">#REF!</definedName>
    <definedName name="tania">#REF!</definedName>
    <definedName name="tc" localSheetId="5">#REF!</definedName>
    <definedName name="tc">#REF!</definedName>
    <definedName name="titulos" localSheetId="5">#REF!</definedName>
    <definedName name="titulos">#REF!</definedName>
    <definedName name="_xlnm.Print_Titles" localSheetId="3">#REF!</definedName>
    <definedName name="_xlnm.Print_Titles" localSheetId="0">CAPA!$1:$5</definedName>
    <definedName name="_xlnm.Print_Titles" localSheetId="2">'EPC''s'!$1:$7</definedName>
    <definedName name="_xlnm.Print_Titles" localSheetId="1">OBRA!$1:$7</definedName>
    <definedName name="_xlnm.Print_Titles">#REF!</definedName>
    <definedName name="TOT" localSheetId="0">#REF!</definedName>
    <definedName name="TOT" localSheetId="2">#REF!</definedName>
    <definedName name="TOT" localSheetId="5">#REF!</definedName>
    <definedName name="TOT" localSheetId="1">#REF!</definedName>
    <definedName name="TOT">#REF!</definedName>
    <definedName name="Total" localSheetId="0">#REF!</definedName>
    <definedName name="Total" localSheetId="2">#REF!</definedName>
    <definedName name="Total" localSheetId="5">#REF!</definedName>
    <definedName name="Total" localSheetId="1">#REF!</definedName>
    <definedName name="Total">#REF!</definedName>
    <definedName name="TRP" localSheetId="5">#REF!</definedName>
    <definedName name="TRP">#REF!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3">#REF!</definedName>
    <definedName name="xxxx" localSheetId="0">#REF!</definedName>
    <definedName name="xxxx" localSheetId="2">#REF!</definedName>
    <definedName name="xxxx" localSheetId="5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6" i="1" l="1"/>
  <c r="F1685" i="1"/>
  <c r="H183" i="56" l="1"/>
  <c r="F179" i="56"/>
  <c r="F180" i="56" s="1"/>
  <c r="F181" i="56" s="1"/>
  <c r="D179" i="56"/>
  <c r="G177" i="56"/>
  <c r="H176" i="56"/>
  <c r="F176" i="56"/>
  <c r="H175" i="56"/>
  <c r="F174" i="56"/>
  <c r="H173" i="56"/>
  <c r="H172" i="56"/>
  <c r="H171" i="56"/>
  <c r="H170" i="56"/>
  <c r="H169" i="56"/>
  <c r="H168" i="56"/>
  <c r="H167" i="56"/>
  <c r="H166" i="56"/>
  <c r="H165" i="56"/>
  <c r="H164" i="56"/>
  <c r="H163" i="56"/>
  <c r="H162" i="56"/>
  <c r="H161" i="56"/>
  <c r="H160" i="56"/>
  <c r="H159" i="56"/>
  <c r="H158" i="56"/>
  <c r="H157" i="56"/>
  <c r="H156" i="56"/>
  <c r="H155" i="56"/>
  <c r="H154" i="56"/>
  <c r="H153" i="56"/>
  <c r="H152" i="56"/>
  <c r="H151" i="56"/>
  <c r="G150" i="56"/>
  <c r="H150" i="56" s="1"/>
  <c r="H174" i="56" s="1"/>
  <c r="H149" i="56"/>
  <c r="H148" i="56"/>
  <c r="H147" i="56"/>
  <c r="H146" i="56"/>
  <c r="H145" i="56"/>
  <c r="F145" i="56"/>
  <c r="F177" i="56" s="1"/>
  <c r="H144" i="56"/>
  <c r="H143" i="56"/>
  <c r="F142" i="56"/>
  <c r="H141" i="56"/>
  <c r="H140" i="56"/>
  <c r="H139" i="56"/>
  <c r="H138" i="56"/>
  <c r="H137" i="56"/>
  <c r="H136" i="56"/>
  <c r="H135" i="56"/>
  <c r="H134" i="56"/>
  <c r="H133" i="56"/>
  <c r="H132" i="56"/>
  <c r="H131" i="56"/>
  <c r="H130" i="56"/>
  <c r="H129" i="56"/>
  <c r="H128" i="56"/>
  <c r="H127" i="56"/>
  <c r="H126" i="56"/>
  <c r="H125" i="56"/>
  <c r="H142" i="56" s="1"/>
  <c r="H124" i="56"/>
  <c r="H123" i="56"/>
  <c r="H122" i="56"/>
  <c r="H121" i="56"/>
  <c r="H120" i="56"/>
  <c r="H119" i="56"/>
  <c r="F118" i="56"/>
  <c r="H117" i="56"/>
  <c r="H116" i="56"/>
  <c r="H115" i="56"/>
  <c r="H114" i="56"/>
  <c r="H118" i="56" s="1"/>
  <c r="F113" i="56"/>
  <c r="H112" i="56"/>
  <c r="H111" i="56"/>
  <c r="H110" i="56"/>
  <c r="H109" i="56"/>
  <c r="H108" i="56"/>
  <c r="H107" i="56"/>
  <c r="H106" i="56"/>
  <c r="H105" i="56"/>
  <c r="H104" i="56"/>
  <c r="H103" i="56"/>
  <c r="H102" i="56"/>
  <c r="H101" i="56"/>
  <c r="H100" i="56"/>
  <c r="H99" i="56"/>
  <c r="H98" i="56"/>
  <c r="H97" i="56"/>
  <c r="H96" i="56"/>
  <c r="H95" i="56"/>
  <c r="H113" i="56" s="1"/>
  <c r="F94" i="56"/>
  <c r="H93" i="56"/>
  <c r="H92" i="56"/>
  <c r="H91" i="56"/>
  <c r="H90" i="56"/>
  <c r="H89" i="56"/>
  <c r="H88" i="56"/>
  <c r="H94" i="56" s="1"/>
  <c r="F87" i="56"/>
  <c r="H86" i="56"/>
  <c r="H87" i="56" s="1"/>
  <c r="F85" i="56"/>
  <c r="H84" i="56"/>
  <c r="G83" i="56"/>
  <c r="H83" i="56" s="1"/>
  <c r="H85" i="56" s="1"/>
  <c r="F82" i="56"/>
  <c r="H81" i="56"/>
  <c r="H80" i="56"/>
  <c r="H79" i="56"/>
  <c r="H78" i="56"/>
  <c r="H77" i="56"/>
  <c r="H76" i="56"/>
  <c r="H75" i="56"/>
  <c r="H74" i="56"/>
  <c r="H73" i="56"/>
  <c r="H72" i="56"/>
  <c r="H71" i="56"/>
  <c r="H70" i="56"/>
  <c r="H69" i="56"/>
  <c r="H68" i="56"/>
  <c r="H67" i="56"/>
  <c r="H66" i="56"/>
  <c r="H82" i="56" s="1"/>
  <c r="F65" i="56"/>
  <c r="H64" i="56"/>
  <c r="H63" i="56"/>
  <c r="H62" i="56"/>
  <c r="H61" i="56"/>
  <c r="H60" i="56"/>
  <c r="H59" i="56"/>
  <c r="H58" i="56"/>
  <c r="H57" i="56"/>
  <c r="H56" i="56"/>
  <c r="H55" i="56"/>
  <c r="H54" i="56"/>
  <c r="H53" i="56"/>
  <c r="H52" i="56"/>
  <c r="H51" i="56"/>
  <c r="H50" i="56"/>
  <c r="H49" i="56"/>
  <c r="H65" i="56" s="1"/>
  <c r="F48" i="56"/>
  <c r="H47" i="56"/>
  <c r="H46" i="56"/>
  <c r="H45" i="56"/>
  <c r="H44" i="56"/>
  <c r="H43" i="56"/>
  <c r="H42" i="56"/>
  <c r="H48" i="56" s="1"/>
  <c r="D42" i="56"/>
  <c r="D187" i="56" s="1"/>
  <c r="H41" i="56"/>
  <c r="F41" i="56"/>
  <c r="H40" i="56"/>
  <c r="H39" i="56"/>
  <c r="H38" i="56"/>
  <c r="F37" i="56"/>
  <c r="H36" i="56"/>
  <c r="H35" i="56"/>
  <c r="H34" i="56"/>
  <c r="H33" i="56"/>
  <c r="H32" i="56"/>
  <c r="H31" i="56"/>
  <c r="H30" i="56"/>
  <c r="H29" i="56"/>
  <c r="H28" i="56"/>
  <c r="H27" i="56"/>
  <c r="H26" i="56"/>
  <c r="H25" i="56"/>
  <c r="H37" i="56" s="1"/>
  <c r="H24" i="56"/>
  <c r="H23" i="56"/>
  <c r="H22" i="56"/>
  <c r="H21" i="56"/>
  <c r="F19" i="56"/>
  <c r="F20" i="56" s="1"/>
  <c r="H18" i="56"/>
  <c r="H17" i="56"/>
  <c r="H16" i="56"/>
  <c r="H15" i="56"/>
  <c r="H14" i="56"/>
  <c r="H13" i="56"/>
  <c r="H12" i="56"/>
  <c r="H11" i="56"/>
  <c r="H19" i="56" s="1"/>
  <c r="H20" i="56" s="1"/>
  <c r="G11" i="56"/>
  <c r="H177" i="56" l="1"/>
  <c r="H182" i="56" s="1"/>
  <c r="H184" i="56" s="1"/>
  <c r="H185" i="56" s="1"/>
  <c r="H179" i="56"/>
  <c r="H180" i="56" s="1"/>
  <c r="H181" i="56" s="1"/>
  <c r="D889" i="1" l="1"/>
  <c r="F82" i="1"/>
  <c r="D896" i="1" l="1"/>
  <c r="D884" i="1"/>
  <c r="D891" i="1" s="1"/>
  <c r="D866" i="1"/>
  <c r="D877" i="1" s="1"/>
  <c r="D862" i="1"/>
  <c r="D864" i="1"/>
  <c r="D876" i="1" s="1"/>
  <c r="D850" i="1"/>
  <c r="D848" i="1"/>
  <c r="D832" i="1"/>
  <c r="D830" i="1"/>
  <c r="D828" i="1"/>
  <c r="D834" i="1" s="1"/>
  <c r="D843" i="1" s="1"/>
  <c r="D818" i="1"/>
  <c r="D810" i="1"/>
  <c r="D802" i="1"/>
  <c r="D786" i="1"/>
  <c r="D782" i="1" s="1"/>
  <c r="D790" i="1"/>
  <c r="D794" i="1"/>
  <c r="F103" i="1" l="1"/>
  <c r="F102" i="1"/>
  <c r="F101" i="1"/>
  <c r="F100" i="1"/>
  <c r="F98" i="1" l="1"/>
  <c r="F97" i="1"/>
  <c r="F96" i="1"/>
  <c r="F108" i="1"/>
  <c r="F107" i="1"/>
  <c r="F104" i="1"/>
  <c r="F105" i="1"/>
  <c r="F99" i="1"/>
  <c r="F106" i="1" l="1"/>
  <c r="F95" i="1"/>
  <c r="F87" i="1"/>
  <c r="F86" i="1"/>
  <c r="F75" i="1"/>
  <c r="F94" i="1" l="1"/>
  <c r="F72" i="1"/>
  <c r="F73" i="1"/>
  <c r="F74" i="1"/>
  <c r="F71" i="1"/>
  <c r="F70" i="1"/>
  <c r="F90" i="1"/>
  <c r="F91" i="1"/>
  <c r="F92" i="1"/>
  <c r="F93" i="1"/>
  <c r="F89" i="1"/>
  <c r="F83" i="1"/>
  <c r="F84" i="1"/>
  <c r="F85" i="1"/>
  <c r="F81" i="1"/>
  <c r="F78" i="1"/>
  <c r="F79" i="1"/>
  <c r="F77" i="1"/>
  <c r="F66" i="1"/>
  <c r="F67" i="1"/>
  <c r="F65" i="1"/>
  <c r="F64" i="1"/>
  <c r="F63" i="1"/>
  <c r="F62" i="1"/>
  <c r="F61" i="1"/>
  <c r="D13" i="54"/>
  <c r="D19" i="54" s="1"/>
  <c r="D11" i="54"/>
  <c r="D59" i="55"/>
  <c r="D45" i="55"/>
  <c r="D46" i="55" s="1"/>
  <c r="D39" i="55"/>
  <c r="D40" i="55" s="1"/>
  <c r="D37" i="55"/>
  <c r="D29" i="55"/>
  <c r="D28" i="55"/>
  <c r="D32" i="55" s="1"/>
  <c r="D21" i="55"/>
  <c r="D23" i="55" s="1"/>
  <c r="D51" i="55" s="1"/>
  <c r="D52" i="55" s="1"/>
  <c r="D16" i="55"/>
  <c r="D15" i="55"/>
  <c r="O49" i="54"/>
  <c r="O37" i="54"/>
  <c r="F33" i="54"/>
  <c r="F32" i="54"/>
  <c r="D31" i="54"/>
  <c r="F31" i="54" s="1"/>
  <c r="F34" i="54" s="1"/>
  <c r="F28" i="54"/>
  <c r="D28" i="54"/>
  <c r="D24" i="54" s="1"/>
  <c r="F24" i="54" s="1"/>
  <c r="F27" i="54"/>
  <c r="F29" i="54" s="1"/>
  <c r="F26" i="54"/>
  <c r="F25" i="54"/>
  <c r="D16" i="54"/>
  <c r="O11" i="54"/>
  <c r="O12" i="54" s="1"/>
  <c r="O7" i="54"/>
  <c r="O5" i="54"/>
  <c r="O4" i="54"/>
  <c r="O39" i="54" s="1"/>
  <c r="F58" i="1"/>
  <c r="F52" i="1"/>
  <c r="F53" i="1"/>
  <c r="F54" i="1"/>
  <c r="F48" i="1"/>
  <c r="F49" i="1"/>
  <c r="F50" i="1"/>
  <c r="F51" i="1"/>
  <c r="F47" i="1"/>
  <c r="F40" i="1"/>
  <c r="F32" i="1"/>
  <c r="F33" i="1"/>
  <c r="F28" i="1"/>
  <c r="F29" i="1"/>
  <c r="F30" i="1"/>
  <c r="F35" i="1"/>
  <c r="F44" i="1"/>
  <c r="F43" i="1"/>
  <c r="F39" i="1"/>
  <c r="F41" i="1"/>
  <c r="F38" i="1"/>
  <c r="F24" i="1"/>
  <c r="F25" i="1"/>
  <c r="F26" i="1"/>
  <c r="F27" i="1"/>
  <c r="F31" i="1"/>
  <c r="F34" i="1"/>
  <c r="F36" i="1"/>
  <c r="F23" i="1"/>
  <c r="F18" i="1"/>
  <c r="F19" i="1"/>
  <c r="F20" i="1"/>
  <c r="F21" i="1"/>
  <c r="F17" i="1"/>
  <c r="F80" i="1" l="1"/>
  <c r="F76" i="1"/>
  <c r="F69" i="1"/>
  <c r="F88" i="1"/>
  <c r="F60" i="1"/>
  <c r="E13" i="54"/>
  <c r="D15" i="54"/>
  <c r="O14" i="54"/>
  <c r="D17" i="54"/>
  <c r="D18" i="54"/>
  <c r="F59" i="1" s="1"/>
  <c r="F57" i="1" s="1"/>
  <c r="S4" i="54"/>
  <c r="O6" i="54"/>
  <c r="F16" i="1"/>
  <c r="F46" i="1"/>
  <c r="F45" i="1" s="1"/>
  <c r="F42" i="1"/>
  <c r="F37" i="1"/>
  <c r="F22" i="1"/>
  <c r="F56" i="1" l="1"/>
  <c r="F68" i="1"/>
  <c r="O57" i="54"/>
  <c r="O51" i="54"/>
  <c r="O45" i="54"/>
  <c r="O34" i="54"/>
  <c r="O20" i="54"/>
  <c r="O33" i="54"/>
  <c r="O17" i="54"/>
  <c r="O31" i="54"/>
  <c r="O53" i="54"/>
  <c r="F15" i="1"/>
  <c r="F14" i="1" s="1"/>
  <c r="F55" i="1" l="1"/>
  <c r="F13" i="1" s="1"/>
  <c r="O41" i="54"/>
  <c r="F778" i="1" l="1"/>
  <c r="F777" i="1" l="1"/>
  <c r="F776" i="1"/>
  <c r="F773" i="1"/>
  <c r="F772" i="1"/>
  <c r="F769" i="1"/>
  <c r="F768" i="1"/>
  <c r="F765" i="1"/>
  <c r="F764" i="1" s="1"/>
  <c r="F763" i="1" s="1"/>
  <c r="F775" i="1" l="1"/>
  <c r="F774" i="1" s="1"/>
  <c r="F771" i="1"/>
  <c r="F770" i="1" s="1"/>
  <c r="F767" i="1"/>
  <c r="F766" i="1" s="1"/>
  <c r="F762" i="1" l="1"/>
  <c r="G762" i="1" l="1"/>
  <c r="F701" i="1"/>
  <c r="F700" i="1" s="1"/>
  <c r="F703" i="1"/>
  <c r="F702" i="1" s="1"/>
  <c r="F696" i="1"/>
  <c r="F695" i="1" s="1"/>
  <c r="F699" i="1" l="1"/>
  <c r="F130" i="1" l="1"/>
  <c r="F408" i="1" l="1"/>
  <c r="F401" i="1"/>
  <c r="F383" i="1"/>
  <c r="F419" i="1" l="1"/>
  <c r="F390" i="1"/>
  <c r="F372" i="1"/>
  <c r="F1254" i="1"/>
  <c r="F1253" i="1"/>
  <c r="F1225" i="1"/>
  <c r="F1226" i="1"/>
  <c r="F1199" i="1"/>
  <c r="F1198" i="1"/>
  <c r="F1174" i="1"/>
  <c r="F1158" i="1"/>
  <c r="F1141" i="1"/>
  <c r="F1124" i="1"/>
  <c r="F1123" i="1"/>
  <c r="F1108" i="1"/>
  <c r="F1266" i="1"/>
  <c r="F1239" i="1"/>
  <c r="F1238" i="1" s="1"/>
  <c r="F1215" i="1"/>
  <c r="F1214" i="1" s="1"/>
  <c r="F1188" i="1"/>
  <c r="F1187" i="1" s="1"/>
  <c r="F1168" i="1"/>
  <c r="F1167" i="1" s="1"/>
  <c r="F1152" i="1"/>
  <c r="F1151" i="1" s="1"/>
  <c r="F1143" i="1"/>
  <c r="F1111" i="1"/>
  <c r="F1110" i="1" s="1"/>
  <c r="F1271" i="1"/>
  <c r="F1263" i="1"/>
  <c r="F1262" i="1" s="1"/>
  <c r="F1257" i="1"/>
  <c r="F1230" i="1"/>
  <c r="F1194" i="1"/>
  <c r="F1193" i="1" s="1"/>
  <c r="F1170" i="1"/>
  <c r="F1169" i="1" s="1"/>
  <c r="F1154" i="1"/>
  <c r="F1153" i="1" s="1"/>
  <c r="F1142" i="1"/>
  <c r="F1138" i="1"/>
  <c r="F1137" i="1" s="1"/>
  <c r="F1117" i="1"/>
  <c r="F1116" i="1" s="1"/>
  <c r="F1256" i="1"/>
  <c r="F1252" i="1"/>
  <c r="F1246" i="1"/>
  <c r="F1248" i="1"/>
  <c r="F1218" i="1"/>
  <c r="F1217" i="1"/>
  <c r="F1219" i="1"/>
  <c r="F1126" i="1"/>
  <c r="F1127" i="1"/>
  <c r="F1202" i="1"/>
  <c r="F1203" i="1"/>
  <c r="F1192" i="1"/>
  <c r="F1115" i="1"/>
  <c r="F1114" i="1"/>
  <c r="F1122" i="1"/>
  <c r="F1103" i="1"/>
  <c r="F1105" i="1"/>
  <c r="F1109" i="1"/>
  <c r="F1107" i="1"/>
  <c r="F1113" i="1"/>
  <c r="F1134" i="1"/>
  <c r="F1133" i="1" s="1"/>
  <c r="F1132" i="1"/>
  <c r="F1131" i="1"/>
  <c r="F1140" i="1"/>
  <c r="F1150" i="1"/>
  <c r="F1149" i="1" s="1"/>
  <c r="F1148" i="1"/>
  <c r="F1147" i="1"/>
  <c r="F1157" i="1"/>
  <c r="F1156" i="1"/>
  <c r="F1173" i="1"/>
  <c r="F1172" i="1"/>
  <c r="F1164" i="1"/>
  <c r="F1163" i="1"/>
  <c r="F1166" i="1"/>
  <c r="F1165" i="1" s="1"/>
  <c r="F1196" i="1"/>
  <c r="F1182" i="1"/>
  <c r="F1183" i="1"/>
  <c r="F1179" i="1"/>
  <c r="F1191" i="1"/>
  <c r="F1190" i="1"/>
  <c r="F1186" i="1"/>
  <c r="F1185" i="1"/>
  <c r="F1244" i="1"/>
  <c r="F1243" i="1"/>
  <c r="F1247" i="1"/>
  <c r="F1251" i="1"/>
  <c r="F1234" i="1"/>
  <c r="F1235" i="1"/>
  <c r="F1237" i="1"/>
  <c r="F1233" i="1"/>
  <c r="F1236" i="1"/>
  <c r="F1207" i="1"/>
  <c r="F1210" i="1"/>
  <c r="F1209" i="1"/>
  <c r="F1208" i="1"/>
  <c r="F1206" i="1"/>
  <c r="F1181" i="1"/>
  <c r="F1180" i="1"/>
  <c r="F1102" i="1"/>
  <c r="F1119" i="1"/>
  <c r="F1014" i="1"/>
  <c r="F1216" i="1" l="1"/>
  <c r="F1121" i="1"/>
  <c r="F354" i="1"/>
  <c r="F365" i="1"/>
  <c r="F1213" i="1"/>
  <c r="F1212" i="1"/>
  <c r="F1261" i="1"/>
  <c r="F1260" i="1" s="1"/>
  <c r="F1106" i="1"/>
  <c r="F1136" i="1"/>
  <c r="F1135" i="1" s="1"/>
  <c r="F1221" i="1"/>
  <c r="F1220" i="1" s="1"/>
  <c r="F1159" i="1"/>
  <c r="F1200" i="1"/>
  <c r="F1227" i="1"/>
  <c r="F1175" i="1"/>
  <c r="F1258" i="1"/>
  <c r="F1241" i="1"/>
  <c r="F1240" i="1" s="1"/>
  <c r="F1245" i="1"/>
  <c r="F1255" i="1"/>
  <c r="F1269" i="1"/>
  <c r="F1268" i="1" s="1"/>
  <c r="F1265" i="1"/>
  <c r="F1264" i="1" s="1"/>
  <c r="F1125" i="1"/>
  <c r="F1160" i="1"/>
  <c r="F1176" i="1"/>
  <c r="F1128" i="1"/>
  <c r="F1144" i="1"/>
  <c r="F1139" i="1" s="1"/>
  <c r="F1201" i="1"/>
  <c r="F1229" i="1"/>
  <c r="F1146" i="1"/>
  <c r="F1228" i="1"/>
  <c r="F1189" i="1"/>
  <c r="F1112" i="1"/>
  <c r="F1270" i="1"/>
  <c r="F1130" i="1"/>
  <c r="F1101" i="1"/>
  <c r="F1120" i="1"/>
  <c r="F1104" i="1"/>
  <c r="F1184" i="1"/>
  <c r="F1178" i="1"/>
  <c r="F1205" i="1"/>
  <c r="F1242" i="1"/>
  <c r="F1197" i="1"/>
  <c r="F1223" i="1"/>
  <c r="F1224" i="1"/>
  <c r="F1232" i="1"/>
  <c r="F1250" i="1"/>
  <c r="F1162" i="1"/>
  <c r="F1129" i="1" l="1"/>
  <c r="F1211" i="1"/>
  <c r="F1171" i="1"/>
  <c r="F1161" i="1" s="1"/>
  <c r="F1267" i="1"/>
  <c r="F1155" i="1"/>
  <c r="F1145" i="1" s="1"/>
  <c r="F1259" i="1"/>
  <c r="F1195" i="1"/>
  <c r="F1177" i="1" s="1"/>
  <c r="F1249" i="1"/>
  <c r="F1231" i="1" s="1"/>
  <c r="F1118" i="1"/>
  <c r="F1100" i="1"/>
  <c r="F1222" i="1"/>
  <c r="F1204" i="1" l="1"/>
  <c r="F1099" i="1"/>
  <c r="F1098" i="1" l="1"/>
  <c r="F1006" i="1" l="1"/>
  <c r="F1550" i="1" l="1"/>
  <c r="F1641" i="1" l="1"/>
  <c r="F1640" i="1"/>
  <c r="F1629" i="1"/>
  <c r="F1624" i="1"/>
  <c r="F1608" i="1"/>
  <c r="F1607" i="1" s="1"/>
  <c r="F1591" i="1"/>
  <c r="F1639" i="1" l="1"/>
  <c r="F1623" i="1"/>
  <c r="F1622" i="1" s="1"/>
  <c r="F1692" i="1" l="1"/>
  <c r="F1691" i="1" s="1"/>
  <c r="F1695" i="1"/>
  <c r="F1694" i="1"/>
  <c r="F1697" i="1"/>
  <c r="F1696" i="1" s="1"/>
  <c r="F1690" i="1"/>
  <c r="F1689" i="1" s="1"/>
  <c r="F1693" i="1" l="1"/>
  <c r="F1688" i="1"/>
  <c r="F1687" i="1" s="1"/>
  <c r="F1666" i="1" l="1"/>
  <c r="F1669" i="1"/>
  <c r="F1667" i="1"/>
  <c r="F1654" i="1"/>
  <c r="F1657" i="1"/>
  <c r="F1658" i="1"/>
  <c r="F1646" i="1"/>
  <c r="F1645" i="1"/>
  <c r="F1643" i="1"/>
  <c r="F1637" i="1"/>
  <c r="F1638" i="1"/>
  <c r="F1628" i="1"/>
  <c r="F1626" i="1"/>
  <c r="F1621" i="1"/>
  <c r="F1620" i="1"/>
  <c r="F1606" i="1"/>
  <c r="F1610" i="1"/>
  <c r="F1612" i="1"/>
  <c r="F1605" i="1"/>
  <c r="F1664" i="1"/>
  <c r="F1663" i="1"/>
  <c r="F1662" i="1"/>
  <c r="F1661" i="1"/>
  <c r="F1652" i="1"/>
  <c r="F1651" i="1"/>
  <c r="F1650" i="1"/>
  <c r="F1649" i="1"/>
  <c r="F1635" i="1"/>
  <c r="F1634" i="1"/>
  <c r="F1633" i="1"/>
  <c r="F1632" i="1"/>
  <c r="F1618" i="1"/>
  <c r="F1617" i="1"/>
  <c r="F1616" i="1"/>
  <c r="F1615" i="1"/>
  <c r="F1603" i="1"/>
  <c r="F1602" i="1"/>
  <c r="F1601" i="1"/>
  <c r="F1600" i="1"/>
  <c r="F1594" i="1"/>
  <c r="F1597" i="1"/>
  <c r="F1596" i="1"/>
  <c r="F1595" i="1"/>
  <c r="F1592" i="1"/>
  <c r="F1590" i="1" s="1"/>
  <c r="F1589" i="1"/>
  <c r="F1588" i="1"/>
  <c r="F1584" i="1"/>
  <c r="F1585" i="1"/>
  <c r="F1586" i="1"/>
  <c r="F1583" i="1"/>
  <c r="F1578" i="1"/>
  <c r="F1579" i="1"/>
  <c r="F1656" i="1" l="1"/>
  <c r="F1648" i="1"/>
  <c r="F1599" i="1"/>
  <c r="F1604" i="1"/>
  <c r="F1665" i="1"/>
  <c r="F1636" i="1"/>
  <c r="F1631" i="1"/>
  <c r="F1587" i="1"/>
  <c r="F1582" i="1"/>
  <c r="F1593" i="1"/>
  <c r="F1670" i="1"/>
  <c r="F1668" i="1" s="1"/>
  <c r="F1655" i="1"/>
  <c r="F1653" i="1" s="1"/>
  <c r="F1644" i="1"/>
  <c r="F1642" i="1" s="1"/>
  <c r="F1627" i="1"/>
  <c r="F1625" i="1" s="1"/>
  <c r="F1619" i="1"/>
  <c r="F1611" i="1"/>
  <c r="F1609" i="1" s="1"/>
  <c r="F1660" i="1"/>
  <c r="F1614" i="1"/>
  <c r="F1577" i="1"/>
  <c r="F1576" i="1" s="1"/>
  <c r="F1575" i="1" s="1"/>
  <c r="F1565" i="1"/>
  <c r="F1572" i="1"/>
  <c r="F1571" i="1"/>
  <c r="F1562" i="1"/>
  <c r="F1563" i="1"/>
  <c r="F1564" i="1"/>
  <c r="F1552" i="1"/>
  <c r="F1551" i="1"/>
  <c r="F1549" i="1"/>
  <c r="F1548" i="1"/>
  <c r="F1546" i="1"/>
  <c r="F1544" i="1"/>
  <c r="F1514" i="1"/>
  <c r="F1515" i="1"/>
  <c r="F1516" i="1"/>
  <c r="F1513" i="1"/>
  <c r="F1508" i="1"/>
  <c r="F1509" i="1"/>
  <c r="F1510" i="1"/>
  <c r="F1511" i="1"/>
  <c r="F1502" i="1"/>
  <c r="F1501" i="1" s="1"/>
  <c r="F1500" i="1"/>
  <c r="F1499" i="1"/>
  <c r="F1493" i="1"/>
  <c r="F1492" i="1" s="1"/>
  <c r="F1491" i="1"/>
  <c r="F1490" i="1"/>
  <c r="F1484" i="1"/>
  <c r="F1483" i="1" s="1"/>
  <c r="F1482" i="1"/>
  <c r="F1481" i="1"/>
  <c r="F1476" i="1"/>
  <c r="F1486" i="1"/>
  <c r="F1485" i="1" s="1"/>
  <c r="F1504" i="1"/>
  <c r="F1503" i="1" s="1"/>
  <c r="F1489" i="1"/>
  <c r="F1507" i="1"/>
  <c r="F1539" i="1"/>
  <c r="F1557" i="1"/>
  <c r="F1567" i="1"/>
  <c r="F1566" i="1" s="1"/>
  <c r="F1574" i="1"/>
  <c r="F1573" i="1" s="1"/>
  <c r="F1558" i="1"/>
  <c r="F1555" i="1"/>
  <c r="F1554" i="1"/>
  <c r="F1545" i="1"/>
  <c r="F1528" i="1"/>
  <c r="F1534" i="1"/>
  <c r="F1533" i="1"/>
  <c r="F1532" i="1"/>
  <c r="F1537" i="1"/>
  <c r="F1529" i="1"/>
  <c r="F1527" i="1"/>
  <c r="F1526" i="1"/>
  <c r="F1518" i="1"/>
  <c r="F1519" i="1"/>
  <c r="F1522" i="1"/>
  <c r="F1472" i="1"/>
  <c r="F1471" i="1"/>
  <c r="F1467" i="1"/>
  <c r="F1468" i="1"/>
  <c r="F1469" i="1"/>
  <c r="F1477" i="1"/>
  <c r="F1474" i="1"/>
  <c r="F1473" i="1" s="1"/>
  <c r="F1445" i="1"/>
  <c r="F1442" i="1"/>
  <c r="F1441" i="1"/>
  <c r="F1427" i="1"/>
  <c r="F1421" i="1"/>
  <c r="F1420" i="1"/>
  <c r="F1428" i="1"/>
  <c r="F1430" i="1"/>
  <c r="F1413" i="1"/>
  <c r="F1409" i="1"/>
  <c r="F1384" i="1"/>
  <c r="F1379" i="1"/>
  <c r="F1393" i="1"/>
  <c r="F1388" i="1"/>
  <c r="F1363" i="1"/>
  <c r="F1351" i="1"/>
  <c r="F1350" i="1"/>
  <c r="F1301" i="1"/>
  <c r="F1326" i="1"/>
  <c r="F1347" i="1"/>
  <c r="F1325" i="1"/>
  <c r="F1322" i="1"/>
  <c r="F1315" i="1"/>
  <c r="F1361" i="1"/>
  <c r="F1358" i="1"/>
  <c r="F1356" i="1"/>
  <c r="F1355" i="1"/>
  <c r="F1336" i="1"/>
  <c r="F1333" i="1"/>
  <c r="F1331" i="1"/>
  <c r="F1330" i="1"/>
  <c r="F1311" i="1"/>
  <c r="F1308" i="1"/>
  <c r="F1306" i="1"/>
  <c r="F1305" i="1"/>
  <c r="F1286" i="1"/>
  <c r="F1280" i="1"/>
  <c r="F1283" i="1"/>
  <c r="F1297" i="1"/>
  <c r="F1276" i="1"/>
  <c r="F1290" i="1"/>
  <c r="F1462" i="1"/>
  <c r="F1461" i="1"/>
  <c r="F1460" i="1"/>
  <c r="F1450" i="1"/>
  <c r="F1449" i="1"/>
  <c r="F1448" i="1"/>
  <c r="F1444" i="1"/>
  <c r="F1440" i="1"/>
  <c r="F1447" i="1"/>
  <c r="F1435" i="1"/>
  <c r="F1432" i="1"/>
  <c r="F1431" i="1"/>
  <c r="F1426" i="1"/>
  <c r="F1419" i="1"/>
  <c r="F1422" i="1"/>
  <c r="F1405" i="1"/>
  <c r="F1402" i="1"/>
  <c r="F1411" i="1"/>
  <c r="F1410" i="1"/>
  <c r="F1389" i="1"/>
  <c r="F1391" i="1"/>
  <c r="F1278" i="1"/>
  <c r="F1295" i="1"/>
  <c r="F1380" i="1"/>
  <c r="F1392" i="1"/>
  <c r="F1370" i="1"/>
  <c r="F1369" i="1"/>
  <c r="F1368" i="1"/>
  <c r="F1367" i="1"/>
  <c r="F1362" i="1"/>
  <c r="F1343" i="1"/>
  <c r="F1345" i="1"/>
  <c r="F1344" i="1"/>
  <c r="F1342" i="1"/>
  <c r="F1346" i="1"/>
  <c r="F1320" i="1"/>
  <c r="F1304" i="1"/>
  <c r="F1318" i="1"/>
  <c r="F1317" i="1"/>
  <c r="F1312" i="1"/>
  <c r="F1292" i="1"/>
  <c r="F1293" i="1"/>
  <c r="F993" i="1"/>
  <c r="F986" i="1"/>
  <c r="F974" i="1"/>
  <c r="F937" i="1"/>
  <c r="F1279" i="1"/>
  <c r="F1296" i="1"/>
  <c r="F960" i="1" l="1"/>
  <c r="F932" i="1"/>
  <c r="F1547" i="1"/>
  <c r="F1613" i="1"/>
  <c r="F1647" i="1"/>
  <c r="F1630" i="1"/>
  <c r="F1598" i="1"/>
  <c r="F1659" i="1"/>
  <c r="F1581" i="1"/>
  <c r="F1495" i="1"/>
  <c r="F1494" i="1" s="1"/>
  <c r="F1521" i="1"/>
  <c r="F1520" i="1" s="1"/>
  <c r="F1498" i="1"/>
  <c r="F1497" i="1" s="1"/>
  <c r="F1496" i="1" s="1"/>
  <c r="F1506" i="1"/>
  <c r="F1556" i="1"/>
  <c r="F1553" i="1"/>
  <c r="F1543" i="1"/>
  <c r="F1542" i="1" s="1"/>
  <c r="F1517" i="1"/>
  <c r="F1561" i="1"/>
  <c r="F1560" i="1" s="1"/>
  <c r="F1525" i="1"/>
  <c r="F1524" i="1" s="1"/>
  <c r="F1480" i="1"/>
  <c r="F1479" i="1" s="1"/>
  <c r="F1478" i="1" s="1"/>
  <c r="F1570" i="1"/>
  <c r="F1569" i="1" s="1"/>
  <c r="F1568" i="1" s="1"/>
  <c r="F1512" i="1"/>
  <c r="F1531" i="1"/>
  <c r="F1530" i="1" s="1"/>
  <c r="F1488" i="1"/>
  <c r="F1466" i="1"/>
  <c r="F1465" i="1" s="1"/>
  <c r="F1540" i="1"/>
  <c r="F1538" i="1" s="1"/>
  <c r="F1536" i="1"/>
  <c r="F1535" i="1" s="1"/>
  <c r="F1470" i="1"/>
  <c r="F1434" i="1"/>
  <c r="F1475" i="1"/>
  <c r="F1443" i="1"/>
  <c r="F1337" i="1"/>
  <c r="F1338" i="1"/>
  <c r="F1425" i="1"/>
  <c r="F1424" i="1" s="1"/>
  <c r="F1288" i="1"/>
  <c r="F1396" i="1"/>
  <c r="F1395" i="1" s="1"/>
  <c r="F1439" i="1"/>
  <c r="F1378" i="1"/>
  <c r="F1446" i="1"/>
  <c r="F1300" i="1"/>
  <c r="F1299" i="1" s="1"/>
  <c r="F1390" i="1"/>
  <c r="F1387" i="1" s="1"/>
  <c r="F1366" i="1"/>
  <c r="F1457" i="1"/>
  <c r="F1455" i="1"/>
  <c r="F1372" i="1"/>
  <c r="F1423" i="1"/>
  <c r="F1418" i="1" s="1"/>
  <c r="F1458" i="1"/>
  <c r="F1406" i="1"/>
  <c r="F1454" i="1"/>
  <c r="F1375" i="1"/>
  <c r="F1374" i="1" s="1"/>
  <c r="F1381" i="1"/>
  <c r="F1459" i="1"/>
  <c r="F1414" i="1"/>
  <c r="F1398" i="1"/>
  <c r="F1407" i="1"/>
  <c r="F1412" i="1"/>
  <c r="F1340" i="1"/>
  <c r="F1453" i="1"/>
  <c r="F1332" i="1"/>
  <c r="F1357" i="1"/>
  <c r="F1385" i="1"/>
  <c r="F1281" i="1"/>
  <c r="F1386" i="1"/>
  <c r="F1400" i="1"/>
  <c r="F1417" i="1"/>
  <c r="F1416" i="1" s="1"/>
  <c r="F1287" i="1"/>
  <c r="F1291" i="1"/>
  <c r="F1399" i="1"/>
  <c r="F1433" i="1"/>
  <c r="F1307" i="1"/>
  <c r="F1401" i="1"/>
  <c r="F1438" i="1"/>
  <c r="F1437" i="1" s="1"/>
  <c r="F1275" i="1"/>
  <c r="F1274" i="1" s="1"/>
  <c r="F1282" i="1"/>
  <c r="F1383" i="1"/>
  <c r="F1349" i="1"/>
  <c r="F1365" i="1"/>
  <c r="F1341" i="1"/>
  <c r="F1324" i="1"/>
  <c r="F1313" i="1"/>
  <c r="F1316" i="1"/>
  <c r="F1404" i="1"/>
  <c r="F1377" i="1"/>
  <c r="F1354" i="1"/>
  <c r="F966" i="1"/>
  <c r="F1360" i="1"/>
  <c r="F1359" i="1" s="1"/>
  <c r="F1371" i="1"/>
  <c r="F1353" i="1"/>
  <c r="F1329" i="1"/>
  <c r="F1335" i="1"/>
  <c r="F1328" i="1"/>
  <c r="F1310" i="1"/>
  <c r="F923" i="1"/>
  <c r="F1001" i="1"/>
  <c r="F1321" i="1"/>
  <c r="F1303" i="1"/>
  <c r="F1319" i="1"/>
  <c r="F1294" i="1"/>
  <c r="F978" i="1"/>
  <c r="F951" i="1"/>
  <c r="F1285" i="1"/>
  <c r="F946" i="1" l="1"/>
  <c r="F1580" i="1"/>
  <c r="F1487" i="1"/>
  <c r="F1541" i="1"/>
  <c r="F1505" i="1"/>
  <c r="F1559" i="1"/>
  <c r="F1523" i="1"/>
  <c r="F1429" i="1"/>
  <c r="F1415" i="1" s="1"/>
  <c r="F1408" i="1"/>
  <c r="F1464" i="1"/>
  <c r="F1277" i="1"/>
  <c r="F1364" i="1"/>
  <c r="F1436" i="1"/>
  <c r="F1403" i="1"/>
  <c r="F1334" i="1"/>
  <c r="F1314" i="1"/>
  <c r="F1452" i="1"/>
  <c r="F1284" i="1"/>
  <c r="F1376" i="1"/>
  <c r="F1302" i="1"/>
  <c r="F1309" i="1"/>
  <c r="F1382" i="1"/>
  <c r="F1456" i="1"/>
  <c r="F1289" i="1"/>
  <c r="F1327" i="1"/>
  <c r="F1339" i="1"/>
  <c r="F1397" i="1"/>
  <c r="F1352" i="1"/>
  <c r="F1463" i="1" l="1"/>
  <c r="F1348" i="1"/>
  <c r="F1394" i="1"/>
  <c r="F1323" i="1"/>
  <c r="F1298" i="1"/>
  <c r="F1273" i="1"/>
  <c r="F1373" i="1"/>
  <c r="F1451" i="1"/>
  <c r="F1031" i="1"/>
  <c r="F1030" i="1"/>
  <c r="F1028" i="1"/>
  <c r="F1027" i="1" s="1"/>
  <c r="F1039" i="1"/>
  <c r="F1038" i="1"/>
  <c r="F1036" i="1"/>
  <c r="F1035" i="1" s="1"/>
  <c r="F1047" i="1"/>
  <c r="F1046" i="1"/>
  <c r="F1044" i="1"/>
  <c r="F1043" i="1" s="1"/>
  <c r="F1057" i="1"/>
  <c r="F1056" i="1" s="1"/>
  <c r="F1055" i="1"/>
  <c r="F1054" i="1"/>
  <c r="F1052" i="1"/>
  <c r="F1051" i="1" s="1"/>
  <c r="F1067" i="1"/>
  <c r="F1066" i="1" s="1"/>
  <c r="F1065" i="1"/>
  <c r="F1064" i="1"/>
  <c r="F1062" i="1"/>
  <c r="F1061" i="1" s="1"/>
  <c r="F1085" i="1"/>
  <c r="F1084" i="1"/>
  <c r="F1082" i="1"/>
  <c r="F1081" i="1" s="1"/>
  <c r="F1090" i="1"/>
  <c r="F1089" i="1" s="1"/>
  <c r="F1095" i="1"/>
  <c r="F1094" i="1" s="1"/>
  <c r="F1097" i="1"/>
  <c r="F1096" i="1" s="1"/>
  <c r="F1092" i="1"/>
  <c r="F1091" i="1" s="1"/>
  <c r="F1087" i="1"/>
  <c r="F1086" i="1" s="1"/>
  <c r="F1077" i="1"/>
  <c r="F1076" i="1" s="1"/>
  <c r="F1075" i="1"/>
  <c r="F1074" i="1"/>
  <c r="F1079" i="1"/>
  <c r="F1078" i="1" s="1"/>
  <c r="F1069" i="1"/>
  <c r="F1068" i="1" s="1"/>
  <c r="F1059" i="1"/>
  <c r="F1058" i="1" s="1"/>
  <c r="F1049" i="1"/>
  <c r="F1048" i="1" s="1"/>
  <c r="F1041" i="1"/>
  <c r="F1040" i="1" s="1"/>
  <c r="F1033" i="1"/>
  <c r="F1032" i="1" s="1"/>
  <c r="F1272" i="1" l="1"/>
  <c r="F1083" i="1"/>
  <c r="F1080" i="1" s="1"/>
  <c r="F1063" i="1"/>
  <c r="F1060" i="1" s="1"/>
  <c r="F1045" i="1"/>
  <c r="F1042" i="1" s="1"/>
  <c r="F1072" i="1"/>
  <c r="F1071" i="1" s="1"/>
  <c r="F1093" i="1"/>
  <c r="F1037" i="1"/>
  <c r="F1034" i="1" s="1"/>
  <c r="F1029" i="1"/>
  <c r="F1026" i="1" s="1"/>
  <c r="F1053" i="1"/>
  <c r="F1050" i="1" s="1"/>
  <c r="F1088" i="1"/>
  <c r="F1073" i="1"/>
  <c r="F1070" i="1" l="1"/>
  <c r="F1025" i="1" s="1"/>
  <c r="F909" i="1" l="1"/>
  <c r="F956" i="1" l="1"/>
  <c r="F947" i="1"/>
  <c r="F942" i="1"/>
  <c r="F941" i="1"/>
  <c r="F933" i="1"/>
  <c r="F928" i="1"/>
  <c r="F919" i="1"/>
  <c r="F916" i="1"/>
  <c r="F913" i="1"/>
  <c r="F914" i="1"/>
  <c r="F1019" i="1"/>
  <c r="F1020" i="1"/>
  <c r="F1012" i="1"/>
  <c r="F1009" i="1"/>
  <c r="F1008" i="1"/>
  <c r="F1005" i="1"/>
  <c r="F1004" i="1"/>
  <c r="F999" i="1"/>
  <c r="F996" i="1"/>
  <c r="F995" i="1"/>
  <c r="F990" i="1"/>
  <c r="F991" i="1"/>
  <c r="F992" i="1"/>
  <c r="F989" i="1"/>
  <c r="F981" i="1"/>
  <c r="F980" i="1"/>
  <c r="F969" i="1"/>
  <c r="F968" i="1"/>
  <c r="F965" i="1"/>
  <c r="F964" i="1"/>
  <c r="F972" i="1"/>
  <c r="F955" i="1"/>
  <c r="F954" i="1"/>
  <c r="F953" i="1"/>
  <c r="F950" i="1"/>
  <c r="F949" i="1" s="1"/>
  <c r="F940" i="1"/>
  <c r="F939" i="1"/>
  <c r="F936" i="1"/>
  <c r="F935" i="1" s="1"/>
  <c r="F926" i="1"/>
  <c r="F925" i="1"/>
  <c r="F922" i="1"/>
  <c r="F921" i="1" s="1"/>
  <c r="F927" i="1"/>
  <c r="F912" i="1"/>
  <c r="F911" i="1"/>
  <c r="F907" i="1"/>
  <c r="F908" i="1"/>
  <c r="F906" i="1"/>
  <c r="D894" i="1"/>
  <c r="D900" i="1" s="1"/>
  <c r="F900" i="1" s="1"/>
  <c r="F884" i="1"/>
  <c r="F883" i="1" s="1"/>
  <c r="F882" i="1"/>
  <c r="F881" i="1" s="1"/>
  <c r="F889" i="1"/>
  <c r="D886" i="1"/>
  <c r="D880" i="1"/>
  <c r="F868" i="1"/>
  <c r="F867" i="1" s="1"/>
  <c r="F866" i="1"/>
  <c r="F865" i="1" s="1"/>
  <c r="F876" i="1"/>
  <c r="F874" i="1"/>
  <c r="D873" i="1"/>
  <c r="F873" i="1" s="1"/>
  <c r="F852" i="1"/>
  <c r="F851" i="1" s="1"/>
  <c r="D857" i="1"/>
  <c r="F857" i="1" s="1"/>
  <c r="D856" i="1"/>
  <c r="F856" i="1" s="1"/>
  <c r="D846" i="1"/>
  <c r="D854" i="1" s="1"/>
  <c r="F854" i="1" s="1"/>
  <c r="F886" i="1" l="1"/>
  <c r="F885" i="1" s="1"/>
  <c r="D890" i="1"/>
  <c r="F890" i="1" s="1"/>
  <c r="D888" i="1"/>
  <c r="F888" i="1" s="1"/>
  <c r="F958" i="1"/>
  <c r="F1010" i="1"/>
  <c r="F1007" i="1" s="1"/>
  <c r="F930" i="1"/>
  <c r="F944" i="1"/>
  <c r="F917" i="1"/>
  <c r="F961" i="1"/>
  <c r="F1000" i="1"/>
  <c r="F998" i="1" s="1"/>
  <c r="F1003" i="1"/>
  <c r="F988" i="1"/>
  <c r="F963" i="1"/>
  <c r="F905" i="1"/>
  <c r="F910" i="1"/>
  <c r="F952" i="1"/>
  <c r="F984" i="1"/>
  <c r="F1017" i="1"/>
  <c r="F1016" i="1" s="1"/>
  <c r="F938" i="1"/>
  <c r="F924" i="1"/>
  <c r="F1024" i="1"/>
  <c r="F1023" i="1"/>
  <c r="F1013" i="1"/>
  <c r="F1011" i="1" s="1"/>
  <c r="F997" i="1"/>
  <c r="F994" i="1" s="1"/>
  <c r="F977" i="1"/>
  <c r="F976" i="1" s="1"/>
  <c r="F970" i="1"/>
  <c r="F967" i="1" s="1"/>
  <c r="F959" i="1"/>
  <c r="F945" i="1"/>
  <c r="F931" i="1"/>
  <c r="F894" i="1"/>
  <c r="F893" i="1" s="1"/>
  <c r="F896" i="1"/>
  <c r="F895" i="1" s="1"/>
  <c r="D898" i="1"/>
  <c r="D901" i="1"/>
  <c r="F901" i="1" s="1"/>
  <c r="F850" i="1"/>
  <c r="F849" i="1" s="1"/>
  <c r="F880" i="1"/>
  <c r="F879" i="1" s="1"/>
  <c r="F891" i="1"/>
  <c r="F862" i="1"/>
  <c r="F861" i="1" s="1"/>
  <c r="F864" i="1"/>
  <c r="F863" i="1" s="1"/>
  <c r="D860" i="1"/>
  <c r="F846" i="1"/>
  <c r="F845" i="1" s="1"/>
  <c r="D870" i="1"/>
  <c r="F848" i="1"/>
  <c r="F847" i="1" s="1"/>
  <c r="D855" i="1"/>
  <c r="F855" i="1" s="1"/>
  <c r="F853" i="1" s="1"/>
  <c r="F834" i="1"/>
  <c r="F833" i="1" s="1"/>
  <c r="F832" i="1"/>
  <c r="F831" i="1" s="1"/>
  <c r="F828" i="1"/>
  <c r="F827" i="1" s="1"/>
  <c r="F842" i="1"/>
  <c r="D841" i="1"/>
  <c r="F841" i="1" s="1"/>
  <c r="D839" i="1"/>
  <c r="F839" i="1" s="1"/>
  <c r="F843" i="1"/>
  <c r="D840" i="1"/>
  <c r="F840" i="1" s="1"/>
  <c r="D823" i="1"/>
  <c r="F823" i="1" s="1"/>
  <c r="D822" i="1"/>
  <c r="F822" i="1" s="1"/>
  <c r="F820" i="1"/>
  <c r="F819" i="1" s="1"/>
  <c r="F818" i="1"/>
  <c r="F817" i="1" s="1"/>
  <c r="F812" i="1"/>
  <c r="F811" i="1" s="1"/>
  <c r="F810" i="1"/>
  <c r="F809" i="1" s="1"/>
  <c r="F804" i="1"/>
  <c r="F803" i="1" s="1"/>
  <c r="F802" i="1"/>
  <c r="F801" i="1" s="1"/>
  <c r="D815" i="1"/>
  <c r="F815" i="1" s="1"/>
  <c r="D814" i="1"/>
  <c r="F814" i="1" s="1"/>
  <c r="D807" i="1"/>
  <c r="F807" i="1" s="1"/>
  <c r="D806" i="1"/>
  <c r="F806" i="1" s="1"/>
  <c r="D875" i="1" l="1"/>
  <c r="F875" i="1" s="1"/>
  <c r="F887" i="1"/>
  <c r="F878" i="1" s="1"/>
  <c r="F929" i="1"/>
  <c r="F943" i="1"/>
  <c r="F934" i="1" s="1"/>
  <c r="F957" i="1"/>
  <c r="F918" i="1"/>
  <c r="F915" i="1" s="1"/>
  <c r="F904" i="1" s="1"/>
  <c r="F973" i="1"/>
  <c r="F971" i="1" s="1"/>
  <c r="F1002" i="1"/>
  <c r="F1022" i="1"/>
  <c r="F962" i="1"/>
  <c r="F1021" i="1"/>
  <c r="F1018" i="1" s="1"/>
  <c r="F987" i="1"/>
  <c r="F982" i="1"/>
  <c r="F979" i="1" s="1"/>
  <c r="F948" i="1"/>
  <c r="F920" i="1"/>
  <c r="D902" i="1"/>
  <c r="F898" i="1"/>
  <c r="F897" i="1" s="1"/>
  <c r="F813" i="1"/>
  <c r="F808" i="1" s="1"/>
  <c r="F821" i="1"/>
  <c r="F816" i="1" s="1"/>
  <c r="D872" i="1"/>
  <c r="F872" i="1" s="1"/>
  <c r="F860" i="1"/>
  <c r="F859" i="1" s="1"/>
  <c r="F870" i="1"/>
  <c r="F869" i="1" s="1"/>
  <c r="F877" i="1"/>
  <c r="F844" i="1"/>
  <c r="F830" i="1"/>
  <c r="F829" i="1" s="1"/>
  <c r="F836" i="1"/>
  <c r="F835" i="1" s="1"/>
  <c r="D826" i="1"/>
  <c r="F805" i="1"/>
  <c r="F800" i="1" s="1"/>
  <c r="F985" i="1" l="1"/>
  <c r="F983" i="1" s="1"/>
  <c r="F975" i="1" s="1"/>
  <c r="F902" i="1"/>
  <c r="F899" i="1" s="1"/>
  <c r="F892" i="1" s="1"/>
  <c r="F1015" i="1"/>
  <c r="F871" i="1"/>
  <c r="F858" i="1" s="1"/>
  <c r="F826" i="1"/>
  <c r="F825" i="1" s="1"/>
  <c r="D838" i="1"/>
  <c r="F838" i="1" s="1"/>
  <c r="F837" i="1" s="1"/>
  <c r="D799" i="1"/>
  <c r="F799" i="1" s="1"/>
  <c r="D798" i="1"/>
  <c r="F798" i="1" s="1"/>
  <c r="D797" i="1"/>
  <c r="F797" i="1" s="1"/>
  <c r="D796" i="1"/>
  <c r="F796" i="1" s="1"/>
  <c r="D795" i="1"/>
  <c r="F795" i="1" s="1"/>
  <c r="F794" i="1"/>
  <c r="F792" i="1"/>
  <c r="F791" i="1" s="1"/>
  <c r="F790" i="1"/>
  <c r="F789" i="1" s="1"/>
  <c r="F788" i="1"/>
  <c r="F787" i="1" s="1"/>
  <c r="F786" i="1"/>
  <c r="F785" i="1" s="1"/>
  <c r="F784" i="1"/>
  <c r="F783" i="1" s="1"/>
  <c r="F782" i="1"/>
  <c r="F781" i="1" s="1"/>
  <c r="F903" i="1" l="1"/>
  <c r="F824" i="1"/>
  <c r="F793" i="1"/>
  <c r="F780" i="1" s="1"/>
  <c r="F779" i="1" l="1"/>
  <c r="F350" i="1"/>
  <c r="F351" i="1"/>
  <c r="F353" i="1"/>
  <c r="F352" i="1" s="1"/>
  <c r="F356" i="1"/>
  <c r="F355" i="1" s="1"/>
  <c r="F358" i="1"/>
  <c r="F359" i="1"/>
  <c r="F360" i="1"/>
  <c r="F362" i="1"/>
  <c r="F363" i="1"/>
  <c r="F364" i="1"/>
  <c r="F361" i="1" l="1"/>
  <c r="F357" i="1"/>
  <c r="F349" i="1"/>
  <c r="F439" i="1"/>
  <c r="F422" i="1"/>
  <c r="F348" i="1" l="1"/>
  <c r="F494" i="1" l="1"/>
  <c r="F493" i="1"/>
  <c r="F491" i="1"/>
  <c r="F490" i="1"/>
  <c r="F489" i="1"/>
  <c r="F487" i="1"/>
  <c r="F486" i="1" s="1"/>
  <c r="F476" i="1"/>
  <c r="F475" i="1" s="1"/>
  <c r="F474" i="1"/>
  <c r="F473" i="1" s="1"/>
  <c r="F472" i="1"/>
  <c r="F471" i="1" s="1"/>
  <c r="F480" i="1"/>
  <c r="F479" i="1"/>
  <c r="F478" i="1"/>
  <c r="F484" i="1"/>
  <c r="F483" i="1"/>
  <c r="F482" i="1"/>
  <c r="F469" i="1"/>
  <c r="F468" i="1"/>
  <c r="F467" i="1"/>
  <c r="F465" i="1"/>
  <c r="F464" i="1"/>
  <c r="F463" i="1"/>
  <c r="F461" i="1"/>
  <c r="F460" i="1" s="1"/>
  <c r="F459" i="1"/>
  <c r="F458" i="1" s="1"/>
  <c r="F457" i="1"/>
  <c r="F456" i="1"/>
  <c r="F441" i="1"/>
  <c r="F424" i="1"/>
  <c r="F407" i="1"/>
  <c r="F406" i="1" s="1"/>
  <c r="F453" i="1"/>
  <c r="F452" i="1"/>
  <c r="F451" i="1"/>
  <c r="F449" i="1"/>
  <c r="F448" i="1"/>
  <c r="F447" i="1"/>
  <c r="F445" i="1"/>
  <c r="F444" i="1" s="1"/>
  <c r="F443" i="1"/>
  <c r="F442" i="1" s="1"/>
  <c r="F440" i="1"/>
  <c r="F436" i="1"/>
  <c r="F435" i="1"/>
  <c r="F434" i="1"/>
  <c r="F432" i="1"/>
  <c r="F431" i="1"/>
  <c r="F430" i="1"/>
  <c r="F428" i="1"/>
  <c r="F427" i="1" s="1"/>
  <c r="F426" i="1"/>
  <c r="F425" i="1" s="1"/>
  <c r="F423" i="1"/>
  <c r="F421" i="1" s="1"/>
  <c r="F418" i="1"/>
  <c r="F417" i="1"/>
  <c r="F416" i="1"/>
  <c r="F414" i="1"/>
  <c r="F413" i="1"/>
  <c r="F412" i="1"/>
  <c r="F410" i="1"/>
  <c r="F409" i="1" s="1"/>
  <c r="F405" i="1"/>
  <c r="F404" i="1"/>
  <c r="F400" i="1"/>
  <c r="F399" i="1"/>
  <c r="F398" i="1"/>
  <c r="F396" i="1"/>
  <c r="F395" i="1"/>
  <c r="F394" i="1"/>
  <c r="F392" i="1"/>
  <c r="F391" i="1" s="1"/>
  <c r="F389" i="1"/>
  <c r="F388" i="1" s="1"/>
  <c r="F387" i="1"/>
  <c r="F386" i="1"/>
  <c r="F382" i="1"/>
  <c r="F381" i="1"/>
  <c r="F380" i="1"/>
  <c r="F379" i="1" s="1"/>
  <c r="F378" i="1"/>
  <c r="F377" i="1"/>
  <c r="F376" i="1"/>
  <c r="F374" i="1"/>
  <c r="F373" i="1" s="1"/>
  <c r="F371" i="1"/>
  <c r="F370" i="1" s="1"/>
  <c r="F369" i="1"/>
  <c r="F368" i="1"/>
  <c r="F375" i="1" l="1"/>
  <c r="F397" i="1"/>
  <c r="F415" i="1"/>
  <c r="F411" i="1"/>
  <c r="F393" i="1"/>
  <c r="F438" i="1"/>
  <c r="F385" i="1"/>
  <c r="F466" i="1"/>
  <c r="F492" i="1"/>
  <c r="F488" i="1"/>
  <c r="F455" i="1"/>
  <c r="F477" i="1"/>
  <c r="F481" i="1"/>
  <c r="F462" i="1"/>
  <c r="F403" i="1"/>
  <c r="F450" i="1"/>
  <c r="F433" i="1"/>
  <c r="F429" i="1"/>
  <c r="F367" i="1"/>
  <c r="F446" i="1"/>
  <c r="F384" i="1" l="1"/>
  <c r="F485" i="1"/>
  <c r="F454" i="1"/>
  <c r="F470" i="1"/>
  <c r="F366" i="1"/>
  <c r="F437" i="1"/>
  <c r="F420" i="1"/>
  <c r="F402" i="1"/>
  <c r="F347" i="1" l="1"/>
  <c r="F346" i="1"/>
  <c r="F345" i="1" s="1"/>
  <c r="F344" i="1"/>
  <c r="F343" i="1" s="1"/>
  <c r="F340" i="1"/>
  <c r="F341" i="1"/>
  <c r="F342" i="1"/>
  <c r="F339" i="1"/>
  <c r="F331" i="1"/>
  <c r="F332" i="1"/>
  <c r="F333" i="1"/>
  <c r="F334" i="1"/>
  <c r="F335" i="1"/>
  <c r="F336" i="1"/>
  <c r="F337" i="1"/>
  <c r="F330" i="1"/>
  <c r="F327" i="1"/>
  <c r="F326" i="1" s="1"/>
  <c r="F325" i="1"/>
  <c r="F324" i="1" s="1"/>
  <c r="F320" i="1"/>
  <c r="F321" i="1"/>
  <c r="F322" i="1"/>
  <c r="F323" i="1"/>
  <c r="F319" i="1"/>
  <c r="F311" i="1"/>
  <c r="F312" i="1"/>
  <c r="F313" i="1"/>
  <c r="F314" i="1"/>
  <c r="F315" i="1"/>
  <c r="F316" i="1"/>
  <c r="F317" i="1"/>
  <c r="F310" i="1"/>
  <c r="F307" i="1"/>
  <c r="F306" i="1"/>
  <c r="F304" i="1"/>
  <c r="F303" i="1" s="1"/>
  <c r="F302" i="1"/>
  <c r="F301" i="1"/>
  <c r="F300" i="1"/>
  <c r="F299" i="1"/>
  <c r="F298" i="1"/>
  <c r="F296" i="1"/>
  <c r="F295" i="1"/>
  <c r="F294" i="1"/>
  <c r="F293" i="1"/>
  <c r="F292" i="1"/>
  <c r="F291" i="1"/>
  <c r="F290" i="1"/>
  <c r="F289" i="1"/>
  <c r="F286" i="1"/>
  <c r="F285" i="1"/>
  <c r="F283" i="1"/>
  <c r="F282" i="1" s="1"/>
  <c r="F278" i="1"/>
  <c r="F279" i="1"/>
  <c r="F280" i="1"/>
  <c r="F281" i="1"/>
  <c r="F277" i="1"/>
  <c r="F269" i="1"/>
  <c r="F270" i="1"/>
  <c r="F271" i="1"/>
  <c r="F272" i="1"/>
  <c r="F273" i="1"/>
  <c r="F274" i="1"/>
  <c r="F275" i="1"/>
  <c r="F268" i="1"/>
  <c r="F265" i="1"/>
  <c r="F264" i="1"/>
  <c r="F262" i="1"/>
  <c r="F261" i="1" s="1"/>
  <c r="F257" i="1"/>
  <c r="F258" i="1"/>
  <c r="F259" i="1"/>
  <c r="F260" i="1"/>
  <c r="F256" i="1"/>
  <c r="F248" i="1"/>
  <c r="F249" i="1"/>
  <c r="F250" i="1"/>
  <c r="F251" i="1"/>
  <c r="F252" i="1"/>
  <c r="F253" i="1"/>
  <c r="F254" i="1"/>
  <c r="F247" i="1"/>
  <c r="F244" i="1"/>
  <c r="F243" i="1"/>
  <c r="F241" i="1"/>
  <c r="F240" i="1"/>
  <c r="F235" i="1"/>
  <c r="F236" i="1"/>
  <c r="F237" i="1"/>
  <c r="F238" i="1"/>
  <c r="F234" i="1"/>
  <c r="F226" i="1"/>
  <c r="F227" i="1"/>
  <c r="F228" i="1"/>
  <c r="F229" i="1"/>
  <c r="F230" i="1"/>
  <c r="F231" i="1"/>
  <c r="F232" i="1"/>
  <c r="F225" i="1"/>
  <c r="F222" i="1"/>
  <c r="F221" i="1"/>
  <c r="F219" i="1"/>
  <c r="F218" i="1"/>
  <c r="F213" i="1"/>
  <c r="F214" i="1"/>
  <c r="F215" i="1"/>
  <c r="F216" i="1"/>
  <c r="F212" i="1"/>
  <c r="F204" i="1"/>
  <c r="F205" i="1"/>
  <c r="F206" i="1"/>
  <c r="F207" i="1"/>
  <c r="F208" i="1"/>
  <c r="F209" i="1"/>
  <c r="F210" i="1"/>
  <c r="F203" i="1"/>
  <c r="F200" i="1"/>
  <c r="F199" i="1"/>
  <c r="F197" i="1"/>
  <c r="F196" i="1"/>
  <c r="F190" i="1"/>
  <c r="F191" i="1"/>
  <c r="F192" i="1"/>
  <c r="F193" i="1"/>
  <c r="F194" i="1"/>
  <c r="F189" i="1"/>
  <c r="F188" i="1"/>
  <c r="F181" i="1"/>
  <c r="F182" i="1"/>
  <c r="F183" i="1"/>
  <c r="F184" i="1"/>
  <c r="F185" i="1"/>
  <c r="F186" i="1"/>
  <c r="F180" i="1"/>
  <c r="F179" i="1"/>
  <c r="F176" i="1"/>
  <c r="F175" i="1"/>
  <c r="F173" i="1"/>
  <c r="F172" i="1" s="1"/>
  <c r="F171" i="1"/>
  <c r="F170" i="1" s="1"/>
  <c r="F167" i="1"/>
  <c r="F168" i="1"/>
  <c r="F169" i="1"/>
  <c r="F166" i="1"/>
  <c r="F158" i="1"/>
  <c r="F159" i="1"/>
  <c r="F160" i="1"/>
  <c r="F161" i="1"/>
  <c r="F162" i="1"/>
  <c r="F163" i="1"/>
  <c r="F164" i="1"/>
  <c r="F157" i="1"/>
  <c r="F150" i="1"/>
  <c r="F145" i="1"/>
  <c r="F146" i="1"/>
  <c r="F147" i="1"/>
  <c r="F148" i="1"/>
  <c r="F149" i="1"/>
  <c r="F144" i="1"/>
  <c r="F142" i="1"/>
  <c r="F141" i="1"/>
  <c r="F133" i="1"/>
  <c r="F134" i="1"/>
  <c r="F135" i="1"/>
  <c r="F136" i="1"/>
  <c r="F137" i="1"/>
  <c r="F138" i="1"/>
  <c r="F139" i="1"/>
  <c r="F132" i="1"/>
  <c r="F129" i="1"/>
  <c r="F128" i="1" s="1"/>
  <c r="F127" i="1"/>
  <c r="F126" i="1"/>
  <c r="F125" i="1"/>
  <c r="F152" i="1"/>
  <c r="F153" i="1"/>
  <c r="F119" i="1"/>
  <c r="F195" i="1" l="1"/>
  <c r="F239" i="1"/>
  <c r="F329" i="1"/>
  <c r="F198" i="1"/>
  <c r="F220" i="1"/>
  <c r="F318" i="1"/>
  <c r="F338" i="1"/>
  <c r="F309" i="1"/>
  <c r="F276" i="1"/>
  <c r="F255" i="1"/>
  <c r="F165" i="1"/>
  <c r="F284" i="1"/>
  <c r="F305" i="1"/>
  <c r="F246" i="1"/>
  <c r="F297" i="1"/>
  <c r="F288" i="1"/>
  <c r="F187" i="1"/>
  <c r="F267" i="1"/>
  <c r="F242" i="1"/>
  <c r="F224" i="1"/>
  <c r="F217" i="1"/>
  <c r="F211" i="1"/>
  <c r="F263" i="1"/>
  <c r="F178" i="1"/>
  <c r="F233" i="1"/>
  <c r="F174" i="1"/>
  <c r="F202" i="1"/>
  <c r="F156" i="1"/>
  <c r="F143" i="1"/>
  <c r="F124" i="1"/>
  <c r="F140" i="1"/>
  <c r="F151" i="1"/>
  <c r="F131" i="1"/>
  <c r="F122" i="1"/>
  <c r="F121" i="1" s="1"/>
  <c r="F118" i="1"/>
  <c r="F120" i="1"/>
  <c r="F117" i="1"/>
  <c r="F114" i="1"/>
  <c r="F115" i="1"/>
  <c r="F308" i="1" l="1"/>
  <c r="F328" i="1"/>
  <c r="F266" i="1"/>
  <c r="F287" i="1"/>
  <c r="F245" i="1"/>
  <c r="F177" i="1"/>
  <c r="F155" i="1"/>
  <c r="F201" i="1"/>
  <c r="F223" i="1"/>
  <c r="F123" i="1"/>
  <c r="F116" i="1"/>
  <c r="F154" i="1" l="1"/>
  <c r="F113" i="1"/>
  <c r="F112" i="1" s="1"/>
  <c r="F111" i="1" s="1"/>
  <c r="F110" i="1" s="1"/>
  <c r="F512" i="1" l="1"/>
  <c r="F511" i="1" s="1"/>
  <c r="F1676" i="1"/>
  <c r="F1675" i="1" l="1"/>
  <c r="F1674" i="1"/>
  <c r="F1679" i="1"/>
  <c r="F1680" i="1"/>
  <c r="F1681" i="1"/>
  <c r="F1682" i="1"/>
  <c r="F1678" i="1"/>
  <c r="F1684" i="1"/>
  <c r="F1683" i="1" s="1"/>
  <c r="F1677" i="1" l="1"/>
  <c r="F1673" i="1"/>
  <c r="F761" i="1"/>
  <c r="F760" i="1" s="1"/>
  <c r="F759" i="1" s="1"/>
  <c r="F758" i="1"/>
  <c r="F757" i="1" s="1"/>
  <c r="F756" i="1"/>
  <c r="F755" i="1" s="1"/>
  <c r="F753" i="1"/>
  <c r="F752" i="1" s="1"/>
  <c r="F751" i="1"/>
  <c r="F750" i="1" s="1"/>
  <c r="F749" i="1"/>
  <c r="F748" i="1" s="1"/>
  <c r="F746" i="1"/>
  <c r="F745" i="1" s="1"/>
  <c r="F744" i="1"/>
  <c r="F743" i="1" s="1"/>
  <c r="F742" i="1"/>
  <c r="F741" i="1" s="1"/>
  <c r="F739" i="1"/>
  <c r="F738" i="1" s="1"/>
  <c r="F737" i="1"/>
  <c r="F736" i="1" s="1"/>
  <c r="F735" i="1"/>
  <c r="F734" i="1" s="1"/>
  <c r="F732" i="1"/>
  <c r="F731" i="1" s="1"/>
  <c r="F730" i="1"/>
  <c r="F729" i="1" s="1"/>
  <c r="F728" i="1"/>
  <c r="F727" i="1" s="1"/>
  <c r="F725" i="1"/>
  <c r="F724" i="1" s="1"/>
  <c r="F723" i="1"/>
  <c r="F722" i="1" s="1"/>
  <c r="F721" i="1"/>
  <c r="F720" i="1" s="1"/>
  <c r="F718" i="1"/>
  <c r="F717" i="1" s="1"/>
  <c r="F716" i="1"/>
  <c r="F715" i="1" s="1"/>
  <c r="F714" i="1"/>
  <c r="F713" i="1" s="1"/>
  <c r="F711" i="1"/>
  <c r="F710" i="1" s="1"/>
  <c r="F709" i="1"/>
  <c r="F708" i="1" s="1"/>
  <c r="F707" i="1"/>
  <c r="F747" i="1" l="1"/>
  <c r="F719" i="1"/>
  <c r="F754" i="1"/>
  <c r="F706" i="1"/>
  <c r="F705" i="1" s="1"/>
  <c r="F1672" i="1"/>
  <c r="F1671" i="1" s="1"/>
  <c r="F726" i="1"/>
  <c r="F740" i="1"/>
  <c r="F733" i="1"/>
  <c r="F712" i="1"/>
  <c r="F704" i="1" l="1"/>
  <c r="F698" i="1"/>
  <c r="F697" i="1" s="1"/>
  <c r="F689" i="1"/>
  <c r="F688" i="1" s="1"/>
  <c r="F687" i="1"/>
  <c r="F686" i="1" s="1"/>
  <c r="F676" i="1"/>
  <c r="F675" i="1" s="1"/>
  <c r="F674" i="1"/>
  <c r="F673" i="1" s="1"/>
  <c r="F663" i="1"/>
  <c r="F662" i="1" s="1"/>
  <c r="F661" i="1"/>
  <c r="F660" i="1" s="1"/>
  <c r="F650" i="1"/>
  <c r="F649" i="1" s="1"/>
  <c r="F648" i="1"/>
  <c r="F647" i="1" s="1"/>
  <c r="F639" i="1"/>
  <c r="F638" i="1" s="1"/>
  <c r="F637" i="1"/>
  <c r="F636" i="1" s="1"/>
  <c r="F630" i="1"/>
  <c r="F629" i="1" s="1"/>
  <c r="F628" i="1"/>
  <c r="F627" i="1" s="1"/>
  <c r="F685" i="1" l="1"/>
  <c r="F684" i="1" s="1"/>
  <c r="F642" i="1" l="1"/>
  <c r="F641" i="1" s="1"/>
  <c r="F672" i="1"/>
  <c r="F671" i="1" s="1"/>
  <c r="F659" i="1"/>
  <c r="F658" i="1" s="1"/>
  <c r="F694" i="1"/>
  <c r="F693" i="1" s="1"/>
  <c r="F668" i="1"/>
  <c r="F667" i="1" s="1"/>
  <c r="F681" i="1"/>
  <c r="F680" i="1" s="1"/>
  <c r="F633" i="1"/>
  <c r="F632" i="1" s="1"/>
  <c r="F657" i="1"/>
  <c r="F656" i="1" s="1"/>
  <c r="F624" i="1"/>
  <c r="F623" i="1" s="1"/>
  <c r="F670" i="1"/>
  <c r="F669" i="1" s="1"/>
  <c r="F683" i="1"/>
  <c r="F682" i="1" s="1"/>
  <c r="F644" i="1"/>
  <c r="F643" i="1" s="1"/>
  <c r="F646" i="1"/>
  <c r="F645" i="1" s="1"/>
  <c r="F626" i="1"/>
  <c r="F625" i="1" s="1"/>
  <c r="F640" i="1" l="1"/>
  <c r="F635" i="1"/>
  <c r="F634" i="1" s="1"/>
  <c r="F631" i="1" s="1"/>
  <c r="F655" i="1"/>
  <c r="F654" i="1" s="1"/>
  <c r="F622" i="1"/>
  <c r="F621" i="1" s="1"/>
  <c r="F620" i="1" s="1"/>
  <c r="F653" i="1"/>
  <c r="F652" i="1" s="1"/>
  <c r="F666" i="1"/>
  <c r="F665" i="1" s="1"/>
  <c r="F664" i="1" s="1"/>
  <c r="F679" i="1"/>
  <c r="F678" i="1" s="1"/>
  <c r="F677" i="1" s="1"/>
  <c r="F651" i="1" l="1"/>
  <c r="F692" i="1"/>
  <c r="F691" i="1" s="1"/>
  <c r="F690" i="1" s="1"/>
  <c r="F619" i="1" l="1"/>
  <c r="F618" i="1" s="1"/>
  <c r="F617" i="1"/>
  <c r="F616" i="1" s="1"/>
  <c r="F615" i="1"/>
  <c r="F614" i="1" s="1"/>
  <c r="F611" i="1"/>
  <c r="F610" i="1" s="1"/>
  <c r="F609" i="1"/>
  <c r="F608" i="1" s="1"/>
  <c r="F603" i="1"/>
  <c r="F602" i="1" s="1"/>
  <c r="F601" i="1"/>
  <c r="F600" i="1" s="1"/>
  <c r="F599" i="1"/>
  <c r="F598" i="1" s="1"/>
  <c r="F597" i="1"/>
  <c r="F596" i="1" s="1"/>
  <c r="F595" i="1"/>
  <c r="F594" i="1" s="1"/>
  <c r="F605" i="1"/>
  <c r="F604" i="1" s="1"/>
  <c r="F579" i="1"/>
  <c r="F578" i="1" s="1"/>
  <c r="F590" i="1"/>
  <c r="F589" i="1" s="1"/>
  <c r="F588" i="1"/>
  <c r="F587" i="1" s="1"/>
  <c r="F586" i="1"/>
  <c r="F585" i="1" s="1"/>
  <c r="F584" i="1"/>
  <c r="F583" i="1" s="1"/>
  <c r="F582" i="1"/>
  <c r="F581" i="1" s="1"/>
  <c r="F592" i="1"/>
  <c r="F591" i="1" s="1"/>
  <c r="F577" i="1"/>
  <c r="F576" i="1" s="1"/>
  <c r="F575" i="1"/>
  <c r="F574" i="1" s="1"/>
  <c r="F573" i="1"/>
  <c r="F572" i="1" s="1"/>
  <c r="F571" i="1"/>
  <c r="F570" i="1" s="1"/>
  <c r="F569" i="1"/>
  <c r="F568" i="1" s="1"/>
  <c r="F564" i="1"/>
  <c r="F563" i="1" s="1"/>
  <c r="F562" i="1"/>
  <c r="F561" i="1" s="1"/>
  <c r="F560" i="1"/>
  <c r="F559" i="1" s="1"/>
  <c r="F558" i="1"/>
  <c r="F557" i="1" s="1"/>
  <c r="F556" i="1"/>
  <c r="F555" i="1" s="1"/>
  <c r="F566" i="1"/>
  <c r="F565" i="1" s="1"/>
  <c r="F551" i="1"/>
  <c r="F550" i="1" s="1"/>
  <c r="F549" i="1"/>
  <c r="F548" i="1" s="1"/>
  <c r="F547" i="1"/>
  <c r="F546" i="1" s="1"/>
  <c r="F545" i="1"/>
  <c r="F544" i="1" s="1"/>
  <c r="F543" i="1"/>
  <c r="F542" i="1" s="1"/>
  <c r="F553" i="1"/>
  <c r="F552" i="1" s="1"/>
  <c r="F538" i="1"/>
  <c r="F537" i="1" s="1"/>
  <c r="F536" i="1"/>
  <c r="F535" i="1" s="1"/>
  <c r="F534" i="1"/>
  <c r="F533" i="1" s="1"/>
  <c r="F532" i="1"/>
  <c r="F531" i="1" s="1"/>
  <c r="F530" i="1"/>
  <c r="F529" i="1" s="1"/>
  <c r="F540" i="1"/>
  <c r="F539" i="1" s="1"/>
  <c r="F527" i="1"/>
  <c r="F526" i="1" s="1"/>
  <c r="F525" i="1"/>
  <c r="F524" i="1" s="1"/>
  <c r="F523" i="1"/>
  <c r="F522" i="1" s="1"/>
  <c r="F521" i="1"/>
  <c r="F520" i="1" s="1"/>
  <c r="F519" i="1"/>
  <c r="F518" i="1" s="1"/>
  <c r="F517" i="1"/>
  <c r="F516" i="1" s="1"/>
  <c r="F515" i="1" l="1"/>
  <c r="F593" i="1"/>
  <c r="F580" i="1"/>
  <c r="F567" i="1"/>
  <c r="F554" i="1"/>
  <c r="F541" i="1"/>
  <c r="F528" i="1"/>
  <c r="F613" i="1" l="1"/>
  <c r="F612" i="1" s="1"/>
  <c r="F607" i="1" s="1"/>
  <c r="F606" i="1" s="1"/>
  <c r="F514" i="1"/>
  <c r="F513" i="1" s="1"/>
  <c r="F510" i="1"/>
  <c r="F509" i="1" s="1"/>
  <c r="F508" i="1"/>
  <c r="F507" i="1" s="1"/>
  <c r="F504" i="1"/>
  <c r="F503" i="1" s="1"/>
  <c r="F502" i="1"/>
  <c r="F501" i="1" s="1"/>
  <c r="F500" i="1"/>
  <c r="F499" i="1" s="1"/>
  <c r="F498" i="1" l="1"/>
  <c r="F497" i="1" s="1"/>
  <c r="B9" i="1" l="1"/>
  <c r="F506" i="1" l="1"/>
  <c r="F505" i="1" s="1"/>
  <c r="F496" i="1" s="1"/>
  <c r="F495" i="1" l="1"/>
  <c r="F109" i="1" l="1"/>
  <c r="F1698" i="1" s="1"/>
</calcChain>
</file>

<file path=xl/sharedStrings.xml><?xml version="1.0" encoding="utf-8"?>
<sst xmlns="http://schemas.openxmlformats.org/spreadsheetml/2006/main" count="6019" uniqueCount="2583">
  <si>
    <t>Obra</t>
  </si>
  <si>
    <t>Código</t>
  </si>
  <si>
    <t>Descrição</t>
  </si>
  <si>
    <t>Un.</t>
  </si>
  <si>
    <t>Quantidade orçada</t>
  </si>
  <si>
    <t>Preço unitário</t>
  </si>
  <si>
    <t>Preço total</t>
  </si>
  <si>
    <t>GERENCIAMENTO TÉCNICO</t>
  </si>
  <si>
    <t>Estudo ambiental</t>
  </si>
  <si>
    <t>Sondagem do terreno</t>
  </si>
  <si>
    <t>Projeto de canteiro</t>
  </si>
  <si>
    <t>IPTU</t>
  </si>
  <si>
    <t>GERENCIAMENTO ADMINISTRATIVO</t>
  </si>
  <si>
    <t>Bandeja de proteção primária</t>
  </si>
  <si>
    <t>m</t>
  </si>
  <si>
    <t>Bandeja de proteção secundária</t>
  </si>
  <si>
    <t>m2</t>
  </si>
  <si>
    <t>Engenheiro civil</t>
  </si>
  <si>
    <t>Limpeza mecanizada de camada vegetal</t>
  </si>
  <si>
    <t>Despesas de consumo - Luz</t>
  </si>
  <si>
    <t>EQUIPAMENTOS</t>
  </si>
  <si>
    <t>un</t>
  </si>
  <si>
    <t>INFRAESTRUTURA</t>
  </si>
  <si>
    <t>FUNDAÇÃO PROFUNDA</t>
  </si>
  <si>
    <t>FUNDAÇÃO RASA</t>
  </si>
  <si>
    <t>SUPRAESTRUTURA</t>
  </si>
  <si>
    <t>SUPRAESTRUTURA - TÉRREO</t>
  </si>
  <si>
    <t>Verga/contraverga de concreto, moldada in loco</t>
  </si>
  <si>
    <t>SISTEMAS E INSTALAÇÕES ELÉTRICAS</t>
  </si>
  <si>
    <t>Entrada de Energia</t>
  </si>
  <si>
    <t>CLIMATIZAÇÃO E EXAUSTÃO</t>
  </si>
  <si>
    <t>REVESTIMENTOS E ACABAMENTOS INTERNOS EM TETO</t>
  </si>
  <si>
    <t>REVESTIMENTOS E ACABAMENTOS INTERNOS EM TETO - TÉRREO</t>
  </si>
  <si>
    <t>ACABAMENTOS EM PISO E PAREDE</t>
  </si>
  <si>
    <t>ACABAMENTOS EM PISO E PAREDE - TÉRREO</t>
  </si>
  <si>
    <t>SISTEMAS DE PINTURA INTERNA</t>
  </si>
  <si>
    <t>SISTEMAS DE PINTURA INTERNA - TÉRREO</t>
  </si>
  <si>
    <t>COBERTURA</t>
  </si>
  <si>
    <t>SERVIÇOS COMPLEMENTARES E FINAIS</t>
  </si>
  <si>
    <t>Ambientação</t>
  </si>
  <si>
    <t>Paisagismo</t>
  </si>
  <si>
    <t>Imprevistos e Contingências</t>
  </si>
  <si>
    <t>Total da obra</t>
  </si>
  <si>
    <t>ORÇAMENTO EXECUTIVO</t>
  </si>
  <si>
    <t>Cliente</t>
  </si>
  <si>
    <t>Data</t>
  </si>
  <si>
    <t>Versão</t>
  </si>
  <si>
    <t>R00</t>
  </si>
  <si>
    <t>GERENCIAMENTO EXECUTIVO</t>
  </si>
  <si>
    <t>OBSERVAÇÕES</t>
  </si>
  <si>
    <t>Considerações</t>
  </si>
  <si>
    <t>Quantitativos</t>
  </si>
  <si>
    <t>Verba estimada conforme índices históricos de obras similares</t>
  </si>
  <si>
    <t>Empresa</t>
  </si>
  <si>
    <t>Revisão</t>
  </si>
  <si>
    <t>LEVANTAMENTO QUANTITATIVO</t>
  </si>
  <si>
    <t>Equipamentos de proteção coletiva</t>
  </si>
  <si>
    <t>Bandejas de proteção</t>
  </si>
  <si>
    <t>Unidade</t>
  </si>
  <si>
    <t>Quantidade</t>
  </si>
  <si>
    <t>Perímetro de projeção embasamento</t>
  </si>
  <si>
    <t>Número de montagens de bandeja primária</t>
  </si>
  <si>
    <t>Número de montagens de bandeja secundária</t>
  </si>
  <si>
    <t xml:space="preserve">Fechamento removível de vãos em madeira </t>
  </si>
  <si>
    <t xml:space="preserve">Área das portas de elevadores </t>
  </si>
  <si>
    <t>Quantidade de portas de elevadores</t>
  </si>
  <si>
    <t>Proteção periférica de concreto e pós desforma, consideração que a partir da concretagem do 5º pavimento será iniciada a vedação em alvenaria</t>
  </si>
  <si>
    <t>Proteção de porta de elevador</t>
  </si>
  <si>
    <t>Consideração de prazo de obra previsto em planejamento</t>
  </si>
  <si>
    <t>Área de terreno</t>
  </si>
  <si>
    <t>Ferramentas gerais de execução de obra - Martelos, serras, alicates, discos de corte, furadeiras</t>
  </si>
  <si>
    <t>Forma de blocos e baldrames, sem reaproveitamento</t>
  </si>
  <si>
    <t>Quantitativo seguindo lista de estrutura disponibilizada</t>
  </si>
  <si>
    <t>Consideração de 5% de perda de concreto na composição</t>
  </si>
  <si>
    <t>Fabricação de forma considera os valores de compensado, o quantitativo representa as reutilizações previstas</t>
  </si>
  <si>
    <t>Consideração de dois jogos de forma para atender a obra toda</t>
  </si>
  <si>
    <t xml:space="preserve">Total de forma de laje do terreo </t>
  </si>
  <si>
    <t>Total de aço previsto para todos os elementos</t>
  </si>
  <si>
    <t>Consideração de 5% de perda de concreto na composição. Concreto da cisterna</t>
  </si>
  <si>
    <t xml:space="preserve">Área de laje escorada </t>
  </si>
  <si>
    <t>Cobertura</t>
  </si>
  <si>
    <t>Valor levantado seguindo planilha de quantitativo de projeto</t>
  </si>
  <si>
    <t xml:space="preserve">Área de esquadrias com exclusão de portões </t>
  </si>
  <si>
    <t>TOTAL</t>
  </si>
  <si>
    <t>Luminarias</t>
  </si>
  <si>
    <t>MOBILIÁRIO</t>
  </si>
  <si>
    <t>Levantamento conforme modelo arquitetônico</t>
  </si>
  <si>
    <t xml:space="preserve">ORÇAMENTO EXECUTIVO </t>
  </si>
  <si>
    <t>MABREM</t>
  </si>
  <si>
    <t>ESTUDOS | PROJETOS | CONSULTORIAS</t>
  </si>
  <si>
    <t>Estudos</t>
  </si>
  <si>
    <t>Levantamento Topografico</t>
  </si>
  <si>
    <t>VB</t>
  </si>
  <si>
    <t>Memorial descrtivo</t>
  </si>
  <si>
    <t>Estudo geológico</t>
  </si>
  <si>
    <t>Projetos</t>
  </si>
  <si>
    <t>Projeto Arquitetônico</t>
  </si>
  <si>
    <t>Projeto de fundacao</t>
  </si>
  <si>
    <t>Projeto eletrico</t>
  </si>
  <si>
    <t>Projeto hidrossanitário</t>
  </si>
  <si>
    <t>Projeto preventivo</t>
  </si>
  <si>
    <t>Projeto de interiores</t>
  </si>
  <si>
    <t>Legalização e incorporação</t>
  </si>
  <si>
    <t>Consultorias</t>
  </si>
  <si>
    <t>Consultoria de Orçamento e Planejamento</t>
  </si>
  <si>
    <t>Compatibilização de projetos BIM</t>
  </si>
  <si>
    <t>Ensaios e Laudos</t>
  </si>
  <si>
    <t>Laudo preventivo de danos a vizinhanca</t>
  </si>
  <si>
    <t>Controle tecnologico de concreto</t>
  </si>
  <si>
    <t>UN</t>
  </si>
  <si>
    <t>TAXAS | DOCUMENTOS</t>
  </si>
  <si>
    <t>Licenciamento - Taxas - Impostos</t>
  </si>
  <si>
    <t>Despesas cartorio e juridicas</t>
  </si>
  <si>
    <t>Taxas de ART e RRT</t>
  </si>
  <si>
    <t>Despesas de seguros</t>
  </si>
  <si>
    <t>Taxas de Aprovação de Projetos e Alvarás (Prefeituras/Bombeiro)</t>
  </si>
  <si>
    <t>Taxa de Aprovação Ambiental</t>
  </si>
  <si>
    <t>SEGURANÇA | MEIO AMBIENTE | SAÚDE</t>
  </si>
  <si>
    <t>Segurança do Trabalho</t>
  </si>
  <si>
    <t>Servico de seguranca do trabalho terceirizado</t>
  </si>
  <si>
    <t>MES</t>
  </si>
  <si>
    <t>Equipamentos de Proteção</t>
  </si>
  <si>
    <t>Bandeja de protecao primaria</t>
  </si>
  <si>
    <t>M</t>
  </si>
  <si>
    <t>Bandeja de protecao secundaria</t>
  </si>
  <si>
    <t>Guarda-corpo de laje apos desforma</t>
  </si>
  <si>
    <t>Guarda-corpo de vaos, fixado em forma de madeira, em trama de madeira com tela de polipropileno</t>
  </si>
  <si>
    <t>Fechamento removivel de vaos de porta de elevador em madeira</t>
  </si>
  <si>
    <t>Varal de seguranca com cabo de aco</t>
  </si>
  <si>
    <t>Tela fachadeira</t>
  </si>
  <si>
    <t>M2</t>
  </si>
  <si>
    <t>ADMINISTRAÇÃO | CANTEIRO DE OBRAS</t>
  </si>
  <si>
    <t>Equipe de Gestão e Apoio</t>
  </si>
  <si>
    <t>Mao de obra de apoio civil</t>
  </si>
  <si>
    <t>Estagiário</t>
  </si>
  <si>
    <t>Almoxarife</t>
  </si>
  <si>
    <t>Operação Inicial do Canteiro</t>
  </si>
  <si>
    <t>Sinalizacao geral da obra</t>
  </si>
  <si>
    <t>Demolições</t>
  </si>
  <si>
    <t>Despesas de Consumo e Manutenção</t>
  </si>
  <si>
    <t>Despesas de consumo - Agua</t>
  </si>
  <si>
    <t>Despesas de consumo - Internet</t>
  </si>
  <si>
    <t>Despesas de Consumo - Coleta de Lixo</t>
  </si>
  <si>
    <t>Segurança patrimonial</t>
  </si>
  <si>
    <t>Instalações Provisórias</t>
  </si>
  <si>
    <t>Instalacoes provisorias de canteiro</t>
  </si>
  <si>
    <t>Locacao de banheiro quimico</t>
  </si>
  <si>
    <t>Tapume em telha metalica</t>
  </si>
  <si>
    <t>Equipamentos de Carga e Transporte</t>
  </si>
  <si>
    <t>Elevador cremalheira - Locacao</t>
  </si>
  <si>
    <t>Andaime Modular Torre - Locação</t>
  </si>
  <si>
    <t>Condutor de entulho vertical - Aquisição</t>
  </si>
  <si>
    <t>Equipamentos de Obra</t>
  </si>
  <si>
    <t>Equipamentos/ Acessorios de Apoio ao Canteiro de Obra</t>
  </si>
  <si>
    <t>Manutencao para equipamentos proprios</t>
  </si>
  <si>
    <t>Valor repassado pela Mabrem em formulário de custos indiretos</t>
  </si>
  <si>
    <t>Consideração de 4 corpos de prova por caminhão de 8m³</t>
  </si>
  <si>
    <t>Cobertura para proteção de pedestres</t>
  </si>
  <si>
    <t>Altura do tapume</t>
  </si>
  <si>
    <t>Perímetro de encontro com pavimentação</t>
  </si>
  <si>
    <t>Tapume</t>
  </si>
  <si>
    <t>Altura da torre</t>
  </si>
  <si>
    <t>Altura do embasamento</t>
  </si>
  <si>
    <t>Perímetro de projeção torre</t>
  </si>
  <si>
    <t>Guarda - corpo de desforma</t>
  </si>
  <si>
    <t>Perímetro de projeção da torre</t>
  </si>
  <si>
    <t>Perímetro de projeção do embasamento</t>
  </si>
  <si>
    <t>Custo de mercado por corpo de prova</t>
  </si>
  <si>
    <t>Composição considerando bandeja de proteção no terreo e tipo 1/lazer</t>
  </si>
  <si>
    <t xml:space="preserve">Composição considerando duas bandejas de proteção, instaladas a cada 3 pavimentos </t>
  </si>
  <si>
    <t>Guarda - corpo aplicado em metragens de esquadrias periféricas (guarda - corpo  de sacadas)</t>
  </si>
  <si>
    <t>Junto à proteção periférica de concreto e pós desforma, consideração que a partir da concretagem do 5º pavimento será iniciada a vedação em alvenaria</t>
  </si>
  <si>
    <t>Consideração de tela em toda fachada com impressão digital</t>
  </si>
  <si>
    <t>01</t>
  </si>
  <si>
    <t>GERENCIAMENTO TÉCNICO E ADMINISTRATIVO</t>
  </si>
  <si>
    <t>01.01</t>
  </si>
  <si>
    <t>01.01.001</t>
  </si>
  <si>
    <t>01.01.001.0001</t>
  </si>
  <si>
    <t>01.01.001.0001.0001</t>
  </si>
  <si>
    <t>01.01.001.0001.0002</t>
  </si>
  <si>
    <t>01.01.001.0001.0003</t>
  </si>
  <si>
    <t>01.01.001.0001.0004</t>
  </si>
  <si>
    <t>01.01.001.0001.0005</t>
  </si>
  <si>
    <t>01.01.001.0002</t>
  </si>
  <si>
    <t>01.01.001.0002.0001</t>
  </si>
  <si>
    <t>01.01.001.0002.0002</t>
  </si>
  <si>
    <t>01.01.001.0002.0003</t>
  </si>
  <si>
    <t>01.01.001.0002.0007</t>
  </si>
  <si>
    <t>01.01.001.0003</t>
  </si>
  <si>
    <t>01.01.001.0003.0001</t>
  </si>
  <si>
    <t>01.01.001.0003.0002</t>
  </si>
  <si>
    <t>01.01.001.0003.0004</t>
  </si>
  <si>
    <t>01.01.001.0004</t>
  </si>
  <si>
    <t>01.01.001.0004.0004</t>
  </si>
  <si>
    <t>01.01.001.0004.0006</t>
  </si>
  <si>
    <t>01.01.002</t>
  </si>
  <si>
    <t>01.01.002.0001</t>
  </si>
  <si>
    <t>01.01.002.0001.0001</t>
  </si>
  <si>
    <t>01.01.002.0001.0003</t>
  </si>
  <si>
    <t>01.01.002.0001.0004</t>
  </si>
  <si>
    <t>01.01.002.0001.0005</t>
  </si>
  <si>
    <t>01.01.002.0001.0006</t>
  </si>
  <si>
    <t>01.01.002.0001.0007</t>
  </si>
  <si>
    <t>01.02</t>
  </si>
  <si>
    <t>01.02.001</t>
  </si>
  <si>
    <t>01.02.001.0001</t>
  </si>
  <si>
    <t>01.02.001.0001.0001</t>
  </si>
  <si>
    <t>01.02.001.0001.0002</t>
  </si>
  <si>
    <t>01.02.001.0002</t>
  </si>
  <si>
    <t>01.02.001.0002.0001</t>
  </si>
  <si>
    <t>01.02.001.0002.0002</t>
  </si>
  <si>
    <t>01.02.001.0002.0003</t>
  </si>
  <si>
    <t>01.02.001.0002.0004</t>
  </si>
  <si>
    <t>01.02.001.0002.0005</t>
  </si>
  <si>
    <t>01.02.001.0002.0007</t>
  </si>
  <si>
    <t>01.02.001.0002.0008</t>
  </si>
  <si>
    <t>01.02.002</t>
  </si>
  <si>
    <t>01.02.002.0001</t>
  </si>
  <si>
    <t>01.02.002.0001.0001</t>
  </si>
  <si>
    <t>01.02.002.0001.0002</t>
  </si>
  <si>
    <t>01.02.002.0001.0004</t>
  </si>
  <si>
    <t>01.02.002.0001.0005</t>
  </si>
  <si>
    <t>01.02.002.0002</t>
  </si>
  <si>
    <t>01.02.002.0002.0001</t>
  </si>
  <si>
    <t>01.02.002.0002.0002</t>
  </si>
  <si>
    <t>01.02.002.0002.0003</t>
  </si>
  <si>
    <t>01.02.002.0003</t>
  </si>
  <si>
    <t>01.02.002.0004</t>
  </si>
  <si>
    <t>01.02.002.0004.0001</t>
  </si>
  <si>
    <t>01.02.002.0004.0002</t>
  </si>
  <si>
    <t>01.02.002.0004.0003</t>
  </si>
  <si>
    <t>01.02.002.0004.0005</t>
  </si>
  <si>
    <t>01.02.002.0004.0006</t>
  </si>
  <si>
    <t>01.02.003</t>
  </si>
  <si>
    <t>01.02.003.0001</t>
  </si>
  <si>
    <t>01.02.003.0001.0001</t>
  </si>
  <si>
    <t>01.02.003.0001.0004</t>
  </si>
  <si>
    <t>01.02.003.0001.0009</t>
  </si>
  <si>
    <t>01.02.003.0001.0011</t>
  </si>
  <si>
    <t>01.02.003.0002</t>
  </si>
  <si>
    <t>01.02.003.0002.0001</t>
  </si>
  <si>
    <t>01.02.003.0002.0002</t>
  </si>
  <si>
    <t>02</t>
  </si>
  <si>
    <t>02.01</t>
  </si>
  <si>
    <t>02.01.001</t>
  </si>
  <si>
    <t>02.01.001.0001</t>
  </si>
  <si>
    <t>02.01.002</t>
  </si>
  <si>
    <t>02.01.002.0001</t>
  </si>
  <si>
    <t>Movimentação de Terra</t>
  </si>
  <si>
    <t>02.01.002.0001.0001</t>
  </si>
  <si>
    <t>Escavacao mecanizada para blocos e baldrames, com previsao de forma</t>
  </si>
  <si>
    <t>M3</t>
  </si>
  <si>
    <t>02.01.002.0001.0002</t>
  </si>
  <si>
    <t>Reaterro mecanizado para blocos e baldrames, com retroescavadeira</t>
  </si>
  <si>
    <t>02.01.002.0001.0003</t>
  </si>
  <si>
    <t>Servico de limpeza e remocao</t>
  </si>
  <si>
    <t>02.01.002.0002</t>
  </si>
  <si>
    <t>Forma</t>
  </si>
  <si>
    <t>02.01.002.0002.0001</t>
  </si>
  <si>
    <t>Fabricacao, montagem e desmontagem de forma para bloco de fundacao, em madeira serrada</t>
  </si>
  <si>
    <t>02.01.002.0003</t>
  </si>
  <si>
    <t>Armadura</t>
  </si>
  <si>
    <t>02.01.002.0003.0001</t>
  </si>
  <si>
    <t>Armacao aco CA-50 ø 6.3mm para blocos e baldrames - cortado e dobrado em industria</t>
  </si>
  <si>
    <t>KG</t>
  </si>
  <si>
    <t>02.01.002.0003.0002</t>
  </si>
  <si>
    <t>Armacao aco CA-50 ø 8.0mm para blocos e baldrames - cortado e dobrado em industria</t>
  </si>
  <si>
    <t>02.01.002.0003.0003</t>
  </si>
  <si>
    <t>Armacao aco CA-50 ø 10.0mm para blocos e baldrames - cortado e dobrado em industria</t>
  </si>
  <si>
    <t>02.01.002.0003.0004</t>
  </si>
  <si>
    <t>Armacao aco CA-50 ø 12.5mm para blocos e baldrames - cortado e dobrado em industria</t>
  </si>
  <si>
    <t>02.01.002.0003.0005</t>
  </si>
  <si>
    <t>Armacao aco CA-50 ø 16.0mm para blocos e baldrames - cortado e dobrado em industria</t>
  </si>
  <si>
    <t>02.01.002.0003.0006</t>
  </si>
  <si>
    <t>Armacao aco CA-50 ø 20.0mm para blocos e baldrames - cortado e dobrado em industria</t>
  </si>
  <si>
    <t>02.01.002.0003.0007</t>
  </si>
  <si>
    <t>Armacao aco CA-60 ø 5.0mm para blocos e baldrames - cortado e dobrado em industria</t>
  </si>
  <si>
    <t>02.01.002.0003.0008</t>
  </si>
  <si>
    <t>Armacao aco CA-60 ø 25.0mm para blocos e baldrames - cortado e dobrado em industria</t>
  </si>
  <si>
    <t>02.01.002.0004</t>
  </si>
  <si>
    <t>Concreto</t>
  </si>
  <si>
    <t>02.01.002.0004.0001</t>
  </si>
  <si>
    <t>02.01.002.0004.0002</t>
  </si>
  <si>
    <t>02.01.002.0006</t>
  </si>
  <si>
    <t>Reservatorios e outros</t>
  </si>
  <si>
    <t>02.01.002.0006.0001</t>
  </si>
  <si>
    <t>Cisterna inferior</t>
  </si>
  <si>
    <t>02.01.002.0006.0003</t>
  </si>
  <si>
    <t>Reservatório de reuso</t>
  </si>
  <si>
    <t>02.01.002.0006.0006</t>
  </si>
  <si>
    <t>Caixas de gordura</t>
  </si>
  <si>
    <t>02.01.002.0006.0008</t>
  </si>
  <si>
    <t>02.01.002.0006.0009</t>
  </si>
  <si>
    <t>Caixas de inspeção</t>
  </si>
  <si>
    <t>02.01.002.0007</t>
  </si>
  <si>
    <t>Mão de Obra</t>
  </si>
  <si>
    <t>02.01.002.0007.0001</t>
  </si>
  <si>
    <t>Mao de obra para execucao de infraestrutura</t>
  </si>
  <si>
    <t>02.01.002.0007.0002</t>
  </si>
  <si>
    <t>Arrasamento mecanizado para estacas</t>
  </si>
  <si>
    <t>02.02</t>
  </si>
  <si>
    <t>02.02.001</t>
  </si>
  <si>
    <t>02.02.001.0001</t>
  </si>
  <si>
    <t xml:space="preserve">Total de escavação </t>
  </si>
  <si>
    <t>Valume de escavação menos o bota-fora</t>
  </si>
  <si>
    <t>Area da base multiplicado pela esperrura de 10cm</t>
  </si>
  <si>
    <t>Estimativa de escavação, forma em madeira serrada, aço e concreto com base em dimnesões preliminares</t>
  </si>
  <si>
    <t xml:space="preserve">Estimativa de escavação e lastro para assentamento </t>
  </si>
  <si>
    <t>02.02.001.0001.0003</t>
  </si>
  <si>
    <t>Armacao aco CA-50 ø 6.3mm para supraestrutura corte e dobra em indústria</t>
  </si>
  <si>
    <t>02.02.001.0001.0010</t>
  </si>
  <si>
    <t>Armacao aco CA-50 ø 10.0mm para supraestrutura corte e dobra em indústria</t>
  </si>
  <si>
    <t>02.02.001.0001.0011</t>
  </si>
  <si>
    <t>Armacao aco CA-50 ø 12.5mm para supraestrutura corte e dobra em indústria</t>
  </si>
  <si>
    <t>02.02.001.0001.0012</t>
  </si>
  <si>
    <t>Armacao aco CA-50 ø 16.0mm para supraestrutura corte e dobra em indústria</t>
  </si>
  <si>
    <t>02.02.001.0001.0014</t>
  </si>
  <si>
    <t>Armacao aco CA-50 ø 20.0mm para supraestrutura, corte e dobra em obra</t>
  </si>
  <si>
    <t>02.02.001.0001.0015</t>
  </si>
  <si>
    <t>Armacao aco CA-50 ø 25.0mm para supraestrutura corte e dobra em indústria</t>
  </si>
  <si>
    <t>02.02.001.0002</t>
  </si>
  <si>
    <t>02.02.001.0002.0003</t>
  </si>
  <si>
    <t>Montagem e desmontagem de fôrma para pilares em chapa de madeira compensada plastificada</t>
  </si>
  <si>
    <t>Montagem e desmontagem de fôrma para laje em chapa de madeira compensada plastificada</t>
  </si>
  <si>
    <t>02.02.001.0002.0006</t>
  </si>
  <si>
    <t>02.02.001.0002.0008</t>
  </si>
  <si>
    <t>Fabricação de fôrma para pilares em chapa de madeira compensada plastificada e=14 mm - 2 jogos</t>
  </si>
  <si>
    <t>02.02.001.0002.0009</t>
  </si>
  <si>
    <t>02.02.001.0003</t>
  </si>
  <si>
    <t>02.02.001.0003.0002</t>
  </si>
  <si>
    <t>02.02.001.0005</t>
  </si>
  <si>
    <t>Outros serviços</t>
  </si>
  <si>
    <t>02.02.001.0005.0001</t>
  </si>
  <si>
    <t>02.02.001.0006</t>
  </si>
  <si>
    <t>02.02.001.0006.0001</t>
  </si>
  <si>
    <t>Mao de obra para execucacao de estrutura de concreto armado em supraestrutura</t>
  </si>
  <si>
    <t>02.02.001.0006.0002</t>
  </si>
  <si>
    <t>Mao de obra para furacoes em concreto</t>
  </si>
  <si>
    <t xml:space="preserve">Consideração de corte e dobra em obra sem perda no aço </t>
  </si>
  <si>
    <t>Piso sobre solo</t>
  </si>
  <si>
    <t>02.02.002</t>
  </si>
  <si>
    <t>02.02.002.0001</t>
  </si>
  <si>
    <t>02.02.002.0001.0010</t>
  </si>
  <si>
    <t>Armacao aco CA-60 ø 5.0mm para supraestrutura corte e dobra em indústria</t>
  </si>
  <si>
    <t>02.02.002.0001.0011</t>
  </si>
  <si>
    <t>02.02.002.0001.0012</t>
  </si>
  <si>
    <t>Armacao aco CA-50 ø 8.0mm para supraestrutura corte e dobra em indústria</t>
  </si>
  <si>
    <t>02.02.002.0001.0013</t>
  </si>
  <si>
    <t>02.02.002.0001.0014</t>
  </si>
  <si>
    <t>02.02.002.0001.0015</t>
  </si>
  <si>
    <t>02.02.002.0001.0016</t>
  </si>
  <si>
    <t>Armacao aco CA-50 ø 20.0mm para supraestrutura corte e dobra em indústria</t>
  </si>
  <si>
    <t>02.02.002.0001.0017</t>
  </si>
  <si>
    <t>02.02.002.0002</t>
  </si>
  <si>
    <t>02.02.002.0002.0003</t>
  </si>
  <si>
    <t>Fabricação de fôrma para vigas em chapa de madeira compensada plastificada e=14 mm - 2 jogos</t>
  </si>
  <si>
    <t>02.02.002.0002.0004</t>
  </si>
  <si>
    <t>Fabricação de fôrma para laje em chapa de madeira compensada plastificada e=14 mm - 2 jogos</t>
  </si>
  <si>
    <t>02.02.002.0002.0005</t>
  </si>
  <si>
    <t>02.02.002.0002.0006</t>
  </si>
  <si>
    <t>02.02.002.0002.0007</t>
  </si>
  <si>
    <t>Montagem e desmontagem de fôrma para vigas em chapa de madeira compensada plastificada</t>
  </si>
  <si>
    <t>02.02.002.0002.0008</t>
  </si>
  <si>
    <t>Escoramento metalico - locacao</t>
  </si>
  <si>
    <t>02.02.002.0002.0009</t>
  </si>
  <si>
    <t>02.02.002.0003</t>
  </si>
  <si>
    <t>02.02.002.0004</t>
  </si>
  <si>
    <t>02.02.002.0004.0001</t>
  </si>
  <si>
    <t>02.02.003</t>
  </si>
  <si>
    <t>02.02.003.0001</t>
  </si>
  <si>
    <t>02.02.003.0001.0010</t>
  </si>
  <si>
    <t>02.02.003.0001.0011</t>
  </si>
  <si>
    <t>02.02.003.0001.0012</t>
  </si>
  <si>
    <t>02.02.003.0001.0013</t>
  </si>
  <si>
    <t>02.02.003.0001.0014</t>
  </si>
  <si>
    <t>02.02.003.0001.0015</t>
  </si>
  <si>
    <t>02.02.003.0001.0016</t>
  </si>
  <si>
    <t>02.02.003.0001.0017</t>
  </si>
  <si>
    <t>02.02.003.0002</t>
  </si>
  <si>
    <t>02.02.003.0002.0004</t>
  </si>
  <si>
    <t>02.02.003.0002.0005</t>
  </si>
  <si>
    <t>02.02.003.0002.0006</t>
  </si>
  <si>
    <t>02.02.003.0002.0007</t>
  </si>
  <si>
    <t>02.02.003.0002.0008</t>
  </si>
  <si>
    <t>Montagem de fôrma para escadarias em chapa de madeira compensada plastificada e=14 mm - 2 jogos</t>
  </si>
  <si>
    <t>02.02.003.0003</t>
  </si>
  <si>
    <t>02.02.003.0004</t>
  </si>
  <si>
    <t>02.02.003.0004.0001</t>
  </si>
  <si>
    <t>02.02.003.0004.0002</t>
  </si>
  <si>
    <t>Total de forma de laje do G2</t>
  </si>
  <si>
    <t>Total de forma de vigas do G2</t>
  </si>
  <si>
    <t>Total de forma de escadas do G2</t>
  </si>
  <si>
    <t>02.02.004</t>
  </si>
  <si>
    <t>02.02.004.0001</t>
  </si>
  <si>
    <t>02.02.004.0001.0010</t>
  </si>
  <si>
    <t>02.02.004.0001.0011</t>
  </si>
  <si>
    <t>02.02.004.0001.0012</t>
  </si>
  <si>
    <t>02.02.004.0001.0013</t>
  </si>
  <si>
    <t>02.02.004.0001.0014</t>
  </si>
  <si>
    <t>02.02.004.0001.0015</t>
  </si>
  <si>
    <t>02.02.004.0001.0016</t>
  </si>
  <si>
    <t>02.02.004.0001.0017</t>
  </si>
  <si>
    <t>02.02.004.0002</t>
  </si>
  <si>
    <t>02.02.004.0002.0004</t>
  </si>
  <si>
    <t>02.02.004.0002.0005</t>
  </si>
  <si>
    <t>02.02.004.0002.0006</t>
  </si>
  <si>
    <t>02.02.004.0002.0007</t>
  </si>
  <si>
    <t>02.02.004.0002.0008</t>
  </si>
  <si>
    <t>02.02.004.0003</t>
  </si>
  <si>
    <t>02.02.004.0004</t>
  </si>
  <si>
    <t>02.02.004.0004.0001</t>
  </si>
  <si>
    <t>02.02.004.0004.0002</t>
  </si>
  <si>
    <t>Total de forma de laje do tipo 1/lazer</t>
  </si>
  <si>
    <t>Total de forma de pilares do tipo 1/lazer</t>
  </si>
  <si>
    <t>Total de forma de vigas do tipo 1/lazer</t>
  </si>
  <si>
    <t>Total de forma de escadas do tipo 1/lazer</t>
  </si>
  <si>
    <t>Total de forma de pilares do G2</t>
  </si>
  <si>
    <t>02.02.005</t>
  </si>
  <si>
    <t>02.02.005.0001</t>
  </si>
  <si>
    <t>02.02.005.0001.0009</t>
  </si>
  <si>
    <t>02.02.005.0001.0010</t>
  </si>
  <si>
    <t>02.02.005.0001.0011</t>
  </si>
  <si>
    <t>02.02.005.0001.0012</t>
  </si>
  <si>
    <t>02.02.005.0001.0013</t>
  </si>
  <si>
    <t>02.02.005.0001.0014</t>
  </si>
  <si>
    <t>02.02.005.0001.0015</t>
  </si>
  <si>
    <t>02.02.005.0001.0016</t>
  </si>
  <si>
    <t>02.02.005.0002</t>
  </si>
  <si>
    <t>02.02.005.0002.0001</t>
  </si>
  <si>
    <t>02.02.005.0002.0002</t>
  </si>
  <si>
    <t>02.02.005.0002.0003</t>
  </si>
  <si>
    <t>02.02.005.0002.0004</t>
  </si>
  <si>
    <t>02.02.005.0002.0005</t>
  </si>
  <si>
    <t>02.02.005.0003</t>
  </si>
  <si>
    <t>02.02.005.0004</t>
  </si>
  <si>
    <t>02.02.005.0004.0001</t>
  </si>
  <si>
    <t>02.02.005.0004.0002</t>
  </si>
  <si>
    <t>Total de forma de laje do tipo 2</t>
  </si>
  <si>
    <t>Total de forma de pilares do tipo 2</t>
  </si>
  <si>
    <t>Total de forma de vigas do tipo 2</t>
  </si>
  <si>
    <t>Total de forma de escadas do tipo 2</t>
  </si>
  <si>
    <t>02.02.006</t>
  </si>
  <si>
    <t>02.02.006.0001</t>
  </si>
  <si>
    <t>02.02.006.0001.0009</t>
  </si>
  <si>
    <t>02.02.006.0001.0010</t>
  </si>
  <si>
    <t>02.02.006.0001.0011</t>
  </si>
  <si>
    <t>02.02.006.0001.0012</t>
  </si>
  <si>
    <t>02.02.006.0001.0013</t>
  </si>
  <si>
    <t>02.02.006.0001.0014</t>
  </si>
  <si>
    <t>02.02.006.0001.0016</t>
  </si>
  <si>
    <t>02.02.006.0002</t>
  </si>
  <si>
    <t>02.02.006.0002.0001</t>
  </si>
  <si>
    <t>02.02.006.0002.0002</t>
  </si>
  <si>
    <t>02.02.006.0002.0003</t>
  </si>
  <si>
    <t>02.02.006.0002.0004</t>
  </si>
  <si>
    <t>02.02.006.0002.0005</t>
  </si>
  <si>
    <t>02.02.006.0003</t>
  </si>
  <si>
    <t>02.02.006.0004</t>
  </si>
  <si>
    <t>02.02.006.0004.0001</t>
  </si>
  <si>
    <t>02.02.006.0004.0002</t>
  </si>
  <si>
    <t>Total de forma de laje do tipo 3 (x11)</t>
  </si>
  <si>
    <t>Total de forma de pilares do tipo 3 (x11)</t>
  </si>
  <si>
    <t>Total de forma de vigas do tipo 3 (x11)</t>
  </si>
  <si>
    <t>Total de forma de escadas do tipo 3 (x11)</t>
  </si>
  <si>
    <t>02.02.007</t>
  </si>
  <si>
    <t>02.02.007.0001</t>
  </si>
  <si>
    <t>02.02.007.0001.0008</t>
  </si>
  <si>
    <t>02.02.007.0001.0009</t>
  </si>
  <si>
    <t>02.02.007.0001.0010</t>
  </si>
  <si>
    <t>02.02.007.0001.0011</t>
  </si>
  <si>
    <t>02.02.007.0001.0012</t>
  </si>
  <si>
    <t>02.02.007.0001.0013</t>
  </si>
  <si>
    <t>02.02.007.0002</t>
  </si>
  <si>
    <t>02.02.007.0002.0001</t>
  </si>
  <si>
    <t>02.02.007.0002.0002</t>
  </si>
  <si>
    <t>02.02.007.0002.0003</t>
  </si>
  <si>
    <t>02.02.007.0002.0004</t>
  </si>
  <si>
    <t>02.02.007.0003</t>
  </si>
  <si>
    <t>02.02.007.0004</t>
  </si>
  <si>
    <t>02.02.007.0004.0001</t>
  </si>
  <si>
    <t>02.02.008</t>
  </si>
  <si>
    <t>02.02.008.0001</t>
  </si>
  <si>
    <t>02.02.008.0001.0006</t>
  </si>
  <si>
    <t>02.02.008.0001.0007</t>
  </si>
  <si>
    <t>02.02.008.0001.0008</t>
  </si>
  <si>
    <t>02.02.008.0001.0009</t>
  </si>
  <si>
    <t>02.02.008.0001.0010</t>
  </si>
  <si>
    <t>02.02.008.0002</t>
  </si>
  <si>
    <t>02.02.008.0002.0002</t>
  </si>
  <si>
    <t>02.02.008.0002.0003</t>
  </si>
  <si>
    <t>02.02.008.0002.0004</t>
  </si>
  <si>
    <t>02.02.008.0003</t>
  </si>
  <si>
    <t>02.02.008.0004</t>
  </si>
  <si>
    <t>02.02.008.0004.0001</t>
  </si>
  <si>
    <t>Total de forma de laje do barrilete</t>
  </si>
  <si>
    <t>Total de forma de pilares do barrilete</t>
  </si>
  <si>
    <t>Total de forma de vigas do barrilete</t>
  </si>
  <si>
    <t>Total de forma de pilares da caixa d'água</t>
  </si>
  <si>
    <t>Total de forma de vigas da caixa d'água</t>
  </si>
  <si>
    <t>02.03</t>
  </si>
  <si>
    <t>ALVENARIA | VEDAÇÕES | DIVISÓRIAS</t>
  </si>
  <si>
    <t>02.03.001</t>
  </si>
  <si>
    <t>ALVENARIA | VEDAÇÕES | DIVISÓRIAS - TÉRREO</t>
  </si>
  <si>
    <t>02.03.001.0001</t>
  </si>
  <si>
    <t>Alvenaria de Vedação com Blocos Cerâmicos</t>
  </si>
  <si>
    <t>02.03.001.0001.0002</t>
  </si>
  <si>
    <t>Alvenaria de vedacao de blocos ceramicos furados na horizontal de 11.5x19x29cm (espessura 11.5cm) com argamassa industrializada de assentamento</t>
  </si>
  <si>
    <t>02.03.001.0001.0003</t>
  </si>
  <si>
    <t>Alvenaria de vedacao de blocos ceramicos furados na horizontal de 14x19x29cm (espessura 14cm) com argamassa industrializada de assentamento</t>
  </si>
  <si>
    <t>02.03.001.0002</t>
  </si>
  <si>
    <t>Alvenaria de Vedação com Blocos de Concreto</t>
  </si>
  <si>
    <t>02.03.001.0002.0001</t>
  </si>
  <si>
    <t>Alvenaria com blocos silico calcarios de 12,5x30x60cm (espessura 12,5cm) com argamassa industrializada de assentamento</t>
  </si>
  <si>
    <t>02.03.001.0003</t>
  </si>
  <si>
    <t>Fechamento de shafts</t>
  </si>
  <si>
    <t>02.03.001.0003.0001</t>
  </si>
  <si>
    <t>Fechamento de shaft em placa cimentícia 1.75cm</t>
  </si>
  <si>
    <t>02.03.001.0004</t>
  </si>
  <si>
    <t>Serviços Complementares</t>
  </si>
  <si>
    <t>02.03.001.0004.0001</t>
  </si>
  <si>
    <t>02.03.001.0004.0002</t>
  </si>
  <si>
    <t>Tela soldada para ligacao alvenaria/estrutura - para blocos de 9 a 14cm</t>
  </si>
  <si>
    <t>02.03.001.0004.0003</t>
  </si>
  <si>
    <t>Encunhamento de alvenaria de vedacao com argamassa expansiva</t>
  </si>
  <si>
    <t>02.03.001.0005</t>
  </si>
  <si>
    <t>02.03.001.0005.0001</t>
  </si>
  <si>
    <t>Mao de obra empreitada vedacoes internas e externas - assentamento blocos ceramicos</t>
  </si>
  <si>
    <t>02.03.001.0005.0002</t>
  </si>
  <si>
    <t>Mao de obra empreitada vedacoes internas e externas - assentamento blocos silico calcarios</t>
  </si>
  <si>
    <t>02.03.001.0005.0003</t>
  </si>
  <si>
    <t>Mao de obra para vaos de janelas e portas, criterio de medicao para assentamento de blocos ceramicos</t>
  </si>
  <si>
    <t>02.03.003</t>
  </si>
  <si>
    <t>02.03.003.0001</t>
  </si>
  <si>
    <t>02.03.003.0001.0001</t>
  </si>
  <si>
    <t>02.03.003.0001.0002</t>
  </si>
  <si>
    <t>02.03.003.0002</t>
  </si>
  <si>
    <t>02.03.003.0002.0001</t>
  </si>
  <si>
    <t>02.03.003.0003</t>
  </si>
  <si>
    <t>02.03.003.0003.0001</t>
  </si>
  <si>
    <t>02.03.003.0004</t>
  </si>
  <si>
    <t>02.03.003.0004.0001</t>
  </si>
  <si>
    <t>02.03.003.0004.0002</t>
  </si>
  <si>
    <t>02.03.003.0004.0003</t>
  </si>
  <si>
    <t>02.03.003.0005</t>
  </si>
  <si>
    <t>02.03.003.0005.0001</t>
  </si>
  <si>
    <t>02.03.003.0005.0002</t>
  </si>
  <si>
    <t>02.03.003.0005.0003</t>
  </si>
  <si>
    <t>02.03.005</t>
  </si>
  <si>
    <t>02.03.005.0001</t>
  </si>
  <si>
    <t>02.03.005.0001.0001</t>
  </si>
  <si>
    <t>02.03.005.0001.0002</t>
  </si>
  <si>
    <t>02.03.005.0002</t>
  </si>
  <si>
    <t>02.03.005.0002.0001</t>
  </si>
  <si>
    <t>02.03.005.0003</t>
  </si>
  <si>
    <t>02.03.005.0003.0001</t>
  </si>
  <si>
    <t>02.03.005.0004</t>
  </si>
  <si>
    <t>02.03.005.0004.0001</t>
  </si>
  <si>
    <t>02.03.005.0004.0002</t>
  </si>
  <si>
    <t>02.03.005.0004.0003</t>
  </si>
  <si>
    <t>02.03.005.0005</t>
  </si>
  <si>
    <t>02.03.005.0005.0001</t>
  </si>
  <si>
    <t>02.03.005.0005.0002</t>
  </si>
  <si>
    <t>02.03.005.0005.0003</t>
  </si>
  <si>
    <t>02.03.007</t>
  </si>
  <si>
    <t>02.03.007.0001</t>
  </si>
  <si>
    <t>02.03.007.0001.0001</t>
  </si>
  <si>
    <t>02.03.007.0001.0002</t>
  </si>
  <si>
    <t>02.03.007.0002</t>
  </si>
  <si>
    <t>02.03.007.0002.0002</t>
  </si>
  <si>
    <t>02.03.007.0003</t>
  </si>
  <si>
    <t>02.03.007.0003.0001</t>
  </si>
  <si>
    <t>02.03.007.0004</t>
  </si>
  <si>
    <t>02.03.007.0004.0001</t>
  </si>
  <si>
    <t>02.03.007.0004.0002</t>
  </si>
  <si>
    <t>02.03.007.0004.0003</t>
  </si>
  <si>
    <t>02.03.007.0005</t>
  </si>
  <si>
    <t>02.03.007.0005.0001</t>
  </si>
  <si>
    <t>02.03.007.0005.0002</t>
  </si>
  <si>
    <t>02.03.007.0005.0003</t>
  </si>
  <si>
    <t>02.03.009</t>
  </si>
  <si>
    <t>02.03.009.0001</t>
  </si>
  <si>
    <t>02.03.009.0001.0002</t>
  </si>
  <si>
    <t>02.03.009.0001.0003</t>
  </si>
  <si>
    <t>02.03.009.0002</t>
  </si>
  <si>
    <t>02.03.009.0002.0001</t>
  </si>
  <si>
    <t>02.03.009.0003</t>
  </si>
  <si>
    <t>02.03.009.0003.0001</t>
  </si>
  <si>
    <t>02.03.009.0004</t>
  </si>
  <si>
    <t>02.03.009.0004.0001</t>
  </si>
  <si>
    <t>02.03.009.0004.0002</t>
  </si>
  <si>
    <t>02.03.009.0004.0003</t>
  </si>
  <si>
    <t>02.03.009.0005</t>
  </si>
  <si>
    <t>02.03.009.0005.0001</t>
  </si>
  <si>
    <t>02.03.009.0005.0002</t>
  </si>
  <si>
    <t>02.03.009.0005.0003</t>
  </si>
  <si>
    <t>02.03.011</t>
  </si>
  <si>
    <t>02.03.011.0001</t>
  </si>
  <si>
    <t>02.03.011.0001.0001</t>
  </si>
  <si>
    <t>Alvenaria de vedacao de blocos ceramicos furados na horizontal de 11.5x19x19cm (espessura 11.5cm) com argamassa industrializada de assentamento</t>
  </si>
  <si>
    <t>02.03.011.0001.0002</t>
  </si>
  <si>
    <t>02.03.011.0002</t>
  </si>
  <si>
    <t>02.03.011.0002.0001</t>
  </si>
  <si>
    <t>02.03.011.0003</t>
  </si>
  <si>
    <t>02.03.011.0003.0001</t>
  </si>
  <si>
    <t>02.03.011.0004</t>
  </si>
  <si>
    <t>02.03.011.0004.0001</t>
  </si>
  <si>
    <t>02.03.011.0004.0002</t>
  </si>
  <si>
    <t>02.03.011.0004.0003</t>
  </si>
  <si>
    <t>02.03.011.0005</t>
  </si>
  <si>
    <t>02.03.011.0005.0001</t>
  </si>
  <si>
    <t>02.03.011.0005.0002</t>
  </si>
  <si>
    <t>02.03.011.0005.0003</t>
  </si>
  <si>
    <t>02.03.012</t>
  </si>
  <si>
    <t>02.03.012.0001</t>
  </si>
  <si>
    <t>02.03.012.0001.0002</t>
  </si>
  <si>
    <t>Alvenaria de vedacao de blocos ceramicos furados na horizontal de 14x19x19cm (espessura 14cm) com argamassa industrializada de assentamento</t>
  </si>
  <si>
    <t>02.03.012.0002</t>
  </si>
  <si>
    <t>02.03.012.0002.0001</t>
  </si>
  <si>
    <t>02.03.012.0004</t>
  </si>
  <si>
    <t>02.03.012.0004.0001</t>
  </si>
  <si>
    <t>02.03.013</t>
  </si>
  <si>
    <t>02.03.013.0001</t>
  </si>
  <si>
    <t>02.03.013.0001.0002</t>
  </si>
  <si>
    <t>02.03.013.0003</t>
  </si>
  <si>
    <t>02.03.013.0003.0001</t>
  </si>
  <si>
    <t>02.03.013.0004</t>
  </si>
  <si>
    <t>02.03.013.0004.0001</t>
  </si>
  <si>
    <t>02.03.013.0004.0003</t>
  </si>
  <si>
    <t>02.04</t>
  </si>
  <si>
    <t>02.04.001</t>
  </si>
  <si>
    <t>SISTEMAS E INSTALAÇÕES ELÉTRICAS - TÉRREO</t>
  </si>
  <si>
    <t>02.04.001.0001</t>
  </si>
  <si>
    <t>02.04.001.0001.0001</t>
  </si>
  <si>
    <t>02.04.001.0002</t>
  </si>
  <si>
    <t>Quadros Elétricos e Disjuntores</t>
  </si>
  <si>
    <t>02.04.001.0002.0001</t>
  </si>
  <si>
    <t>Quadros e Disjuntores</t>
  </si>
  <si>
    <t>02.04.001.0003</t>
  </si>
  <si>
    <t>Eletrodutos e Eletrocalhas</t>
  </si>
  <si>
    <t>02.04.001.0003.0001</t>
  </si>
  <si>
    <t>02.04.001.0004</t>
  </si>
  <si>
    <t>Fios e Cabos Elétricos</t>
  </si>
  <si>
    <t>02.04.001.0004.0001</t>
  </si>
  <si>
    <t>Cabos e Fiacoes</t>
  </si>
  <si>
    <t>02.04.001.0005</t>
  </si>
  <si>
    <t>Pontos de Tomadas e Interruptores</t>
  </si>
  <si>
    <t>02.04.001.0005.0001</t>
  </si>
  <si>
    <t>02.04.001.0006</t>
  </si>
  <si>
    <t>Luminárias - Lâmpadas e Acessórios</t>
  </si>
  <si>
    <t>02.04.001.0007</t>
  </si>
  <si>
    <t>Mao de obra de instalacoes eletricas</t>
  </si>
  <si>
    <t>02.04.002</t>
  </si>
  <si>
    <t>02.04.002.0007</t>
  </si>
  <si>
    <t>02.04.002.0007.0001</t>
  </si>
  <si>
    <t>02.04.002.0008</t>
  </si>
  <si>
    <t>02.04.002.0008.0001</t>
  </si>
  <si>
    <t>02.04.002.0009</t>
  </si>
  <si>
    <t>02.04.002.0009.0001</t>
  </si>
  <si>
    <t>02.04.002.0010</t>
  </si>
  <si>
    <t>02.04.002.0010.0001</t>
  </si>
  <si>
    <t>02.04.002.0011</t>
  </si>
  <si>
    <t>02.04.002.0011.0002</t>
  </si>
  <si>
    <t>02.04.002.0012</t>
  </si>
  <si>
    <t>02.04.002.0012.0001</t>
  </si>
  <si>
    <t>02.04.003</t>
  </si>
  <si>
    <t>02.04.003.0007</t>
  </si>
  <si>
    <t>02.04.003.0007.0001</t>
  </si>
  <si>
    <t>02.04.003.0008</t>
  </si>
  <si>
    <t>02.04.003.0008.0001</t>
  </si>
  <si>
    <t>02.04.003.0009</t>
  </si>
  <si>
    <t>02.04.003.0009.0001</t>
  </si>
  <si>
    <t>02.04.003.0010</t>
  </si>
  <si>
    <t>02.04.003.0010.0001</t>
  </si>
  <si>
    <t>02.04.003.0011</t>
  </si>
  <si>
    <t>02.04.003.0011.0001</t>
  </si>
  <si>
    <t>02.04.003.0012</t>
  </si>
  <si>
    <t>02.04.003.0012.0001</t>
  </si>
  <si>
    <t>02.04.004</t>
  </si>
  <si>
    <t>02.04.004.0007</t>
  </si>
  <si>
    <t>02.04.004.0007.0001</t>
  </si>
  <si>
    <t>02.04.004.0008</t>
  </si>
  <si>
    <t>02.04.004.0008.0001</t>
  </si>
  <si>
    <t>02.04.004.0009</t>
  </si>
  <si>
    <t>02.04.004.0009.0001</t>
  </si>
  <si>
    <t>02.04.004.0010</t>
  </si>
  <si>
    <t>02.04.004.0010.0001</t>
  </si>
  <si>
    <t>02.04.004.0011</t>
  </si>
  <si>
    <t>02.04.004.0011.0001</t>
  </si>
  <si>
    <t>02.04.004.0012</t>
  </si>
  <si>
    <t>02.04.004.0012.0001</t>
  </si>
  <si>
    <t>02.04.005</t>
  </si>
  <si>
    <t>02.04.005.0007</t>
  </si>
  <si>
    <t>02.04.005.0007.0001</t>
  </si>
  <si>
    <t>02.04.005.0008</t>
  </si>
  <si>
    <t>02.04.005.0008.0001</t>
  </si>
  <si>
    <t>02.04.005.0009</t>
  </si>
  <si>
    <t>02.04.005.0009.0001</t>
  </si>
  <si>
    <t>02.04.005.0010</t>
  </si>
  <si>
    <t>02.04.005.0010.0001</t>
  </si>
  <si>
    <t>02.04.005.0011</t>
  </si>
  <si>
    <t>02.04.005.0011.0001</t>
  </si>
  <si>
    <t>02.04.005.0012</t>
  </si>
  <si>
    <t>02.04.005.0012.0001</t>
  </si>
  <si>
    <t>02.04.006</t>
  </si>
  <si>
    <t>02.04.006.0007</t>
  </si>
  <si>
    <t>02.04.006.0007.0001</t>
  </si>
  <si>
    <t>02.04.006.0008</t>
  </si>
  <si>
    <t>02.04.006.0008.0001</t>
  </si>
  <si>
    <t>02.04.006.0009</t>
  </si>
  <si>
    <t>02.04.006.0009.0001</t>
  </si>
  <si>
    <t>02.04.006.0010</t>
  </si>
  <si>
    <t>02.04.006.0010.0001</t>
  </si>
  <si>
    <t>02.04.006.0011</t>
  </si>
  <si>
    <t>02.04.006.0011.0001</t>
  </si>
  <si>
    <t>02.04.006.0012</t>
  </si>
  <si>
    <t>02.04.006.0012.0001</t>
  </si>
  <si>
    <t>02.04.007</t>
  </si>
  <si>
    <t>02.04.007.0007</t>
  </si>
  <si>
    <t>02.04.007.0007.0001</t>
  </si>
  <si>
    <t>02.04.007.0008</t>
  </si>
  <si>
    <t>02.04.007.0008.0001</t>
  </si>
  <si>
    <t>02.04.007.0009</t>
  </si>
  <si>
    <t>02.04.007.0009.0001</t>
  </si>
  <si>
    <t>02.04.007.0010</t>
  </si>
  <si>
    <t>02.04.007.0010.0001</t>
  </si>
  <si>
    <t>02.04.007.0011</t>
  </si>
  <si>
    <t>02.04.007.0011.0001</t>
  </si>
  <si>
    <t>02.04.007.0012</t>
  </si>
  <si>
    <t>02.04.007.0012.0001</t>
  </si>
  <si>
    <t>02.05</t>
  </si>
  <si>
    <t>SISTEMAS E INSTALAÇÕES HIDROSSANITÁRIAS | DRENAGEM</t>
  </si>
  <si>
    <t>02.05.001</t>
  </si>
  <si>
    <t>SISTEMAS E INSTALAÇÕES HIDROSSANITÁRIAS | DRENAGEM - TÉRREO</t>
  </si>
  <si>
    <t>02.05.001.0001</t>
  </si>
  <si>
    <t>Instalações de Água Fria</t>
  </si>
  <si>
    <t>02.05.001.0001.0001</t>
  </si>
  <si>
    <t>Instalacoes de Agua Fria</t>
  </si>
  <si>
    <t>02.05.001.0003</t>
  </si>
  <si>
    <t>Instalações de Água Pluvial</t>
  </si>
  <si>
    <t>02.05.001.0003.0001</t>
  </si>
  <si>
    <t>Instalacoes de Aguas Pluviais</t>
  </si>
  <si>
    <t>02.05.001.0004</t>
  </si>
  <si>
    <t>Instalações de Esgoto</t>
  </si>
  <si>
    <t>02.05.001.0004.0001</t>
  </si>
  <si>
    <t>Instalacoes de Esgoto</t>
  </si>
  <si>
    <t>02.05.001.0005</t>
  </si>
  <si>
    <t>Ligações Prediais</t>
  </si>
  <si>
    <t>02.05.001.0005.0001</t>
  </si>
  <si>
    <t>Ligacoes Prediais</t>
  </si>
  <si>
    <t>02.05.001.0006</t>
  </si>
  <si>
    <t>Aparelhos Sanitários - Louças - Metais e Acessórios</t>
  </si>
  <si>
    <t>02.05.001.0006.0001</t>
  </si>
  <si>
    <t>Loucas e metais</t>
  </si>
  <si>
    <t>02.05.001.0008</t>
  </si>
  <si>
    <t>02.05.001.0008.0001</t>
  </si>
  <si>
    <t>Mao de obra de instalacoes hidraulicas</t>
  </si>
  <si>
    <t>02.05.002</t>
  </si>
  <si>
    <t>02.05.002.0003</t>
  </si>
  <si>
    <t>02.05.002.0003.0001</t>
  </si>
  <si>
    <t>02.05.002.0004</t>
  </si>
  <si>
    <t>02.05.002.0004.0001</t>
  </si>
  <si>
    <t>02.05.002.0006</t>
  </si>
  <si>
    <t>02.05.002.0006.0001</t>
  </si>
  <si>
    <t>02.05.002.0008</t>
  </si>
  <si>
    <t>02.05.002.0008.0001</t>
  </si>
  <si>
    <t>02.05.003</t>
  </si>
  <si>
    <t>02.05.003.0003</t>
  </si>
  <si>
    <t>02.05.003.0003.0001</t>
  </si>
  <si>
    <t>02.05.003.0004</t>
  </si>
  <si>
    <t>02.05.003.0004.0001</t>
  </si>
  <si>
    <t>02.05.003.0006</t>
  </si>
  <si>
    <t>02.05.003.0006.0001</t>
  </si>
  <si>
    <t>02.05.003.0008</t>
  </si>
  <si>
    <t>02.05.003.0008.0001</t>
  </si>
  <si>
    <t>02.05.004</t>
  </si>
  <si>
    <t>02.05.004.0001</t>
  </si>
  <si>
    <t>02.05.004.0001.0001</t>
  </si>
  <si>
    <t>Instalações de Água Quente</t>
  </si>
  <si>
    <t>Instalacoes de Agua Quente</t>
  </si>
  <si>
    <t>02.05.004.0003</t>
  </si>
  <si>
    <t>02.05.004.0003.0001</t>
  </si>
  <si>
    <t>02.05.004.0004</t>
  </si>
  <si>
    <t>02.05.004.0004.0001</t>
  </si>
  <si>
    <t>02.05.004.0006</t>
  </si>
  <si>
    <t>02.05.004.0006.0001</t>
  </si>
  <si>
    <t>02.05.004.0008</t>
  </si>
  <si>
    <t>02.05.004.0008.0001</t>
  </si>
  <si>
    <t>02.05.005</t>
  </si>
  <si>
    <t>02.05.005.0001</t>
  </si>
  <si>
    <t>02.05.005.0001.0001</t>
  </si>
  <si>
    <t>02.05.005.0002</t>
  </si>
  <si>
    <t>02.05.005.0002.0001</t>
  </si>
  <si>
    <t>02.05.005.0003</t>
  </si>
  <si>
    <t>02.05.005.0003.0001</t>
  </si>
  <si>
    <t>02.05.005.0004</t>
  </si>
  <si>
    <t>02.05.005.0004.0001</t>
  </si>
  <si>
    <t>02.05.005.0006</t>
  </si>
  <si>
    <t>02.05.005.0006.0001</t>
  </si>
  <si>
    <t>02.05.005.0008</t>
  </si>
  <si>
    <t>02.05.005.0008.0001</t>
  </si>
  <si>
    <t>02.05.006</t>
  </si>
  <si>
    <t>02.05.006.0001</t>
  </si>
  <si>
    <t>02.05.006.0001.0001</t>
  </si>
  <si>
    <t>02.05.006.0002</t>
  </si>
  <si>
    <t>02.05.006.0002.0001</t>
  </si>
  <si>
    <t>02.05.006.0003</t>
  </si>
  <si>
    <t>02.05.006.0003.0001</t>
  </si>
  <si>
    <t>02.05.006.0004</t>
  </si>
  <si>
    <t>02.05.006.0004.0001</t>
  </si>
  <si>
    <t>02.05.006.0006</t>
  </si>
  <si>
    <t>02.05.006.0006.0001</t>
  </si>
  <si>
    <t>02.05.006.0008</t>
  </si>
  <si>
    <t>02.05.006.0008.0001</t>
  </si>
  <si>
    <t>02.05.007</t>
  </si>
  <si>
    <t>02.05.007.0003</t>
  </si>
  <si>
    <t>02.05.007.0003.0001</t>
  </si>
  <si>
    <t>02.05.007.0008</t>
  </si>
  <si>
    <t>02.05.007.0008.0001</t>
  </si>
  <si>
    <t>02.06</t>
  </si>
  <si>
    <t>INSTALAÇÕES PREVENTIVAS | GLP</t>
  </si>
  <si>
    <t>02.06.001</t>
  </si>
  <si>
    <t>INSTALAÇÕES PREVENTIVAS | GLP - TÉRREO</t>
  </si>
  <si>
    <t>02.06.001.0001</t>
  </si>
  <si>
    <t>Instalações de Gás e GLP</t>
  </si>
  <si>
    <t>02.06.001.0001.0001</t>
  </si>
  <si>
    <t>Instalacoes de Gas</t>
  </si>
  <si>
    <t>02.06.001.0002</t>
  </si>
  <si>
    <t>Instalações Preventivas</t>
  </si>
  <si>
    <t>02.06.001.0002.0001</t>
  </si>
  <si>
    <t>Instalacos do Sistema Preventivo de Incendio</t>
  </si>
  <si>
    <t>02.06.001.0004</t>
  </si>
  <si>
    <t>02.06.001.0004.0001</t>
  </si>
  <si>
    <t>Mao de obra de instalacoes de gas (GLP)</t>
  </si>
  <si>
    <t>02.06.002</t>
  </si>
  <si>
    <t>02.06.002.0001</t>
  </si>
  <si>
    <t>02.06.002.0001.0001</t>
  </si>
  <si>
    <t>02.06.002.0002</t>
  </si>
  <si>
    <t>02.06.002.0002.0001</t>
  </si>
  <si>
    <t>02.06.002.0004</t>
  </si>
  <si>
    <t>02.06.002.0004.0001</t>
  </si>
  <si>
    <t>02.06.003</t>
  </si>
  <si>
    <t>02.06.003.0001</t>
  </si>
  <si>
    <t>02.06.003.0001.0001</t>
  </si>
  <si>
    <t>02.06.003.0002</t>
  </si>
  <si>
    <t>02.06.003.0002.0001</t>
  </si>
  <si>
    <t>02.06.003.0004</t>
  </si>
  <si>
    <t>02.06.003.0004.0001</t>
  </si>
  <si>
    <t>02.06.004</t>
  </si>
  <si>
    <t>02.06.004.0001</t>
  </si>
  <si>
    <t>02.06.004.0001.0001</t>
  </si>
  <si>
    <t>02.06.004.0002</t>
  </si>
  <si>
    <t>02.06.004.0002.0001</t>
  </si>
  <si>
    <t>02.06.004.0004</t>
  </si>
  <si>
    <t>02.06.004.0004.0001</t>
  </si>
  <si>
    <t>02.06.005</t>
  </si>
  <si>
    <t>02.06.005.0001</t>
  </si>
  <si>
    <t>02.06.005.0001.0001</t>
  </si>
  <si>
    <t>02.06.005.0002</t>
  </si>
  <si>
    <t>02.06.005.0002.0001</t>
  </si>
  <si>
    <t>02.06.005.0004</t>
  </si>
  <si>
    <t>02.06.005.0004.0001</t>
  </si>
  <si>
    <t>02.06.006</t>
  </si>
  <si>
    <t>02.06.006.0001</t>
  </si>
  <si>
    <t>02.06.006.0001.0001</t>
  </si>
  <si>
    <t>02.06.006.0002</t>
  </si>
  <si>
    <t>02.06.006.0002.0001</t>
  </si>
  <si>
    <t>02.06.006.0004</t>
  </si>
  <si>
    <t>02.06.006.0004.0001</t>
  </si>
  <si>
    <t>02.06.007</t>
  </si>
  <si>
    <t>02.06.007.0002</t>
  </si>
  <si>
    <t>02.06.007.0002.0001</t>
  </si>
  <si>
    <t>02.06.007.0004</t>
  </si>
  <si>
    <t>02.06.007.0004.0001</t>
  </si>
  <si>
    <t>INSTALAÇÕES SPDA</t>
  </si>
  <si>
    <t>Instalações SPDA</t>
  </si>
  <si>
    <t>Instalacoes de Protecao e Aterramento - SPDA</t>
  </si>
  <si>
    <t>02.07</t>
  </si>
  <si>
    <t>02.07.001</t>
  </si>
  <si>
    <t>CLIMATIZAÇÃO - TÉRREO</t>
  </si>
  <si>
    <t>02.07.001.0001</t>
  </si>
  <si>
    <t>Instalações de Climatização</t>
  </si>
  <si>
    <t>Infraestrutura para instalacao de ar condicionado</t>
  </si>
  <si>
    <t>02.07.001.0001.0002</t>
  </si>
  <si>
    <t>Instalações de Exaustão Mecânica</t>
  </si>
  <si>
    <t>02.08</t>
  </si>
  <si>
    <t>IMPERMEABILIZAÇÃO E TRATAMENTOS</t>
  </si>
  <si>
    <t>02.08.001</t>
  </si>
  <si>
    <t>IMPERMEABILIZAÇÃO E TRATAMENTOS - TÉRREO</t>
  </si>
  <si>
    <t>02.08.001.0001</t>
  </si>
  <si>
    <t>Impermeabilização Flexível com Membrana</t>
  </si>
  <si>
    <t>02.08.001.0001.0001</t>
  </si>
  <si>
    <t>Impermeabilizacao com tinta asfaltica em baldrames e poco do elevador</t>
  </si>
  <si>
    <t>02.08.001.0002</t>
  </si>
  <si>
    <t>Impermeabilização Rígida</t>
  </si>
  <si>
    <t>02.08.001.0002.0001</t>
  </si>
  <si>
    <t>Impermeabilizacao com argamassa polimerica impermeabilizante</t>
  </si>
  <si>
    <t>Tratamentos</t>
  </si>
  <si>
    <t>Tratamento de ralo com manta de poliester</t>
  </si>
  <si>
    <t>02.08.001.0004</t>
  </si>
  <si>
    <t>02.08.001.0004.0001</t>
  </si>
  <si>
    <t>Mao de obra para impermeabilizacao de baldrames e poco do elevador com tinta asfaltica</t>
  </si>
  <si>
    <t>Mao de obra para impermeabilizacao com argamassa polimerica</t>
  </si>
  <si>
    <t>Mao de obra para tratamento de ralo</t>
  </si>
  <si>
    <t>02.08.002</t>
  </si>
  <si>
    <t>02.08.002.0002</t>
  </si>
  <si>
    <t>02.08.002.0002.0001</t>
  </si>
  <si>
    <t>Impermeabilizacao com manta liquida em peitoris</t>
  </si>
  <si>
    <t>02.08.002.0003</t>
  </si>
  <si>
    <t>02.08.002.0003.0001</t>
  </si>
  <si>
    <t>02.08.002.0004</t>
  </si>
  <si>
    <t>02.08.002.0004.0002</t>
  </si>
  <si>
    <t>02.08.002.0004.0003</t>
  </si>
  <si>
    <t>02.08.003</t>
  </si>
  <si>
    <t>02.08.003.0002</t>
  </si>
  <si>
    <t>02.08.003.0002.0001</t>
  </si>
  <si>
    <t>02.08.003.0006</t>
  </si>
  <si>
    <t>02.08.003.0006.0001</t>
  </si>
  <si>
    <t>02.08.003.0007</t>
  </si>
  <si>
    <t>02.08.003.0007.0002</t>
  </si>
  <si>
    <t>02.08.003.0007.0003</t>
  </si>
  <si>
    <t>02.08.004</t>
  </si>
  <si>
    <t>Regularizacao de superficie para impermeabilizacao</t>
  </si>
  <si>
    <t>Impermeabilização Flexível com Manta</t>
  </si>
  <si>
    <t>Impermeabilizacao com manta asfaltica espessura 4mm, uma camada, aplicacao com primer asfaltico</t>
  </si>
  <si>
    <t>02.08.004.0004</t>
  </si>
  <si>
    <t>02.08.004.0004.0002</t>
  </si>
  <si>
    <t>02.08.004.0005</t>
  </si>
  <si>
    <t>02.08.004.0005.0001</t>
  </si>
  <si>
    <t>Proteção Mecânica</t>
  </si>
  <si>
    <t>Protecao mecanica de superficie com argamassa de cimento e areia , traço 1:3, E=5cm</t>
  </si>
  <si>
    <t>02.08.004.0007</t>
  </si>
  <si>
    <t>Mao de obra para regularizacao de superficie</t>
  </si>
  <si>
    <t>Mao de obra para impermeabilizacao de manta asfaltica</t>
  </si>
  <si>
    <t>02.08.004.0007.0004</t>
  </si>
  <si>
    <t>02.08.004.0007.0006</t>
  </si>
  <si>
    <t>Mao de obra para execucao de protecao mecanica em superficie impermeabilizada</t>
  </si>
  <si>
    <t>02.08.005</t>
  </si>
  <si>
    <t>02.08.005.0001</t>
  </si>
  <si>
    <t>02.08.005.0001.0001</t>
  </si>
  <si>
    <t>02.08.005.0003</t>
  </si>
  <si>
    <t>02.08.005.0003.0001</t>
  </si>
  <si>
    <t>02.08.005.0004</t>
  </si>
  <si>
    <t>02.08.005.0004.0001</t>
  </si>
  <si>
    <t>02.08.005.0006</t>
  </si>
  <si>
    <t>02.08.005.0006.0001</t>
  </si>
  <si>
    <t>02.08.005.0007</t>
  </si>
  <si>
    <t>02.08.005.0007.0001</t>
  </si>
  <si>
    <t>02.08.005.0007.0003</t>
  </si>
  <si>
    <t>02.08.005.0007.0004</t>
  </si>
  <si>
    <t>02.08.005.0007.0005</t>
  </si>
  <si>
    <t>02.08.006</t>
  </si>
  <si>
    <t>02.08.006.0001</t>
  </si>
  <si>
    <t>02.08.006.0001.0001</t>
  </si>
  <si>
    <t>02.08.006.0003</t>
  </si>
  <si>
    <t>02.08.006.0003.0001</t>
  </si>
  <si>
    <t>02.08.006.0004</t>
  </si>
  <si>
    <t>02.08.006.0004.0001</t>
  </si>
  <si>
    <t>02.08.006.0005</t>
  </si>
  <si>
    <t>02.08.006.0005.0002</t>
  </si>
  <si>
    <t>02.08.006.0007</t>
  </si>
  <si>
    <t>02.08.006.0007.0001</t>
  </si>
  <si>
    <t>02.08.006.0007.0003</t>
  </si>
  <si>
    <t>02.08.006.0007.0004</t>
  </si>
  <si>
    <t>02.08.006.0007.0005</t>
  </si>
  <si>
    <t>02.08.007</t>
  </si>
  <si>
    <t>02.08.007.0001</t>
  </si>
  <si>
    <t>02.08.007.0001.0001</t>
  </si>
  <si>
    <t>02.08.007.0002</t>
  </si>
  <si>
    <t>02.08.007.0002.0001</t>
  </si>
  <si>
    <t>02.08.007.0004</t>
  </si>
  <si>
    <t>02.08.007.0004.0001</t>
  </si>
  <si>
    <t>02.08.007.0006</t>
  </si>
  <si>
    <t>02.08.007.0006.0001</t>
  </si>
  <si>
    <t>02.08.008</t>
  </si>
  <si>
    <t>IMPERMEABILIZAÇÃO E TRATAMENTOS - CAIXA DÁGUA</t>
  </si>
  <si>
    <t>02.08.008.0001</t>
  </si>
  <si>
    <t>02.08.008.0001.0001</t>
  </si>
  <si>
    <t>02.08.008.0002</t>
  </si>
  <si>
    <t>02.08.008.0002.0001</t>
  </si>
  <si>
    <t>02.08.008.0004</t>
  </si>
  <si>
    <t>02.08.008.0004.0001</t>
  </si>
  <si>
    <t>02.08.008.0006</t>
  </si>
  <si>
    <t>02.08.008.0006.0001</t>
  </si>
  <si>
    <t>02.08.008.0006.0002</t>
  </si>
  <si>
    <t>02.08.008.0006.0004</t>
  </si>
  <si>
    <t>4 demãos de emulsão asfáltica</t>
  </si>
  <si>
    <t>2 demãos de argamassa polimérica impermeabilizante com tela de poliéster</t>
  </si>
  <si>
    <t>Mao de obra para impermeabilizacao de peitoris</t>
  </si>
  <si>
    <t>2 demãos de argamassa polimérica impermeabilizante e rodapé de 20cm</t>
  </si>
  <si>
    <t>Proteção com argamassa de cimento e areia , traço 1:3, E=5cm</t>
  </si>
  <si>
    <t>2 demãos de manta líquida</t>
  </si>
  <si>
    <t>02.09</t>
  </si>
  <si>
    <t>REVESTIMENTOS INTERNOS EM PISO E PAREDE</t>
  </si>
  <si>
    <t>02.09.001</t>
  </si>
  <si>
    <t>REVESTIMENTOS INTERNOS EM PISO E PAREDE - TÉRREO</t>
  </si>
  <si>
    <t>02.09.001.0001</t>
  </si>
  <si>
    <t>Contrapiso</t>
  </si>
  <si>
    <t>02.09.001.0001.0001</t>
  </si>
  <si>
    <t>Contrapiso comum em argamassa estabilizada, nao aderido, espessura 5cm</t>
  </si>
  <si>
    <t>02.09.001.0001.0002</t>
  </si>
  <si>
    <t>Piso cimentado com argamassa de cimento e areia traço 1:3, espessura 1,5cm</t>
  </si>
  <si>
    <t>Regularizção com cimento e areia</t>
  </si>
  <si>
    <t>02.09.001.0002</t>
  </si>
  <si>
    <t>Reboco</t>
  </si>
  <si>
    <t>02.09.001.0002.0001</t>
  </si>
  <si>
    <t>Chapisco aplicado em estruturas de concreto, com desempenadeira dentada, de argamassa industrializada</t>
  </si>
  <si>
    <t>02.09.001.0002.0002</t>
  </si>
  <si>
    <t>Chapisco aplicado em alvenarias internas, com colher de pedreiro, de argamassa estabilizada</t>
  </si>
  <si>
    <t>02.09.001.0002.0003</t>
  </si>
  <si>
    <t>Massa unica para reboco interno em argamassa estabilizada, espessura de 20mm, com execucao de taliscas</t>
  </si>
  <si>
    <t>Estucamento de estrutura de concreto em pilares e vigas</t>
  </si>
  <si>
    <t>02.09.001.0003</t>
  </si>
  <si>
    <t>02.09.001.0003.0001</t>
  </si>
  <si>
    <t>Mao de obra para execucao de contrapiso comum</t>
  </si>
  <si>
    <t>02.09.001.0003.0002</t>
  </si>
  <si>
    <t>Mao de obra para execucao de piso cimentado</t>
  </si>
  <si>
    <t>02.09.001.0003.0005</t>
  </si>
  <si>
    <t>Mao de obra para reboco interno, incluindo chapisco</t>
  </si>
  <si>
    <t>Mao de obra para estucamento de estrutura de concreto</t>
  </si>
  <si>
    <t>02.09.002</t>
  </si>
  <si>
    <t>02.09.002.0001</t>
  </si>
  <si>
    <t>02.09.002.0001.0001</t>
  </si>
  <si>
    <t>02.09.002.0002</t>
  </si>
  <si>
    <t>02.09.002.0002.0001</t>
  </si>
  <si>
    <t>02.09.002.0002.0002</t>
  </si>
  <si>
    <t>02.09.002.0002.0003</t>
  </si>
  <si>
    <t>02.09.002.0003</t>
  </si>
  <si>
    <t>02.09.002.0003.0001</t>
  </si>
  <si>
    <t>02.09.002.0003.0004</t>
  </si>
  <si>
    <t>02.09.003</t>
  </si>
  <si>
    <t>02.09.003.0001</t>
  </si>
  <si>
    <t>02.09.003.0001.0002</t>
  </si>
  <si>
    <t>02.09.003.0002</t>
  </si>
  <si>
    <t>02.09.003.0002.0001</t>
  </si>
  <si>
    <t>02.09.003.0002.0002</t>
  </si>
  <si>
    <t>02.09.003.0002.0003</t>
  </si>
  <si>
    <t>02.09.003.0003</t>
  </si>
  <si>
    <t>02.09.003.0003.0001</t>
  </si>
  <si>
    <t>02.09.003.0003.0003</t>
  </si>
  <si>
    <t>02.09.004</t>
  </si>
  <si>
    <t>02.09.004.0001</t>
  </si>
  <si>
    <t>Contrapiso comum em argamassa estabilizada, nao aderido, espessura 4cm</t>
  </si>
  <si>
    <t>02.09.004.0001.0002</t>
  </si>
  <si>
    <t>02.09.004.0002</t>
  </si>
  <si>
    <t>02.09.004.0002.0001</t>
  </si>
  <si>
    <t>02.09.004.0002.0002</t>
  </si>
  <si>
    <t>02.09.004.0002.0003</t>
  </si>
  <si>
    <t>02.09.004.0003</t>
  </si>
  <si>
    <t>02.09.004.0003.0001</t>
  </si>
  <si>
    <t>02.09.004.0003.0003</t>
  </si>
  <si>
    <t>02.09.005</t>
  </si>
  <si>
    <t>02.09.005.0001</t>
  </si>
  <si>
    <t>02.09.005.0001.0001</t>
  </si>
  <si>
    <t>02.09.005.0001.0002</t>
  </si>
  <si>
    <t>Contrapiso acústico em argamassa estabilizada - nao aderido - espessura 5cm</t>
  </si>
  <si>
    <t>02.09.005.0002</t>
  </si>
  <si>
    <t>02.09.005.0002.0001</t>
  </si>
  <si>
    <t>02.09.005.0002.0002</t>
  </si>
  <si>
    <t>02.09.005.0002.0003</t>
  </si>
  <si>
    <t>02.09.005.0004</t>
  </si>
  <si>
    <t>02.09.005.0004.0001</t>
  </si>
  <si>
    <t>Mao de obra para execucao de contrapiso comum e acústico</t>
  </si>
  <si>
    <t>02.09.005.0004.0003</t>
  </si>
  <si>
    <t>02.09.006</t>
  </si>
  <si>
    <t>02.09.006.0001</t>
  </si>
  <si>
    <t>02.09.006.0001.0001</t>
  </si>
  <si>
    <t>02.09.006.0001.0002</t>
  </si>
  <si>
    <t>02.09.006.0002</t>
  </si>
  <si>
    <t>02.09.006.0002.0001</t>
  </si>
  <si>
    <t>02.09.006.0002.0002</t>
  </si>
  <si>
    <t>02.09.006.0002.0003</t>
  </si>
  <si>
    <t>02.09.006.0004</t>
  </si>
  <si>
    <t>02.09.006.0004.0001</t>
  </si>
  <si>
    <t>02.09.006.0004.0003</t>
  </si>
  <si>
    <t>02.09.007</t>
  </si>
  <si>
    <t>02.09.007.0001</t>
  </si>
  <si>
    <t>02.09.007.0001.0001</t>
  </si>
  <si>
    <t>02.09.007.0002</t>
  </si>
  <si>
    <t>02.09.007.0002.0001</t>
  </si>
  <si>
    <t>02.09.007.0002.0002</t>
  </si>
  <si>
    <t>02.09.007.0002.0003</t>
  </si>
  <si>
    <t>02.09.007.0004</t>
  </si>
  <si>
    <t>02.09.007.0004.0002</t>
  </si>
  <si>
    <t>02.09.008</t>
  </si>
  <si>
    <t>REVESTIMENTOS INTERNOS EM PISO E PAREDE - CAIXA DÁGUA</t>
  </si>
  <si>
    <t>02.09.008.0001</t>
  </si>
  <si>
    <t>02.09.008.0002</t>
  </si>
  <si>
    <t>02.09.008.0002.0001</t>
  </si>
  <si>
    <t>02.09.008.0002.0002</t>
  </si>
  <si>
    <t>02.09.008.0002.0003</t>
  </si>
  <si>
    <t>02.09.008.0004</t>
  </si>
  <si>
    <t>02.09.008.0004.0001</t>
  </si>
  <si>
    <t>02.09.008.0004.0002</t>
  </si>
  <si>
    <t>Perímetro</t>
  </si>
  <si>
    <t>Piso ceramico placa 45x45cm - aplicacao em lixeira e gas</t>
  </si>
  <si>
    <t>Pintura acrilica em piso, 2 demaos, aplicacao em antecamara e escadaria</t>
  </si>
  <si>
    <t>Piso de concreto estampado</t>
  </si>
  <si>
    <t>Pintura epoxi em piso 2 demaos - aplicacao em garagens (incluindo faixas de demarcacao)</t>
  </si>
  <si>
    <t>Revestimento interno de piso vinilico, aplicacao em areas intimas dos apartamentos</t>
  </si>
  <si>
    <t>Pastilha ceramica, aplicacao em piscina</t>
  </si>
  <si>
    <t>Pintura com tinta latex acrilica, acabamento fosco em paredes internas, 3 demaos</t>
  </si>
  <si>
    <t>Textura acrilica aplicacao em paredes internas - 1 demao</t>
  </si>
  <si>
    <t>Pintura com tinta latex acrilica, acabamento fosco em paredes internas, 1 demao</t>
  </si>
  <si>
    <t>Revestimento ceramico em parede placa 30x60cm - aplicacao em lazer</t>
  </si>
  <si>
    <t>Revestimento ceramico em parede placa 30x60cm - aplicacao em banheiros</t>
  </si>
  <si>
    <t>Revestimento ceramico em parede placa 30x60cm - aplicacao em cozinha/area de servico</t>
  </si>
  <si>
    <t>Estucamento de estrutura de concreto em teto</t>
  </si>
  <si>
    <t>Pintura com tinta latex acrilica, acabamento fosco em teto, 3 demaos</t>
  </si>
  <si>
    <t>02.10</t>
  </si>
  <si>
    <t>02.10.001</t>
  </si>
  <si>
    <t>02.10.001.0001</t>
  </si>
  <si>
    <t>Revestimento Interno Argamassado em Teto</t>
  </si>
  <si>
    <t>02.10.001.0001.0001</t>
  </si>
  <si>
    <t>02.10.001.0002</t>
  </si>
  <si>
    <t>Acabamento em Gesso</t>
  </si>
  <si>
    <t>02.10.001.0002.0001</t>
  </si>
  <si>
    <t>Forro de gesso em placa mineral - aplicacao em areas secas - material e mao de obra</t>
  </si>
  <si>
    <t>02.10.001.0002.0002</t>
  </si>
  <si>
    <t>Gesso negativo - material e mao de obra</t>
  </si>
  <si>
    <t>02.10.001.0003</t>
  </si>
  <si>
    <t>02.10.001.0003.0001</t>
  </si>
  <si>
    <t>02.10.002</t>
  </si>
  <si>
    <t>02.10.002.0001</t>
  </si>
  <si>
    <t>02.10.002.0001.0001</t>
  </si>
  <si>
    <t>02.10.002.0003</t>
  </si>
  <si>
    <t>02.10.002.0003.0001</t>
  </si>
  <si>
    <t>Mao de obra para estucamento de estrutura de concreto em teto</t>
  </si>
  <si>
    <t>02.10.003</t>
  </si>
  <si>
    <t>02.10.003.0001</t>
  </si>
  <si>
    <t>02.10.003.0001.0001</t>
  </si>
  <si>
    <t>02.10.003.0003</t>
  </si>
  <si>
    <t>02.10.003.0003.0001</t>
  </si>
  <si>
    <t>02.10.004</t>
  </si>
  <si>
    <t>02.10.004.0001</t>
  </si>
  <si>
    <t>02.10.004.0001.0001</t>
  </si>
  <si>
    <t>02.10.004.0002</t>
  </si>
  <si>
    <t>02.10.004.0002.0002</t>
  </si>
  <si>
    <t>02.10.004.0002.0003</t>
  </si>
  <si>
    <t>02.10.005</t>
  </si>
  <si>
    <t>02.10.005.0001</t>
  </si>
  <si>
    <t>02.10.005.0001.0001</t>
  </si>
  <si>
    <t>02.10.005.0002</t>
  </si>
  <si>
    <t>02.10.005.0002.0002</t>
  </si>
  <si>
    <t>02.10.005.0002.0003</t>
  </si>
  <si>
    <t>02.10.006</t>
  </si>
  <si>
    <t>02.10.006.0001</t>
  </si>
  <si>
    <t>02.10.006.0001.0001</t>
  </si>
  <si>
    <t>02.10.006.0003</t>
  </si>
  <si>
    <t>02.10.006.0004</t>
  </si>
  <si>
    <t>02.10.006.0004.0001</t>
  </si>
  <si>
    <t>02.10.007</t>
  </si>
  <si>
    <t>02.10.007.0001</t>
  </si>
  <si>
    <t>02.10.007.0001.0001</t>
  </si>
  <si>
    <t>02.10.007.0003</t>
  </si>
  <si>
    <t>02.10.007.0003.0001</t>
  </si>
  <si>
    <t>02.10.008</t>
  </si>
  <si>
    <t>REVESTIMENTOS E ACABAMENTOS INTERNOS EM TETO - CAIXA DÁGUA</t>
  </si>
  <si>
    <t>02.10.008.0001</t>
  </si>
  <si>
    <t>02.10.008.0001.0001</t>
  </si>
  <si>
    <t>02.10.008.0003</t>
  </si>
  <si>
    <t>02.10.008.0003.0001</t>
  </si>
  <si>
    <t>02.11</t>
  </si>
  <si>
    <t>02.11.001</t>
  </si>
  <si>
    <t>02.11.001.0001</t>
  </si>
  <si>
    <t>Acabamentos em Piso</t>
  </si>
  <si>
    <t>02.11.001.0001.0001</t>
  </si>
  <si>
    <t>02.11.001.0001.0002</t>
  </si>
  <si>
    <t>Piso porcelanato placa 90x90cm - aplicacao em areas sociais do condominio</t>
  </si>
  <si>
    <t>02.11.001.0001.0005</t>
  </si>
  <si>
    <t>Piso tipo concregrama</t>
  </si>
  <si>
    <t>02.11.001.0001.0006</t>
  </si>
  <si>
    <t>02.11.001.0002</t>
  </si>
  <si>
    <t>Rodapés</t>
  </si>
  <si>
    <t>02.11.001.0002.0001</t>
  </si>
  <si>
    <t>Rodape ceramico 10cm, placa 45x45cm, aplicacao em gas</t>
  </si>
  <si>
    <t>02.11.001.0002.0004</t>
  </si>
  <si>
    <t>Rodape de poliestireno 10cm</t>
  </si>
  <si>
    <t>02.11.001.0003</t>
  </si>
  <si>
    <t>Soleiras</t>
  </si>
  <si>
    <t>02.11.001.0003.0001</t>
  </si>
  <si>
    <t>Soleira em granito, acabamento polido, espessura 2cm</t>
  </si>
  <si>
    <t>02.11.001.0004</t>
  </si>
  <si>
    <t>Acabamentos em Parede</t>
  </si>
  <si>
    <t>02.11.001.0006</t>
  </si>
  <si>
    <t>Peitoris</t>
  </si>
  <si>
    <t>02.11.001.0006.0003</t>
  </si>
  <si>
    <t>Peitoril em granito, acabamento polido, espessura 2cm</t>
  </si>
  <si>
    <t>02.11.001.0008</t>
  </si>
  <si>
    <t>02.11.001.0008.0001</t>
  </si>
  <si>
    <t>Mao de obra para colocacao e rejuntamento de piso ceramico</t>
  </si>
  <si>
    <t>02.11.001.0008.0002</t>
  </si>
  <si>
    <t>Mao de obra para colocacao e rejuntamento de piso porcelanato</t>
  </si>
  <si>
    <t>02.11.001.0008.0003</t>
  </si>
  <si>
    <t>Mao de obra para execucao de piso de concreto estampado</t>
  </si>
  <si>
    <t>02.11.001.0008.0005</t>
  </si>
  <si>
    <t>Mao de obra para colocacao de piso concregrama</t>
  </si>
  <si>
    <t>02.11.001.0008.0006</t>
  </si>
  <si>
    <t>Mao de obra para colocacao de rodape ceramico</t>
  </si>
  <si>
    <t>02.11.001.0008.0007</t>
  </si>
  <si>
    <t>Mao de obra para colocacao de rodape de poliestireno</t>
  </si>
  <si>
    <t>02.11.001.0008.0008</t>
  </si>
  <si>
    <t>Mao de obra para colocacao de soleiras em granito</t>
  </si>
  <si>
    <t>02.11.001.0008.0009</t>
  </si>
  <si>
    <t>Mao de obra para colocacao e rejuntamento de revestimento ceramico em parede</t>
  </si>
  <si>
    <t>02.11.001.0008.0012</t>
  </si>
  <si>
    <t>Mao de obra para colocacao de peitoril</t>
  </si>
  <si>
    <t>Largura de peitoril de 15cm.</t>
  </si>
  <si>
    <t>02.11.002</t>
  </si>
  <si>
    <t>02.11.002.0001</t>
  </si>
  <si>
    <t>02.11.002.0001.0001</t>
  </si>
  <si>
    <t>Revestimento interno de piso porcelanato placa 90x90cm - aplicacao em areas sociais do condominio</t>
  </si>
  <si>
    <t>02.11.002.0001.0003</t>
  </si>
  <si>
    <t>02.11.002.0002</t>
  </si>
  <si>
    <t>02.11.002.0002.0003</t>
  </si>
  <si>
    <t>02.11.002.0004</t>
  </si>
  <si>
    <t>02.11.002.0004.0002</t>
  </si>
  <si>
    <t>02.11.002.0007</t>
  </si>
  <si>
    <t>02.11.002.0007.0001</t>
  </si>
  <si>
    <t>02.11.002.0007.0003</t>
  </si>
  <si>
    <t>02.11.002.0007.0005</t>
  </si>
  <si>
    <t>02.11.002.0007.0006</t>
  </si>
  <si>
    <t>02.11.003</t>
  </si>
  <si>
    <t>02.11.003.0001</t>
  </si>
  <si>
    <t>02.11.003.0001.0005</t>
  </si>
  <si>
    <t>02.11.003.0001.0007</t>
  </si>
  <si>
    <t>02.11.003.0002</t>
  </si>
  <si>
    <t>02.11.003.0002.0003</t>
  </si>
  <si>
    <t>02.11.003.0006</t>
  </si>
  <si>
    <t>02.11.003.0006.0001</t>
  </si>
  <si>
    <t>02.11.003.0007</t>
  </si>
  <si>
    <t>02.11.003.0007.0001</t>
  </si>
  <si>
    <t>02.11.003.0007.0003</t>
  </si>
  <si>
    <t>02.11.003.0007.0004</t>
  </si>
  <si>
    <t>02.11.003.0007.0007</t>
  </si>
  <si>
    <t>02.11.004</t>
  </si>
  <si>
    <t>02.11.004.0001</t>
  </si>
  <si>
    <t>Revestimento interno de piso porcelanato placa 90x90cm - aplicacao em areas sociais dos apartamentos</t>
  </si>
  <si>
    <t>Revestimento interno de piso porcelanato placa 90x90cm - aplicacao em sacadas e terracos</t>
  </si>
  <si>
    <t>02.11.004.0001.0005</t>
  </si>
  <si>
    <t>02.11.004.0002</t>
  </si>
  <si>
    <t>02.11.004.0002.0003</t>
  </si>
  <si>
    <t>02.11.004.0003</t>
  </si>
  <si>
    <t>02.11.004.0003.0001</t>
  </si>
  <si>
    <t>02.11.004.0006</t>
  </si>
  <si>
    <t>02.11.004.0006.0001</t>
  </si>
  <si>
    <t>02.11.004.0007</t>
  </si>
  <si>
    <t>Mao de obra para instalacao de piso vinilico</t>
  </si>
  <si>
    <t>02.11.004.0007.0002</t>
  </si>
  <si>
    <t>02.11.004.0007.0005</t>
  </si>
  <si>
    <t>02.11.004.0007.0006</t>
  </si>
  <si>
    <t>02.11.004.0007.0007</t>
  </si>
  <si>
    <t>02.11.005</t>
  </si>
  <si>
    <t>02.11.005.0001</t>
  </si>
  <si>
    <t>02.11.005.0001.0001</t>
  </si>
  <si>
    <t>02.11.005.0001.0004</t>
  </si>
  <si>
    <t>Revestimento interno de piso porcelanato - placa 90x90cm - aplicacao em banheiros dos apartamentos</t>
  </si>
  <si>
    <t>02.11.005.0001.0005</t>
  </si>
  <si>
    <t>02.11.005.0001.0006</t>
  </si>
  <si>
    <t>02.11.005.0002</t>
  </si>
  <si>
    <t>02.11.005.0002.0003</t>
  </si>
  <si>
    <t>02.11.005.0002.0004</t>
  </si>
  <si>
    <t>02.11.005.0003</t>
  </si>
  <si>
    <t>02.11.005.0003.0001</t>
  </si>
  <si>
    <t>02.11.005.0004</t>
  </si>
  <si>
    <t>02.11.005.0004.0002</t>
  </si>
  <si>
    <t>02.11.005.0004.0003</t>
  </si>
  <si>
    <t>02.11.005.0006</t>
  </si>
  <si>
    <t>02.11.005.0006.0001</t>
  </si>
  <si>
    <t>02.11.005.0007</t>
  </si>
  <si>
    <t>02.11.005.0007.0001</t>
  </si>
  <si>
    <t>02.11.005.0007.0002</t>
  </si>
  <si>
    <t>02.11.005.0007.0005</t>
  </si>
  <si>
    <t>02.11.005.0007.0006</t>
  </si>
  <si>
    <t>02.11.005.0007.0007</t>
  </si>
  <si>
    <t>02.11.005.0007.0008</t>
  </si>
  <si>
    <t>02.11.005.0007.0009</t>
  </si>
  <si>
    <t>02.11.006</t>
  </si>
  <si>
    <t>02.11.006.0001</t>
  </si>
  <si>
    <t>02.11.006.0001.0001</t>
  </si>
  <si>
    <t>02.11.006.0001.0002</t>
  </si>
  <si>
    <t>02.11.006.0001.0004</t>
  </si>
  <si>
    <t>02.11.006.0001.0005</t>
  </si>
  <si>
    <t>02.11.006.0002</t>
  </si>
  <si>
    <t>02.11.006.0002.0001</t>
  </si>
  <si>
    <t>02.11.006.0003</t>
  </si>
  <si>
    <t>02.11.006.0003.0002</t>
  </si>
  <si>
    <t>02.11.006.0004</t>
  </si>
  <si>
    <t>02.11.006.0004.0002</t>
  </si>
  <si>
    <t>02.11.006.0004.0003</t>
  </si>
  <si>
    <t>02.11.006.0006</t>
  </si>
  <si>
    <t>02.11.006.0006.0001</t>
  </si>
  <si>
    <t>02.11.006.0006.0002</t>
  </si>
  <si>
    <t>02.11.006.0007</t>
  </si>
  <si>
    <t>02.11.006.0007.0003</t>
  </si>
  <si>
    <t>02.11.006.0007.0004</t>
  </si>
  <si>
    <t>02.11.006.0007.0005</t>
  </si>
  <si>
    <t>02.11.006.0007.0006</t>
  </si>
  <si>
    <t>02.11.006.0007.0007</t>
  </si>
  <si>
    <t>02.11.006.0007.0008</t>
  </si>
  <si>
    <t>02.11.006.0007.0009</t>
  </si>
  <si>
    <t>02.11.007</t>
  </si>
  <si>
    <t>02.11.007.0003</t>
  </si>
  <si>
    <t>02.11.007.0003.0001</t>
  </si>
  <si>
    <t>02.11.007.0006</t>
  </si>
  <si>
    <t>02.11.007.0006.0001</t>
  </si>
  <si>
    <t>02.11.007.0007</t>
  </si>
  <si>
    <t>02.11.007.0007.0002</t>
  </si>
  <si>
    <t>02.11.007.0007.0003</t>
  </si>
  <si>
    <t>02.11.008</t>
  </si>
  <si>
    <t>ACABAMENTOS EM PISO E PAREDE - CAIXA DÁGUA</t>
  </si>
  <si>
    <t>02.11.008.0006</t>
  </si>
  <si>
    <t>02.11.008.0006.0001</t>
  </si>
  <si>
    <t>02.11.008.0007</t>
  </si>
  <si>
    <t>02.11.008.0007.0002</t>
  </si>
  <si>
    <t>Modelo base de valor Vinílico IGUASSU Pormade.</t>
  </si>
  <si>
    <t>02.12</t>
  </si>
  <si>
    <t>02.12.001</t>
  </si>
  <si>
    <t>02.12.001.0001</t>
  </si>
  <si>
    <t>Sistemas de Pintura Interna em Piso</t>
  </si>
  <si>
    <t>02.12.001.0001.0001</t>
  </si>
  <si>
    <t>02.12.001.0001.0003</t>
  </si>
  <si>
    <t>02.12.001.0002</t>
  </si>
  <si>
    <t>Sistemas de Pintura Interna em Parede</t>
  </si>
  <si>
    <t>02.12.001.0002.0001</t>
  </si>
  <si>
    <t>Fundo selador latex PVA em paredes internas, 1 demao</t>
  </si>
  <si>
    <t>02.12.001.0002.0003</t>
  </si>
  <si>
    <t>Massa latex PVA em paredes internas 2 demaos</t>
  </si>
  <si>
    <t>02.12.001.0002.0004</t>
  </si>
  <si>
    <t>02.12.001.0002.0005</t>
  </si>
  <si>
    <t>Pintura com tinta latex acrilica, acabamento fosco em paredes internas, 2 demaos</t>
  </si>
  <si>
    <t>02.12.001.0002.0006</t>
  </si>
  <si>
    <t>02.12.001.0002.0007</t>
  </si>
  <si>
    <t>02.12.001.0003</t>
  </si>
  <si>
    <t>Sistemas de Pintura Interna em Teto</t>
  </si>
  <si>
    <t>02.12.001.0003.0001</t>
  </si>
  <si>
    <t>Fundo selador latex PVA em teto, 1 demao</t>
  </si>
  <si>
    <t>02.12.001.0003.0002</t>
  </si>
  <si>
    <t>Massa latex PVA em teto, 2 demaos</t>
  </si>
  <si>
    <t>02.12.001.0003.0004</t>
  </si>
  <si>
    <t>02.12.001.0003.0005</t>
  </si>
  <si>
    <t>Textura acrilica - aplicacao em teto - 1 demao</t>
  </si>
  <si>
    <t>02.12.001.0004</t>
  </si>
  <si>
    <t>02.12.001.0004.0001</t>
  </si>
  <si>
    <t>Mao de obra para pintura epoxi em piso (incluindo faixas de demarcacao)</t>
  </si>
  <si>
    <t>02.12.001.0004.0002</t>
  </si>
  <si>
    <t>Mao de obra para pintura acrilica em piso</t>
  </si>
  <si>
    <t>02.12.001.0004.0005</t>
  </si>
  <si>
    <t>Mao de obra para pintura acrilica em paredes, 1 demao</t>
  </si>
  <si>
    <t>02.12.001.0004.0006</t>
  </si>
  <si>
    <t>Mao de obra para pintura acrilica em paredes, 3 demaos</t>
  </si>
  <si>
    <t>02.12.001.0004.0007</t>
  </si>
  <si>
    <t>Mao de obra para pintura acrilica em paredes, 2 demaos</t>
  </si>
  <si>
    <t>02.12.001.0004.0008</t>
  </si>
  <si>
    <t>Mao de obra para aplicacao de textura acrilica em paredes internas 1 demao</t>
  </si>
  <si>
    <t>02.12.001.0004.0011</t>
  </si>
  <si>
    <t>Mao de obra para pintura acrílica em teto 3 demaos</t>
  </si>
  <si>
    <t>02.12.001.0004.0013</t>
  </si>
  <si>
    <t>Mao de obra para aplicacao de textura acrilica em teto, 1 demao</t>
  </si>
  <si>
    <t>02.12.002</t>
  </si>
  <si>
    <t>02.12.002.0001</t>
  </si>
  <si>
    <t>02.12.002.0001.0001</t>
  </si>
  <si>
    <t>Pintura epoxi em piso 2 demaos - aplicacao em garagens - incluindo faixas demarcatorias</t>
  </si>
  <si>
    <t>02.12.002.0001.0003</t>
  </si>
  <si>
    <t>02.12.002.0002</t>
  </si>
  <si>
    <t>02.12.002.0002.0001</t>
  </si>
  <si>
    <t>02.12.002.0002.0002</t>
  </si>
  <si>
    <t>02.12.002.0002.0003</t>
  </si>
  <si>
    <t>02.12.002.0002.0004</t>
  </si>
  <si>
    <t>02.12.002.0002.0005</t>
  </si>
  <si>
    <t>02.12.002.0002.0006</t>
  </si>
  <si>
    <t>02.12.002.0003</t>
  </si>
  <si>
    <t>02.12.002.0003.0001</t>
  </si>
  <si>
    <t>02.12.002.0003.0002</t>
  </si>
  <si>
    <t>02.12.002.0004</t>
  </si>
  <si>
    <t>02.12.002.0004.0001</t>
  </si>
  <si>
    <t>02.12.002.0004.0002</t>
  </si>
  <si>
    <t>02.12.002.0004.0005</t>
  </si>
  <si>
    <t>02.12.002.0004.0006</t>
  </si>
  <si>
    <t>02.12.002.0004.0007</t>
  </si>
  <si>
    <t>02.12.002.0004.0008</t>
  </si>
  <si>
    <t>02.12.002.0004.0009</t>
  </si>
  <si>
    <t>02.12.003</t>
  </si>
  <si>
    <t>02.12.003.0001</t>
  </si>
  <si>
    <t>02.12.003.0001.0001</t>
  </si>
  <si>
    <t>02.12.003.0001.0002</t>
  </si>
  <si>
    <t>02.12.003.0002</t>
  </si>
  <si>
    <t>02.12.003.0002.0001</t>
  </si>
  <si>
    <t>02.12.003.0002.0003</t>
  </si>
  <si>
    <t>02.12.003.0002.0004</t>
  </si>
  <si>
    <t>02.12.003.0002.0005</t>
  </si>
  <si>
    <t>02.12.003.0002.0006</t>
  </si>
  <si>
    <t>02.12.003.0002.0007</t>
  </si>
  <si>
    <t>02.12.003.0003</t>
  </si>
  <si>
    <t>02.12.003.0003.0001</t>
  </si>
  <si>
    <t>02.12.003.0003.0002</t>
  </si>
  <si>
    <t>02.12.003.0004</t>
  </si>
  <si>
    <t>02.12.003.0004.0001</t>
  </si>
  <si>
    <t>02.12.003.0004.0004</t>
  </si>
  <si>
    <t>02.12.003.0004.0005</t>
  </si>
  <si>
    <t>02.12.003.0004.0006</t>
  </si>
  <si>
    <t>02.12.003.0004.0007</t>
  </si>
  <si>
    <t>02.12.003.0004.0008</t>
  </si>
  <si>
    <t>02.12.004</t>
  </si>
  <si>
    <t>02.12.004.0001</t>
  </si>
  <si>
    <t>02.12.004.0001.0001</t>
  </si>
  <si>
    <t>02.12.004.0002</t>
  </si>
  <si>
    <t>02.12.004.0002.0001</t>
  </si>
  <si>
    <t>02.12.004.0002.0003</t>
  </si>
  <si>
    <t>02.12.004.0002.0004</t>
  </si>
  <si>
    <t>02.12.004.0002.0006</t>
  </si>
  <si>
    <t>02.12.004.0002.0007</t>
  </si>
  <si>
    <t>02.12.004.0003</t>
  </si>
  <si>
    <t>02.12.004.0003.0001</t>
  </si>
  <si>
    <t>02.12.004.0003.0007</t>
  </si>
  <si>
    <t>02.12.004.0004</t>
  </si>
  <si>
    <t>02.12.004.0004.0001</t>
  </si>
  <si>
    <t>02.12.004.0004.0004</t>
  </si>
  <si>
    <t>02.12.004.0004.0006</t>
  </si>
  <si>
    <t>02.12.004.0004.0007</t>
  </si>
  <si>
    <t>02.12.004.0004.0011</t>
  </si>
  <si>
    <t>02.12.004.0004.0012</t>
  </si>
  <si>
    <t>02.12.005</t>
  </si>
  <si>
    <t>02.12.005.0001</t>
  </si>
  <si>
    <t>02.12.005.0001.0001</t>
  </si>
  <si>
    <t>02.12.005.0002</t>
  </si>
  <si>
    <t>02.12.005.0002.0001</t>
  </si>
  <si>
    <t>02.12.005.0002.0002</t>
  </si>
  <si>
    <t>02.12.005.0002.0003</t>
  </si>
  <si>
    <t>02.12.005.0002.0005</t>
  </si>
  <si>
    <t>02.12.005.0002.0007</t>
  </si>
  <si>
    <t>02.12.005.0003</t>
  </si>
  <si>
    <t>02.12.005.0003.0001</t>
  </si>
  <si>
    <t>02.12.005.0003.0002</t>
  </si>
  <si>
    <t>02.12.005.0003.0003</t>
  </si>
  <si>
    <t>02.12.005.0003.0004</t>
  </si>
  <si>
    <t>02.12.005.0004</t>
  </si>
  <si>
    <t>02.12.005.0004.0001</t>
  </si>
  <si>
    <t>02.12.005.0004.0004</t>
  </si>
  <si>
    <t>02.12.005.0004.0006</t>
  </si>
  <si>
    <t>02.12.005.0004.0007</t>
  </si>
  <si>
    <t>02.12.005.0004.0010</t>
  </si>
  <si>
    <t>02.12.005.0004.0011</t>
  </si>
  <si>
    <t>02.12.006</t>
  </si>
  <si>
    <t>02.12.006.0001</t>
  </si>
  <si>
    <t>02.12.006.0001.0001</t>
  </si>
  <si>
    <t>02.12.006.0002</t>
  </si>
  <si>
    <t>02.12.006.0002.0001</t>
  </si>
  <si>
    <t>02.12.006.0002.0002</t>
  </si>
  <si>
    <t>02.12.006.0002.0003</t>
  </si>
  <si>
    <t>02.12.006.0002.0004</t>
  </si>
  <si>
    <t>02.12.006.0002.0005</t>
  </si>
  <si>
    <t>02.12.006.0003</t>
  </si>
  <si>
    <t>02.12.006.0003.0001</t>
  </si>
  <si>
    <t>02.12.006.0003.0002</t>
  </si>
  <si>
    <t>02.12.006.0003.0003</t>
  </si>
  <si>
    <t>02.12.006.0003.0004</t>
  </si>
  <si>
    <t>02.12.006.0004</t>
  </si>
  <si>
    <t>02.12.006.0004.0001</t>
  </si>
  <si>
    <t>02.12.006.0004.0003</t>
  </si>
  <si>
    <t>02.12.006.0004.0004</t>
  </si>
  <si>
    <t>02.12.006.0004.0006</t>
  </si>
  <si>
    <t>02.12.006.0004.0007</t>
  </si>
  <si>
    <t>02.12.006.0004.0009</t>
  </si>
  <si>
    <t>02.12.007</t>
  </si>
  <si>
    <t>02.12.007.0001</t>
  </si>
  <si>
    <t>02.12.007.0001.0001</t>
  </si>
  <si>
    <t>02.12.007.0002</t>
  </si>
  <si>
    <t>02.12.007.0002.0001</t>
  </si>
  <si>
    <t>02.12.007.0002.0002</t>
  </si>
  <si>
    <t>02.12.007.0003</t>
  </si>
  <si>
    <t>02.12.007.0003.0001</t>
  </si>
  <si>
    <t>02.12.007.0003.0002</t>
  </si>
  <si>
    <t>02.12.007.0004</t>
  </si>
  <si>
    <t>02.12.007.0004.0001</t>
  </si>
  <si>
    <t>02.12.007.0004.0003</t>
  </si>
  <si>
    <t>02.12.007.0004.0004</t>
  </si>
  <si>
    <t>02.12.007.0004.0005</t>
  </si>
  <si>
    <t>02.12.008</t>
  </si>
  <si>
    <t>SISTEMAS DE PINTURA INTERNA - CAIXA DÁGUA</t>
  </si>
  <si>
    <t>02.12.008.0002</t>
  </si>
  <si>
    <t>02.12.008.0002.0001</t>
  </si>
  <si>
    <t>02.12.008.0002.0002</t>
  </si>
  <si>
    <t>02.12.008.0002.0003</t>
  </si>
  <si>
    <t>02.12.008.0003</t>
  </si>
  <si>
    <t>02.12.008.0003.0001</t>
  </si>
  <si>
    <t>02.12.008.0003.0002</t>
  </si>
  <si>
    <t>02.12.008.0004</t>
  </si>
  <si>
    <t>02.12.008.0004.0002</t>
  </si>
  <si>
    <t>02.12.008.0004.0003</t>
  </si>
  <si>
    <t>02.12.008.0004.0004</t>
  </si>
  <si>
    <t>02.13</t>
  </si>
  <si>
    <t>ESQUADRIAS - VIDROS E FERRAGENS</t>
  </si>
  <si>
    <t>02.13.001</t>
  </si>
  <si>
    <t>ESQUADRIAS - VIDROS E FERRAGENS - TÉRREO</t>
  </si>
  <si>
    <t>02.13.001.0001</t>
  </si>
  <si>
    <t>Esquadrias metalicas</t>
  </si>
  <si>
    <t>02.13.001.0001.0001</t>
  </si>
  <si>
    <t>Fixacao de de contramarcos com argamassa</t>
  </si>
  <si>
    <t>02.13.001.0001.0003</t>
  </si>
  <si>
    <t>Esquadrias de Aluminio - Fornecimento e instalacao incluindo vidros</t>
  </si>
  <si>
    <t>02.13.001.0001.0005</t>
  </si>
  <si>
    <t>Porta corta-fogo em aco galvanizado P90, com dobradicas e macanetas, com pintura - fornecimento e instalacao</t>
  </si>
  <si>
    <t>02.13.001.0001.0006</t>
  </si>
  <si>
    <t>Portão basculante de alumínio</t>
  </si>
  <si>
    <t>02.13.001.0002</t>
  </si>
  <si>
    <t>Esquadrias de Madeira</t>
  </si>
  <si>
    <t>Porta de madeira- folha leve/média - 60x210cm- fixacao com espuma expansiva</t>
  </si>
  <si>
    <t>Porta de madeira- folha leve/média - 80x210cm- fixacao com espuma expansiva</t>
  </si>
  <si>
    <t>02.13.001.0002.0003</t>
  </si>
  <si>
    <t>Corrimao de madeira</t>
  </si>
  <si>
    <t>02.13.001.0003</t>
  </si>
  <si>
    <t>Acessórios e Ferragens</t>
  </si>
  <si>
    <t>02.13.001.0003.0002</t>
  </si>
  <si>
    <t>Fechadura de embutir com cilindro, interna - fornecimento e instalacao</t>
  </si>
  <si>
    <t>Fechadura de embutir com cilindro, para banheiro - fornecimento e instalacao</t>
  </si>
  <si>
    <t>02.13.001.0005</t>
  </si>
  <si>
    <t>02.13.001.0005.0001</t>
  </si>
  <si>
    <t>Mao de obra para fixacao de contramarcos</t>
  </si>
  <si>
    <t>02.13.001.0005.0002</t>
  </si>
  <si>
    <t>Mao de obra para instalação de portas de madeira</t>
  </si>
  <si>
    <t>02.13.002</t>
  </si>
  <si>
    <t>02.13.002.0001</t>
  </si>
  <si>
    <t>02.13.002.0001.0001</t>
  </si>
  <si>
    <t>02.13.002.0001.0003</t>
  </si>
  <si>
    <t>02.13.002.0001.0004</t>
  </si>
  <si>
    <t>02.13.002.0002</t>
  </si>
  <si>
    <t>02.13.002.0002.0001</t>
  </si>
  <si>
    <t>02.13.002.0005</t>
  </si>
  <si>
    <t>02.13.002.0005.0001</t>
  </si>
  <si>
    <t>02.13.003</t>
  </si>
  <si>
    <t>02.13.003.0001</t>
  </si>
  <si>
    <t>02.13.003.0001.0001</t>
  </si>
  <si>
    <t>02.13.003.0001.0003</t>
  </si>
  <si>
    <t>02.13.003.0001.0005</t>
  </si>
  <si>
    <t>02.13.003.0002</t>
  </si>
  <si>
    <t>02.13.003.0002.0001</t>
  </si>
  <si>
    <t>02.13.003.0005</t>
  </si>
  <si>
    <t>02.13.003.0005.0001</t>
  </si>
  <si>
    <t>02.13.004</t>
  </si>
  <si>
    <t>02.13.004.0001</t>
  </si>
  <si>
    <t>Esquadrias Metalicas</t>
  </si>
  <si>
    <t>02.13.004.0001.0001</t>
  </si>
  <si>
    <t>02.13.004.0001.0003</t>
  </si>
  <si>
    <t>Guarda-corpos de aluminio e vidro</t>
  </si>
  <si>
    <t>02.13.004.0001.0005</t>
  </si>
  <si>
    <t>02.13.004.0002</t>
  </si>
  <si>
    <t>Porta de madeira, folha leve/média, 90x210cm, fixacao com espuma expansiva - fornecimento e instalacao</t>
  </si>
  <si>
    <t>02.13.004.0002.0004</t>
  </si>
  <si>
    <t>02.13.004.0005</t>
  </si>
  <si>
    <t>02.13.004.0005.0001</t>
  </si>
  <si>
    <t>02.13.005</t>
  </si>
  <si>
    <t>02.13.005.0001</t>
  </si>
  <si>
    <t>Esquadrias Metálicas</t>
  </si>
  <si>
    <t>02.13.005.0001.0001</t>
  </si>
  <si>
    <t>02.13.005.0001.0003</t>
  </si>
  <si>
    <t>02.13.005.0001.0004</t>
  </si>
  <si>
    <t>02.13.005.0001.0005</t>
  </si>
  <si>
    <t>02.13.005.0002</t>
  </si>
  <si>
    <t>02.13.005.0002.0001</t>
  </si>
  <si>
    <t>02.13.005.0002.0002</t>
  </si>
  <si>
    <t>02.13.005.0002.0003</t>
  </si>
  <si>
    <t>02.13.005.0003</t>
  </si>
  <si>
    <t>02.13.005.0003.0002</t>
  </si>
  <si>
    <t>02.13.005.0003.0003</t>
  </si>
  <si>
    <t>02.13.005.0005</t>
  </si>
  <si>
    <t>02.13.005.0005.0001</t>
  </si>
  <si>
    <t>02.13.005.0005.0002</t>
  </si>
  <si>
    <t>02.13.006</t>
  </si>
  <si>
    <t>02.13.006.0001</t>
  </si>
  <si>
    <t>02.13.006.0001.0001</t>
  </si>
  <si>
    <t>02.13.006.0001.0002</t>
  </si>
  <si>
    <t>02.13.006.0001.0003</t>
  </si>
  <si>
    <t>02.13.006.0001.0004</t>
  </si>
  <si>
    <t>02.13.006.0002</t>
  </si>
  <si>
    <t>02.13.006.0002.0001</t>
  </si>
  <si>
    <t>02.13.006.0002.0002</t>
  </si>
  <si>
    <t>02.13.006.0002.0003</t>
  </si>
  <si>
    <t>02.13.006.0003</t>
  </si>
  <si>
    <t>02.13.006.0003.0001</t>
  </si>
  <si>
    <t>02.13.006.0003.0002</t>
  </si>
  <si>
    <t>02.13.006.0004</t>
  </si>
  <si>
    <t>02.13.006.0004.0001</t>
  </si>
  <si>
    <t>02.13.006.0004.0002</t>
  </si>
  <si>
    <t>02.13.007</t>
  </si>
  <si>
    <t>02.13.007.0001</t>
  </si>
  <si>
    <t>02.13.007.0001.0001</t>
  </si>
  <si>
    <t>02.13.007.0001.0002</t>
  </si>
  <si>
    <t>02.13.007.0001.0003</t>
  </si>
  <si>
    <t>02.13.007.0005</t>
  </si>
  <si>
    <t>02.13.007.0005.0001</t>
  </si>
  <si>
    <t>02.13.008</t>
  </si>
  <si>
    <t>ESQUADRIAS - VIDROS E FERRAGENS - CAIXA DÁGUA</t>
  </si>
  <si>
    <t>02.13.008.0001</t>
  </si>
  <si>
    <t>02.13.008.0001.0001</t>
  </si>
  <si>
    <t>02.13.008.0001.0002</t>
  </si>
  <si>
    <t>02.13.008.0001.0004</t>
  </si>
  <si>
    <t>02.13.008.0005</t>
  </si>
  <si>
    <t>02.13.008.0005.0001</t>
  </si>
  <si>
    <t>02.14</t>
  </si>
  <si>
    <t>02.14.001</t>
  </si>
  <si>
    <t>02.14.001.0001</t>
  </si>
  <si>
    <t>02.14.001.0001.0001</t>
  </si>
  <si>
    <t>02.15</t>
  </si>
  <si>
    <t>REVESTIMENTOS E ACABAMENTOS DE FACHADA</t>
  </si>
  <si>
    <t>02.15.001</t>
  </si>
  <si>
    <t>02.15.001.0001</t>
  </si>
  <si>
    <t>Revestimento Argamassado em Fachada</t>
  </si>
  <si>
    <t>02.15.001.0001.0001</t>
  </si>
  <si>
    <t>02.15.001.0001.0002</t>
  </si>
  <si>
    <t>Chapisco aplicado em alvenarias externas, com colher de pedreiro, de argamassa estabilizada</t>
  </si>
  <si>
    <t>02.15.001.0001.0003</t>
  </si>
  <si>
    <t>Massa unica para reboco externo em argamassa estabilizada, espessura de 35mm</t>
  </si>
  <si>
    <t>02.15.001.0001.0004</t>
  </si>
  <si>
    <t>Tela Soldada para Ligacao Alvenaria/Estrutura em Chapisco Externo 7,5x50cm</t>
  </si>
  <si>
    <t>02.15.001.0002</t>
  </si>
  <si>
    <t>Pintura e Textura em Fachada</t>
  </si>
  <si>
    <t>02.15.001.0002.0001</t>
  </si>
  <si>
    <t>Fundo selador latex acrilico em paredes externas, 1 demao</t>
  </si>
  <si>
    <t>02.15.001.0002.0002</t>
  </si>
  <si>
    <t>02.15.001.0005</t>
  </si>
  <si>
    <t>02.15.001.0005.0001</t>
  </si>
  <si>
    <t>Mao de obra para reboco externo, inclui chapisco</t>
  </si>
  <si>
    <t>02.15.001.0005.0003</t>
  </si>
  <si>
    <t>Mao de obra para pintura acrilica em paredes externas, 2 demaos</t>
  </si>
  <si>
    <t>02.15.002</t>
  </si>
  <si>
    <t>02.15.002.0001</t>
  </si>
  <si>
    <t>02.15.002.0001.0001</t>
  </si>
  <si>
    <t>02.15.002.0001.0002</t>
  </si>
  <si>
    <t>02.15.002.0001.0003</t>
  </si>
  <si>
    <t>02.15.002.0001.0004</t>
  </si>
  <si>
    <t>02.15.002.0002</t>
  </si>
  <si>
    <t>02.15.002.0002.0001</t>
  </si>
  <si>
    <t>02.15.002.0005</t>
  </si>
  <si>
    <t>02.15.002.0005.0001</t>
  </si>
  <si>
    <t>02.15.002.0005.0003</t>
  </si>
  <si>
    <t>02.15.003</t>
  </si>
  <si>
    <t>02.15.003.0001</t>
  </si>
  <si>
    <t>02.15.003.0001.0001</t>
  </si>
  <si>
    <t>02.15.003.0001.0002</t>
  </si>
  <si>
    <t>02.15.003.0001.0003</t>
  </si>
  <si>
    <t>02.15.003.0001.0004</t>
  </si>
  <si>
    <t>02.15.003.0002</t>
  </si>
  <si>
    <t>02.15.003.0002.0001</t>
  </si>
  <si>
    <t>02.15.003.0005</t>
  </si>
  <si>
    <t>02.15.003.0005.0001</t>
  </si>
  <si>
    <t>02.15.003.0005.0003</t>
  </si>
  <si>
    <t>02.15.003.0005.0004</t>
  </si>
  <si>
    <t>02.15.004</t>
  </si>
  <si>
    <t>02.15.004.0001</t>
  </si>
  <si>
    <t>02.15.004.0001.0001</t>
  </si>
  <si>
    <t>02.15.004.0001.0002</t>
  </si>
  <si>
    <t>02.15.004.0001.0003</t>
  </si>
  <si>
    <t>02.15.004.0001.0004</t>
  </si>
  <si>
    <t>02.15.004.0002</t>
  </si>
  <si>
    <t>02.15.004.0002.0001</t>
  </si>
  <si>
    <t>02.15.004.0005</t>
  </si>
  <si>
    <t>02.15.004.0005.0001</t>
  </si>
  <si>
    <t>02.15.004.0005.0003</t>
  </si>
  <si>
    <t>02.15.005</t>
  </si>
  <si>
    <t>02.15.005.0001</t>
  </si>
  <si>
    <t>02.15.005.0001.0001</t>
  </si>
  <si>
    <t>02.15.005.0001.0002</t>
  </si>
  <si>
    <t>02.15.005.0001.0003</t>
  </si>
  <si>
    <t>02.15.005.0001.0004</t>
  </si>
  <si>
    <t>02.15.005.0002</t>
  </si>
  <si>
    <t>02.15.005.0002.0001</t>
  </si>
  <si>
    <t>02.15.005.0005</t>
  </si>
  <si>
    <t>02.15.005.0005.0001</t>
  </si>
  <si>
    <t>02.15.005.0005.0003</t>
  </si>
  <si>
    <t>02.15.006</t>
  </si>
  <si>
    <t>REVESTIMENTOS E ACABAMENTOS DE FACHADA - BARRILETE | CASA DE MÁQUINAS</t>
  </si>
  <si>
    <t>02.15.006.0001</t>
  </si>
  <si>
    <t>02.15.006.0001.0001</t>
  </si>
  <si>
    <t>02.15.006.0001.0002</t>
  </si>
  <si>
    <t>02.15.006.0001.0003</t>
  </si>
  <si>
    <t>02.15.006.0001.0004</t>
  </si>
  <si>
    <t>02.15.006.0002</t>
  </si>
  <si>
    <t>02.15.006.0002.0001</t>
  </si>
  <si>
    <t>02.15.006.0005</t>
  </si>
  <si>
    <t>02.15.006.0005.0001</t>
  </si>
  <si>
    <t>02.15.006.0005.0003</t>
  </si>
  <si>
    <t>Levantamento seguindo modelagem arquitetônica e detalhaemento de fachada</t>
  </si>
  <si>
    <t>02.16</t>
  </si>
  <si>
    <t>EQUIPAMENTOS E SISTEMAS ESPECIAIS</t>
  </si>
  <si>
    <t>02.16.001</t>
  </si>
  <si>
    <t>02.16.001.0001</t>
  </si>
  <si>
    <t>Equipamentos</t>
  </si>
  <si>
    <t>02.16.001.0001.0002</t>
  </si>
  <si>
    <t>Equipamentos para piscina</t>
  </si>
  <si>
    <t>02.16.001.0001.0005</t>
  </si>
  <si>
    <t>Elevador social</t>
  </si>
  <si>
    <t>02.16.001.0002</t>
  </si>
  <si>
    <t>Sistemas Especiais</t>
  </si>
  <si>
    <t>02.16.001.0002.0001</t>
  </si>
  <si>
    <t>Sistema de bombas de recalque</t>
  </si>
  <si>
    <t>02.16.001.0002.0002</t>
  </si>
  <si>
    <t>Infraestrutura para carro elétrico</t>
  </si>
  <si>
    <t>02.16.001.0002.0003</t>
  </si>
  <si>
    <t>Sistema de tratamento de esgoto</t>
  </si>
  <si>
    <t>02.16.001.0002.0004</t>
  </si>
  <si>
    <t>Sistema de interfone</t>
  </si>
  <si>
    <t>02.16.001.0002.0006</t>
  </si>
  <si>
    <t>Sistema de reúso de água pluvial</t>
  </si>
  <si>
    <t>02.16.001.0004</t>
  </si>
  <si>
    <t>Churrasqueiras e/ou Lareiras</t>
  </si>
  <si>
    <t>02.16.001.0004.0001</t>
  </si>
  <si>
    <t>Exaustao das churrasqueiras</t>
  </si>
  <si>
    <t>02.17</t>
  </si>
  <si>
    <t>02.17.001</t>
  </si>
  <si>
    <t>02.17.001.0001</t>
  </si>
  <si>
    <t>02.17.001.0001.0001</t>
  </si>
  <si>
    <t>Mobiliario e decoracoes para areas comuns</t>
  </si>
  <si>
    <t>02.17.001.0004</t>
  </si>
  <si>
    <t>Comunicação Visual</t>
  </si>
  <si>
    <t>02.17.001.0004.0001</t>
  </si>
  <si>
    <t>Comunicacao visual</t>
  </si>
  <si>
    <t>02.17.001.0005</t>
  </si>
  <si>
    <t>02.17.001.0005.0001</t>
  </si>
  <si>
    <t>02.17.001.0006</t>
  </si>
  <si>
    <t>Serviços Finais</t>
  </si>
  <si>
    <t>02.17.001.0006.0001</t>
  </si>
  <si>
    <t>Limpeza final da obra</t>
  </si>
  <si>
    <t>02.17.001.0006.0002</t>
  </si>
  <si>
    <t>Desmobilizacao de pessoal, maquinas e equipamentos</t>
  </si>
  <si>
    <t>02.17.001.0007</t>
  </si>
  <si>
    <t>02.17.001.0007.0001</t>
  </si>
  <si>
    <t>Itens eventuais e nao orcados</t>
  </si>
  <si>
    <t>Levantamento de mobiliário e interiores seguindo plantas arquitetônicas e imagens comerciais</t>
  </si>
  <si>
    <t>Contingências considerando 2.5% do custo total da obra</t>
  </si>
  <si>
    <t>Valor repassado por fornecedor em cotação.</t>
  </si>
  <si>
    <t>Valores de mercado aplicados ao sistema usual de interfonia.</t>
  </si>
  <si>
    <t>Valor de instalação de infraestrutra.</t>
  </si>
  <si>
    <t>Valores determinado para bombas especificadas pelo projetista.</t>
  </si>
  <si>
    <t xml:space="preserve"> Valor de silo incluso no material.</t>
  </si>
  <si>
    <t>Fabricação e montagem de fôrma para escadarias em chapa de madeira compensada plastificada e=14 mm - 2 jogos</t>
  </si>
  <si>
    <t>REVESTIMENTOS E ACABAMENTOS DE FACHADA - EMBASAMENTO</t>
  </si>
  <si>
    <t>GRAN TORINO</t>
  </si>
  <si>
    <t>Mabrem - Gran Torino</t>
  </si>
  <si>
    <t>Itajaí, Abril de 2024</t>
  </si>
  <si>
    <t>NÚMERO DE PAVIMENTOS</t>
  </si>
  <si>
    <t>MÊS</t>
  </si>
  <si>
    <t>MESES DE OBRA</t>
  </si>
  <si>
    <t>NÚMERO DE UNIDADES HABITACIONAIS</t>
  </si>
  <si>
    <t>ÁREA CONSTRUÍDA</t>
  </si>
  <si>
    <t>ÁREA DO TERRENO</t>
  </si>
  <si>
    <t>ARQUITETURA</t>
  </si>
  <si>
    <t>DADOS OBRA</t>
  </si>
  <si>
    <t>Prumadas</t>
  </si>
  <si>
    <t>Valor levantado seguindo projeto hidrossanitário</t>
  </si>
  <si>
    <t>Estimado por índice histórico devido ausência de quantitativo</t>
  </si>
  <si>
    <t>INSTALAÇÕES PREVENTIVAS | GLP - TIPO (x13)</t>
  </si>
  <si>
    <t>CLIMATIZAÇÃO - TIPO (x13)</t>
  </si>
  <si>
    <t>Valores determinados por quantitativos disponibilizados.</t>
  </si>
  <si>
    <t>02.16.001.0001.0006</t>
  </si>
  <si>
    <t>Sistema de telecomunicação</t>
  </si>
  <si>
    <t>Perfuração</t>
  </si>
  <si>
    <t>02.01.001.0001.0002</t>
  </si>
  <si>
    <t>02.01.001.0001.0003</t>
  </si>
  <si>
    <t>02.01.001.0002</t>
  </si>
  <si>
    <t/>
  </si>
  <si>
    <t>Perfuracao de estacas Helice Continua ø 40cm</t>
  </si>
  <si>
    <t>Perfuracao de estacas Helice Continua ø 60cm</t>
  </si>
  <si>
    <t>Perfuracao de estacas Helice Continua ø 70cm</t>
  </si>
  <si>
    <t>Armacao aco CA-50 ø 6.3mm para estacas - cortado e dobrado em industria</t>
  </si>
  <si>
    <t>Armacao aco CA-50 ø 8.0mm para estacas - cortado e dobrado em industria</t>
  </si>
  <si>
    <t>Armacao aço CA-50 ø 12.5mm para estacas - cortado e dobrado em industria</t>
  </si>
  <si>
    <t>Armacao aço CA-50 ø 20.0mm para estacas - cortado e dobrado em industria</t>
  </si>
  <si>
    <t>Concreto usinado bombeavel para estacas Fck 40MPa com brita 0 e 1 SLUMP = 22 +/- 3 incluindo servico de bombeamento</t>
  </si>
  <si>
    <t>Quantitativos extraídos de projetos e resumos encaminhados</t>
  </si>
  <si>
    <t>Quantitativos extraídos de projetos e resumos encaminhados  sem consideração de perda</t>
  </si>
  <si>
    <t>Previsão de 30% de empolamento</t>
  </si>
  <si>
    <t>Contenção de cheias</t>
  </si>
  <si>
    <t>02.01.002.0006.0010</t>
  </si>
  <si>
    <t>Caixa de alívio de pressão</t>
  </si>
  <si>
    <t>Estimativa de forma em madeira serrada, aço e concreto com base em dimnesões preliminares</t>
  </si>
  <si>
    <t>02.02.001.0001.0001</t>
  </si>
  <si>
    <t>02.02.001.0001.0002</t>
  </si>
  <si>
    <t>Concreto usinado bombeavel para supraestrutura Fck 40MPa com Brita 0 SLUMP = 12 +/- 2 incluindo servico de bombeamento</t>
  </si>
  <si>
    <t>SUPRAESTRUTURA - GARAGEM - G1</t>
  </si>
  <si>
    <t>02.02.002.0003.0003</t>
  </si>
  <si>
    <t>02.02.002.0003.0004</t>
  </si>
  <si>
    <t>02.02.002.0004.0002</t>
  </si>
  <si>
    <t>SUPRAESTRUTURA - GARAGEM - G2</t>
  </si>
  <si>
    <t>02.02.003.0003.0003</t>
  </si>
  <si>
    <t>02.02.004.0003.0003</t>
  </si>
  <si>
    <t>SUPRAESTRUTURA - DIFERENCIADO</t>
  </si>
  <si>
    <t>02.02.005.0003.0003</t>
  </si>
  <si>
    <t>02.02.006.0001.0017</t>
  </si>
  <si>
    <t>02.02.006.0003.0003</t>
  </si>
  <si>
    <t>02.02.007.0001.0015</t>
  </si>
  <si>
    <t>02.02.007.0001.0016</t>
  </si>
  <si>
    <t>02.02.007.0002.0005</t>
  </si>
  <si>
    <t>02.02.007.0003.0002</t>
  </si>
  <si>
    <t>02.02.007.0004.0002</t>
  </si>
  <si>
    <t>SUPRAESTRUTURA - BARRILETE - CASA DE MÁQUINAS</t>
  </si>
  <si>
    <t>02.02.008.0001.0011</t>
  </si>
  <si>
    <t>02.02.008.0001.0012</t>
  </si>
  <si>
    <t>02.02.008.0001.0013</t>
  </si>
  <si>
    <t>02.02.008.0002.0005</t>
  </si>
  <si>
    <t>02.02.008.0002.0006</t>
  </si>
  <si>
    <t>02.02.008.0003.0002</t>
  </si>
  <si>
    <t>02.02.009</t>
  </si>
  <si>
    <t>SUPRAESTRUTURA - BARRILETE - CAIXA DÁGUA</t>
  </si>
  <si>
    <t>02.02.009.0001</t>
  </si>
  <si>
    <t>02.02.009.0001.0001</t>
  </si>
  <si>
    <t>02.02.009.0001.0002</t>
  </si>
  <si>
    <t>02.02.009.0001.0003</t>
  </si>
  <si>
    <t>02.02.009.0001.0004</t>
  </si>
  <si>
    <t>02.02.009.0001.0005</t>
  </si>
  <si>
    <t>02.02.009.0001.0006</t>
  </si>
  <si>
    <t>02.02.009.0001.0007</t>
  </si>
  <si>
    <t>02.02.009.0001.0008</t>
  </si>
  <si>
    <t>02.02.009.0002</t>
  </si>
  <si>
    <t>02.02.009.0002.0001</t>
  </si>
  <si>
    <t>02.02.009.0002.0002</t>
  </si>
  <si>
    <t>02.02.009.0002.0003</t>
  </si>
  <si>
    <t>02.02.009.0002.0004</t>
  </si>
  <si>
    <t>02.02.009.0003</t>
  </si>
  <si>
    <t>02.02.009.0003.0002</t>
  </si>
  <si>
    <t>02.02.009.0004</t>
  </si>
  <si>
    <t>02.02.009.0004.0001</t>
  </si>
  <si>
    <t>ALVENARIA | VEDAÇÕES | DIVISÓRIAS - GARAGEM - G1</t>
  </si>
  <si>
    <t>ALVENARIA | VEDAÇÕES | DIVISÓRIAS - GARAGEM - G2</t>
  </si>
  <si>
    <t>ALVENARIA | VEDAÇÕES | DIVISÓRIAS - GARAGEM - G3</t>
  </si>
  <si>
    <t>ALVENARIA | VEDAÇÕES | DIVISÓRIAS - DIFERENCIADO</t>
  </si>
  <si>
    <t>02.03.009.0001.0004</t>
  </si>
  <si>
    <t>Alvenaria de vedacao de blocos ceramicos furados na horizontal de 9x19x19cm (espessura 9cm) com argamassa industrializada de assentamento</t>
  </si>
  <si>
    <t>02.03.011.0001.0003</t>
  </si>
  <si>
    <t>02.03.012.0001.0003</t>
  </si>
  <si>
    <t>02.03.012.0005</t>
  </si>
  <si>
    <t>02.03.012.0005.0001</t>
  </si>
  <si>
    <t>ALVENARIA | VEDAÇÕES | DIVISÓRIAS - BARRILETE - CASA DE MÁQUINAS</t>
  </si>
  <si>
    <t>02.03.013.0002</t>
  </si>
  <si>
    <t>02.03.013.0002.0001</t>
  </si>
  <si>
    <t>02.03.014</t>
  </si>
  <si>
    <t>ALVENARIA | VEDAÇÕES | DIVISÓRIAS - BARRILETE - CAIXA DÁGUA</t>
  </si>
  <si>
    <t>02.03.014.0001</t>
  </si>
  <si>
    <t>02.03.014.0001.0001</t>
  </si>
  <si>
    <t>02.03.014.0002</t>
  </si>
  <si>
    <t>02.03.014.0002.0001</t>
  </si>
  <si>
    <t>02.03.014.0002.0002</t>
  </si>
  <si>
    <t>02.03.014.0002.0003</t>
  </si>
  <si>
    <t>02.03.014.0003</t>
  </si>
  <si>
    <t>02.03.014.0003.0001</t>
  </si>
  <si>
    <t>02.03.014.0003.0002</t>
  </si>
  <si>
    <t>01.01.001.0002.0012</t>
  </si>
  <si>
    <t>Projeto Estrutural</t>
  </si>
  <si>
    <t>ALVENARIA | VEDAÇÕES | DIVISÓRIAS - ÁTICO</t>
  </si>
  <si>
    <t>02.03.012.0005.0002</t>
  </si>
  <si>
    <t>02.03.012.0005.0003</t>
  </si>
  <si>
    <t>02.03.012.0006</t>
  </si>
  <si>
    <t>02.03.012.0006.0001</t>
  </si>
  <si>
    <t>02.03.012.0006.0002</t>
  </si>
  <si>
    <t>02.03.012.0006.0003</t>
  </si>
  <si>
    <t>02.03.013.0004.0002</t>
  </si>
  <si>
    <t>02.03.013.0006</t>
  </si>
  <si>
    <t>02.03.013.0006.0001</t>
  </si>
  <si>
    <t>02.03.013.0006.0003</t>
  </si>
  <si>
    <t>02.03.013.0006.0005</t>
  </si>
  <si>
    <t>02.01.002.0002.0002</t>
  </si>
  <si>
    <t>primer + manta 4mm</t>
  </si>
  <si>
    <t>Proteção com argamassa estabilizada</t>
  </si>
  <si>
    <t>IMPERMEABILIZAÇÃO E TRATAMENTOS - DIFERENCIADO</t>
  </si>
  <si>
    <t>IMPERMEABILIZAÇÃO E TRATAMENTOS - TIPO (x13)</t>
  </si>
  <si>
    <t>IMPERMEABILIZAÇÃO E TRATAMENTOS - ÁTICO</t>
  </si>
  <si>
    <t>REVESTIMENTOS INTERNOS EM PISO E PAREDE - TIPO (x13)</t>
  </si>
  <si>
    <t>REVESTIMENTOS INTERNOS EM PISO E PAREDE - ÁTICO</t>
  </si>
  <si>
    <t>REVESTIMENTOS INTERNOS EM PISO E PAREDE - DIFERENCIADO</t>
  </si>
  <si>
    <t>02.09.007.0001.0002</t>
  </si>
  <si>
    <t>02.09.001.0002.0004</t>
  </si>
  <si>
    <t>Revestimentos de piso em brita espessura 10cm</t>
  </si>
  <si>
    <t>02.09.001.0001.0004</t>
  </si>
  <si>
    <t>REVESTIMENTOS E ACABAMENTOS INTERNOS EM TETO - DIFERENCIADO</t>
  </si>
  <si>
    <t>REVESTIMENTOS E ACABAMENTOS INTERNOS EM TETO - TIPO (x13)</t>
  </si>
  <si>
    <t>REVESTIMENTOS E ACABAMENTOS INTERNOS EM TETO - ÁTICO</t>
  </si>
  <si>
    <t>SISTEMAS DE PINTURA INTERNA - DIFERENCIADO</t>
  </si>
  <si>
    <t>SISTEMAS DE PINTURA INTERNA - TIPO (x13)</t>
  </si>
  <si>
    <t>SISTEMAS DE PINTURA INTERNA - ÁTICO</t>
  </si>
  <si>
    <t>ESQUADRIAS - VIDROS E FERRAGENS - DIFERENCIADO</t>
  </si>
  <si>
    <t>ESQUADRIAS - VIDROS E FERRAGENS - TIPO (x13)</t>
  </si>
  <si>
    <t>ESQUADRIAS - VIDROS E FERRAGENS - ÁTICO</t>
  </si>
  <si>
    <t>Escada marinheiro com proteção</t>
  </si>
  <si>
    <t>Pergolados</t>
  </si>
  <si>
    <t>Pergolado de madeira com cobertura de vidro</t>
  </si>
  <si>
    <t>Pergolado de madeira</t>
  </si>
  <si>
    <t>Pastilha ceramica, aplicacao em paredes externas</t>
  </si>
  <si>
    <t>Revestimento ceramica imitando madeira aplicacao em paredes externas</t>
  </si>
  <si>
    <t>Aplicação de Pedra natural</t>
  </si>
  <si>
    <t>Mao de obra para aplicacao de pedra natural</t>
  </si>
  <si>
    <t>Mao de obra para colocacao e rejuntamento de revestimento ceramico em parede externa</t>
  </si>
  <si>
    <t>Mão de obra para aplicação de pastilha ceramica em paredes externas</t>
  </si>
  <si>
    <t>REVESTIMENTOS E ACABAMENTOS DE FACHADA - FRONTAL</t>
  </si>
  <si>
    <t>REVESTIMENTOS E ACABAMENTOS DE FACHADA - POSTERIOR</t>
  </si>
  <si>
    <t>REVESTIMENTOS E ACABAMENTOS DE FACHADA - DIREITA</t>
  </si>
  <si>
    <t>REVESTIMENTOS E ACABAMENTOS DE FACHADA - ESQUERDA</t>
  </si>
  <si>
    <t>Acabamentos Especiais em Fachada</t>
  </si>
  <si>
    <t>Valor de balancim incluso no serviço</t>
  </si>
  <si>
    <t>Revestimento Metro White 10x20cm - aplicacao em paredes externas</t>
  </si>
  <si>
    <t>02.13.006.0002.0004</t>
  </si>
  <si>
    <t>ACABAMENTOS EM PISO E PAREDE - DIFERENCIADO</t>
  </si>
  <si>
    <t>ACABAMENTOS EM PISO E PAREDE - TIPO (x13)</t>
  </si>
  <si>
    <t>ACABAMENTOS EM PISO E PAREDE - ÁTICO</t>
  </si>
  <si>
    <t>02.11.001.0004.0002</t>
  </si>
  <si>
    <t>02.11.001.0004.0003</t>
  </si>
  <si>
    <t>Rodape em porcelanato 10cm - placa 90x90cm</t>
  </si>
  <si>
    <t>Elementos vazados de concreto - 30x30x7cm</t>
  </si>
  <si>
    <t>Mao de obra empreitada vedacoes internas e externas - assentamento elementos vazados de vedação</t>
  </si>
  <si>
    <t>02.03.001.0005.0004</t>
  </si>
  <si>
    <t>02.03.001.0002.0002</t>
  </si>
  <si>
    <t>Passeio em de concreto estampado</t>
  </si>
  <si>
    <t>Fabricacao montagem e desmontagem de forma para baldrames em madeira serrada</t>
  </si>
  <si>
    <t>Contrapiso armado - espessura 10cm - acabamento polido</t>
  </si>
  <si>
    <t>Estrutura de exaustão</t>
  </si>
  <si>
    <t>Projeto de Terraplanagem</t>
  </si>
  <si>
    <t>01.01.001.0002.0004</t>
  </si>
  <si>
    <t>01.01.001.0002.0005</t>
  </si>
  <si>
    <t>01.01.001.0002.0006</t>
  </si>
  <si>
    <t>01.01.001.0002.0008</t>
  </si>
  <si>
    <t>01.01.001.0002.0009</t>
  </si>
  <si>
    <t>01.01.001.0002.0010</t>
  </si>
  <si>
    <t>Projeto de Drenagem</t>
  </si>
  <si>
    <t>Projeto de climatização</t>
  </si>
  <si>
    <t>Projeto de piscina</t>
  </si>
  <si>
    <t>Projeto de paisagismo</t>
  </si>
  <si>
    <t>01.01.001.0002.0011</t>
  </si>
  <si>
    <t>01.01.001.0002.0013</t>
  </si>
  <si>
    <t>01.01.001.0002.0014</t>
  </si>
  <si>
    <t>Modelagem BIM arquitetônica</t>
  </si>
  <si>
    <t>Taxas de Aprovação de Projetos (Hidrossanitário)</t>
  </si>
  <si>
    <t>Taxa de Aprovação de Projetos (Elétrico)</t>
  </si>
  <si>
    <t>01.01.002.0001.0008</t>
  </si>
  <si>
    <t>Número de funcionários</t>
  </si>
  <si>
    <t>Produtividade média (h/m2)</t>
  </si>
  <si>
    <t>Área construída</t>
  </si>
  <si>
    <t>A.C/prazo</t>
  </si>
  <si>
    <t>Prazo da obra</t>
  </si>
  <si>
    <t>meses</t>
  </si>
  <si>
    <t>Pm</t>
  </si>
  <si>
    <t xml:space="preserve">h/m2 </t>
  </si>
  <si>
    <t>Instalações de canteiro</t>
  </si>
  <si>
    <t>NF</t>
  </si>
  <si>
    <t>funcionários</t>
  </si>
  <si>
    <t>Pavimentos</t>
  </si>
  <si>
    <t>Equipe administrativa</t>
  </si>
  <si>
    <t>Produtividade média</t>
  </si>
  <si>
    <t>m²/mês</t>
  </si>
  <si>
    <t>Barracão interno</t>
  </si>
  <si>
    <t>Externo</t>
  </si>
  <si>
    <t>Numero de funcionários</t>
  </si>
  <si>
    <t>Pontos de água e esgoto</t>
  </si>
  <si>
    <t>20 funcionários/ponto</t>
  </si>
  <si>
    <t>Bebedouro</t>
  </si>
  <si>
    <t>1 / 5 pav.</t>
  </si>
  <si>
    <t>Área refeitório</t>
  </si>
  <si>
    <t>m²/funcionários</t>
  </si>
  <si>
    <t>Ferramentas</t>
  </si>
  <si>
    <t>R$</t>
  </si>
  <si>
    <t>800,00/func.</t>
  </si>
  <si>
    <t>m²</t>
  </si>
  <si>
    <t>EPI</t>
  </si>
  <si>
    <t>500,00/func.</t>
  </si>
  <si>
    <t xml:space="preserve">Banheiro </t>
  </si>
  <si>
    <t>1/20 func</t>
  </si>
  <si>
    <t>Área de vestiário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</si>
  <si>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</si>
  <si>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</si>
  <si>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</si>
  <si>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</si>
  <si>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</si>
  <si>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</si>
  <si>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</si>
  <si>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</si>
  <si>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</si>
  <si>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Área sanitários</t>
  </si>
  <si>
    <t>Impressora</t>
  </si>
  <si>
    <t>Roteador</t>
  </si>
  <si>
    <t>área lavatório</t>
  </si>
  <si>
    <t>Área de chuveiros</t>
  </si>
  <si>
    <t>Escritório</t>
  </si>
  <si>
    <t>m²/pessoa</t>
  </si>
  <si>
    <t xml:space="preserve">Almoxarifado </t>
  </si>
  <si>
    <t>funcionários/ponto</t>
  </si>
  <si>
    <t>pontos</t>
  </si>
  <si>
    <t xml:space="preserve">a cada 5 pav. </t>
  </si>
  <si>
    <t xml:space="preserve">Total </t>
  </si>
  <si>
    <t>bebedouros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</si>
  <si>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</si>
  <si>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</si>
  <si>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</si>
  <si>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</si>
  <si>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</si>
  <si>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Repetições de pavimentos**</t>
  </si>
  <si>
    <t>Proteção de periferia pós desforma torre</t>
  </si>
  <si>
    <t>Quantidade de elevadores</t>
  </si>
  <si>
    <t>Guarda - corpo de vãos</t>
  </si>
  <si>
    <t>Perímetro de vãos</t>
  </si>
  <si>
    <t>Varal de segurança com cabo de aço</t>
  </si>
  <si>
    <t>Consideração de 2 serventes e 1 pedreiro (84% de encargos)</t>
  </si>
  <si>
    <t>01.02.002.0001.0006</t>
  </si>
  <si>
    <t>Auxiliar de Engenharia</t>
  </si>
  <si>
    <t>Despesas com vizinhos</t>
  </si>
  <si>
    <t>Carrinho Plataforma - Aquisição</t>
  </si>
  <si>
    <t>Grua ascencional - Locação</t>
  </si>
  <si>
    <t>Mobilização e desmobilização - Elevador cremalheira</t>
  </si>
  <si>
    <t>Montagem e desmontagem - Elevador cremalheira</t>
  </si>
  <si>
    <t>Mobilização e desmobilização - Grua</t>
  </si>
  <si>
    <t>Montagem e desmontagem - Grua</t>
  </si>
  <si>
    <t>Ascenção - Grua</t>
  </si>
  <si>
    <t>Consultorias técnicas diversas</t>
  </si>
  <si>
    <t>01.01.001.0003.0005</t>
  </si>
  <si>
    <t>01.01.002.0001.0009</t>
  </si>
  <si>
    <t>EPIs</t>
  </si>
  <si>
    <t>01.02.002.0001.0007</t>
  </si>
  <si>
    <t>Guincheiro</t>
  </si>
  <si>
    <t>01.02.002.0003.0007</t>
  </si>
  <si>
    <t>01.02.002.0003.0008</t>
  </si>
  <si>
    <t>01.02.002.0003.0009</t>
  </si>
  <si>
    <t>01.02.002.0003.0014</t>
  </si>
  <si>
    <t>01.02.002.0003.0018</t>
  </si>
  <si>
    <t>01.02.002.0003.0019</t>
  </si>
  <si>
    <t>01.02.002.0003.0020</t>
  </si>
  <si>
    <t>Esgotamento sanitario temporario</t>
  </si>
  <si>
    <t>Instalacoes provisorias de rede de água</t>
  </si>
  <si>
    <t>Instalacoes provisorias de rede elétrica</t>
  </si>
  <si>
    <t>01.02.003.0001.0002</t>
  </si>
  <si>
    <t>01.02.003.0001.0003</t>
  </si>
  <si>
    <t>01.02.003.0001.0005</t>
  </si>
  <si>
    <t>01.02.003.0001.0007</t>
  </si>
  <si>
    <t>01.02.003.0001.0008</t>
  </si>
  <si>
    <t>01.02.003.0001.0010</t>
  </si>
  <si>
    <t>02.01.001.0001.0004</t>
  </si>
  <si>
    <t>02.01.001.0002.0001</t>
  </si>
  <si>
    <t>02.01.001.0002.0002</t>
  </si>
  <si>
    <t>02.01.001.0002.0004</t>
  </si>
  <si>
    <t>02.01.001.0002.0006</t>
  </si>
  <si>
    <t>02.01.001.0003</t>
  </si>
  <si>
    <t>02.01.001.0003.0001</t>
  </si>
  <si>
    <t>Lastro de concreto magro-aplicado em blocos-espessura 5cm</t>
  </si>
  <si>
    <t>Concreto usinado bombeavel para blocos e baldrames Fck 40MPa com brita 0 e 1 SLUMP = 12 +/- 2 incluindo servico de bombeamento</t>
  </si>
  <si>
    <t>02.01.002.0006.0004</t>
  </si>
  <si>
    <t>Poços de recalque</t>
  </si>
  <si>
    <t>Piso de concreto polido com acabamento vassourado</t>
  </si>
  <si>
    <t>02.02.003.0003.0005</t>
  </si>
  <si>
    <t>SUPRAESTRUTURA - GARAGEM - G3</t>
  </si>
  <si>
    <t>02.02.004.0003.0005</t>
  </si>
  <si>
    <t>SUPRAESTRUTURA - TIPO (x13)</t>
  </si>
  <si>
    <t>SUPRAESTRUTURA - ÁTICO</t>
  </si>
  <si>
    <t>02.03.003.0002.0002</t>
  </si>
  <si>
    <t>02.03.003.0005.0004</t>
  </si>
  <si>
    <t>02.03.005.0002.0002</t>
  </si>
  <si>
    <t>02.03.005.0005.0004</t>
  </si>
  <si>
    <t>02.03.007.0002.0003</t>
  </si>
  <si>
    <t>02.03.007.0005.0004</t>
  </si>
  <si>
    <t>ALVENARIA | VEDAÇÕES | DIVISÓRIAS - TIPO (x13)</t>
  </si>
  <si>
    <t>Fachada</t>
  </si>
  <si>
    <t>Prumada Eletrica</t>
  </si>
  <si>
    <t>02.04.001.0006.0001</t>
  </si>
  <si>
    <t>02.04.001.0007.0002</t>
  </si>
  <si>
    <t>02.04.001.0008</t>
  </si>
  <si>
    <t>02.04.001.0008.0001</t>
  </si>
  <si>
    <t>02.04.001.0009</t>
  </si>
  <si>
    <t>02.04.001.0009.0001</t>
  </si>
  <si>
    <t>SISTEMAS E INSTALAÇÕES ELÉTRICAS - GARAGEM - G1</t>
  </si>
  <si>
    <t>SISTEMAS E INSTALAÇÕES ELÉTRICAS - GARAGEM - G2</t>
  </si>
  <si>
    <t>SISTEMAS E INSTALAÇÕES ELÉTRICAS - GARAGEM - G3</t>
  </si>
  <si>
    <t>SISTEMAS E INSTALAÇÕES ELÉTRICAS - DIFERENCIADO</t>
  </si>
  <si>
    <t>SISTEMAS E INSTALAÇÕES ELÉTRICAS - TIPO (x13)</t>
  </si>
  <si>
    <t>SISTEMAS E INSTALAÇÕES ELÉTRICAS - ÁTICO</t>
  </si>
  <si>
    <t>02.04.008</t>
  </si>
  <si>
    <t>SISTEMAS E INSTALAÇÕES ELÉTRICAS - BARRILETE - CASA DE MÁQUINAS</t>
  </si>
  <si>
    <t>02.04.008.0001</t>
  </si>
  <si>
    <t>02.04.008.0001.0001</t>
  </si>
  <si>
    <t>02.04.008.0002</t>
  </si>
  <si>
    <t>02.04.008.0002.0001</t>
  </si>
  <si>
    <t>02.04.008.0003</t>
  </si>
  <si>
    <t>02.04.008.0003.0001</t>
  </si>
  <si>
    <t>02.04.008.0004</t>
  </si>
  <si>
    <t>02.04.008.0004.0001</t>
  </si>
  <si>
    <t>02.04.008.0005</t>
  </si>
  <si>
    <t>02.04.008.0005.0001</t>
  </si>
  <si>
    <t>02.04.008.0006</t>
  </si>
  <si>
    <t>02.04.008.0006.0001</t>
  </si>
  <si>
    <t>SISTEMAS E INSTALAÇÕES HIDROSSANITÁRIAS | DRENAGEM - GARAGEM - G1</t>
  </si>
  <si>
    <t>02.05.002.0001</t>
  </si>
  <si>
    <t>02.05.002.0001.0001</t>
  </si>
  <si>
    <t>SISTEMAS E INSTALAÇÕES HIDROSSANITÁRIAS | DRENAGEM - GARAGEM - G2</t>
  </si>
  <si>
    <t>SISTEMAS E INSTALAÇÕES HIDROSSANITÁRIAS | DRENAGEM - GARAGEM - G3</t>
  </si>
  <si>
    <t>SISTEMAS E INSTALAÇÕES HIDROSSANITÁRIAS | DRENAGEM - DIFERENCIADO</t>
  </si>
  <si>
    <t>SISTEMAS E INSTALAÇÕES HIDROSSANITÁRIAS | DRENAGEM - TIPO  (x13)</t>
  </si>
  <si>
    <t>SISTEMAS E INSTALAÇÕES HIDROSSANITÁRIAS | DRENAGEM - ÁTICO</t>
  </si>
  <si>
    <t>02.05.007.0001</t>
  </si>
  <si>
    <t>02.05.007.0001.0001</t>
  </si>
  <si>
    <t>02.05.007.0002</t>
  </si>
  <si>
    <t>02.05.007.0002.0001</t>
  </si>
  <si>
    <t>02.05.007.0004</t>
  </si>
  <si>
    <t>02.05.007.0004.0001</t>
  </si>
  <si>
    <t>02.05.007.0005</t>
  </si>
  <si>
    <t>02.05.007.0005.0001</t>
  </si>
  <si>
    <t>02.05.008</t>
  </si>
  <si>
    <t>SISTEMAS E INSTALAÇÕES HIDROSSANITÁRIAS | DRENAGEM - BARRILETE - CASA DE MÁQUINAS</t>
  </si>
  <si>
    <t>02.05.008.0001</t>
  </si>
  <si>
    <t>02.05.008.0001.0001</t>
  </si>
  <si>
    <t>02.05.008.0002</t>
  </si>
  <si>
    <t>02.05.008.0002.0001</t>
  </si>
  <si>
    <t>02.05.008.0003</t>
  </si>
  <si>
    <t>02.05.008.0003.0001</t>
  </si>
  <si>
    <t>02.05.008.0004</t>
  </si>
  <si>
    <t>02.05.008.0004.0001</t>
  </si>
  <si>
    <t>02.05.009</t>
  </si>
  <si>
    <t>SISTEMAS E INSTALAÇÕES HIDROSSANITÁRIAS | DRENAGEM - CAIXA DÁGUA</t>
  </si>
  <si>
    <t>02.05.009.0003</t>
  </si>
  <si>
    <t>02.05.009.0003.0001</t>
  </si>
  <si>
    <t>02.05.009.0004</t>
  </si>
  <si>
    <t>02.05.009.0004.0001</t>
  </si>
  <si>
    <t>INSTALAÇÕES PREVENTIVAS | GLP - GARAGEM - G1</t>
  </si>
  <si>
    <t>INSTALAÇÕES PREVENTIVAS | GLP - GARAGEM - G2</t>
  </si>
  <si>
    <t>INSTALAÇÕES PREVENTIVAS | GLP - GARAGEM - G3</t>
  </si>
  <si>
    <t>INSTALAÇÕES PREVENTIVAS | GLP - DIFERENCIADO</t>
  </si>
  <si>
    <t>INSTALAÇÕES PREVENTIVAS | GLP - ÁTICO</t>
  </si>
  <si>
    <t>02.06.007.0001</t>
  </si>
  <si>
    <t>02.06.007.0001.0001</t>
  </si>
  <si>
    <t>02.06.009</t>
  </si>
  <si>
    <t>INSTALAÇÕES PREVENTIVAS | GLP - BARRILETE - CASA DE MÁQUINAS</t>
  </si>
  <si>
    <t>02.06.009.0002</t>
  </si>
  <si>
    <t>02.06.009.0002.0001</t>
  </si>
  <si>
    <t>02.06.009.0003</t>
  </si>
  <si>
    <t>02.06.009.0003.0001</t>
  </si>
  <si>
    <t>02.06.012</t>
  </si>
  <si>
    <t>02.06.012.0001</t>
  </si>
  <si>
    <t>02.06.012.0001.0001</t>
  </si>
  <si>
    <t>02.07.007</t>
  </si>
  <si>
    <t>CLIMATIZAÇÃO - DIFERENCIADO</t>
  </si>
  <si>
    <t>02.07.007.0001</t>
  </si>
  <si>
    <t>02.07.007.0001.0001</t>
  </si>
  <si>
    <t>02.07.007.0001.0002</t>
  </si>
  <si>
    <t>02.07.008</t>
  </si>
  <si>
    <t>02.07.008.0001</t>
  </si>
  <si>
    <t>02.07.008.0001.0001</t>
  </si>
  <si>
    <t>02.07.008.0001.0002</t>
  </si>
  <si>
    <t>02.07.009</t>
  </si>
  <si>
    <t>CLIMATIZAÇÃO - ÁTICO</t>
  </si>
  <si>
    <t>02.07.009.0001</t>
  </si>
  <si>
    <t>02.07.009.0001.0001</t>
  </si>
  <si>
    <t>02.07.009.0001.0002</t>
  </si>
  <si>
    <t>02.07.009.0001.0003</t>
  </si>
  <si>
    <t>Equipamento de ar-condicionado</t>
  </si>
  <si>
    <t>02.08.001.0006</t>
  </si>
  <si>
    <t>02.08.001.0006.0001</t>
  </si>
  <si>
    <t>02.08.001.0007</t>
  </si>
  <si>
    <t>02.08.001.0007.0001</t>
  </si>
  <si>
    <t>Protecao mecanica de superficie com argamassa estabilizada E=5cm</t>
  </si>
  <si>
    <t>02.08.001.0008</t>
  </si>
  <si>
    <t>02.08.001.0008.0003</t>
  </si>
  <si>
    <t>02.08.001.0009</t>
  </si>
  <si>
    <t>02.08.001.0009.0001</t>
  </si>
  <si>
    <t>02.08.001.0009.0002</t>
  </si>
  <si>
    <t>02.08.001.0009.0003</t>
  </si>
  <si>
    <t>02.08.001.0009.0004</t>
  </si>
  <si>
    <t>02.08.001.0009.0005</t>
  </si>
  <si>
    <t>02.08.001.0009.0006</t>
  </si>
  <si>
    <t>IMPERMEABILIZAÇÃO E TRATAMENTOS - GARAGEM - G1</t>
  </si>
  <si>
    <t>IMPERMEABILIZAÇÃO E TRATAMENTOS - GARAGEM - G2</t>
  </si>
  <si>
    <t>IMPERMEABILIZAÇÃO E TRATAMENTOS - GARAGEM - G3</t>
  </si>
  <si>
    <t>02.08.005.0002</t>
  </si>
  <si>
    <t>02.08.005.0002.0001</t>
  </si>
  <si>
    <t>02.08.005.0005</t>
  </si>
  <si>
    <t>02.08.005.0005.0001</t>
  </si>
  <si>
    <t>02.08.005.0007.0002</t>
  </si>
  <si>
    <t>02.08.005.0007.0006</t>
  </si>
  <si>
    <t>02.08.007.0003</t>
  </si>
  <si>
    <t>02.08.007.0003.0001</t>
  </si>
  <si>
    <t>02.08.007.0005</t>
  </si>
  <si>
    <t>02.08.007.0005.0001</t>
  </si>
  <si>
    <t>02.08.007.0009</t>
  </si>
  <si>
    <t>02.08.007.0009.0001</t>
  </si>
  <si>
    <t>02.08.007.0009.0002</t>
  </si>
  <si>
    <t>02.08.007.0009.0003</t>
  </si>
  <si>
    <t>02.08.007.0009.0004</t>
  </si>
  <si>
    <t>02.08.007.0009.0005</t>
  </si>
  <si>
    <t>02.08.007.0009.0006</t>
  </si>
  <si>
    <t>IMPERMEABILIZAÇÃO E TRATAMENTOS - BARRILETE - CASA DE MÁQUINAS</t>
  </si>
  <si>
    <t>02.08.008.0003</t>
  </si>
  <si>
    <t>02.08.008.0003.0001</t>
  </si>
  <si>
    <t>02.08.008.0006.0005</t>
  </si>
  <si>
    <t>02.08.009</t>
  </si>
  <si>
    <t>02.08.009.0001</t>
  </si>
  <si>
    <t>02.08.009.0001.0001</t>
  </si>
  <si>
    <t>02.08.009.0002</t>
  </si>
  <si>
    <t>02.08.009.0002.0001</t>
  </si>
  <si>
    <t>02.08.009.0004</t>
  </si>
  <si>
    <t>02.08.009.0004.0001</t>
  </si>
  <si>
    <t>02.08.009.0005</t>
  </si>
  <si>
    <t>02.08.009.0005.0001</t>
  </si>
  <si>
    <t>02.08.009.0005.0002</t>
  </si>
  <si>
    <t>02.08.009.0005.0004</t>
  </si>
  <si>
    <t>02.09.001.0001.0005</t>
  </si>
  <si>
    <t>02.09.001.0003.0006</t>
  </si>
  <si>
    <t>REVESTIMENTOS INTERNOS EM PISO E PAREDE - GARAGEM - G1</t>
  </si>
  <si>
    <t>02.09.002.0001.0002</t>
  </si>
  <si>
    <t>02.09.002.0002.0005</t>
  </si>
  <si>
    <t>02.09.002.0003.0002</t>
  </si>
  <si>
    <t>02.09.002.0003.0005</t>
  </si>
  <si>
    <t>REVESTIMENTOS INTERNOS EM PISO E PAREDE - GARAGEM - G2</t>
  </si>
  <si>
    <t>02.09.003.0001.0003</t>
  </si>
  <si>
    <t>02.09.003.0002.0004</t>
  </si>
  <si>
    <t>02.09.003.0003.0004</t>
  </si>
  <si>
    <t>02.09.003.0003.0005</t>
  </si>
  <si>
    <t>REVESTIMENTOS INTERNOS EM PISO E PAREDE - GARAGEM - G3</t>
  </si>
  <si>
    <t>02.09.004.0001.0003</t>
  </si>
  <si>
    <t>02.09.004.0002.0004</t>
  </si>
  <si>
    <t>02.09.004.0003.0004</t>
  </si>
  <si>
    <t>02.09.004.0003.0005</t>
  </si>
  <si>
    <t>Contrapiso comum em argamassa estabilizada nao aderido espessura 8cm</t>
  </si>
  <si>
    <t>02.09.005.0001.0003</t>
  </si>
  <si>
    <t>02.09.005.0004.0004</t>
  </si>
  <si>
    <t>02.09.006.0004.0004</t>
  </si>
  <si>
    <t>02.09.007.0001.0003</t>
  </si>
  <si>
    <t>Contrapiso comum em argamassa estabilizada nao aderido espessura 7cm</t>
  </si>
  <si>
    <t>02.09.007.0001.0004</t>
  </si>
  <si>
    <t>Contrapiso comum em argamassa estabilizada nao aderido espessura 15cm</t>
  </si>
  <si>
    <t>02.09.007.0001.0005</t>
  </si>
  <si>
    <t>02.09.007.0004.0004</t>
  </si>
  <si>
    <t>02.09.007.0004.0005</t>
  </si>
  <si>
    <t>REVESTIMENTOS INTERNOS EM PISO E PAREDE - BARRILETE - CASA DE MÁQUINAS</t>
  </si>
  <si>
    <t>02.09.008.0001.0002</t>
  </si>
  <si>
    <t>02.09.008.0001.0003</t>
  </si>
  <si>
    <t>02.09.008.0001.0004</t>
  </si>
  <si>
    <t>02.09.008.0004.0003</t>
  </si>
  <si>
    <t>02.09.009</t>
  </si>
  <si>
    <t>02.09.009.0001</t>
  </si>
  <si>
    <t>02.09.009.0001.0001</t>
  </si>
  <si>
    <t>02.09.009.0002</t>
  </si>
  <si>
    <t>02.09.009.0002.0001</t>
  </si>
  <si>
    <t>02.09.009.0002.0002</t>
  </si>
  <si>
    <t>02.09.009.0002.0003</t>
  </si>
  <si>
    <t>02.09.009.0003</t>
  </si>
  <si>
    <t>02.09.009.0003.0001</t>
  </si>
  <si>
    <t>02.09.009.0003.0002</t>
  </si>
  <si>
    <t>REVESTIMENTOS E ACABAMENTOS INTERNOS EM TETO - GARAGEM - G1</t>
  </si>
  <si>
    <t>02.10.002.0002</t>
  </si>
  <si>
    <t>02.10.002.0002.0001</t>
  </si>
  <si>
    <t>02.10.002.0002.0002</t>
  </si>
  <si>
    <t>REVESTIMENTOS E ACABAMENTOS INTERNOS EM TETO - GARAGEM - G2</t>
  </si>
  <si>
    <t>02.10.003.0002</t>
  </si>
  <si>
    <t>02.10.003.0002.0001</t>
  </si>
  <si>
    <t>02.10.003.0002.0002</t>
  </si>
  <si>
    <t>REVESTIMENTOS E ACABAMENTOS INTERNOS EM TETO - GARAGEM - G3</t>
  </si>
  <si>
    <t>02.10.004.0004</t>
  </si>
  <si>
    <t>Acabamento especiais</t>
  </si>
  <si>
    <t>02.10.004.0004.0001</t>
  </si>
  <si>
    <t>Forro de madeira - material e mao de obra</t>
  </si>
  <si>
    <t>02.10.004.0005</t>
  </si>
  <si>
    <t>02.10.004.0005.0001</t>
  </si>
  <si>
    <t>02.10.005.0004</t>
  </si>
  <si>
    <t>02.10.005.0004.0004</t>
  </si>
  <si>
    <t>02.10.005.0005</t>
  </si>
  <si>
    <t>02.10.005.0005.0001</t>
  </si>
  <si>
    <t>02.10.006.0002</t>
  </si>
  <si>
    <t>02.10.006.0002.0001</t>
  </si>
  <si>
    <t>02.10.006.0002.0002</t>
  </si>
  <si>
    <t>02.10.006.0003.0003</t>
  </si>
  <si>
    <t>02.10.007.0002</t>
  </si>
  <si>
    <t>02.10.007.0002.0001</t>
  </si>
  <si>
    <t>02.10.007.0002.0002</t>
  </si>
  <si>
    <t>REVESTIMENTOS E ACABAMENTOS INTERNOS EM TETO - BARRILETE - CASA DE MÁQUINAS</t>
  </si>
  <si>
    <t>02.10.009</t>
  </si>
  <si>
    <t>02.10.009.0001</t>
  </si>
  <si>
    <t>02.10.009.0001.0001</t>
  </si>
  <si>
    <t>02.10.009.0002</t>
  </si>
  <si>
    <t>02.10.009.0002.0001</t>
  </si>
  <si>
    <t>02.11.001.0001.0008</t>
  </si>
  <si>
    <t>02.11.001.0002.0006</t>
  </si>
  <si>
    <t>Revestimento ceramico em parede placa 30x60cm</t>
  </si>
  <si>
    <t>02.11.001.0004.0004</t>
  </si>
  <si>
    <t>Revestimento ceramica imitando madeira aplicacao em paredes internas</t>
  </si>
  <si>
    <t>02.11.001.0008.0011</t>
  </si>
  <si>
    <t>ACABAMENTOS EM PISO E PAREDE - GARAGEM - G1</t>
  </si>
  <si>
    <t>02.11.002.0003</t>
  </si>
  <si>
    <t>02.11.002.0003.0001</t>
  </si>
  <si>
    <t>02.11.002.0007.0004</t>
  </si>
  <si>
    <t>ACABAMENTOS EM PISO E PAREDE - GARAGEM - G2</t>
  </si>
  <si>
    <t>02.11.003.0003</t>
  </si>
  <si>
    <t>02.11.003.0003.0001</t>
  </si>
  <si>
    <t>02.11.003.0007.0005</t>
  </si>
  <si>
    <t>ACABAMENTOS EM PISO E PAREDE - GARAGEM - G3</t>
  </si>
  <si>
    <t>02.11.004.0001.0007</t>
  </si>
  <si>
    <t>02.11.004.0007.0008</t>
  </si>
  <si>
    <t>02.11.005.0001.0003</t>
  </si>
  <si>
    <t>02.11.005.0004.0004</t>
  </si>
  <si>
    <t>02.11.005.0007.0011</t>
  </si>
  <si>
    <t>02.11.006.0001.0003</t>
  </si>
  <si>
    <t>02.11.006.0006.0004</t>
  </si>
  <si>
    <t>02.11.006.0007.0011</t>
  </si>
  <si>
    <t>02.11.007.0001</t>
  </si>
  <si>
    <t>02.11.007.0001.0001</t>
  </si>
  <si>
    <t>02.11.007.0001.0006</t>
  </si>
  <si>
    <t>02.11.007.0001.0007</t>
  </si>
  <si>
    <t>Revestimento interno de piso vinilico aplicacao em areas comuns</t>
  </si>
  <si>
    <t>02.11.007.0001.0008</t>
  </si>
  <si>
    <t>Revestimento interno de piso porcelanato placa 90x90cm - sauna</t>
  </si>
  <si>
    <t>02.11.007.0001.0009</t>
  </si>
  <si>
    <t>Revestimento externo de piso porcelanato placa 90x90cm - aplicacao em areas de lazer descobertas</t>
  </si>
  <si>
    <t>02.11.007.0002</t>
  </si>
  <si>
    <t>02.11.007.0002.0001</t>
  </si>
  <si>
    <t>02.11.007.0002.0002</t>
  </si>
  <si>
    <t>02.11.007.0004</t>
  </si>
  <si>
    <t>02.11.007.0004.0002</t>
  </si>
  <si>
    <t>02.11.007.0004.0003</t>
  </si>
  <si>
    <t>02.11.007.0004.0005</t>
  </si>
  <si>
    <t>02.11.007.0007.0001</t>
  </si>
  <si>
    <t>02.11.007.0007.0004</t>
  </si>
  <si>
    <t>02.11.007.0007.0005</t>
  </si>
  <si>
    <t>Mao de obra para colocacao e rejuntamento de pastilha ceramica</t>
  </si>
  <si>
    <t>02.11.007.0007.0006</t>
  </si>
  <si>
    <t>02.11.007.0007.0007</t>
  </si>
  <si>
    <t>02.11.007.0007.0008</t>
  </si>
  <si>
    <t>02.11.007.0007.0009</t>
  </si>
  <si>
    <t>ACABAMENTOS EM PISO E PAREDE - BARRILETE - CASA DE MÁQUINAS</t>
  </si>
  <si>
    <t>02.11.008.0003</t>
  </si>
  <si>
    <t>02.11.008.0003.0001</t>
  </si>
  <si>
    <t>02.11.008.0007.0004</t>
  </si>
  <si>
    <t>02.11.009</t>
  </si>
  <si>
    <t>02.11.009.0002</t>
  </si>
  <si>
    <t>02.11.009.0002.0001</t>
  </si>
  <si>
    <t>02.11.009.0003</t>
  </si>
  <si>
    <t>02.11.009.0003.0001</t>
  </si>
  <si>
    <t xml:space="preserve"> Modelo base de valor Formigres Le Troia 45x45cm.</t>
  </si>
  <si>
    <t xml:space="preserve"> Modelo base de valor Via Durini off White 90x90cm Portobello</t>
  </si>
  <si>
    <t>Largura de soleira de 20cm.</t>
  </si>
  <si>
    <t xml:space="preserve"> Modelo base de valor Portobelo Cetim Bianco 30x60</t>
  </si>
  <si>
    <t>Modelo base de valor Formigres Le Troia 45x45cm.</t>
  </si>
  <si>
    <t>Modelo base de valor Nord Ris Natural portobelo</t>
  </si>
  <si>
    <t xml:space="preserve"> Modelo base de valor Nord Ris Natural portobelo</t>
  </si>
  <si>
    <t>Modelo base de valor Portobelo Cetim Bianco 30x60</t>
  </si>
  <si>
    <t>SISTEMAS DE PINTURA INTERNA - GARAGEM - G1</t>
  </si>
  <si>
    <t>02.12.002.0003.0003</t>
  </si>
  <si>
    <t>02.12.002.0003.0004</t>
  </si>
  <si>
    <t>02.12.002.0004.0011</t>
  </si>
  <si>
    <t>SISTEMAS DE PINTURA INTERNA - GARAGEM - G2</t>
  </si>
  <si>
    <t>02.12.003.0003.0004</t>
  </si>
  <si>
    <t>02.12.003.0003.0005</t>
  </si>
  <si>
    <t>02.12.003.0004.0002</t>
  </si>
  <si>
    <t>02.12.003.0004.0003</t>
  </si>
  <si>
    <t>SISTEMAS DE PINTURA INTERNA - GARAGEM - G3</t>
  </si>
  <si>
    <t>02.12.004.0001.0002</t>
  </si>
  <si>
    <t>02.12.004.0002.0002</t>
  </si>
  <si>
    <t>02.12.004.0003.0003</t>
  </si>
  <si>
    <t>02.12.004.0003.0006</t>
  </si>
  <si>
    <t>02.12.004.0004.0002</t>
  </si>
  <si>
    <t>02.12.004.0004.0008</t>
  </si>
  <si>
    <t>02.12.007.0002.0004</t>
  </si>
  <si>
    <t>02.12.007.0002.0005</t>
  </si>
  <si>
    <t>02.12.007.0002.0006</t>
  </si>
  <si>
    <t>02.12.007.0003.0003</t>
  </si>
  <si>
    <t>02.12.007.0003.0004</t>
  </si>
  <si>
    <t>02.12.007.0004.0006</t>
  </si>
  <si>
    <t>02.12.007.0004.0007</t>
  </si>
  <si>
    <t>SISTEMAS DE PINTURA INTERNA - BARRILETE - CASA DE MÁQUINAS</t>
  </si>
  <si>
    <t>02.12.008.0001</t>
  </si>
  <si>
    <t>02.12.008.0001.0001</t>
  </si>
  <si>
    <t>02.12.008.0004.0005</t>
  </si>
  <si>
    <t>02.12.009</t>
  </si>
  <si>
    <t>02.12.009.0001</t>
  </si>
  <si>
    <t>02.12.009.0001.0001</t>
  </si>
  <si>
    <t>02.12.009.0001.0002</t>
  </si>
  <si>
    <t>02.12.009.0001.0003</t>
  </si>
  <si>
    <t>02.12.009.0002</t>
  </si>
  <si>
    <t>02.12.009.0002.0001</t>
  </si>
  <si>
    <t>02.12.009.0002.0002</t>
  </si>
  <si>
    <t>02.12.009.0003</t>
  </si>
  <si>
    <t>02.12.009.0003.0001</t>
  </si>
  <si>
    <t>02.12.009.0003.0002</t>
  </si>
  <si>
    <t>02.12.009.0003.0003</t>
  </si>
  <si>
    <t>Aplicação em fossos e dutos</t>
  </si>
  <si>
    <t>Aplicação em faixas de garagem - parede</t>
  </si>
  <si>
    <t>Regiões que recebem estucamento</t>
  </si>
  <si>
    <t>02.13.001.0002.0004</t>
  </si>
  <si>
    <t>ESQUADRIAS - VIDROS E FERRAGENS - GARAGEM - G1</t>
  </si>
  <si>
    <t>ESQUADRIAS - VIDROS E FERRAGENS - GARAGEM - G2</t>
  </si>
  <si>
    <t>ESQUADRIAS - VIDROS E FERRAGENS - GARAGEM - G3</t>
  </si>
  <si>
    <t>02.13.005.0001.0006</t>
  </si>
  <si>
    <t>Gradil de aluminio</t>
  </si>
  <si>
    <t>02.13.005.0002.0004</t>
  </si>
  <si>
    <t>02.13.006.0001.0005</t>
  </si>
  <si>
    <t>02.13.007.0001.0004</t>
  </si>
  <si>
    <t>02.13.007.0002</t>
  </si>
  <si>
    <t>02.13.007.0002.0001</t>
  </si>
  <si>
    <t>02.13.007.0002.0002</t>
  </si>
  <si>
    <t>02.13.007.0002.0003</t>
  </si>
  <si>
    <t>02.13.007.0002.0004</t>
  </si>
  <si>
    <t>02.13.007.0002.0005</t>
  </si>
  <si>
    <t>Porta de madeira de correr em trilho lateral 80x210cm fixacao com espuma expansiva  fornecimento e instalacao</t>
  </si>
  <si>
    <t>02.13.007.0003</t>
  </si>
  <si>
    <t>02.13.007.0003.0001</t>
  </si>
  <si>
    <t>02.13.007.0003.0002</t>
  </si>
  <si>
    <t>02.13.007.0005.0002</t>
  </si>
  <si>
    <t>ESQUADRIAS - VIDROS E FERRAGENS - BARRILETE - CASA DE MÁQUINAS</t>
  </si>
  <si>
    <t>02.13.008.0001.0003</t>
  </si>
  <si>
    <t>02.13.008.0001.0005</t>
  </si>
  <si>
    <t>02.13.009</t>
  </si>
  <si>
    <t>02.13.009.0001</t>
  </si>
  <si>
    <t>02.13.009.0001.0001</t>
  </si>
  <si>
    <t>02.13.009.0001.0002</t>
  </si>
  <si>
    <t>02.13.009.0001.0004</t>
  </si>
  <si>
    <t>Alçapão de alumínio 90x90cm</t>
  </si>
  <si>
    <t>02.13.009.0002</t>
  </si>
  <si>
    <t>02.13.009.0002.0001</t>
  </si>
  <si>
    <t>02.14.001.0001.0002</t>
  </si>
  <si>
    <t>Pintura com tinta latex acrilica branca acabamento fosco em paredes externas 2 demaos</t>
  </si>
  <si>
    <t>02.15.001.0003</t>
  </si>
  <si>
    <t>02.15.001.0003.0001</t>
  </si>
  <si>
    <t>02.15.001.0003.0002</t>
  </si>
  <si>
    <t>02.15.001.0005.0006</t>
  </si>
  <si>
    <t>02.15.001.0005.0007</t>
  </si>
  <si>
    <t>02.15.002.0002.0005</t>
  </si>
  <si>
    <t>Pintura com tinta latex acrilica acabamento fosco em paredes externas 2 demaos</t>
  </si>
  <si>
    <t>02.15.002.0003</t>
  </si>
  <si>
    <t>02.15.002.0003.0001</t>
  </si>
  <si>
    <t>02.15.002.0005.0006</t>
  </si>
  <si>
    <t>02.15.003.0002.0005</t>
  </si>
  <si>
    <t>02.15.003.0003</t>
  </si>
  <si>
    <t>02.15.003.0003.0001</t>
  </si>
  <si>
    <t>02.15.003.0003.0002</t>
  </si>
  <si>
    <t>02.15.003.0005.0005</t>
  </si>
  <si>
    <t>02.15.004.0002.0005</t>
  </si>
  <si>
    <t>02.15.004.0003</t>
  </si>
  <si>
    <t>02.15.004.0003.0001</t>
  </si>
  <si>
    <t>02.15.004.0003.0002</t>
  </si>
  <si>
    <t>02.15.004.0005.0004</t>
  </si>
  <si>
    <t>02.15.004.0005.0007</t>
  </si>
  <si>
    <t>02.15.005.0002.0003</t>
  </si>
  <si>
    <t>02.15.006.0002.0004</t>
  </si>
  <si>
    <t>Equipamentos para sauna</t>
  </si>
  <si>
    <t>Gran Torino</t>
  </si>
  <si>
    <t>Mabrem</t>
  </si>
  <si>
    <t>Acesso aos projetos</t>
  </si>
  <si>
    <t>Pavimento</t>
  </si>
  <si>
    <t>Ambiente</t>
  </si>
  <si>
    <t>área</t>
  </si>
  <si>
    <t>Quantidade (un)</t>
  </si>
  <si>
    <t>Preço Unitário</t>
  </si>
  <si>
    <t>Preço Total</t>
  </si>
  <si>
    <t>TERREO</t>
  </si>
  <si>
    <t>Hall social</t>
  </si>
  <si>
    <t>VASOS CONE LISO CREME COM PRATOS</t>
  </si>
  <si>
    <t>Sofá Chloé</t>
  </si>
  <si>
    <t>TAPETE SALA ORGÂNICO MIXTURE ECOSYSTEM</t>
  </si>
  <si>
    <t>Pendente Luminaria De Teto Em Madeira Ø38cm</t>
  </si>
  <si>
    <t>Caixa De Correspondência Condomínio Box91 - 24 Apartamentos</t>
  </si>
  <si>
    <t>Espelhos</t>
  </si>
  <si>
    <t>LUMINÁRIA ARANDELA SLIM LED MODERNA PARA PAREDE INTERNA 80CM (Branco)</t>
  </si>
  <si>
    <t>Quadro Decorativo 1 Tela: Obra Abstrata Moderna e Sofisticada,</t>
  </si>
  <si>
    <t>TOTAL HALL SOCIAL</t>
  </si>
  <si>
    <t>TOTAL TÉRREO</t>
  </si>
  <si>
    <t xml:space="preserve">Cobertura Courino Estofada </t>
  </si>
  <si>
    <t>Academia</t>
  </si>
  <si>
    <t>ESTEIRA ERGOMÉTRICA ATHLETIC NEW EXTREME 18 KM/H</t>
  </si>
  <si>
    <t>SPINNING ATHLETIC ADVANCED 2200BS</t>
  </si>
  <si>
    <t>ESTAÇÃO DE MUSCULAÇÃO ATHLETIC POWER PLUS</t>
  </si>
  <si>
    <t>Kit Banco Supino Reto Inclinado + 2x Barras 40cm + Barra 1,50m + 80kg anilhas em PVC</t>
  </si>
  <si>
    <t>Estação de Musculação e Banco Supino Gallant GBS1H03A-PT</t>
  </si>
  <si>
    <t>Kit Ketleball + suporte</t>
  </si>
  <si>
    <t>Tapete de yoga Asana - 4.5mm PVC ecológico - Ameixa</t>
  </si>
  <si>
    <t>Espelho organicp</t>
  </si>
  <si>
    <t>Marcenaria</t>
  </si>
  <si>
    <t>PENDENTE LED LINEAR 3000K 18W BIVOLT 100CM ALUMÍNIO PRETO - PORTOFINO PD2263</t>
  </si>
  <si>
    <t>Purificador Electrolux Água Gelada, Fria e Natural com Painel Easy Touch Cinza (PE11X) - Bivolt</t>
  </si>
  <si>
    <t>Plantas</t>
  </si>
  <si>
    <t>Persianas</t>
  </si>
  <si>
    <t>Kit Fitness 20kg + 2 Barras 40cm Rosca + 1 Barra 120cm Presilhas</t>
  </si>
  <si>
    <t>Kit Halteres Ajustáveis Com Rosca 20kg - Top!</t>
  </si>
  <si>
    <t>SUPORTE TORRE EXPOSITOR PARA 20 HALTERES DE 01KG A 10KG</t>
  </si>
  <si>
    <t>TOTAL Academia</t>
  </si>
  <si>
    <t>Lounge Externo</t>
  </si>
  <si>
    <t>MESA DE CENTRO BERCANDAR COM LAREIRA - 300X70</t>
  </si>
  <si>
    <t>Assento Almofada Futon Sob Medida Impermeável</t>
  </si>
  <si>
    <t>Almofadas externas</t>
  </si>
  <si>
    <t>TOTAL Lounge Externo</t>
  </si>
  <si>
    <t>ÁREA PISCINA - solarium, terraço e piscinas</t>
  </si>
  <si>
    <t>Espreguiçadeira Columbus</t>
  </si>
  <si>
    <t>Mesa Miami madeira Maciça cor Carvalho</t>
  </si>
  <si>
    <t xml:space="preserve">Cadeira Montreal de Madeira Maciça na Cor Mel em Concha com Detalhes em Courino Estofada </t>
  </si>
  <si>
    <t>Ombrelone 2,4x2,9m Lateral Aço Bege Hexa Polar Naterial</t>
  </si>
  <si>
    <t>Arranjo parede</t>
  </si>
  <si>
    <t>Cerca bambu - 1,5x3 metros</t>
  </si>
  <si>
    <t>TOTAL ÁREA PISCINA</t>
  </si>
  <si>
    <t>Kids</t>
  </si>
  <si>
    <t>Puff quadrado gigante</t>
  </si>
  <si>
    <t>Cesto de arumã</t>
  </si>
  <si>
    <t>Tapete</t>
  </si>
  <si>
    <t>Bolinhas de piscina de bolinhas</t>
  </si>
  <si>
    <t>Puff set round</t>
  </si>
  <si>
    <t>Veículo a Pedal Speedplay Bat com Capacete Homeplay</t>
  </si>
  <si>
    <t>Smart TV Samsung 43" UHD 4K 43CU7700 2023 Processador Crystal 4K Tela sem Limites 43"</t>
  </si>
  <si>
    <t>Cadeira Infantil modelo borboleta</t>
  </si>
  <si>
    <t>Mesinha Infantil com Porta Lápis</t>
  </si>
  <si>
    <t>Cortina</t>
  </si>
  <si>
    <t>Marcenaria e pinturas</t>
  </si>
  <si>
    <t>Colchões</t>
  </si>
  <si>
    <t>Almofadas</t>
  </si>
  <si>
    <t>Enxoval</t>
  </si>
  <si>
    <t>Brinquedos geral</t>
  </si>
  <si>
    <t>pelucias</t>
  </si>
  <si>
    <t>TOTAL Kids</t>
  </si>
  <si>
    <t>Gourmet kids</t>
  </si>
  <si>
    <t>Mesa de Jantar Chanthira Design Triangular Madeira Tauari Estilo Contemporâneo</t>
  </si>
  <si>
    <t>Cadeira Dália de Madeira Maciça Encosto Anatômico com Apoio no Braço</t>
  </si>
  <si>
    <t>Folhagem</t>
  </si>
  <si>
    <t>Cooktop Fischer Platinium 5 Bocas Vidro e Alumínio 19784-23299 Bivolt Preto</t>
  </si>
  <si>
    <t>Coifa e Depurador de Ilha EOS 35cm Redonda Inox ECO40IR 220V</t>
  </si>
  <si>
    <t>Geladeira Brastemp Frost Free Duplex 375 litros cor Inox com Espaço Adapt - BRM45JK • 110V</t>
  </si>
  <si>
    <t>Planta Artificial Pendente 70cm + Vasinho Cerâmica com Verdinho</t>
  </si>
  <si>
    <t>Conjunto/Jogo de Panelas 5 Peças, Frigideira, Caçarola em Alumínio</t>
  </si>
  <si>
    <t>Estojo e Faqueiro C/ 101 Pçs Lace Inox St James</t>
  </si>
  <si>
    <t>Kit Promocional Exclusivo: Linha Completa Sommelier (18 Taças + 12 Copos)</t>
  </si>
  <si>
    <t>Cadeira Papileia</t>
  </si>
  <si>
    <t>Jogo churrasqueira</t>
  </si>
  <si>
    <t>TOTAL Gourmet kids</t>
  </si>
  <si>
    <t>Sacada Gourmet kids</t>
  </si>
  <si>
    <t>Poltrona verde</t>
  </si>
  <si>
    <t>Mesa de apoio</t>
  </si>
  <si>
    <t>TOTAL Sacada Gourmet Kids</t>
  </si>
  <si>
    <t>Depósito</t>
  </si>
  <si>
    <t>TOTAL Depósito</t>
  </si>
  <si>
    <t>Fraldário</t>
  </si>
  <si>
    <t>Trocador de fraldas</t>
  </si>
  <si>
    <t xml:space="preserve"> Poltrona Reclinável Manual do Papai Florença em Linho Bege</t>
  </si>
  <si>
    <t>Mesa de Canto Bia 100% Mdf Menta - Pnr Móveis</t>
  </si>
  <si>
    <t>Tapete redondo</t>
  </si>
  <si>
    <t>Forno microondas</t>
  </si>
  <si>
    <t>TOTAL Fraldário</t>
  </si>
  <si>
    <t>Gourmet</t>
  </si>
  <si>
    <t xml:space="preserve">Cortina </t>
  </si>
  <si>
    <t>Modulo Aereo 1 Porta de Vidro Reflecta Vitoria Rimo Branco - Móveis Rimo</t>
  </si>
  <si>
    <t xml:space="preserve"> Linha Taças em Cristal Sommelier para Água, Vinho e Espumante (18 Taças)</t>
  </si>
  <si>
    <t>TOTAL Gourmet</t>
  </si>
  <si>
    <t>Sacada Gourmet</t>
  </si>
  <si>
    <t>Poltrona aramada azul</t>
  </si>
  <si>
    <t>Mesa redonda</t>
  </si>
  <si>
    <t>Cadeira aramada azul</t>
  </si>
  <si>
    <t>TOTAL Sacada Gourmet</t>
  </si>
  <si>
    <t>Salão de festas</t>
  </si>
  <si>
    <t>Filete parede</t>
  </si>
  <si>
    <t>Smart TV QLED 55" 4K UHD Samsung QN55LS03B - The Frame, Wifi, USB</t>
  </si>
  <si>
    <t>Sofá Decorativo 3 Lugares 210cm Joel Curvo com Encosto Veludo Creme G15 - Gran Belo</t>
  </si>
  <si>
    <t>Almofada</t>
  </si>
  <si>
    <t>Geladeira Electrolux Frost Free Inverter 590L AutoSense 3 Portas Cor Inox Look (IM8S)</t>
  </si>
  <si>
    <t>Mesa Saarinen Tulipa Redonda 120cm Tampo Madeira Branca Sala Cozinha Jantar BRANCO</t>
  </si>
  <si>
    <t>Mesa Lintz Off-White Fosco e Bege</t>
  </si>
  <si>
    <t xml:space="preserve">Sacada Salão de festas </t>
  </si>
  <si>
    <t>Cadeira aramada</t>
  </si>
  <si>
    <t>TOTAL Salão de festas sacada</t>
  </si>
  <si>
    <t>Jogos</t>
  </si>
  <si>
    <t>Mesa de Bilhar Versátil 2P Vintage</t>
  </si>
  <si>
    <t>MESA SAARINEN ESPIRITO SANTO REDONDA 70 CM PRETA Preto</t>
  </si>
  <si>
    <t>Aramado parede</t>
  </si>
  <si>
    <t>Mesa de Pebolim Luxo 1050 Klopf</t>
  </si>
  <si>
    <t>Jogo xadrez</t>
  </si>
  <si>
    <t>Taqueira de Parede Bilharts</t>
  </si>
  <si>
    <t>5 Tacos De Bilhar</t>
  </si>
  <si>
    <t>Jogo de Bolas Numeradas 54mm para Sinuca + Bolão Branco</t>
  </si>
  <si>
    <t>Jogo De Poker Profissional Chips 200 Fichas Com Toalha</t>
  </si>
  <si>
    <t>Uno</t>
  </si>
  <si>
    <t>Saco box e luvas</t>
  </si>
  <si>
    <t>Jogo dardos</t>
  </si>
  <si>
    <t>BasketBall Extreme 110/220V Dedobrinquedo</t>
  </si>
  <si>
    <t>Decoração</t>
  </si>
  <si>
    <t>FRIGOBAR PHILCO 87 LITROS PFG100RV RETRÔ VERMELHO 110V/220V</t>
  </si>
  <si>
    <t>Sofá ilha panamá</t>
  </si>
  <si>
    <t>Tapete Médio Redondo para Sala de Estar ou Escritório - Coleção Egito</t>
  </si>
  <si>
    <t>Tapete retangular</t>
  </si>
  <si>
    <t>Cadeira Âmbar em Madeira Maciça</t>
  </si>
  <si>
    <t>TOTAL Jogos</t>
  </si>
  <si>
    <t>CIRCULAÇÃO</t>
  </si>
  <si>
    <t>TOTAL CIRCULAÇÃO</t>
  </si>
  <si>
    <t>TOTAL LAZER</t>
  </si>
  <si>
    <t>TIPO (X14)</t>
  </si>
  <si>
    <t>CIRCULAÇÃO (X14)</t>
  </si>
  <si>
    <t>TOTAL CIRCULAÇÃO (X14)</t>
  </si>
  <si>
    <t>TOTAL TIPO (X14)</t>
  </si>
  <si>
    <t>ACABAMENTOS</t>
  </si>
  <si>
    <t>TOTAL COM 25%</t>
  </si>
  <si>
    <t>VALOR POR ÁREA MOBILIADA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</si>
</sst>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  <numFmt numFmtId="165" formatCode="_(* #,##0.00_);_(* \(#,##0.00\);_(* &quot;-&quot;??_);_(@_)"/>
    <numFmt numFmtId="166" formatCode="General_)"/>
    <numFmt numFmtId="167" formatCode="_-&quot;R$&quot;\ * #.##0.00_-;\-&quot;R$&quot;\ * #.##0.00_-;_-&quot;R$&quot;\ * &quot;-&quot;??_-;_-@_-"/>
    <numFmt numFmtId="168" formatCode="_-* #,##0.0000_-;\-* #,##0.0000_-;_-* &quot;-&quot;??_-;_-@_-"/>
    <numFmt numFmtId="169" formatCode="_-* #,##0.00_-;\-* #,##0.00_-;_-* &quot;-&quot;??_-;_-@"/>
    <numFmt numFmtId="170" formatCode="dd/mm/yy;@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10000"/>
      <name val="Arial"/>
      <family val="2"/>
    </font>
    <font>
      <sz val="10"/>
      <name val="Arial"/>
      <family val="2"/>
    </font>
    <font>
      <b/>
      <sz val="10"/>
      <color theme="0"/>
      <name val="Poppins"/>
    </font>
    <font>
      <sz val="8"/>
      <name val="Arial"/>
      <family val="2"/>
    </font>
    <font>
      <b/>
      <sz val="8"/>
      <color rgb="FF121212"/>
      <name val="Poppins"/>
    </font>
    <font>
      <b/>
      <sz val="8"/>
      <color theme="0"/>
      <name val="Poppins"/>
    </font>
    <font>
      <b/>
      <sz val="8"/>
      <color rgb="FF010000"/>
      <name val="Poppins"/>
    </font>
    <font>
      <sz val="8"/>
      <color rgb="FF010000"/>
      <name val="Poppins"/>
    </font>
    <font>
      <b/>
      <sz val="11"/>
      <color theme="1"/>
      <name val="Calibri"/>
      <family val="2"/>
      <scheme val="minor"/>
    </font>
    <font>
      <sz val="8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22"/>
      <color rgb="FF255AE5"/>
      <name val="Poppins"/>
    </font>
    <font>
      <b/>
      <sz val="30"/>
      <color rgb="FF255AE5"/>
      <name val="Poppins"/>
    </font>
    <font>
      <sz val="18"/>
      <color rgb="FF121212"/>
      <name val="Poppins"/>
    </font>
    <font>
      <sz val="14"/>
      <color rgb="FF121212"/>
      <name val="Poppins"/>
    </font>
    <font>
      <sz val="8"/>
      <color rgb="FFFF0000"/>
      <name val="Poppins"/>
    </font>
    <font>
      <sz val="10"/>
      <name val="Courier New"/>
      <family val="3"/>
    </font>
    <font>
      <sz val="11"/>
      <color rgb="FF000000"/>
      <name val="Calibri"/>
      <family val="2"/>
      <scheme val="minor"/>
    </font>
    <font>
      <b/>
      <sz val="8"/>
      <name val="Poppins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Roboto"/>
    </font>
    <font>
      <b/>
      <sz val="14"/>
      <color rgb="FF121212"/>
      <name val="Roboto"/>
    </font>
    <font>
      <b/>
      <sz val="10"/>
      <color theme="1"/>
      <name val="Roboto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ABE00"/>
      </patternFill>
    </fill>
    <fill>
      <patternFill patternType="solid">
        <fgColor rgb="FFE5AF42"/>
      </patternFill>
    </fill>
    <fill>
      <patternFill patternType="solid">
        <fgColor rgb="FFBFBFBF"/>
      </patternFill>
    </fill>
    <fill>
      <patternFill patternType="solid">
        <fgColor rgb="FFF4F4F4"/>
      </patternFill>
    </fill>
    <fill>
      <patternFill patternType="solid">
        <fgColor rgb="FFFFC1C1"/>
      </patternFill>
    </fill>
    <fill>
      <patternFill patternType="solid">
        <fgColor rgb="FFFFE699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</fills>
  <borders count="1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rgb="FF010000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rgb="FF010000"/>
      </left>
      <right style="thin">
        <color indexed="64"/>
      </right>
      <top/>
      <bottom style="hair">
        <color rgb="FF010000"/>
      </bottom>
      <diagonal/>
    </border>
    <border>
      <left style="hair">
        <color rgb="FF010000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/>
      <right style="thin">
        <color indexed="64"/>
      </right>
      <top/>
      <bottom/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thin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thin">
        <color indexed="64"/>
      </bottom>
      <diagonal/>
    </border>
    <border>
      <left style="hair">
        <color rgb="FF010000"/>
      </left>
      <right/>
      <top style="hair">
        <color rgb="FF010000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 style="hair">
        <color rgb="FF010000"/>
      </bottom>
      <diagonal/>
    </border>
  </borders>
  <cellStyleXfs count="91">
    <xf numFmtId="0" fontId="0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/>
    <xf numFmtId="0" fontId="31" fillId="13" borderId="0"/>
    <xf numFmtId="43" fontId="31" fillId="0" borderId="0" applyFont="0" applyFill="0" applyBorder="0" applyAlignment="0" applyProtection="0"/>
    <xf numFmtId="0" fontId="32" fillId="14" borderId="0"/>
    <xf numFmtId="0" fontId="31" fillId="15" borderId="0"/>
    <xf numFmtId="0" fontId="31" fillId="16" borderId="0"/>
    <xf numFmtId="0" fontId="31" fillId="17" borderId="0"/>
    <xf numFmtId="0" fontId="9" fillId="0" borderId="0"/>
    <xf numFmtId="164" fontId="9" fillId="0" borderId="0" applyFont="0" applyFill="0" applyBorder="0" applyAlignment="0" applyProtection="0"/>
    <xf numFmtId="0" fontId="31" fillId="18" borderId="0"/>
    <xf numFmtId="44" fontId="31" fillId="0" borderId="0" applyFont="0" applyFill="0" applyBorder="0" applyAlignment="0" applyProtection="0"/>
    <xf numFmtId="0" fontId="33" fillId="0" borderId="0"/>
    <xf numFmtId="4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31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34" fillId="0" borderId="0"/>
    <xf numFmtId="0" fontId="8" fillId="0" borderId="0"/>
    <xf numFmtId="0" fontId="35" fillId="14" borderId="0"/>
    <xf numFmtId="0" fontId="34" fillId="15" borderId="0"/>
    <xf numFmtId="0" fontId="34" fillId="16" borderId="0"/>
    <xf numFmtId="0" fontId="34" fillId="17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6" fontId="41" fillId="0" borderId="0"/>
    <xf numFmtId="164" fontId="41" fillId="0" borderId="0" applyFont="0" applyFill="0" applyBorder="0" applyAlignment="0" applyProtection="0"/>
    <xf numFmtId="0" fontId="6" fillId="0" borderId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2" fillId="0" borderId="0"/>
    <xf numFmtId="164" fontId="4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4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3">
    <xf numFmtId="0" fontId="0" fillId="0" borderId="0" xfId="0"/>
    <xf numFmtId="0" fontId="13" fillId="0" borderId="0" xfId="0" applyFont="1"/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43" fontId="15" fillId="4" borderId="13" xfId="6" applyFont="1" applyFill="1" applyBorder="1" applyAlignment="1">
      <alignment horizontal="center" vertical="center"/>
    </xf>
    <xf numFmtId="43" fontId="15" fillId="4" borderId="14" xfId="6" applyFont="1" applyFill="1" applyBorder="1" applyAlignment="1">
      <alignment horizontal="center" vertical="center"/>
    </xf>
    <xf numFmtId="0" fontId="13" fillId="0" borderId="7" xfId="0" applyFont="1" applyBorder="1"/>
    <xf numFmtId="49" fontId="15" fillId="2" borderId="22" xfId="0" applyNumberFormat="1" applyFont="1" applyFill="1" applyBorder="1" applyAlignment="1">
      <alignment horizontal="left" vertical="center" wrapText="1"/>
    </xf>
    <xf numFmtId="49" fontId="15" fillId="2" borderId="23" xfId="0" applyNumberFormat="1" applyFont="1" applyFill="1" applyBorder="1" applyAlignment="1">
      <alignment horizontal="left" vertical="center" wrapText="1"/>
    </xf>
    <xf numFmtId="43" fontId="15" fillId="4" borderId="16" xfId="6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8" borderId="1" xfId="34" applyFont="1" applyFill="1" applyBorder="1" applyAlignment="1">
      <alignment vertical="center" wrapText="1"/>
    </xf>
    <xf numFmtId="0" fontId="21" fillId="9" borderId="31" xfId="34" applyFont="1" applyFill="1" applyBorder="1" applyAlignment="1">
      <alignment horizontal="left" vertical="center" wrapText="1"/>
    </xf>
    <xf numFmtId="0" fontId="21" fillId="9" borderId="24" xfId="34" applyFont="1" applyFill="1" applyBorder="1" applyAlignment="1">
      <alignment horizontal="center" vertical="center" wrapText="1"/>
    </xf>
    <xf numFmtId="43" fontId="21" fillId="9" borderId="24" xfId="35" applyFont="1" applyFill="1" applyBorder="1" applyAlignment="1">
      <alignment horizontal="left" vertical="center" wrapText="1"/>
    </xf>
    <xf numFmtId="0" fontId="22" fillId="9" borderId="24" xfId="34" applyFont="1" applyFill="1" applyBorder="1" applyAlignment="1">
      <alignment horizontal="center" vertical="center" wrapText="1"/>
    </xf>
    <xf numFmtId="0" fontId="23" fillId="9" borderId="32" xfId="34" applyFont="1" applyFill="1" applyBorder="1"/>
    <xf numFmtId="0" fontId="7" fillId="0" borderId="0" xfId="34"/>
    <xf numFmtId="0" fontId="20" fillId="8" borderId="4" xfId="34" applyFont="1" applyFill="1" applyBorder="1" applyAlignment="1">
      <alignment vertical="center" wrapText="1"/>
    </xf>
    <xf numFmtId="0" fontId="21" fillId="9" borderId="33" xfId="34" applyFont="1" applyFill="1" applyBorder="1" applyAlignment="1">
      <alignment horizontal="left" vertical="center" wrapText="1"/>
    </xf>
    <xf numFmtId="0" fontId="21" fillId="9" borderId="26" xfId="34" applyFont="1" applyFill="1" applyBorder="1" applyAlignment="1">
      <alignment horizontal="center" vertical="center" wrapText="1"/>
    </xf>
    <xf numFmtId="43" fontId="21" fillId="9" borderId="26" xfId="35" applyFont="1" applyFill="1" applyBorder="1" applyAlignment="1">
      <alignment horizontal="left" vertical="center" wrapText="1"/>
    </xf>
    <xf numFmtId="0" fontId="22" fillId="9" borderId="26" xfId="34" applyFont="1" applyFill="1" applyBorder="1" applyAlignment="1">
      <alignment horizontal="center" vertical="center" wrapText="1"/>
    </xf>
    <xf numFmtId="0" fontId="23" fillId="9" borderId="34" xfId="34" applyFont="1" applyFill="1" applyBorder="1"/>
    <xf numFmtId="14" fontId="21" fillId="9" borderId="33" xfId="34" applyNumberFormat="1" applyFont="1" applyFill="1" applyBorder="1" applyAlignment="1">
      <alignment horizontal="left" vertical="center" wrapText="1"/>
    </xf>
    <xf numFmtId="14" fontId="21" fillId="9" borderId="26" xfId="34" applyNumberFormat="1" applyFont="1" applyFill="1" applyBorder="1" applyAlignment="1">
      <alignment horizontal="center" vertical="center" wrapText="1"/>
    </xf>
    <xf numFmtId="14" fontId="22" fillId="9" borderId="26" xfId="34" applyNumberFormat="1" applyFont="1" applyFill="1" applyBorder="1" applyAlignment="1">
      <alignment horizontal="center" vertical="center" wrapText="1"/>
    </xf>
    <xf numFmtId="0" fontId="36" fillId="9" borderId="7" xfId="34" applyFont="1" applyFill="1" applyBorder="1" applyAlignment="1">
      <alignment vertical="center" wrapText="1"/>
    </xf>
    <xf numFmtId="0" fontId="36" fillId="9" borderId="0" xfId="34" applyFont="1" applyFill="1" applyAlignment="1">
      <alignment vertical="center" wrapText="1"/>
    </xf>
    <xf numFmtId="0" fontId="36" fillId="9" borderId="8" xfId="34" applyFont="1" applyFill="1" applyBorder="1" applyAlignment="1">
      <alignment vertical="center" wrapText="1"/>
    </xf>
    <xf numFmtId="0" fontId="36" fillId="9" borderId="19" xfId="34" applyFont="1" applyFill="1" applyBorder="1" applyAlignment="1">
      <alignment vertical="center" wrapText="1"/>
    </xf>
    <xf numFmtId="0" fontId="36" fillId="9" borderId="20" xfId="34" applyFont="1" applyFill="1" applyBorder="1" applyAlignment="1">
      <alignment vertical="center" wrapText="1"/>
    </xf>
    <xf numFmtId="0" fontId="36" fillId="9" borderId="21" xfId="34" applyFont="1" applyFill="1" applyBorder="1" applyAlignment="1">
      <alignment vertical="center" wrapText="1"/>
    </xf>
    <xf numFmtId="0" fontId="23" fillId="0" borderId="0" xfId="34" applyFont="1"/>
    <xf numFmtId="0" fontId="23" fillId="0" borderId="0" xfId="34" applyFont="1" applyAlignment="1">
      <alignment horizontal="center"/>
    </xf>
    <xf numFmtId="43" fontId="23" fillId="0" borderId="0" xfId="35" applyFont="1" applyAlignment="1">
      <alignment horizontal="center"/>
    </xf>
    <xf numFmtId="0" fontId="29" fillId="0" borderId="0" xfId="34" applyFont="1" applyAlignment="1">
      <alignment horizontal="center"/>
    </xf>
    <xf numFmtId="0" fontId="3" fillId="0" borderId="0" xfId="79"/>
    <xf numFmtId="0" fontId="23" fillId="0" borderId="0" xfId="79" applyFont="1"/>
    <xf numFmtId="43" fontId="23" fillId="0" borderId="0" xfId="80" applyFont="1" applyAlignment="1">
      <alignment horizontal="center"/>
    </xf>
    <xf numFmtId="0" fontId="23" fillId="0" borderId="0" xfId="79" applyFont="1" applyAlignment="1">
      <alignment horizontal="center"/>
    </xf>
    <xf numFmtId="0" fontId="27" fillId="9" borderId="21" xfId="79" applyFont="1" applyFill="1" applyBorder="1"/>
    <xf numFmtId="43" fontId="27" fillId="9" borderId="20" xfId="80" applyFont="1" applyFill="1" applyBorder="1" applyAlignment="1">
      <alignment horizontal="center"/>
    </xf>
    <xf numFmtId="0" fontId="27" fillId="9" borderId="20" xfId="79" applyFont="1" applyFill="1" applyBorder="1" applyAlignment="1">
      <alignment horizontal="center"/>
    </xf>
    <xf numFmtId="0" fontId="27" fillId="9" borderId="19" xfId="79" applyFont="1" applyFill="1" applyBorder="1"/>
    <xf numFmtId="0" fontId="27" fillId="9" borderId="8" xfId="79" applyFont="1" applyFill="1" applyBorder="1"/>
    <xf numFmtId="43" fontId="22" fillId="9" borderId="53" xfId="80" applyFont="1" applyFill="1" applyBorder="1" applyAlignment="1">
      <alignment vertical="center" wrapText="1"/>
    </xf>
    <xf numFmtId="43" fontId="22" fillId="9" borderId="52" xfId="80" applyFont="1" applyFill="1" applyBorder="1" applyAlignment="1">
      <alignment horizontal="center" vertical="center" wrapText="1"/>
    </xf>
    <xf numFmtId="0" fontId="22" fillId="9" borderId="51" xfId="79" applyFont="1" applyFill="1" applyBorder="1" applyAlignment="1">
      <alignment vertical="center" wrapText="1"/>
    </xf>
    <xf numFmtId="0" fontId="22" fillId="9" borderId="7" xfId="79" applyFont="1" applyFill="1" applyBorder="1"/>
    <xf numFmtId="43" fontId="22" fillId="9" borderId="42" xfId="80" applyFont="1" applyFill="1" applyBorder="1" applyAlignment="1">
      <alignment vertical="center" wrapText="1"/>
    </xf>
    <xf numFmtId="43" fontId="22" fillId="9" borderId="41" xfId="80" applyFont="1" applyFill="1" applyBorder="1" applyAlignment="1">
      <alignment horizontal="center" vertical="center" wrapText="1"/>
    </xf>
    <xf numFmtId="0" fontId="22" fillId="9" borderId="40" xfId="79" applyFont="1" applyFill="1" applyBorder="1" applyAlignment="1">
      <alignment vertical="center" wrapText="1"/>
    </xf>
    <xf numFmtId="43" fontId="27" fillId="9" borderId="8" xfId="79" applyNumberFormat="1" applyFont="1" applyFill="1" applyBorder="1"/>
    <xf numFmtId="43" fontId="22" fillId="9" borderId="39" xfId="80" applyFont="1" applyFill="1" applyBorder="1" applyAlignment="1">
      <alignment vertical="center" wrapText="1"/>
    </xf>
    <xf numFmtId="43" fontId="22" fillId="9" borderId="38" xfId="80" applyFont="1" applyFill="1" applyBorder="1" applyAlignment="1">
      <alignment horizontal="center" vertical="center" wrapText="1"/>
    </xf>
    <xf numFmtId="0" fontId="22" fillId="9" borderId="37" xfId="79" applyFont="1" applyFill="1" applyBorder="1" applyAlignment="1">
      <alignment vertical="center" wrapText="1"/>
    </xf>
    <xf numFmtId="43" fontId="15" fillId="11" borderId="3" xfId="80" applyFont="1" applyFill="1" applyBorder="1" applyAlignment="1">
      <alignment horizontal="center" vertical="center" wrapText="1"/>
    </xf>
    <xf numFmtId="0" fontId="15" fillId="11" borderId="2" xfId="79" applyFont="1" applyFill="1" applyBorder="1" applyAlignment="1">
      <alignment horizontal="center" vertical="center" wrapText="1"/>
    </xf>
    <xf numFmtId="0" fontId="15" fillId="11" borderId="1" xfId="79" applyFont="1" applyFill="1" applyBorder="1" applyAlignment="1">
      <alignment horizontal="center" vertical="center"/>
    </xf>
    <xf numFmtId="43" fontId="21" fillId="9" borderId="0" xfId="80" applyFont="1" applyFill="1" applyBorder="1" applyAlignment="1">
      <alignment horizontal="left" vertical="center" wrapText="1"/>
    </xf>
    <xf numFmtId="0" fontId="21" fillId="9" borderId="0" xfId="79" applyFont="1" applyFill="1" applyAlignment="1">
      <alignment horizontal="center" vertical="center" wrapText="1"/>
    </xf>
    <xf numFmtId="0" fontId="21" fillId="9" borderId="0" xfId="79" applyFont="1" applyFill="1" applyAlignment="1">
      <alignment horizontal="left" vertical="center" wrapText="1"/>
    </xf>
    <xf numFmtId="0" fontId="21" fillId="9" borderId="7" xfId="79" applyFont="1" applyFill="1" applyBorder="1" applyAlignment="1">
      <alignment horizontal="left" vertical="center" wrapText="1"/>
    </xf>
    <xf numFmtId="0" fontId="23" fillId="9" borderId="8" xfId="79" applyFont="1" applyFill="1" applyBorder="1"/>
    <xf numFmtId="43" fontId="25" fillId="9" borderId="0" xfId="80" applyFont="1" applyFill="1" applyBorder="1" applyAlignment="1">
      <alignment horizontal="center" vertical="center" wrapText="1"/>
    </xf>
    <xf numFmtId="0" fontId="25" fillId="9" borderId="0" xfId="79" applyFont="1" applyFill="1" applyAlignment="1">
      <alignment horizontal="center" vertical="center" wrapText="1"/>
    </xf>
    <xf numFmtId="0" fontId="25" fillId="9" borderId="7" xfId="79" applyFont="1" applyFill="1" applyBorder="1" applyAlignment="1">
      <alignment vertical="center" wrapText="1"/>
    </xf>
    <xf numFmtId="0" fontId="23" fillId="9" borderId="34" xfId="79" applyFont="1" applyFill="1" applyBorder="1"/>
    <xf numFmtId="43" fontId="21" fillId="9" borderId="26" xfId="80" applyFont="1" applyFill="1" applyBorder="1" applyAlignment="1">
      <alignment horizontal="left" vertical="center" wrapText="1"/>
    </xf>
    <xf numFmtId="0" fontId="21" fillId="9" borderId="26" xfId="79" applyFont="1" applyFill="1" applyBorder="1" applyAlignment="1">
      <alignment horizontal="center" vertical="center" wrapText="1"/>
    </xf>
    <xf numFmtId="0" fontId="21" fillId="9" borderId="33" xfId="79" applyFont="1" applyFill="1" applyBorder="1" applyAlignment="1">
      <alignment horizontal="left" vertical="center" wrapText="1"/>
    </xf>
    <xf numFmtId="0" fontId="20" fillId="8" borderId="4" xfId="79" applyFont="1" applyFill="1" applyBorder="1" applyAlignment="1">
      <alignment vertical="center" wrapText="1"/>
    </xf>
    <xf numFmtId="0" fontId="23" fillId="9" borderId="32" xfId="79" applyFont="1" applyFill="1" applyBorder="1"/>
    <xf numFmtId="43" fontId="21" fillId="9" borderId="24" xfId="80" applyFont="1" applyFill="1" applyBorder="1" applyAlignment="1">
      <alignment horizontal="left" vertical="center" wrapText="1"/>
    </xf>
    <xf numFmtId="0" fontId="21" fillId="9" borderId="24" xfId="79" applyFont="1" applyFill="1" applyBorder="1" applyAlignment="1">
      <alignment horizontal="center" vertical="center" wrapText="1"/>
    </xf>
    <xf numFmtId="0" fontId="20" fillId="8" borderId="1" xfId="79" applyFont="1" applyFill="1" applyBorder="1" applyAlignment="1">
      <alignment vertical="center" wrapText="1"/>
    </xf>
    <xf numFmtId="0" fontId="16" fillId="20" borderId="63" xfId="0" applyFont="1" applyFill="1" applyBorder="1" applyAlignment="1">
      <alignment horizontal="left" vertical="top" wrapText="1"/>
    </xf>
    <xf numFmtId="0" fontId="16" fillId="20" borderId="64" xfId="0" applyFont="1" applyFill="1" applyBorder="1" applyAlignment="1">
      <alignment vertical="top" wrapText="1"/>
    </xf>
    <xf numFmtId="0" fontId="16" fillId="5" borderId="65" xfId="0" applyFont="1" applyFill="1" applyBorder="1" applyAlignment="1">
      <alignment horizontal="left" vertical="top" wrapText="1"/>
    </xf>
    <xf numFmtId="0" fontId="16" fillId="5" borderId="66" xfId="0" applyFont="1" applyFill="1" applyBorder="1" applyAlignment="1">
      <alignment vertical="top" wrapText="1"/>
    </xf>
    <xf numFmtId="0" fontId="16" fillId="6" borderId="65" xfId="0" applyFont="1" applyFill="1" applyBorder="1" applyAlignment="1">
      <alignment horizontal="left" vertical="top" wrapText="1"/>
    </xf>
    <xf numFmtId="0" fontId="16" fillId="6" borderId="66" xfId="0" applyFont="1" applyFill="1" applyBorder="1" applyAlignment="1">
      <alignment vertical="top" wrapText="1"/>
    </xf>
    <xf numFmtId="49" fontId="17" fillId="0" borderId="65" xfId="0" applyNumberFormat="1" applyFont="1" applyBorder="1" applyAlignment="1">
      <alignment horizontal="left" vertical="top" wrapText="1"/>
    </xf>
    <xf numFmtId="0" fontId="19" fillId="0" borderId="66" xfId="0" applyFont="1" applyBorder="1" applyAlignment="1">
      <alignment vertical="top" wrapText="1"/>
    </xf>
    <xf numFmtId="0" fontId="17" fillId="0" borderId="66" xfId="0" applyFont="1" applyBorder="1" applyAlignment="1">
      <alignment vertical="top" wrapText="1"/>
    </xf>
    <xf numFmtId="0" fontId="15" fillId="11" borderId="17" xfId="0" applyFont="1" applyFill="1" applyBorder="1" applyAlignment="1">
      <alignment horizontal="left" vertical="center" wrapText="1"/>
    </xf>
    <xf numFmtId="0" fontId="15" fillId="11" borderId="46" xfId="0" applyFont="1" applyFill="1" applyBorder="1" applyAlignment="1">
      <alignment horizontal="left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43" fillId="20" borderId="67" xfId="9" applyFont="1" applyFill="1" applyBorder="1" applyAlignment="1">
      <alignment horizontal="left" vertical="center" wrapText="1"/>
    </xf>
    <xf numFmtId="0" fontId="40" fillId="5" borderId="62" xfId="9" applyFont="1" applyFill="1" applyBorder="1" applyAlignment="1">
      <alignment horizontal="left" vertical="center" wrapText="1"/>
    </xf>
    <xf numFmtId="0" fontId="40" fillId="6" borderId="62" xfId="9" applyFont="1" applyFill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15" fillId="11" borderId="46" xfId="0" applyFont="1" applyFill="1" applyBorder="1" applyAlignment="1">
      <alignment horizontal="center" vertical="center" wrapText="1"/>
    </xf>
    <xf numFmtId="0" fontId="43" fillId="20" borderId="68" xfId="9" applyFont="1" applyFill="1" applyBorder="1" applyAlignment="1">
      <alignment horizontal="left" vertical="center" wrapText="1"/>
    </xf>
    <xf numFmtId="0" fontId="40" fillId="5" borderId="57" xfId="9" applyFont="1" applyFill="1" applyBorder="1" applyAlignment="1">
      <alignment horizontal="left" vertical="center" wrapText="1"/>
    </xf>
    <xf numFmtId="0" fontId="40" fillId="6" borderId="57" xfId="9" applyFont="1" applyFill="1" applyBorder="1" applyAlignment="1">
      <alignment horizontal="left" vertical="center" wrapText="1"/>
    </xf>
    <xf numFmtId="0" fontId="19" fillId="0" borderId="57" xfId="9" applyFont="1" applyBorder="1" applyAlignment="1">
      <alignment horizontal="left" vertical="center" wrapText="1"/>
    </xf>
    <xf numFmtId="0" fontId="43" fillId="20" borderId="41" xfId="9" applyFont="1" applyFill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horizontal="left" vertical="center" wrapText="1"/>
    </xf>
    <xf numFmtId="49" fontId="16" fillId="7" borderId="65" xfId="0" applyNumberFormat="1" applyFont="1" applyFill="1" applyBorder="1" applyAlignment="1">
      <alignment horizontal="left" vertical="top" wrapText="1"/>
    </xf>
    <xf numFmtId="0" fontId="16" fillId="7" borderId="66" xfId="0" applyFont="1" applyFill="1" applyBorder="1" applyAlignment="1">
      <alignment vertical="top" wrapText="1"/>
    </xf>
    <xf numFmtId="0" fontId="17" fillId="0" borderId="65" xfId="0" applyFont="1" applyBorder="1" applyAlignment="1">
      <alignment horizontal="left" vertical="top" wrapText="1"/>
    </xf>
    <xf numFmtId="0" fontId="19" fillId="6" borderId="62" xfId="9" applyFont="1" applyFill="1" applyBorder="1" applyAlignment="1">
      <alignment vertical="top" wrapText="1"/>
    </xf>
    <xf numFmtId="0" fontId="19" fillId="7" borderId="62" xfId="9" applyFont="1" applyFill="1" applyBorder="1" applyAlignment="1">
      <alignment vertical="top" wrapText="1"/>
    </xf>
    <xf numFmtId="0" fontId="19" fillId="0" borderId="62" xfId="9" applyFont="1" applyFill="1" applyBorder="1" applyAlignment="1">
      <alignment vertical="top" wrapText="1"/>
    </xf>
    <xf numFmtId="0" fontId="19" fillId="6" borderId="41" xfId="9" applyFont="1" applyFill="1" applyBorder="1" applyAlignment="1">
      <alignment vertical="top" wrapText="1"/>
    </xf>
    <xf numFmtId="0" fontId="19" fillId="7" borderId="41" xfId="9" applyFont="1" applyFill="1" applyBorder="1" applyAlignment="1">
      <alignment vertical="top" wrapText="1"/>
    </xf>
    <xf numFmtId="0" fontId="19" fillId="0" borderId="41" xfId="9" applyFont="1" applyFill="1" applyBorder="1" applyAlignment="1">
      <alignment vertical="top" wrapText="1"/>
    </xf>
    <xf numFmtId="0" fontId="16" fillId="5" borderId="63" xfId="0" applyFont="1" applyFill="1" applyBorder="1" applyAlignment="1">
      <alignment horizontal="left" vertical="top" wrapText="1"/>
    </xf>
    <xf numFmtId="0" fontId="16" fillId="5" borderId="64" xfId="0" applyFont="1" applyFill="1" applyBorder="1" applyAlignment="1">
      <alignment vertical="top" wrapText="1"/>
    </xf>
    <xf numFmtId="0" fontId="19" fillId="5" borderId="74" xfId="9" applyFont="1" applyFill="1" applyBorder="1" applyAlignment="1">
      <alignment vertical="top" wrapText="1"/>
    </xf>
    <xf numFmtId="0" fontId="19" fillId="5" borderId="67" xfId="9" applyFont="1" applyFill="1" applyBorder="1" applyAlignment="1">
      <alignment vertical="top" wrapText="1"/>
    </xf>
    <xf numFmtId="0" fontId="15" fillId="11" borderId="33" xfId="0" applyFont="1" applyFill="1" applyBorder="1" applyAlignment="1">
      <alignment horizontal="left" vertical="center" wrapText="1"/>
    </xf>
    <xf numFmtId="0" fontId="15" fillId="11" borderId="26" xfId="0" applyFont="1" applyFill="1" applyBorder="1" applyAlignment="1">
      <alignment horizontal="left" vertical="center" wrapText="1"/>
    </xf>
    <xf numFmtId="0" fontId="15" fillId="11" borderId="26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43" fillId="20" borderId="56" xfId="9" applyFont="1" applyFill="1" applyBorder="1" applyAlignment="1">
      <alignment horizontal="left" vertical="center" wrapText="1"/>
    </xf>
    <xf numFmtId="0" fontId="17" fillId="0" borderId="75" xfId="0" applyFont="1" applyBorder="1" applyAlignment="1">
      <alignment horizontal="left" vertical="top" wrapText="1"/>
    </xf>
    <xf numFmtId="0" fontId="17" fillId="0" borderId="76" xfId="0" applyFont="1" applyBorder="1" applyAlignment="1">
      <alignment vertical="top" wrapText="1"/>
    </xf>
    <xf numFmtId="0" fontId="19" fillId="0" borderId="44" xfId="9" applyFont="1" applyFill="1" applyBorder="1" applyAlignment="1">
      <alignment vertical="top" wrapText="1"/>
    </xf>
    <xf numFmtId="0" fontId="19" fillId="0" borderId="78" xfId="9" applyFont="1" applyFill="1" applyBorder="1" applyAlignment="1">
      <alignment vertical="top" wrapText="1"/>
    </xf>
    <xf numFmtId="49" fontId="17" fillId="0" borderId="7" xfId="0" applyNumberFormat="1" applyFont="1" applyBorder="1" applyAlignment="1">
      <alignment horizontal="left" vertical="top" wrapText="1"/>
    </xf>
    <xf numFmtId="0" fontId="15" fillId="4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5" fillId="11" borderId="46" xfId="0" applyFont="1" applyFill="1" applyBorder="1" applyAlignment="1">
      <alignment vertical="center"/>
    </xf>
    <xf numFmtId="43" fontId="15" fillId="11" borderId="46" xfId="0" applyNumberFormat="1" applyFont="1" applyFill="1" applyBorder="1" applyAlignment="1">
      <alignment vertical="center"/>
    </xf>
    <xf numFmtId="43" fontId="15" fillId="11" borderId="59" xfId="0" applyNumberFormat="1" applyFont="1" applyFill="1" applyBorder="1" applyAlignment="1">
      <alignment vertical="center"/>
    </xf>
    <xf numFmtId="0" fontId="16" fillId="20" borderId="64" xfId="0" applyFont="1" applyFill="1" applyBorder="1" applyAlignment="1">
      <alignment vertical="top"/>
    </xf>
    <xf numFmtId="43" fontId="16" fillId="20" borderId="64" xfId="6" applyFont="1" applyFill="1" applyBorder="1" applyAlignment="1">
      <alignment vertical="top"/>
    </xf>
    <xf numFmtId="43" fontId="16" fillId="20" borderId="69" xfId="6" applyFont="1" applyFill="1" applyBorder="1" applyAlignment="1">
      <alignment vertical="top"/>
    </xf>
    <xf numFmtId="0" fontId="16" fillId="5" borderId="66" xfId="0" applyFont="1" applyFill="1" applyBorder="1" applyAlignment="1">
      <alignment vertical="top"/>
    </xf>
    <xf numFmtId="43" fontId="16" fillId="5" borderId="66" xfId="6" applyFont="1" applyFill="1" applyBorder="1" applyAlignment="1">
      <alignment vertical="top"/>
    </xf>
    <xf numFmtId="43" fontId="16" fillId="5" borderId="70" xfId="6" applyFont="1" applyFill="1" applyBorder="1" applyAlignment="1">
      <alignment vertical="top"/>
    </xf>
    <xf numFmtId="0" fontId="16" fillId="6" borderId="66" xfId="0" applyFont="1" applyFill="1" applyBorder="1" applyAlignment="1">
      <alignment vertical="top"/>
    </xf>
    <xf numFmtId="43" fontId="16" fillId="6" borderId="66" xfId="6" applyFont="1" applyFill="1" applyBorder="1" applyAlignment="1">
      <alignment vertical="top"/>
    </xf>
    <xf numFmtId="43" fontId="16" fillId="6" borderId="70" xfId="6" applyFont="1" applyFill="1" applyBorder="1" applyAlignment="1">
      <alignment vertical="top"/>
    </xf>
    <xf numFmtId="0" fontId="17" fillId="0" borderId="66" xfId="0" applyFont="1" applyBorder="1" applyAlignment="1">
      <alignment vertical="top"/>
    </xf>
    <xf numFmtId="43" fontId="17" fillId="0" borderId="66" xfId="6" applyFont="1" applyFill="1" applyBorder="1" applyAlignment="1">
      <alignment vertical="top"/>
    </xf>
    <xf numFmtId="43" fontId="17" fillId="0" borderId="70" xfId="6" applyFont="1" applyFill="1" applyBorder="1" applyAlignment="1">
      <alignment vertical="top"/>
    </xf>
    <xf numFmtId="0" fontId="15" fillId="11" borderId="26" xfId="0" applyFont="1" applyFill="1" applyBorder="1" applyAlignment="1">
      <alignment vertical="center"/>
    </xf>
    <xf numFmtId="43" fontId="15" fillId="11" borderId="26" xfId="0" applyNumberFormat="1" applyFont="1" applyFill="1" applyBorder="1" applyAlignment="1">
      <alignment vertical="center"/>
    </xf>
    <xf numFmtId="43" fontId="15" fillId="11" borderId="50" xfId="0" applyNumberFormat="1" applyFont="1" applyFill="1" applyBorder="1" applyAlignment="1">
      <alignment vertical="center"/>
    </xf>
    <xf numFmtId="0" fontId="16" fillId="5" borderId="64" xfId="0" applyFont="1" applyFill="1" applyBorder="1" applyAlignment="1">
      <alignment vertical="top"/>
    </xf>
    <xf numFmtId="43" fontId="16" fillId="5" borderId="64" xfId="6" applyFont="1" applyFill="1" applyBorder="1" applyAlignment="1">
      <alignment vertical="top"/>
    </xf>
    <xf numFmtId="43" fontId="16" fillId="5" borderId="73" xfId="6" applyFont="1" applyFill="1" applyBorder="1" applyAlignment="1">
      <alignment vertical="top"/>
    </xf>
    <xf numFmtId="43" fontId="16" fillId="6" borderId="72" xfId="6" applyFont="1" applyFill="1" applyBorder="1" applyAlignment="1">
      <alignment vertical="top"/>
    </xf>
    <xf numFmtId="0" fontId="16" fillId="7" borderId="66" xfId="0" applyFont="1" applyFill="1" applyBorder="1" applyAlignment="1">
      <alignment vertical="top"/>
    </xf>
    <xf numFmtId="43" fontId="16" fillId="7" borderId="66" xfId="6" applyFont="1" applyFill="1" applyBorder="1" applyAlignment="1">
      <alignment vertical="top"/>
    </xf>
    <xf numFmtId="43" fontId="16" fillId="7" borderId="72" xfId="6" applyFont="1" applyFill="1" applyBorder="1" applyAlignment="1">
      <alignment vertical="top"/>
    </xf>
    <xf numFmtId="43" fontId="17" fillId="0" borderId="72" xfId="6" applyFont="1" applyFill="1" applyBorder="1" applyAlignment="1">
      <alignment vertical="top"/>
    </xf>
    <xf numFmtId="0" fontId="17" fillId="0" borderId="76" xfId="0" applyFont="1" applyBorder="1" applyAlignment="1">
      <alignment vertical="top"/>
    </xf>
    <xf numFmtId="43" fontId="17" fillId="0" borderId="76" xfId="6" applyFont="1" applyFill="1" applyBorder="1" applyAlignment="1">
      <alignment vertical="top"/>
    </xf>
    <xf numFmtId="43" fontId="17" fillId="0" borderId="77" xfId="6" applyFont="1" applyFill="1" applyBorder="1" applyAlignment="1">
      <alignment vertical="top"/>
    </xf>
    <xf numFmtId="0" fontId="17" fillId="0" borderId="0" xfId="0" applyFont="1" applyAlignment="1">
      <alignment vertical="top"/>
    </xf>
    <xf numFmtId="43" fontId="17" fillId="0" borderId="0" xfId="6" applyFont="1" applyFill="1" applyBorder="1" applyAlignment="1">
      <alignment vertical="top"/>
    </xf>
    <xf numFmtId="43" fontId="12" fillId="3" borderId="55" xfId="6" applyFont="1" applyFill="1" applyBorder="1" applyAlignment="1">
      <alignment vertical="top"/>
    </xf>
    <xf numFmtId="43" fontId="13" fillId="0" borderId="0" xfId="0" applyNumberFormat="1" applyFont="1"/>
    <xf numFmtId="0" fontId="13" fillId="0" borderId="8" xfId="0" applyFont="1" applyBorder="1"/>
    <xf numFmtId="43" fontId="19" fillId="0" borderId="66" xfId="6" applyFont="1" applyFill="1" applyBorder="1" applyAlignment="1">
      <alignment vertical="top"/>
    </xf>
    <xf numFmtId="43" fontId="40" fillId="6" borderId="57" xfId="9" applyNumberFormat="1" applyFont="1" applyFill="1" applyBorder="1" applyAlignment="1">
      <alignment horizontal="left" vertical="center" wrapText="1"/>
    </xf>
    <xf numFmtId="43" fontId="40" fillId="6" borderId="62" xfId="9" applyNumberFormat="1" applyFont="1" applyFill="1" applyBorder="1" applyAlignment="1">
      <alignment horizontal="left" vertical="center" wrapText="1"/>
    </xf>
    <xf numFmtId="43" fontId="19" fillId="0" borderId="62" xfId="0" applyNumberFormat="1" applyFont="1" applyBorder="1" applyAlignment="1">
      <alignment horizontal="left" vertical="center" wrapText="1"/>
    </xf>
    <xf numFmtId="168" fontId="17" fillId="0" borderId="66" xfId="6" applyNumberFormat="1" applyFont="1" applyFill="1" applyBorder="1" applyAlignment="1">
      <alignment vertical="top"/>
    </xf>
    <xf numFmtId="0" fontId="20" fillId="8" borderId="1" xfId="81" applyFont="1" applyFill="1" applyBorder="1" applyAlignment="1">
      <alignment vertical="center" wrapText="1"/>
    </xf>
    <xf numFmtId="0" fontId="21" fillId="9" borderId="31" xfId="82" applyFont="1" applyFill="1" applyBorder="1" applyAlignment="1">
      <alignment horizontal="left" vertical="center" wrapText="1"/>
    </xf>
    <xf numFmtId="0" fontId="21" fillId="9" borderId="24" xfId="81" applyFont="1" applyFill="1" applyBorder="1" applyAlignment="1">
      <alignment horizontal="center" vertical="center" wrapText="1"/>
    </xf>
    <xf numFmtId="43" fontId="21" fillId="9" borderId="24" xfId="83" applyFont="1" applyFill="1" applyBorder="1" applyAlignment="1">
      <alignment horizontal="left" vertical="center" wrapText="1"/>
    </xf>
    <xf numFmtId="0" fontId="22" fillId="9" borderId="24" xfId="81" applyFont="1" applyFill="1" applyBorder="1" applyAlignment="1">
      <alignment horizontal="center" vertical="center" wrapText="1"/>
    </xf>
    <xf numFmtId="0" fontId="23" fillId="9" borderId="32" xfId="81" applyFont="1" applyFill="1" applyBorder="1"/>
    <xf numFmtId="0" fontId="2" fillId="0" borderId="0" xfId="81"/>
    <xf numFmtId="43" fontId="0" fillId="0" borderId="0" xfId="83" applyFont="1"/>
    <xf numFmtId="0" fontId="20" fillId="8" borderId="4" xfId="81" applyFont="1" applyFill="1" applyBorder="1" applyAlignment="1">
      <alignment vertical="center" wrapText="1"/>
    </xf>
    <xf numFmtId="0" fontId="21" fillId="9" borderId="33" xfId="82" applyFont="1" applyFill="1" applyBorder="1" applyAlignment="1">
      <alignment horizontal="left" vertical="center" wrapText="1"/>
    </xf>
    <xf numFmtId="0" fontId="21" fillId="9" borderId="26" xfId="81" applyFont="1" applyFill="1" applyBorder="1" applyAlignment="1">
      <alignment horizontal="center" vertical="center" wrapText="1"/>
    </xf>
    <xf numFmtId="43" fontId="21" fillId="9" borderId="26" xfId="83" applyFont="1" applyFill="1" applyBorder="1" applyAlignment="1">
      <alignment horizontal="left" vertical="center" wrapText="1"/>
    </xf>
    <xf numFmtId="0" fontId="22" fillId="9" borderId="26" xfId="81" applyFont="1" applyFill="1" applyBorder="1" applyAlignment="1">
      <alignment horizontal="center" vertical="center" wrapText="1"/>
    </xf>
    <xf numFmtId="0" fontId="23" fillId="9" borderId="34" xfId="81" applyFont="1" applyFill="1" applyBorder="1"/>
    <xf numFmtId="0" fontId="22" fillId="9" borderId="0" xfId="81" applyFont="1" applyFill="1" applyAlignment="1">
      <alignment horizontal="center" vertical="center" wrapText="1"/>
    </xf>
    <xf numFmtId="0" fontId="25" fillId="9" borderId="7" xfId="81" applyFont="1" applyFill="1" applyBorder="1" applyAlignment="1">
      <alignment vertical="center" wrapText="1"/>
    </xf>
    <xf numFmtId="0" fontId="25" fillId="9" borderId="0" xfId="81" applyFont="1" applyFill="1" applyAlignment="1">
      <alignment horizontal="center" vertical="center" wrapText="1"/>
    </xf>
    <xf numFmtId="43" fontId="25" fillId="9" borderId="0" xfId="83" applyFont="1" applyFill="1" applyBorder="1" applyAlignment="1">
      <alignment horizontal="center" vertical="center" wrapText="1"/>
    </xf>
    <xf numFmtId="0" fontId="26" fillId="9" borderId="0" xfId="81" applyFont="1" applyFill="1" applyAlignment="1">
      <alignment horizontal="center" vertical="center" wrapText="1"/>
    </xf>
    <xf numFmtId="0" fontId="23" fillId="9" borderId="8" xfId="81" applyFont="1" applyFill="1" applyBorder="1"/>
    <xf numFmtId="0" fontId="21" fillId="9" borderId="7" xfId="81" applyFont="1" applyFill="1" applyBorder="1" applyAlignment="1">
      <alignment horizontal="left" vertical="center" wrapText="1"/>
    </xf>
    <xf numFmtId="0" fontId="21" fillId="9" borderId="0" xfId="81" applyFont="1" applyFill="1" applyAlignment="1">
      <alignment horizontal="left" vertical="center" wrapText="1"/>
    </xf>
    <xf numFmtId="0" fontId="21" fillId="9" borderId="0" xfId="81" applyFont="1" applyFill="1" applyAlignment="1">
      <alignment horizontal="center" vertical="center" wrapText="1"/>
    </xf>
    <xf numFmtId="43" fontId="21" fillId="9" borderId="0" xfId="83" applyFont="1" applyFill="1" applyBorder="1" applyAlignment="1">
      <alignment horizontal="left" vertical="center" wrapText="1"/>
    </xf>
    <xf numFmtId="0" fontId="27" fillId="9" borderId="8" xfId="81" applyFont="1" applyFill="1" applyBorder="1"/>
    <xf numFmtId="43" fontId="2" fillId="0" borderId="0" xfId="81" applyNumberFormat="1"/>
    <xf numFmtId="0" fontId="22" fillId="9" borderId="22" xfId="81" applyFont="1" applyFill="1" applyBorder="1"/>
    <xf numFmtId="0" fontId="27" fillId="9" borderId="35" xfId="81" applyFont="1" applyFill="1" applyBorder="1" applyAlignment="1">
      <alignment horizontal="center"/>
    </xf>
    <xf numFmtId="43" fontId="27" fillId="9" borderId="35" xfId="83" applyFont="1" applyFill="1" applyBorder="1" applyAlignment="1">
      <alignment horizontal="center"/>
    </xf>
    <xf numFmtId="0" fontId="22" fillId="9" borderId="35" xfId="81" applyFont="1" applyFill="1" applyBorder="1" applyAlignment="1">
      <alignment horizontal="center"/>
    </xf>
    <xf numFmtId="0" fontId="27" fillId="9" borderId="36" xfId="81" applyFont="1" applyFill="1" applyBorder="1"/>
    <xf numFmtId="0" fontId="2" fillId="19" borderId="0" xfId="81" applyFill="1"/>
    <xf numFmtId="43" fontId="0" fillId="19" borderId="0" xfId="83" applyFont="1" applyFill="1"/>
    <xf numFmtId="0" fontId="22" fillId="9" borderId="7" xfId="81" applyFont="1" applyFill="1" applyBorder="1"/>
    <xf numFmtId="0" fontId="27" fillId="9" borderId="0" xfId="81" applyFont="1" applyFill="1" applyAlignment="1">
      <alignment horizontal="center"/>
    </xf>
    <xf numFmtId="43" fontId="27" fillId="9" borderId="0" xfId="83" applyFont="1" applyFill="1" applyBorder="1" applyAlignment="1">
      <alignment horizontal="center"/>
    </xf>
    <xf numFmtId="0" fontId="22" fillId="9" borderId="0" xfId="81" applyFont="1" applyFill="1" applyAlignment="1">
      <alignment horizontal="center"/>
    </xf>
    <xf numFmtId="0" fontId="15" fillId="11" borderId="1" xfId="81" applyFont="1" applyFill="1" applyBorder="1" applyAlignment="1">
      <alignment horizontal="center" vertical="center"/>
    </xf>
    <xf numFmtId="0" fontId="15" fillId="11" borderId="2" xfId="81" applyFont="1" applyFill="1" applyBorder="1" applyAlignment="1">
      <alignment horizontal="center" vertical="center" wrapText="1"/>
    </xf>
    <xf numFmtId="43" fontId="15" fillId="11" borderId="3" xfId="83" applyFont="1" applyFill="1" applyBorder="1" applyAlignment="1">
      <alignment horizontal="center" vertical="center" wrapText="1"/>
    </xf>
    <xf numFmtId="0" fontId="22" fillId="9" borderId="37" xfId="81" applyFont="1" applyFill="1" applyBorder="1" applyAlignment="1">
      <alignment vertical="center" wrapText="1"/>
    </xf>
    <xf numFmtId="43" fontId="22" fillId="9" borderId="38" xfId="83" applyFont="1" applyFill="1" applyBorder="1" applyAlignment="1">
      <alignment horizontal="center" vertical="center" wrapText="1"/>
    </xf>
    <xf numFmtId="43" fontId="22" fillId="9" borderId="39" xfId="83" applyFont="1" applyFill="1" applyBorder="1" applyAlignment="1">
      <alignment horizontal="center" vertical="center" wrapText="1"/>
    </xf>
    <xf numFmtId="0" fontId="22" fillId="9" borderId="43" xfId="81" applyFont="1" applyFill="1" applyBorder="1" applyAlignment="1">
      <alignment vertical="center" wrapText="1"/>
    </xf>
    <xf numFmtId="43" fontId="22" fillId="9" borderId="44" xfId="83" applyFont="1" applyFill="1" applyBorder="1" applyAlignment="1">
      <alignment horizontal="center" vertical="center" wrapText="1"/>
    </xf>
    <xf numFmtId="43" fontId="22" fillId="5" borderId="45" xfId="83" applyFont="1" applyFill="1" applyBorder="1" applyAlignment="1">
      <alignment horizontal="center" vertical="center" wrapText="1"/>
    </xf>
    <xf numFmtId="0" fontId="14" fillId="9" borderId="37" xfId="81" applyFont="1" applyFill="1" applyBorder="1" applyAlignment="1">
      <alignment vertical="center" wrapText="1"/>
    </xf>
    <xf numFmtId="43" fontId="14" fillId="9" borderId="38" xfId="83" applyFont="1" applyFill="1" applyBorder="1" applyAlignment="1">
      <alignment horizontal="center" vertical="center" wrapText="1"/>
    </xf>
    <xf numFmtId="43" fontId="14" fillId="9" borderId="39" xfId="83" applyFont="1" applyFill="1" applyBorder="1" applyAlignment="1">
      <alignment horizontal="center" vertical="center" wrapText="1"/>
    </xf>
    <xf numFmtId="43" fontId="22" fillId="9" borderId="0" xfId="81" applyNumberFormat="1" applyFont="1" applyFill="1" applyAlignment="1">
      <alignment horizontal="center"/>
    </xf>
    <xf numFmtId="0" fontId="14" fillId="9" borderId="43" xfId="81" applyFont="1" applyFill="1" applyBorder="1" applyAlignment="1">
      <alignment vertical="center" wrapText="1"/>
    </xf>
    <xf numFmtId="43" fontId="14" fillId="9" borderId="44" xfId="83" applyFont="1" applyFill="1" applyBorder="1" applyAlignment="1">
      <alignment horizontal="center" vertical="center" wrapText="1"/>
    </xf>
    <xf numFmtId="43" fontId="14" fillId="9" borderId="45" xfId="83" applyFont="1" applyFill="1" applyBorder="1" applyAlignment="1">
      <alignment horizontal="center" vertical="center" wrapText="1"/>
    </xf>
    <xf numFmtId="43" fontId="18" fillId="0" borderId="0" xfId="83" applyFont="1"/>
    <xf numFmtId="0" fontId="22" fillId="9" borderId="79" xfId="81" applyFont="1" applyFill="1" applyBorder="1" applyAlignment="1">
      <alignment vertical="center" wrapText="1"/>
    </xf>
    <xf numFmtId="43" fontId="22" fillId="9" borderId="74" xfId="83" applyFont="1" applyFill="1" applyBorder="1" applyAlignment="1">
      <alignment horizontal="center" vertical="center" wrapText="1"/>
    </xf>
    <xf numFmtId="43" fontId="22" fillId="9" borderId="80" xfId="83" applyFont="1" applyFill="1" applyBorder="1" applyAlignment="1">
      <alignment horizontal="center" vertical="center" wrapText="1"/>
    </xf>
    <xf numFmtId="0" fontId="22" fillId="9" borderId="0" xfId="81" applyFont="1" applyFill="1"/>
    <xf numFmtId="0" fontId="22" fillId="9" borderId="40" xfId="81" applyFont="1" applyFill="1" applyBorder="1" applyAlignment="1">
      <alignment vertical="center" wrapText="1"/>
    </xf>
    <xf numFmtId="43" fontId="22" fillId="9" borderId="42" xfId="83" applyFont="1" applyFill="1" applyBorder="1" applyAlignment="1">
      <alignment horizontal="center" vertical="center" wrapText="1"/>
    </xf>
    <xf numFmtId="0" fontId="27" fillId="9" borderId="7" xfId="81" applyFont="1" applyFill="1" applyBorder="1"/>
    <xf numFmtId="44" fontId="22" fillId="9" borderId="80" xfId="84" applyFont="1" applyFill="1" applyBorder="1" applyAlignment="1">
      <alignment horizontal="center" vertical="center" wrapText="1"/>
    </xf>
    <xf numFmtId="0" fontId="2" fillId="9" borderId="7" xfId="81" applyFill="1" applyBorder="1"/>
    <xf numFmtId="0" fontId="2" fillId="9" borderId="8" xfId="81" applyFill="1" applyBorder="1"/>
    <xf numFmtId="0" fontId="22" fillId="9" borderId="81" xfId="81" applyFont="1" applyFill="1" applyBorder="1" applyAlignment="1">
      <alignment vertical="center" wrapText="1"/>
    </xf>
    <xf numFmtId="43" fontId="22" fillId="9" borderId="16" xfId="83" applyFont="1" applyFill="1" applyBorder="1" applyAlignment="1">
      <alignment horizontal="center" vertical="center" wrapText="1"/>
    </xf>
    <xf numFmtId="43" fontId="22" fillId="9" borderId="60" xfId="83" applyFont="1" applyFill="1" applyBorder="1" applyAlignment="1">
      <alignment horizontal="center" vertical="center" wrapText="1"/>
    </xf>
    <xf numFmtId="0" fontId="2" fillId="9" borderId="0" xfId="81" applyFill="1"/>
    <xf numFmtId="0" fontId="15" fillId="11" borderId="3" xfId="81" applyFont="1" applyFill="1" applyBorder="1" applyAlignment="1">
      <alignment horizontal="center" vertical="center" wrapText="1"/>
    </xf>
    <xf numFmtId="0" fontId="22" fillId="9" borderId="51" xfId="81" applyFont="1" applyFill="1" applyBorder="1" applyAlignment="1">
      <alignment vertical="center" wrapText="1"/>
    </xf>
    <xf numFmtId="43" fontId="15" fillId="20" borderId="82" xfId="83" applyFont="1" applyFill="1" applyBorder="1" applyAlignment="1">
      <alignment horizontal="center" vertical="center" wrapText="1"/>
    </xf>
    <xf numFmtId="0" fontId="22" fillId="9" borderId="58" xfId="81" applyFont="1" applyFill="1" applyBorder="1" applyAlignment="1">
      <alignment vertical="center" wrapText="1"/>
    </xf>
    <xf numFmtId="43" fontId="22" fillId="9" borderId="49" xfId="83" applyFont="1" applyFill="1" applyBorder="1" applyAlignment="1">
      <alignment horizontal="center" vertical="center" wrapText="1"/>
    </xf>
    <xf numFmtId="43" fontId="22" fillId="9" borderId="61" xfId="83" applyFont="1" applyFill="1" applyBorder="1" applyAlignment="1">
      <alignment horizontal="center" vertical="center" wrapText="1"/>
    </xf>
    <xf numFmtId="0" fontId="2" fillId="0" borderId="7" xfId="81" applyBorder="1"/>
    <xf numFmtId="0" fontId="2" fillId="0" borderId="8" xfId="81" applyBorder="1"/>
    <xf numFmtId="0" fontId="2" fillId="9" borderId="19" xfId="81" applyFill="1" applyBorder="1"/>
    <xf numFmtId="0" fontId="2" fillId="9" borderId="20" xfId="81" applyFill="1" applyBorder="1"/>
    <xf numFmtId="0" fontId="2" fillId="9" borderId="21" xfId="81" applyFill="1" applyBorder="1"/>
    <xf numFmtId="0" fontId="18" fillId="0" borderId="0" xfId="81" applyFont="1"/>
    <xf numFmtId="0" fontId="22" fillId="9" borderId="40" xfId="81" applyFont="1" applyFill="1" applyBorder="1" applyAlignment="1">
      <alignment vertical="center"/>
    </xf>
    <xf numFmtId="0" fontId="22" fillId="9" borderId="22" xfId="85" applyFont="1" applyFill="1" applyBorder="1"/>
    <xf numFmtId="0" fontId="27" fillId="9" borderId="35" xfId="85" applyFont="1" applyFill="1" applyBorder="1" applyAlignment="1">
      <alignment horizontal="center"/>
    </xf>
    <xf numFmtId="164" fontId="27" fillId="9" borderId="35" xfId="86" applyFont="1" applyFill="1" applyBorder="1" applyAlignment="1">
      <alignment horizontal="center"/>
    </xf>
    <xf numFmtId="0" fontId="22" fillId="9" borderId="35" xfId="85" applyFont="1" applyFill="1" applyBorder="1" applyAlignment="1">
      <alignment horizontal="center"/>
    </xf>
    <xf numFmtId="0" fontId="27" fillId="9" borderId="36" xfId="85" applyFont="1" applyFill="1" applyBorder="1"/>
    <xf numFmtId="0" fontId="44" fillId="0" borderId="0" xfId="85"/>
    <xf numFmtId="0" fontId="22" fillId="9" borderId="7" xfId="85" applyFont="1" applyFill="1" applyBorder="1"/>
    <xf numFmtId="0" fontId="27" fillId="9" borderId="0" xfId="85" applyFont="1" applyFill="1" applyAlignment="1">
      <alignment horizontal="center"/>
    </xf>
    <xf numFmtId="164" fontId="27" fillId="9" borderId="0" xfId="86" applyFont="1" applyFill="1" applyBorder="1" applyAlignment="1">
      <alignment horizontal="center"/>
    </xf>
    <xf numFmtId="0" fontId="22" fillId="9" borderId="0" xfId="85" applyFont="1" applyFill="1" applyAlignment="1">
      <alignment horizontal="center"/>
    </xf>
    <xf numFmtId="0" fontId="27" fillId="9" borderId="8" xfId="85" applyFont="1" applyFill="1" applyBorder="1"/>
    <xf numFmtId="0" fontId="15" fillId="11" borderId="1" xfId="85" applyFont="1" applyFill="1" applyBorder="1" applyAlignment="1">
      <alignment horizontal="center" vertical="center"/>
    </xf>
    <xf numFmtId="0" fontId="15" fillId="11" borderId="2" xfId="85" applyFont="1" applyFill="1" applyBorder="1" applyAlignment="1">
      <alignment horizontal="center" vertical="center" wrapText="1"/>
    </xf>
    <xf numFmtId="164" fontId="15" fillId="11" borderId="3" xfId="86" applyFont="1" applyFill="1" applyBorder="1" applyAlignment="1">
      <alignment horizontal="center" vertical="center" wrapText="1"/>
    </xf>
    <xf numFmtId="0" fontId="22" fillId="9" borderId="37" xfId="85" applyFont="1" applyFill="1" applyBorder="1" applyAlignment="1">
      <alignment vertical="center" wrapText="1"/>
    </xf>
    <xf numFmtId="164" fontId="22" fillId="9" borderId="38" xfId="86" applyFont="1" applyFill="1" applyBorder="1" applyAlignment="1">
      <alignment horizontal="center" vertical="center" wrapText="1"/>
    </xf>
    <xf numFmtId="43" fontId="22" fillId="9" borderId="42" xfId="83" applyFont="1" applyFill="1" applyBorder="1" applyAlignment="1">
      <alignment vertical="center" wrapText="1"/>
    </xf>
    <xf numFmtId="0" fontId="22" fillId="9" borderId="40" xfId="85" applyFont="1" applyFill="1" applyBorder="1" applyAlignment="1">
      <alignment vertical="center" wrapText="1"/>
    </xf>
    <xf numFmtId="164" fontId="22" fillId="9" borderId="41" xfId="86" applyFont="1" applyFill="1" applyBorder="1" applyAlignment="1">
      <alignment horizontal="center" vertical="center" wrapText="1"/>
    </xf>
    <xf numFmtId="2" fontId="22" fillId="9" borderId="42" xfId="86" applyNumberFormat="1" applyFont="1" applyFill="1" applyBorder="1" applyAlignment="1">
      <alignment vertical="center" wrapText="1"/>
    </xf>
    <xf numFmtId="0" fontId="15" fillId="12" borderId="4" xfId="85" applyFont="1" applyFill="1" applyBorder="1" applyAlignment="1">
      <alignment vertical="center" wrapText="1"/>
    </xf>
    <xf numFmtId="164" fontId="15" fillId="12" borderId="5" xfId="86" applyFont="1" applyFill="1" applyBorder="1" applyAlignment="1">
      <alignment horizontal="center" vertical="center" wrapText="1"/>
    </xf>
    <xf numFmtId="2" fontId="15" fillId="12" borderId="6" xfId="86" applyNumberFormat="1" applyFont="1" applyFill="1" applyBorder="1" applyAlignment="1">
      <alignment vertical="center" wrapText="1"/>
    </xf>
    <xf numFmtId="0" fontId="15" fillId="12" borderId="12" xfId="85" applyFont="1" applyFill="1" applyBorder="1" applyAlignment="1">
      <alignment vertical="center" wrapText="1"/>
    </xf>
    <xf numFmtId="164" fontId="15" fillId="12" borderId="13" xfId="86" applyFont="1" applyFill="1" applyBorder="1" applyAlignment="1">
      <alignment horizontal="center" vertical="center" wrapText="1"/>
    </xf>
    <xf numFmtId="2" fontId="15" fillId="12" borderId="14" xfId="86" applyNumberFormat="1" applyFont="1" applyFill="1" applyBorder="1" applyAlignment="1">
      <alignment vertical="center" wrapText="1"/>
    </xf>
    <xf numFmtId="0" fontId="27" fillId="9" borderId="7" xfId="85" applyFont="1" applyFill="1" applyBorder="1"/>
    <xf numFmtId="43" fontId="22" fillId="9" borderId="39" xfId="83" applyFont="1" applyFill="1" applyBorder="1" applyAlignment="1">
      <alignment vertical="center" wrapText="1"/>
    </xf>
    <xf numFmtId="43" fontId="22" fillId="9" borderId="45" xfId="83" applyFont="1" applyFill="1" applyBorder="1" applyAlignment="1">
      <alignment vertical="center" wrapText="1"/>
    </xf>
    <xf numFmtId="0" fontId="15" fillId="12" borderId="4" xfId="81" applyFont="1" applyFill="1" applyBorder="1" applyAlignment="1">
      <alignment vertical="center" wrapText="1"/>
    </xf>
    <xf numFmtId="43" fontId="15" fillId="12" borderId="5" xfId="83" applyFont="1" applyFill="1" applyBorder="1" applyAlignment="1">
      <alignment horizontal="center" vertical="center" wrapText="1"/>
    </xf>
    <xf numFmtId="43" fontId="15" fillId="12" borderId="6" xfId="83" applyFont="1" applyFill="1" applyBorder="1" applyAlignment="1">
      <alignment vertical="center" wrapText="1"/>
    </xf>
    <xf numFmtId="43" fontId="22" fillId="9" borderId="0" xfId="83" applyFont="1" applyFill="1" applyBorder="1" applyAlignment="1">
      <alignment horizontal="center"/>
    </xf>
    <xf numFmtId="0" fontId="22" fillId="9" borderId="8" xfId="81" applyFont="1" applyFill="1" applyBorder="1"/>
    <xf numFmtId="0" fontId="28" fillId="0" borderId="0" xfId="81" applyFont="1"/>
    <xf numFmtId="2" fontId="22" fillId="9" borderId="39" xfId="86" applyNumberFormat="1" applyFont="1" applyFill="1" applyBorder="1" applyAlignment="1">
      <alignment vertical="center" wrapText="1"/>
    </xf>
    <xf numFmtId="0" fontId="15" fillId="11" borderId="83" xfId="81" applyFont="1" applyFill="1" applyBorder="1" applyAlignment="1">
      <alignment horizontal="center" vertical="center"/>
    </xf>
    <xf numFmtId="0" fontId="15" fillId="11" borderId="84" xfId="81" applyFont="1" applyFill="1" applyBorder="1" applyAlignment="1">
      <alignment horizontal="center" vertical="center" wrapText="1"/>
    </xf>
    <xf numFmtId="43" fontId="15" fillId="11" borderId="85" xfId="83" applyFont="1" applyFill="1" applyBorder="1" applyAlignment="1">
      <alignment horizontal="center" vertical="center" wrapText="1"/>
    </xf>
    <xf numFmtId="43" fontId="22" fillId="9" borderId="41" xfId="83" applyFont="1" applyFill="1" applyBorder="1" applyAlignment="1">
      <alignment horizontal="center" vertical="center" wrapText="1"/>
    </xf>
    <xf numFmtId="0" fontId="15" fillId="12" borderId="43" xfId="81" applyFont="1" applyFill="1" applyBorder="1" applyAlignment="1">
      <alignment vertical="center" wrapText="1"/>
    </xf>
    <xf numFmtId="43" fontId="15" fillId="12" borderId="44" xfId="83" applyFont="1" applyFill="1" applyBorder="1" applyAlignment="1">
      <alignment horizontal="center" vertical="center" wrapText="1"/>
    </xf>
    <xf numFmtId="43" fontId="15" fillId="12" borderId="45" xfId="83" applyFont="1" applyFill="1" applyBorder="1" applyAlignment="1">
      <alignment vertical="center" wrapText="1"/>
    </xf>
    <xf numFmtId="0" fontId="19" fillId="9" borderId="37" xfId="81" applyFont="1" applyFill="1" applyBorder="1" applyAlignment="1">
      <alignment vertical="center" wrapText="1"/>
    </xf>
    <xf numFmtId="43" fontId="19" fillId="9" borderId="38" xfId="83" applyFont="1" applyFill="1" applyBorder="1" applyAlignment="1">
      <alignment horizontal="center" vertical="center" wrapText="1"/>
    </xf>
    <xf numFmtId="43" fontId="19" fillId="9" borderId="39" xfId="83" applyFont="1" applyFill="1" applyBorder="1" applyAlignment="1">
      <alignment vertical="center" wrapText="1"/>
    </xf>
    <xf numFmtId="0" fontId="27" fillId="9" borderId="19" xfId="81" applyFont="1" applyFill="1" applyBorder="1"/>
    <xf numFmtId="0" fontId="27" fillId="9" borderId="20" xfId="81" applyFont="1" applyFill="1" applyBorder="1" applyAlignment="1">
      <alignment horizontal="center"/>
    </xf>
    <xf numFmtId="43" fontId="27" fillId="9" borderId="20" xfId="83" applyFont="1" applyFill="1" applyBorder="1" applyAlignment="1">
      <alignment horizontal="center"/>
    </xf>
    <xf numFmtId="0" fontId="22" fillId="9" borderId="20" xfId="81" applyFont="1" applyFill="1" applyBorder="1" applyAlignment="1">
      <alignment horizontal="center"/>
    </xf>
    <xf numFmtId="0" fontId="27" fillId="9" borderId="21" xfId="81" applyFont="1" applyFill="1" applyBorder="1"/>
    <xf numFmtId="0" fontId="23" fillId="9" borderId="0" xfId="81" applyFont="1" applyFill="1"/>
    <xf numFmtId="0" fontId="23" fillId="9" borderId="0" xfId="81" applyFont="1" applyFill="1" applyAlignment="1">
      <alignment horizontal="center"/>
    </xf>
    <xf numFmtId="43" fontId="23" fillId="9" borderId="0" xfId="83" applyFont="1" applyFill="1" applyAlignment="1">
      <alignment horizontal="center"/>
    </xf>
    <xf numFmtId="0" fontId="29" fillId="9" borderId="0" xfId="81" applyFont="1" applyFill="1" applyAlignment="1">
      <alignment horizontal="center"/>
    </xf>
    <xf numFmtId="0" fontId="23" fillId="0" borderId="0" xfId="81" applyFont="1"/>
    <xf numFmtId="0" fontId="23" fillId="0" borderId="0" xfId="81" applyFont="1" applyAlignment="1">
      <alignment horizontal="center"/>
    </xf>
    <xf numFmtId="43" fontId="23" fillId="0" borderId="0" xfId="83" applyFont="1" applyAlignment="1">
      <alignment horizontal="center"/>
    </xf>
    <xf numFmtId="0" fontId="29" fillId="0" borderId="0" xfId="81" applyFont="1" applyAlignment="1">
      <alignment horizontal="center"/>
    </xf>
    <xf numFmtId="0" fontId="24" fillId="10" borderId="4" xfId="34" applyFont="1" applyFill="1" applyBorder="1" applyAlignment="1">
      <alignment horizontal="center" vertical="center" wrapText="1"/>
    </xf>
    <xf numFmtId="0" fontId="24" fillId="10" borderId="5" xfId="34" applyFont="1" applyFill="1" applyBorder="1" applyAlignment="1">
      <alignment horizontal="center" vertical="center" wrapText="1"/>
    </xf>
    <xf numFmtId="0" fontId="24" fillId="10" borderId="6" xfId="34" applyFont="1" applyFill="1" applyBorder="1" applyAlignment="1">
      <alignment horizontal="center" vertical="center" wrapText="1"/>
    </xf>
    <xf numFmtId="0" fontId="37" fillId="9" borderId="7" xfId="34" applyFont="1" applyFill="1" applyBorder="1" applyAlignment="1">
      <alignment horizontal="center" vertical="center" wrapText="1"/>
    </xf>
    <xf numFmtId="0" fontId="37" fillId="9" borderId="0" xfId="34" applyFont="1" applyFill="1" applyAlignment="1">
      <alignment horizontal="center" vertical="center" wrapText="1"/>
    </xf>
    <xf numFmtId="0" fontId="37" fillId="9" borderId="8" xfId="34" applyFont="1" applyFill="1" applyBorder="1" applyAlignment="1">
      <alignment horizontal="center" vertical="center" wrapText="1"/>
    </xf>
    <xf numFmtId="0" fontId="38" fillId="9" borderId="7" xfId="34" applyFont="1" applyFill="1" applyBorder="1" applyAlignment="1">
      <alignment horizontal="center" vertical="center" wrapText="1"/>
    </xf>
    <xf numFmtId="0" fontId="38" fillId="9" borderId="0" xfId="34" applyFont="1" applyFill="1" applyAlignment="1">
      <alignment horizontal="center" vertical="center" wrapText="1"/>
    </xf>
    <xf numFmtId="0" fontId="38" fillId="9" borderId="8" xfId="34" applyFont="1" applyFill="1" applyBorder="1" applyAlignment="1">
      <alignment horizontal="center" vertical="center" wrapText="1"/>
    </xf>
    <xf numFmtId="0" fontId="39" fillId="9" borderId="7" xfId="34" applyFont="1" applyFill="1" applyBorder="1" applyAlignment="1">
      <alignment horizontal="center" vertical="center" wrapText="1"/>
    </xf>
    <xf numFmtId="0" fontId="39" fillId="9" borderId="0" xfId="34" applyFont="1" applyFill="1" applyAlignment="1">
      <alignment horizontal="center" vertical="center" wrapText="1"/>
    </xf>
    <xf numFmtId="0" fontId="39" fillId="9" borderId="8" xfId="34" applyFont="1" applyFill="1" applyBorder="1" applyAlignment="1">
      <alignment horizontal="center" vertical="center" wrapText="1"/>
    </xf>
    <xf numFmtId="0" fontId="24" fillId="10" borderId="4" xfId="79" applyFont="1" applyFill="1" applyBorder="1" applyAlignment="1">
      <alignment horizontal="center" vertical="center" wrapText="1"/>
    </xf>
    <xf numFmtId="0" fontId="24" fillId="10" borderId="5" xfId="79" applyFont="1" applyFill="1" applyBorder="1" applyAlignment="1">
      <alignment horizontal="center" vertical="center" wrapText="1"/>
    </xf>
    <xf numFmtId="0" fontId="24" fillId="10" borderId="6" xfId="79" applyFont="1" applyFill="1" applyBorder="1" applyAlignment="1">
      <alignment horizontal="center" vertical="center" wrapText="1"/>
    </xf>
    <xf numFmtId="0" fontId="24" fillId="4" borderId="4" xfId="79" applyFont="1" applyFill="1" applyBorder="1" applyAlignment="1">
      <alignment horizontal="center" vertical="center" wrapText="1"/>
    </xf>
    <xf numFmtId="0" fontId="24" fillId="4" borderId="5" xfId="79" applyFont="1" applyFill="1" applyBorder="1" applyAlignment="1">
      <alignment horizontal="center" vertical="center" wrapText="1"/>
    </xf>
    <xf numFmtId="0" fontId="24" fillId="4" borderId="6" xfId="79" applyFont="1" applyFill="1" applyBorder="1" applyAlignment="1">
      <alignment horizontal="center" vertical="center" wrapText="1"/>
    </xf>
    <xf numFmtId="0" fontId="24" fillId="10" borderId="4" xfId="81" applyFont="1" applyFill="1" applyBorder="1" applyAlignment="1">
      <alignment horizontal="center" vertical="center" wrapText="1"/>
    </xf>
    <xf numFmtId="0" fontId="24" fillId="10" borderId="5" xfId="81" applyFont="1" applyFill="1" applyBorder="1" applyAlignment="1">
      <alignment horizontal="center" vertical="center" wrapText="1"/>
    </xf>
    <xf numFmtId="0" fontId="24" fillId="10" borderId="6" xfId="81" applyFont="1" applyFill="1" applyBorder="1" applyAlignment="1">
      <alignment horizontal="center" vertical="center" wrapText="1"/>
    </xf>
    <xf numFmtId="0" fontId="24" fillId="4" borderId="4" xfId="81" applyFont="1" applyFill="1" applyBorder="1" applyAlignment="1">
      <alignment horizontal="center" vertical="center" wrapText="1"/>
    </xf>
    <xf numFmtId="0" fontId="24" fillId="4" borderId="5" xfId="81" applyFont="1" applyFill="1" applyBorder="1" applyAlignment="1">
      <alignment horizontal="center" vertical="center" wrapText="1"/>
    </xf>
    <xf numFmtId="0" fontId="24" fillId="4" borderId="6" xfId="81" applyFont="1" applyFill="1" applyBorder="1" applyAlignment="1">
      <alignment horizontal="center" vertical="center" wrapText="1"/>
    </xf>
    <xf numFmtId="0" fontId="2" fillId="0" borderId="0" xfId="81" applyAlignment="1">
      <alignment horizontal="center"/>
    </xf>
    <xf numFmtId="0" fontId="24" fillId="10" borderId="33" xfId="81" applyFont="1" applyFill="1" applyBorder="1" applyAlignment="1">
      <alignment horizontal="center" vertical="center" wrapText="1"/>
    </xf>
    <xf numFmtId="0" fontId="24" fillId="4" borderId="33" xfId="81" applyFont="1" applyFill="1" applyBorder="1" applyAlignment="1">
      <alignment horizontal="center" vertical="center" wrapText="1"/>
    </xf>
    <xf numFmtId="0" fontId="15" fillId="20" borderId="17" xfId="81" applyFont="1" applyFill="1" applyBorder="1" applyAlignment="1">
      <alignment horizontal="center" vertical="center" wrapText="1"/>
    </xf>
    <xf numFmtId="0" fontId="15" fillId="20" borderId="46" xfId="81" applyFont="1" applyFill="1" applyBorder="1" applyAlignment="1">
      <alignment horizontal="center" vertical="center" wrapText="1"/>
    </xf>
    <xf numFmtId="0" fontId="15" fillId="20" borderId="59" xfId="8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left" vertical="top" wrapText="1"/>
    </xf>
    <xf numFmtId="0" fontId="12" fillId="3" borderId="48" xfId="0" applyFont="1" applyFill="1" applyBorder="1" applyAlignment="1">
      <alignment horizontal="left" vertical="top" wrapText="1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14" fontId="29" fillId="0" borderId="23" xfId="0" applyNumberFormat="1" applyFont="1" applyBorder="1" applyAlignment="1">
      <alignment horizontal="left" vertical="center" wrapText="1"/>
    </xf>
    <xf numFmtId="14" fontId="29" fillId="0" borderId="26" xfId="0" applyNumberFormat="1" applyFont="1" applyBorder="1" applyAlignment="1">
      <alignment horizontal="left" vertical="center" wrapText="1"/>
    </xf>
    <xf numFmtId="14" fontId="29" fillId="0" borderId="27" xfId="0" applyNumberFormat="1" applyFont="1" applyBorder="1" applyAlignment="1">
      <alignment horizontal="left"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46" fillId="21" borderId="0" xfId="87" applyFont="1" applyFill="1"/>
    <xf numFmtId="0" fontId="45" fillId="0" borderId="0" xfId="88" applyFont="1" applyAlignment="1">
      <alignment vertical="center" wrapText="1"/>
    </xf>
    <xf numFmtId="0" fontId="47" fillId="0" borderId="0" xfId="88" applyFont="1" applyAlignment="1">
      <alignment vertical="center"/>
    </xf>
    <xf numFmtId="0" fontId="48" fillId="0" borderId="0" xfId="88" applyFont="1" applyAlignment="1">
      <alignment vertical="center" wrapText="1"/>
    </xf>
    <xf numFmtId="44" fontId="48" fillId="0" borderId="0" xfId="89" applyFont="1" applyAlignment="1">
      <alignment vertical="center" wrapText="1"/>
    </xf>
    <xf numFmtId="0" fontId="1" fillId="0" borderId="0" xfId="87"/>
    <xf numFmtId="0" fontId="24" fillId="22" borderId="17" xfId="87" applyFont="1" applyFill="1" applyBorder="1" applyAlignment="1">
      <alignment horizontal="center" vertical="center" wrapText="1"/>
    </xf>
    <xf numFmtId="0" fontId="24" fillId="22" borderId="46" xfId="87" applyFont="1" applyFill="1" applyBorder="1" applyAlignment="1">
      <alignment horizontal="center" vertical="center" wrapText="1"/>
    </xf>
    <xf numFmtId="0" fontId="24" fillId="22" borderId="18" xfId="87" applyFont="1" applyFill="1" applyBorder="1" applyAlignment="1">
      <alignment horizontal="center" vertical="center" wrapText="1"/>
    </xf>
    <xf numFmtId="0" fontId="31" fillId="0" borderId="0" xfId="87" applyFont="1"/>
    <xf numFmtId="0" fontId="12" fillId="23" borderId="86" xfId="87" applyFont="1" applyFill="1" applyBorder="1" applyAlignment="1">
      <alignment vertical="center" wrapText="1"/>
    </xf>
    <xf numFmtId="169" fontId="21" fillId="21" borderId="87" xfId="87" applyNumberFormat="1" applyFont="1" applyFill="1" applyBorder="1" applyAlignment="1">
      <alignment vertical="center" wrapText="1"/>
    </xf>
    <xf numFmtId="44" fontId="21" fillId="21" borderId="87" xfId="89" applyFont="1" applyFill="1" applyBorder="1" applyAlignment="1">
      <alignment vertical="center" wrapText="1"/>
    </xf>
    <xf numFmtId="44" fontId="21" fillId="21" borderId="88" xfId="89" applyFont="1" applyFill="1" applyBorder="1" applyAlignment="1">
      <alignment vertical="center" wrapText="1"/>
    </xf>
    <xf numFmtId="0" fontId="12" fillId="23" borderId="89" xfId="87" applyFont="1" applyFill="1" applyBorder="1" applyAlignment="1">
      <alignment vertical="center" wrapText="1"/>
    </xf>
    <xf numFmtId="169" fontId="21" fillId="21" borderId="90" xfId="87" applyNumberFormat="1" applyFont="1" applyFill="1" applyBorder="1" applyAlignment="1">
      <alignment vertical="center" wrapText="1"/>
    </xf>
    <xf numFmtId="44" fontId="21" fillId="21" borderId="90" xfId="89" applyFont="1" applyFill="1" applyBorder="1" applyAlignment="1">
      <alignment vertical="center" wrapText="1"/>
    </xf>
    <xf numFmtId="44" fontId="21" fillId="21" borderId="91" xfId="89" applyFont="1" applyFill="1" applyBorder="1" applyAlignment="1">
      <alignment vertical="center" wrapText="1"/>
    </xf>
    <xf numFmtId="0" fontId="12" fillId="23" borderId="92" xfId="87" applyFont="1" applyFill="1" applyBorder="1" applyAlignment="1">
      <alignment vertical="center" wrapText="1"/>
    </xf>
    <xf numFmtId="170" fontId="21" fillId="21" borderId="90" xfId="87" applyNumberFormat="1" applyFont="1" applyFill="1" applyBorder="1" applyAlignment="1">
      <alignment horizontal="left" vertical="center" wrapText="1"/>
    </xf>
    <xf numFmtId="0" fontId="12" fillId="23" borderId="93" xfId="87" applyFont="1" applyFill="1" applyBorder="1" applyAlignment="1">
      <alignment vertical="center" wrapText="1"/>
    </xf>
    <xf numFmtId="169" fontId="21" fillId="21" borderId="94" xfId="87" applyNumberFormat="1" applyFont="1" applyFill="1" applyBorder="1" applyAlignment="1">
      <alignment vertical="center" wrapText="1"/>
    </xf>
    <xf numFmtId="44" fontId="21" fillId="21" borderId="94" xfId="89" applyFont="1" applyFill="1" applyBorder="1" applyAlignment="1">
      <alignment vertical="center" wrapText="1"/>
    </xf>
    <xf numFmtId="44" fontId="21" fillId="21" borderId="95" xfId="89" applyFont="1" applyFill="1" applyBorder="1" applyAlignment="1">
      <alignment vertical="center" wrapText="1"/>
    </xf>
    <xf numFmtId="0" fontId="49" fillId="0" borderId="0" xfId="88" applyFont="1" applyAlignment="1">
      <alignment vertical="center"/>
    </xf>
    <xf numFmtId="0" fontId="50" fillId="4" borderId="15" xfId="88" applyFont="1" applyFill="1" applyBorder="1" applyAlignment="1">
      <alignment horizontal="center" vertical="center" wrapText="1"/>
    </xf>
    <xf numFmtId="0" fontId="50" fillId="4" borderId="24" xfId="88" applyFont="1" applyFill="1" applyBorder="1" applyAlignment="1">
      <alignment horizontal="center" vertical="center" wrapText="1"/>
    </xf>
    <xf numFmtId="0" fontId="50" fillId="4" borderId="2" xfId="88" applyFont="1" applyFill="1" applyBorder="1" applyAlignment="1">
      <alignment horizontal="center" vertical="center" wrapText="1"/>
    </xf>
    <xf numFmtId="44" fontId="50" fillId="4" borderId="31" xfId="89" applyFont="1" applyFill="1" applyBorder="1" applyAlignment="1">
      <alignment horizontal="center" vertical="center" wrapText="1"/>
    </xf>
    <xf numFmtId="44" fontId="50" fillId="4" borderId="3" xfId="89" applyFont="1" applyFill="1" applyBorder="1" applyAlignment="1">
      <alignment horizontal="center" vertical="center" wrapText="1"/>
    </xf>
    <xf numFmtId="0" fontId="47" fillId="0" borderId="0" xfId="88" applyFont="1" applyAlignment="1">
      <alignment horizontal="center" vertical="center"/>
    </xf>
    <xf numFmtId="0" fontId="51" fillId="0" borderId="96" xfId="88" applyFont="1" applyBorder="1" applyAlignment="1">
      <alignment horizontal="center" vertical="center"/>
    </xf>
    <xf numFmtId="0" fontId="45" fillId="0" borderId="97" xfId="88" applyFont="1" applyBorder="1" applyAlignment="1">
      <alignment horizontal="center" vertical="center" wrapText="1"/>
    </xf>
    <xf numFmtId="0" fontId="45" fillId="0" borderId="41" xfId="88" applyFont="1" applyBorder="1" applyAlignment="1">
      <alignment vertical="center" wrapText="1"/>
    </xf>
    <xf numFmtId="43" fontId="11" fillId="0" borderId="41" xfId="90" applyFont="1" applyFill="1" applyBorder="1" applyAlignment="1">
      <alignment vertical="center"/>
    </xf>
    <xf numFmtId="44" fontId="11" fillId="0" borderId="98" xfId="89" applyFont="1" applyFill="1" applyBorder="1" applyAlignment="1">
      <alignment vertical="center"/>
    </xf>
    <xf numFmtId="44" fontId="45" fillId="0" borderId="42" xfId="89" applyFont="1" applyFill="1" applyBorder="1" applyAlignment="1">
      <alignment vertical="center"/>
    </xf>
    <xf numFmtId="0" fontId="45" fillId="0" borderId="49" xfId="88" applyFont="1" applyBorder="1" applyAlignment="1">
      <alignment horizontal="center" vertical="center" wrapText="1"/>
    </xf>
    <xf numFmtId="0" fontId="51" fillId="0" borderId="7" xfId="88" applyFont="1" applyBorder="1" applyAlignment="1">
      <alignment horizontal="center" vertical="center"/>
    </xf>
    <xf numFmtId="0" fontId="51" fillId="7" borderId="5" xfId="88" applyFont="1" applyFill="1" applyBorder="1" applyAlignment="1">
      <alignment horizontal="center" vertical="center" wrapText="1"/>
    </xf>
    <xf numFmtId="0" fontId="51" fillId="7" borderId="50" xfId="88" applyFont="1" applyFill="1" applyBorder="1" applyAlignment="1">
      <alignment horizontal="center" vertical="center" wrapText="1"/>
    </xf>
    <xf numFmtId="43" fontId="52" fillId="7" borderId="5" xfId="90" applyFont="1" applyFill="1" applyBorder="1" applyAlignment="1">
      <alignment vertical="center"/>
    </xf>
    <xf numFmtId="44" fontId="52" fillId="7" borderId="33" xfId="89" applyFont="1" applyFill="1" applyBorder="1" applyAlignment="1">
      <alignment vertical="center"/>
    </xf>
    <xf numFmtId="44" fontId="52" fillId="7" borderId="5" xfId="89" applyFont="1" applyFill="1" applyBorder="1" applyAlignment="1">
      <alignment vertical="center"/>
    </xf>
    <xf numFmtId="0" fontId="51" fillId="0" borderId="96" xfId="88" applyFont="1" applyBorder="1" applyAlignment="1">
      <alignment horizontal="center" vertical="center"/>
    </xf>
    <xf numFmtId="0" fontId="51" fillId="5" borderId="5" xfId="88" applyFont="1" applyFill="1" applyBorder="1" applyAlignment="1">
      <alignment horizontal="center" vertical="center" wrapText="1"/>
    </xf>
    <xf numFmtId="43" fontId="52" fillId="5" borderId="5" xfId="90" applyFont="1" applyFill="1" applyBorder="1" applyAlignment="1">
      <alignment vertical="center"/>
    </xf>
    <xf numFmtId="44" fontId="52" fillId="5" borderId="33" xfId="89" applyFont="1" applyFill="1" applyBorder="1" applyAlignment="1">
      <alignment vertical="center"/>
    </xf>
    <xf numFmtId="44" fontId="52" fillId="5" borderId="5" xfId="89" applyFont="1" applyFill="1" applyBorder="1" applyAlignment="1">
      <alignment vertical="center"/>
    </xf>
    <xf numFmtId="0" fontId="51" fillId="0" borderId="99" xfId="88" applyFont="1" applyBorder="1" applyAlignment="1">
      <alignment horizontal="center" vertical="center"/>
    </xf>
    <xf numFmtId="0" fontId="45" fillId="0" borderId="49" xfId="88" applyFont="1" applyBorder="1" applyAlignment="1">
      <alignment vertical="center" wrapText="1"/>
    </xf>
    <xf numFmtId="43" fontId="11" fillId="0" borderId="49" xfId="90" applyFont="1" applyFill="1" applyBorder="1" applyAlignment="1">
      <alignment vertical="center"/>
    </xf>
    <xf numFmtId="44" fontId="11" fillId="0" borderId="100" xfId="89" applyFont="1" applyFill="1" applyBorder="1" applyAlignment="1">
      <alignment vertical="center"/>
    </xf>
    <xf numFmtId="44" fontId="45" fillId="0" borderId="80" xfId="89" applyFont="1" applyFill="1" applyBorder="1" applyAlignment="1">
      <alignment vertical="center"/>
    </xf>
    <xf numFmtId="0" fontId="45" fillId="0" borderId="97" xfId="88" applyFont="1" applyBorder="1" applyAlignment="1">
      <alignment vertical="center" wrapText="1"/>
    </xf>
    <xf numFmtId="43" fontId="11" fillId="0" borderId="97" xfId="90" applyFont="1" applyFill="1" applyBorder="1" applyAlignment="1">
      <alignment vertical="center"/>
    </xf>
    <xf numFmtId="44" fontId="11" fillId="0" borderId="101" xfId="89" applyFont="1" applyFill="1" applyBorder="1" applyAlignment="1">
      <alignment vertical="center"/>
    </xf>
    <xf numFmtId="0" fontId="45" fillId="0" borderId="71" xfId="88" applyFont="1" applyBorder="1" applyAlignment="1">
      <alignment horizontal="center" vertical="center" wrapText="1"/>
    </xf>
    <xf numFmtId="0" fontId="51" fillId="7" borderId="33" xfId="88" applyFont="1" applyFill="1" applyBorder="1" applyAlignment="1">
      <alignment horizontal="center" vertical="center" wrapText="1"/>
    </xf>
    <xf numFmtId="0" fontId="51" fillId="7" borderId="26" xfId="88" applyFont="1" applyFill="1" applyBorder="1" applyAlignment="1">
      <alignment horizontal="center" vertical="center" wrapText="1"/>
    </xf>
    <xf numFmtId="0" fontId="11" fillId="0" borderId="102" xfId="88" applyFont="1" applyBorder="1" applyAlignment="1">
      <alignment horizontal="center" vertical="center" wrapText="1"/>
    </xf>
    <xf numFmtId="0" fontId="11" fillId="0" borderId="49" xfId="88" applyFont="1" applyBorder="1" applyAlignment="1">
      <alignment vertical="center" wrapText="1"/>
    </xf>
    <xf numFmtId="0" fontId="11" fillId="0" borderId="49" xfId="88" applyFont="1" applyBorder="1" applyAlignment="1">
      <alignment horizontal="center" vertical="center" wrapText="1"/>
    </xf>
    <xf numFmtId="0" fontId="11" fillId="0" borderId="97" xfId="88" applyFont="1" applyBorder="1" applyAlignment="1">
      <alignment vertical="center" wrapText="1"/>
    </xf>
    <xf numFmtId="0" fontId="11" fillId="0" borderId="103" xfId="88" applyFont="1" applyBorder="1" applyAlignment="1">
      <alignment horizontal="center" vertical="center" wrapText="1"/>
    </xf>
    <xf numFmtId="0" fontId="11" fillId="0" borderId="41" xfId="88" applyFont="1" applyBorder="1" applyAlignment="1">
      <alignment vertical="center" wrapText="1"/>
    </xf>
    <xf numFmtId="0" fontId="52" fillId="7" borderId="5" xfId="88" applyFont="1" applyFill="1" applyBorder="1" applyAlignment="1">
      <alignment horizontal="center" vertical="center" wrapText="1"/>
    </xf>
    <xf numFmtId="0" fontId="52" fillId="7" borderId="50" xfId="88" applyFont="1" applyFill="1" applyBorder="1" applyAlignment="1">
      <alignment horizontal="center" vertical="center" wrapText="1"/>
    </xf>
    <xf numFmtId="0" fontId="45" fillId="0" borderId="49" xfId="88" applyFont="1" applyBorder="1" applyAlignment="1">
      <alignment horizontal="center" vertical="center" wrapText="1"/>
    </xf>
    <xf numFmtId="44" fontId="52" fillId="7" borderId="6" xfId="89" applyFont="1" applyFill="1" applyBorder="1" applyAlignment="1">
      <alignment vertical="center"/>
    </xf>
    <xf numFmtId="0" fontId="11" fillId="0" borderId="102" xfId="88" applyFont="1" applyBorder="1" applyAlignment="1">
      <alignment horizontal="center" vertical="center" wrapText="1"/>
    </xf>
    <xf numFmtId="0" fontId="11" fillId="0" borderId="38" xfId="88" applyFont="1" applyBorder="1" applyAlignment="1">
      <alignment vertical="center" wrapText="1"/>
    </xf>
    <xf numFmtId="43" fontId="11" fillId="0" borderId="38" xfId="90" applyFont="1" applyFill="1" applyBorder="1" applyAlignment="1">
      <alignment vertical="center"/>
    </xf>
    <xf numFmtId="44" fontId="11" fillId="0" borderId="104" xfId="89" applyFont="1" applyFill="1" applyBorder="1" applyAlignment="1">
      <alignment vertical="center"/>
    </xf>
    <xf numFmtId="44" fontId="45" fillId="0" borderId="38" xfId="89" applyFont="1" applyFill="1" applyBorder="1" applyAlignment="1">
      <alignment vertical="center"/>
    </xf>
    <xf numFmtId="0" fontId="51" fillId="5" borderId="103" xfId="88" applyFont="1" applyFill="1" applyBorder="1" applyAlignment="1">
      <alignment horizontal="center" vertical="center" wrapText="1"/>
    </xf>
    <xf numFmtId="0" fontId="51" fillId="5" borderId="105" xfId="88" applyFont="1" applyFill="1" applyBorder="1" applyAlignment="1">
      <alignment horizontal="center" vertical="center" wrapText="1"/>
    </xf>
    <xf numFmtId="43" fontId="52" fillId="5" borderId="103" xfId="90" applyFont="1" applyFill="1" applyBorder="1" applyAlignment="1">
      <alignment vertical="center"/>
    </xf>
    <xf numFmtId="0" fontId="51" fillId="0" borderId="32" xfId="88" applyFont="1" applyBorder="1" applyAlignment="1">
      <alignment horizontal="center" vertical="center"/>
    </xf>
    <xf numFmtId="0" fontId="51" fillId="0" borderId="106" xfId="88" applyFont="1" applyBorder="1" applyAlignment="1">
      <alignment horizontal="center" vertical="center"/>
    </xf>
    <xf numFmtId="0" fontId="11" fillId="0" borderId="71" xfId="88" applyFont="1" applyBorder="1" applyAlignment="1">
      <alignment horizontal="center" vertical="center" wrapText="1"/>
    </xf>
    <xf numFmtId="0" fontId="11" fillId="0" borderId="49" xfId="88" applyFont="1" applyBorder="1" applyAlignment="1">
      <alignment horizontal="center" vertical="center" wrapText="1"/>
    </xf>
    <xf numFmtId="0" fontId="51" fillId="0" borderId="0" xfId="88" applyFont="1" applyAlignment="1">
      <alignment horizontal="center" vertical="center"/>
    </xf>
    <xf numFmtId="44" fontId="52" fillId="5" borderId="107" xfId="89" applyFont="1" applyFill="1" applyBorder="1" applyAlignment="1">
      <alignment vertical="center"/>
    </xf>
    <xf numFmtId="44" fontId="52" fillId="5" borderId="103" xfId="89" applyFont="1" applyFill="1" applyBorder="1" applyAlignment="1">
      <alignment vertical="center"/>
    </xf>
    <xf numFmtId="0" fontId="50" fillId="20" borderId="16" xfId="88" applyFont="1" applyFill="1" applyBorder="1" applyAlignment="1">
      <alignment horizontal="center" vertical="center" wrapText="1"/>
    </xf>
    <xf numFmtId="43" fontId="50" fillId="20" borderId="16" xfId="90" applyFont="1" applyFill="1" applyBorder="1" applyAlignment="1">
      <alignment vertical="center"/>
    </xf>
    <xf numFmtId="44" fontId="50" fillId="20" borderId="108" xfId="89" applyFont="1" applyFill="1" applyBorder="1" applyAlignment="1">
      <alignment vertical="center"/>
    </xf>
    <xf numFmtId="44" fontId="50" fillId="20" borderId="60" xfId="89" applyFont="1" applyFill="1" applyBorder="1" applyAlignment="1">
      <alignment vertical="center"/>
    </xf>
    <xf numFmtId="0" fontId="50" fillId="20" borderId="13" xfId="88" applyFont="1" applyFill="1" applyBorder="1" applyAlignment="1">
      <alignment horizontal="center" vertical="center" wrapText="1"/>
    </xf>
    <xf numFmtId="43" fontId="50" fillId="20" borderId="13" xfId="90" applyFont="1" applyFill="1" applyBorder="1" applyAlignment="1">
      <alignment vertical="center"/>
    </xf>
    <xf numFmtId="44" fontId="50" fillId="20" borderId="54" xfId="89" applyFont="1" applyFill="1" applyBorder="1" applyAlignment="1">
      <alignment vertical="center"/>
    </xf>
    <xf numFmtId="44" fontId="50" fillId="20" borderId="14" xfId="89" applyFont="1" applyFill="1" applyBorder="1" applyAlignment="1">
      <alignment vertical="center"/>
    </xf>
    <xf numFmtId="44" fontId="47" fillId="0" borderId="0" xfId="89" applyFont="1" applyAlignment="1">
      <alignment vertical="center"/>
    </xf>
    <xf numFmtId="0" fontId="10" fillId="0" borderId="109" xfId="0" applyFont="1" applyBorder="1" applyAlignment="1">
      <alignment horizontal="right" vertical="top"/>
    </xf>
    <xf numFmtId="0" fontId="10" fillId="0" borderId="109" xfId="0" applyFont="1" applyBorder="1" applyAlignment="1">
      <alignment horizontal="center" vertical="top"/>
    </xf>
    <xf numFmtId="0" fontId="10" fillId="0" borderId="110" xfId="0" applyFont="1" applyBorder="1" applyAlignment="1">
      <alignment horizontal="left" vertical="top" wrapText="1"/>
    </xf>
    <xf numFmtId="0" fontId="10" fillId="0" borderId="109" xfId="0" applyFont="1" applyBorder="1" applyAlignment="1">
      <alignment horizontal="left" vertical="top" wrapText="1"/>
    </xf>
  </cellXfs>
  <cellStyles count="91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DiRootsCustomParamStyle" xfId="15" xr:uid="{00000000-0005-0000-0000-000004000000}"/>
    <cellStyle name="DiRootsCustomParamStyle 2" xfId="32" xr:uid="{00000000-0005-0000-0000-000005000000}"/>
    <cellStyle name="DiRootsFullNameTitleStyle" xfId="11" xr:uid="{00000000-0005-0000-0000-000006000000}"/>
    <cellStyle name="DiRootsHeaderStyle" xfId="13" xr:uid="{00000000-0005-0000-0000-000007000000}"/>
    <cellStyle name="DiRootsHeaderStyle 2" xfId="30" xr:uid="{00000000-0005-0000-0000-000008000000}"/>
    <cellStyle name="DiRootsParameterNotFound" xfId="14" xr:uid="{00000000-0005-0000-0000-000009000000}"/>
    <cellStyle name="DiRootsParameterNotFound 2" xfId="31" xr:uid="{00000000-0005-0000-0000-00000A000000}"/>
    <cellStyle name="DiRootsReadOnly" xfId="16" xr:uid="{00000000-0005-0000-0000-00000B000000}"/>
    <cellStyle name="DiRootsReadOnly 2" xfId="33" xr:uid="{00000000-0005-0000-0000-00000C000000}"/>
    <cellStyle name="DiRootsTypeStyle" xfId="19" xr:uid="{00000000-0005-0000-0000-00000D000000}"/>
    <cellStyle name="Hiperlink" xfId="9" builtinId="8"/>
    <cellStyle name="Moeda 10" xfId="57" xr:uid="{00000000-0005-0000-0000-00000F000000}"/>
    <cellStyle name="Moeda 11" xfId="59" xr:uid="{00000000-0005-0000-0000-000010000000}"/>
    <cellStyle name="Moeda 12" xfId="61" xr:uid="{00000000-0005-0000-0000-000011000000}"/>
    <cellStyle name="Moeda 13" xfId="68" xr:uid="{00000000-0005-0000-0000-000012000000}"/>
    <cellStyle name="Moeda 14" xfId="72" xr:uid="{00000000-0005-0000-0000-000013000000}"/>
    <cellStyle name="Moeda 15" xfId="76" xr:uid="{00000000-0005-0000-0000-000014000000}"/>
    <cellStyle name="Moeda 16" xfId="77" xr:uid="{00000000-0005-0000-0000-000015000000}"/>
    <cellStyle name="Moeda 17" xfId="89" xr:uid="{8D2D8B9F-5D33-482A-8333-BE3762197114}"/>
    <cellStyle name="Moeda 2" xfId="20" xr:uid="{00000000-0005-0000-0000-000016000000}"/>
    <cellStyle name="Moeda 2 2" xfId="84" xr:uid="{FD7AAE59-8348-42BA-B787-58253542B2AD}"/>
    <cellStyle name="Moeda 3" xfId="22" xr:uid="{00000000-0005-0000-0000-000017000000}"/>
    <cellStyle name="Moeda 4" xfId="27" xr:uid="{00000000-0005-0000-0000-000018000000}"/>
    <cellStyle name="Moeda 5" xfId="47" xr:uid="{00000000-0005-0000-0000-000019000000}"/>
    <cellStyle name="Moeda 6" xfId="49" xr:uid="{00000000-0005-0000-0000-00001A000000}"/>
    <cellStyle name="Moeda 7" xfId="51" xr:uid="{00000000-0005-0000-0000-00001B000000}"/>
    <cellStyle name="Moeda 8" xfId="53" xr:uid="{00000000-0005-0000-0000-00001C000000}"/>
    <cellStyle name="Moeda 9" xfId="55" xr:uid="{00000000-0005-0000-0000-00001D000000}"/>
    <cellStyle name="Normal" xfId="0" builtinId="0"/>
    <cellStyle name="Normal 10" xfId="74" xr:uid="{00000000-0005-0000-0000-00001F000000}"/>
    <cellStyle name="Normal 11" xfId="81" xr:uid="{E9D2405D-B30F-4F9A-BDF3-10C956431749}"/>
    <cellStyle name="Normal 12" xfId="87" xr:uid="{F25BFC98-19EA-4AF7-89BF-D26BA3D1C1E9}"/>
    <cellStyle name="Normal 2" xfId="7" xr:uid="{00000000-0005-0000-0000-000020000000}"/>
    <cellStyle name="Normal 2 2" xfId="17" xr:uid="{00000000-0005-0000-0000-000021000000}"/>
    <cellStyle name="Normal 2 3" xfId="21" xr:uid="{00000000-0005-0000-0000-000022000000}"/>
    <cellStyle name="Normal 2 4" xfId="24" xr:uid="{00000000-0005-0000-0000-000023000000}"/>
    <cellStyle name="Normal 2 5" xfId="25" xr:uid="{00000000-0005-0000-0000-000024000000}"/>
    <cellStyle name="Normal 2 6" xfId="40" xr:uid="{00000000-0005-0000-0000-000025000000}"/>
    <cellStyle name="Normal 3" xfId="10" xr:uid="{00000000-0005-0000-0000-000026000000}"/>
    <cellStyle name="Normal 3 2" xfId="34" xr:uid="{00000000-0005-0000-0000-000027000000}"/>
    <cellStyle name="Normal 3 2 2" xfId="82" xr:uid="{AB1580C7-ABA4-4F6C-AD75-BCF22E26C35C}"/>
    <cellStyle name="Normal 4" xfId="28" xr:uid="{00000000-0005-0000-0000-000028000000}"/>
    <cellStyle name="Normal 5" xfId="29" xr:uid="{00000000-0005-0000-0000-000029000000}"/>
    <cellStyle name="Normal 6" xfId="36" xr:uid="{00000000-0005-0000-0000-00002A000000}"/>
    <cellStyle name="Normal 6 2" xfId="85" xr:uid="{05651E90-B93F-47EA-ABFD-B5750913D6FE}"/>
    <cellStyle name="Normal 7" xfId="38" xr:uid="{00000000-0005-0000-0000-00002B000000}"/>
    <cellStyle name="Normal 8" xfId="43" xr:uid="{00000000-0005-0000-0000-00002C000000}"/>
    <cellStyle name="Normal 9" xfId="71" xr:uid="{00000000-0005-0000-0000-00002D000000}"/>
    <cellStyle name="Normal 9 2" xfId="79" xr:uid="{00000000-0005-0000-0000-00002E000000}"/>
    <cellStyle name="Normal 9 3" xfId="88" xr:uid="{3A5C0430-6C9D-4811-9EF1-EE0CE1378F87}"/>
    <cellStyle name="Percent" xfId="1" xr:uid="{00000000-0005-0000-0000-00002F000000}"/>
    <cellStyle name="Separador de milhares 2 2" xfId="23" xr:uid="{00000000-0005-0000-0000-000030000000}"/>
    <cellStyle name="Vírgula" xfId="6" builtinId="3"/>
    <cellStyle name="Vírgula 10" xfId="46" xr:uid="{00000000-0005-0000-0000-000032000000}"/>
    <cellStyle name="Vírgula 11" xfId="48" xr:uid="{00000000-0005-0000-0000-000033000000}"/>
    <cellStyle name="Vírgula 12" xfId="50" xr:uid="{00000000-0005-0000-0000-000034000000}"/>
    <cellStyle name="Vírgula 13" xfId="52" xr:uid="{00000000-0005-0000-0000-000035000000}"/>
    <cellStyle name="Vírgula 14" xfId="54" xr:uid="{00000000-0005-0000-0000-000036000000}"/>
    <cellStyle name="Vírgula 15" xfId="56" xr:uid="{00000000-0005-0000-0000-000037000000}"/>
    <cellStyle name="Vírgula 16" xfId="58" xr:uid="{00000000-0005-0000-0000-000038000000}"/>
    <cellStyle name="Vírgula 17" xfId="60" xr:uid="{00000000-0005-0000-0000-000039000000}"/>
    <cellStyle name="Vírgula 18" xfId="62" xr:uid="{00000000-0005-0000-0000-00003A000000}"/>
    <cellStyle name="Vírgula 19" xfId="63" xr:uid="{00000000-0005-0000-0000-00003B000000}"/>
    <cellStyle name="Vírgula 19 2" xfId="80" xr:uid="{00000000-0005-0000-0000-00003C000000}"/>
    <cellStyle name="Vírgula 2" xfId="8" xr:uid="{00000000-0005-0000-0000-00003D000000}"/>
    <cellStyle name="Vírgula 2 2" xfId="18" xr:uid="{00000000-0005-0000-0000-00003E000000}"/>
    <cellStyle name="Vírgula 2 3" xfId="42" xr:uid="{00000000-0005-0000-0000-00003F000000}"/>
    <cellStyle name="Vírgula 20" xfId="64" xr:uid="{00000000-0005-0000-0000-000040000000}"/>
    <cellStyle name="Vírgula 20 2" xfId="90" xr:uid="{D6641237-4EC0-4C70-89D4-1912C7273466}"/>
    <cellStyle name="Vírgula 21" xfId="65" xr:uid="{00000000-0005-0000-0000-000041000000}"/>
    <cellStyle name="Vírgula 22" xfId="66" xr:uid="{00000000-0005-0000-0000-000042000000}"/>
    <cellStyle name="Vírgula 23" xfId="67" xr:uid="{00000000-0005-0000-0000-000043000000}"/>
    <cellStyle name="Vírgula 24" xfId="69" xr:uid="{00000000-0005-0000-0000-000044000000}"/>
    <cellStyle name="Vírgula 25" xfId="70" xr:uid="{00000000-0005-0000-0000-000045000000}"/>
    <cellStyle name="Vírgula 26" xfId="73" xr:uid="{00000000-0005-0000-0000-000046000000}"/>
    <cellStyle name="Vírgula 27" xfId="75" xr:uid="{00000000-0005-0000-0000-000047000000}"/>
    <cellStyle name="Vírgula 28" xfId="78" xr:uid="{00000000-0005-0000-0000-000048000000}"/>
    <cellStyle name="Vírgula 29" xfId="83" xr:uid="{977D7AE7-6F31-43FD-A441-6A92BAC548F2}"/>
    <cellStyle name="Vírgula 3" xfId="12" xr:uid="{00000000-0005-0000-0000-000049000000}"/>
    <cellStyle name="Vírgula 3 2" xfId="35" xr:uid="{00000000-0005-0000-0000-00004A000000}"/>
    <cellStyle name="Vírgula 4" xfId="26" xr:uid="{00000000-0005-0000-0000-00004B000000}"/>
    <cellStyle name="Vírgula 5" xfId="37" xr:uid="{00000000-0005-0000-0000-00004C000000}"/>
    <cellStyle name="Vírgula 5 2" xfId="86" xr:uid="{63FFF373-40EB-49FB-B325-5A637D5F2249}"/>
    <cellStyle name="Vírgula 6" xfId="39" xr:uid="{00000000-0005-0000-0000-00004D000000}"/>
    <cellStyle name="Vírgula 7" xfId="41" xr:uid="{00000000-0005-0000-0000-00004E000000}"/>
    <cellStyle name="Vírgula 8" xfId="44" xr:uid="{00000000-0005-0000-0000-00004F000000}"/>
    <cellStyle name="Vírgula 9" xfId="45" xr:uid="{00000000-0005-0000-0000-000050000000}"/>
  </cellStyles>
  <dxfs count="0"/>
  <tableStyles count="1" defaultTableStyle="TableStyleMedium2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1</xdr:row>
      <xdr:rowOff>95951</xdr:rowOff>
    </xdr:from>
    <xdr:to>
      <xdr:col>5</xdr:col>
      <xdr:colOff>1525467</xdr:colOff>
      <xdr:row>2</xdr:row>
      <xdr:rowOff>97686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775" y="324551"/>
          <a:ext cx="1427872" cy="230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97595</xdr:colOff>
      <xdr:row>0</xdr:row>
      <xdr:rowOff>225491</xdr:rowOff>
    </xdr:from>
    <xdr:ext cx="1429777" cy="23605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995" y="158816"/>
          <a:ext cx="1429777" cy="2360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33F7A5-01D5-421A-89E7-EA4D016A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6285" y="320741"/>
          <a:ext cx="1431682" cy="24748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8</xdr:row>
      <xdr:rowOff>66675</xdr:rowOff>
    </xdr:from>
    <xdr:to>
      <xdr:col>10</xdr:col>
      <xdr:colOff>106680</xdr:colOff>
      <xdr:row>27</xdr:row>
      <xdr:rowOff>1479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DD37EE-4C9F-4A07-BCB0-1E1688635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1914525"/>
          <a:ext cx="2373630" cy="51354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948174</xdr:colOff>
      <xdr:row>1</xdr:row>
      <xdr:rowOff>22860</xdr:rowOff>
    </xdr:from>
    <xdr:to>
      <xdr:col>11</xdr:col>
      <xdr:colOff>803111</xdr:colOff>
      <xdr:row>16</xdr:row>
      <xdr:rowOff>155509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880E75-AE15-4E81-B3D5-50E051029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1699" y="299085"/>
          <a:ext cx="4198337" cy="4542724"/>
        </a:xfrm>
        <a:prstGeom prst="rect">
          <a:avLst/>
        </a:prstGeom>
      </xdr:spPr>
    </xdr:pic>
    <xdr:clientData/>
  </xdr:twoCellAnchor>
  <xdr:twoCellAnchor editAs="oneCell">
    <xdr:from>
      <xdr:col>17</xdr:col>
      <xdr:colOff>45294</xdr:colOff>
      <xdr:row>4</xdr:row>
      <xdr:rowOff>224790</xdr:rowOff>
    </xdr:from>
    <xdr:to>
      <xdr:col>30</xdr:col>
      <xdr:colOff>186984</xdr:colOff>
      <xdr:row>13</xdr:row>
      <xdr:rowOff>225015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3D8B58-B2CD-4471-9B07-FD89BAC9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43019" y="1415415"/>
          <a:ext cx="8323665" cy="26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244279</xdr:colOff>
      <xdr:row>0</xdr:row>
      <xdr:rowOff>95249</xdr:rowOff>
    </xdr:from>
    <xdr:to>
      <xdr:col>6</xdr:col>
      <xdr:colOff>2206112</xdr:colOff>
      <xdr:row>1</xdr:row>
      <xdr:rowOff>232940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2B2E41-F6AB-4D7D-8966-3BF67D985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7504" y="95249"/>
          <a:ext cx="1961833" cy="413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358944</xdr:colOff>
      <xdr:row>0</xdr:row>
      <xdr:rowOff>124168</xdr:rowOff>
    </xdr:from>
    <xdr:to>
      <xdr:col>7</xdr:col>
      <xdr:colOff>2662975</xdr:colOff>
      <xdr:row>3</xdr:row>
      <xdr:rowOff>71992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3624" y="124168"/>
          <a:ext cx="2284981" cy="3573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Drives%20compartilhados\03%20CTN%20Projetos\2.%20Projetos%20em%20Andamento\SAK%20Engenharia%20-%2006.2022\02.%20Escopo\02.4%20Escopo%20-%20Extra&#231;&#227;o%20de%20quantitativos\2023.03.14%20-%20Extra&#231;&#227;o%20-%20EXE.AUSTIN%20-%20SAK.R03.rvt\CTN_Levantamento%20do%20material%20de%20parede.xlsx" TargetMode="External"/><Relationship Id="rId2" Type="http://schemas.microsoft.com/office/2019/04/relationships/externalLinkLongPath" Target="/Drives%20compartilhados/03%20CTN%20Projetos/2.%20Projetos%20em%20Andamento/SAK%20Engenharia%20-%2006.2022/02.%20Escopo/02.4%20Escopo%20-%20Extra&#231;&#227;o%20de%20quantitativos/2023.03.14%20-%20Extra&#231;&#227;o%20-%20EXE.AUSTIN%20-%20SAK.R03.rvt/CTN_Levantamento%20do%20material%20de%20parede.xlsx?C27907C0" TargetMode="External"/><Relationship Id="rId1" Type="http://schemas.openxmlformats.org/officeDocument/2006/relationships/externalLinkPath" Target="file:///\\C27907C0\CTN_Levantamento%20do%20material%20de%20pared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Zabaleta%20-%2008.2023/03.%20Custo/03.4%20Custo%20-%20Estimativa%20de%20custos/CTN-ZBT-OFF%20%20-%20Custos_Indiretos_Estimativas_R00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Mabrem%2010.2020\Gran%20Torino\03.%20Custo\03.4%20Custo%20-%20Estimativa%20de%20custos\CTN-MAB-GRT%20%20-%20Custos_Indiretos_Estimativas_R00.xlsx" TargetMode="External"/><Relationship Id="rId1" Type="http://schemas.openxmlformats.org/officeDocument/2006/relationships/externalLinkPath" Target="/.shortcut-targets-by-id/16oaQUYgx8kiowDwLhg-oO1zGZ777DJUb/2.%20Projetos%20em%20Andamento/Mabrem%2010.2020/Gran%20Torino/03.%20Custo/03.4%20Custo%20-%20Estimativa%20de%20custos/CTN-MAB-GRT%20%20-%20Custos_Indiretos_Estimativas_R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Mabrem%2010.2020\Gran%20Torino\02.%20Escopo\02.4%20Escopo%20-%20Extra&#231;&#227;o%20de%20quantitativos\12_CTN-MBM-GRT%20%20-%20Levantamento_Mobili&#225;rio_R00.xlsx" TargetMode="External"/><Relationship Id="rId1" Type="http://schemas.openxmlformats.org/officeDocument/2006/relationships/externalLinkPath" Target="/.shortcut-targets-by-id/16oaQUYgx8kiowDwLhg-oO1zGZ777DJUb/2.%20Projetos%20em%20Andamento/Mabrem%2010.2020/Gran%20Torino/02.%20Escopo/02.4%20Escopo%20-%20Extra&#231;&#227;o%20de%20quantitativos/12_CTN-MBM-GRT%20%20-%20Levantamento_Mobili&#225;ri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TN_Levantamento do material de"/>
      <sheetName val="CTN_Levantamento do materia (2)"/>
      <sheetName val="Planilha1"/>
      <sheetName val="ParamValues"/>
    </sheetNames>
    <sheetDataSet>
      <sheetData sheetId="0" refreshError="1"/>
      <sheetData sheetId="1"/>
      <sheetData sheetId="2" refreshError="1"/>
      <sheetData sheetId="3">
        <row r="1">
          <cell r="A1" t="str">
            <v>01.EXE-TÉRREO</v>
          </cell>
        </row>
        <row r="2">
          <cell r="A2" t="str">
            <v>02. EXE-OUTORGA 01</v>
          </cell>
        </row>
        <row r="3">
          <cell r="A3" t="str">
            <v>03. EXE-LAZER</v>
          </cell>
        </row>
        <row r="4">
          <cell r="A4" t="str">
            <v>04 . EXE-OUTORGA 02</v>
          </cell>
        </row>
        <row r="5">
          <cell r="A5" t="str">
            <v>05. EXE-TIPO 01</v>
          </cell>
        </row>
        <row r="6">
          <cell r="A6" t="str">
            <v>06. TIPO 02</v>
          </cell>
        </row>
        <row r="7">
          <cell r="A7" t="str">
            <v>07. EXE-COBERTURA</v>
          </cell>
        </row>
        <row r="8">
          <cell r="A8" t="str">
            <v>08. TELHADO</v>
          </cell>
        </row>
        <row r="9">
          <cell r="A9" t="str">
            <v>09. RESERVATÓRIO</v>
          </cell>
        </row>
        <row r="10">
          <cell r="A10" t="str">
            <v>10. TETO RESERVATÓRIO</v>
          </cell>
        </row>
        <row r="11">
          <cell r="A11" t="str">
            <v>Terreno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EPC's"/>
      <sheetName val="CANTEIRO"/>
      <sheetName val="BASES"/>
      <sheetName val="CUSTOS_INDIRETOS"/>
    </sheetNames>
    <sheetDataSet>
      <sheetData sheetId="0">
        <row r="10">
          <cell r="D10">
            <v>6601.277</v>
          </cell>
        </row>
        <row r="12">
          <cell r="D12">
            <v>28</v>
          </cell>
        </row>
        <row r="13">
          <cell r="D13">
            <v>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EPC's"/>
      <sheetName val="CANTEIRO"/>
      <sheetName val="BASES"/>
    </sheetNames>
    <sheetDataSet>
      <sheetData sheetId="0">
        <row r="13">
          <cell r="D13">
            <v>21</v>
          </cell>
        </row>
      </sheetData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BILIÁRIO R00"/>
      <sheetName val="MOBILIÁRIO TESTE (2)"/>
      <sheetName val="MOBILIÁRIO-test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view="pageBreakPreview" zoomScaleNormal="115" zoomScaleSheetLayoutView="100" workbookViewId="0">
      <selection activeCell="A5" sqref="A5:F5"/>
    </sheetView>
  </sheetViews>
  <sheetFormatPr defaultColWidth="8.85546875" defaultRowHeight="21.75" x14ac:dyDescent="0.6"/>
  <cols>
    <col min="1" max="1" width="10.28515625" style="33" customWidth="1"/>
    <col min="2" max="2" width="83.7109375" style="34" customWidth="1"/>
    <col min="3" max="3" width="11.28515625" style="34" customWidth="1"/>
    <col min="4" max="4" width="11.28515625" style="35" customWidth="1"/>
    <col min="5" max="5" width="11.140625" style="36" customWidth="1"/>
    <col min="6" max="6" width="24" style="33" customWidth="1"/>
    <col min="7" max="8" width="9.28515625" style="17" bestFit="1" customWidth="1"/>
    <col min="9" max="16384" width="8.85546875" style="17"/>
  </cols>
  <sheetData>
    <row r="1" spans="1:6" ht="18" customHeight="1" x14ac:dyDescent="0.6">
      <c r="A1" s="11" t="s">
        <v>0</v>
      </c>
      <c r="B1" s="12" t="s">
        <v>1736</v>
      </c>
      <c r="C1" s="13"/>
      <c r="D1" s="14"/>
      <c r="E1" s="15"/>
      <c r="F1" s="16"/>
    </row>
    <row r="2" spans="1:6" ht="18" customHeight="1" x14ac:dyDescent="0.6">
      <c r="A2" s="18" t="s">
        <v>53</v>
      </c>
      <c r="B2" s="19" t="s">
        <v>88</v>
      </c>
      <c r="C2" s="20"/>
      <c r="D2" s="21"/>
      <c r="E2" s="22"/>
      <c r="F2" s="23"/>
    </row>
    <row r="3" spans="1:6" ht="18" customHeight="1" x14ac:dyDescent="0.6">
      <c r="A3" s="18" t="s">
        <v>54</v>
      </c>
      <c r="B3" s="19" t="s">
        <v>47</v>
      </c>
      <c r="C3" s="20"/>
      <c r="D3" s="21"/>
      <c r="E3" s="22"/>
      <c r="F3" s="23"/>
    </row>
    <row r="4" spans="1:6" ht="18" customHeight="1" x14ac:dyDescent="0.6">
      <c r="A4" s="18" t="s">
        <v>45</v>
      </c>
      <c r="B4" s="24">
        <v>45390</v>
      </c>
      <c r="C4" s="25"/>
      <c r="D4" s="21"/>
      <c r="E4" s="26"/>
      <c r="F4" s="23"/>
    </row>
    <row r="5" spans="1:6" ht="20.45" customHeight="1" x14ac:dyDescent="0.25">
      <c r="A5" s="305"/>
      <c r="B5" s="306"/>
      <c r="C5" s="306"/>
      <c r="D5" s="306"/>
      <c r="E5" s="306"/>
      <c r="F5" s="307"/>
    </row>
    <row r="6" spans="1:6" ht="20.45" customHeight="1" x14ac:dyDescent="0.25">
      <c r="A6" s="27"/>
      <c r="B6" s="28"/>
      <c r="C6" s="28"/>
      <c r="D6" s="28"/>
      <c r="E6" s="28"/>
      <c r="F6" s="29"/>
    </row>
    <row r="7" spans="1:6" ht="20.45" customHeight="1" x14ac:dyDescent="0.25">
      <c r="A7" s="27"/>
      <c r="B7" s="28"/>
      <c r="C7" s="28"/>
      <c r="D7" s="28"/>
      <c r="E7" s="28"/>
      <c r="F7" s="29"/>
    </row>
    <row r="8" spans="1:6" ht="20.45" customHeight="1" x14ac:dyDescent="0.25">
      <c r="A8" s="27"/>
      <c r="B8" s="28"/>
      <c r="C8" s="28"/>
      <c r="D8" s="28"/>
      <c r="E8" s="28"/>
      <c r="F8" s="29"/>
    </row>
    <row r="9" spans="1:6" ht="20.45" customHeight="1" x14ac:dyDescent="0.25">
      <c r="A9" s="27"/>
      <c r="B9" s="28"/>
      <c r="C9" s="28"/>
      <c r="D9" s="28"/>
      <c r="E9" s="28"/>
      <c r="F9" s="29"/>
    </row>
    <row r="10" spans="1:6" ht="20.45" customHeight="1" x14ac:dyDescent="0.25">
      <c r="A10" s="27"/>
      <c r="B10" s="28"/>
      <c r="C10" s="28"/>
      <c r="D10" s="28"/>
      <c r="E10" s="28"/>
      <c r="F10" s="29"/>
    </row>
    <row r="11" spans="1:6" ht="20.45" customHeight="1" x14ac:dyDescent="0.25">
      <c r="A11" s="27"/>
      <c r="B11" s="28"/>
      <c r="C11" s="28"/>
      <c r="D11" s="28"/>
      <c r="E11" s="28"/>
      <c r="F11" s="29"/>
    </row>
    <row r="12" spans="1:6" ht="20.45" customHeight="1" x14ac:dyDescent="0.25">
      <c r="A12" s="27"/>
      <c r="B12" s="28"/>
      <c r="C12" s="28"/>
      <c r="D12" s="28"/>
      <c r="E12" s="28"/>
      <c r="F12" s="29"/>
    </row>
    <row r="13" spans="1:6" ht="20.45" customHeight="1" x14ac:dyDescent="0.25">
      <c r="A13" s="27"/>
      <c r="B13" s="28"/>
      <c r="C13" s="28"/>
      <c r="D13" s="28"/>
      <c r="E13" s="28"/>
      <c r="F13" s="29"/>
    </row>
    <row r="14" spans="1:6" ht="20.45" customHeight="1" x14ac:dyDescent="0.25">
      <c r="A14" s="27"/>
      <c r="B14" s="28"/>
      <c r="C14" s="28"/>
      <c r="D14" s="28"/>
      <c r="E14" s="28"/>
      <c r="F14" s="29"/>
    </row>
    <row r="15" spans="1:6" ht="20.45" customHeight="1" x14ac:dyDescent="0.25">
      <c r="A15" s="27"/>
      <c r="B15" s="28"/>
      <c r="C15" s="28"/>
      <c r="D15" s="28"/>
      <c r="E15" s="28"/>
      <c r="F15" s="29"/>
    </row>
    <row r="16" spans="1:6" ht="20.45" customHeight="1" x14ac:dyDescent="0.25">
      <c r="A16" s="27"/>
      <c r="B16" s="28"/>
      <c r="C16" s="28"/>
      <c r="D16" s="28"/>
      <c r="E16" s="28"/>
      <c r="F16" s="29"/>
    </row>
    <row r="17" spans="1:6" ht="20.45" customHeight="1" x14ac:dyDescent="0.25">
      <c r="A17" s="27"/>
      <c r="B17" s="28"/>
      <c r="C17" s="28"/>
      <c r="D17" s="28"/>
      <c r="E17" s="28"/>
      <c r="F17" s="29"/>
    </row>
    <row r="18" spans="1:6" ht="20.45" customHeight="1" x14ac:dyDescent="0.25">
      <c r="A18" s="27"/>
      <c r="B18" s="28"/>
      <c r="C18" s="28"/>
      <c r="D18" s="28"/>
      <c r="E18" s="28"/>
      <c r="F18" s="29"/>
    </row>
    <row r="19" spans="1:6" ht="20.45" customHeight="1" x14ac:dyDescent="0.25">
      <c r="A19" s="27"/>
      <c r="B19" s="28"/>
      <c r="C19" s="28"/>
      <c r="D19" s="28"/>
      <c r="E19" s="28"/>
      <c r="F19" s="29"/>
    </row>
    <row r="20" spans="1:6" ht="20.45" customHeight="1" x14ac:dyDescent="0.25">
      <c r="A20" s="27"/>
      <c r="B20" s="28"/>
      <c r="C20" s="28"/>
      <c r="D20" s="28"/>
      <c r="E20" s="28"/>
      <c r="F20" s="29"/>
    </row>
    <row r="21" spans="1:6" ht="20.45" customHeight="1" x14ac:dyDescent="0.25">
      <c r="A21" s="27"/>
      <c r="B21" s="28"/>
      <c r="C21" s="28"/>
      <c r="D21" s="28"/>
      <c r="E21" s="28"/>
      <c r="F21" s="29"/>
    </row>
    <row r="22" spans="1:6" ht="20.45" customHeight="1" x14ac:dyDescent="0.25">
      <c r="A22" s="27"/>
      <c r="B22" s="28"/>
      <c r="C22" s="28"/>
      <c r="D22" s="28"/>
      <c r="E22" s="28"/>
      <c r="F22" s="29"/>
    </row>
    <row r="23" spans="1:6" ht="20.45" customHeight="1" x14ac:dyDescent="0.25">
      <c r="A23" s="27"/>
      <c r="B23" s="28"/>
      <c r="C23" s="28"/>
      <c r="D23" s="28"/>
      <c r="E23" s="28"/>
      <c r="F23" s="29"/>
    </row>
    <row r="24" spans="1:6" ht="20.45" customHeight="1" x14ac:dyDescent="0.25">
      <c r="A24" s="27"/>
      <c r="B24" s="28"/>
      <c r="C24" s="28"/>
      <c r="D24" s="28"/>
      <c r="E24" s="28"/>
      <c r="F24" s="29"/>
    </row>
    <row r="25" spans="1:6" ht="20.45" customHeight="1" x14ac:dyDescent="0.25">
      <c r="A25" s="27"/>
      <c r="B25" s="28"/>
      <c r="C25" s="28"/>
      <c r="D25" s="28"/>
      <c r="E25" s="28"/>
      <c r="F25" s="29"/>
    </row>
    <row r="26" spans="1:6" ht="20.45" customHeight="1" x14ac:dyDescent="0.25">
      <c r="A26" s="308" t="s">
        <v>87</v>
      </c>
      <c r="B26" s="309"/>
      <c r="C26" s="309"/>
      <c r="D26" s="309"/>
      <c r="E26" s="309"/>
      <c r="F26" s="310"/>
    </row>
    <row r="27" spans="1:6" ht="20.45" customHeight="1" x14ac:dyDescent="0.25">
      <c r="A27" s="308"/>
      <c r="B27" s="309"/>
      <c r="C27" s="309"/>
      <c r="D27" s="309"/>
      <c r="E27" s="309"/>
      <c r="F27" s="310"/>
    </row>
    <row r="28" spans="1:6" ht="36" customHeight="1" x14ac:dyDescent="0.25">
      <c r="A28" s="311" t="s">
        <v>1737</v>
      </c>
      <c r="B28" s="312"/>
      <c r="C28" s="312"/>
      <c r="D28" s="312"/>
      <c r="E28" s="312"/>
      <c r="F28" s="313"/>
    </row>
    <row r="29" spans="1:6" ht="20.45" customHeight="1" x14ac:dyDescent="0.25">
      <c r="A29" s="27"/>
      <c r="B29" s="28"/>
      <c r="C29" s="28"/>
      <c r="D29" s="28"/>
      <c r="E29" s="28"/>
      <c r="F29" s="29"/>
    </row>
    <row r="30" spans="1:6" ht="20.45" customHeight="1" x14ac:dyDescent="0.25">
      <c r="A30" s="27"/>
      <c r="B30" s="28"/>
      <c r="C30" s="28"/>
      <c r="D30" s="28"/>
      <c r="E30" s="28"/>
      <c r="F30" s="29"/>
    </row>
    <row r="31" spans="1:6" ht="20.45" customHeight="1" x14ac:dyDescent="0.25">
      <c r="A31" s="27"/>
      <c r="B31" s="28"/>
      <c r="C31" s="28"/>
      <c r="D31" s="28"/>
      <c r="E31" s="28"/>
      <c r="F31" s="29"/>
    </row>
    <row r="32" spans="1:6" ht="20.45" customHeight="1" x14ac:dyDescent="0.25">
      <c r="A32" s="27"/>
      <c r="B32" s="28"/>
      <c r="C32" s="28"/>
      <c r="D32" s="28"/>
      <c r="E32" s="28"/>
      <c r="F32" s="29"/>
    </row>
    <row r="33" spans="1:6" ht="20.45" customHeight="1" x14ac:dyDescent="0.25">
      <c r="A33" s="27"/>
      <c r="B33" s="28"/>
      <c r="C33" s="28"/>
      <c r="D33" s="28"/>
      <c r="E33" s="28"/>
      <c r="F33" s="29"/>
    </row>
    <row r="34" spans="1:6" ht="20.45" customHeight="1" x14ac:dyDescent="0.25">
      <c r="A34" s="27"/>
      <c r="B34" s="28"/>
      <c r="C34" s="28"/>
      <c r="D34" s="28"/>
      <c r="E34" s="28"/>
      <c r="F34" s="29"/>
    </row>
    <row r="35" spans="1:6" ht="20.45" customHeight="1" x14ac:dyDescent="0.25">
      <c r="A35" s="27"/>
      <c r="B35" s="28"/>
      <c r="C35" s="28"/>
      <c r="D35" s="28"/>
      <c r="E35" s="28"/>
      <c r="F35" s="29"/>
    </row>
    <row r="36" spans="1:6" ht="20.45" customHeight="1" x14ac:dyDescent="0.25">
      <c r="A36" s="27"/>
      <c r="B36" s="28"/>
      <c r="C36" s="28"/>
      <c r="D36" s="28"/>
      <c r="E36" s="28"/>
      <c r="F36" s="29"/>
    </row>
    <row r="37" spans="1:6" ht="20.45" customHeight="1" x14ac:dyDescent="0.25">
      <c r="A37" s="27"/>
      <c r="B37" s="28"/>
      <c r="C37" s="28"/>
      <c r="D37" s="28"/>
      <c r="E37" s="28"/>
      <c r="F37" s="29"/>
    </row>
    <row r="38" spans="1:6" ht="20.45" customHeight="1" x14ac:dyDescent="0.25">
      <c r="A38" s="27"/>
      <c r="B38" s="28"/>
      <c r="C38" s="28"/>
      <c r="D38" s="28"/>
      <c r="E38" s="28"/>
      <c r="F38" s="29"/>
    </row>
    <row r="39" spans="1:6" ht="20.45" customHeight="1" x14ac:dyDescent="0.25">
      <c r="A39" s="27"/>
      <c r="B39" s="28"/>
      <c r="C39" s="28"/>
      <c r="D39" s="28"/>
      <c r="E39" s="28"/>
      <c r="F39" s="29"/>
    </row>
    <row r="40" spans="1:6" ht="20.45" customHeight="1" x14ac:dyDescent="0.25">
      <c r="A40" s="27"/>
      <c r="B40" s="28"/>
      <c r="C40" s="28"/>
      <c r="D40" s="28"/>
      <c r="E40" s="28"/>
      <c r="F40" s="29"/>
    </row>
    <row r="41" spans="1:6" ht="20.45" customHeight="1" x14ac:dyDescent="0.25">
      <c r="A41" s="27"/>
      <c r="B41" s="28"/>
      <c r="C41" s="28"/>
      <c r="D41" s="28"/>
      <c r="E41" s="28"/>
      <c r="F41" s="29"/>
    </row>
    <row r="42" spans="1:6" ht="20.45" customHeight="1" x14ac:dyDescent="0.25">
      <c r="A42" s="27"/>
      <c r="B42" s="28"/>
      <c r="C42" s="28"/>
      <c r="D42" s="28"/>
      <c r="E42" s="28"/>
      <c r="F42" s="29"/>
    </row>
    <row r="43" spans="1:6" ht="20.45" customHeight="1" x14ac:dyDescent="0.25">
      <c r="A43" s="27"/>
      <c r="B43" s="28"/>
      <c r="C43" s="28"/>
      <c r="D43" s="28"/>
      <c r="E43" s="28"/>
      <c r="F43" s="29"/>
    </row>
    <row r="44" spans="1:6" ht="20.45" customHeight="1" x14ac:dyDescent="0.25">
      <c r="A44" s="27"/>
      <c r="B44" s="28"/>
      <c r="C44" s="28"/>
      <c r="D44" s="28"/>
      <c r="E44" s="28"/>
      <c r="F44" s="29"/>
    </row>
    <row r="45" spans="1:6" ht="20.45" customHeight="1" x14ac:dyDescent="0.25">
      <c r="A45" s="27"/>
      <c r="B45" s="28"/>
      <c r="C45" s="28"/>
      <c r="D45" s="28"/>
      <c r="E45" s="28"/>
      <c r="F45" s="29"/>
    </row>
    <row r="46" spans="1:6" ht="20.45" customHeight="1" x14ac:dyDescent="0.25">
      <c r="A46" s="27"/>
      <c r="B46" s="28"/>
      <c r="C46" s="28"/>
      <c r="D46" s="28"/>
      <c r="E46" s="28"/>
      <c r="F46" s="29"/>
    </row>
    <row r="47" spans="1:6" ht="20.45" customHeight="1" x14ac:dyDescent="0.25">
      <c r="A47" s="27"/>
      <c r="B47" s="28"/>
      <c r="C47" s="28"/>
      <c r="D47" s="28"/>
      <c r="E47" s="28"/>
      <c r="F47" s="29"/>
    </row>
    <row r="48" spans="1:6" ht="20.45" customHeight="1" x14ac:dyDescent="0.25">
      <c r="A48" s="27"/>
      <c r="B48" s="28"/>
      <c r="C48" s="28"/>
      <c r="D48" s="28"/>
      <c r="E48" s="28"/>
      <c r="F48" s="29"/>
    </row>
    <row r="49" spans="1:6" ht="20.45" customHeight="1" x14ac:dyDescent="0.25">
      <c r="A49" s="27"/>
      <c r="B49" s="28"/>
      <c r="C49" s="28"/>
      <c r="D49" s="28"/>
      <c r="E49" s="28"/>
      <c r="F49" s="29"/>
    </row>
    <row r="50" spans="1:6" ht="20.45" customHeight="1" x14ac:dyDescent="0.25">
      <c r="A50" s="27"/>
      <c r="B50" s="28"/>
      <c r="C50" s="28"/>
      <c r="D50" s="28"/>
      <c r="E50" s="28"/>
      <c r="F50" s="29"/>
    </row>
    <row r="51" spans="1:6" ht="20.45" customHeight="1" x14ac:dyDescent="0.25">
      <c r="A51" s="27"/>
      <c r="B51" s="28"/>
      <c r="C51" s="28"/>
      <c r="D51" s="28"/>
      <c r="E51" s="28"/>
      <c r="F51" s="29"/>
    </row>
    <row r="52" spans="1:6" ht="20.45" customHeight="1" x14ac:dyDescent="0.25">
      <c r="A52" s="27"/>
      <c r="B52" s="28"/>
      <c r="C52" s="28"/>
      <c r="D52" s="28"/>
      <c r="E52" s="28"/>
      <c r="F52" s="29"/>
    </row>
    <row r="53" spans="1:6" ht="20.45" customHeight="1" x14ac:dyDescent="0.25">
      <c r="A53" s="27"/>
      <c r="B53" s="28"/>
      <c r="C53" s="28"/>
      <c r="D53" s="28"/>
      <c r="E53" s="28"/>
      <c r="F53" s="29"/>
    </row>
    <row r="54" spans="1:6" ht="20.45" customHeight="1" x14ac:dyDescent="0.25">
      <c r="A54" s="27"/>
      <c r="B54" s="28"/>
      <c r="C54" s="28"/>
      <c r="D54" s="28"/>
      <c r="E54" s="28"/>
      <c r="F54" s="29"/>
    </row>
    <row r="55" spans="1:6" ht="20.45" customHeight="1" x14ac:dyDescent="0.25">
      <c r="A55" s="314" t="s">
        <v>1738</v>
      </c>
      <c r="B55" s="315"/>
      <c r="C55" s="315"/>
      <c r="D55" s="315"/>
      <c r="E55" s="315"/>
      <c r="F55" s="316"/>
    </row>
    <row r="56" spans="1:6" ht="20.45" customHeight="1" thickBot="1" x14ac:dyDescent="0.3">
      <c r="A56" s="30"/>
      <c r="B56" s="31"/>
      <c r="C56" s="31"/>
      <c r="D56" s="31"/>
      <c r="E56" s="31"/>
      <c r="F56" s="32"/>
    </row>
    <row r="57" spans="1:6" ht="20.45" customHeight="1" x14ac:dyDescent="0.25">
      <c r="A57" s="28"/>
      <c r="B57" s="28"/>
      <c r="C57" s="28"/>
      <c r="D57" s="28"/>
      <c r="E57" s="28"/>
      <c r="F57" s="28"/>
    </row>
  </sheetData>
  <mergeCells count="4">
    <mergeCell ref="A5:F5"/>
    <mergeCell ref="A26:F27"/>
    <mergeCell ref="A28:F28"/>
    <mergeCell ref="A55:F55"/>
  </mergeCells>
  <pageMargins left="0.51181102362204722" right="0.51181102362204722" top="0.78740157480314965" bottom="0.78740157480314965" header="0.31496062992125984" footer="0.31496062992125984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4"/>
  <sheetViews>
    <sheetView view="pageBreakPreview" zoomScaleNormal="115" zoomScaleSheetLayoutView="100" workbookViewId="0">
      <selection activeCell="D13" sqref="D13"/>
    </sheetView>
  </sheetViews>
  <sheetFormatPr defaultColWidth="9.140625" defaultRowHeight="21.75" x14ac:dyDescent="0.6"/>
  <cols>
    <col min="1" max="1" width="10.7109375" style="38" customWidth="1"/>
    <col min="2" max="2" width="83.7109375" style="40" customWidth="1"/>
    <col min="3" max="3" width="11.28515625" style="40" customWidth="1"/>
    <col min="4" max="4" width="11.28515625" style="39" customWidth="1"/>
    <col min="5" max="5" width="24" style="38" customWidth="1"/>
    <col min="6" max="7" width="9.28515625" style="37" bestFit="1" customWidth="1"/>
    <col min="8" max="16384" width="9.140625" style="37"/>
  </cols>
  <sheetData>
    <row r="1" spans="1:5" ht="18" customHeight="1" x14ac:dyDescent="0.6">
      <c r="A1" s="76" t="s">
        <v>0</v>
      </c>
      <c r="B1" s="12" t="s">
        <v>1736</v>
      </c>
      <c r="C1" s="75"/>
      <c r="D1" s="74"/>
      <c r="E1" s="73"/>
    </row>
    <row r="2" spans="1:5" ht="18" customHeight="1" x14ac:dyDescent="0.6">
      <c r="A2" s="72" t="s">
        <v>53</v>
      </c>
      <c r="B2" s="19" t="s">
        <v>88</v>
      </c>
      <c r="C2" s="70"/>
      <c r="D2" s="69"/>
      <c r="E2" s="68"/>
    </row>
    <row r="3" spans="1:5" ht="18" customHeight="1" x14ac:dyDescent="0.6">
      <c r="A3" s="72" t="s">
        <v>54</v>
      </c>
      <c r="B3" s="71" t="s">
        <v>47</v>
      </c>
      <c r="C3" s="70"/>
      <c r="D3" s="69"/>
      <c r="E3" s="68"/>
    </row>
    <row r="4" spans="1:5" ht="25.15" customHeight="1" x14ac:dyDescent="0.25">
      <c r="A4" s="317" t="s">
        <v>1746</v>
      </c>
      <c r="B4" s="318"/>
      <c r="C4" s="318"/>
      <c r="D4" s="318"/>
      <c r="E4" s="319"/>
    </row>
    <row r="5" spans="1:5" ht="14.45" customHeight="1" x14ac:dyDescent="0.6">
      <c r="A5" s="67"/>
      <c r="B5" s="66"/>
      <c r="C5" s="66"/>
      <c r="D5" s="65"/>
      <c r="E5" s="64"/>
    </row>
    <row r="6" spans="1:5" ht="16.899999999999999" customHeight="1" x14ac:dyDescent="0.25">
      <c r="A6" s="320" t="s">
        <v>1745</v>
      </c>
      <c r="B6" s="321"/>
      <c r="C6" s="321"/>
      <c r="D6" s="321"/>
      <c r="E6" s="322"/>
    </row>
    <row r="7" spans="1:5" ht="14.45" customHeight="1" thickBot="1" x14ac:dyDescent="0.65">
      <c r="A7" s="63"/>
      <c r="B7" s="62"/>
      <c r="C7" s="61"/>
      <c r="D7" s="60"/>
      <c r="E7" s="45"/>
    </row>
    <row r="8" spans="1:5" x14ac:dyDescent="0.6">
      <c r="A8" s="49"/>
      <c r="B8" s="59" t="s">
        <v>2</v>
      </c>
      <c r="C8" s="58" t="s">
        <v>58</v>
      </c>
      <c r="D8" s="57" t="s">
        <v>59</v>
      </c>
      <c r="E8" s="45"/>
    </row>
    <row r="9" spans="1:5" x14ac:dyDescent="0.6">
      <c r="A9" s="49"/>
      <c r="B9" s="56" t="s">
        <v>1744</v>
      </c>
      <c r="C9" s="55" t="s">
        <v>130</v>
      </c>
      <c r="D9" s="54">
        <v>1123.3699999999999</v>
      </c>
      <c r="E9" s="45"/>
    </row>
    <row r="10" spans="1:5" x14ac:dyDescent="0.6">
      <c r="A10" s="49"/>
      <c r="B10" s="52" t="s">
        <v>1743</v>
      </c>
      <c r="C10" s="51" t="s">
        <v>130</v>
      </c>
      <c r="D10" s="50">
        <v>12518.96</v>
      </c>
      <c r="E10" s="53"/>
    </row>
    <row r="11" spans="1:5" x14ac:dyDescent="0.6">
      <c r="A11" s="49"/>
      <c r="B11" s="52" t="s">
        <v>1742</v>
      </c>
      <c r="C11" s="51" t="s">
        <v>109</v>
      </c>
      <c r="D11" s="50">
        <v>84</v>
      </c>
      <c r="E11" s="45"/>
    </row>
    <row r="12" spans="1:5" x14ac:dyDescent="0.6">
      <c r="A12" s="49"/>
      <c r="B12" s="52" t="s">
        <v>1741</v>
      </c>
      <c r="C12" s="51" t="s">
        <v>1740</v>
      </c>
      <c r="D12" s="50">
        <v>36</v>
      </c>
      <c r="E12" s="45"/>
    </row>
    <row r="13" spans="1:5" ht="22.5" thickBot="1" x14ac:dyDescent="0.65">
      <c r="A13" s="49"/>
      <c r="B13" s="48" t="s">
        <v>1739</v>
      </c>
      <c r="C13" s="47" t="s">
        <v>109</v>
      </c>
      <c r="D13" s="46">
        <v>21</v>
      </c>
      <c r="E13" s="45"/>
    </row>
    <row r="14" spans="1:5" ht="22.5" thickBot="1" x14ac:dyDescent="0.65">
      <c r="A14" s="44"/>
      <c r="B14" s="43"/>
      <c r="C14" s="43"/>
      <c r="D14" s="42"/>
      <c r="E14" s="41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CF2F-78DA-4C73-B7E5-039AA0E58BA4}">
  <sheetPr>
    <pageSetUpPr fitToPage="1"/>
  </sheetPr>
  <dimension ref="A1:G66"/>
  <sheetViews>
    <sheetView view="pageBreakPreview" topLeftCell="A40" zoomScaleNormal="115" zoomScaleSheetLayoutView="100" workbookViewId="0">
      <selection activeCell="B42" sqref="B42"/>
    </sheetView>
  </sheetViews>
  <sheetFormatPr defaultRowHeight="21.75" x14ac:dyDescent="0.6"/>
  <cols>
    <col min="1" max="1" width="10.7109375" style="301" customWidth="1"/>
    <col min="2" max="2" width="83.7109375" style="302" customWidth="1"/>
    <col min="3" max="3" width="11.28515625" style="302" customWidth="1"/>
    <col min="4" max="4" width="11.7109375" style="303" bestFit="1" customWidth="1"/>
    <col min="5" max="5" width="11.140625" style="304" customWidth="1"/>
    <col min="6" max="6" width="24" style="301" customWidth="1"/>
    <col min="7" max="8" width="9.28515625" style="171" bestFit="1" customWidth="1"/>
    <col min="9" max="16384" width="9.140625" style="171"/>
  </cols>
  <sheetData>
    <row r="1" spans="1:7" ht="18" customHeight="1" x14ac:dyDescent="0.6">
      <c r="A1" s="165" t="s">
        <v>0</v>
      </c>
      <c r="B1" s="166" t="s">
        <v>1736</v>
      </c>
      <c r="C1" s="167"/>
      <c r="D1" s="168"/>
      <c r="E1" s="169"/>
      <c r="F1" s="170"/>
    </row>
    <row r="2" spans="1:7" ht="18" customHeight="1" x14ac:dyDescent="0.6">
      <c r="A2" s="173" t="s">
        <v>53</v>
      </c>
      <c r="B2" s="174" t="s">
        <v>88</v>
      </c>
      <c r="C2" s="175"/>
      <c r="D2" s="176"/>
      <c r="E2" s="177"/>
      <c r="F2" s="178"/>
    </row>
    <row r="3" spans="1:7" ht="18" customHeight="1" x14ac:dyDescent="0.6">
      <c r="A3" s="173" t="s">
        <v>54</v>
      </c>
      <c r="B3" s="174" t="s">
        <v>47</v>
      </c>
      <c r="C3" s="175"/>
      <c r="D3" s="176"/>
      <c r="E3" s="177"/>
      <c r="F3" s="178"/>
    </row>
    <row r="4" spans="1:7" ht="25.15" customHeight="1" x14ac:dyDescent="0.25">
      <c r="A4" s="323" t="s">
        <v>55</v>
      </c>
      <c r="B4" s="324"/>
      <c r="C4" s="324"/>
      <c r="D4" s="324"/>
      <c r="E4" s="324"/>
      <c r="F4" s="325"/>
    </row>
    <row r="5" spans="1:7" ht="14.45" customHeight="1" x14ac:dyDescent="0.6">
      <c r="A5" s="180"/>
      <c r="B5" s="181"/>
      <c r="C5" s="181"/>
      <c r="D5" s="182"/>
      <c r="E5" s="183"/>
      <c r="F5" s="184"/>
    </row>
    <row r="6" spans="1:7" ht="16.899999999999999" customHeight="1" x14ac:dyDescent="0.25">
      <c r="A6" s="326" t="s">
        <v>56</v>
      </c>
      <c r="B6" s="327"/>
      <c r="C6" s="327"/>
      <c r="D6" s="327"/>
      <c r="E6" s="327"/>
      <c r="F6" s="328"/>
    </row>
    <row r="7" spans="1:7" ht="14.45" customHeight="1" x14ac:dyDescent="0.6">
      <c r="A7" s="185"/>
      <c r="B7" s="186"/>
      <c r="C7" s="187"/>
      <c r="D7" s="188"/>
      <c r="E7" s="179"/>
      <c r="F7" s="189"/>
      <c r="G7" s="245"/>
    </row>
    <row r="8" spans="1:7" s="251" customFormat="1" x14ac:dyDescent="0.6">
      <c r="A8" s="246" t="s">
        <v>57</v>
      </c>
      <c r="B8" s="247"/>
      <c r="C8" s="247"/>
      <c r="D8" s="248"/>
      <c r="E8" s="249"/>
      <c r="F8" s="250"/>
    </row>
    <row r="9" spans="1:7" s="251" customFormat="1" ht="22.5" thickBot="1" x14ac:dyDescent="0.65">
      <c r="A9" s="252"/>
      <c r="B9" s="253"/>
      <c r="C9" s="253"/>
      <c r="D9" s="254"/>
      <c r="E9" s="255"/>
      <c r="F9" s="256"/>
    </row>
    <row r="10" spans="1:7" s="251" customFormat="1" ht="21" customHeight="1" x14ac:dyDescent="0.6">
      <c r="A10" s="252"/>
      <c r="B10" s="257" t="s">
        <v>2</v>
      </c>
      <c r="C10" s="258" t="s">
        <v>58</v>
      </c>
      <c r="D10" s="259" t="s">
        <v>59</v>
      </c>
      <c r="E10" s="255"/>
      <c r="F10" s="256"/>
    </row>
    <row r="11" spans="1:7" s="251" customFormat="1" x14ac:dyDescent="0.6">
      <c r="A11" s="252"/>
      <c r="B11" s="260" t="s">
        <v>166</v>
      </c>
      <c r="C11" s="261" t="s">
        <v>14</v>
      </c>
      <c r="D11" s="262">
        <v>133.72999999999999</v>
      </c>
      <c r="E11" s="255"/>
      <c r="F11" s="256"/>
    </row>
    <row r="12" spans="1:7" s="251" customFormat="1" x14ac:dyDescent="0.6">
      <c r="A12" s="252"/>
      <c r="B12" s="263" t="s">
        <v>165</v>
      </c>
      <c r="C12" s="264" t="s">
        <v>14</v>
      </c>
      <c r="D12" s="262">
        <v>107.28</v>
      </c>
      <c r="E12" s="255"/>
      <c r="F12" s="256"/>
    </row>
    <row r="13" spans="1:7" s="251" customFormat="1" x14ac:dyDescent="0.6">
      <c r="A13" s="252"/>
      <c r="B13" s="263" t="s">
        <v>61</v>
      </c>
      <c r="C13" s="264" t="s">
        <v>21</v>
      </c>
      <c r="D13" s="265">
        <v>1</v>
      </c>
      <c r="E13" s="255"/>
      <c r="F13" s="256"/>
    </row>
    <row r="14" spans="1:7" s="251" customFormat="1" x14ac:dyDescent="0.6">
      <c r="A14" s="252"/>
      <c r="B14" s="263" t="s">
        <v>62</v>
      </c>
      <c r="C14" s="264" t="s">
        <v>21</v>
      </c>
      <c r="D14" s="265">
        <v>5</v>
      </c>
      <c r="E14" s="255"/>
      <c r="F14" s="256"/>
    </row>
    <row r="15" spans="1:7" s="251" customFormat="1" x14ac:dyDescent="0.6">
      <c r="A15" s="252"/>
      <c r="B15" s="266" t="s">
        <v>13</v>
      </c>
      <c r="C15" s="267" t="s">
        <v>14</v>
      </c>
      <c r="D15" s="268">
        <f>D11*D13+41.36</f>
        <v>175.08999999999997</v>
      </c>
      <c r="E15" s="255"/>
      <c r="F15" s="256"/>
    </row>
    <row r="16" spans="1:7" s="251" customFormat="1" ht="22.5" thickBot="1" x14ac:dyDescent="0.65">
      <c r="A16" s="252"/>
      <c r="B16" s="269" t="s">
        <v>15</v>
      </c>
      <c r="C16" s="270" t="s">
        <v>14</v>
      </c>
      <c r="D16" s="271">
        <f>D12*D14</f>
        <v>536.4</v>
      </c>
      <c r="E16" s="255"/>
      <c r="F16" s="256"/>
    </row>
    <row r="17" spans="1:7" s="251" customFormat="1" x14ac:dyDescent="0.6">
      <c r="A17" s="272"/>
      <c r="B17" s="253"/>
      <c r="C17" s="253"/>
      <c r="D17" s="254"/>
      <c r="E17" s="255"/>
      <c r="F17" s="256"/>
    </row>
    <row r="18" spans="1:7" x14ac:dyDescent="0.6">
      <c r="A18" s="191" t="s">
        <v>164</v>
      </c>
      <c r="B18" s="192"/>
      <c r="C18" s="192"/>
      <c r="D18" s="193"/>
      <c r="E18" s="194"/>
      <c r="F18" s="195"/>
    </row>
    <row r="19" spans="1:7" ht="22.5" thickBot="1" x14ac:dyDescent="0.65">
      <c r="A19" s="225"/>
      <c r="B19" s="199"/>
      <c r="C19" s="199"/>
      <c r="D19" s="200"/>
      <c r="E19" s="201"/>
      <c r="F19" s="189"/>
      <c r="G19" s="245"/>
    </row>
    <row r="20" spans="1:7" x14ac:dyDescent="0.6">
      <c r="A20" s="225"/>
      <c r="B20" s="202" t="s">
        <v>2</v>
      </c>
      <c r="C20" s="203" t="s">
        <v>58</v>
      </c>
      <c r="D20" s="204" t="s">
        <v>59</v>
      </c>
      <c r="E20" s="201"/>
      <c r="F20" s="189"/>
    </row>
    <row r="21" spans="1:7" x14ac:dyDescent="0.6">
      <c r="A21" s="225"/>
      <c r="B21" s="205" t="s">
        <v>165</v>
      </c>
      <c r="C21" s="206" t="s">
        <v>14</v>
      </c>
      <c r="D21" s="273">
        <f>D12</f>
        <v>107.28</v>
      </c>
      <c r="E21" s="201"/>
      <c r="F21" s="189"/>
    </row>
    <row r="22" spans="1:7" x14ac:dyDescent="0.6">
      <c r="A22" s="225"/>
      <c r="B22" s="208" t="s">
        <v>1991</v>
      </c>
      <c r="C22" s="209" t="s">
        <v>21</v>
      </c>
      <c r="D22" s="274">
        <v>4</v>
      </c>
      <c r="E22" s="201"/>
      <c r="F22" s="189"/>
    </row>
    <row r="23" spans="1:7" x14ac:dyDescent="0.6">
      <c r="A23" s="225"/>
      <c r="B23" s="275" t="s">
        <v>1992</v>
      </c>
      <c r="C23" s="276" t="s">
        <v>14</v>
      </c>
      <c r="D23" s="277">
        <f>(D21*D22)</f>
        <v>429.12</v>
      </c>
      <c r="E23" s="201"/>
      <c r="F23" s="189"/>
    </row>
    <row r="24" spans="1:7" s="280" customFormat="1" ht="15.75" x14ac:dyDescent="0.45">
      <c r="A24" s="198"/>
      <c r="B24" s="201"/>
      <c r="C24" s="201"/>
      <c r="D24" s="278"/>
      <c r="E24" s="201"/>
      <c r="F24" s="279"/>
    </row>
    <row r="25" spans="1:7" x14ac:dyDescent="0.6">
      <c r="A25" s="191" t="s">
        <v>129</v>
      </c>
      <c r="B25" s="192"/>
      <c r="C25" s="192"/>
      <c r="D25" s="193"/>
      <c r="E25" s="194"/>
      <c r="F25" s="195"/>
    </row>
    <row r="26" spans="1:7" ht="22.5" thickBot="1" x14ac:dyDescent="0.65">
      <c r="A26" s="225"/>
      <c r="B26" s="199"/>
      <c r="C26" s="199"/>
      <c r="D26" s="200"/>
      <c r="E26" s="201"/>
      <c r="F26" s="189"/>
    </row>
    <row r="27" spans="1:7" x14ac:dyDescent="0.6">
      <c r="A27" s="225"/>
      <c r="B27" s="202" t="s">
        <v>2</v>
      </c>
      <c r="C27" s="203" t="s">
        <v>58</v>
      </c>
      <c r="D27" s="204" t="s">
        <v>59</v>
      </c>
      <c r="E27" s="201"/>
      <c r="F27" s="189"/>
    </row>
    <row r="28" spans="1:7" x14ac:dyDescent="0.6">
      <c r="A28" s="225"/>
      <c r="B28" s="260" t="s">
        <v>60</v>
      </c>
      <c r="C28" s="261" t="s">
        <v>14</v>
      </c>
      <c r="D28" s="281">
        <f>D11</f>
        <v>133.72999999999999</v>
      </c>
      <c r="E28" s="201"/>
      <c r="F28" s="189"/>
    </row>
    <row r="29" spans="1:7" x14ac:dyDescent="0.6">
      <c r="A29" s="225"/>
      <c r="B29" s="260" t="s">
        <v>163</v>
      </c>
      <c r="C29" s="261" t="s">
        <v>14</v>
      </c>
      <c r="D29" s="281">
        <f>D12</f>
        <v>107.28</v>
      </c>
      <c r="E29" s="201"/>
      <c r="F29" s="189"/>
    </row>
    <row r="30" spans="1:7" x14ac:dyDescent="0.6">
      <c r="A30" s="225"/>
      <c r="B30" s="260" t="s">
        <v>162</v>
      </c>
      <c r="C30" s="261" t="s">
        <v>14</v>
      </c>
      <c r="D30" s="281">
        <v>12.34</v>
      </c>
      <c r="E30" s="201"/>
      <c r="F30" s="189"/>
    </row>
    <row r="31" spans="1:7" x14ac:dyDescent="0.6">
      <c r="A31" s="225"/>
      <c r="B31" s="260" t="s">
        <v>161</v>
      </c>
      <c r="C31" s="261" t="s">
        <v>14</v>
      </c>
      <c r="D31" s="281">
        <v>41.18</v>
      </c>
      <c r="E31" s="201"/>
      <c r="F31" s="189"/>
    </row>
    <row r="32" spans="1:7" x14ac:dyDescent="0.6">
      <c r="A32" s="225"/>
      <c r="B32" s="275" t="s">
        <v>129</v>
      </c>
      <c r="C32" s="276" t="s">
        <v>16</v>
      </c>
      <c r="D32" s="277">
        <f>D28*D30+D29*D31</f>
        <v>6068.0185999999994</v>
      </c>
      <c r="E32" s="201"/>
      <c r="F32" s="189"/>
    </row>
    <row r="33" spans="1:6" x14ac:dyDescent="0.6">
      <c r="A33" s="225"/>
      <c r="B33" s="199"/>
      <c r="C33" s="199"/>
      <c r="D33" s="200"/>
      <c r="E33" s="201"/>
      <c r="F33" s="189"/>
    </row>
    <row r="34" spans="1:6" x14ac:dyDescent="0.6">
      <c r="A34" s="191" t="s">
        <v>63</v>
      </c>
      <c r="B34" s="192"/>
      <c r="C34" s="192"/>
      <c r="D34" s="193"/>
      <c r="E34" s="194"/>
      <c r="F34" s="195"/>
    </row>
    <row r="35" spans="1:6" ht="22.5" thickBot="1" x14ac:dyDescent="0.65">
      <c r="A35" s="225"/>
      <c r="B35" s="199"/>
      <c r="C35" s="199"/>
      <c r="D35" s="200"/>
      <c r="E35" s="201"/>
      <c r="F35" s="189"/>
    </row>
    <row r="36" spans="1:6" x14ac:dyDescent="0.6">
      <c r="A36" s="225"/>
      <c r="B36" s="282" t="s">
        <v>2</v>
      </c>
      <c r="C36" s="283" t="s">
        <v>58</v>
      </c>
      <c r="D36" s="284" t="s">
        <v>59</v>
      </c>
      <c r="E36" s="201"/>
      <c r="F36" s="189"/>
    </row>
    <row r="37" spans="1:6" x14ac:dyDescent="0.6">
      <c r="A37" s="225"/>
      <c r="B37" s="223" t="s">
        <v>64</v>
      </c>
      <c r="C37" s="285" t="s">
        <v>16</v>
      </c>
      <c r="D37" s="262">
        <f>0.9*2.4</f>
        <v>2.16</v>
      </c>
      <c r="E37" s="201"/>
      <c r="F37" s="189"/>
    </row>
    <row r="38" spans="1:6" x14ac:dyDescent="0.6">
      <c r="A38" s="225"/>
      <c r="B38" s="223" t="s">
        <v>1993</v>
      </c>
      <c r="C38" s="285" t="s">
        <v>21</v>
      </c>
      <c r="D38" s="262">
        <v>2</v>
      </c>
      <c r="E38" s="201"/>
      <c r="F38" s="189"/>
    </row>
    <row r="39" spans="1:6" x14ac:dyDescent="0.6">
      <c r="A39" s="225"/>
      <c r="B39" s="223" t="s">
        <v>65</v>
      </c>
      <c r="C39" s="285" t="s">
        <v>21</v>
      </c>
      <c r="D39" s="262">
        <f>D38*19</f>
        <v>38</v>
      </c>
      <c r="E39" s="201"/>
      <c r="F39" s="189"/>
    </row>
    <row r="40" spans="1:6" x14ac:dyDescent="0.6">
      <c r="A40" s="225"/>
      <c r="B40" s="286" t="s">
        <v>63</v>
      </c>
      <c r="C40" s="287" t="s">
        <v>16</v>
      </c>
      <c r="D40" s="288">
        <f>D37*D39</f>
        <v>82.080000000000013</v>
      </c>
      <c r="E40" s="201"/>
      <c r="F40" s="189"/>
    </row>
    <row r="41" spans="1:6" x14ac:dyDescent="0.6">
      <c r="A41" s="225"/>
      <c r="B41" s="199"/>
      <c r="C41" s="199"/>
      <c r="D41" s="200"/>
      <c r="E41" s="201"/>
      <c r="F41" s="189"/>
    </row>
    <row r="42" spans="1:6" x14ac:dyDescent="0.6">
      <c r="A42" s="191" t="s">
        <v>1994</v>
      </c>
      <c r="B42" s="192"/>
      <c r="C42" s="192"/>
      <c r="D42" s="193"/>
      <c r="E42" s="194"/>
      <c r="F42" s="195"/>
    </row>
    <row r="43" spans="1:6" ht="22.5" thickBot="1" x14ac:dyDescent="0.65">
      <c r="A43" s="225"/>
      <c r="B43" s="199"/>
      <c r="C43" s="199"/>
      <c r="D43" s="200"/>
      <c r="E43" s="201"/>
      <c r="F43" s="189"/>
    </row>
    <row r="44" spans="1:6" x14ac:dyDescent="0.6">
      <c r="A44" s="225"/>
      <c r="B44" s="202" t="s">
        <v>2</v>
      </c>
      <c r="C44" s="203" t="s">
        <v>58</v>
      </c>
      <c r="D44" s="204" t="s">
        <v>59</v>
      </c>
      <c r="E44" s="201"/>
      <c r="F44" s="189"/>
    </row>
    <row r="45" spans="1:6" x14ac:dyDescent="0.6">
      <c r="A45" s="225"/>
      <c r="B45" s="289" t="s">
        <v>1995</v>
      </c>
      <c r="C45" s="290" t="s">
        <v>14</v>
      </c>
      <c r="D45" s="291">
        <f>(47.06+35.6+(7.3+33)*13+0.78+42.68+1.4)/1.1</f>
        <v>592.19999999999982</v>
      </c>
      <c r="E45" s="201"/>
      <c r="F45" s="189"/>
    </row>
    <row r="46" spans="1:6" x14ac:dyDescent="0.6">
      <c r="A46" s="225"/>
      <c r="B46" s="275" t="s">
        <v>1994</v>
      </c>
      <c r="C46" s="276" t="s">
        <v>14</v>
      </c>
      <c r="D46" s="277">
        <f>D45</f>
        <v>592.19999999999982</v>
      </c>
      <c r="E46" s="201"/>
      <c r="F46" s="189"/>
    </row>
    <row r="47" spans="1:6" x14ac:dyDescent="0.6">
      <c r="A47" s="225"/>
      <c r="B47" s="199"/>
      <c r="C47" s="199"/>
      <c r="D47" s="200"/>
      <c r="E47" s="201"/>
      <c r="F47" s="189"/>
    </row>
    <row r="48" spans="1:6" x14ac:dyDescent="0.6">
      <c r="A48" s="191" t="s">
        <v>1996</v>
      </c>
      <c r="B48" s="192"/>
      <c r="C48" s="192"/>
      <c r="D48" s="193"/>
      <c r="E48" s="194"/>
      <c r="F48" s="195"/>
    </row>
    <row r="49" spans="1:6" ht="22.5" thickBot="1" x14ac:dyDescent="0.65">
      <c r="A49" s="225"/>
      <c r="B49" s="199"/>
      <c r="C49" s="199"/>
      <c r="D49" s="200"/>
      <c r="E49" s="201"/>
      <c r="F49" s="189"/>
    </row>
    <row r="50" spans="1:6" x14ac:dyDescent="0.6">
      <c r="A50" s="225"/>
      <c r="B50" s="202" t="s">
        <v>2</v>
      </c>
      <c r="C50" s="203" t="s">
        <v>58</v>
      </c>
      <c r="D50" s="204" t="s">
        <v>59</v>
      </c>
      <c r="E50" s="201"/>
      <c r="F50" s="189"/>
    </row>
    <row r="51" spans="1:6" x14ac:dyDescent="0.6">
      <c r="A51" s="225"/>
      <c r="B51" s="289" t="s">
        <v>1093</v>
      </c>
      <c r="C51" s="290" t="s">
        <v>14</v>
      </c>
      <c r="D51" s="291">
        <f>D23</f>
        <v>429.12</v>
      </c>
      <c r="E51" s="201"/>
      <c r="F51" s="189"/>
    </row>
    <row r="52" spans="1:6" x14ac:dyDescent="0.6">
      <c r="A52" s="225"/>
      <c r="B52" s="275" t="s">
        <v>1994</v>
      </c>
      <c r="C52" s="276" t="s">
        <v>14</v>
      </c>
      <c r="D52" s="277">
        <f>D51</f>
        <v>429.12</v>
      </c>
      <c r="E52" s="201"/>
      <c r="F52" s="189"/>
    </row>
    <row r="53" spans="1:6" x14ac:dyDescent="0.6">
      <c r="A53" s="225"/>
      <c r="B53" s="199"/>
      <c r="C53" s="199"/>
      <c r="D53" s="200"/>
      <c r="E53" s="201"/>
      <c r="F53" s="189"/>
    </row>
    <row r="54" spans="1:6" x14ac:dyDescent="0.6">
      <c r="A54" s="191" t="s">
        <v>160</v>
      </c>
      <c r="B54" s="192"/>
      <c r="C54" s="192"/>
      <c r="D54" s="193"/>
      <c r="E54" s="194"/>
      <c r="F54" s="195"/>
    </row>
    <row r="55" spans="1:6" ht="22.5" thickBot="1" x14ac:dyDescent="0.65">
      <c r="A55" s="225"/>
      <c r="B55" s="199"/>
      <c r="C55" s="199"/>
      <c r="D55" s="200"/>
      <c r="E55" s="201"/>
      <c r="F55" s="189"/>
    </row>
    <row r="56" spans="1:6" x14ac:dyDescent="0.6">
      <c r="A56" s="225"/>
      <c r="B56" s="202" t="s">
        <v>2</v>
      </c>
      <c r="C56" s="203" t="s">
        <v>58</v>
      </c>
      <c r="D56" s="204" t="s">
        <v>59</v>
      </c>
      <c r="E56" s="201"/>
      <c r="F56" s="189"/>
    </row>
    <row r="57" spans="1:6" x14ac:dyDescent="0.6">
      <c r="A57" s="225"/>
      <c r="B57" s="205" t="s">
        <v>159</v>
      </c>
      <c r="C57" s="206" t="s">
        <v>14</v>
      </c>
      <c r="D57" s="273">
        <v>54.85</v>
      </c>
      <c r="E57" s="201"/>
      <c r="F57" s="189"/>
    </row>
    <row r="58" spans="1:6" x14ac:dyDescent="0.6">
      <c r="A58" s="225"/>
      <c r="B58" s="208" t="s">
        <v>158</v>
      </c>
      <c r="C58" s="209" t="s">
        <v>14</v>
      </c>
      <c r="D58" s="274">
        <v>2.4</v>
      </c>
      <c r="E58" s="201"/>
      <c r="F58" s="189"/>
    </row>
    <row r="59" spans="1:6" x14ac:dyDescent="0.6">
      <c r="A59" s="225"/>
      <c r="B59" s="275" t="s">
        <v>157</v>
      </c>
      <c r="C59" s="276" t="s">
        <v>16</v>
      </c>
      <c r="D59" s="277">
        <f>D58*D57</f>
        <v>131.63999999999999</v>
      </c>
      <c r="E59" s="201"/>
      <c r="F59" s="189"/>
    </row>
    <row r="60" spans="1:6" x14ac:dyDescent="0.6">
      <c r="A60" s="225"/>
      <c r="B60" s="199"/>
      <c r="C60" s="199"/>
      <c r="D60" s="200"/>
      <c r="E60" s="201"/>
      <c r="F60" s="189"/>
    </row>
    <row r="61" spans="1:6" x14ac:dyDescent="0.6">
      <c r="A61" s="225"/>
      <c r="B61" s="199"/>
      <c r="C61" s="199"/>
      <c r="D61" s="200"/>
      <c r="E61" s="201"/>
      <c r="F61" s="189"/>
    </row>
    <row r="62" spans="1:6" x14ac:dyDescent="0.6">
      <c r="A62" s="225"/>
      <c r="B62" s="199"/>
      <c r="C62" s="199"/>
      <c r="D62" s="200"/>
      <c r="E62" s="201"/>
      <c r="F62" s="189"/>
    </row>
    <row r="63" spans="1:6" x14ac:dyDescent="0.6">
      <c r="A63" s="225"/>
      <c r="B63" s="199"/>
      <c r="C63" s="199"/>
      <c r="D63" s="200"/>
      <c r="E63" s="201"/>
      <c r="F63" s="189"/>
    </row>
    <row r="64" spans="1:6" ht="22.5" thickBot="1" x14ac:dyDescent="0.65">
      <c r="A64" s="292"/>
      <c r="B64" s="293"/>
      <c r="C64" s="293"/>
      <c r="D64" s="294"/>
      <c r="E64" s="295"/>
      <c r="F64" s="296"/>
    </row>
    <row r="65" spans="1:6" x14ac:dyDescent="0.6">
      <c r="A65" s="297"/>
      <c r="B65" s="298"/>
      <c r="C65" s="298"/>
      <c r="D65" s="299"/>
      <c r="E65" s="300"/>
      <c r="F65" s="297"/>
    </row>
    <row r="66" spans="1:6" x14ac:dyDescent="0.6">
      <c r="A66" s="297"/>
      <c r="B66" s="298"/>
      <c r="C66" s="298"/>
      <c r="D66" s="299"/>
      <c r="E66" s="300"/>
      <c r="F66" s="297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637E-1B0C-4AA1-8846-EBDC6244F9EE}">
  <dimension ref="A1:T57"/>
  <sheetViews>
    <sheetView zoomScaleNormal="100" workbookViewId="0">
      <selection activeCell="D19" sqref="D19"/>
    </sheetView>
  </sheetViews>
  <sheetFormatPr defaultRowHeight="15" x14ac:dyDescent="0.25"/>
  <cols>
    <col min="1" max="1" width="12" style="171" customWidth="1"/>
    <col min="2" max="2" width="38.140625" style="171" customWidth="1"/>
    <col min="3" max="3" width="15.5703125" style="171" customWidth="1"/>
    <col min="4" max="4" width="12.42578125" style="171" customWidth="1"/>
    <col min="5" max="5" width="12.7109375" style="171" customWidth="1"/>
    <col min="6" max="6" width="10.42578125" style="171" customWidth="1"/>
    <col min="7" max="7" width="36" style="171" customWidth="1"/>
    <col min="8" max="13" width="16.28515625" style="171" customWidth="1"/>
    <col min="14" max="14" width="21.85546875" style="171" bestFit="1" customWidth="1"/>
    <col min="15" max="15" width="11.28515625" style="172" bestFit="1" customWidth="1"/>
    <col min="16" max="16" width="20" style="172" bestFit="1" customWidth="1"/>
    <col min="17" max="17" width="10.28515625" style="171" bestFit="1" customWidth="1"/>
    <col min="18" max="18" width="9.140625" style="171"/>
    <col min="19" max="19" width="13" style="171" customWidth="1"/>
    <col min="20" max="16384" width="9.140625" style="171"/>
  </cols>
  <sheetData>
    <row r="1" spans="1:20" ht="21.75" x14ac:dyDescent="0.6">
      <c r="A1" s="165" t="s">
        <v>0</v>
      </c>
      <c r="B1" s="166" t="s">
        <v>1736</v>
      </c>
      <c r="C1" s="167"/>
      <c r="D1" s="168"/>
      <c r="E1" s="169"/>
      <c r="F1" s="169"/>
      <c r="G1" s="170"/>
    </row>
    <row r="2" spans="1:20" ht="21.75" x14ac:dyDescent="0.6">
      <c r="A2" s="173" t="s">
        <v>53</v>
      </c>
      <c r="B2" s="174" t="s">
        <v>88</v>
      </c>
      <c r="C2" s="175"/>
      <c r="D2" s="176"/>
      <c r="E2" s="177"/>
      <c r="F2" s="177"/>
      <c r="G2" s="178"/>
    </row>
    <row r="3" spans="1:20" ht="21.75" x14ac:dyDescent="0.6">
      <c r="A3" s="173" t="s">
        <v>54</v>
      </c>
      <c r="B3" s="174" t="s">
        <v>47</v>
      </c>
      <c r="C3" s="175"/>
      <c r="D3" s="176"/>
      <c r="E3" s="177"/>
      <c r="F3" s="179"/>
      <c r="G3" s="178"/>
      <c r="N3" s="329" t="s">
        <v>1931</v>
      </c>
      <c r="O3" s="329"/>
      <c r="P3" s="329"/>
      <c r="R3" s="329" t="s">
        <v>1932</v>
      </c>
      <c r="S3" s="329"/>
      <c r="T3" s="329"/>
    </row>
    <row r="4" spans="1:20" ht="28.5" x14ac:dyDescent="0.25">
      <c r="A4" s="323" t="s">
        <v>55</v>
      </c>
      <c r="B4" s="324"/>
      <c r="C4" s="324"/>
      <c r="D4" s="324"/>
      <c r="E4" s="324"/>
      <c r="F4" s="330"/>
      <c r="G4" s="325"/>
      <c r="N4" s="171" t="s">
        <v>1933</v>
      </c>
      <c r="O4" s="172">
        <f>[5]OBRA!D10</f>
        <v>6601.277</v>
      </c>
      <c r="R4" s="171" t="s">
        <v>1934</v>
      </c>
      <c r="S4" s="172">
        <f>O4/O5</f>
        <v>235.75989285714286</v>
      </c>
    </row>
    <row r="5" spans="1:20" ht="28.5" x14ac:dyDescent="0.6">
      <c r="A5" s="180"/>
      <c r="B5" s="181"/>
      <c r="C5" s="181"/>
      <c r="D5" s="182"/>
      <c r="E5" s="183"/>
      <c r="F5" s="183"/>
      <c r="G5" s="184"/>
      <c r="N5" s="171" t="s">
        <v>1935</v>
      </c>
      <c r="O5" s="172">
        <f>[5]OBRA!D12</f>
        <v>28</v>
      </c>
      <c r="P5" s="172" t="s">
        <v>1936</v>
      </c>
      <c r="R5" s="171" t="s">
        <v>1937</v>
      </c>
      <c r="S5" s="171">
        <v>49</v>
      </c>
      <c r="T5" s="171" t="s">
        <v>1938</v>
      </c>
    </row>
    <row r="6" spans="1:20" ht="28.5" x14ac:dyDescent="0.25">
      <c r="A6" s="326" t="s">
        <v>1939</v>
      </c>
      <c r="B6" s="327"/>
      <c r="C6" s="327"/>
      <c r="D6" s="327"/>
      <c r="E6" s="327"/>
      <c r="F6" s="331"/>
      <c r="G6" s="328"/>
      <c r="N6" s="171" t="s">
        <v>1940</v>
      </c>
      <c r="O6" s="172">
        <f>ROUNDUP((O4*S5)/O5/180,)</f>
        <v>65</v>
      </c>
      <c r="P6" s="172" t="s">
        <v>1941</v>
      </c>
    </row>
    <row r="7" spans="1:20" ht="21.75" x14ac:dyDescent="0.6">
      <c r="A7" s="185"/>
      <c r="B7" s="186"/>
      <c r="C7" s="187"/>
      <c r="D7" s="188"/>
      <c r="E7" s="179"/>
      <c r="F7" s="179"/>
      <c r="G7" s="189"/>
      <c r="N7" s="171" t="s">
        <v>1942</v>
      </c>
      <c r="O7" s="172">
        <f>[5]OBRA!D13</f>
        <v>10</v>
      </c>
      <c r="Q7" s="190"/>
    </row>
    <row r="8" spans="1:20" ht="21.75" x14ac:dyDescent="0.6">
      <c r="A8" s="191" t="s">
        <v>1939</v>
      </c>
      <c r="B8" s="192"/>
      <c r="C8" s="192"/>
      <c r="D8" s="193"/>
      <c r="E8" s="194"/>
      <c r="F8" s="194"/>
      <c r="G8" s="195"/>
      <c r="N8" s="196" t="s">
        <v>1943</v>
      </c>
      <c r="O8" s="197">
        <v>5</v>
      </c>
      <c r="P8" s="197" t="s">
        <v>1941</v>
      </c>
      <c r="Q8" s="190"/>
    </row>
    <row r="9" spans="1:20" ht="22.5" thickBot="1" x14ac:dyDescent="0.65">
      <c r="A9" s="198"/>
      <c r="B9" s="199"/>
      <c r="C9" s="199"/>
      <c r="D9" s="200"/>
      <c r="E9" s="201"/>
      <c r="F9" s="201"/>
      <c r="G9" s="189"/>
    </row>
    <row r="10" spans="1:20" ht="21.75" x14ac:dyDescent="0.6">
      <c r="A10" s="198"/>
      <c r="B10" s="202" t="s">
        <v>2</v>
      </c>
      <c r="C10" s="203" t="s">
        <v>58</v>
      </c>
      <c r="D10" s="204" t="s">
        <v>59</v>
      </c>
      <c r="E10" s="201"/>
      <c r="F10" s="201"/>
      <c r="G10" s="189"/>
    </row>
    <row r="11" spans="1:20" ht="21.75" x14ac:dyDescent="0.6">
      <c r="A11" s="198"/>
      <c r="B11" s="205" t="s">
        <v>1944</v>
      </c>
      <c r="C11" s="206" t="s">
        <v>1945</v>
      </c>
      <c r="D11" s="207">
        <f>OBRA!D10/OBRA!D12</f>
        <v>347.74888888888887</v>
      </c>
      <c r="E11" s="201"/>
      <c r="F11" s="201"/>
      <c r="G11" s="189"/>
      <c r="N11" s="171" t="s">
        <v>1946</v>
      </c>
      <c r="O11" s="172">
        <f>450+(O4-13000)/1000*16</f>
        <v>347.62043199999999</v>
      </c>
      <c r="Q11" s="190"/>
    </row>
    <row r="12" spans="1:20" ht="21.75" x14ac:dyDescent="0.6">
      <c r="A12" s="198"/>
      <c r="B12" s="208" t="s">
        <v>1937</v>
      </c>
      <c r="C12" s="209" t="s">
        <v>1938</v>
      </c>
      <c r="D12" s="210">
        <v>44</v>
      </c>
      <c r="E12" s="201"/>
      <c r="F12" s="201"/>
      <c r="G12" s="189"/>
      <c r="N12" s="171" t="s">
        <v>1947</v>
      </c>
      <c r="O12" s="172">
        <f>O11*0.4</f>
        <v>139.0481728</v>
      </c>
      <c r="Q12" s="190"/>
    </row>
    <row r="13" spans="1:20" ht="21.75" x14ac:dyDescent="0.6">
      <c r="A13" s="198"/>
      <c r="B13" s="211" t="s">
        <v>1948</v>
      </c>
      <c r="C13" s="212" t="s">
        <v>21</v>
      </c>
      <c r="D13" s="213">
        <f>ROUNDUP((D12*OBRA!D10)/OBRA!D12/180,)</f>
        <v>86</v>
      </c>
      <c r="E13" s="214">
        <f>400*(D13+D14)</f>
        <v>36800</v>
      </c>
      <c r="F13" s="201"/>
      <c r="G13" s="189"/>
      <c r="Q13" s="190"/>
    </row>
    <row r="14" spans="1:20" ht="21.75" x14ac:dyDescent="0.6">
      <c r="A14" s="198"/>
      <c r="B14" s="215" t="s">
        <v>1943</v>
      </c>
      <c r="C14" s="216" t="s">
        <v>21</v>
      </c>
      <c r="D14" s="217">
        <v>6</v>
      </c>
      <c r="E14" s="201"/>
      <c r="F14" s="201"/>
      <c r="G14" s="189"/>
      <c r="O14" s="218">
        <f>SUM(O11:O13)</f>
        <v>486.66860480000003</v>
      </c>
    </row>
    <row r="15" spans="1:20" ht="21.75" x14ac:dyDescent="0.6">
      <c r="A15" s="198"/>
      <c r="B15" s="219" t="s">
        <v>1949</v>
      </c>
      <c r="C15" s="220" t="s">
        <v>21</v>
      </c>
      <c r="D15" s="221">
        <f>ROUNDUP(($D$13+D14)/20,0)</f>
        <v>5</v>
      </c>
      <c r="E15" s="222" t="s">
        <v>1950</v>
      </c>
      <c r="F15" s="222"/>
      <c r="G15" s="189"/>
    </row>
    <row r="16" spans="1:20" ht="21.75" x14ac:dyDescent="0.6">
      <c r="A16" s="198"/>
      <c r="B16" s="223" t="s">
        <v>1951</v>
      </c>
      <c r="C16" s="220" t="s">
        <v>21</v>
      </c>
      <c r="D16" s="224">
        <f>ROUNDUP([6]OBRA!$D$13/5,0)</f>
        <v>5</v>
      </c>
      <c r="E16" s="222" t="s">
        <v>1952</v>
      </c>
      <c r="F16" s="222"/>
      <c r="G16" s="189"/>
      <c r="N16" s="171" t="s">
        <v>1953</v>
      </c>
      <c r="O16" s="172">
        <v>1</v>
      </c>
      <c r="P16" s="172" t="s">
        <v>1954</v>
      </c>
    </row>
    <row r="17" spans="1:17" ht="21.75" x14ac:dyDescent="0.6">
      <c r="A17" s="225"/>
      <c r="B17" s="219" t="s">
        <v>1955</v>
      </c>
      <c r="C17" s="220" t="s">
        <v>1956</v>
      </c>
      <c r="D17" s="226">
        <f>800*(D13+D14)</f>
        <v>73600</v>
      </c>
      <c r="E17" s="222" t="s">
        <v>1957</v>
      </c>
      <c r="F17" s="222"/>
      <c r="G17" s="189"/>
      <c r="O17" s="172">
        <f>O16*O6</f>
        <v>65</v>
      </c>
      <c r="P17" s="172" t="s">
        <v>1958</v>
      </c>
    </row>
    <row r="18" spans="1:17" ht="18" x14ac:dyDescent="0.45">
      <c r="A18" s="227"/>
      <c r="B18" s="219" t="s">
        <v>1959</v>
      </c>
      <c r="C18" s="220" t="s">
        <v>1956</v>
      </c>
      <c r="D18" s="226">
        <f>500*(D13+D14)</f>
        <v>46000</v>
      </c>
      <c r="E18" s="222" t="s">
        <v>1960</v>
      </c>
      <c r="F18" s="222"/>
      <c r="G18" s="228"/>
    </row>
    <row r="19" spans="1:17" ht="18.75" thickBot="1" x14ac:dyDescent="0.5">
      <c r="A19" s="227"/>
      <c r="B19" s="229" t="s">
        <v>1961</v>
      </c>
      <c r="C19" s="230" t="s">
        <v>21</v>
      </c>
      <c r="D19" s="231">
        <f>ROUNDUP(($D$13+D14)/20,0)</f>
        <v>5</v>
      </c>
      <c r="E19" s="222" t="s">
        <v>1962</v>
      </c>
      <c r="F19" s="222"/>
      <c r="G19" s="228"/>
      <c r="N19" s="171" t="s">
        <v>1963</v>
      </c>
      <c r="O19" s="172">
        <v>1.5</v>
      </c>
      <c r="P19" s="172" t="s">
        <v>1954</v>
      </c>
    </row>
    <row r="20" spans="1:17" x14ac:dyDescent="0.25">
      <c r="A20" s="227"/>
      <c r="B20" s="232"/>
      <c r="C20" s="232"/>
      <c r="D20" s="232"/>
      <c r="E20" s="232"/>
      <c r="F20" s="232"/>
      <c r="G20" s="228"/>
      <c r="O20" s="172">
        <f>O19*O6</f>
        <v>97.5</v>
      </c>
      <c r="P20" s="172" t="s">
        <v>1958</v>
      </c>
    </row>
    <row r="21" spans="1:17" ht="21.75" x14ac:dyDescent="0.6">
      <c r="A21" s="191" t="s">
        <v>1964</v>
      </c>
      <c r="B21" s="192"/>
      <c r="C21" s="192"/>
      <c r="D21" s="193"/>
      <c r="E21" s="194"/>
      <c r="F21" s="194"/>
      <c r="G21" s="195"/>
    </row>
    <row r="22" spans="1:17" ht="22.5" thickBot="1" x14ac:dyDescent="0.65">
      <c r="A22" s="198"/>
      <c r="B22" s="199"/>
      <c r="C22" s="199"/>
      <c r="D22" s="200"/>
      <c r="E22" s="201"/>
      <c r="F22" s="201"/>
      <c r="G22" s="189"/>
    </row>
    <row r="23" spans="1:17" ht="21.75" x14ac:dyDescent="0.6">
      <c r="A23" s="198"/>
      <c r="B23" s="202" t="s">
        <v>2</v>
      </c>
      <c r="C23" s="203" t="s">
        <v>58</v>
      </c>
      <c r="D23" s="203" t="s">
        <v>59</v>
      </c>
      <c r="E23" s="203" t="s">
        <v>1965</v>
      </c>
      <c r="F23" s="233" t="s">
        <v>1966</v>
      </c>
      <c r="G23" s="189"/>
    </row>
    <row r="24" spans="1:17" ht="21.75" x14ac:dyDescent="0.6">
      <c r="A24" s="198"/>
      <c r="B24" s="205" t="s">
        <v>1967</v>
      </c>
      <c r="C24" s="206" t="s">
        <v>21</v>
      </c>
      <c r="D24" s="220">
        <f>ROUNDUP(D28*1.5,0)</f>
        <v>9</v>
      </c>
      <c r="E24" s="220">
        <v>200</v>
      </c>
      <c r="F24" s="221">
        <f>D24*E24</f>
        <v>1800</v>
      </c>
      <c r="G24" s="189"/>
    </row>
    <row r="25" spans="1:17" ht="21.75" x14ac:dyDescent="0.6">
      <c r="A25" s="198"/>
      <c r="B25" s="223" t="s">
        <v>1968</v>
      </c>
      <c r="C25" s="220" t="s">
        <v>21</v>
      </c>
      <c r="D25" s="220">
        <v>1</v>
      </c>
      <c r="E25" s="220">
        <v>1000</v>
      </c>
      <c r="F25" s="221">
        <f>E25*D25</f>
        <v>1000</v>
      </c>
      <c r="G25" s="189"/>
    </row>
    <row r="26" spans="1:17" ht="15.75" x14ac:dyDescent="0.25">
      <c r="A26" s="227"/>
      <c r="B26" s="223" t="s">
        <v>1969</v>
      </c>
      <c r="C26" s="220" t="s">
        <v>21</v>
      </c>
      <c r="D26" s="220">
        <v>1</v>
      </c>
      <c r="E26" s="220">
        <v>5000</v>
      </c>
      <c r="F26" s="221">
        <f t="shared" ref="F26:F27" si="0">E26*D26</f>
        <v>5000</v>
      </c>
      <c r="G26" s="228"/>
    </row>
    <row r="27" spans="1:17" ht="15.75" x14ac:dyDescent="0.25">
      <c r="A27" s="227"/>
      <c r="B27" s="223" t="s">
        <v>1970</v>
      </c>
      <c r="C27" s="220" t="s">
        <v>14</v>
      </c>
      <c r="D27" s="220">
        <v>6</v>
      </c>
      <c r="E27" s="220">
        <v>900</v>
      </c>
      <c r="F27" s="221">
        <f t="shared" si="0"/>
        <v>5400</v>
      </c>
      <c r="G27" s="228"/>
    </row>
    <row r="28" spans="1:17" ht="16.5" thickBot="1" x14ac:dyDescent="0.3">
      <c r="A28" s="227"/>
      <c r="B28" s="234" t="s">
        <v>1971</v>
      </c>
      <c r="C28" s="230" t="s">
        <v>21</v>
      </c>
      <c r="D28" s="230">
        <f>D14</f>
        <v>6</v>
      </c>
      <c r="E28" s="230">
        <v>800</v>
      </c>
      <c r="F28" s="231">
        <f>E28*D28</f>
        <v>4800</v>
      </c>
      <c r="G28" s="228"/>
    </row>
    <row r="29" spans="1:17" ht="16.5" thickBot="1" x14ac:dyDescent="0.3">
      <c r="A29" s="227"/>
      <c r="B29" s="332" t="s">
        <v>83</v>
      </c>
      <c r="C29" s="333"/>
      <c r="D29" s="333"/>
      <c r="E29" s="334"/>
      <c r="F29" s="235">
        <f>F26+F27+F28+F25+F24</f>
        <v>18000</v>
      </c>
      <c r="G29" s="228"/>
    </row>
    <row r="30" spans="1:17" ht="15.75" x14ac:dyDescent="0.25">
      <c r="A30" s="227"/>
      <c r="B30" s="202" t="s">
        <v>2</v>
      </c>
      <c r="C30" s="203" t="s">
        <v>58</v>
      </c>
      <c r="D30" s="203" t="s">
        <v>59</v>
      </c>
      <c r="E30" s="203" t="s">
        <v>1965</v>
      </c>
      <c r="F30" s="233" t="s">
        <v>1966</v>
      </c>
      <c r="G30" s="228"/>
    </row>
    <row r="31" spans="1:17" ht="15.75" x14ac:dyDescent="0.25">
      <c r="A31" s="227"/>
      <c r="B31" s="205" t="s">
        <v>1972</v>
      </c>
      <c r="C31" s="206" t="s">
        <v>21</v>
      </c>
      <c r="D31" s="220">
        <f>D14</f>
        <v>6</v>
      </c>
      <c r="E31" s="220">
        <v>6000</v>
      </c>
      <c r="F31" s="221">
        <f>D31*E31</f>
        <v>36000</v>
      </c>
      <c r="G31" s="228"/>
      <c r="N31" s="171" t="s">
        <v>1973</v>
      </c>
      <c r="O31" s="172">
        <f>1*ROUNDUP(O6/20,)</f>
        <v>4</v>
      </c>
      <c r="P31" s="172" t="s">
        <v>1958</v>
      </c>
    </row>
    <row r="32" spans="1:17" ht="15.75" x14ac:dyDescent="0.25">
      <c r="A32" s="227"/>
      <c r="B32" s="223" t="s">
        <v>1974</v>
      </c>
      <c r="C32" s="220" t="s">
        <v>21</v>
      </c>
      <c r="D32" s="220">
        <v>1</v>
      </c>
      <c r="E32" s="220">
        <v>2000</v>
      </c>
      <c r="F32" s="221">
        <f>E32*D32</f>
        <v>2000</v>
      </c>
      <c r="G32" s="228"/>
      <c r="Q32" s="190"/>
    </row>
    <row r="33" spans="1:16" ht="16.5" thickBot="1" x14ac:dyDescent="0.3">
      <c r="A33" s="227"/>
      <c r="B33" s="236" t="s">
        <v>1975</v>
      </c>
      <c r="C33" s="237" t="s">
        <v>21</v>
      </c>
      <c r="D33" s="237">
        <v>2</v>
      </c>
      <c r="E33" s="237">
        <v>500</v>
      </c>
      <c r="F33" s="238">
        <f t="shared" ref="F33" si="1">E33*D33</f>
        <v>1000</v>
      </c>
      <c r="G33" s="228"/>
      <c r="N33" s="171" t="s">
        <v>1976</v>
      </c>
      <c r="O33" s="172">
        <f>0.6*ROUNDUP(O6/20,)</f>
        <v>2.4</v>
      </c>
      <c r="P33" s="172" t="s">
        <v>1958</v>
      </c>
    </row>
    <row r="34" spans="1:16" ht="16.5" thickBot="1" x14ac:dyDescent="0.3">
      <c r="A34" s="239"/>
      <c r="B34" s="332" t="s">
        <v>83</v>
      </c>
      <c r="C34" s="333"/>
      <c r="D34" s="333"/>
      <c r="E34" s="334"/>
      <c r="F34" s="235">
        <f>+F31+F32+F33</f>
        <v>39000</v>
      </c>
      <c r="G34" s="240"/>
      <c r="N34" s="171" t="s">
        <v>1977</v>
      </c>
      <c r="O34" s="172">
        <f>0.8*ROUNDUP(O6/10,)</f>
        <v>5.6000000000000005</v>
      </c>
      <c r="P34" s="172" t="s">
        <v>1958</v>
      </c>
    </row>
    <row r="35" spans="1:16" ht="15.75" thickBot="1" x14ac:dyDescent="0.3">
      <c r="A35" s="241"/>
      <c r="B35" s="242"/>
      <c r="C35" s="242"/>
      <c r="D35" s="242"/>
      <c r="E35" s="242"/>
      <c r="F35" s="242"/>
      <c r="G35" s="243"/>
    </row>
    <row r="36" spans="1:16" x14ac:dyDescent="0.25">
      <c r="N36" s="171" t="s">
        <v>1978</v>
      </c>
      <c r="O36" s="172">
        <v>8</v>
      </c>
      <c r="P36" s="172" t="s">
        <v>1979</v>
      </c>
    </row>
    <row r="37" spans="1:16" x14ac:dyDescent="0.25">
      <c r="O37" s="172">
        <f>O36*O8</f>
        <v>40</v>
      </c>
      <c r="P37" s="172" t="s">
        <v>1958</v>
      </c>
    </row>
    <row r="39" spans="1:16" x14ac:dyDescent="0.25">
      <c r="N39" s="171" t="s">
        <v>1980</v>
      </c>
      <c r="O39" s="172">
        <f>IF(O4&lt;20000,100,100+((O4-20000)/1000)*5)</f>
        <v>100</v>
      </c>
      <c r="P39" s="172" t="s">
        <v>16</v>
      </c>
    </row>
    <row r="41" spans="1:16" x14ac:dyDescent="0.25">
      <c r="O41" s="218">
        <f>O39+O37+O34+O33+O31+O20+O17</f>
        <v>314.5</v>
      </c>
    </row>
    <row r="44" spans="1:16" x14ac:dyDescent="0.25">
      <c r="N44" s="171" t="s">
        <v>1949</v>
      </c>
      <c r="O44" s="172">
        <v>20</v>
      </c>
      <c r="P44" s="172" t="s">
        <v>1981</v>
      </c>
    </row>
    <row r="45" spans="1:16" x14ac:dyDescent="0.25">
      <c r="N45" s="244" t="s">
        <v>1949</v>
      </c>
      <c r="O45" s="218">
        <f>ROUNDUP(O6/O44,)</f>
        <v>4</v>
      </c>
      <c r="P45" s="218" t="s">
        <v>1982</v>
      </c>
    </row>
    <row r="48" spans="1:16" x14ac:dyDescent="0.25">
      <c r="N48" s="171" t="s">
        <v>1951</v>
      </c>
      <c r="O48" s="172">
        <v>1</v>
      </c>
      <c r="P48" s="172" t="s">
        <v>1983</v>
      </c>
    </row>
    <row r="49" spans="14:18" x14ac:dyDescent="0.25">
      <c r="N49" s="171" t="s">
        <v>1984</v>
      </c>
      <c r="O49" s="172">
        <f>ROUNDUP(O7/5,)</f>
        <v>2</v>
      </c>
      <c r="P49" s="172" t="s">
        <v>1985</v>
      </c>
    </row>
    <row r="51" spans="14:18" x14ac:dyDescent="0.25">
      <c r="N51" s="171" t="s">
        <v>1955</v>
      </c>
      <c r="O51" s="172">
        <f>O6*800</f>
        <v>52000</v>
      </c>
      <c r="P51" s="172" t="s">
        <v>1986</v>
      </c>
    </row>
    <row r="53" spans="14:18" x14ac:dyDescent="0.25">
      <c r="N53" s="171" t="s">
        <v>1959</v>
      </c>
      <c r="O53" s="172">
        <f>O6*500</f>
        <v>32500</v>
      </c>
      <c r="P53" s="172" t="s">
        <v>1987</v>
      </c>
      <c r="Q53" s="171" t="s">
        <v>1988</v>
      </c>
    </row>
    <row r="56" spans="14:18" x14ac:dyDescent="0.25">
      <c r="N56" s="171" t="s">
        <v>1961</v>
      </c>
      <c r="O56" s="172">
        <v>1</v>
      </c>
      <c r="P56" s="172" t="s">
        <v>1989</v>
      </c>
      <c r="Q56" s="171">
        <v>20</v>
      </c>
      <c r="R56" s="171" t="s">
        <v>1990</v>
      </c>
    </row>
    <row r="57" spans="14:18" x14ac:dyDescent="0.25">
      <c r="O57" s="172">
        <f>ROUNDUP(O6/Q56,)</f>
        <v>4</v>
      </c>
    </row>
  </sheetData>
  <mergeCells count="6">
    <mergeCell ref="B34:E34"/>
    <mergeCell ref="N3:P3"/>
    <mergeCell ref="R3:T3"/>
    <mergeCell ref="A4:G4"/>
    <mergeCell ref="A6:G6"/>
    <mergeCell ref="B29:E2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18"/>
  <sheetViews>
    <sheetView tabSelected="1" view="pageBreakPreview" zoomScaleNormal="70" zoomScaleSheetLayoutView="100" workbookViewId="0">
      <selection activeCell="D1709" sqref="D1709"/>
    </sheetView>
  </sheetViews>
  <sheetFormatPr defaultColWidth="9.140625" defaultRowHeight="15.75" x14ac:dyDescent="0.2"/>
  <cols>
    <col min="1" max="1" width="16.5703125" style="6" customWidth="1"/>
    <col min="2" max="2" width="68.85546875" style="125" customWidth="1"/>
    <col min="3" max="3" width="4.140625" style="1" bestFit="1" customWidth="1"/>
    <col min="4" max="4" width="18.42578125" style="1" customWidth="1"/>
    <col min="5" max="5" width="16.85546875" style="158" bestFit="1" customWidth="1"/>
    <col min="6" max="6" width="18" style="159" bestFit="1" customWidth="1"/>
    <col min="7" max="7" width="76.7109375" style="10" customWidth="1"/>
    <col min="8" max="8" width="53.140625" style="10" customWidth="1"/>
    <col min="9" max="9" width="10.42578125" style="1" bestFit="1" customWidth="1"/>
    <col min="10" max="16384" width="9.140625" style="1"/>
  </cols>
  <sheetData>
    <row r="1" spans="1:8" ht="11.25" x14ac:dyDescent="0.2">
      <c r="A1" s="344" t="s">
        <v>43</v>
      </c>
      <c r="B1" s="345"/>
      <c r="C1" s="345"/>
      <c r="D1" s="345"/>
      <c r="E1" s="345"/>
      <c r="F1" s="345"/>
      <c r="G1" s="345"/>
      <c r="H1" s="346"/>
    </row>
    <row r="2" spans="1:8" ht="11.25" x14ac:dyDescent="0.2">
      <c r="A2" s="347"/>
      <c r="B2" s="348"/>
      <c r="C2" s="348"/>
      <c r="D2" s="348"/>
      <c r="E2" s="348"/>
      <c r="F2" s="348"/>
      <c r="G2" s="348"/>
      <c r="H2" s="349"/>
    </row>
    <row r="3" spans="1:8" ht="11.25" x14ac:dyDescent="0.2">
      <c r="A3" s="347"/>
      <c r="B3" s="348"/>
      <c r="C3" s="348"/>
      <c r="D3" s="348"/>
      <c r="E3" s="348"/>
      <c r="F3" s="348"/>
      <c r="G3" s="348"/>
      <c r="H3" s="349"/>
    </row>
    <row r="4" spans="1:8" ht="11.25" x14ac:dyDescent="0.2">
      <c r="A4" s="347"/>
      <c r="B4" s="348"/>
      <c r="C4" s="348"/>
      <c r="D4" s="348"/>
      <c r="E4" s="348"/>
      <c r="F4" s="348"/>
      <c r="G4" s="348"/>
      <c r="H4" s="349"/>
    </row>
    <row r="5" spans="1:8" ht="11.25" x14ac:dyDescent="0.2">
      <c r="A5" s="347"/>
      <c r="B5" s="348"/>
      <c r="C5" s="348"/>
      <c r="D5" s="348"/>
      <c r="E5" s="348"/>
      <c r="F5" s="348"/>
      <c r="G5" s="348"/>
      <c r="H5" s="349"/>
    </row>
    <row r="6" spans="1:8" ht="12" thickBot="1" x14ac:dyDescent="0.25">
      <c r="A6" s="350"/>
      <c r="B6" s="351"/>
      <c r="C6" s="351"/>
      <c r="D6" s="351"/>
      <c r="E6" s="351"/>
      <c r="F6" s="351"/>
      <c r="G6" s="351"/>
      <c r="H6" s="352"/>
    </row>
    <row r="7" spans="1:8" x14ac:dyDescent="0.2">
      <c r="A7" s="7" t="s">
        <v>44</v>
      </c>
      <c r="B7" s="353" t="s">
        <v>88</v>
      </c>
      <c r="C7" s="354"/>
      <c r="D7" s="354"/>
      <c r="E7" s="354"/>
      <c r="F7" s="354"/>
      <c r="G7" s="354"/>
      <c r="H7" s="355"/>
    </row>
    <row r="8" spans="1:8" x14ac:dyDescent="0.2">
      <c r="A8" s="8" t="s">
        <v>0</v>
      </c>
      <c r="B8" s="356" t="s">
        <v>1736</v>
      </c>
      <c r="C8" s="357"/>
      <c r="D8" s="357"/>
      <c r="E8" s="357"/>
      <c r="F8" s="357"/>
      <c r="G8" s="357"/>
      <c r="H8" s="358"/>
    </row>
    <row r="9" spans="1:8" x14ac:dyDescent="0.2">
      <c r="A9" s="8" t="s">
        <v>45</v>
      </c>
      <c r="B9" s="359">
        <f>CAPA!B4</f>
        <v>45390</v>
      </c>
      <c r="C9" s="360"/>
      <c r="D9" s="360"/>
      <c r="E9" s="360"/>
      <c r="F9" s="360"/>
      <c r="G9" s="360"/>
      <c r="H9" s="361"/>
    </row>
    <row r="10" spans="1:8" ht="16.5" thickBot="1" x14ac:dyDescent="0.25">
      <c r="A10" s="8" t="s">
        <v>46</v>
      </c>
      <c r="B10" s="362" t="s">
        <v>47</v>
      </c>
      <c r="C10" s="363"/>
      <c r="D10" s="363"/>
      <c r="E10" s="363"/>
      <c r="F10" s="363"/>
      <c r="G10" s="363"/>
      <c r="H10" s="364"/>
    </row>
    <row r="11" spans="1:8" ht="16.5" thickBot="1" x14ac:dyDescent="0.25">
      <c r="A11" s="339" t="s">
        <v>7</v>
      </c>
      <c r="B11" s="340"/>
      <c r="C11" s="340"/>
      <c r="D11" s="340"/>
      <c r="E11" s="340"/>
      <c r="F11" s="341"/>
      <c r="G11" s="337" t="s">
        <v>49</v>
      </c>
      <c r="H11" s="338"/>
    </row>
    <row r="12" spans="1:8" ht="16.5" thickBot="1" x14ac:dyDescent="0.25">
      <c r="A12" s="2" t="s">
        <v>1</v>
      </c>
      <c r="B12" s="124" t="s">
        <v>2</v>
      </c>
      <c r="C12" s="3" t="s">
        <v>3</v>
      </c>
      <c r="D12" s="4" t="s">
        <v>4</v>
      </c>
      <c r="E12" s="4" t="s">
        <v>5</v>
      </c>
      <c r="F12" s="5" t="s">
        <v>6</v>
      </c>
      <c r="G12" s="9" t="s">
        <v>50</v>
      </c>
      <c r="H12" s="9" t="s">
        <v>51</v>
      </c>
    </row>
    <row r="13" spans="1:8" ht="16.5" thickBot="1" x14ac:dyDescent="0.25">
      <c r="A13" s="86" t="s">
        <v>173</v>
      </c>
      <c r="B13" s="87" t="s">
        <v>174</v>
      </c>
      <c r="C13" s="126" t="s">
        <v>1759</v>
      </c>
      <c r="D13" s="126"/>
      <c r="E13" s="127"/>
      <c r="F13" s="128">
        <f>F14+F55</f>
        <v>4211407.4409154402</v>
      </c>
      <c r="G13" s="93"/>
      <c r="H13" s="88"/>
    </row>
    <row r="14" spans="1:8" x14ac:dyDescent="0.2">
      <c r="A14" s="77" t="s">
        <v>175</v>
      </c>
      <c r="B14" s="78" t="s">
        <v>7</v>
      </c>
      <c r="C14" s="129" t="s">
        <v>1759</v>
      </c>
      <c r="D14" s="130">
        <v>0</v>
      </c>
      <c r="E14" s="130">
        <v>0</v>
      </c>
      <c r="F14" s="131">
        <f>F15+F45</f>
        <v>900745.62</v>
      </c>
      <c r="G14" s="94"/>
      <c r="H14" s="89"/>
    </row>
    <row r="15" spans="1:8" x14ac:dyDescent="0.2">
      <c r="A15" s="79" t="s">
        <v>176</v>
      </c>
      <c r="B15" s="80" t="s">
        <v>89</v>
      </c>
      <c r="C15" s="132" t="s">
        <v>1759</v>
      </c>
      <c r="D15" s="133">
        <v>0</v>
      </c>
      <c r="E15" s="133">
        <v>0</v>
      </c>
      <c r="F15" s="134">
        <f>F16+F22+F37+F42</f>
        <v>803511.79</v>
      </c>
      <c r="G15" s="95"/>
      <c r="H15" s="90"/>
    </row>
    <row r="16" spans="1:8" x14ac:dyDescent="0.2">
      <c r="A16" s="81" t="s">
        <v>177</v>
      </c>
      <c r="B16" s="82" t="s">
        <v>90</v>
      </c>
      <c r="C16" s="135" t="s">
        <v>1759</v>
      </c>
      <c r="D16" s="136">
        <v>0</v>
      </c>
      <c r="E16" s="136">
        <v>0</v>
      </c>
      <c r="F16" s="137">
        <f>SUM(F17:F21)</f>
        <v>155257.09</v>
      </c>
      <c r="G16" s="96"/>
      <c r="H16" s="91"/>
    </row>
    <row r="17" spans="1:8" x14ac:dyDescent="0.2">
      <c r="A17" s="83" t="s">
        <v>178</v>
      </c>
      <c r="B17" s="84" t="s">
        <v>91</v>
      </c>
      <c r="C17" s="138" t="s">
        <v>92</v>
      </c>
      <c r="D17" s="139">
        <v>1</v>
      </c>
      <c r="E17" s="139">
        <v>9166.01</v>
      </c>
      <c r="F17" s="140">
        <f>E17*D17</f>
        <v>9166.01</v>
      </c>
      <c r="G17" s="97" t="s">
        <v>155</v>
      </c>
      <c r="H17" s="92"/>
    </row>
    <row r="18" spans="1:8" x14ac:dyDescent="0.2">
      <c r="A18" s="83" t="s">
        <v>179</v>
      </c>
      <c r="B18" s="84" t="s">
        <v>9</v>
      </c>
      <c r="C18" s="138" t="s">
        <v>92</v>
      </c>
      <c r="D18" s="139">
        <v>1</v>
      </c>
      <c r="E18" s="139">
        <v>6645.66</v>
      </c>
      <c r="F18" s="140">
        <f t="shared" ref="F18:F44" si="0">E18*D18</f>
        <v>6645.66</v>
      </c>
      <c r="G18" s="97" t="s">
        <v>155</v>
      </c>
      <c r="H18" s="92"/>
    </row>
    <row r="19" spans="1:8" x14ac:dyDescent="0.2">
      <c r="A19" s="83" t="s">
        <v>180</v>
      </c>
      <c r="B19" s="84" t="s">
        <v>93</v>
      </c>
      <c r="C19" s="138" t="s">
        <v>92</v>
      </c>
      <c r="D19" s="139">
        <v>1</v>
      </c>
      <c r="E19" s="139">
        <v>5949.86</v>
      </c>
      <c r="F19" s="140">
        <f t="shared" si="0"/>
        <v>5949.86</v>
      </c>
      <c r="G19" s="97" t="s">
        <v>52</v>
      </c>
      <c r="H19" s="92"/>
    </row>
    <row r="20" spans="1:8" x14ac:dyDescent="0.2">
      <c r="A20" s="83" t="s">
        <v>181</v>
      </c>
      <c r="B20" s="84" t="s">
        <v>94</v>
      </c>
      <c r="C20" s="138" t="s">
        <v>92</v>
      </c>
      <c r="D20" s="139">
        <v>1</v>
      </c>
      <c r="E20" s="139">
        <v>8686.7900000000009</v>
      </c>
      <c r="F20" s="140">
        <f t="shared" si="0"/>
        <v>8686.7900000000009</v>
      </c>
      <c r="G20" s="97" t="s">
        <v>52</v>
      </c>
      <c r="H20" s="92"/>
    </row>
    <row r="21" spans="1:8" x14ac:dyDescent="0.2">
      <c r="A21" s="83" t="s">
        <v>182</v>
      </c>
      <c r="B21" s="84" t="s">
        <v>8</v>
      </c>
      <c r="C21" s="138" t="s">
        <v>92</v>
      </c>
      <c r="D21" s="139">
        <v>1</v>
      </c>
      <c r="E21" s="139">
        <v>124808.77</v>
      </c>
      <c r="F21" s="140">
        <f t="shared" si="0"/>
        <v>124808.77</v>
      </c>
      <c r="G21" s="97" t="s">
        <v>155</v>
      </c>
      <c r="H21" s="92"/>
    </row>
    <row r="22" spans="1:8" x14ac:dyDescent="0.2">
      <c r="A22" s="81" t="s">
        <v>183</v>
      </c>
      <c r="B22" s="82" t="s">
        <v>95</v>
      </c>
      <c r="C22" s="135" t="s">
        <v>1759</v>
      </c>
      <c r="D22" s="136">
        <v>0</v>
      </c>
      <c r="E22" s="136">
        <v>0</v>
      </c>
      <c r="F22" s="137">
        <f>SUM(F23:F36)</f>
        <v>380354.48</v>
      </c>
      <c r="G22" s="96"/>
      <c r="H22" s="91"/>
    </row>
    <row r="23" spans="1:8" x14ac:dyDescent="0.2">
      <c r="A23" s="83" t="s">
        <v>184</v>
      </c>
      <c r="B23" s="84" t="s">
        <v>96</v>
      </c>
      <c r="C23" s="138" t="s">
        <v>92</v>
      </c>
      <c r="D23" s="139">
        <v>1</v>
      </c>
      <c r="E23" s="139">
        <v>102710</v>
      </c>
      <c r="F23" s="140">
        <f t="shared" si="0"/>
        <v>102710</v>
      </c>
      <c r="G23" s="97" t="s">
        <v>155</v>
      </c>
      <c r="H23" s="92"/>
    </row>
    <row r="24" spans="1:8" x14ac:dyDescent="0.2">
      <c r="A24" s="83" t="s">
        <v>185</v>
      </c>
      <c r="B24" s="84" t="s">
        <v>1846</v>
      </c>
      <c r="C24" s="138" t="s">
        <v>92</v>
      </c>
      <c r="D24" s="139">
        <v>1</v>
      </c>
      <c r="E24" s="139">
        <v>80900</v>
      </c>
      <c r="F24" s="140">
        <f t="shared" si="0"/>
        <v>80900</v>
      </c>
      <c r="G24" s="97" t="s">
        <v>155</v>
      </c>
      <c r="H24" s="92"/>
    </row>
    <row r="25" spans="1:8" x14ac:dyDescent="0.2">
      <c r="A25" s="83" t="s">
        <v>186</v>
      </c>
      <c r="B25" s="84" t="s">
        <v>97</v>
      </c>
      <c r="C25" s="138" t="s">
        <v>92</v>
      </c>
      <c r="D25" s="139">
        <v>1</v>
      </c>
      <c r="E25" s="139">
        <v>11500</v>
      </c>
      <c r="F25" s="140">
        <f t="shared" si="0"/>
        <v>11500</v>
      </c>
      <c r="G25" s="97" t="s">
        <v>155</v>
      </c>
      <c r="H25" s="92"/>
    </row>
    <row r="26" spans="1:8" x14ac:dyDescent="0.2">
      <c r="A26" s="83" t="s">
        <v>1914</v>
      </c>
      <c r="B26" s="84" t="s">
        <v>98</v>
      </c>
      <c r="C26" s="138" t="s">
        <v>92</v>
      </c>
      <c r="D26" s="139">
        <v>1</v>
      </c>
      <c r="E26" s="139">
        <v>20000</v>
      </c>
      <c r="F26" s="140">
        <f t="shared" si="0"/>
        <v>20000</v>
      </c>
      <c r="G26" s="97" t="s">
        <v>155</v>
      </c>
      <c r="H26" s="92"/>
    </row>
    <row r="27" spans="1:8" x14ac:dyDescent="0.2">
      <c r="A27" s="83" t="s">
        <v>1915</v>
      </c>
      <c r="B27" s="84" t="s">
        <v>99</v>
      </c>
      <c r="C27" s="138" t="s">
        <v>92</v>
      </c>
      <c r="D27" s="139">
        <v>1</v>
      </c>
      <c r="E27" s="139">
        <v>37270</v>
      </c>
      <c r="F27" s="140">
        <f>E27*D27</f>
        <v>37270</v>
      </c>
      <c r="G27" s="97" t="s">
        <v>155</v>
      </c>
      <c r="H27" s="92"/>
    </row>
    <row r="28" spans="1:8" x14ac:dyDescent="0.2">
      <c r="A28" s="83" t="s">
        <v>1916</v>
      </c>
      <c r="B28" s="84" t="s">
        <v>100</v>
      </c>
      <c r="C28" s="138" t="s">
        <v>92</v>
      </c>
      <c r="D28" s="139">
        <v>1</v>
      </c>
      <c r="E28" s="139">
        <v>24480</v>
      </c>
      <c r="F28" s="140">
        <f t="shared" ref="F28:F30" si="1">E28*D28</f>
        <v>24480</v>
      </c>
      <c r="G28" s="97" t="s">
        <v>155</v>
      </c>
      <c r="H28" s="92"/>
    </row>
    <row r="29" spans="1:8" x14ac:dyDescent="0.2">
      <c r="A29" s="83" t="s">
        <v>187</v>
      </c>
      <c r="B29" s="84" t="s">
        <v>101</v>
      </c>
      <c r="C29" s="138" t="s">
        <v>92</v>
      </c>
      <c r="D29" s="139">
        <v>1</v>
      </c>
      <c r="E29" s="139">
        <v>27990</v>
      </c>
      <c r="F29" s="140">
        <f t="shared" si="1"/>
        <v>27990</v>
      </c>
      <c r="G29" s="97" t="s">
        <v>155</v>
      </c>
      <c r="H29" s="92"/>
    </row>
    <row r="30" spans="1:8" x14ac:dyDescent="0.2">
      <c r="A30" s="83" t="s">
        <v>1917</v>
      </c>
      <c r="B30" s="84" t="s">
        <v>10</v>
      </c>
      <c r="C30" s="138" t="s">
        <v>92</v>
      </c>
      <c r="D30" s="139">
        <v>1</v>
      </c>
      <c r="E30" s="139">
        <v>3600</v>
      </c>
      <c r="F30" s="140">
        <f t="shared" si="1"/>
        <v>3600</v>
      </c>
      <c r="G30" s="97" t="s">
        <v>155</v>
      </c>
      <c r="H30" s="92"/>
    </row>
    <row r="31" spans="1:8" x14ac:dyDescent="0.2">
      <c r="A31" s="83" t="s">
        <v>1918</v>
      </c>
      <c r="B31" s="84" t="s">
        <v>102</v>
      </c>
      <c r="C31" s="138" t="s">
        <v>92</v>
      </c>
      <c r="D31" s="139">
        <v>1</v>
      </c>
      <c r="E31" s="139">
        <v>21500</v>
      </c>
      <c r="F31" s="140">
        <f t="shared" si="0"/>
        <v>21500</v>
      </c>
      <c r="G31" s="97" t="s">
        <v>155</v>
      </c>
      <c r="H31" s="92"/>
    </row>
    <row r="32" spans="1:8" x14ac:dyDescent="0.2">
      <c r="A32" s="83" t="s">
        <v>1919</v>
      </c>
      <c r="B32" s="84" t="s">
        <v>1913</v>
      </c>
      <c r="C32" s="138" t="s">
        <v>92</v>
      </c>
      <c r="D32" s="139">
        <v>1</v>
      </c>
      <c r="E32" s="139">
        <v>2244.48</v>
      </c>
      <c r="F32" s="140">
        <f t="shared" si="0"/>
        <v>2244.48</v>
      </c>
      <c r="G32" s="97" t="s">
        <v>155</v>
      </c>
      <c r="H32" s="92"/>
    </row>
    <row r="33" spans="1:8" x14ac:dyDescent="0.2">
      <c r="A33" s="83" t="s">
        <v>1924</v>
      </c>
      <c r="B33" s="84" t="s">
        <v>1920</v>
      </c>
      <c r="C33" s="138" t="s">
        <v>92</v>
      </c>
      <c r="D33" s="139">
        <v>1</v>
      </c>
      <c r="E33" s="139">
        <v>25000</v>
      </c>
      <c r="F33" s="140">
        <f t="shared" si="0"/>
        <v>25000</v>
      </c>
      <c r="G33" s="97" t="s">
        <v>155</v>
      </c>
      <c r="H33" s="92"/>
    </row>
    <row r="34" spans="1:8" x14ac:dyDescent="0.2">
      <c r="A34" s="83" t="s">
        <v>1845</v>
      </c>
      <c r="B34" s="84" t="s">
        <v>1921</v>
      </c>
      <c r="C34" s="138" t="s">
        <v>92</v>
      </c>
      <c r="D34" s="139">
        <v>1</v>
      </c>
      <c r="E34" s="139">
        <v>15160</v>
      </c>
      <c r="F34" s="140">
        <f t="shared" si="0"/>
        <v>15160</v>
      </c>
      <c r="G34" s="97" t="s">
        <v>155</v>
      </c>
      <c r="H34" s="92"/>
    </row>
    <row r="35" spans="1:8" x14ac:dyDescent="0.2">
      <c r="A35" s="83" t="s">
        <v>1925</v>
      </c>
      <c r="B35" s="84" t="s">
        <v>1922</v>
      </c>
      <c r="C35" s="138" t="s">
        <v>92</v>
      </c>
      <c r="D35" s="139">
        <v>1</v>
      </c>
      <c r="E35" s="139">
        <v>5000</v>
      </c>
      <c r="F35" s="140">
        <f t="shared" si="0"/>
        <v>5000</v>
      </c>
      <c r="G35" s="97" t="s">
        <v>52</v>
      </c>
      <c r="H35" s="92"/>
    </row>
    <row r="36" spans="1:8" x14ac:dyDescent="0.2">
      <c r="A36" s="83" t="s">
        <v>1926</v>
      </c>
      <c r="B36" s="84" t="s">
        <v>1923</v>
      </c>
      <c r="C36" s="138" t="s">
        <v>92</v>
      </c>
      <c r="D36" s="139">
        <v>1</v>
      </c>
      <c r="E36" s="139">
        <v>3000</v>
      </c>
      <c r="F36" s="140">
        <f t="shared" si="0"/>
        <v>3000</v>
      </c>
      <c r="G36" s="97" t="s">
        <v>155</v>
      </c>
      <c r="H36" s="92"/>
    </row>
    <row r="37" spans="1:8" x14ac:dyDescent="0.2">
      <c r="A37" s="81" t="s">
        <v>188</v>
      </c>
      <c r="B37" s="82" t="s">
        <v>103</v>
      </c>
      <c r="C37" s="135" t="s">
        <v>1759</v>
      </c>
      <c r="D37" s="136">
        <v>0</v>
      </c>
      <c r="E37" s="136">
        <v>0</v>
      </c>
      <c r="F37" s="137">
        <f>SUM(F38:F41)</f>
        <v>121532.68</v>
      </c>
      <c r="G37" s="96"/>
      <c r="H37" s="91"/>
    </row>
    <row r="38" spans="1:8" x14ac:dyDescent="0.2">
      <c r="A38" s="83" t="s">
        <v>189</v>
      </c>
      <c r="B38" s="84" t="s">
        <v>104</v>
      </c>
      <c r="C38" s="138" t="s">
        <v>92</v>
      </c>
      <c r="D38" s="139">
        <v>1</v>
      </c>
      <c r="E38" s="139">
        <v>28826.7</v>
      </c>
      <c r="F38" s="140">
        <f t="shared" si="0"/>
        <v>28826.7</v>
      </c>
      <c r="G38" s="97" t="s">
        <v>155</v>
      </c>
      <c r="H38" s="92"/>
    </row>
    <row r="39" spans="1:8" x14ac:dyDescent="0.2">
      <c r="A39" s="83" t="s">
        <v>190</v>
      </c>
      <c r="B39" s="84" t="s">
        <v>105</v>
      </c>
      <c r="C39" s="138" t="s">
        <v>92</v>
      </c>
      <c r="D39" s="139">
        <v>1</v>
      </c>
      <c r="E39" s="139">
        <v>56250</v>
      </c>
      <c r="F39" s="140">
        <f t="shared" si="0"/>
        <v>56250</v>
      </c>
      <c r="G39" s="97" t="s">
        <v>155</v>
      </c>
      <c r="H39" s="92"/>
    </row>
    <row r="40" spans="1:8" x14ac:dyDescent="0.2">
      <c r="A40" s="83" t="s">
        <v>191</v>
      </c>
      <c r="B40" s="84" t="s">
        <v>2008</v>
      </c>
      <c r="C40" s="138" t="s">
        <v>92</v>
      </c>
      <c r="D40" s="139">
        <v>1</v>
      </c>
      <c r="E40" s="139">
        <v>27955.98</v>
      </c>
      <c r="F40" s="140">
        <f t="shared" si="0"/>
        <v>27955.98</v>
      </c>
      <c r="G40" s="97" t="s">
        <v>52</v>
      </c>
      <c r="H40" s="92"/>
    </row>
    <row r="41" spans="1:8" x14ac:dyDescent="0.2">
      <c r="A41" s="83" t="s">
        <v>2009</v>
      </c>
      <c r="B41" s="84" t="s">
        <v>1927</v>
      </c>
      <c r="C41" s="138" t="s">
        <v>92</v>
      </c>
      <c r="D41" s="139">
        <v>1</v>
      </c>
      <c r="E41" s="139">
        <v>8500</v>
      </c>
      <c r="F41" s="140">
        <f>E41*D41</f>
        <v>8500</v>
      </c>
      <c r="G41" s="97" t="s">
        <v>52</v>
      </c>
      <c r="H41" s="92"/>
    </row>
    <row r="42" spans="1:8" x14ac:dyDescent="0.2">
      <c r="A42" s="81" t="s">
        <v>192</v>
      </c>
      <c r="B42" s="82" t="s">
        <v>106</v>
      </c>
      <c r="C42" s="135" t="s">
        <v>1759</v>
      </c>
      <c r="D42" s="136">
        <v>0</v>
      </c>
      <c r="E42" s="136">
        <v>0</v>
      </c>
      <c r="F42" s="137">
        <f>SUM(F43:F44)</f>
        <v>146367.54</v>
      </c>
      <c r="G42" s="96"/>
      <c r="H42" s="91"/>
    </row>
    <row r="43" spans="1:8" x14ac:dyDescent="0.2">
      <c r="A43" s="83" t="s">
        <v>193</v>
      </c>
      <c r="B43" s="84" t="s">
        <v>107</v>
      </c>
      <c r="C43" s="138" t="s">
        <v>92</v>
      </c>
      <c r="D43" s="139">
        <v>1</v>
      </c>
      <c r="E43" s="139">
        <v>19039.54</v>
      </c>
      <c r="F43" s="140">
        <f t="shared" si="0"/>
        <v>19039.54</v>
      </c>
      <c r="G43" s="97" t="s">
        <v>52</v>
      </c>
      <c r="H43" s="92"/>
    </row>
    <row r="44" spans="1:8" x14ac:dyDescent="0.2">
      <c r="A44" s="83" t="s">
        <v>194</v>
      </c>
      <c r="B44" s="84" t="s">
        <v>108</v>
      </c>
      <c r="C44" s="138" t="s">
        <v>109</v>
      </c>
      <c r="D44" s="139">
        <v>1384</v>
      </c>
      <c r="E44" s="139">
        <v>92</v>
      </c>
      <c r="F44" s="140">
        <f t="shared" si="0"/>
        <v>127328</v>
      </c>
      <c r="G44" s="97" t="s">
        <v>167</v>
      </c>
      <c r="H44" s="92" t="s">
        <v>156</v>
      </c>
    </row>
    <row r="45" spans="1:8" x14ac:dyDescent="0.2">
      <c r="A45" s="79" t="s">
        <v>195</v>
      </c>
      <c r="B45" s="80" t="s">
        <v>110</v>
      </c>
      <c r="C45" s="132" t="s">
        <v>1759</v>
      </c>
      <c r="D45" s="133">
        <v>0</v>
      </c>
      <c r="E45" s="133">
        <v>0</v>
      </c>
      <c r="F45" s="134">
        <f>F46</f>
        <v>97233.83</v>
      </c>
      <c r="G45" s="95"/>
      <c r="H45" s="90"/>
    </row>
    <row r="46" spans="1:8" x14ac:dyDescent="0.2">
      <c r="A46" s="81" t="s">
        <v>196</v>
      </c>
      <c r="B46" s="82" t="s">
        <v>111</v>
      </c>
      <c r="C46" s="135" t="s">
        <v>1759</v>
      </c>
      <c r="D46" s="136">
        <v>0</v>
      </c>
      <c r="E46" s="136">
        <v>0</v>
      </c>
      <c r="F46" s="137">
        <f>SUM(F47:F54)</f>
        <v>97233.83</v>
      </c>
      <c r="G46" s="96"/>
      <c r="H46" s="91"/>
    </row>
    <row r="47" spans="1:8" x14ac:dyDescent="0.2">
      <c r="A47" s="83" t="s">
        <v>197</v>
      </c>
      <c r="B47" s="84" t="s">
        <v>112</v>
      </c>
      <c r="C47" s="138" t="s">
        <v>92</v>
      </c>
      <c r="D47" s="139">
        <v>1</v>
      </c>
      <c r="E47" s="139">
        <v>5701.1500000000005</v>
      </c>
      <c r="F47" s="140">
        <f t="shared" ref="F47:F54" si="2">E47*D47</f>
        <v>5701.1500000000005</v>
      </c>
      <c r="G47" s="97" t="s">
        <v>52</v>
      </c>
      <c r="H47" s="92"/>
    </row>
    <row r="48" spans="1:8" x14ac:dyDescent="0.2">
      <c r="A48" s="83" t="s">
        <v>198</v>
      </c>
      <c r="B48" s="84" t="s">
        <v>113</v>
      </c>
      <c r="C48" s="138" t="s">
        <v>92</v>
      </c>
      <c r="D48" s="139">
        <v>1</v>
      </c>
      <c r="E48" s="139">
        <v>2685.76</v>
      </c>
      <c r="F48" s="140">
        <f t="shared" si="2"/>
        <v>2685.76</v>
      </c>
      <c r="G48" s="97" t="s">
        <v>52</v>
      </c>
      <c r="H48" s="92"/>
    </row>
    <row r="49" spans="1:8" x14ac:dyDescent="0.2">
      <c r="A49" s="83" t="s">
        <v>199</v>
      </c>
      <c r="B49" s="84" t="s">
        <v>11</v>
      </c>
      <c r="C49" s="138" t="s">
        <v>92</v>
      </c>
      <c r="D49" s="139">
        <v>1</v>
      </c>
      <c r="E49" s="139">
        <v>9519.77</v>
      </c>
      <c r="F49" s="140">
        <f t="shared" si="2"/>
        <v>9519.77</v>
      </c>
      <c r="G49" s="97" t="s">
        <v>52</v>
      </c>
      <c r="H49" s="92"/>
    </row>
    <row r="50" spans="1:8" x14ac:dyDescent="0.2">
      <c r="A50" s="83" t="s">
        <v>200</v>
      </c>
      <c r="B50" s="84" t="s">
        <v>114</v>
      </c>
      <c r="C50" s="138" t="s">
        <v>92</v>
      </c>
      <c r="D50" s="139">
        <v>1</v>
      </c>
      <c r="E50" s="139">
        <v>21531.34</v>
      </c>
      <c r="F50" s="140">
        <f t="shared" si="2"/>
        <v>21531.34</v>
      </c>
      <c r="G50" s="97" t="s">
        <v>52</v>
      </c>
      <c r="H50" s="92"/>
    </row>
    <row r="51" spans="1:8" x14ac:dyDescent="0.2">
      <c r="A51" s="83" t="s">
        <v>201</v>
      </c>
      <c r="B51" s="84" t="s">
        <v>115</v>
      </c>
      <c r="C51" s="138" t="s">
        <v>92</v>
      </c>
      <c r="D51" s="139">
        <v>1</v>
      </c>
      <c r="E51" s="139">
        <v>55350</v>
      </c>
      <c r="F51" s="140">
        <f t="shared" si="2"/>
        <v>55350</v>
      </c>
      <c r="G51" s="97" t="s">
        <v>155</v>
      </c>
      <c r="H51" s="92"/>
    </row>
    <row r="52" spans="1:8" x14ac:dyDescent="0.2">
      <c r="A52" s="83" t="s">
        <v>202</v>
      </c>
      <c r="B52" s="84" t="s">
        <v>116</v>
      </c>
      <c r="C52" s="138" t="s">
        <v>92</v>
      </c>
      <c r="D52" s="139">
        <v>1</v>
      </c>
      <c r="E52" s="139">
        <v>1445.81</v>
      </c>
      <c r="F52" s="140">
        <f t="shared" si="2"/>
        <v>1445.81</v>
      </c>
      <c r="G52" s="97" t="s">
        <v>52</v>
      </c>
      <c r="H52" s="92"/>
    </row>
    <row r="53" spans="1:8" x14ac:dyDescent="0.2">
      <c r="A53" s="83" t="s">
        <v>1930</v>
      </c>
      <c r="B53" s="84" t="s">
        <v>1928</v>
      </c>
      <c r="C53" s="138" t="s">
        <v>92</v>
      </c>
      <c r="D53" s="139">
        <v>1</v>
      </c>
      <c r="E53" s="139">
        <v>500</v>
      </c>
      <c r="F53" s="140">
        <f t="shared" si="2"/>
        <v>500</v>
      </c>
      <c r="G53" s="97" t="s">
        <v>155</v>
      </c>
      <c r="H53" s="92"/>
    </row>
    <row r="54" spans="1:8" x14ac:dyDescent="0.2">
      <c r="A54" s="83" t="s">
        <v>2010</v>
      </c>
      <c r="B54" s="84" t="s">
        <v>1929</v>
      </c>
      <c r="C54" s="138" t="s">
        <v>92</v>
      </c>
      <c r="D54" s="139">
        <v>1</v>
      </c>
      <c r="E54" s="139">
        <v>500</v>
      </c>
      <c r="F54" s="140">
        <f t="shared" si="2"/>
        <v>500</v>
      </c>
      <c r="G54" s="97" t="s">
        <v>52</v>
      </c>
      <c r="H54" s="92"/>
    </row>
    <row r="55" spans="1:8" x14ac:dyDescent="0.2">
      <c r="A55" s="77" t="s">
        <v>203</v>
      </c>
      <c r="B55" s="78" t="s">
        <v>12</v>
      </c>
      <c r="C55" s="129" t="s">
        <v>1759</v>
      </c>
      <c r="D55" s="130">
        <v>0</v>
      </c>
      <c r="E55" s="130">
        <v>0</v>
      </c>
      <c r="F55" s="131">
        <f>F56+F68+F94</f>
        <v>3310661.8209154401</v>
      </c>
      <c r="G55" s="118"/>
      <c r="H55" s="89"/>
    </row>
    <row r="56" spans="1:8" x14ac:dyDescent="0.2">
      <c r="A56" s="79" t="s">
        <v>204</v>
      </c>
      <c r="B56" s="80" t="s">
        <v>117</v>
      </c>
      <c r="C56" s="132" t="s">
        <v>1759</v>
      </c>
      <c r="D56" s="133">
        <v>0</v>
      </c>
      <c r="E56" s="133">
        <v>0</v>
      </c>
      <c r="F56" s="134">
        <f>F57+F60</f>
        <v>464687.51216331997</v>
      </c>
      <c r="G56" s="95"/>
      <c r="H56" s="90"/>
    </row>
    <row r="57" spans="1:8" x14ac:dyDescent="0.2">
      <c r="A57" s="81" t="s">
        <v>205</v>
      </c>
      <c r="B57" s="82" t="s">
        <v>118</v>
      </c>
      <c r="C57" s="135" t="s">
        <v>1759</v>
      </c>
      <c r="D57" s="136">
        <v>0</v>
      </c>
      <c r="E57" s="136">
        <v>0</v>
      </c>
      <c r="F57" s="137">
        <f>F58+F59</f>
        <v>100000</v>
      </c>
      <c r="G57" s="96"/>
      <c r="H57" s="91"/>
    </row>
    <row r="58" spans="1:8" x14ac:dyDescent="0.2">
      <c r="A58" s="83" t="s">
        <v>206</v>
      </c>
      <c r="B58" s="84" t="s">
        <v>119</v>
      </c>
      <c r="C58" s="138" t="s">
        <v>120</v>
      </c>
      <c r="D58" s="139">
        <v>36</v>
      </c>
      <c r="E58" s="139">
        <v>1500</v>
      </c>
      <c r="F58" s="140">
        <f t="shared" ref="F58:F59" si="3">E58*D58</f>
        <v>54000</v>
      </c>
      <c r="G58" s="97" t="s">
        <v>52</v>
      </c>
      <c r="H58" s="92" t="s">
        <v>68</v>
      </c>
    </row>
    <row r="59" spans="1:8" x14ac:dyDescent="0.2">
      <c r="A59" s="83" t="s">
        <v>207</v>
      </c>
      <c r="B59" s="84" t="s">
        <v>2011</v>
      </c>
      <c r="C59" s="138" t="s">
        <v>92</v>
      </c>
      <c r="D59" s="139">
        <v>1</v>
      </c>
      <c r="E59" s="139">
        <v>46000</v>
      </c>
      <c r="F59" s="140">
        <f t="shared" si="3"/>
        <v>46000</v>
      </c>
      <c r="G59" s="97" t="s">
        <v>52</v>
      </c>
      <c r="H59" s="92"/>
    </row>
    <row r="60" spans="1:8" x14ac:dyDescent="0.2">
      <c r="A60" s="81" t="s">
        <v>208</v>
      </c>
      <c r="B60" s="82" t="s">
        <v>121</v>
      </c>
      <c r="C60" s="135" t="s">
        <v>1759</v>
      </c>
      <c r="D60" s="136">
        <v>0</v>
      </c>
      <c r="E60" s="136">
        <v>0</v>
      </c>
      <c r="F60" s="137">
        <f>SUM(F61:F67)</f>
        <v>364687.51216331997</v>
      </c>
      <c r="G60" s="96"/>
      <c r="H60" s="91"/>
    </row>
    <row r="61" spans="1:8" x14ac:dyDescent="0.2">
      <c r="A61" s="83" t="s">
        <v>209</v>
      </c>
      <c r="B61" s="84" t="s">
        <v>122</v>
      </c>
      <c r="C61" s="138" t="s">
        <v>123</v>
      </c>
      <c r="D61" s="139">
        <v>175.09</v>
      </c>
      <c r="E61" s="139">
        <v>402.71906799999999</v>
      </c>
      <c r="F61" s="140">
        <f t="shared" ref="F61:F67" si="4">E61*D61</f>
        <v>70512.081616120005</v>
      </c>
      <c r="G61" s="97" t="s">
        <v>168</v>
      </c>
      <c r="H61" s="92"/>
    </row>
    <row r="62" spans="1:8" x14ac:dyDescent="0.2">
      <c r="A62" s="83" t="s">
        <v>210</v>
      </c>
      <c r="B62" s="84" t="s">
        <v>124</v>
      </c>
      <c r="C62" s="138" t="s">
        <v>123</v>
      </c>
      <c r="D62" s="139">
        <v>536.4</v>
      </c>
      <c r="E62" s="139">
        <v>364.06313799999998</v>
      </c>
      <c r="F62" s="140">
        <f t="shared" si="4"/>
        <v>195283.46722319999</v>
      </c>
      <c r="G62" s="97" t="s">
        <v>169</v>
      </c>
      <c r="H62" s="92"/>
    </row>
    <row r="63" spans="1:8" ht="31.5" x14ac:dyDescent="0.2">
      <c r="A63" s="83" t="s">
        <v>211</v>
      </c>
      <c r="B63" s="84" t="s">
        <v>125</v>
      </c>
      <c r="C63" s="138" t="s">
        <v>123</v>
      </c>
      <c r="D63" s="139">
        <v>429.12</v>
      </c>
      <c r="E63" s="139">
        <v>13.68</v>
      </c>
      <c r="F63" s="140">
        <f t="shared" si="4"/>
        <v>5870.3616000000002</v>
      </c>
      <c r="G63" s="97" t="s">
        <v>66</v>
      </c>
      <c r="H63" s="92"/>
    </row>
    <row r="64" spans="1:8" ht="31.5" x14ac:dyDescent="0.2">
      <c r="A64" s="83" t="s">
        <v>212</v>
      </c>
      <c r="B64" s="84" t="s">
        <v>126</v>
      </c>
      <c r="C64" s="138" t="s">
        <v>123</v>
      </c>
      <c r="D64" s="139">
        <v>592.20000000000005</v>
      </c>
      <c r="E64" s="139">
        <v>13.68</v>
      </c>
      <c r="F64" s="140">
        <f t="shared" si="4"/>
        <v>8101.2960000000003</v>
      </c>
      <c r="G64" s="97" t="s">
        <v>170</v>
      </c>
      <c r="H64" s="92"/>
    </row>
    <row r="65" spans="1:8" x14ac:dyDescent="0.2">
      <c r="A65" s="83" t="s">
        <v>213</v>
      </c>
      <c r="B65" s="84" t="s">
        <v>127</v>
      </c>
      <c r="C65" s="138" t="s">
        <v>123</v>
      </c>
      <c r="D65" s="139">
        <v>82.08</v>
      </c>
      <c r="E65" s="139">
        <v>67.757000000000005</v>
      </c>
      <c r="F65" s="140">
        <f t="shared" si="4"/>
        <v>5561.4945600000001</v>
      </c>
      <c r="G65" s="97" t="s">
        <v>67</v>
      </c>
      <c r="H65" s="92"/>
    </row>
    <row r="66" spans="1:8" ht="31.5" x14ac:dyDescent="0.2">
      <c r="A66" s="83" t="s">
        <v>214</v>
      </c>
      <c r="B66" s="84" t="s">
        <v>128</v>
      </c>
      <c r="C66" s="138" t="s">
        <v>123</v>
      </c>
      <c r="D66" s="139">
        <v>429.12</v>
      </c>
      <c r="E66" s="139">
        <v>90.5</v>
      </c>
      <c r="F66" s="140">
        <f t="shared" si="4"/>
        <v>38835.360000000001</v>
      </c>
      <c r="G66" s="97" t="s">
        <v>171</v>
      </c>
      <c r="H66" s="92"/>
    </row>
    <row r="67" spans="1:8" x14ac:dyDescent="0.2">
      <c r="A67" s="83" t="s">
        <v>215</v>
      </c>
      <c r="B67" s="84" t="s">
        <v>129</v>
      </c>
      <c r="C67" s="138" t="s">
        <v>130</v>
      </c>
      <c r="D67" s="139">
        <v>6068.02</v>
      </c>
      <c r="E67" s="139">
        <v>6.6782000000000004</v>
      </c>
      <c r="F67" s="140">
        <f t="shared" si="4"/>
        <v>40523.451164000006</v>
      </c>
      <c r="G67" s="97" t="s">
        <v>172</v>
      </c>
      <c r="H67" s="92"/>
    </row>
    <row r="68" spans="1:8" x14ac:dyDescent="0.2">
      <c r="A68" s="79" t="s">
        <v>216</v>
      </c>
      <c r="B68" s="80" t="s">
        <v>131</v>
      </c>
      <c r="C68" s="132" t="s">
        <v>1759</v>
      </c>
      <c r="D68" s="133">
        <v>0</v>
      </c>
      <c r="E68" s="133">
        <v>0</v>
      </c>
      <c r="F68" s="134">
        <f>F69+F76+F80+F88</f>
        <v>1601254.30875212</v>
      </c>
      <c r="G68" s="95"/>
      <c r="H68" s="90"/>
    </row>
    <row r="69" spans="1:8" x14ac:dyDescent="0.2">
      <c r="A69" s="81" t="s">
        <v>217</v>
      </c>
      <c r="B69" s="82" t="s">
        <v>132</v>
      </c>
      <c r="C69" s="135" t="s">
        <v>1759</v>
      </c>
      <c r="D69" s="136">
        <v>0</v>
      </c>
      <c r="E69" s="136">
        <v>0</v>
      </c>
      <c r="F69" s="137">
        <f>SUM(F70:F75)</f>
        <v>1141200</v>
      </c>
      <c r="G69" s="96"/>
      <c r="H69" s="91"/>
    </row>
    <row r="70" spans="1:8" x14ac:dyDescent="0.2">
      <c r="A70" s="83" t="s">
        <v>218</v>
      </c>
      <c r="B70" s="84" t="s">
        <v>17</v>
      </c>
      <c r="C70" s="138" t="s">
        <v>120</v>
      </c>
      <c r="D70" s="139">
        <v>36</v>
      </c>
      <c r="E70" s="139">
        <v>8000</v>
      </c>
      <c r="F70" s="140">
        <f t="shared" ref="F70:F93" si="5">E70*D70</f>
        <v>288000</v>
      </c>
      <c r="G70" s="97" t="s">
        <v>155</v>
      </c>
      <c r="H70" s="92" t="s">
        <v>68</v>
      </c>
    </row>
    <row r="71" spans="1:8" x14ac:dyDescent="0.2">
      <c r="A71" s="83" t="s">
        <v>219</v>
      </c>
      <c r="B71" s="84" t="s">
        <v>133</v>
      </c>
      <c r="C71" s="138" t="s">
        <v>120</v>
      </c>
      <c r="D71" s="139">
        <v>36</v>
      </c>
      <c r="E71" s="139">
        <v>10500</v>
      </c>
      <c r="F71" s="140">
        <f t="shared" si="5"/>
        <v>378000</v>
      </c>
      <c r="G71" s="97" t="s">
        <v>1997</v>
      </c>
      <c r="H71" s="92" t="s">
        <v>68</v>
      </c>
    </row>
    <row r="72" spans="1:8" x14ac:dyDescent="0.2">
      <c r="A72" s="83" t="s">
        <v>220</v>
      </c>
      <c r="B72" s="84" t="s">
        <v>134</v>
      </c>
      <c r="C72" s="138" t="s">
        <v>120</v>
      </c>
      <c r="D72" s="139">
        <v>36</v>
      </c>
      <c r="E72" s="139">
        <v>2000</v>
      </c>
      <c r="F72" s="140">
        <f t="shared" si="5"/>
        <v>72000</v>
      </c>
      <c r="G72" s="97" t="s">
        <v>52</v>
      </c>
      <c r="H72" s="92" t="s">
        <v>68</v>
      </c>
    </row>
    <row r="73" spans="1:8" x14ac:dyDescent="0.2">
      <c r="A73" s="83" t="s">
        <v>221</v>
      </c>
      <c r="B73" s="84" t="s">
        <v>135</v>
      </c>
      <c r="C73" s="138" t="s">
        <v>120</v>
      </c>
      <c r="D73" s="139">
        <v>36</v>
      </c>
      <c r="E73" s="139">
        <v>2500</v>
      </c>
      <c r="F73" s="140">
        <f t="shared" si="5"/>
        <v>90000</v>
      </c>
      <c r="G73" s="97" t="s">
        <v>155</v>
      </c>
      <c r="H73" s="92" t="s">
        <v>68</v>
      </c>
    </row>
    <row r="74" spans="1:8" x14ac:dyDescent="0.2">
      <c r="A74" s="83" t="s">
        <v>1998</v>
      </c>
      <c r="B74" s="84" t="s">
        <v>1999</v>
      </c>
      <c r="C74" s="138" t="s">
        <v>120</v>
      </c>
      <c r="D74" s="139">
        <v>36</v>
      </c>
      <c r="E74" s="139">
        <v>5200</v>
      </c>
      <c r="F74" s="140">
        <f t="shared" si="5"/>
        <v>187200</v>
      </c>
      <c r="G74" s="97" t="s">
        <v>52</v>
      </c>
      <c r="H74" s="92" t="s">
        <v>68</v>
      </c>
    </row>
    <row r="75" spans="1:8" x14ac:dyDescent="0.2">
      <c r="A75" s="83" t="s">
        <v>2012</v>
      </c>
      <c r="B75" s="84" t="s">
        <v>2013</v>
      </c>
      <c r="C75" s="138" t="s">
        <v>120</v>
      </c>
      <c r="D75" s="139">
        <v>36</v>
      </c>
      <c r="E75" s="139">
        <v>3500</v>
      </c>
      <c r="F75" s="140">
        <f t="shared" si="5"/>
        <v>126000</v>
      </c>
      <c r="G75" s="97" t="s">
        <v>155</v>
      </c>
      <c r="H75" s="92" t="s">
        <v>68</v>
      </c>
    </row>
    <row r="76" spans="1:8" x14ac:dyDescent="0.2">
      <c r="A76" s="81" t="s">
        <v>222</v>
      </c>
      <c r="B76" s="82" t="s">
        <v>136</v>
      </c>
      <c r="C76" s="135" t="s">
        <v>1759</v>
      </c>
      <c r="D76" s="136">
        <v>0</v>
      </c>
      <c r="E76" s="136">
        <v>0</v>
      </c>
      <c r="F76" s="137">
        <f>SUM(F77:F79)</f>
        <v>36139.68</v>
      </c>
      <c r="G76" s="96"/>
      <c r="H76" s="91"/>
    </row>
    <row r="77" spans="1:8" x14ac:dyDescent="0.2">
      <c r="A77" s="83" t="s">
        <v>223</v>
      </c>
      <c r="B77" s="84" t="s">
        <v>18</v>
      </c>
      <c r="C77" s="138" t="s">
        <v>92</v>
      </c>
      <c r="D77" s="139">
        <v>1</v>
      </c>
      <c r="E77" s="139">
        <v>2808.43</v>
      </c>
      <c r="F77" s="140">
        <f t="shared" si="5"/>
        <v>2808.43</v>
      </c>
      <c r="G77" s="97" t="s">
        <v>52</v>
      </c>
      <c r="H77" s="92" t="s">
        <v>69</v>
      </c>
    </row>
    <row r="78" spans="1:8" x14ac:dyDescent="0.2">
      <c r="A78" s="83" t="s">
        <v>224</v>
      </c>
      <c r="B78" s="84" t="s">
        <v>137</v>
      </c>
      <c r="C78" s="138" t="s">
        <v>92</v>
      </c>
      <c r="D78" s="139">
        <v>1</v>
      </c>
      <c r="E78" s="139">
        <v>2630</v>
      </c>
      <c r="F78" s="140">
        <f t="shared" si="5"/>
        <v>2630</v>
      </c>
      <c r="G78" s="97" t="s">
        <v>52</v>
      </c>
      <c r="H78" s="92"/>
    </row>
    <row r="79" spans="1:8" x14ac:dyDescent="0.2">
      <c r="A79" s="83" t="s">
        <v>225</v>
      </c>
      <c r="B79" s="84" t="s">
        <v>138</v>
      </c>
      <c r="C79" s="138" t="s">
        <v>92</v>
      </c>
      <c r="D79" s="139">
        <v>1</v>
      </c>
      <c r="E79" s="139">
        <v>30701.25</v>
      </c>
      <c r="F79" s="140">
        <f t="shared" si="5"/>
        <v>30701.25</v>
      </c>
      <c r="G79" s="97" t="s">
        <v>52</v>
      </c>
      <c r="H79" s="92"/>
    </row>
    <row r="80" spans="1:8" x14ac:dyDescent="0.2">
      <c r="A80" s="81" t="s">
        <v>226</v>
      </c>
      <c r="B80" s="82" t="s">
        <v>139</v>
      </c>
      <c r="C80" s="135" t="s">
        <v>1759</v>
      </c>
      <c r="D80" s="136">
        <v>0</v>
      </c>
      <c r="E80" s="136">
        <v>0</v>
      </c>
      <c r="F80" s="137">
        <f>SUM(F81:F87)</f>
        <v>277199.2</v>
      </c>
      <c r="G80" s="96"/>
      <c r="H80" s="91"/>
    </row>
    <row r="81" spans="1:8" x14ac:dyDescent="0.2">
      <c r="A81" s="83" t="s">
        <v>2014</v>
      </c>
      <c r="B81" s="84" t="s">
        <v>140</v>
      </c>
      <c r="C81" s="138" t="s">
        <v>120</v>
      </c>
      <c r="D81" s="139">
        <v>36</v>
      </c>
      <c r="E81" s="139">
        <v>1293.5</v>
      </c>
      <c r="F81" s="140">
        <f t="shared" si="5"/>
        <v>46566</v>
      </c>
      <c r="G81" s="97" t="s">
        <v>52</v>
      </c>
      <c r="H81" s="92" t="s">
        <v>68</v>
      </c>
    </row>
    <row r="82" spans="1:8" x14ac:dyDescent="0.2">
      <c r="A82" s="83" t="s">
        <v>2015</v>
      </c>
      <c r="B82" s="84" t="s">
        <v>19</v>
      </c>
      <c r="C82" s="138" t="s">
        <v>120</v>
      </c>
      <c r="D82" s="139">
        <v>36</v>
      </c>
      <c r="E82" s="139">
        <v>2503.7000000000003</v>
      </c>
      <c r="F82" s="140">
        <f>E82*D82</f>
        <v>90133.200000000012</v>
      </c>
      <c r="G82" s="97" t="s">
        <v>52</v>
      </c>
      <c r="H82" s="92" t="s">
        <v>68</v>
      </c>
    </row>
    <row r="83" spans="1:8" x14ac:dyDescent="0.2">
      <c r="A83" s="83" t="s">
        <v>2016</v>
      </c>
      <c r="B83" s="84" t="s">
        <v>141</v>
      </c>
      <c r="C83" s="138" t="s">
        <v>120</v>
      </c>
      <c r="D83" s="139">
        <v>36</v>
      </c>
      <c r="E83" s="139">
        <v>180</v>
      </c>
      <c r="F83" s="140">
        <f t="shared" si="5"/>
        <v>6480</v>
      </c>
      <c r="G83" s="97" t="s">
        <v>52</v>
      </c>
      <c r="H83" s="92" t="s">
        <v>68</v>
      </c>
    </row>
    <row r="84" spans="1:8" x14ac:dyDescent="0.2">
      <c r="A84" s="83" t="s">
        <v>2017</v>
      </c>
      <c r="B84" s="84" t="s">
        <v>142</v>
      </c>
      <c r="C84" s="138" t="s">
        <v>120</v>
      </c>
      <c r="D84" s="139">
        <v>36</v>
      </c>
      <c r="E84" s="139">
        <v>70</v>
      </c>
      <c r="F84" s="140">
        <f t="shared" si="5"/>
        <v>2520</v>
      </c>
      <c r="G84" s="97" t="s">
        <v>52</v>
      </c>
      <c r="H84" s="92" t="s">
        <v>68</v>
      </c>
    </row>
    <row r="85" spans="1:8" x14ac:dyDescent="0.2">
      <c r="A85" s="83" t="s">
        <v>2018</v>
      </c>
      <c r="B85" s="84" t="s">
        <v>143</v>
      </c>
      <c r="C85" s="138" t="s">
        <v>120</v>
      </c>
      <c r="D85" s="139">
        <v>36</v>
      </c>
      <c r="E85" s="139">
        <v>700</v>
      </c>
      <c r="F85" s="140">
        <f t="shared" si="5"/>
        <v>25200</v>
      </c>
      <c r="G85" s="97" t="s">
        <v>52</v>
      </c>
      <c r="H85" s="92" t="s">
        <v>68</v>
      </c>
    </row>
    <row r="86" spans="1:8" x14ac:dyDescent="0.2">
      <c r="A86" s="83" t="s">
        <v>2019</v>
      </c>
      <c r="B86" s="84" t="s">
        <v>2000</v>
      </c>
      <c r="C86" s="138" t="s">
        <v>92</v>
      </c>
      <c r="D86" s="139">
        <v>1</v>
      </c>
      <c r="E86" s="139">
        <v>100000</v>
      </c>
      <c r="F86" s="140">
        <f t="shared" ref="F86:F87" si="6">E86*D86</f>
        <v>100000</v>
      </c>
      <c r="G86" s="97" t="s">
        <v>155</v>
      </c>
      <c r="H86" s="92"/>
    </row>
    <row r="87" spans="1:8" x14ac:dyDescent="0.2">
      <c r="A87" s="83" t="s">
        <v>2020</v>
      </c>
      <c r="B87" s="84" t="s">
        <v>2021</v>
      </c>
      <c r="C87" s="138" t="s">
        <v>120</v>
      </c>
      <c r="D87" s="139">
        <v>36</v>
      </c>
      <c r="E87" s="139">
        <v>175</v>
      </c>
      <c r="F87" s="140">
        <f t="shared" si="6"/>
        <v>6300</v>
      </c>
      <c r="G87" s="97" t="s">
        <v>52</v>
      </c>
      <c r="H87" s="92" t="s">
        <v>68</v>
      </c>
    </row>
    <row r="88" spans="1:8" x14ac:dyDescent="0.2">
      <c r="A88" s="81" t="s">
        <v>227</v>
      </c>
      <c r="B88" s="82" t="s">
        <v>144</v>
      </c>
      <c r="C88" s="135" t="s">
        <v>1759</v>
      </c>
      <c r="D88" s="136">
        <v>0</v>
      </c>
      <c r="E88" s="136">
        <v>0</v>
      </c>
      <c r="F88" s="137">
        <f>SUM(F89:F93)</f>
        <v>146715.42875212</v>
      </c>
      <c r="G88" s="96"/>
      <c r="H88" s="91"/>
    </row>
    <row r="89" spans="1:8" x14ac:dyDescent="0.2">
      <c r="A89" s="83" t="s">
        <v>228</v>
      </c>
      <c r="B89" s="84" t="s">
        <v>2022</v>
      </c>
      <c r="C89" s="138" t="s">
        <v>92</v>
      </c>
      <c r="D89" s="139">
        <v>1</v>
      </c>
      <c r="E89" s="139">
        <v>15023.39</v>
      </c>
      <c r="F89" s="140">
        <f t="shared" si="5"/>
        <v>15023.39</v>
      </c>
      <c r="G89" s="97" t="s">
        <v>52</v>
      </c>
      <c r="H89" s="92"/>
    </row>
    <row r="90" spans="1:8" x14ac:dyDescent="0.2">
      <c r="A90" s="83" t="s">
        <v>229</v>
      </c>
      <c r="B90" s="84" t="s">
        <v>2023</v>
      </c>
      <c r="C90" s="138" t="s">
        <v>92</v>
      </c>
      <c r="D90" s="139">
        <v>1</v>
      </c>
      <c r="E90" s="139">
        <v>13149.18</v>
      </c>
      <c r="F90" s="140">
        <f t="shared" si="5"/>
        <v>13149.18</v>
      </c>
      <c r="G90" s="97" t="s">
        <v>52</v>
      </c>
      <c r="H90" s="92"/>
    </row>
    <row r="91" spans="1:8" x14ac:dyDescent="0.2">
      <c r="A91" s="83" t="s">
        <v>230</v>
      </c>
      <c r="B91" s="84" t="s">
        <v>145</v>
      </c>
      <c r="C91" s="138" t="s">
        <v>92</v>
      </c>
      <c r="D91" s="139">
        <v>1</v>
      </c>
      <c r="E91" s="139">
        <v>70106.180000000008</v>
      </c>
      <c r="F91" s="140">
        <f t="shared" si="5"/>
        <v>70106.180000000008</v>
      </c>
      <c r="G91" s="97" t="s">
        <v>52</v>
      </c>
      <c r="H91" s="92"/>
    </row>
    <row r="92" spans="1:8" x14ac:dyDescent="0.2">
      <c r="A92" s="83" t="s">
        <v>231</v>
      </c>
      <c r="B92" s="84" t="s">
        <v>146</v>
      </c>
      <c r="C92" s="138" t="s">
        <v>120</v>
      </c>
      <c r="D92" s="139">
        <v>36</v>
      </c>
      <c r="E92" s="139">
        <v>900</v>
      </c>
      <c r="F92" s="140">
        <f t="shared" si="5"/>
        <v>32400</v>
      </c>
      <c r="G92" s="97" t="s">
        <v>52</v>
      </c>
      <c r="H92" s="92" t="s">
        <v>68</v>
      </c>
    </row>
    <row r="93" spans="1:8" x14ac:dyDescent="0.2">
      <c r="A93" s="83" t="s">
        <v>232</v>
      </c>
      <c r="B93" s="84" t="s">
        <v>147</v>
      </c>
      <c r="C93" s="138" t="s">
        <v>130</v>
      </c>
      <c r="D93" s="139">
        <v>131.64000000000001</v>
      </c>
      <c r="E93" s="139">
        <v>121.822233</v>
      </c>
      <c r="F93" s="140">
        <f t="shared" si="5"/>
        <v>16036.678752120002</v>
      </c>
      <c r="G93" s="97" t="s">
        <v>52</v>
      </c>
      <c r="H93" s="92"/>
    </row>
    <row r="94" spans="1:8" x14ac:dyDescent="0.2">
      <c r="A94" s="79" t="s">
        <v>233</v>
      </c>
      <c r="B94" s="80" t="s">
        <v>20</v>
      </c>
      <c r="C94" s="132" t="s">
        <v>1759</v>
      </c>
      <c r="D94" s="133">
        <v>0</v>
      </c>
      <c r="E94" s="133">
        <v>0</v>
      </c>
      <c r="F94" s="134">
        <f>F95+F106</f>
        <v>1244720</v>
      </c>
      <c r="G94" s="95"/>
      <c r="H94" s="90"/>
    </row>
    <row r="95" spans="1:8" x14ac:dyDescent="0.2">
      <c r="A95" s="81" t="s">
        <v>234</v>
      </c>
      <c r="B95" s="82" t="s">
        <v>148</v>
      </c>
      <c r="C95" s="135" t="s">
        <v>1759</v>
      </c>
      <c r="D95" s="136">
        <v>0</v>
      </c>
      <c r="E95" s="136">
        <v>0</v>
      </c>
      <c r="F95" s="137">
        <f>SUM(F96:F105)</f>
        <v>1153120</v>
      </c>
      <c r="G95" s="96"/>
      <c r="H95" s="91"/>
    </row>
    <row r="96" spans="1:8" x14ac:dyDescent="0.2">
      <c r="A96" s="83" t="s">
        <v>235</v>
      </c>
      <c r="B96" s="84" t="s">
        <v>2001</v>
      </c>
      <c r="C96" s="138" t="s">
        <v>92</v>
      </c>
      <c r="D96" s="139">
        <v>1</v>
      </c>
      <c r="E96" s="139">
        <v>2300</v>
      </c>
      <c r="F96" s="140">
        <f t="shared" ref="F96:F98" si="7">E96*D96</f>
        <v>2300</v>
      </c>
      <c r="G96" s="97"/>
      <c r="H96" s="92"/>
    </row>
    <row r="97" spans="1:8" x14ac:dyDescent="0.2">
      <c r="A97" s="83" t="s">
        <v>2024</v>
      </c>
      <c r="B97" s="84" t="s">
        <v>149</v>
      </c>
      <c r="C97" s="138" t="s">
        <v>120</v>
      </c>
      <c r="D97" s="139">
        <v>21</v>
      </c>
      <c r="E97" s="139">
        <v>20000</v>
      </c>
      <c r="F97" s="140">
        <f t="shared" si="7"/>
        <v>420000</v>
      </c>
      <c r="G97" s="97"/>
      <c r="H97" s="92" t="s">
        <v>68</v>
      </c>
    </row>
    <row r="98" spans="1:8" x14ac:dyDescent="0.2">
      <c r="A98" s="83" t="s">
        <v>2025</v>
      </c>
      <c r="B98" s="84" t="s">
        <v>150</v>
      </c>
      <c r="C98" s="138" t="s">
        <v>120</v>
      </c>
      <c r="D98" s="139">
        <v>3</v>
      </c>
      <c r="E98" s="139">
        <v>1500</v>
      </c>
      <c r="F98" s="140">
        <f t="shared" si="7"/>
        <v>4500</v>
      </c>
      <c r="G98" s="97"/>
      <c r="H98" s="92" t="s">
        <v>68</v>
      </c>
    </row>
    <row r="99" spans="1:8" x14ac:dyDescent="0.2">
      <c r="A99" s="83" t="s">
        <v>236</v>
      </c>
      <c r="B99" s="84" t="s">
        <v>2002</v>
      </c>
      <c r="C99" s="138" t="s">
        <v>120</v>
      </c>
      <c r="D99" s="139">
        <v>19</v>
      </c>
      <c r="E99" s="139">
        <v>28000</v>
      </c>
      <c r="F99" s="140">
        <f t="shared" ref="F99:F108" si="8">E99*D99</f>
        <v>532000</v>
      </c>
      <c r="G99" s="97"/>
      <c r="H99" s="92" t="s">
        <v>68</v>
      </c>
    </row>
    <row r="100" spans="1:8" x14ac:dyDescent="0.2">
      <c r="A100" s="83" t="s">
        <v>2026</v>
      </c>
      <c r="B100" s="84" t="s">
        <v>151</v>
      </c>
      <c r="C100" s="138" t="s">
        <v>92</v>
      </c>
      <c r="D100" s="139">
        <v>1</v>
      </c>
      <c r="E100" s="139">
        <v>12320</v>
      </c>
      <c r="F100" s="140">
        <f t="shared" ref="F100:F101" si="9">E100*D100</f>
        <v>12320</v>
      </c>
      <c r="G100" s="97"/>
      <c r="H100" s="92"/>
    </row>
    <row r="101" spans="1:8" x14ac:dyDescent="0.2">
      <c r="A101" s="83" t="s">
        <v>2027</v>
      </c>
      <c r="B101" s="84" t="s">
        <v>2003</v>
      </c>
      <c r="C101" s="138" t="s">
        <v>92</v>
      </c>
      <c r="D101" s="139">
        <v>1</v>
      </c>
      <c r="E101" s="139">
        <v>13000</v>
      </c>
      <c r="F101" s="140">
        <f t="shared" si="9"/>
        <v>13000</v>
      </c>
      <c r="G101" s="97"/>
      <c r="H101" s="92"/>
    </row>
    <row r="102" spans="1:8" x14ac:dyDescent="0.2">
      <c r="A102" s="83" t="s">
        <v>2028</v>
      </c>
      <c r="B102" s="84" t="s">
        <v>2004</v>
      </c>
      <c r="C102" s="138" t="s">
        <v>92</v>
      </c>
      <c r="D102" s="139">
        <v>1</v>
      </c>
      <c r="E102" s="139">
        <v>27000</v>
      </c>
      <c r="F102" s="140">
        <f t="shared" ref="F102:F103" si="10">E102*D102</f>
        <v>27000</v>
      </c>
      <c r="G102" s="97"/>
      <c r="H102" s="92"/>
    </row>
    <row r="103" spans="1:8" x14ac:dyDescent="0.2">
      <c r="A103" s="83" t="s">
        <v>237</v>
      </c>
      <c r="B103" s="84" t="s">
        <v>2005</v>
      </c>
      <c r="C103" s="138" t="s">
        <v>92</v>
      </c>
      <c r="D103" s="139">
        <v>1</v>
      </c>
      <c r="E103" s="139">
        <v>24000</v>
      </c>
      <c r="F103" s="140">
        <f t="shared" si="10"/>
        <v>24000</v>
      </c>
      <c r="G103" s="97"/>
      <c r="H103" s="92"/>
    </row>
    <row r="104" spans="1:8" x14ac:dyDescent="0.2">
      <c r="A104" s="83" t="s">
        <v>2029</v>
      </c>
      <c r="B104" s="84" t="s">
        <v>2006</v>
      </c>
      <c r="C104" s="138" t="s">
        <v>92</v>
      </c>
      <c r="D104" s="139">
        <v>1</v>
      </c>
      <c r="E104" s="139">
        <v>55000</v>
      </c>
      <c r="F104" s="140">
        <f t="shared" si="8"/>
        <v>55000</v>
      </c>
      <c r="G104" s="97"/>
      <c r="H104" s="92"/>
    </row>
    <row r="105" spans="1:8" x14ac:dyDescent="0.2">
      <c r="A105" s="83" t="s">
        <v>238</v>
      </c>
      <c r="B105" s="84" t="s">
        <v>2007</v>
      </c>
      <c r="C105" s="138" t="s">
        <v>109</v>
      </c>
      <c r="D105" s="139">
        <v>7</v>
      </c>
      <c r="E105" s="139">
        <v>9000</v>
      </c>
      <c r="F105" s="140">
        <f t="shared" si="8"/>
        <v>63000</v>
      </c>
      <c r="G105" s="97"/>
      <c r="H105" s="92"/>
    </row>
    <row r="106" spans="1:8" x14ac:dyDescent="0.2">
      <c r="A106" s="81" t="s">
        <v>239</v>
      </c>
      <c r="B106" s="82" t="s">
        <v>152</v>
      </c>
      <c r="C106" s="135" t="s">
        <v>1759</v>
      </c>
      <c r="D106" s="136">
        <v>0</v>
      </c>
      <c r="E106" s="136">
        <v>0</v>
      </c>
      <c r="F106" s="137">
        <f>SUM(F107:F108)</f>
        <v>91600</v>
      </c>
      <c r="G106" s="96"/>
      <c r="H106" s="91"/>
    </row>
    <row r="107" spans="1:8" ht="31.5" x14ac:dyDescent="0.2">
      <c r="A107" s="83" t="s">
        <v>240</v>
      </c>
      <c r="B107" s="84" t="s">
        <v>153</v>
      </c>
      <c r="C107" s="138" t="s">
        <v>92</v>
      </c>
      <c r="D107" s="139">
        <v>1</v>
      </c>
      <c r="E107" s="139">
        <v>73600</v>
      </c>
      <c r="F107" s="140">
        <f t="shared" si="8"/>
        <v>73600</v>
      </c>
      <c r="G107" s="97" t="s">
        <v>70</v>
      </c>
      <c r="H107" s="92"/>
    </row>
    <row r="108" spans="1:8" x14ac:dyDescent="0.2">
      <c r="A108" s="83" t="s">
        <v>241</v>
      </c>
      <c r="B108" s="84" t="s">
        <v>154</v>
      </c>
      <c r="C108" s="138" t="s">
        <v>120</v>
      </c>
      <c r="D108" s="139">
        <v>36</v>
      </c>
      <c r="E108" s="139">
        <v>500</v>
      </c>
      <c r="F108" s="140">
        <f t="shared" si="8"/>
        <v>18000</v>
      </c>
      <c r="G108" s="97"/>
      <c r="H108" s="92" t="s">
        <v>68</v>
      </c>
    </row>
    <row r="109" spans="1:8" x14ac:dyDescent="0.2">
      <c r="A109" s="114" t="s">
        <v>242</v>
      </c>
      <c r="B109" s="115" t="s">
        <v>48</v>
      </c>
      <c r="C109" s="141" t="s">
        <v>1759</v>
      </c>
      <c r="D109" s="141"/>
      <c r="E109" s="142"/>
      <c r="F109" s="143">
        <f>F110+F154+F347+F495+F606+F704+F762+F779+F903+F1025+F1098+F1272+F1463+F1575+F1580+F1671+F1685</f>
        <v>33026022.092938982</v>
      </c>
      <c r="G109" s="116"/>
      <c r="H109" s="117"/>
    </row>
    <row r="110" spans="1:8" x14ac:dyDescent="0.2">
      <c r="A110" s="110" t="s">
        <v>243</v>
      </c>
      <c r="B110" s="111" t="s">
        <v>22</v>
      </c>
      <c r="C110" s="144" t="s">
        <v>1759</v>
      </c>
      <c r="D110" s="145">
        <v>0</v>
      </c>
      <c r="E110" s="145">
        <v>0</v>
      </c>
      <c r="F110" s="146">
        <f>F111+F123</f>
        <v>2039377.3851798</v>
      </c>
      <c r="G110" s="112"/>
      <c r="H110" s="113"/>
    </row>
    <row r="111" spans="1:8" x14ac:dyDescent="0.2">
      <c r="A111" s="81" t="s">
        <v>244</v>
      </c>
      <c r="B111" s="82" t="s">
        <v>23</v>
      </c>
      <c r="C111" s="135" t="s">
        <v>1759</v>
      </c>
      <c r="D111" s="136">
        <v>0</v>
      </c>
      <c r="E111" s="136">
        <v>0</v>
      </c>
      <c r="F111" s="147">
        <f>F112+F116+F121</f>
        <v>1061346.1310000001</v>
      </c>
      <c r="G111" s="107"/>
      <c r="H111" s="104"/>
    </row>
    <row r="112" spans="1:8" x14ac:dyDescent="0.2">
      <c r="A112" s="101" t="s">
        <v>245</v>
      </c>
      <c r="B112" s="102" t="s">
        <v>1755</v>
      </c>
      <c r="C112" s="148" t="s">
        <v>1759</v>
      </c>
      <c r="D112" s="149">
        <v>0</v>
      </c>
      <c r="E112" s="149">
        <v>0</v>
      </c>
      <c r="F112" s="150">
        <f>SUM(F113:F115)</f>
        <v>328320</v>
      </c>
      <c r="G112" s="108"/>
      <c r="H112" s="105"/>
    </row>
    <row r="113" spans="1:8" x14ac:dyDescent="0.2">
      <c r="A113" s="103" t="s">
        <v>1756</v>
      </c>
      <c r="B113" s="85" t="s">
        <v>1760</v>
      </c>
      <c r="C113" s="138" t="s">
        <v>123</v>
      </c>
      <c r="D113" s="139">
        <v>312</v>
      </c>
      <c r="E113" s="139">
        <v>68.400000000000006</v>
      </c>
      <c r="F113" s="151">
        <f>E113*D113</f>
        <v>21340.800000000003</v>
      </c>
      <c r="G113" s="109" t="s">
        <v>1768</v>
      </c>
      <c r="H113" s="106"/>
    </row>
    <row r="114" spans="1:8" x14ac:dyDescent="0.2">
      <c r="A114" s="103" t="s">
        <v>1757</v>
      </c>
      <c r="B114" s="85" t="s">
        <v>1761</v>
      </c>
      <c r="C114" s="138" t="s">
        <v>123</v>
      </c>
      <c r="D114" s="139">
        <v>2376</v>
      </c>
      <c r="E114" s="139">
        <v>102.60000000000001</v>
      </c>
      <c r="F114" s="151">
        <f t="shared" ref="F114:F122" si="11">E114*D114</f>
        <v>243777.6</v>
      </c>
      <c r="G114" s="109" t="s">
        <v>1768</v>
      </c>
      <c r="H114" s="92"/>
    </row>
    <row r="115" spans="1:8" x14ac:dyDescent="0.2">
      <c r="A115" s="103" t="s">
        <v>2030</v>
      </c>
      <c r="B115" s="85" t="s">
        <v>1762</v>
      </c>
      <c r="C115" s="138" t="s">
        <v>123</v>
      </c>
      <c r="D115" s="139">
        <v>528</v>
      </c>
      <c r="E115" s="139">
        <v>119.7</v>
      </c>
      <c r="F115" s="151">
        <f t="shared" si="11"/>
        <v>63201.599999999999</v>
      </c>
      <c r="G115" s="109" t="s">
        <v>1768</v>
      </c>
      <c r="H115" s="92"/>
    </row>
    <row r="116" spans="1:8" x14ac:dyDescent="0.2">
      <c r="A116" s="101" t="s">
        <v>1758</v>
      </c>
      <c r="B116" s="102" t="s">
        <v>261</v>
      </c>
      <c r="C116" s="148" t="s">
        <v>1759</v>
      </c>
      <c r="D116" s="149">
        <v>0</v>
      </c>
      <c r="E116" s="149">
        <v>0</v>
      </c>
      <c r="F116" s="150">
        <f>SUM(F117:F120)</f>
        <v>96742.930999999982</v>
      </c>
      <c r="G116" s="108"/>
      <c r="H116" s="105"/>
    </row>
    <row r="117" spans="1:8" x14ac:dyDescent="0.2">
      <c r="A117" s="103" t="s">
        <v>2031</v>
      </c>
      <c r="B117" s="85" t="s">
        <v>1763</v>
      </c>
      <c r="C117" s="138" t="s">
        <v>264</v>
      </c>
      <c r="D117" s="139">
        <v>1380</v>
      </c>
      <c r="E117" s="139">
        <v>7.6954399999999996</v>
      </c>
      <c r="F117" s="151">
        <f t="shared" si="11"/>
        <v>10619.707199999999</v>
      </c>
      <c r="G117" s="109" t="s">
        <v>1769</v>
      </c>
      <c r="H117" s="92"/>
    </row>
    <row r="118" spans="1:8" x14ac:dyDescent="0.2">
      <c r="A118" s="103" t="s">
        <v>2032</v>
      </c>
      <c r="B118" s="85" t="s">
        <v>1764</v>
      </c>
      <c r="C118" s="138" t="s">
        <v>264</v>
      </c>
      <c r="D118" s="139">
        <v>562</v>
      </c>
      <c r="E118" s="139">
        <v>7.6984399999999997</v>
      </c>
      <c r="F118" s="151">
        <f t="shared" si="11"/>
        <v>4326.5232799999994</v>
      </c>
      <c r="G118" s="109" t="s">
        <v>1769</v>
      </c>
      <c r="H118" s="92"/>
    </row>
    <row r="119" spans="1:8" x14ac:dyDescent="0.2">
      <c r="A119" s="103" t="s">
        <v>2033</v>
      </c>
      <c r="B119" s="85" t="s">
        <v>1765</v>
      </c>
      <c r="C119" s="138" t="s">
        <v>264</v>
      </c>
      <c r="D119" s="139">
        <v>451</v>
      </c>
      <c r="E119" s="139">
        <v>7.1303599999999996</v>
      </c>
      <c r="F119" s="151">
        <f t="shared" si="11"/>
        <v>3215.7923599999999</v>
      </c>
      <c r="G119" s="109" t="s">
        <v>1769</v>
      </c>
      <c r="H119" s="92"/>
    </row>
    <row r="120" spans="1:8" x14ac:dyDescent="0.2">
      <c r="A120" s="103" t="s">
        <v>2034</v>
      </c>
      <c r="B120" s="85" t="s">
        <v>1766</v>
      </c>
      <c r="C120" s="138" t="s">
        <v>264</v>
      </c>
      <c r="D120" s="139">
        <v>11062</v>
      </c>
      <c r="E120" s="139">
        <v>7.1036799999999998</v>
      </c>
      <c r="F120" s="151">
        <f t="shared" si="11"/>
        <v>78580.908159999992</v>
      </c>
      <c r="G120" s="109" t="s">
        <v>1769</v>
      </c>
      <c r="H120" s="92"/>
    </row>
    <row r="121" spans="1:8" x14ac:dyDescent="0.2">
      <c r="A121" s="101" t="s">
        <v>2035</v>
      </c>
      <c r="B121" s="102" t="s">
        <v>280</v>
      </c>
      <c r="C121" s="148" t="s">
        <v>1759</v>
      </c>
      <c r="D121" s="149">
        <v>0</v>
      </c>
      <c r="E121" s="149">
        <v>0</v>
      </c>
      <c r="F121" s="150">
        <f>F122</f>
        <v>636283.20000000007</v>
      </c>
      <c r="G121" s="108"/>
      <c r="H121" s="105"/>
    </row>
    <row r="122" spans="1:8" ht="31.5" x14ac:dyDescent="0.2">
      <c r="A122" s="83" t="s">
        <v>2036</v>
      </c>
      <c r="B122" s="85" t="s">
        <v>1767</v>
      </c>
      <c r="C122" s="138" t="s">
        <v>251</v>
      </c>
      <c r="D122" s="139">
        <v>914.2</v>
      </c>
      <c r="E122" s="139">
        <v>696</v>
      </c>
      <c r="F122" s="151">
        <f t="shared" si="11"/>
        <v>636283.20000000007</v>
      </c>
      <c r="G122" s="109" t="s">
        <v>1768</v>
      </c>
      <c r="H122" s="92"/>
    </row>
    <row r="123" spans="1:8" x14ac:dyDescent="0.2">
      <c r="A123" s="81" t="s">
        <v>246</v>
      </c>
      <c r="B123" s="82" t="s">
        <v>24</v>
      </c>
      <c r="C123" s="135" t="s">
        <v>1759</v>
      </c>
      <c r="D123" s="136">
        <v>0</v>
      </c>
      <c r="E123" s="136">
        <v>0</v>
      </c>
      <c r="F123" s="147">
        <f>F124+F128+F131+F140+F143+F151</f>
        <v>978031.25417979993</v>
      </c>
      <c r="G123" s="107"/>
      <c r="H123" s="104"/>
    </row>
    <row r="124" spans="1:8" x14ac:dyDescent="0.2">
      <c r="A124" s="101" t="s">
        <v>247</v>
      </c>
      <c r="B124" s="102" t="s">
        <v>248</v>
      </c>
      <c r="C124" s="148" t="s">
        <v>1759</v>
      </c>
      <c r="D124" s="149">
        <v>0</v>
      </c>
      <c r="E124" s="149">
        <v>0</v>
      </c>
      <c r="F124" s="150">
        <f>SUM(F125:F127)</f>
        <v>100836.66775000001</v>
      </c>
      <c r="G124" s="108"/>
      <c r="H124" s="105"/>
    </row>
    <row r="125" spans="1:8" x14ac:dyDescent="0.2">
      <c r="A125" s="103" t="s">
        <v>249</v>
      </c>
      <c r="B125" s="85" t="s">
        <v>250</v>
      </c>
      <c r="C125" s="138" t="s">
        <v>251</v>
      </c>
      <c r="D125" s="139">
        <v>619.55000000000007</v>
      </c>
      <c r="E125" s="139">
        <v>57.2</v>
      </c>
      <c r="F125" s="151">
        <f t="shared" ref="F125:F149" si="12">E125*D125</f>
        <v>35438.26</v>
      </c>
      <c r="G125" s="109" t="s">
        <v>303</v>
      </c>
      <c r="H125" s="106"/>
    </row>
    <row r="126" spans="1:8" x14ac:dyDescent="0.2">
      <c r="A126" s="103" t="s">
        <v>252</v>
      </c>
      <c r="B126" s="85" t="s">
        <v>253</v>
      </c>
      <c r="C126" s="138" t="s">
        <v>251</v>
      </c>
      <c r="D126" s="139">
        <v>399.81</v>
      </c>
      <c r="E126" s="139">
        <v>11.275</v>
      </c>
      <c r="F126" s="151">
        <f t="shared" si="12"/>
        <v>4507.8577500000001</v>
      </c>
      <c r="G126" s="109" t="s">
        <v>304</v>
      </c>
      <c r="H126" s="106"/>
    </row>
    <row r="127" spans="1:8" x14ac:dyDescent="0.2">
      <c r="A127" s="103" t="s">
        <v>254</v>
      </c>
      <c r="B127" s="85" t="s">
        <v>255</v>
      </c>
      <c r="C127" s="138" t="s">
        <v>251</v>
      </c>
      <c r="D127" s="139">
        <v>1739.73</v>
      </c>
      <c r="E127" s="139">
        <v>35</v>
      </c>
      <c r="F127" s="151">
        <f t="shared" si="12"/>
        <v>60890.55</v>
      </c>
      <c r="G127" s="109" t="s">
        <v>1770</v>
      </c>
      <c r="H127" s="106"/>
    </row>
    <row r="128" spans="1:8" x14ac:dyDescent="0.2">
      <c r="A128" s="101" t="s">
        <v>256</v>
      </c>
      <c r="B128" s="102" t="s">
        <v>257</v>
      </c>
      <c r="C128" s="148" t="s">
        <v>1759</v>
      </c>
      <c r="D128" s="149">
        <v>0</v>
      </c>
      <c r="E128" s="149">
        <v>0</v>
      </c>
      <c r="F128" s="150">
        <f>F129+F130</f>
        <v>80508.850746800003</v>
      </c>
      <c r="G128" s="108"/>
      <c r="H128" s="105"/>
    </row>
    <row r="129" spans="1:8" ht="31.5" x14ac:dyDescent="0.2">
      <c r="A129" s="103" t="s">
        <v>258</v>
      </c>
      <c r="B129" s="85" t="s">
        <v>259</v>
      </c>
      <c r="C129" s="138" t="s">
        <v>130</v>
      </c>
      <c r="D129" s="139">
        <v>620.26</v>
      </c>
      <c r="E129" s="139">
        <v>67.776380000000003</v>
      </c>
      <c r="F129" s="151">
        <f t="shared" si="12"/>
        <v>42038.9774588</v>
      </c>
      <c r="G129" s="109" t="s">
        <v>71</v>
      </c>
      <c r="H129" s="106"/>
    </row>
    <row r="130" spans="1:8" ht="31.5" x14ac:dyDescent="0.2">
      <c r="A130" s="103" t="s">
        <v>1859</v>
      </c>
      <c r="B130" s="85" t="s">
        <v>1910</v>
      </c>
      <c r="C130" s="138" t="s">
        <v>130</v>
      </c>
      <c r="D130" s="139">
        <v>567.6</v>
      </c>
      <c r="E130" s="139">
        <v>67.776380000000003</v>
      </c>
      <c r="F130" s="151">
        <f t="shared" si="12"/>
        <v>38469.873288000003</v>
      </c>
      <c r="G130" s="109"/>
      <c r="H130" s="106"/>
    </row>
    <row r="131" spans="1:8" x14ac:dyDescent="0.2">
      <c r="A131" s="101" t="s">
        <v>260</v>
      </c>
      <c r="B131" s="102" t="s">
        <v>261</v>
      </c>
      <c r="C131" s="148" t="s">
        <v>1759</v>
      </c>
      <c r="D131" s="149">
        <v>0</v>
      </c>
      <c r="E131" s="149">
        <v>0</v>
      </c>
      <c r="F131" s="150">
        <f>SUM(F132:F139)</f>
        <v>234395.2746</v>
      </c>
      <c r="G131" s="108"/>
      <c r="H131" s="105"/>
    </row>
    <row r="132" spans="1:8" ht="31.5" x14ac:dyDescent="0.2">
      <c r="A132" s="103" t="s">
        <v>262</v>
      </c>
      <c r="B132" s="85" t="s">
        <v>263</v>
      </c>
      <c r="C132" s="138" t="s">
        <v>264</v>
      </c>
      <c r="D132" s="139">
        <v>295</v>
      </c>
      <c r="E132" s="139">
        <v>7.6954399999999996</v>
      </c>
      <c r="F132" s="151">
        <f t="shared" si="12"/>
        <v>2270.1547999999998</v>
      </c>
      <c r="G132" s="109" t="s">
        <v>338</v>
      </c>
      <c r="H132" s="106"/>
    </row>
    <row r="133" spans="1:8" ht="31.5" x14ac:dyDescent="0.2">
      <c r="A133" s="103" t="s">
        <v>265</v>
      </c>
      <c r="B133" s="85" t="s">
        <v>266</v>
      </c>
      <c r="C133" s="138" t="s">
        <v>264</v>
      </c>
      <c r="D133" s="139">
        <v>1440</v>
      </c>
      <c r="E133" s="139">
        <v>7.76539</v>
      </c>
      <c r="F133" s="151">
        <f t="shared" si="12"/>
        <v>11182.161599999999</v>
      </c>
      <c r="G133" s="109" t="s">
        <v>338</v>
      </c>
      <c r="H133" s="106"/>
    </row>
    <row r="134" spans="1:8" ht="31.5" x14ac:dyDescent="0.2">
      <c r="A134" s="103" t="s">
        <v>267</v>
      </c>
      <c r="B134" s="85" t="s">
        <v>268</v>
      </c>
      <c r="C134" s="138" t="s">
        <v>264</v>
      </c>
      <c r="D134" s="139">
        <v>2879</v>
      </c>
      <c r="E134" s="139">
        <v>7.6185299999999998</v>
      </c>
      <c r="F134" s="151">
        <f t="shared" si="12"/>
        <v>21933.747869999999</v>
      </c>
      <c r="G134" s="109" t="s">
        <v>338</v>
      </c>
      <c r="H134" s="106"/>
    </row>
    <row r="135" spans="1:8" ht="31.5" x14ac:dyDescent="0.2">
      <c r="A135" s="103" t="s">
        <v>269</v>
      </c>
      <c r="B135" s="85" t="s">
        <v>270</v>
      </c>
      <c r="C135" s="138" t="s">
        <v>264</v>
      </c>
      <c r="D135" s="139">
        <v>6127</v>
      </c>
      <c r="E135" s="139">
        <v>7.1973099999999999</v>
      </c>
      <c r="F135" s="151">
        <f t="shared" si="12"/>
        <v>44097.918369999999</v>
      </c>
      <c r="G135" s="109" t="s">
        <v>338</v>
      </c>
      <c r="H135" s="106"/>
    </row>
    <row r="136" spans="1:8" ht="31.5" x14ac:dyDescent="0.2">
      <c r="A136" s="103" t="s">
        <v>271</v>
      </c>
      <c r="B136" s="85" t="s">
        <v>272</v>
      </c>
      <c r="C136" s="138" t="s">
        <v>264</v>
      </c>
      <c r="D136" s="139">
        <v>945</v>
      </c>
      <c r="E136" s="139">
        <v>7.1258699999999999</v>
      </c>
      <c r="F136" s="151">
        <f t="shared" si="12"/>
        <v>6733.94715</v>
      </c>
      <c r="G136" s="109" t="s">
        <v>338</v>
      </c>
      <c r="H136" s="106"/>
    </row>
    <row r="137" spans="1:8" ht="31.5" x14ac:dyDescent="0.2">
      <c r="A137" s="103" t="s">
        <v>273</v>
      </c>
      <c r="B137" s="85" t="s">
        <v>274</v>
      </c>
      <c r="C137" s="138" t="s">
        <v>264</v>
      </c>
      <c r="D137" s="139">
        <v>4411</v>
      </c>
      <c r="E137" s="139">
        <v>7.18811</v>
      </c>
      <c r="F137" s="151">
        <f t="shared" si="12"/>
        <v>31706.753209999999</v>
      </c>
      <c r="G137" s="109" t="s">
        <v>338</v>
      </c>
      <c r="H137" s="106"/>
    </row>
    <row r="138" spans="1:8" ht="31.5" x14ac:dyDescent="0.2">
      <c r="A138" s="103" t="s">
        <v>275</v>
      </c>
      <c r="B138" s="85" t="s">
        <v>276</v>
      </c>
      <c r="C138" s="138" t="s">
        <v>264</v>
      </c>
      <c r="D138" s="139">
        <v>704</v>
      </c>
      <c r="E138" s="139">
        <v>9.7396700000000003</v>
      </c>
      <c r="F138" s="151">
        <f t="shared" si="12"/>
        <v>6856.72768</v>
      </c>
      <c r="G138" s="109" t="s">
        <v>338</v>
      </c>
      <c r="H138" s="106"/>
    </row>
    <row r="139" spans="1:8" ht="31.5" x14ac:dyDescent="0.2">
      <c r="A139" s="103" t="s">
        <v>277</v>
      </c>
      <c r="B139" s="85" t="s">
        <v>278</v>
      </c>
      <c r="C139" s="138" t="s">
        <v>264</v>
      </c>
      <c r="D139" s="139">
        <v>12776</v>
      </c>
      <c r="E139" s="139">
        <v>8.5796700000000001</v>
      </c>
      <c r="F139" s="151">
        <f t="shared" si="12"/>
        <v>109613.86392</v>
      </c>
      <c r="G139" s="109" t="s">
        <v>338</v>
      </c>
      <c r="H139" s="106"/>
    </row>
    <row r="140" spans="1:8" x14ac:dyDescent="0.2">
      <c r="A140" s="101" t="s">
        <v>279</v>
      </c>
      <c r="B140" s="102" t="s">
        <v>280</v>
      </c>
      <c r="C140" s="148" t="s">
        <v>1759</v>
      </c>
      <c r="D140" s="149">
        <v>0</v>
      </c>
      <c r="E140" s="149">
        <v>0</v>
      </c>
      <c r="F140" s="150">
        <f>SUM(F141:F142)</f>
        <v>39311.811000000002</v>
      </c>
      <c r="G140" s="108"/>
      <c r="H140" s="105"/>
    </row>
    <row r="141" spans="1:8" x14ac:dyDescent="0.2">
      <c r="A141" s="103" t="s">
        <v>281</v>
      </c>
      <c r="B141" s="85" t="s">
        <v>2037</v>
      </c>
      <c r="C141" s="138" t="s">
        <v>251</v>
      </c>
      <c r="D141" s="139">
        <v>13.86</v>
      </c>
      <c r="E141" s="139">
        <v>369.6</v>
      </c>
      <c r="F141" s="151">
        <f t="shared" si="12"/>
        <v>5122.6559999999999</v>
      </c>
      <c r="G141" s="109" t="s">
        <v>305</v>
      </c>
      <c r="H141" s="106"/>
    </row>
    <row r="142" spans="1:8" ht="31.5" x14ac:dyDescent="0.2">
      <c r="A142" s="103" t="s">
        <v>282</v>
      </c>
      <c r="B142" s="85" t="s">
        <v>2038</v>
      </c>
      <c r="C142" s="138" t="s">
        <v>251</v>
      </c>
      <c r="D142" s="139">
        <v>53.82</v>
      </c>
      <c r="E142" s="139">
        <v>635.25</v>
      </c>
      <c r="F142" s="151">
        <f t="shared" si="12"/>
        <v>34189.154999999999</v>
      </c>
      <c r="G142" s="109" t="s">
        <v>73</v>
      </c>
      <c r="H142" s="106"/>
    </row>
    <row r="143" spans="1:8" x14ac:dyDescent="0.2">
      <c r="A143" s="101" t="s">
        <v>283</v>
      </c>
      <c r="B143" s="102" t="s">
        <v>284</v>
      </c>
      <c r="C143" s="148" t="s">
        <v>1759</v>
      </c>
      <c r="D143" s="149">
        <v>0</v>
      </c>
      <c r="E143" s="149">
        <v>0</v>
      </c>
      <c r="F143" s="150">
        <f>SUM(F144:F150)</f>
        <v>71790.650083</v>
      </c>
      <c r="G143" s="108"/>
      <c r="H143" s="105"/>
    </row>
    <row r="144" spans="1:8" ht="31.5" x14ac:dyDescent="0.2">
      <c r="A144" s="103" t="s">
        <v>285</v>
      </c>
      <c r="B144" s="85" t="s">
        <v>286</v>
      </c>
      <c r="C144" s="138" t="s">
        <v>92</v>
      </c>
      <c r="D144" s="139">
        <v>1</v>
      </c>
      <c r="E144" s="139">
        <v>25290.606366</v>
      </c>
      <c r="F144" s="151">
        <f t="shared" si="12"/>
        <v>25290.606366</v>
      </c>
      <c r="G144" s="109" t="s">
        <v>306</v>
      </c>
      <c r="H144" s="106"/>
    </row>
    <row r="145" spans="1:8" ht="31.5" x14ac:dyDescent="0.2">
      <c r="A145" s="103" t="s">
        <v>287</v>
      </c>
      <c r="B145" s="85" t="s">
        <v>288</v>
      </c>
      <c r="C145" s="138" t="s">
        <v>92</v>
      </c>
      <c r="D145" s="139">
        <v>1</v>
      </c>
      <c r="E145" s="139">
        <v>10649.83786</v>
      </c>
      <c r="F145" s="151">
        <f t="shared" si="12"/>
        <v>10649.83786</v>
      </c>
      <c r="G145" s="109" t="s">
        <v>1774</v>
      </c>
      <c r="H145" s="106"/>
    </row>
    <row r="146" spans="1:8" ht="31.5" x14ac:dyDescent="0.2">
      <c r="A146" s="103" t="s">
        <v>2039</v>
      </c>
      <c r="B146" s="85" t="s">
        <v>1771</v>
      </c>
      <c r="C146" s="138" t="s">
        <v>92</v>
      </c>
      <c r="D146" s="139">
        <v>1</v>
      </c>
      <c r="E146" s="139">
        <v>31942.141821000001</v>
      </c>
      <c r="F146" s="151">
        <f t="shared" si="12"/>
        <v>31942.141821000001</v>
      </c>
      <c r="G146" s="109" t="s">
        <v>306</v>
      </c>
      <c r="H146" s="106"/>
    </row>
    <row r="147" spans="1:8" ht="31.5" x14ac:dyDescent="0.2">
      <c r="A147" s="103" t="s">
        <v>289</v>
      </c>
      <c r="B147" s="85" t="s">
        <v>290</v>
      </c>
      <c r="C147" s="138" t="s">
        <v>92</v>
      </c>
      <c r="D147" s="139">
        <v>1</v>
      </c>
      <c r="E147" s="139">
        <v>1142.8549519999999</v>
      </c>
      <c r="F147" s="151">
        <f t="shared" si="12"/>
        <v>1142.8549519999999</v>
      </c>
      <c r="G147" s="109" t="s">
        <v>306</v>
      </c>
      <c r="H147" s="106"/>
    </row>
    <row r="148" spans="1:8" ht="31.5" x14ac:dyDescent="0.2">
      <c r="A148" s="103" t="s">
        <v>291</v>
      </c>
      <c r="B148" s="85" t="s">
        <v>2040</v>
      </c>
      <c r="C148" s="138" t="s">
        <v>92</v>
      </c>
      <c r="D148" s="139">
        <v>1</v>
      </c>
      <c r="E148" s="139">
        <v>1167.548454</v>
      </c>
      <c r="F148" s="151">
        <f t="shared" si="12"/>
        <v>1167.548454</v>
      </c>
      <c r="G148" s="109" t="s">
        <v>306</v>
      </c>
      <c r="H148" s="106"/>
    </row>
    <row r="149" spans="1:8" x14ac:dyDescent="0.2">
      <c r="A149" s="103" t="s">
        <v>292</v>
      </c>
      <c r="B149" s="85" t="s">
        <v>293</v>
      </c>
      <c r="C149" s="138" t="s">
        <v>92</v>
      </c>
      <c r="D149" s="139">
        <v>1</v>
      </c>
      <c r="E149" s="139">
        <v>235.21300000000002</v>
      </c>
      <c r="F149" s="151">
        <f t="shared" si="12"/>
        <v>235.21300000000002</v>
      </c>
      <c r="G149" s="109" t="s">
        <v>307</v>
      </c>
      <c r="H149" s="106"/>
    </row>
    <row r="150" spans="1:8" ht="31.5" x14ac:dyDescent="0.2">
      <c r="A150" s="103" t="s">
        <v>1772</v>
      </c>
      <c r="B150" s="85" t="s">
        <v>1773</v>
      </c>
      <c r="C150" s="138" t="s">
        <v>92</v>
      </c>
      <c r="D150" s="139">
        <v>1</v>
      </c>
      <c r="E150" s="139">
        <v>1362.4476299999999</v>
      </c>
      <c r="F150" s="151">
        <f>E150*D150</f>
        <v>1362.4476299999999</v>
      </c>
      <c r="G150" s="109" t="s">
        <v>306</v>
      </c>
      <c r="H150" s="106"/>
    </row>
    <row r="151" spans="1:8" x14ac:dyDescent="0.2">
      <c r="A151" s="101" t="s">
        <v>294</v>
      </c>
      <c r="B151" s="102" t="s">
        <v>295</v>
      </c>
      <c r="C151" s="148" t="s">
        <v>1759</v>
      </c>
      <c r="D151" s="149">
        <v>0</v>
      </c>
      <c r="E151" s="149">
        <v>0</v>
      </c>
      <c r="F151" s="150">
        <f>F152+F153</f>
        <v>451188</v>
      </c>
      <c r="G151" s="108"/>
      <c r="H151" s="105"/>
    </row>
    <row r="152" spans="1:8" x14ac:dyDescent="0.2">
      <c r="A152" s="103" t="s">
        <v>296</v>
      </c>
      <c r="B152" s="85" t="s">
        <v>297</v>
      </c>
      <c r="C152" s="138" t="s">
        <v>130</v>
      </c>
      <c r="D152" s="139">
        <v>898.1</v>
      </c>
      <c r="E152" s="139">
        <v>480</v>
      </c>
      <c r="F152" s="151">
        <f>E152*D152</f>
        <v>431088</v>
      </c>
      <c r="G152" s="109"/>
      <c r="H152" s="106"/>
    </row>
    <row r="153" spans="1:8" x14ac:dyDescent="0.2">
      <c r="A153" s="119" t="s">
        <v>298</v>
      </c>
      <c r="B153" s="120" t="s">
        <v>299</v>
      </c>
      <c r="C153" s="152" t="s">
        <v>109</v>
      </c>
      <c r="D153" s="153">
        <v>134</v>
      </c>
      <c r="E153" s="153">
        <v>150</v>
      </c>
      <c r="F153" s="154">
        <f>E153*D153</f>
        <v>20100</v>
      </c>
      <c r="G153" s="121"/>
      <c r="H153" s="122"/>
    </row>
    <row r="154" spans="1:8" x14ac:dyDescent="0.2">
      <c r="A154" s="77" t="s">
        <v>300</v>
      </c>
      <c r="B154" s="78" t="s">
        <v>25</v>
      </c>
      <c r="C154" s="129" t="s">
        <v>1759</v>
      </c>
      <c r="D154" s="130">
        <v>0</v>
      </c>
      <c r="E154" s="130">
        <v>0</v>
      </c>
      <c r="F154" s="131">
        <f>F155+F177+F201+F223+F245+F266+F287+F308+F328</f>
        <v>8199898.7629630007</v>
      </c>
      <c r="G154" s="118"/>
      <c r="H154" s="89"/>
    </row>
    <row r="155" spans="1:8" x14ac:dyDescent="0.2">
      <c r="A155" s="79" t="s">
        <v>301</v>
      </c>
      <c r="B155" s="80" t="s">
        <v>26</v>
      </c>
      <c r="C155" s="132" t="s">
        <v>1759</v>
      </c>
      <c r="D155" s="133">
        <v>0</v>
      </c>
      <c r="E155" s="133">
        <v>0</v>
      </c>
      <c r="F155" s="134">
        <f>F156+F165+F170+F172+F174</f>
        <v>533652.28438299999</v>
      </c>
      <c r="G155" s="95"/>
      <c r="H155" s="90"/>
    </row>
    <row r="156" spans="1:8" x14ac:dyDescent="0.2">
      <c r="A156" s="81" t="s">
        <v>302</v>
      </c>
      <c r="B156" s="82" t="s">
        <v>261</v>
      </c>
      <c r="C156" s="135" t="s">
        <v>1759</v>
      </c>
      <c r="D156" s="136">
        <v>0</v>
      </c>
      <c r="E156" s="136">
        <v>0</v>
      </c>
      <c r="F156" s="137">
        <f>SUM(F157:F164)</f>
        <v>27239.238669999999</v>
      </c>
      <c r="G156" s="96"/>
      <c r="H156" s="91"/>
    </row>
    <row r="157" spans="1:8" x14ac:dyDescent="0.2">
      <c r="A157" s="83" t="s">
        <v>1775</v>
      </c>
      <c r="B157" s="84" t="s">
        <v>343</v>
      </c>
      <c r="C157" s="138" t="s">
        <v>264</v>
      </c>
      <c r="D157" s="139">
        <v>675</v>
      </c>
      <c r="E157" s="139">
        <v>9.7396700000000003</v>
      </c>
      <c r="F157" s="151">
        <f>E157*D157</f>
        <v>6574.2772500000001</v>
      </c>
      <c r="G157" s="109" t="s">
        <v>338</v>
      </c>
      <c r="H157" s="92"/>
    </row>
    <row r="158" spans="1:8" x14ac:dyDescent="0.2">
      <c r="A158" s="83" t="s">
        <v>1776</v>
      </c>
      <c r="B158" s="84" t="s">
        <v>309</v>
      </c>
      <c r="C158" s="138" t="s">
        <v>264</v>
      </c>
      <c r="D158" s="139">
        <v>88</v>
      </c>
      <c r="E158" s="139">
        <v>8.6000499999999995</v>
      </c>
      <c r="F158" s="151">
        <f t="shared" ref="F158:F176" si="13">E158*D158</f>
        <v>756.80439999999999</v>
      </c>
      <c r="G158" s="109" t="s">
        <v>338</v>
      </c>
      <c r="H158" s="92"/>
    </row>
    <row r="159" spans="1:8" x14ac:dyDescent="0.2">
      <c r="A159" s="83" t="s">
        <v>308</v>
      </c>
      <c r="B159" s="84" t="s">
        <v>346</v>
      </c>
      <c r="C159" s="138" t="s">
        <v>264</v>
      </c>
      <c r="D159" s="139">
        <v>50</v>
      </c>
      <c r="E159" s="139">
        <v>8.1294299999999993</v>
      </c>
      <c r="F159" s="151">
        <f t="shared" si="13"/>
        <v>406.47149999999999</v>
      </c>
      <c r="G159" s="109" t="s">
        <v>338</v>
      </c>
      <c r="H159" s="92"/>
    </row>
    <row r="160" spans="1:8" x14ac:dyDescent="0.2">
      <c r="A160" s="83" t="s">
        <v>310</v>
      </c>
      <c r="B160" s="84" t="s">
        <v>311</v>
      </c>
      <c r="C160" s="138" t="s">
        <v>264</v>
      </c>
      <c r="D160" s="139">
        <v>551</v>
      </c>
      <c r="E160" s="139">
        <v>7.6185299999999998</v>
      </c>
      <c r="F160" s="151">
        <f t="shared" si="13"/>
        <v>4197.8100299999996</v>
      </c>
      <c r="G160" s="109" t="s">
        <v>338</v>
      </c>
      <c r="H160" s="92"/>
    </row>
    <row r="161" spans="1:8" x14ac:dyDescent="0.2">
      <c r="A161" s="83" t="s">
        <v>312</v>
      </c>
      <c r="B161" s="84" t="s">
        <v>313</v>
      </c>
      <c r="C161" s="138" t="s">
        <v>264</v>
      </c>
      <c r="D161" s="139">
        <v>768</v>
      </c>
      <c r="E161" s="139">
        <v>7.2436699999999998</v>
      </c>
      <c r="F161" s="151">
        <f t="shared" si="13"/>
        <v>5563.1385599999994</v>
      </c>
      <c r="G161" s="109" t="s">
        <v>338</v>
      </c>
      <c r="H161" s="92"/>
    </row>
    <row r="162" spans="1:8" x14ac:dyDescent="0.2">
      <c r="A162" s="83" t="s">
        <v>314</v>
      </c>
      <c r="B162" s="84" t="s">
        <v>315</v>
      </c>
      <c r="C162" s="138" t="s">
        <v>264</v>
      </c>
      <c r="D162" s="139">
        <v>522</v>
      </c>
      <c r="E162" s="139">
        <v>7.2597699999999996</v>
      </c>
      <c r="F162" s="151">
        <f t="shared" si="13"/>
        <v>3789.5999399999996</v>
      </c>
      <c r="G162" s="109" t="s">
        <v>338</v>
      </c>
      <c r="H162" s="92"/>
    </row>
    <row r="163" spans="1:8" x14ac:dyDescent="0.2">
      <c r="A163" s="83" t="s">
        <v>316</v>
      </c>
      <c r="B163" s="84" t="s">
        <v>317</v>
      </c>
      <c r="C163" s="138" t="s">
        <v>264</v>
      </c>
      <c r="D163" s="139">
        <v>432</v>
      </c>
      <c r="E163" s="139">
        <v>8.1156299999999995</v>
      </c>
      <c r="F163" s="151">
        <f t="shared" si="13"/>
        <v>3505.9521599999998</v>
      </c>
      <c r="G163" s="109" t="s">
        <v>338</v>
      </c>
      <c r="H163" s="92"/>
    </row>
    <row r="164" spans="1:8" x14ac:dyDescent="0.2">
      <c r="A164" s="83" t="s">
        <v>318</v>
      </c>
      <c r="B164" s="84" t="s">
        <v>319</v>
      </c>
      <c r="C164" s="138" t="s">
        <v>264</v>
      </c>
      <c r="D164" s="139">
        <v>341</v>
      </c>
      <c r="E164" s="139">
        <v>7.1706300000000001</v>
      </c>
      <c r="F164" s="151">
        <f t="shared" si="13"/>
        <v>2445.1848300000001</v>
      </c>
      <c r="G164" s="109" t="s">
        <v>338</v>
      </c>
      <c r="H164" s="92"/>
    </row>
    <row r="165" spans="1:8" x14ac:dyDescent="0.2">
      <c r="A165" s="81" t="s">
        <v>320</v>
      </c>
      <c r="B165" s="82" t="s">
        <v>257</v>
      </c>
      <c r="C165" s="135" t="s">
        <v>1759</v>
      </c>
      <c r="D165" s="136">
        <v>0</v>
      </c>
      <c r="E165" s="136">
        <v>0</v>
      </c>
      <c r="F165" s="137">
        <f>SUM(F166:F169)</f>
        <v>126100.11743300001</v>
      </c>
      <c r="G165" s="96"/>
      <c r="H165" s="91"/>
    </row>
    <row r="166" spans="1:8" ht="31.5" x14ac:dyDescent="0.2">
      <c r="A166" s="83" t="s">
        <v>321</v>
      </c>
      <c r="B166" s="84" t="s">
        <v>322</v>
      </c>
      <c r="C166" s="138" t="s">
        <v>130</v>
      </c>
      <c r="D166" s="139">
        <v>97.100000000000009</v>
      </c>
      <c r="E166" s="139">
        <v>1.1424099999999999</v>
      </c>
      <c r="F166" s="151">
        <f t="shared" si="13"/>
        <v>110.928011</v>
      </c>
      <c r="G166" s="109" t="s">
        <v>76</v>
      </c>
      <c r="H166" s="92"/>
    </row>
    <row r="167" spans="1:8" ht="31.5" x14ac:dyDescent="0.2">
      <c r="A167" s="83" t="s">
        <v>324</v>
      </c>
      <c r="B167" s="84" t="s">
        <v>384</v>
      </c>
      <c r="C167" s="138" t="s">
        <v>130</v>
      </c>
      <c r="D167" s="139">
        <v>2.2000000000000002</v>
      </c>
      <c r="E167" s="139">
        <v>1.1424099999999999</v>
      </c>
      <c r="F167" s="151">
        <f t="shared" si="13"/>
        <v>2.5133019999999999</v>
      </c>
      <c r="G167" s="109" t="s">
        <v>76</v>
      </c>
      <c r="H167" s="92"/>
    </row>
    <row r="168" spans="1:8" ht="31.5" x14ac:dyDescent="0.2">
      <c r="A168" s="83" t="s">
        <v>325</v>
      </c>
      <c r="B168" s="84" t="s">
        <v>326</v>
      </c>
      <c r="C168" s="138" t="s">
        <v>130</v>
      </c>
      <c r="D168" s="139">
        <v>742.4</v>
      </c>
      <c r="E168" s="139">
        <v>159.79480000000001</v>
      </c>
      <c r="F168" s="151">
        <f t="shared" si="13"/>
        <v>118631.65952</v>
      </c>
      <c r="G168" s="109" t="s">
        <v>74</v>
      </c>
      <c r="H168" s="92" t="s">
        <v>75</v>
      </c>
    </row>
    <row r="169" spans="1:8" ht="31.5" x14ac:dyDescent="0.2">
      <c r="A169" s="83" t="s">
        <v>327</v>
      </c>
      <c r="B169" s="84" t="s">
        <v>1734</v>
      </c>
      <c r="C169" s="138" t="s">
        <v>130</v>
      </c>
      <c r="D169" s="139">
        <v>37.200000000000003</v>
      </c>
      <c r="E169" s="139">
        <v>197.71550000000002</v>
      </c>
      <c r="F169" s="151">
        <f t="shared" si="13"/>
        <v>7355.0166000000017</v>
      </c>
      <c r="G169" s="109" t="s">
        <v>74</v>
      </c>
      <c r="H169" s="92" t="s">
        <v>75</v>
      </c>
    </row>
    <row r="170" spans="1:8" x14ac:dyDescent="0.2">
      <c r="A170" s="81" t="s">
        <v>328</v>
      </c>
      <c r="B170" s="82" t="s">
        <v>280</v>
      </c>
      <c r="C170" s="135" t="s">
        <v>1759</v>
      </c>
      <c r="D170" s="136">
        <v>0</v>
      </c>
      <c r="E170" s="136">
        <v>0</v>
      </c>
      <c r="F170" s="137">
        <f>F171</f>
        <v>6553.3956000000007</v>
      </c>
      <c r="G170" s="96"/>
      <c r="H170" s="91"/>
    </row>
    <row r="171" spans="1:8" ht="31.5" x14ac:dyDescent="0.2">
      <c r="A171" s="83" t="s">
        <v>329</v>
      </c>
      <c r="B171" s="84" t="s">
        <v>1777</v>
      </c>
      <c r="C171" s="138" t="s">
        <v>251</v>
      </c>
      <c r="D171" s="139">
        <v>10.3</v>
      </c>
      <c r="E171" s="139">
        <v>636.25200000000007</v>
      </c>
      <c r="F171" s="151">
        <f t="shared" si="13"/>
        <v>6553.3956000000007</v>
      </c>
      <c r="G171" s="109" t="s">
        <v>78</v>
      </c>
      <c r="H171" s="92"/>
    </row>
    <row r="172" spans="1:8" x14ac:dyDescent="0.2">
      <c r="A172" s="81" t="s">
        <v>330</v>
      </c>
      <c r="B172" s="82" t="s">
        <v>331</v>
      </c>
      <c r="C172" s="135" t="s">
        <v>1759</v>
      </c>
      <c r="D172" s="136">
        <v>0</v>
      </c>
      <c r="E172" s="136">
        <v>0</v>
      </c>
      <c r="F172" s="137">
        <f>F173</f>
        <v>145074.53268</v>
      </c>
      <c r="G172" s="96"/>
      <c r="H172" s="91"/>
    </row>
    <row r="173" spans="1:8" x14ac:dyDescent="0.2">
      <c r="A173" s="83" t="s">
        <v>332</v>
      </c>
      <c r="B173" s="84" t="s">
        <v>1911</v>
      </c>
      <c r="C173" s="138" t="s">
        <v>130</v>
      </c>
      <c r="D173" s="139">
        <v>710.6</v>
      </c>
      <c r="E173" s="139">
        <v>204.15780000000001</v>
      </c>
      <c r="F173" s="151">
        <f t="shared" si="13"/>
        <v>145074.53268</v>
      </c>
      <c r="G173" s="109" t="s">
        <v>339</v>
      </c>
      <c r="H173" s="92"/>
    </row>
    <row r="174" spans="1:8" x14ac:dyDescent="0.2">
      <c r="A174" s="81" t="s">
        <v>333</v>
      </c>
      <c r="B174" s="82" t="s">
        <v>295</v>
      </c>
      <c r="C174" s="135" t="s">
        <v>1759</v>
      </c>
      <c r="D174" s="136">
        <v>0</v>
      </c>
      <c r="E174" s="136">
        <v>0</v>
      </c>
      <c r="F174" s="137">
        <f>SUM(F175:F176)</f>
        <v>228685</v>
      </c>
      <c r="G174" s="96"/>
      <c r="H174" s="91"/>
    </row>
    <row r="175" spans="1:8" x14ac:dyDescent="0.2">
      <c r="A175" s="83" t="s">
        <v>334</v>
      </c>
      <c r="B175" s="84" t="s">
        <v>335</v>
      </c>
      <c r="C175" s="138" t="s">
        <v>130</v>
      </c>
      <c r="D175" s="139">
        <v>898.1</v>
      </c>
      <c r="E175" s="139">
        <v>250</v>
      </c>
      <c r="F175" s="151">
        <f t="shared" si="13"/>
        <v>224525</v>
      </c>
      <c r="G175" s="109"/>
      <c r="H175" s="92"/>
    </row>
    <row r="176" spans="1:8" x14ac:dyDescent="0.2">
      <c r="A176" s="83" t="s">
        <v>336</v>
      </c>
      <c r="B176" s="84" t="s">
        <v>337</v>
      </c>
      <c r="C176" s="138" t="s">
        <v>109</v>
      </c>
      <c r="D176" s="139">
        <v>26</v>
      </c>
      <c r="E176" s="139">
        <v>160</v>
      </c>
      <c r="F176" s="151">
        <f t="shared" si="13"/>
        <v>4160</v>
      </c>
      <c r="G176" s="109"/>
      <c r="H176" s="92"/>
    </row>
    <row r="177" spans="1:8" x14ac:dyDescent="0.2">
      <c r="A177" s="79" t="s">
        <v>340</v>
      </c>
      <c r="B177" s="80" t="s">
        <v>1778</v>
      </c>
      <c r="C177" s="132" t="s">
        <v>1759</v>
      </c>
      <c r="D177" s="133">
        <v>0</v>
      </c>
      <c r="E177" s="133">
        <v>0</v>
      </c>
      <c r="F177" s="134">
        <f>F178+F187+F195+F198</f>
        <v>816756.722649</v>
      </c>
      <c r="G177" s="95"/>
      <c r="H177" s="90"/>
    </row>
    <row r="178" spans="1:8" x14ac:dyDescent="0.2">
      <c r="A178" s="81" t="s">
        <v>341</v>
      </c>
      <c r="B178" s="82" t="s">
        <v>261</v>
      </c>
      <c r="C178" s="135" t="s">
        <v>1759</v>
      </c>
      <c r="D178" s="136">
        <v>0</v>
      </c>
      <c r="E178" s="136">
        <v>0</v>
      </c>
      <c r="F178" s="137">
        <f>SUM(F179:F186)</f>
        <v>116766.47775999999</v>
      </c>
      <c r="G178" s="96"/>
      <c r="H178" s="91"/>
    </row>
    <row r="179" spans="1:8" x14ac:dyDescent="0.2">
      <c r="A179" s="83" t="s">
        <v>342</v>
      </c>
      <c r="B179" s="84" t="s">
        <v>343</v>
      </c>
      <c r="C179" s="138" t="s">
        <v>264</v>
      </c>
      <c r="D179" s="139">
        <v>3643</v>
      </c>
      <c r="E179" s="139">
        <v>9.7396700000000003</v>
      </c>
      <c r="F179" s="151">
        <f t="shared" ref="F179:F200" si="14">E179*D179</f>
        <v>35481.617810000003</v>
      </c>
      <c r="G179" s="109" t="s">
        <v>77</v>
      </c>
      <c r="H179" s="92"/>
    </row>
    <row r="180" spans="1:8" x14ac:dyDescent="0.2">
      <c r="A180" s="83" t="s">
        <v>344</v>
      </c>
      <c r="B180" s="84" t="s">
        <v>309</v>
      </c>
      <c r="C180" s="138" t="s">
        <v>264</v>
      </c>
      <c r="D180" s="139">
        <v>855</v>
      </c>
      <c r="E180" s="139">
        <v>8.6000499999999995</v>
      </c>
      <c r="F180" s="151">
        <f t="shared" si="14"/>
        <v>7353.0427499999996</v>
      </c>
      <c r="G180" s="109" t="s">
        <v>77</v>
      </c>
      <c r="H180" s="92"/>
    </row>
    <row r="181" spans="1:8" x14ac:dyDescent="0.2">
      <c r="A181" s="83" t="s">
        <v>345</v>
      </c>
      <c r="B181" s="84" t="s">
        <v>346</v>
      </c>
      <c r="C181" s="138" t="s">
        <v>264</v>
      </c>
      <c r="D181" s="139">
        <v>1125</v>
      </c>
      <c r="E181" s="139">
        <v>8.9247300000000003</v>
      </c>
      <c r="F181" s="151">
        <f t="shared" si="14"/>
        <v>10040.321250000001</v>
      </c>
      <c r="G181" s="109" t="s">
        <v>77</v>
      </c>
      <c r="H181" s="92"/>
    </row>
    <row r="182" spans="1:8" x14ac:dyDescent="0.2">
      <c r="A182" s="83" t="s">
        <v>347</v>
      </c>
      <c r="B182" s="84" t="s">
        <v>311</v>
      </c>
      <c r="C182" s="138" t="s">
        <v>264</v>
      </c>
      <c r="D182" s="139">
        <v>1637</v>
      </c>
      <c r="E182" s="139">
        <v>7.6185299999999998</v>
      </c>
      <c r="F182" s="151">
        <f t="shared" si="14"/>
        <v>12471.53361</v>
      </c>
      <c r="G182" s="109" t="s">
        <v>77</v>
      </c>
      <c r="H182" s="92"/>
    </row>
    <row r="183" spans="1:8" x14ac:dyDescent="0.2">
      <c r="A183" s="83" t="s">
        <v>348</v>
      </c>
      <c r="B183" s="84" t="s">
        <v>313</v>
      </c>
      <c r="C183" s="138" t="s">
        <v>264</v>
      </c>
      <c r="D183" s="139">
        <v>3020</v>
      </c>
      <c r="E183" s="139">
        <v>7.2436699999999998</v>
      </c>
      <c r="F183" s="151">
        <f t="shared" si="14"/>
        <v>21875.883399999999</v>
      </c>
      <c r="G183" s="109" t="s">
        <v>77</v>
      </c>
      <c r="H183" s="92"/>
    </row>
    <row r="184" spans="1:8" x14ac:dyDescent="0.2">
      <c r="A184" s="83" t="s">
        <v>349</v>
      </c>
      <c r="B184" s="84" t="s">
        <v>315</v>
      </c>
      <c r="C184" s="138" t="s">
        <v>264</v>
      </c>
      <c r="D184" s="139">
        <v>1621</v>
      </c>
      <c r="E184" s="139">
        <v>7.2597699999999996</v>
      </c>
      <c r="F184" s="151">
        <f t="shared" si="14"/>
        <v>11768.087169999999</v>
      </c>
      <c r="G184" s="109" t="s">
        <v>77</v>
      </c>
      <c r="H184" s="92"/>
    </row>
    <row r="185" spans="1:8" x14ac:dyDescent="0.2">
      <c r="A185" s="83" t="s">
        <v>350</v>
      </c>
      <c r="B185" s="84" t="s">
        <v>351</v>
      </c>
      <c r="C185" s="138" t="s">
        <v>264</v>
      </c>
      <c r="D185" s="139">
        <v>1417</v>
      </c>
      <c r="E185" s="139">
        <v>7.1706300000000001</v>
      </c>
      <c r="F185" s="151">
        <f t="shared" si="14"/>
        <v>10160.782709999999</v>
      </c>
      <c r="G185" s="109" t="s">
        <v>77</v>
      </c>
      <c r="H185" s="92"/>
    </row>
    <row r="186" spans="1:8" x14ac:dyDescent="0.2">
      <c r="A186" s="83" t="s">
        <v>352</v>
      </c>
      <c r="B186" s="84" t="s">
        <v>319</v>
      </c>
      <c r="C186" s="138" t="s">
        <v>264</v>
      </c>
      <c r="D186" s="139">
        <v>1062</v>
      </c>
      <c r="E186" s="139">
        <v>7.1706300000000001</v>
      </c>
      <c r="F186" s="151">
        <f t="shared" si="14"/>
        <v>7615.2090600000001</v>
      </c>
      <c r="G186" s="109" t="s">
        <v>77</v>
      </c>
      <c r="H186" s="92"/>
    </row>
    <row r="187" spans="1:8" x14ac:dyDescent="0.2">
      <c r="A187" s="81" t="s">
        <v>353</v>
      </c>
      <c r="B187" s="82" t="s">
        <v>257</v>
      </c>
      <c r="C187" s="135" t="s">
        <v>1759</v>
      </c>
      <c r="D187" s="136">
        <v>0</v>
      </c>
      <c r="E187" s="136">
        <v>0</v>
      </c>
      <c r="F187" s="137">
        <f>SUM(F188:F194)</f>
        <v>330176.44688900001</v>
      </c>
      <c r="G187" s="96"/>
      <c r="H187" s="91"/>
    </row>
    <row r="188" spans="1:8" ht="31.5" x14ac:dyDescent="0.2">
      <c r="A188" s="83" t="s">
        <v>354</v>
      </c>
      <c r="B188" s="84" t="s">
        <v>355</v>
      </c>
      <c r="C188" s="138" t="s">
        <v>130</v>
      </c>
      <c r="D188" s="139">
        <v>1757.6000000000001</v>
      </c>
      <c r="E188" s="139">
        <v>100.18364</v>
      </c>
      <c r="F188" s="151">
        <f t="shared" si="14"/>
        <v>176082.76566400001</v>
      </c>
      <c r="G188" s="109" t="s">
        <v>74</v>
      </c>
      <c r="H188" s="92" t="s">
        <v>75</v>
      </c>
    </row>
    <row r="189" spans="1:8" ht="31.5" x14ac:dyDescent="0.2">
      <c r="A189" s="83" t="s">
        <v>356</v>
      </c>
      <c r="B189" s="84" t="s">
        <v>357</v>
      </c>
      <c r="C189" s="138" t="s">
        <v>130</v>
      </c>
      <c r="D189" s="139">
        <v>1116</v>
      </c>
      <c r="E189" s="139">
        <v>71.550110000000004</v>
      </c>
      <c r="F189" s="151">
        <f t="shared" si="14"/>
        <v>79849.922760000001</v>
      </c>
      <c r="G189" s="109" t="s">
        <v>74</v>
      </c>
      <c r="H189" s="92" t="s">
        <v>75</v>
      </c>
    </row>
    <row r="190" spans="1:8" ht="31.5" x14ac:dyDescent="0.2">
      <c r="A190" s="83" t="s">
        <v>358</v>
      </c>
      <c r="B190" s="84" t="s">
        <v>323</v>
      </c>
      <c r="C190" s="138" t="s">
        <v>130</v>
      </c>
      <c r="D190" s="139">
        <v>803.4</v>
      </c>
      <c r="E190" s="139">
        <v>0.79140999999999995</v>
      </c>
      <c r="F190" s="151">
        <f t="shared" si="14"/>
        <v>635.81879399999991</v>
      </c>
      <c r="G190" s="109" t="s">
        <v>72</v>
      </c>
      <c r="H190" s="92"/>
    </row>
    <row r="191" spans="1:8" ht="31.5" x14ac:dyDescent="0.2">
      <c r="A191" s="83" t="s">
        <v>359</v>
      </c>
      <c r="B191" s="84" t="s">
        <v>322</v>
      </c>
      <c r="C191" s="138" t="s">
        <v>130</v>
      </c>
      <c r="D191" s="139">
        <v>421.8</v>
      </c>
      <c r="E191" s="139">
        <v>1.1424099999999999</v>
      </c>
      <c r="F191" s="151">
        <f t="shared" si="14"/>
        <v>481.868538</v>
      </c>
      <c r="G191" s="109" t="s">
        <v>72</v>
      </c>
      <c r="H191" s="92"/>
    </row>
    <row r="192" spans="1:8" ht="31.5" x14ac:dyDescent="0.2">
      <c r="A192" s="83" t="s">
        <v>360</v>
      </c>
      <c r="B192" s="84" t="s">
        <v>361</v>
      </c>
      <c r="C192" s="138" t="s">
        <v>130</v>
      </c>
      <c r="D192" s="139">
        <v>529</v>
      </c>
      <c r="E192" s="139">
        <v>4.1662099999999995</v>
      </c>
      <c r="F192" s="151">
        <f t="shared" si="14"/>
        <v>2203.9250899999997</v>
      </c>
      <c r="G192" s="109" t="s">
        <v>72</v>
      </c>
      <c r="H192" s="92"/>
    </row>
    <row r="193" spans="1:8" ht="31.5" x14ac:dyDescent="0.2">
      <c r="A193" s="83" t="s">
        <v>362</v>
      </c>
      <c r="B193" s="84" t="s">
        <v>363</v>
      </c>
      <c r="C193" s="138" t="s">
        <v>130</v>
      </c>
      <c r="D193" s="139">
        <v>887.27</v>
      </c>
      <c r="E193" s="139">
        <v>79.897300000000001</v>
      </c>
      <c r="F193" s="151">
        <f t="shared" si="14"/>
        <v>70890.477371000001</v>
      </c>
      <c r="G193" s="109"/>
      <c r="H193" s="92" t="s">
        <v>79</v>
      </c>
    </row>
    <row r="194" spans="1:8" ht="31.5" x14ac:dyDescent="0.2">
      <c r="A194" s="83" t="s">
        <v>364</v>
      </c>
      <c r="B194" s="84" t="s">
        <v>384</v>
      </c>
      <c r="C194" s="138" t="s">
        <v>130</v>
      </c>
      <c r="D194" s="139">
        <v>19.2</v>
      </c>
      <c r="E194" s="139">
        <v>1.6494099999999998</v>
      </c>
      <c r="F194" s="151">
        <f t="shared" si="14"/>
        <v>31.668671999999994</v>
      </c>
      <c r="G194" s="109" t="s">
        <v>72</v>
      </c>
      <c r="H194" s="92"/>
    </row>
    <row r="195" spans="1:8" x14ac:dyDescent="0.2">
      <c r="A195" s="81" t="s">
        <v>365</v>
      </c>
      <c r="B195" s="82" t="s">
        <v>280</v>
      </c>
      <c r="C195" s="135" t="s">
        <v>1759</v>
      </c>
      <c r="D195" s="136">
        <v>0</v>
      </c>
      <c r="E195" s="136">
        <v>0</v>
      </c>
      <c r="F195" s="137">
        <f>SUM(F196:F197)</f>
        <v>146556.29800000004</v>
      </c>
      <c r="G195" s="96"/>
      <c r="H195" s="91"/>
    </row>
    <row r="196" spans="1:8" ht="31.5" x14ac:dyDescent="0.2">
      <c r="A196" s="83" t="s">
        <v>1779</v>
      </c>
      <c r="B196" s="84" t="s">
        <v>1777</v>
      </c>
      <c r="C196" s="138" t="s">
        <v>251</v>
      </c>
      <c r="D196" s="139">
        <v>175.70000000000002</v>
      </c>
      <c r="E196" s="139">
        <v>636.25200000000007</v>
      </c>
      <c r="F196" s="151">
        <f t="shared" si="14"/>
        <v>111789.47640000003</v>
      </c>
      <c r="G196" s="109" t="s">
        <v>78</v>
      </c>
      <c r="H196" s="92"/>
    </row>
    <row r="197" spans="1:8" ht="31.5" x14ac:dyDescent="0.2">
      <c r="A197" s="83" t="s">
        <v>1780</v>
      </c>
      <c r="B197" s="84" t="s">
        <v>2041</v>
      </c>
      <c r="C197" s="138" t="s">
        <v>130</v>
      </c>
      <c r="D197" s="139">
        <v>711.56000000000006</v>
      </c>
      <c r="E197" s="139">
        <v>48.86</v>
      </c>
      <c r="F197" s="151">
        <f t="shared" si="14"/>
        <v>34766.821600000003</v>
      </c>
      <c r="G197" s="109"/>
      <c r="H197" s="92"/>
    </row>
    <row r="198" spans="1:8" x14ac:dyDescent="0.2">
      <c r="A198" s="81" t="s">
        <v>366</v>
      </c>
      <c r="B198" s="82" t="s">
        <v>295</v>
      </c>
      <c r="C198" s="135" t="s">
        <v>1759</v>
      </c>
      <c r="D198" s="136">
        <v>0</v>
      </c>
      <c r="E198" s="136">
        <v>0</v>
      </c>
      <c r="F198" s="137">
        <f>SUM(F199:F200)</f>
        <v>223257.5</v>
      </c>
      <c r="G198" s="96"/>
      <c r="H198" s="91"/>
    </row>
    <row r="199" spans="1:8" x14ac:dyDescent="0.2">
      <c r="A199" s="83" t="s">
        <v>367</v>
      </c>
      <c r="B199" s="84" t="s">
        <v>335</v>
      </c>
      <c r="C199" s="138" t="s">
        <v>130</v>
      </c>
      <c r="D199" s="139">
        <v>887.27</v>
      </c>
      <c r="E199" s="139">
        <v>250</v>
      </c>
      <c r="F199" s="151">
        <f t="shared" si="14"/>
        <v>221817.5</v>
      </c>
      <c r="G199" s="109"/>
      <c r="H199" s="92"/>
    </row>
    <row r="200" spans="1:8" ht="31.5" x14ac:dyDescent="0.2">
      <c r="A200" s="123" t="s">
        <v>1781</v>
      </c>
      <c r="B200" s="99" t="s">
        <v>337</v>
      </c>
      <c r="C200" s="155" t="s">
        <v>109</v>
      </c>
      <c r="D200" s="156">
        <v>9</v>
      </c>
      <c r="E200" s="139">
        <v>160</v>
      </c>
      <c r="F200" s="151">
        <f t="shared" si="14"/>
        <v>1440</v>
      </c>
      <c r="G200" s="109"/>
      <c r="H200" s="100"/>
    </row>
    <row r="201" spans="1:8" x14ac:dyDescent="0.2">
      <c r="A201" s="79" t="s">
        <v>368</v>
      </c>
      <c r="B201" s="80" t="s">
        <v>1782</v>
      </c>
      <c r="C201" s="132" t="s">
        <v>1759</v>
      </c>
      <c r="D201" s="133">
        <v>0</v>
      </c>
      <c r="E201" s="133">
        <v>0</v>
      </c>
      <c r="F201" s="134">
        <f>F202+F211+F217+F220</f>
        <v>545370.98300500005</v>
      </c>
      <c r="G201" s="95"/>
      <c r="H201" s="90"/>
    </row>
    <row r="202" spans="1:8" x14ac:dyDescent="0.2">
      <c r="A202" s="81" t="s">
        <v>369</v>
      </c>
      <c r="B202" s="82" t="s">
        <v>261</v>
      </c>
      <c r="C202" s="135" t="s">
        <v>1759</v>
      </c>
      <c r="D202" s="136">
        <v>0</v>
      </c>
      <c r="E202" s="136">
        <v>0</v>
      </c>
      <c r="F202" s="137">
        <f>SUM(F203:F210)</f>
        <v>104369.41884</v>
      </c>
      <c r="G202" s="96"/>
      <c r="H202" s="91"/>
    </row>
    <row r="203" spans="1:8" x14ac:dyDescent="0.2">
      <c r="A203" s="83" t="s">
        <v>370</v>
      </c>
      <c r="B203" s="84" t="s">
        <v>343</v>
      </c>
      <c r="C203" s="138" t="s">
        <v>264</v>
      </c>
      <c r="D203" s="139">
        <v>3305</v>
      </c>
      <c r="E203" s="139">
        <v>9.7396700000000003</v>
      </c>
      <c r="F203" s="151">
        <f t="shared" ref="F203:F216" si="15">E203*D203</f>
        <v>32189.609350000002</v>
      </c>
      <c r="G203" s="109" t="s">
        <v>77</v>
      </c>
      <c r="H203" s="92"/>
    </row>
    <row r="204" spans="1:8" x14ac:dyDescent="0.2">
      <c r="A204" s="83" t="s">
        <v>371</v>
      </c>
      <c r="B204" s="84" t="s">
        <v>309</v>
      </c>
      <c r="C204" s="138" t="s">
        <v>264</v>
      </c>
      <c r="D204" s="139">
        <v>799</v>
      </c>
      <c r="E204" s="139">
        <v>8.6000499999999995</v>
      </c>
      <c r="F204" s="151">
        <f t="shared" si="15"/>
        <v>6871.43995</v>
      </c>
      <c r="G204" s="109" t="s">
        <v>77</v>
      </c>
      <c r="H204" s="92"/>
    </row>
    <row r="205" spans="1:8" x14ac:dyDescent="0.2">
      <c r="A205" s="83" t="s">
        <v>372</v>
      </c>
      <c r="B205" s="84" t="s">
        <v>346</v>
      </c>
      <c r="C205" s="138" t="s">
        <v>264</v>
      </c>
      <c r="D205" s="139">
        <v>1069</v>
      </c>
      <c r="E205" s="139">
        <v>8.9247300000000003</v>
      </c>
      <c r="F205" s="151">
        <f t="shared" si="15"/>
        <v>9540.5363699999998</v>
      </c>
      <c r="G205" s="109" t="s">
        <v>77</v>
      </c>
      <c r="H205" s="92"/>
    </row>
    <row r="206" spans="1:8" x14ac:dyDescent="0.2">
      <c r="A206" s="83" t="s">
        <v>373</v>
      </c>
      <c r="B206" s="84" t="s">
        <v>311</v>
      </c>
      <c r="C206" s="138" t="s">
        <v>264</v>
      </c>
      <c r="D206" s="139">
        <v>1401</v>
      </c>
      <c r="E206" s="139">
        <v>7.6185299999999998</v>
      </c>
      <c r="F206" s="151">
        <f t="shared" si="15"/>
        <v>10673.560529999999</v>
      </c>
      <c r="G206" s="109" t="s">
        <v>77</v>
      </c>
      <c r="H206" s="92"/>
    </row>
    <row r="207" spans="1:8" x14ac:dyDescent="0.2">
      <c r="A207" s="83" t="s">
        <v>374</v>
      </c>
      <c r="B207" s="84" t="s">
        <v>313</v>
      </c>
      <c r="C207" s="138" t="s">
        <v>264</v>
      </c>
      <c r="D207" s="139">
        <v>2677</v>
      </c>
      <c r="E207" s="139">
        <v>7.2436699999999998</v>
      </c>
      <c r="F207" s="151">
        <f t="shared" si="15"/>
        <v>19391.30459</v>
      </c>
      <c r="G207" s="109" t="s">
        <v>77</v>
      </c>
      <c r="H207" s="92"/>
    </row>
    <row r="208" spans="1:8" x14ac:dyDescent="0.2">
      <c r="A208" s="83" t="s">
        <v>375</v>
      </c>
      <c r="B208" s="84" t="s">
        <v>315</v>
      </c>
      <c r="C208" s="138" t="s">
        <v>264</v>
      </c>
      <c r="D208" s="139">
        <v>1406</v>
      </c>
      <c r="E208" s="139">
        <v>7.2597699999999996</v>
      </c>
      <c r="F208" s="151">
        <f t="shared" si="15"/>
        <v>10207.23662</v>
      </c>
      <c r="G208" s="109" t="s">
        <v>77</v>
      </c>
      <c r="H208" s="92"/>
    </row>
    <row r="209" spans="1:8" x14ac:dyDescent="0.2">
      <c r="A209" s="83" t="s">
        <v>376</v>
      </c>
      <c r="B209" s="84" t="s">
        <v>351</v>
      </c>
      <c r="C209" s="138" t="s">
        <v>264</v>
      </c>
      <c r="D209" s="139">
        <v>1239</v>
      </c>
      <c r="E209" s="139">
        <v>7.1706300000000001</v>
      </c>
      <c r="F209" s="151">
        <f t="shared" si="15"/>
        <v>8884.41057</v>
      </c>
      <c r="G209" s="109" t="s">
        <v>77</v>
      </c>
      <c r="H209" s="92"/>
    </row>
    <row r="210" spans="1:8" x14ac:dyDescent="0.2">
      <c r="A210" s="83" t="s">
        <v>377</v>
      </c>
      <c r="B210" s="84" t="s">
        <v>319</v>
      </c>
      <c r="C210" s="138" t="s">
        <v>264</v>
      </c>
      <c r="D210" s="139">
        <v>922</v>
      </c>
      <c r="E210" s="139">
        <v>7.1706300000000001</v>
      </c>
      <c r="F210" s="151">
        <f t="shared" si="15"/>
        <v>6611.3208599999998</v>
      </c>
      <c r="G210" s="109" t="s">
        <v>77</v>
      </c>
      <c r="H210" s="92"/>
    </row>
    <row r="211" spans="1:8" x14ac:dyDescent="0.2">
      <c r="A211" s="81" t="s">
        <v>378</v>
      </c>
      <c r="B211" s="82" t="s">
        <v>257</v>
      </c>
      <c r="C211" s="135" t="s">
        <v>1759</v>
      </c>
      <c r="D211" s="136">
        <v>0</v>
      </c>
      <c r="E211" s="136">
        <v>0</v>
      </c>
      <c r="F211" s="137">
        <f>SUM(F212:F216)</f>
        <v>74205.920364999998</v>
      </c>
      <c r="G211" s="96"/>
      <c r="H211" s="91"/>
    </row>
    <row r="212" spans="1:8" ht="31.5" x14ac:dyDescent="0.2">
      <c r="A212" s="83" t="s">
        <v>379</v>
      </c>
      <c r="B212" s="84" t="s">
        <v>323</v>
      </c>
      <c r="C212" s="138" t="s">
        <v>130</v>
      </c>
      <c r="D212" s="139">
        <v>806.80000000000007</v>
      </c>
      <c r="E212" s="139">
        <v>0.79140999999999995</v>
      </c>
      <c r="F212" s="151">
        <f t="shared" si="15"/>
        <v>638.50958800000001</v>
      </c>
      <c r="G212" s="109" t="s">
        <v>389</v>
      </c>
      <c r="H212" s="92"/>
    </row>
    <row r="213" spans="1:8" ht="31.5" x14ac:dyDescent="0.2">
      <c r="A213" s="83" t="s">
        <v>380</v>
      </c>
      <c r="B213" s="84" t="s">
        <v>322</v>
      </c>
      <c r="C213" s="138" t="s">
        <v>130</v>
      </c>
      <c r="D213" s="139">
        <v>373.40000000000003</v>
      </c>
      <c r="E213" s="139">
        <v>1.1424099999999999</v>
      </c>
      <c r="F213" s="151">
        <f t="shared" si="15"/>
        <v>426.57589400000001</v>
      </c>
      <c r="G213" s="109" t="s">
        <v>416</v>
      </c>
      <c r="H213" s="92"/>
    </row>
    <row r="214" spans="1:8" ht="31.5" x14ac:dyDescent="0.2">
      <c r="A214" s="83" t="s">
        <v>381</v>
      </c>
      <c r="B214" s="84" t="s">
        <v>361</v>
      </c>
      <c r="C214" s="138" t="s">
        <v>130</v>
      </c>
      <c r="D214" s="139">
        <v>532.9</v>
      </c>
      <c r="E214" s="139">
        <v>4.1662099999999995</v>
      </c>
      <c r="F214" s="151">
        <f t="shared" si="15"/>
        <v>2220.1733089999998</v>
      </c>
      <c r="G214" s="109" t="s">
        <v>390</v>
      </c>
      <c r="H214" s="92"/>
    </row>
    <row r="215" spans="1:8" x14ac:dyDescent="0.2">
      <c r="A215" s="83" t="s">
        <v>382</v>
      </c>
      <c r="B215" s="84" t="s">
        <v>363</v>
      </c>
      <c r="C215" s="138" t="s">
        <v>130</v>
      </c>
      <c r="D215" s="139">
        <v>887.27</v>
      </c>
      <c r="E215" s="139">
        <v>79.897300000000001</v>
      </c>
      <c r="F215" s="151">
        <f t="shared" si="15"/>
        <v>70890.477371000001</v>
      </c>
      <c r="G215" s="109"/>
      <c r="H215" s="92" t="s">
        <v>79</v>
      </c>
    </row>
    <row r="216" spans="1:8" ht="31.5" x14ac:dyDescent="0.2">
      <c r="A216" s="83" t="s">
        <v>383</v>
      </c>
      <c r="B216" s="84" t="s">
        <v>384</v>
      </c>
      <c r="C216" s="138" t="s">
        <v>130</v>
      </c>
      <c r="D216" s="139">
        <v>18.3</v>
      </c>
      <c r="E216" s="139">
        <v>1.6494099999999998</v>
      </c>
      <c r="F216" s="151">
        <f t="shared" si="15"/>
        <v>30.184202999999997</v>
      </c>
      <c r="G216" s="109" t="s">
        <v>391</v>
      </c>
      <c r="H216" s="92"/>
    </row>
    <row r="217" spans="1:8" x14ac:dyDescent="0.2">
      <c r="A217" s="81" t="s">
        <v>385</v>
      </c>
      <c r="B217" s="82" t="s">
        <v>280</v>
      </c>
      <c r="C217" s="135" t="s">
        <v>1759</v>
      </c>
      <c r="D217" s="136">
        <v>0</v>
      </c>
      <c r="E217" s="136">
        <v>0</v>
      </c>
      <c r="F217" s="137">
        <f>SUM(F218:F219)</f>
        <v>143858.14380000002</v>
      </c>
      <c r="G217" s="96"/>
      <c r="H217" s="91"/>
    </row>
    <row r="218" spans="1:8" ht="31.5" x14ac:dyDescent="0.2">
      <c r="A218" s="83" t="s">
        <v>1783</v>
      </c>
      <c r="B218" s="84" t="s">
        <v>1777</v>
      </c>
      <c r="C218" s="138" t="s">
        <v>251</v>
      </c>
      <c r="D218" s="139">
        <v>171.5</v>
      </c>
      <c r="E218" s="139">
        <v>636.25200000000007</v>
      </c>
      <c r="F218" s="151">
        <f>E218*D218</f>
        <v>109117.21800000001</v>
      </c>
      <c r="G218" s="109" t="s">
        <v>73</v>
      </c>
      <c r="H218" s="92"/>
    </row>
    <row r="219" spans="1:8" ht="31.5" x14ac:dyDescent="0.2">
      <c r="A219" s="83" t="s">
        <v>2042</v>
      </c>
      <c r="B219" s="84" t="s">
        <v>2041</v>
      </c>
      <c r="C219" s="138" t="s">
        <v>130</v>
      </c>
      <c r="D219" s="139">
        <v>711.03</v>
      </c>
      <c r="E219" s="139">
        <v>48.86</v>
      </c>
      <c r="F219" s="151">
        <f>E219*D219</f>
        <v>34740.925799999997</v>
      </c>
      <c r="G219" s="109"/>
      <c r="H219" s="92"/>
    </row>
    <row r="220" spans="1:8" x14ac:dyDescent="0.2">
      <c r="A220" s="81" t="s">
        <v>386</v>
      </c>
      <c r="B220" s="82" t="s">
        <v>295</v>
      </c>
      <c r="C220" s="135" t="s">
        <v>1759</v>
      </c>
      <c r="D220" s="136">
        <v>0</v>
      </c>
      <c r="E220" s="136">
        <v>0</v>
      </c>
      <c r="F220" s="137">
        <f>SUM(F221:F222)</f>
        <v>222937.5</v>
      </c>
      <c r="G220" s="96"/>
      <c r="H220" s="91"/>
    </row>
    <row r="221" spans="1:8" x14ac:dyDescent="0.2">
      <c r="A221" s="83" t="s">
        <v>387</v>
      </c>
      <c r="B221" s="84" t="s">
        <v>335</v>
      </c>
      <c r="C221" s="138" t="s">
        <v>130</v>
      </c>
      <c r="D221" s="139">
        <v>887.27</v>
      </c>
      <c r="E221" s="139">
        <v>250</v>
      </c>
      <c r="F221" s="151">
        <f>E221*D221</f>
        <v>221817.5</v>
      </c>
      <c r="G221" s="109"/>
      <c r="H221" s="92"/>
    </row>
    <row r="222" spans="1:8" ht="31.5" x14ac:dyDescent="0.2">
      <c r="A222" s="83" t="s">
        <v>388</v>
      </c>
      <c r="B222" s="84" t="s">
        <v>337</v>
      </c>
      <c r="C222" s="138" t="s">
        <v>109</v>
      </c>
      <c r="D222" s="139">
        <v>7</v>
      </c>
      <c r="E222" s="139">
        <v>160</v>
      </c>
      <c r="F222" s="151">
        <f>E222*D222</f>
        <v>1120</v>
      </c>
      <c r="G222" s="109"/>
      <c r="H222" s="92"/>
    </row>
    <row r="223" spans="1:8" x14ac:dyDescent="0.2">
      <c r="A223" s="79" t="s">
        <v>392</v>
      </c>
      <c r="B223" s="80" t="s">
        <v>2043</v>
      </c>
      <c r="C223" s="132" t="s">
        <v>1759</v>
      </c>
      <c r="D223" s="133">
        <v>0</v>
      </c>
      <c r="E223" s="133">
        <v>0</v>
      </c>
      <c r="F223" s="134">
        <f>F224+F233+F239+F242</f>
        <v>564685.09986299998</v>
      </c>
      <c r="G223" s="95"/>
      <c r="H223" s="90"/>
    </row>
    <row r="224" spans="1:8" x14ac:dyDescent="0.2">
      <c r="A224" s="81" t="s">
        <v>393</v>
      </c>
      <c r="B224" s="82" t="s">
        <v>261</v>
      </c>
      <c r="C224" s="135" t="s">
        <v>1759</v>
      </c>
      <c r="D224" s="136">
        <v>0</v>
      </c>
      <c r="E224" s="136">
        <v>0</v>
      </c>
      <c r="F224" s="137">
        <f>SUM(F225:F232)</f>
        <v>115855.96741000001</v>
      </c>
      <c r="G224" s="96"/>
      <c r="H224" s="91"/>
    </row>
    <row r="225" spans="1:8" x14ac:dyDescent="0.2">
      <c r="A225" s="83" t="s">
        <v>394</v>
      </c>
      <c r="B225" s="84" t="s">
        <v>343</v>
      </c>
      <c r="C225" s="138" t="s">
        <v>264</v>
      </c>
      <c r="D225" s="139">
        <v>3934</v>
      </c>
      <c r="E225" s="139">
        <v>9.7396700000000003</v>
      </c>
      <c r="F225" s="151">
        <f t="shared" ref="F225:F238" si="16">E225*D225</f>
        <v>38315.861779999999</v>
      </c>
      <c r="G225" s="109" t="s">
        <v>77</v>
      </c>
      <c r="H225" s="92"/>
    </row>
    <row r="226" spans="1:8" x14ac:dyDescent="0.2">
      <c r="A226" s="83" t="s">
        <v>395</v>
      </c>
      <c r="B226" s="84" t="s">
        <v>309</v>
      </c>
      <c r="C226" s="138" t="s">
        <v>264</v>
      </c>
      <c r="D226" s="139">
        <v>939</v>
      </c>
      <c r="E226" s="139">
        <v>8.6000499999999995</v>
      </c>
      <c r="F226" s="151">
        <f t="shared" si="16"/>
        <v>8075.4469499999996</v>
      </c>
      <c r="G226" s="109" t="s">
        <v>77</v>
      </c>
      <c r="H226" s="92"/>
    </row>
    <row r="227" spans="1:8" x14ac:dyDescent="0.2">
      <c r="A227" s="83" t="s">
        <v>396</v>
      </c>
      <c r="B227" s="84" t="s">
        <v>346</v>
      </c>
      <c r="C227" s="138" t="s">
        <v>264</v>
      </c>
      <c r="D227" s="139">
        <v>1262</v>
      </c>
      <c r="E227" s="139">
        <v>8.9247300000000003</v>
      </c>
      <c r="F227" s="151">
        <f t="shared" si="16"/>
        <v>11263.009260000001</v>
      </c>
      <c r="G227" s="109" t="s">
        <v>77</v>
      </c>
      <c r="H227" s="92"/>
    </row>
    <row r="228" spans="1:8" x14ac:dyDescent="0.2">
      <c r="A228" s="83" t="s">
        <v>397</v>
      </c>
      <c r="B228" s="84" t="s">
        <v>311</v>
      </c>
      <c r="C228" s="138" t="s">
        <v>264</v>
      </c>
      <c r="D228" s="139">
        <v>1534</v>
      </c>
      <c r="E228" s="139">
        <v>7.6185299999999998</v>
      </c>
      <c r="F228" s="151">
        <f t="shared" si="16"/>
        <v>11686.82502</v>
      </c>
      <c r="G228" s="109" t="s">
        <v>77</v>
      </c>
      <c r="H228" s="92"/>
    </row>
    <row r="229" spans="1:8" x14ac:dyDescent="0.2">
      <c r="A229" s="83" t="s">
        <v>398</v>
      </c>
      <c r="B229" s="84" t="s">
        <v>313</v>
      </c>
      <c r="C229" s="138" t="s">
        <v>264</v>
      </c>
      <c r="D229" s="139">
        <v>2857</v>
      </c>
      <c r="E229" s="139">
        <v>7.2436699999999998</v>
      </c>
      <c r="F229" s="151">
        <f t="shared" si="16"/>
        <v>20695.16519</v>
      </c>
      <c r="G229" s="109" t="s">
        <v>77</v>
      </c>
      <c r="H229" s="92"/>
    </row>
    <row r="230" spans="1:8" x14ac:dyDescent="0.2">
      <c r="A230" s="83" t="s">
        <v>399</v>
      </c>
      <c r="B230" s="84" t="s">
        <v>315</v>
      </c>
      <c r="C230" s="138" t="s">
        <v>264</v>
      </c>
      <c r="D230" s="139">
        <v>1428</v>
      </c>
      <c r="E230" s="139">
        <v>7.2597699999999996</v>
      </c>
      <c r="F230" s="151">
        <f t="shared" si="16"/>
        <v>10366.95156</v>
      </c>
      <c r="G230" s="109" t="s">
        <v>77</v>
      </c>
      <c r="H230" s="92"/>
    </row>
    <row r="231" spans="1:8" x14ac:dyDescent="0.2">
      <c r="A231" s="83" t="s">
        <v>400</v>
      </c>
      <c r="B231" s="84" t="s">
        <v>351</v>
      </c>
      <c r="C231" s="138" t="s">
        <v>264</v>
      </c>
      <c r="D231" s="139">
        <v>1235</v>
      </c>
      <c r="E231" s="139">
        <v>7.1706300000000001</v>
      </c>
      <c r="F231" s="151">
        <f t="shared" si="16"/>
        <v>8855.7280499999997</v>
      </c>
      <c r="G231" s="109" t="s">
        <v>77</v>
      </c>
      <c r="H231" s="92"/>
    </row>
    <row r="232" spans="1:8" x14ac:dyDescent="0.2">
      <c r="A232" s="83" t="s">
        <v>401</v>
      </c>
      <c r="B232" s="84" t="s">
        <v>319</v>
      </c>
      <c r="C232" s="138" t="s">
        <v>264</v>
      </c>
      <c r="D232" s="139">
        <v>920</v>
      </c>
      <c r="E232" s="139">
        <v>7.1706300000000001</v>
      </c>
      <c r="F232" s="151">
        <f t="shared" si="16"/>
        <v>6596.9795999999997</v>
      </c>
      <c r="G232" s="109" t="s">
        <v>77</v>
      </c>
      <c r="H232" s="92"/>
    </row>
    <row r="233" spans="1:8" x14ac:dyDescent="0.2">
      <c r="A233" s="81" t="s">
        <v>402</v>
      </c>
      <c r="B233" s="82" t="s">
        <v>257</v>
      </c>
      <c r="C233" s="135" t="s">
        <v>1759</v>
      </c>
      <c r="D233" s="136">
        <v>0</v>
      </c>
      <c r="E233" s="136">
        <v>0</v>
      </c>
      <c r="F233" s="137">
        <f>SUM(F234:F238)</f>
        <v>74218.667053000012</v>
      </c>
      <c r="G233" s="96"/>
      <c r="H233" s="91"/>
    </row>
    <row r="234" spans="1:8" ht="31.5" x14ac:dyDescent="0.2">
      <c r="A234" s="83" t="s">
        <v>403</v>
      </c>
      <c r="B234" s="84" t="s">
        <v>322</v>
      </c>
      <c r="C234" s="138" t="s">
        <v>130</v>
      </c>
      <c r="D234" s="139">
        <v>371.3</v>
      </c>
      <c r="E234" s="139">
        <v>1.1424099999999999</v>
      </c>
      <c r="F234" s="151">
        <f t="shared" si="16"/>
        <v>424.17683299999999</v>
      </c>
      <c r="G234" s="109" t="s">
        <v>412</v>
      </c>
      <c r="H234" s="92"/>
    </row>
    <row r="235" spans="1:8" ht="31.5" x14ac:dyDescent="0.2">
      <c r="A235" s="83" t="s">
        <v>404</v>
      </c>
      <c r="B235" s="84" t="s">
        <v>361</v>
      </c>
      <c r="C235" s="138" t="s">
        <v>130</v>
      </c>
      <c r="D235" s="139">
        <v>528</v>
      </c>
      <c r="E235" s="139">
        <v>4.1662099999999995</v>
      </c>
      <c r="F235" s="151">
        <f t="shared" si="16"/>
        <v>2199.7588799999999</v>
      </c>
      <c r="G235" s="109" t="s">
        <v>413</v>
      </c>
      <c r="H235" s="92"/>
    </row>
    <row r="236" spans="1:8" ht="31.5" x14ac:dyDescent="0.2">
      <c r="A236" s="83" t="s">
        <v>405</v>
      </c>
      <c r="B236" s="84" t="s">
        <v>323</v>
      </c>
      <c r="C236" s="138" t="s">
        <v>130</v>
      </c>
      <c r="D236" s="139">
        <v>853.4</v>
      </c>
      <c r="E236" s="139">
        <v>0.79140999999999995</v>
      </c>
      <c r="F236" s="151">
        <f t="shared" si="16"/>
        <v>675.38929399999995</v>
      </c>
      <c r="G236" s="109" t="s">
        <v>414</v>
      </c>
      <c r="H236" s="92"/>
    </row>
    <row r="237" spans="1:8" ht="31.5" x14ac:dyDescent="0.2">
      <c r="A237" s="83" t="s">
        <v>406</v>
      </c>
      <c r="B237" s="84" t="s">
        <v>363</v>
      </c>
      <c r="C237" s="138" t="s">
        <v>130</v>
      </c>
      <c r="D237" s="139">
        <v>887.27</v>
      </c>
      <c r="E237" s="139">
        <v>79.897300000000001</v>
      </c>
      <c r="F237" s="151">
        <f t="shared" si="16"/>
        <v>70890.477371000001</v>
      </c>
      <c r="G237" s="109"/>
      <c r="H237" s="92" t="s">
        <v>79</v>
      </c>
    </row>
    <row r="238" spans="1:8" ht="31.5" x14ac:dyDescent="0.2">
      <c r="A238" s="83" t="s">
        <v>407</v>
      </c>
      <c r="B238" s="84" t="s">
        <v>384</v>
      </c>
      <c r="C238" s="138" t="s">
        <v>130</v>
      </c>
      <c r="D238" s="139">
        <v>17.5</v>
      </c>
      <c r="E238" s="139">
        <v>1.6494099999999998</v>
      </c>
      <c r="F238" s="151">
        <f t="shared" si="16"/>
        <v>28.864674999999998</v>
      </c>
      <c r="G238" s="109" t="s">
        <v>415</v>
      </c>
      <c r="H238" s="92"/>
    </row>
    <row r="239" spans="1:8" x14ac:dyDescent="0.2">
      <c r="A239" s="81" t="s">
        <v>408</v>
      </c>
      <c r="B239" s="82" t="s">
        <v>280</v>
      </c>
      <c r="C239" s="135" t="s">
        <v>1759</v>
      </c>
      <c r="D239" s="136">
        <v>0</v>
      </c>
      <c r="E239" s="136">
        <v>0</v>
      </c>
      <c r="F239" s="137">
        <f>SUM(F240:F241)</f>
        <v>149912.96540000002</v>
      </c>
      <c r="G239" s="96"/>
      <c r="H239" s="91"/>
    </row>
    <row r="240" spans="1:8" ht="31.5" x14ac:dyDescent="0.2">
      <c r="A240" s="83" t="s">
        <v>1784</v>
      </c>
      <c r="B240" s="84" t="s">
        <v>1777</v>
      </c>
      <c r="C240" s="138" t="s">
        <v>251</v>
      </c>
      <c r="D240" s="139">
        <v>180.70000000000002</v>
      </c>
      <c r="E240" s="139">
        <v>636.25200000000007</v>
      </c>
      <c r="F240" s="151">
        <f>E240*D240</f>
        <v>114970.73640000002</v>
      </c>
      <c r="G240" s="109" t="s">
        <v>73</v>
      </c>
      <c r="H240" s="92"/>
    </row>
    <row r="241" spans="1:8" ht="31.5" x14ac:dyDescent="0.2">
      <c r="A241" s="83" t="s">
        <v>2044</v>
      </c>
      <c r="B241" s="84" t="s">
        <v>2041</v>
      </c>
      <c r="C241" s="138" t="s">
        <v>130</v>
      </c>
      <c r="D241" s="139">
        <v>715.15</v>
      </c>
      <c r="E241" s="139">
        <v>48.86</v>
      </c>
      <c r="F241" s="151">
        <f>E241*D241</f>
        <v>34942.228999999999</v>
      </c>
      <c r="G241" s="109"/>
      <c r="H241" s="92"/>
    </row>
    <row r="242" spans="1:8" x14ac:dyDescent="0.2">
      <c r="A242" s="81" t="s">
        <v>409</v>
      </c>
      <c r="B242" s="82" t="s">
        <v>295</v>
      </c>
      <c r="C242" s="135" t="s">
        <v>1759</v>
      </c>
      <c r="D242" s="136">
        <v>0</v>
      </c>
      <c r="E242" s="136">
        <v>0</v>
      </c>
      <c r="F242" s="137">
        <f>SUM(F243:F244)</f>
        <v>224697.5</v>
      </c>
      <c r="G242" s="96"/>
      <c r="H242" s="91"/>
    </row>
    <row r="243" spans="1:8" x14ac:dyDescent="0.2">
      <c r="A243" s="83" t="s">
        <v>410</v>
      </c>
      <c r="B243" s="84" t="s">
        <v>335</v>
      </c>
      <c r="C243" s="138" t="s">
        <v>130</v>
      </c>
      <c r="D243" s="139">
        <v>887.27</v>
      </c>
      <c r="E243" s="139">
        <v>250</v>
      </c>
      <c r="F243" s="151">
        <f>E243*D243</f>
        <v>221817.5</v>
      </c>
      <c r="G243" s="109"/>
      <c r="H243" s="92"/>
    </row>
    <row r="244" spans="1:8" ht="31.5" x14ac:dyDescent="0.2">
      <c r="A244" s="83" t="s">
        <v>411</v>
      </c>
      <c r="B244" s="84" t="s">
        <v>337</v>
      </c>
      <c r="C244" s="138" t="s">
        <v>109</v>
      </c>
      <c r="D244" s="139">
        <v>18</v>
      </c>
      <c r="E244" s="139">
        <v>160</v>
      </c>
      <c r="F244" s="151">
        <f>E244*D244</f>
        <v>2880</v>
      </c>
      <c r="G244" s="109"/>
      <c r="H244" s="92"/>
    </row>
    <row r="245" spans="1:8" x14ac:dyDescent="0.2">
      <c r="A245" s="79" t="s">
        <v>417</v>
      </c>
      <c r="B245" s="80" t="s">
        <v>1785</v>
      </c>
      <c r="C245" s="132" t="s">
        <v>1759</v>
      </c>
      <c r="D245" s="133">
        <v>0</v>
      </c>
      <c r="E245" s="133">
        <v>0</v>
      </c>
      <c r="F245" s="134">
        <f>F246+F255+F261+F263</f>
        <v>632292.21991700004</v>
      </c>
      <c r="G245" s="95"/>
      <c r="H245" s="90"/>
    </row>
    <row r="246" spans="1:8" x14ac:dyDescent="0.2">
      <c r="A246" s="81" t="s">
        <v>418</v>
      </c>
      <c r="B246" s="82" t="s">
        <v>261</v>
      </c>
      <c r="C246" s="135" t="s">
        <v>1759</v>
      </c>
      <c r="D246" s="136">
        <v>0</v>
      </c>
      <c r="E246" s="136">
        <v>0</v>
      </c>
      <c r="F246" s="137">
        <f>SUM(F247:F254)</f>
        <v>238099.97151000003</v>
      </c>
      <c r="G246" s="96"/>
      <c r="H246" s="91"/>
    </row>
    <row r="247" spans="1:8" x14ac:dyDescent="0.2">
      <c r="A247" s="83" t="s">
        <v>419</v>
      </c>
      <c r="B247" s="84" t="s">
        <v>343</v>
      </c>
      <c r="C247" s="138" t="s">
        <v>264</v>
      </c>
      <c r="D247" s="139">
        <v>5301</v>
      </c>
      <c r="E247" s="139">
        <v>9.7396700000000003</v>
      </c>
      <c r="F247" s="151">
        <f>E247*D247</f>
        <v>51629.990669999999</v>
      </c>
      <c r="G247" s="109" t="s">
        <v>77</v>
      </c>
      <c r="H247" s="92"/>
    </row>
    <row r="248" spans="1:8" x14ac:dyDescent="0.2">
      <c r="A248" s="83" t="s">
        <v>420</v>
      </c>
      <c r="B248" s="84" t="s">
        <v>309</v>
      </c>
      <c r="C248" s="138" t="s">
        <v>264</v>
      </c>
      <c r="D248" s="139">
        <v>1522</v>
      </c>
      <c r="E248" s="139">
        <v>8.6000499999999995</v>
      </c>
      <c r="F248" s="151">
        <f t="shared" ref="F248:F254" si="17">E248*D248</f>
        <v>13089.276099999999</v>
      </c>
      <c r="G248" s="109" t="s">
        <v>77</v>
      </c>
      <c r="H248" s="92"/>
    </row>
    <row r="249" spans="1:8" x14ac:dyDescent="0.2">
      <c r="A249" s="83" t="s">
        <v>421</v>
      </c>
      <c r="B249" s="84" t="s">
        <v>346</v>
      </c>
      <c r="C249" s="138" t="s">
        <v>264</v>
      </c>
      <c r="D249" s="139">
        <v>2067</v>
      </c>
      <c r="E249" s="139">
        <v>8.9247300000000003</v>
      </c>
      <c r="F249" s="151">
        <f t="shared" si="17"/>
        <v>18447.41691</v>
      </c>
      <c r="G249" s="109" t="s">
        <v>77</v>
      </c>
      <c r="H249" s="92"/>
    </row>
    <row r="250" spans="1:8" x14ac:dyDescent="0.2">
      <c r="A250" s="83" t="s">
        <v>422</v>
      </c>
      <c r="B250" s="84" t="s">
        <v>311</v>
      </c>
      <c r="C250" s="138" t="s">
        <v>264</v>
      </c>
      <c r="D250" s="139">
        <v>2992</v>
      </c>
      <c r="E250" s="139">
        <v>7.6185299999999998</v>
      </c>
      <c r="F250" s="151">
        <f t="shared" si="17"/>
        <v>22794.641759999999</v>
      </c>
      <c r="G250" s="109" t="s">
        <v>77</v>
      </c>
      <c r="H250" s="92"/>
    </row>
    <row r="251" spans="1:8" x14ac:dyDescent="0.2">
      <c r="A251" s="83" t="s">
        <v>423</v>
      </c>
      <c r="B251" s="84" t="s">
        <v>313</v>
      </c>
      <c r="C251" s="138" t="s">
        <v>264</v>
      </c>
      <c r="D251" s="139">
        <v>7065</v>
      </c>
      <c r="E251" s="139">
        <v>7.2436699999999998</v>
      </c>
      <c r="F251" s="151">
        <f t="shared" si="17"/>
        <v>51176.528549999995</v>
      </c>
      <c r="G251" s="109" t="s">
        <v>77</v>
      </c>
      <c r="H251" s="92"/>
    </row>
    <row r="252" spans="1:8" x14ac:dyDescent="0.2">
      <c r="A252" s="83" t="s">
        <v>424</v>
      </c>
      <c r="B252" s="84" t="s">
        <v>315</v>
      </c>
      <c r="C252" s="138" t="s">
        <v>264</v>
      </c>
      <c r="D252" s="139">
        <v>4247</v>
      </c>
      <c r="E252" s="139">
        <v>7.2597699999999996</v>
      </c>
      <c r="F252" s="151">
        <f t="shared" si="17"/>
        <v>30832.243189999997</v>
      </c>
      <c r="G252" s="109" t="s">
        <v>77</v>
      </c>
      <c r="H252" s="92"/>
    </row>
    <row r="253" spans="1:8" x14ac:dyDescent="0.2">
      <c r="A253" s="83" t="s">
        <v>425</v>
      </c>
      <c r="B253" s="84" t="s">
        <v>351</v>
      </c>
      <c r="C253" s="138" t="s">
        <v>264</v>
      </c>
      <c r="D253" s="139">
        <v>4033</v>
      </c>
      <c r="E253" s="139">
        <v>7.1706300000000001</v>
      </c>
      <c r="F253" s="151">
        <f t="shared" si="17"/>
        <v>28919.15079</v>
      </c>
      <c r="G253" s="109" t="s">
        <v>77</v>
      </c>
      <c r="H253" s="92"/>
    </row>
    <row r="254" spans="1:8" x14ac:dyDescent="0.2">
      <c r="A254" s="83" t="s">
        <v>426</v>
      </c>
      <c r="B254" s="84" t="s">
        <v>319</v>
      </c>
      <c r="C254" s="138" t="s">
        <v>264</v>
      </c>
      <c r="D254" s="139">
        <v>2958</v>
      </c>
      <c r="E254" s="139">
        <v>7.1706300000000001</v>
      </c>
      <c r="F254" s="151">
        <f t="shared" si="17"/>
        <v>21210.723539999999</v>
      </c>
      <c r="G254" s="109" t="s">
        <v>77</v>
      </c>
      <c r="H254" s="92"/>
    </row>
    <row r="255" spans="1:8" x14ac:dyDescent="0.2">
      <c r="A255" s="81" t="s">
        <v>427</v>
      </c>
      <c r="B255" s="82" t="s">
        <v>257</v>
      </c>
      <c r="C255" s="135" t="s">
        <v>1759</v>
      </c>
      <c r="D255" s="136">
        <v>0</v>
      </c>
      <c r="E255" s="136">
        <v>0</v>
      </c>
      <c r="F255" s="137">
        <f>SUM(F256:F260)</f>
        <v>60531.265206999997</v>
      </c>
      <c r="G255" s="96"/>
      <c r="H255" s="91"/>
    </row>
    <row r="256" spans="1:8" ht="31.5" x14ac:dyDescent="0.2">
      <c r="A256" s="83" t="s">
        <v>428</v>
      </c>
      <c r="B256" s="84" t="s">
        <v>323</v>
      </c>
      <c r="C256" s="138" t="s">
        <v>130</v>
      </c>
      <c r="D256" s="139">
        <v>558</v>
      </c>
      <c r="E256" s="139">
        <v>0.79140999999999995</v>
      </c>
      <c r="F256" s="151">
        <f>E256*D256</f>
        <v>441.60677999999996</v>
      </c>
      <c r="G256" s="109" t="s">
        <v>437</v>
      </c>
      <c r="H256" s="92"/>
    </row>
    <row r="257" spans="1:9" ht="31.5" x14ac:dyDescent="0.2">
      <c r="A257" s="83" t="s">
        <v>429</v>
      </c>
      <c r="B257" s="84" t="s">
        <v>322</v>
      </c>
      <c r="C257" s="138" t="s">
        <v>130</v>
      </c>
      <c r="D257" s="139">
        <v>371.2</v>
      </c>
      <c r="E257" s="139">
        <v>1.1424099999999999</v>
      </c>
      <c r="F257" s="151">
        <f t="shared" ref="F257:F265" si="18">E257*D257</f>
        <v>424.06259199999994</v>
      </c>
      <c r="G257" s="109" t="s">
        <v>438</v>
      </c>
      <c r="H257" s="92"/>
      <c r="I257" s="158"/>
    </row>
    <row r="258" spans="1:9" ht="31.5" x14ac:dyDescent="0.2">
      <c r="A258" s="83" t="s">
        <v>430</v>
      </c>
      <c r="B258" s="84" t="s">
        <v>361</v>
      </c>
      <c r="C258" s="138" t="s">
        <v>130</v>
      </c>
      <c r="D258" s="139">
        <v>878.80000000000007</v>
      </c>
      <c r="E258" s="139">
        <v>4.1662099999999995</v>
      </c>
      <c r="F258" s="151">
        <f t="shared" si="18"/>
        <v>3661.2653479999999</v>
      </c>
      <c r="G258" s="109" t="s">
        <v>439</v>
      </c>
      <c r="H258" s="92"/>
    </row>
    <row r="259" spans="1:9" ht="31.5" x14ac:dyDescent="0.2">
      <c r="A259" s="83" t="s">
        <v>431</v>
      </c>
      <c r="B259" s="84" t="s">
        <v>363</v>
      </c>
      <c r="C259" s="138" t="s">
        <v>130</v>
      </c>
      <c r="D259" s="139">
        <v>700.57</v>
      </c>
      <c r="E259" s="139">
        <v>79.897300000000001</v>
      </c>
      <c r="F259" s="151">
        <f t="shared" si="18"/>
        <v>55973.651461000001</v>
      </c>
      <c r="G259" s="109"/>
      <c r="H259" s="92" t="s">
        <v>79</v>
      </c>
    </row>
    <row r="260" spans="1:9" ht="31.5" x14ac:dyDescent="0.2">
      <c r="A260" s="83" t="s">
        <v>432</v>
      </c>
      <c r="B260" s="84" t="s">
        <v>384</v>
      </c>
      <c r="C260" s="138" t="s">
        <v>130</v>
      </c>
      <c r="D260" s="139">
        <v>18.600000000000001</v>
      </c>
      <c r="E260" s="139">
        <v>1.6494099999999998</v>
      </c>
      <c r="F260" s="151">
        <f t="shared" si="18"/>
        <v>30.679026</v>
      </c>
      <c r="G260" s="109" t="s">
        <v>440</v>
      </c>
      <c r="H260" s="92"/>
    </row>
    <row r="261" spans="1:9" x14ac:dyDescent="0.2">
      <c r="A261" s="81" t="s">
        <v>433</v>
      </c>
      <c r="B261" s="82" t="s">
        <v>280</v>
      </c>
      <c r="C261" s="135" t="s">
        <v>1759</v>
      </c>
      <c r="D261" s="136">
        <v>0</v>
      </c>
      <c r="E261" s="136">
        <v>0</v>
      </c>
      <c r="F261" s="137">
        <f>F262</f>
        <v>153718.48320000002</v>
      </c>
      <c r="G261" s="96"/>
      <c r="H261" s="91"/>
    </row>
    <row r="262" spans="1:9" ht="31.5" x14ac:dyDescent="0.2">
      <c r="A262" s="83" t="s">
        <v>1786</v>
      </c>
      <c r="B262" s="84" t="s">
        <v>1777</v>
      </c>
      <c r="C262" s="138" t="s">
        <v>251</v>
      </c>
      <c r="D262" s="139">
        <v>241.6</v>
      </c>
      <c r="E262" s="139">
        <v>636.25200000000007</v>
      </c>
      <c r="F262" s="151">
        <f t="shared" si="18"/>
        <v>153718.48320000002</v>
      </c>
      <c r="G262" s="109" t="s">
        <v>73</v>
      </c>
      <c r="H262" s="92"/>
    </row>
    <row r="263" spans="1:9" x14ac:dyDescent="0.2">
      <c r="A263" s="81" t="s">
        <v>434</v>
      </c>
      <c r="B263" s="82" t="s">
        <v>295</v>
      </c>
      <c r="C263" s="135" t="s">
        <v>1759</v>
      </c>
      <c r="D263" s="136">
        <v>0</v>
      </c>
      <c r="E263" s="136">
        <v>0</v>
      </c>
      <c r="F263" s="137">
        <f>SUM(F264:F265)</f>
        <v>179942.5</v>
      </c>
      <c r="G263" s="96"/>
      <c r="H263" s="91"/>
    </row>
    <row r="264" spans="1:9" x14ac:dyDescent="0.2">
      <c r="A264" s="83" t="s">
        <v>435</v>
      </c>
      <c r="B264" s="84" t="s">
        <v>335</v>
      </c>
      <c r="C264" s="138" t="s">
        <v>130</v>
      </c>
      <c r="D264" s="139">
        <v>700.57</v>
      </c>
      <c r="E264" s="139">
        <v>250</v>
      </c>
      <c r="F264" s="151">
        <f t="shared" si="18"/>
        <v>175142.5</v>
      </c>
      <c r="G264" s="109"/>
      <c r="H264" s="92"/>
    </row>
    <row r="265" spans="1:9" ht="31.5" x14ac:dyDescent="0.2">
      <c r="A265" s="83" t="s">
        <v>436</v>
      </c>
      <c r="B265" s="84" t="s">
        <v>337</v>
      </c>
      <c r="C265" s="138" t="s">
        <v>109</v>
      </c>
      <c r="D265" s="139">
        <v>30</v>
      </c>
      <c r="E265" s="139">
        <v>160</v>
      </c>
      <c r="F265" s="151">
        <f t="shared" si="18"/>
        <v>4800</v>
      </c>
      <c r="G265" s="109"/>
      <c r="H265" s="92"/>
    </row>
    <row r="266" spans="1:9" x14ac:dyDescent="0.2">
      <c r="A266" s="79" t="s">
        <v>441</v>
      </c>
      <c r="B266" s="80" t="s">
        <v>2045</v>
      </c>
      <c r="C266" s="132" t="s">
        <v>1759</v>
      </c>
      <c r="D266" s="133">
        <v>0</v>
      </c>
      <c r="E266" s="133">
        <v>0</v>
      </c>
      <c r="F266" s="134">
        <f>F267+F276+F282+F284</f>
        <v>4424007.5752870003</v>
      </c>
      <c r="G266" s="95"/>
      <c r="H266" s="90"/>
    </row>
    <row r="267" spans="1:9" x14ac:dyDescent="0.2">
      <c r="A267" s="81" t="s">
        <v>442</v>
      </c>
      <c r="B267" s="82" t="s">
        <v>261</v>
      </c>
      <c r="C267" s="135" t="s">
        <v>1759</v>
      </c>
      <c r="D267" s="136">
        <v>0</v>
      </c>
      <c r="E267" s="136">
        <v>0</v>
      </c>
      <c r="F267" s="137">
        <f>SUM(F268:F275)</f>
        <v>969357.72914999991</v>
      </c>
      <c r="G267" s="96"/>
      <c r="H267" s="91"/>
    </row>
    <row r="268" spans="1:9" x14ac:dyDescent="0.2">
      <c r="A268" s="83" t="s">
        <v>443</v>
      </c>
      <c r="B268" s="84" t="s">
        <v>343</v>
      </c>
      <c r="C268" s="138" t="s">
        <v>264</v>
      </c>
      <c r="D268" s="139">
        <v>29418</v>
      </c>
      <c r="E268" s="139">
        <v>9.7396700000000003</v>
      </c>
      <c r="F268" s="151">
        <f t="shared" ref="F268:F286" si="19">E268*D268</f>
        <v>286521.61206000001</v>
      </c>
      <c r="G268" s="109" t="s">
        <v>77</v>
      </c>
      <c r="H268" s="92"/>
    </row>
    <row r="269" spans="1:9" x14ac:dyDescent="0.2">
      <c r="A269" s="83" t="s">
        <v>444</v>
      </c>
      <c r="B269" s="84" t="s">
        <v>309</v>
      </c>
      <c r="C269" s="138" t="s">
        <v>264</v>
      </c>
      <c r="D269" s="139">
        <v>7333</v>
      </c>
      <c r="E269" s="139">
        <v>8.6000499999999995</v>
      </c>
      <c r="F269" s="151">
        <f t="shared" si="19"/>
        <v>63064.166649999999</v>
      </c>
      <c r="G269" s="109" t="s">
        <v>77</v>
      </c>
      <c r="H269" s="92"/>
    </row>
    <row r="270" spans="1:9" x14ac:dyDescent="0.2">
      <c r="A270" s="83" t="s">
        <v>445</v>
      </c>
      <c r="B270" s="84" t="s">
        <v>346</v>
      </c>
      <c r="C270" s="138" t="s">
        <v>264</v>
      </c>
      <c r="D270" s="139">
        <v>10072</v>
      </c>
      <c r="E270" s="139">
        <v>8.9247300000000003</v>
      </c>
      <c r="F270" s="151">
        <f t="shared" si="19"/>
        <v>89889.880560000005</v>
      </c>
      <c r="G270" s="109" t="s">
        <v>77</v>
      </c>
      <c r="H270" s="92"/>
    </row>
    <row r="271" spans="1:9" x14ac:dyDescent="0.2">
      <c r="A271" s="83" t="s">
        <v>446</v>
      </c>
      <c r="B271" s="84" t="s">
        <v>311</v>
      </c>
      <c r="C271" s="138" t="s">
        <v>264</v>
      </c>
      <c r="D271" s="139">
        <v>13044</v>
      </c>
      <c r="E271" s="139">
        <v>7.6185299999999998</v>
      </c>
      <c r="F271" s="151">
        <f t="shared" si="19"/>
        <v>99376.105320000002</v>
      </c>
      <c r="G271" s="109" t="s">
        <v>77</v>
      </c>
      <c r="H271" s="92"/>
    </row>
    <row r="272" spans="1:9" x14ac:dyDescent="0.2">
      <c r="A272" s="83" t="s">
        <v>447</v>
      </c>
      <c r="B272" s="84" t="s">
        <v>313</v>
      </c>
      <c r="C272" s="138" t="s">
        <v>264</v>
      </c>
      <c r="D272" s="139">
        <v>25441</v>
      </c>
      <c r="E272" s="139">
        <v>7.2436699999999998</v>
      </c>
      <c r="F272" s="151">
        <f t="shared" si="19"/>
        <v>184286.20846999998</v>
      </c>
      <c r="G272" s="109" t="s">
        <v>77</v>
      </c>
      <c r="H272" s="92"/>
    </row>
    <row r="273" spans="1:8" x14ac:dyDescent="0.2">
      <c r="A273" s="83" t="s">
        <v>448</v>
      </c>
      <c r="B273" s="84" t="s">
        <v>315</v>
      </c>
      <c r="C273" s="138" t="s">
        <v>264</v>
      </c>
      <c r="D273" s="139">
        <v>13374</v>
      </c>
      <c r="E273" s="139">
        <v>7.2597699999999996</v>
      </c>
      <c r="F273" s="151">
        <f t="shared" si="19"/>
        <v>97092.163979999998</v>
      </c>
      <c r="G273" s="109" t="s">
        <v>77</v>
      </c>
      <c r="H273" s="92"/>
    </row>
    <row r="274" spans="1:8" x14ac:dyDescent="0.2">
      <c r="A274" s="83" t="s">
        <v>449</v>
      </c>
      <c r="B274" s="84" t="s">
        <v>351</v>
      </c>
      <c r="C274" s="138" t="s">
        <v>264</v>
      </c>
      <c r="D274" s="139">
        <v>11939</v>
      </c>
      <c r="E274" s="139">
        <v>7.1706300000000001</v>
      </c>
      <c r="F274" s="151">
        <f t="shared" si="19"/>
        <v>85610.151570000002</v>
      </c>
      <c r="G274" s="109" t="s">
        <v>77</v>
      </c>
      <c r="H274" s="92"/>
    </row>
    <row r="275" spans="1:8" x14ac:dyDescent="0.2">
      <c r="A275" s="83" t="s">
        <v>1787</v>
      </c>
      <c r="B275" s="84" t="s">
        <v>319</v>
      </c>
      <c r="C275" s="138" t="s">
        <v>264</v>
      </c>
      <c r="D275" s="139">
        <v>8858</v>
      </c>
      <c r="E275" s="139">
        <v>7.1706300000000001</v>
      </c>
      <c r="F275" s="151">
        <f t="shared" si="19"/>
        <v>63517.440540000003</v>
      </c>
      <c r="G275" s="109" t="s">
        <v>77</v>
      </c>
      <c r="H275" s="92"/>
    </row>
    <row r="276" spans="1:8" x14ac:dyDescent="0.2">
      <c r="A276" s="81" t="s">
        <v>450</v>
      </c>
      <c r="B276" s="82" t="s">
        <v>257</v>
      </c>
      <c r="C276" s="135" t="s">
        <v>1759</v>
      </c>
      <c r="D276" s="136">
        <v>0</v>
      </c>
      <c r="E276" s="136">
        <v>0</v>
      </c>
      <c r="F276" s="137">
        <f>SUM(F277:F281)</f>
        <v>610605.49933699996</v>
      </c>
      <c r="G276" s="96"/>
      <c r="H276" s="91"/>
    </row>
    <row r="277" spans="1:8" ht="31.5" x14ac:dyDescent="0.2">
      <c r="A277" s="83" t="s">
        <v>451</v>
      </c>
      <c r="B277" s="84" t="s">
        <v>323</v>
      </c>
      <c r="C277" s="138" t="s">
        <v>130</v>
      </c>
      <c r="D277" s="139">
        <v>6522.1</v>
      </c>
      <c r="E277" s="139">
        <v>0.79140999999999995</v>
      </c>
      <c r="F277" s="151">
        <f t="shared" si="19"/>
        <v>5161.6551609999997</v>
      </c>
      <c r="G277" s="109" t="s">
        <v>460</v>
      </c>
      <c r="H277" s="92"/>
    </row>
    <row r="278" spans="1:8" ht="31.5" x14ac:dyDescent="0.2">
      <c r="A278" s="83" t="s">
        <v>452</v>
      </c>
      <c r="B278" s="84" t="s">
        <v>322</v>
      </c>
      <c r="C278" s="138" t="s">
        <v>130</v>
      </c>
      <c r="D278" s="139">
        <v>4300.3999999999996</v>
      </c>
      <c r="E278" s="139">
        <v>1.1424099999999999</v>
      </c>
      <c r="F278" s="151">
        <f t="shared" si="19"/>
        <v>4912.8199639999993</v>
      </c>
      <c r="G278" s="109" t="s">
        <v>461</v>
      </c>
      <c r="H278" s="92"/>
    </row>
    <row r="279" spans="1:8" ht="31.5" x14ac:dyDescent="0.2">
      <c r="A279" s="83" t="s">
        <v>453</v>
      </c>
      <c r="B279" s="84" t="s">
        <v>361</v>
      </c>
      <c r="C279" s="138" t="s">
        <v>130</v>
      </c>
      <c r="D279" s="139">
        <v>5441.8</v>
      </c>
      <c r="E279" s="139">
        <v>4.1662099999999995</v>
      </c>
      <c r="F279" s="151">
        <f t="shared" si="19"/>
        <v>22671.681578</v>
      </c>
      <c r="G279" s="109" t="s">
        <v>462</v>
      </c>
      <c r="H279" s="92"/>
    </row>
    <row r="280" spans="1:8" ht="31.5" x14ac:dyDescent="0.2">
      <c r="A280" s="83" t="s">
        <v>454</v>
      </c>
      <c r="B280" s="84" t="s">
        <v>363</v>
      </c>
      <c r="C280" s="138" t="s">
        <v>130</v>
      </c>
      <c r="D280" s="139">
        <v>7227.83</v>
      </c>
      <c r="E280" s="139">
        <v>79.897300000000001</v>
      </c>
      <c r="F280" s="151">
        <f t="shared" si="19"/>
        <v>577484.10185900005</v>
      </c>
      <c r="G280" s="109"/>
      <c r="H280" s="92" t="s">
        <v>79</v>
      </c>
    </row>
    <row r="281" spans="1:8" ht="31.5" x14ac:dyDescent="0.2">
      <c r="A281" s="83" t="s">
        <v>455</v>
      </c>
      <c r="B281" s="84" t="s">
        <v>384</v>
      </c>
      <c r="C281" s="138" t="s">
        <v>130</v>
      </c>
      <c r="D281" s="139">
        <v>227.5</v>
      </c>
      <c r="E281" s="139">
        <v>1.6494099999999998</v>
      </c>
      <c r="F281" s="151">
        <f t="shared" si="19"/>
        <v>375.24077499999999</v>
      </c>
      <c r="G281" s="109" t="s">
        <v>463</v>
      </c>
      <c r="H281" s="92"/>
    </row>
    <row r="282" spans="1:8" x14ac:dyDescent="0.2">
      <c r="A282" s="81" t="s">
        <v>456</v>
      </c>
      <c r="B282" s="82" t="s">
        <v>280</v>
      </c>
      <c r="C282" s="135" t="s">
        <v>1759</v>
      </c>
      <c r="D282" s="136">
        <v>0</v>
      </c>
      <c r="E282" s="136">
        <v>0</v>
      </c>
      <c r="F282" s="137">
        <f>F283</f>
        <v>945406.84680000017</v>
      </c>
      <c r="G282" s="96"/>
      <c r="H282" s="91"/>
    </row>
    <row r="283" spans="1:8" ht="31.5" x14ac:dyDescent="0.2">
      <c r="A283" s="83" t="s">
        <v>1788</v>
      </c>
      <c r="B283" s="84" t="s">
        <v>1777</v>
      </c>
      <c r="C283" s="138" t="s">
        <v>251</v>
      </c>
      <c r="D283" s="139">
        <v>1485.9</v>
      </c>
      <c r="E283" s="139">
        <v>636.25200000000007</v>
      </c>
      <c r="F283" s="151">
        <f t="shared" si="19"/>
        <v>945406.84680000017</v>
      </c>
      <c r="G283" s="109" t="s">
        <v>73</v>
      </c>
      <c r="H283" s="92"/>
    </row>
    <row r="284" spans="1:8" x14ac:dyDescent="0.2">
      <c r="A284" s="81" t="s">
        <v>457</v>
      </c>
      <c r="B284" s="82" t="s">
        <v>295</v>
      </c>
      <c r="C284" s="135" t="s">
        <v>1759</v>
      </c>
      <c r="D284" s="136">
        <v>0</v>
      </c>
      <c r="E284" s="136">
        <v>0</v>
      </c>
      <c r="F284" s="137">
        <f>SUM(F285:F286)</f>
        <v>1898637.5</v>
      </c>
      <c r="G284" s="96"/>
      <c r="H284" s="91"/>
    </row>
    <row r="285" spans="1:8" x14ac:dyDescent="0.2">
      <c r="A285" s="83" t="s">
        <v>458</v>
      </c>
      <c r="B285" s="84" t="s">
        <v>335</v>
      </c>
      <c r="C285" s="138" t="s">
        <v>130</v>
      </c>
      <c r="D285" s="139">
        <v>7227.83</v>
      </c>
      <c r="E285" s="139">
        <v>250</v>
      </c>
      <c r="F285" s="151">
        <f t="shared" si="19"/>
        <v>1806957.5</v>
      </c>
      <c r="G285" s="109"/>
      <c r="H285" s="92"/>
    </row>
    <row r="286" spans="1:8" ht="31.5" x14ac:dyDescent="0.2">
      <c r="A286" s="83" t="s">
        <v>459</v>
      </c>
      <c r="B286" s="84" t="s">
        <v>337</v>
      </c>
      <c r="C286" s="138" t="s">
        <v>109</v>
      </c>
      <c r="D286" s="139">
        <v>573</v>
      </c>
      <c r="E286" s="139">
        <v>160</v>
      </c>
      <c r="F286" s="151">
        <f t="shared" si="19"/>
        <v>91680</v>
      </c>
      <c r="G286" s="109"/>
      <c r="H286" s="92"/>
    </row>
    <row r="287" spans="1:8" x14ac:dyDescent="0.2">
      <c r="A287" s="79" t="s">
        <v>464</v>
      </c>
      <c r="B287" s="80" t="s">
        <v>2046</v>
      </c>
      <c r="C287" s="132" t="s">
        <v>1759</v>
      </c>
      <c r="D287" s="133">
        <v>0</v>
      </c>
      <c r="E287" s="133">
        <v>0</v>
      </c>
      <c r="F287" s="134">
        <f>F288+F297+F303+F305</f>
        <v>358718.91591800004</v>
      </c>
      <c r="G287" s="95"/>
      <c r="H287" s="90"/>
    </row>
    <row r="288" spans="1:8" x14ac:dyDescent="0.2">
      <c r="A288" s="81" t="s">
        <v>465</v>
      </c>
      <c r="B288" s="82" t="s">
        <v>261</v>
      </c>
      <c r="C288" s="135" t="s">
        <v>1759</v>
      </c>
      <c r="D288" s="136">
        <v>0</v>
      </c>
      <c r="E288" s="136">
        <v>0</v>
      </c>
      <c r="F288" s="137">
        <f>SUM(F289:F296)</f>
        <v>92414.343309999997</v>
      </c>
      <c r="G288" s="96"/>
      <c r="H288" s="91"/>
    </row>
    <row r="289" spans="1:8" x14ac:dyDescent="0.2">
      <c r="A289" s="83" t="s">
        <v>466</v>
      </c>
      <c r="B289" s="84" t="s">
        <v>343</v>
      </c>
      <c r="C289" s="138" t="s">
        <v>264</v>
      </c>
      <c r="D289" s="139">
        <v>3209</v>
      </c>
      <c r="E289" s="139">
        <v>9.7396700000000003</v>
      </c>
      <c r="F289" s="151">
        <f t="shared" ref="F289:F296" si="20">E289*D289</f>
        <v>31254.601030000002</v>
      </c>
      <c r="G289" s="109" t="s">
        <v>77</v>
      </c>
      <c r="H289" s="92"/>
    </row>
    <row r="290" spans="1:8" x14ac:dyDescent="0.2">
      <c r="A290" s="83" t="s">
        <v>467</v>
      </c>
      <c r="B290" s="84" t="s">
        <v>309</v>
      </c>
      <c r="C290" s="138" t="s">
        <v>264</v>
      </c>
      <c r="D290" s="139">
        <v>801</v>
      </c>
      <c r="E290" s="139">
        <v>8.6000499999999995</v>
      </c>
      <c r="F290" s="151">
        <f t="shared" si="20"/>
        <v>6888.64005</v>
      </c>
      <c r="G290" s="109" t="s">
        <v>77</v>
      </c>
      <c r="H290" s="92"/>
    </row>
    <row r="291" spans="1:8" x14ac:dyDescent="0.2">
      <c r="A291" s="83" t="s">
        <v>468</v>
      </c>
      <c r="B291" s="84" t="s">
        <v>346</v>
      </c>
      <c r="C291" s="138" t="s">
        <v>264</v>
      </c>
      <c r="D291" s="139">
        <v>1117</v>
      </c>
      <c r="E291" s="139">
        <v>8.9247300000000003</v>
      </c>
      <c r="F291" s="151">
        <f t="shared" si="20"/>
        <v>9968.9234099999994</v>
      </c>
      <c r="G291" s="109" t="s">
        <v>77</v>
      </c>
      <c r="H291" s="92"/>
    </row>
    <row r="292" spans="1:8" x14ac:dyDescent="0.2">
      <c r="A292" s="83" t="s">
        <v>469</v>
      </c>
      <c r="B292" s="84" t="s">
        <v>311</v>
      </c>
      <c r="C292" s="138" t="s">
        <v>264</v>
      </c>
      <c r="D292" s="139">
        <v>1156</v>
      </c>
      <c r="E292" s="139">
        <v>7.6185299999999998</v>
      </c>
      <c r="F292" s="151">
        <f t="shared" si="20"/>
        <v>8807.0206799999996</v>
      </c>
      <c r="G292" s="109" t="s">
        <v>77</v>
      </c>
      <c r="H292" s="92"/>
    </row>
    <row r="293" spans="1:8" x14ac:dyDescent="0.2">
      <c r="A293" s="83" t="s">
        <v>470</v>
      </c>
      <c r="B293" s="84" t="s">
        <v>313</v>
      </c>
      <c r="C293" s="138" t="s">
        <v>264</v>
      </c>
      <c r="D293" s="139">
        <v>2248</v>
      </c>
      <c r="E293" s="139">
        <v>7.2436699999999998</v>
      </c>
      <c r="F293" s="151">
        <f t="shared" si="20"/>
        <v>16283.77016</v>
      </c>
      <c r="G293" s="109" t="s">
        <v>77</v>
      </c>
      <c r="H293" s="92"/>
    </row>
    <row r="294" spans="1:8" x14ac:dyDescent="0.2">
      <c r="A294" s="83" t="s">
        <v>471</v>
      </c>
      <c r="B294" s="84" t="s">
        <v>315</v>
      </c>
      <c r="C294" s="138" t="s">
        <v>264</v>
      </c>
      <c r="D294" s="139">
        <v>1060</v>
      </c>
      <c r="E294" s="139">
        <v>7.2597699999999996</v>
      </c>
      <c r="F294" s="151">
        <f t="shared" si="20"/>
        <v>7695.3561999999993</v>
      </c>
      <c r="G294" s="109" t="s">
        <v>77</v>
      </c>
      <c r="H294" s="92"/>
    </row>
    <row r="295" spans="1:8" x14ac:dyDescent="0.2">
      <c r="A295" s="83" t="s">
        <v>1789</v>
      </c>
      <c r="B295" s="84" t="s">
        <v>351</v>
      </c>
      <c r="C295" s="138" t="s">
        <v>264</v>
      </c>
      <c r="D295" s="139">
        <v>925</v>
      </c>
      <c r="E295" s="139">
        <v>7.1706300000000001</v>
      </c>
      <c r="F295" s="151">
        <f t="shared" si="20"/>
        <v>6632.8327500000005</v>
      </c>
      <c r="G295" s="109" t="s">
        <v>77</v>
      </c>
      <c r="H295" s="92"/>
    </row>
    <row r="296" spans="1:8" x14ac:dyDescent="0.2">
      <c r="A296" s="83" t="s">
        <v>1790</v>
      </c>
      <c r="B296" s="84" t="s">
        <v>319</v>
      </c>
      <c r="C296" s="138" t="s">
        <v>264</v>
      </c>
      <c r="D296" s="139">
        <v>681</v>
      </c>
      <c r="E296" s="139">
        <v>7.1706300000000001</v>
      </c>
      <c r="F296" s="151">
        <f t="shared" si="20"/>
        <v>4883.1990299999998</v>
      </c>
      <c r="G296" s="109" t="s">
        <v>77</v>
      </c>
      <c r="H296" s="92"/>
    </row>
    <row r="297" spans="1:8" x14ac:dyDescent="0.2">
      <c r="A297" s="81" t="s">
        <v>472</v>
      </c>
      <c r="B297" s="82" t="s">
        <v>257</v>
      </c>
      <c r="C297" s="135" t="s">
        <v>1759</v>
      </c>
      <c r="D297" s="136">
        <v>0</v>
      </c>
      <c r="E297" s="136">
        <v>0</v>
      </c>
      <c r="F297" s="137">
        <f>SUM(F298:F302)</f>
        <v>46464.574207999998</v>
      </c>
      <c r="G297" s="96"/>
      <c r="H297" s="91"/>
    </row>
    <row r="298" spans="1:8" ht="31.5" x14ac:dyDescent="0.2">
      <c r="A298" s="83" t="s">
        <v>473</v>
      </c>
      <c r="B298" s="84" t="s">
        <v>323</v>
      </c>
      <c r="C298" s="138" t="s">
        <v>130</v>
      </c>
      <c r="D298" s="139">
        <v>493.5</v>
      </c>
      <c r="E298" s="139">
        <v>0.79140999999999995</v>
      </c>
      <c r="F298" s="151">
        <f>E298*D298</f>
        <v>390.560835</v>
      </c>
      <c r="G298" s="109" t="s">
        <v>460</v>
      </c>
      <c r="H298" s="92"/>
    </row>
    <row r="299" spans="1:8" ht="31.5" x14ac:dyDescent="0.2">
      <c r="A299" s="83" t="s">
        <v>474</v>
      </c>
      <c r="B299" s="84" t="s">
        <v>322</v>
      </c>
      <c r="C299" s="138" t="s">
        <v>130</v>
      </c>
      <c r="D299" s="139">
        <v>338.8</v>
      </c>
      <c r="E299" s="139">
        <v>1.1424099999999999</v>
      </c>
      <c r="F299" s="151">
        <f>E299*D299</f>
        <v>387.04850799999997</v>
      </c>
      <c r="G299" s="109" t="s">
        <v>461</v>
      </c>
      <c r="H299" s="92"/>
    </row>
    <row r="300" spans="1:8" ht="31.5" x14ac:dyDescent="0.2">
      <c r="A300" s="83" t="s">
        <v>475</v>
      </c>
      <c r="B300" s="84" t="s">
        <v>361</v>
      </c>
      <c r="C300" s="138" t="s">
        <v>130</v>
      </c>
      <c r="D300" s="139">
        <v>463.90000000000003</v>
      </c>
      <c r="E300" s="139">
        <v>4.1662099999999995</v>
      </c>
      <c r="F300" s="151">
        <f>E300*D300</f>
        <v>1932.7048189999998</v>
      </c>
      <c r="G300" s="109" t="s">
        <v>462</v>
      </c>
      <c r="H300" s="92"/>
    </row>
    <row r="301" spans="1:8" ht="31.5" x14ac:dyDescent="0.2">
      <c r="A301" s="83" t="s">
        <v>476</v>
      </c>
      <c r="B301" s="84" t="s">
        <v>363</v>
      </c>
      <c r="C301" s="138" t="s">
        <v>130</v>
      </c>
      <c r="D301" s="139">
        <v>547.27</v>
      </c>
      <c r="E301" s="139">
        <v>79.897300000000001</v>
      </c>
      <c r="F301" s="151">
        <f>E301*D301</f>
        <v>43725.395370999999</v>
      </c>
      <c r="G301" s="109"/>
      <c r="H301" s="92" t="s">
        <v>79</v>
      </c>
    </row>
    <row r="302" spans="1:8" ht="31.5" x14ac:dyDescent="0.2">
      <c r="A302" s="83" t="s">
        <v>1791</v>
      </c>
      <c r="B302" s="84" t="s">
        <v>384</v>
      </c>
      <c r="C302" s="138" t="s">
        <v>130</v>
      </c>
      <c r="D302" s="139">
        <v>17.5</v>
      </c>
      <c r="E302" s="139">
        <v>1.6494099999999998</v>
      </c>
      <c r="F302" s="151">
        <f>E302*D302</f>
        <v>28.864674999999998</v>
      </c>
      <c r="G302" s="109" t="s">
        <v>463</v>
      </c>
      <c r="H302" s="92"/>
    </row>
    <row r="303" spans="1:8" x14ac:dyDescent="0.2">
      <c r="A303" s="81" t="s">
        <v>477</v>
      </c>
      <c r="B303" s="82" t="s">
        <v>280</v>
      </c>
      <c r="C303" s="135" t="s">
        <v>1759</v>
      </c>
      <c r="D303" s="136">
        <v>0</v>
      </c>
      <c r="E303" s="136">
        <v>0</v>
      </c>
      <c r="F303" s="137">
        <f>F304</f>
        <v>79022.498400000011</v>
      </c>
      <c r="G303" s="96"/>
      <c r="H303" s="91"/>
    </row>
    <row r="304" spans="1:8" ht="31.5" x14ac:dyDescent="0.2">
      <c r="A304" s="83" t="s">
        <v>1792</v>
      </c>
      <c r="B304" s="84" t="s">
        <v>1777</v>
      </c>
      <c r="C304" s="138" t="s">
        <v>251</v>
      </c>
      <c r="D304" s="139">
        <v>124.2</v>
      </c>
      <c r="E304" s="139">
        <v>636.25200000000007</v>
      </c>
      <c r="F304" s="151">
        <f>E304*D304</f>
        <v>79022.498400000011</v>
      </c>
      <c r="G304" s="109" t="s">
        <v>73</v>
      </c>
      <c r="H304" s="92"/>
    </row>
    <row r="305" spans="1:8" x14ac:dyDescent="0.2">
      <c r="A305" s="81" t="s">
        <v>478</v>
      </c>
      <c r="B305" s="82" t="s">
        <v>295</v>
      </c>
      <c r="C305" s="135" t="s">
        <v>1759</v>
      </c>
      <c r="D305" s="136">
        <v>0</v>
      </c>
      <c r="E305" s="136">
        <v>0</v>
      </c>
      <c r="F305" s="137">
        <f>SUM(F306:F307)</f>
        <v>140817.5</v>
      </c>
      <c r="G305" s="96"/>
      <c r="H305" s="91"/>
    </row>
    <row r="306" spans="1:8" x14ac:dyDescent="0.2">
      <c r="A306" s="83" t="s">
        <v>479</v>
      </c>
      <c r="B306" s="84" t="s">
        <v>335</v>
      </c>
      <c r="C306" s="138" t="s">
        <v>130</v>
      </c>
      <c r="D306" s="139">
        <v>547.27</v>
      </c>
      <c r="E306" s="139">
        <v>250</v>
      </c>
      <c r="F306" s="151">
        <f>E306*D306</f>
        <v>136817.5</v>
      </c>
      <c r="G306" s="109"/>
      <c r="H306" s="92"/>
    </row>
    <row r="307" spans="1:8" ht="31.5" x14ac:dyDescent="0.2">
      <c r="A307" s="83" t="s">
        <v>1793</v>
      </c>
      <c r="B307" s="84" t="s">
        <v>337</v>
      </c>
      <c r="C307" s="138" t="s">
        <v>109</v>
      </c>
      <c r="D307" s="139">
        <v>25</v>
      </c>
      <c r="E307" s="139">
        <v>160</v>
      </c>
      <c r="F307" s="151">
        <f>E307*D307</f>
        <v>4000</v>
      </c>
      <c r="G307" s="109"/>
      <c r="H307" s="92"/>
    </row>
    <row r="308" spans="1:8" x14ac:dyDescent="0.2">
      <c r="A308" s="79" t="s">
        <v>480</v>
      </c>
      <c r="B308" s="80" t="s">
        <v>1794</v>
      </c>
      <c r="C308" s="132" t="s">
        <v>1759</v>
      </c>
      <c r="D308" s="133">
        <v>0</v>
      </c>
      <c r="E308" s="133">
        <v>0</v>
      </c>
      <c r="F308" s="134">
        <f>F309+F318+F324+F326</f>
        <v>251141.03332300001</v>
      </c>
      <c r="G308" s="95"/>
      <c r="H308" s="90"/>
    </row>
    <row r="309" spans="1:8" x14ac:dyDescent="0.2">
      <c r="A309" s="81" t="s">
        <v>481</v>
      </c>
      <c r="B309" s="82" t="s">
        <v>261</v>
      </c>
      <c r="C309" s="135" t="s">
        <v>1759</v>
      </c>
      <c r="D309" s="136">
        <v>0</v>
      </c>
      <c r="E309" s="136">
        <v>0</v>
      </c>
      <c r="F309" s="137">
        <f>SUM(F310:F317)</f>
        <v>61846.392169999999</v>
      </c>
      <c r="G309" s="96"/>
      <c r="H309" s="91"/>
    </row>
    <row r="310" spans="1:8" x14ac:dyDescent="0.2">
      <c r="A310" s="83" t="s">
        <v>482</v>
      </c>
      <c r="B310" s="84" t="s">
        <v>343</v>
      </c>
      <c r="C310" s="138" t="s">
        <v>264</v>
      </c>
      <c r="D310" s="139">
        <v>2472</v>
      </c>
      <c r="E310" s="139">
        <v>9.7396700000000003</v>
      </c>
      <c r="F310" s="151">
        <f t="shared" ref="F310:F327" si="21">E310*D310</f>
        <v>24076.464240000001</v>
      </c>
      <c r="G310" s="109" t="s">
        <v>77</v>
      </c>
      <c r="H310" s="92"/>
    </row>
    <row r="311" spans="1:8" x14ac:dyDescent="0.2">
      <c r="A311" s="83" t="s">
        <v>483</v>
      </c>
      <c r="B311" s="84" t="s">
        <v>309</v>
      </c>
      <c r="C311" s="138" t="s">
        <v>264</v>
      </c>
      <c r="D311" s="139">
        <v>600</v>
      </c>
      <c r="E311" s="139">
        <v>8.6000499999999995</v>
      </c>
      <c r="F311" s="151">
        <f t="shared" si="21"/>
        <v>5160.03</v>
      </c>
      <c r="G311" s="109" t="s">
        <v>77</v>
      </c>
      <c r="H311" s="92"/>
    </row>
    <row r="312" spans="1:8" x14ac:dyDescent="0.2">
      <c r="A312" s="83" t="s">
        <v>484</v>
      </c>
      <c r="B312" s="84" t="s">
        <v>346</v>
      </c>
      <c r="C312" s="138" t="s">
        <v>264</v>
      </c>
      <c r="D312" s="139">
        <v>850</v>
      </c>
      <c r="E312" s="139">
        <v>8.9247300000000003</v>
      </c>
      <c r="F312" s="151">
        <f t="shared" si="21"/>
        <v>7586.0205000000005</v>
      </c>
      <c r="G312" s="109" t="s">
        <v>77</v>
      </c>
      <c r="H312" s="92"/>
    </row>
    <row r="313" spans="1:8" x14ac:dyDescent="0.2">
      <c r="A313" s="83" t="s">
        <v>485</v>
      </c>
      <c r="B313" s="84" t="s">
        <v>311</v>
      </c>
      <c r="C313" s="138" t="s">
        <v>264</v>
      </c>
      <c r="D313" s="139">
        <v>772</v>
      </c>
      <c r="E313" s="139">
        <v>7.6185299999999998</v>
      </c>
      <c r="F313" s="151">
        <f t="shared" si="21"/>
        <v>5881.5051599999997</v>
      </c>
      <c r="G313" s="109" t="s">
        <v>77</v>
      </c>
      <c r="H313" s="92"/>
    </row>
    <row r="314" spans="1:8" x14ac:dyDescent="0.2">
      <c r="A314" s="83" t="s">
        <v>486</v>
      </c>
      <c r="B314" s="84" t="s">
        <v>313</v>
      </c>
      <c r="C314" s="138" t="s">
        <v>264</v>
      </c>
      <c r="D314" s="139">
        <v>1366</v>
      </c>
      <c r="E314" s="139">
        <v>7.2436699999999998</v>
      </c>
      <c r="F314" s="151">
        <f t="shared" si="21"/>
        <v>9894.8532199999991</v>
      </c>
      <c r="G314" s="109" t="s">
        <v>77</v>
      </c>
      <c r="H314" s="92"/>
    </row>
    <row r="315" spans="1:8" x14ac:dyDescent="0.2">
      <c r="A315" s="83" t="s">
        <v>1795</v>
      </c>
      <c r="B315" s="84" t="s">
        <v>315</v>
      </c>
      <c r="C315" s="138" t="s">
        <v>264</v>
      </c>
      <c r="D315" s="139">
        <v>534</v>
      </c>
      <c r="E315" s="139">
        <v>7.2597699999999996</v>
      </c>
      <c r="F315" s="151">
        <f t="shared" si="21"/>
        <v>3876.7171799999996</v>
      </c>
      <c r="G315" s="109" t="s">
        <v>77</v>
      </c>
      <c r="H315" s="92"/>
    </row>
    <row r="316" spans="1:8" x14ac:dyDescent="0.2">
      <c r="A316" s="83" t="s">
        <v>1796</v>
      </c>
      <c r="B316" s="84" t="s">
        <v>351</v>
      </c>
      <c r="C316" s="138" t="s">
        <v>264</v>
      </c>
      <c r="D316" s="139">
        <v>431</v>
      </c>
      <c r="E316" s="139">
        <v>7.1706300000000001</v>
      </c>
      <c r="F316" s="151">
        <f t="shared" si="21"/>
        <v>3090.54153</v>
      </c>
      <c r="G316" s="109" t="s">
        <v>77</v>
      </c>
      <c r="H316" s="92"/>
    </row>
    <row r="317" spans="1:8" x14ac:dyDescent="0.2">
      <c r="A317" s="83" t="s">
        <v>1797</v>
      </c>
      <c r="B317" s="84" t="s">
        <v>319</v>
      </c>
      <c r="C317" s="138" t="s">
        <v>264</v>
      </c>
      <c r="D317" s="139">
        <v>318</v>
      </c>
      <c r="E317" s="139">
        <v>7.1706300000000001</v>
      </c>
      <c r="F317" s="151">
        <f t="shared" si="21"/>
        <v>2280.2603399999998</v>
      </c>
      <c r="G317" s="109" t="s">
        <v>77</v>
      </c>
      <c r="H317" s="92"/>
    </row>
    <row r="318" spans="1:8" x14ac:dyDescent="0.2">
      <c r="A318" s="81" t="s">
        <v>487</v>
      </c>
      <c r="B318" s="82" t="s">
        <v>257</v>
      </c>
      <c r="C318" s="135" t="s">
        <v>1759</v>
      </c>
      <c r="D318" s="136">
        <v>0</v>
      </c>
      <c r="E318" s="136">
        <v>0</v>
      </c>
      <c r="F318" s="137">
        <f>SUM(F319:F323)</f>
        <v>35129.235553000006</v>
      </c>
      <c r="G318" s="96"/>
      <c r="H318" s="91"/>
    </row>
    <row r="319" spans="1:8" ht="31.5" x14ac:dyDescent="0.2">
      <c r="A319" s="83" t="s">
        <v>488</v>
      </c>
      <c r="B319" s="84" t="s">
        <v>322</v>
      </c>
      <c r="C319" s="138" t="s">
        <v>130</v>
      </c>
      <c r="D319" s="139">
        <v>201.1</v>
      </c>
      <c r="E319" s="139">
        <v>1.1424099999999999</v>
      </c>
      <c r="F319" s="151">
        <f t="shared" si="21"/>
        <v>229.73865099999998</v>
      </c>
      <c r="G319" s="109" t="s">
        <v>494</v>
      </c>
      <c r="H319" s="92"/>
    </row>
    <row r="320" spans="1:8" ht="31.5" x14ac:dyDescent="0.2">
      <c r="A320" s="83" t="s">
        <v>489</v>
      </c>
      <c r="B320" s="84" t="s">
        <v>361</v>
      </c>
      <c r="C320" s="138" t="s">
        <v>130</v>
      </c>
      <c r="D320" s="139">
        <v>270.39999999999998</v>
      </c>
      <c r="E320" s="139">
        <v>4.1662099999999995</v>
      </c>
      <c r="F320" s="151">
        <f t="shared" si="21"/>
        <v>1126.5431839999999</v>
      </c>
      <c r="G320" s="109" t="s">
        <v>495</v>
      </c>
      <c r="H320" s="92"/>
    </row>
    <row r="321" spans="1:8" ht="31.5" x14ac:dyDescent="0.2">
      <c r="A321" s="83" t="s">
        <v>490</v>
      </c>
      <c r="B321" s="84" t="s">
        <v>363</v>
      </c>
      <c r="C321" s="138" t="s">
        <v>130</v>
      </c>
      <c r="D321" s="139">
        <v>418.66</v>
      </c>
      <c r="E321" s="139">
        <v>79.897300000000001</v>
      </c>
      <c r="F321" s="151">
        <f t="shared" si="21"/>
        <v>33449.803618000005</v>
      </c>
      <c r="G321" s="109"/>
      <c r="H321" s="92"/>
    </row>
    <row r="322" spans="1:8" ht="31.5" x14ac:dyDescent="0.2">
      <c r="A322" s="83" t="s">
        <v>1798</v>
      </c>
      <c r="B322" s="84" t="s">
        <v>323</v>
      </c>
      <c r="C322" s="138" t="s">
        <v>130</v>
      </c>
      <c r="D322" s="139">
        <v>373.1</v>
      </c>
      <c r="E322" s="139">
        <v>0.79140999999999995</v>
      </c>
      <c r="F322" s="151">
        <f t="shared" si="21"/>
        <v>295.27507100000003</v>
      </c>
      <c r="G322" s="109" t="s">
        <v>496</v>
      </c>
      <c r="H322" s="92"/>
    </row>
    <row r="323" spans="1:8" ht="31.5" x14ac:dyDescent="0.2">
      <c r="A323" s="83" t="s">
        <v>1799</v>
      </c>
      <c r="B323" s="84" t="s">
        <v>384</v>
      </c>
      <c r="C323" s="138" t="s">
        <v>130</v>
      </c>
      <c r="D323" s="139">
        <v>16.899999999999999</v>
      </c>
      <c r="E323" s="139">
        <v>1.6494099999999998</v>
      </c>
      <c r="F323" s="151">
        <f t="shared" si="21"/>
        <v>27.875028999999994</v>
      </c>
      <c r="G323" s="109"/>
      <c r="H323" s="92" t="s">
        <v>79</v>
      </c>
    </row>
    <row r="324" spans="1:8" x14ac:dyDescent="0.2">
      <c r="A324" s="81" t="s">
        <v>491</v>
      </c>
      <c r="B324" s="82" t="s">
        <v>280</v>
      </c>
      <c r="C324" s="135" t="s">
        <v>1759</v>
      </c>
      <c r="D324" s="136">
        <v>0</v>
      </c>
      <c r="E324" s="136">
        <v>0</v>
      </c>
      <c r="F324" s="137">
        <f>F325</f>
        <v>49500.405600000006</v>
      </c>
      <c r="G324" s="96"/>
      <c r="H324" s="91"/>
    </row>
    <row r="325" spans="1:8" ht="31.5" x14ac:dyDescent="0.2">
      <c r="A325" s="83" t="s">
        <v>1800</v>
      </c>
      <c r="B325" s="84" t="s">
        <v>1777</v>
      </c>
      <c r="C325" s="138" t="s">
        <v>251</v>
      </c>
      <c r="D325" s="139">
        <v>77.8</v>
      </c>
      <c r="E325" s="139">
        <v>636.25200000000007</v>
      </c>
      <c r="F325" s="151">
        <f t="shared" si="21"/>
        <v>49500.405600000006</v>
      </c>
      <c r="G325" s="109" t="s">
        <v>73</v>
      </c>
      <c r="H325" s="92"/>
    </row>
    <row r="326" spans="1:8" x14ac:dyDescent="0.2">
      <c r="A326" s="81" t="s">
        <v>492</v>
      </c>
      <c r="B326" s="82" t="s">
        <v>295</v>
      </c>
      <c r="C326" s="135" t="s">
        <v>1759</v>
      </c>
      <c r="D326" s="136">
        <v>0</v>
      </c>
      <c r="E326" s="136">
        <v>0</v>
      </c>
      <c r="F326" s="137">
        <f>F327</f>
        <v>104665</v>
      </c>
      <c r="G326" s="96"/>
      <c r="H326" s="91"/>
    </row>
    <row r="327" spans="1:8" x14ac:dyDescent="0.2">
      <c r="A327" s="83" t="s">
        <v>493</v>
      </c>
      <c r="B327" s="84" t="s">
        <v>335</v>
      </c>
      <c r="C327" s="138" t="s">
        <v>130</v>
      </c>
      <c r="D327" s="139">
        <v>418.66</v>
      </c>
      <c r="E327" s="139">
        <v>250</v>
      </c>
      <c r="F327" s="151">
        <f t="shared" si="21"/>
        <v>104665</v>
      </c>
      <c r="G327" s="109"/>
      <c r="H327" s="92"/>
    </row>
    <row r="328" spans="1:8" x14ac:dyDescent="0.2">
      <c r="A328" s="79" t="s">
        <v>1801</v>
      </c>
      <c r="B328" s="80" t="s">
        <v>1802</v>
      </c>
      <c r="C328" s="132" t="s">
        <v>1759</v>
      </c>
      <c r="D328" s="133">
        <v>0</v>
      </c>
      <c r="E328" s="133">
        <v>0</v>
      </c>
      <c r="F328" s="134">
        <f>F329+F338+F343+F345</f>
        <v>73273.928618000005</v>
      </c>
      <c r="G328" s="95"/>
      <c r="H328" s="90"/>
    </row>
    <row r="329" spans="1:8" x14ac:dyDescent="0.2">
      <c r="A329" s="81" t="s">
        <v>1803</v>
      </c>
      <c r="B329" s="82" t="s">
        <v>261</v>
      </c>
      <c r="C329" s="135" t="s">
        <v>1759</v>
      </c>
      <c r="D329" s="136">
        <v>0</v>
      </c>
      <c r="E329" s="136">
        <v>0</v>
      </c>
      <c r="F329" s="137">
        <f>SUM(F330:F337)</f>
        <v>23255.418900000001</v>
      </c>
      <c r="G329" s="96"/>
      <c r="H329" s="91"/>
    </row>
    <row r="330" spans="1:8" x14ac:dyDescent="0.2">
      <c r="A330" s="83" t="s">
        <v>1804</v>
      </c>
      <c r="B330" s="84" t="s">
        <v>343</v>
      </c>
      <c r="C330" s="138" t="s">
        <v>264</v>
      </c>
      <c r="D330" s="139">
        <v>767</v>
      </c>
      <c r="E330" s="139">
        <v>9.7396700000000003</v>
      </c>
      <c r="F330" s="151">
        <f t="shared" ref="F330:F346" si="22">E330*D330</f>
        <v>7470.3268900000003</v>
      </c>
      <c r="G330" s="109" t="s">
        <v>77</v>
      </c>
      <c r="H330" s="92"/>
    </row>
    <row r="331" spans="1:8" x14ac:dyDescent="0.2">
      <c r="A331" s="83" t="s">
        <v>1805</v>
      </c>
      <c r="B331" s="84" t="s">
        <v>309</v>
      </c>
      <c r="C331" s="138" t="s">
        <v>264</v>
      </c>
      <c r="D331" s="139">
        <v>173</v>
      </c>
      <c r="E331" s="139">
        <v>8.6000499999999995</v>
      </c>
      <c r="F331" s="151">
        <f t="shared" si="22"/>
        <v>1487.8086499999999</v>
      </c>
      <c r="G331" s="109" t="s">
        <v>77</v>
      </c>
      <c r="H331" s="92"/>
    </row>
    <row r="332" spans="1:8" x14ac:dyDescent="0.2">
      <c r="A332" s="83" t="s">
        <v>1806</v>
      </c>
      <c r="B332" s="84" t="s">
        <v>346</v>
      </c>
      <c r="C332" s="138" t="s">
        <v>264</v>
      </c>
      <c r="D332" s="139">
        <v>219</v>
      </c>
      <c r="E332" s="139">
        <v>8.9247300000000003</v>
      </c>
      <c r="F332" s="151">
        <f t="shared" si="22"/>
        <v>1954.5158699999999</v>
      </c>
      <c r="G332" s="109" t="s">
        <v>77</v>
      </c>
      <c r="H332" s="92"/>
    </row>
    <row r="333" spans="1:8" x14ac:dyDescent="0.2">
      <c r="A333" s="83" t="s">
        <v>1807</v>
      </c>
      <c r="B333" s="84" t="s">
        <v>311</v>
      </c>
      <c r="C333" s="138" t="s">
        <v>264</v>
      </c>
      <c r="D333" s="139">
        <v>328</v>
      </c>
      <c r="E333" s="139">
        <v>7.6185299999999998</v>
      </c>
      <c r="F333" s="151">
        <f t="shared" si="22"/>
        <v>2498.8778400000001</v>
      </c>
      <c r="G333" s="109" t="s">
        <v>77</v>
      </c>
      <c r="H333" s="92"/>
    </row>
    <row r="334" spans="1:8" x14ac:dyDescent="0.2">
      <c r="A334" s="83" t="s">
        <v>1808</v>
      </c>
      <c r="B334" s="84" t="s">
        <v>313</v>
      </c>
      <c r="C334" s="138" t="s">
        <v>264</v>
      </c>
      <c r="D334" s="139">
        <v>582</v>
      </c>
      <c r="E334" s="139">
        <v>7.2436699999999998</v>
      </c>
      <c r="F334" s="151">
        <f t="shared" si="22"/>
        <v>4215.8159399999995</v>
      </c>
      <c r="G334" s="109" t="s">
        <v>77</v>
      </c>
      <c r="H334" s="92"/>
    </row>
    <row r="335" spans="1:8" x14ac:dyDescent="0.2">
      <c r="A335" s="83" t="s">
        <v>1809</v>
      </c>
      <c r="B335" s="84" t="s">
        <v>315</v>
      </c>
      <c r="C335" s="138" t="s">
        <v>264</v>
      </c>
      <c r="D335" s="139">
        <v>312</v>
      </c>
      <c r="E335" s="139">
        <v>7.2597699999999996</v>
      </c>
      <c r="F335" s="151">
        <f t="shared" si="22"/>
        <v>2265.0482400000001</v>
      </c>
      <c r="G335" s="109" t="s">
        <v>77</v>
      </c>
      <c r="H335" s="92"/>
    </row>
    <row r="336" spans="1:8" x14ac:dyDescent="0.2">
      <c r="A336" s="83" t="s">
        <v>1810</v>
      </c>
      <c r="B336" s="84" t="s">
        <v>351</v>
      </c>
      <c r="C336" s="138" t="s">
        <v>264</v>
      </c>
      <c r="D336" s="139">
        <v>267</v>
      </c>
      <c r="E336" s="139">
        <v>7.1706300000000001</v>
      </c>
      <c r="F336" s="151">
        <f t="shared" si="22"/>
        <v>1914.5582099999999</v>
      </c>
      <c r="G336" s="109" t="s">
        <v>77</v>
      </c>
      <c r="H336" s="92"/>
    </row>
    <row r="337" spans="1:8" x14ac:dyDescent="0.2">
      <c r="A337" s="83" t="s">
        <v>1811</v>
      </c>
      <c r="B337" s="84" t="s">
        <v>319</v>
      </c>
      <c r="C337" s="138" t="s">
        <v>264</v>
      </c>
      <c r="D337" s="139">
        <v>202</v>
      </c>
      <c r="E337" s="139">
        <v>7.1706300000000001</v>
      </c>
      <c r="F337" s="151">
        <f t="shared" si="22"/>
        <v>1448.4672600000001</v>
      </c>
      <c r="G337" s="109" t="s">
        <v>77</v>
      </c>
      <c r="H337" s="92"/>
    </row>
    <row r="338" spans="1:8" x14ac:dyDescent="0.2">
      <c r="A338" s="81" t="s">
        <v>1812</v>
      </c>
      <c r="B338" s="82" t="s">
        <v>257</v>
      </c>
      <c r="C338" s="135" t="s">
        <v>1759</v>
      </c>
      <c r="D338" s="136">
        <v>0</v>
      </c>
      <c r="E338" s="136">
        <v>0</v>
      </c>
      <c r="F338" s="137">
        <f>SUM(F339:F342)</f>
        <v>5970.6721179999995</v>
      </c>
      <c r="G338" s="96"/>
      <c r="H338" s="91"/>
    </row>
    <row r="339" spans="1:8" ht="31.5" x14ac:dyDescent="0.2">
      <c r="A339" s="83" t="s">
        <v>1813</v>
      </c>
      <c r="B339" s="84" t="s">
        <v>322</v>
      </c>
      <c r="C339" s="138" t="s">
        <v>130</v>
      </c>
      <c r="D339" s="139">
        <v>217</v>
      </c>
      <c r="E339" s="139">
        <v>1.1424099999999999</v>
      </c>
      <c r="F339" s="151">
        <f t="shared" si="22"/>
        <v>247.90296999999998</v>
      </c>
      <c r="G339" s="109" t="s">
        <v>497</v>
      </c>
      <c r="H339" s="92"/>
    </row>
    <row r="340" spans="1:8" ht="31.5" x14ac:dyDescent="0.2">
      <c r="A340" s="83" t="s">
        <v>1814</v>
      </c>
      <c r="B340" s="84" t="s">
        <v>361</v>
      </c>
      <c r="C340" s="138" t="s">
        <v>130</v>
      </c>
      <c r="D340" s="139">
        <v>110.7</v>
      </c>
      <c r="E340" s="139">
        <v>4.1662099999999995</v>
      </c>
      <c r="F340" s="151">
        <f t="shared" si="22"/>
        <v>461.19944699999996</v>
      </c>
      <c r="G340" s="109" t="s">
        <v>498</v>
      </c>
      <c r="H340" s="92"/>
    </row>
    <row r="341" spans="1:8" ht="31.5" x14ac:dyDescent="0.2">
      <c r="A341" s="83" t="s">
        <v>1815</v>
      </c>
      <c r="B341" s="84" t="s">
        <v>363</v>
      </c>
      <c r="C341" s="138" t="s">
        <v>130</v>
      </c>
      <c r="D341" s="139">
        <v>64.72</v>
      </c>
      <c r="E341" s="139">
        <v>79.897300000000001</v>
      </c>
      <c r="F341" s="151">
        <f t="shared" si="22"/>
        <v>5170.9532559999998</v>
      </c>
      <c r="G341" s="109"/>
      <c r="H341" s="92" t="s">
        <v>79</v>
      </c>
    </row>
    <row r="342" spans="1:8" ht="31.5" x14ac:dyDescent="0.2">
      <c r="A342" s="83" t="s">
        <v>1816</v>
      </c>
      <c r="B342" s="84" t="s">
        <v>323</v>
      </c>
      <c r="C342" s="138" t="s">
        <v>130</v>
      </c>
      <c r="D342" s="139">
        <v>114.5</v>
      </c>
      <c r="E342" s="139">
        <v>0.79140999999999995</v>
      </c>
      <c r="F342" s="151">
        <f t="shared" si="22"/>
        <v>90.616444999999999</v>
      </c>
      <c r="G342" s="109"/>
      <c r="H342" s="92"/>
    </row>
    <row r="343" spans="1:8" x14ac:dyDescent="0.2">
      <c r="A343" s="81" t="s">
        <v>1817</v>
      </c>
      <c r="B343" s="82" t="s">
        <v>280</v>
      </c>
      <c r="C343" s="135" t="s">
        <v>1759</v>
      </c>
      <c r="D343" s="136">
        <v>0</v>
      </c>
      <c r="E343" s="136">
        <v>0</v>
      </c>
      <c r="F343" s="137">
        <f>F344</f>
        <v>27867.837600000006</v>
      </c>
      <c r="G343" s="96"/>
      <c r="H343" s="91"/>
    </row>
    <row r="344" spans="1:8" ht="31.5" x14ac:dyDescent="0.2">
      <c r="A344" s="83" t="s">
        <v>1818</v>
      </c>
      <c r="B344" s="84" t="s">
        <v>1777</v>
      </c>
      <c r="C344" s="138" t="s">
        <v>251</v>
      </c>
      <c r="D344" s="139">
        <v>43.800000000000004</v>
      </c>
      <c r="E344" s="139">
        <v>636.25200000000007</v>
      </c>
      <c r="F344" s="151">
        <f t="shared" si="22"/>
        <v>27867.837600000006</v>
      </c>
      <c r="G344" s="109" t="s">
        <v>73</v>
      </c>
      <c r="H344" s="92"/>
    </row>
    <row r="345" spans="1:8" x14ac:dyDescent="0.2">
      <c r="A345" s="81" t="s">
        <v>1819</v>
      </c>
      <c r="B345" s="82" t="s">
        <v>295</v>
      </c>
      <c r="C345" s="135" t="s">
        <v>1759</v>
      </c>
      <c r="D345" s="136">
        <v>0</v>
      </c>
      <c r="E345" s="136">
        <v>0</v>
      </c>
      <c r="F345" s="137">
        <f>F346</f>
        <v>16180</v>
      </c>
      <c r="G345" s="96"/>
      <c r="H345" s="91"/>
    </row>
    <row r="346" spans="1:8" x14ac:dyDescent="0.2">
      <c r="A346" s="83" t="s">
        <v>1820</v>
      </c>
      <c r="B346" s="84" t="s">
        <v>335</v>
      </c>
      <c r="C346" s="138" t="s">
        <v>130</v>
      </c>
      <c r="D346" s="139">
        <v>64.72</v>
      </c>
      <c r="E346" s="139">
        <v>250</v>
      </c>
      <c r="F346" s="151">
        <f t="shared" si="22"/>
        <v>16180</v>
      </c>
      <c r="G346" s="109"/>
      <c r="H346" s="92"/>
    </row>
    <row r="347" spans="1:8" x14ac:dyDescent="0.2">
      <c r="A347" s="77" t="s">
        <v>499</v>
      </c>
      <c r="B347" s="78" t="s">
        <v>500</v>
      </c>
      <c r="C347" s="129" t="s">
        <v>1759</v>
      </c>
      <c r="D347" s="130">
        <v>0</v>
      </c>
      <c r="E347" s="130">
        <v>0</v>
      </c>
      <c r="F347" s="131">
        <f>F348+F366+F384+F402+F420+F437+F454+F470+F485</f>
        <v>1536405.3966421888</v>
      </c>
      <c r="G347" s="118"/>
      <c r="H347" s="89"/>
    </row>
    <row r="348" spans="1:8" x14ac:dyDescent="0.2">
      <c r="A348" s="79" t="s">
        <v>501</v>
      </c>
      <c r="B348" s="80" t="s">
        <v>502</v>
      </c>
      <c r="C348" s="132" t="s">
        <v>1759</v>
      </c>
      <c r="D348" s="133">
        <v>0</v>
      </c>
      <c r="E348" s="133">
        <v>0</v>
      </c>
      <c r="F348" s="134">
        <f>F349+F352+F355+F357+F361</f>
        <v>79208.071608188897</v>
      </c>
      <c r="G348" s="95"/>
      <c r="H348" s="90"/>
    </row>
    <row r="349" spans="1:8" x14ac:dyDescent="0.2">
      <c r="A349" s="81" t="s">
        <v>503</v>
      </c>
      <c r="B349" s="82" t="s">
        <v>504</v>
      </c>
      <c r="C349" s="135" t="s">
        <v>1759</v>
      </c>
      <c r="D349" s="136">
        <v>0</v>
      </c>
      <c r="E349" s="136">
        <v>0</v>
      </c>
      <c r="F349" s="137">
        <f>SUM(F350:F351)</f>
        <v>16822.862150000001</v>
      </c>
      <c r="G349" s="96"/>
      <c r="H349" s="91"/>
    </row>
    <row r="350" spans="1:8" ht="31.5" x14ac:dyDescent="0.2">
      <c r="A350" s="83" t="s">
        <v>505</v>
      </c>
      <c r="B350" s="84" t="s">
        <v>506</v>
      </c>
      <c r="C350" s="138" t="s">
        <v>130</v>
      </c>
      <c r="D350" s="139">
        <v>51.02</v>
      </c>
      <c r="E350" s="139">
        <v>32.912500000000001</v>
      </c>
      <c r="F350" s="151">
        <f>E350*D350</f>
        <v>1679.1957500000001</v>
      </c>
      <c r="G350" s="109"/>
      <c r="H350" s="92"/>
    </row>
    <row r="351" spans="1:8" ht="31.5" x14ac:dyDescent="0.2">
      <c r="A351" s="83" t="s">
        <v>507</v>
      </c>
      <c r="B351" s="84" t="s">
        <v>508</v>
      </c>
      <c r="C351" s="138" t="s">
        <v>130</v>
      </c>
      <c r="D351" s="139">
        <v>355.36</v>
      </c>
      <c r="E351" s="139">
        <v>42.615000000000002</v>
      </c>
      <c r="F351" s="151">
        <f>E351*D351</f>
        <v>15143.666400000002</v>
      </c>
      <c r="G351" s="109"/>
      <c r="H351" s="92"/>
    </row>
    <row r="352" spans="1:8" x14ac:dyDescent="0.2">
      <c r="A352" s="81" t="s">
        <v>509</v>
      </c>
      <c r="B352" s="82" t="s">
        <v>510</v>
      </c>
      <c r="C352" s="135" t="s">
        <v>1759</v>
      </c>
      <c r="D352" s="136">
        <v>0</v>
      </c>
      <c r="E352" s="136">
        <v>0</v>
      </c>
      <c r="F352" s="137">
        <f>F353+F354</f>
        <v>14555.41749</v>
      </c>
      <c r="G352" s="96"/>
      <c r="H352" s="91"/>
    </row>
    <row r="353" spans="1:8" ht="31.5" x14ac:dyDescent="0.2">
      <c r="A353" s="83" t="s">
        <v>511</v>
      </c>
      <c r="B353" s="84" t="s">
        <v>512</v>
      </c>
      <c r="C353" s="138" t="s">
        <v>130</v>
      </c>
      <c r="D353" s="139">
        <v>129.51</v>
      </c>
      <c r="E353" s="139">
        <v>68.614000000000004</v>
      </c>
      <c r="F353" s="151">
        <f>E353*D353</f>
        <v>8886.1991400000006</v>
      </c>
      <c r="G353" s="109"/>
      <c r="H353" s="92"/>
    </row>
    <row r="354" spans="1:8" x14ac:dyDescent="0.2">
      <c r="A354" s="83" t="s">
        <v>1908</v>
      </c>
      <c r="B354" s="84" t="s">
        <v>1905</v>
      </c>
      <c r="C354" s="138" t="s">
        <v>130</v>
      </c>
      <c r="D354" s="139">
        <v>26.19</v>
      </c>
      <c r="E354" s="139">
        <v>216.465</v>
      </c>
      <c r="F354" s="151">
        <f>E354*D354</f>
        <v>5669.2183500000001</v>
      </c>
      <c r="G354" s="109" t="s">
        <v>2054</v>
      </c>
      <c r="H354" s="92"/>
    </row>
    <row r="355" spans="1:8" x14ac:dyDescent="0.2">
      <c r="A355" s="81" t="s">
        <v>513</v>
      </c>
      <c r="B355" s="82" t="s">
        <v>514</v>
      </c>
      <c r="C355" s="135" t="s">
        <v>1759</v>
      </c>
      <c r="D355" s="136">
        <v>0</v>
      </c>
      <c r="E355" s="136">
        <v>0</v>
      </c>
      <c r="F355" s="137">
        <f>F356</f>
        <v>17929.350000000002</v>
      </c>
      <c r="G355" s="96"/>
      <c r="H355" s="91"/>
    </row>
    <row r="356" spans="1:8" x14ac:dyDescent="0.2">
      <c r="A356" s="83" t="s">
        <v>515</v>
      </c>
      <c r="B356" s="84" t="s">
        <v>516</v>
      </c>
      <c r="C356" s="138" t="s">
        <v>130</v>
      </c>
      <c r="D356" s="139">
        <v>116.5</v>
      </c>
      <c r="E356" s="139">
        <v>153.9</v>
      </c>
      <c r="F356" s="151">
        <f>E356*D356</f>
        <v>17929.350000000002</v>
      </c>
      <c r="G356" s="109"/>
      <c r="H356" s="92"/>
    </row>
    <row r="357" spans="1:8" x14ac:dyDescent="0.2">
      <c r="A357" s="81" t="s">
        <v>517</v>
      </c>
      <c r="B357" s="82" t="s">
        <v>518</v>
      </c>
      <c r="C357" s="135" t="s">
        <v>1759</v>
      </c>
      <c r="D357" s="136">
        <v>0</v>
      </c>
      <c r="E357" s="136">
        <v>0</v>
      </c>
      <c r="F357" s="137">
        <f>SUM(F358:F360)</f>
        <v>7447.0819681888997</v>
      </c>
      <c r="G357" s="96"/>
      <c r="H357" s="91"/>
    </row>
    <row r="358" spans="1:8" x14ac:dyDescent="0.2">
      <c r="A358" s="83" t="s">
        <v>519</v>
      </c>
      <c r="B358" s="84" t="s">
        <v>27</v>
      </c>
      <c r="C358" s="138" t="s">
        <v>123</v>
      </c>
      <c r="D358" s="160">
        <v>44.57</v>
      </c>
      <c r="E358" s="139">
        <v>56.865491769999998</v>
      </c>
      <c r="F358" s="151">
        <f t="shared" ref="F358:F364" si="23">E358*D358</f>
        <v>2534.4949681888997</v>
      </c>
      <c r="G358" s="109"/>
      <c r="H358" s="92"/>
    </row>
    <row r="359" spans="1:8" x14ac:dyDescent="0.2">
      <c r="A359" s="83" t="s">
        <v>520</v>
      </c>
      <c r="B359" s="84" t="s">
        <v>521</v>
      </c>
      <c r="C359" s="138" t="s">
        <v>109</v>
      </c>
      <c r="D359" s="139">
        <v>268</v>
      </c>
      <c r="E359" s="139">
        <v>3.7</v>
      </c>
      <c r="F359" s="151">
        <f t="shared" si="23"/>
        <v>991.6</v>
      </c>
      <c r="G359" s="109"/>
      <c r="H359" s="92"/>
    </row>
    <row r="360" spans="1:8" x14ac:dyDescent="0.2">
      <c r="A360" s="83" t="s">
        <v>522</v>
      </c>
      <c r="B360" s="84" t="s">
        <v>523</v>
      </c>
      <c r="C360" s="138" t="s">
        <v>123</v>
      </c>
      <c r="D360" s="139">
        <v>247.85</v>
      </c>
      <c r="E360" s="139">
        <v>15.82</v>
      </c>
      <c r="F360" s="151">
        <f t="shared" si="23"/>
        <v>3920.9870000000001</v>
      </c>
      <c r="G360" s="109"/>
      <c r="H360" s="92"/>
    </row>
    <row r="361" spans="1:8" x14ac:dyDescent="0.2">
      <c r="A361" s="81" t="s">
        <v>524</v>
      </c>
      <c r="B361" s="82" t="s">
        <v>295</v>
      </c>
      <c r="C361" s="135" t="s">
        <v>1759</v>
      </c>
      <c r="D361" s="136">
        <v>0</v>
      </c>
      <c r="E361" s="136">
        <v>0</v>
      </c>
      <c r="F361" s="137">
        <f>SUM(F362:F365)</f>
        <v>22453.360000000001</v>
      </c>
      <c r="G361" s="96"/>
      <c r="H361" s="91"/>
    </row>
    <row r="362" spans="1:8" ht="31.5" x14ac:dyDescent="0.2">
      <c r="A362" s="83" t="s">
        <v>525</v>
      </c>
      <c r="B362" s="84" t="s">
        <v>526</v>
      </c>
      <c r="C362" s="138" t="s">
        <v>130</v>
      </c>
      <c r="D362" s="139">
        <v>406.38</v>
      </c>
      <c r="E362" s="139">
        <v>34</v>
      </c>
      <c r="F362" s="151">
        <f t="shared" si="23"/>
        <v>13816.92</v>
      </c>
      <c r="G362" s="109"/>
      <c r="H362" s="92"/>
    </row>
    <row r="363" spans="1:8" ht="31.5" x14ac:dyDescent="0.2">
      <c r="A363" s="83" t="s">
        <v>527</v>
      </c>
      <c r="B363" s="84" t="s">
        <v>528</v>
      </c>
      <c r="C363" s="138" t="s">
        <v>130</v>
      </c>
      <c r="D363" s="139">
        <v>129.51</v>
      </c>
      <c r="E363" s="139">
        <v>36</v>
      </c>
      <c r="F363" s="151">
        <f t="shared" si="23"/>
        <v>4662.3599999999997</v>
      </c>
      <c r="G363" s="109"/>
      <c r="H363" s="92"/>
    </row>
    <row r="364" spans="1:8" ht="31.5" x14ac:dyDescent="0.2">
      <c r="A364" s="83" t="s">
        <v>529</v>
      </c>
      <c r="B364" s="84" t="s">
        <v>530</v>
      </c>
      <c r="C364" s="138" t="s">
        <v>130</v>
      </c>
      <c r="D364" s="160">
        <v>62.72</v>
      </c>
      <c r="E364" s="139">
        <v>50</v>
      </c>
      <c r="F364" s="151">
        <f t="shared" si="23"/>
        <v>3136</v>
      </c>
      <c r="G364" s="109"/>
      <c r="H364" s="92"/>
    </row>
    <row r="365" spans="1:8" ht="31.5" x14ac:dyDescent="0.2">
      <c r="A365" s="83" t="s">
        <v>1907</v>
      </c>
      <c r="B365" s="84" t="s">
        <v>1906</v>
      </c>
      <c r="C365" s="138" t="s">
        <v>130</v>
      </c>
      <c r="D365" s="160">
        <v>26.19</v>
      </c>
      <c r="E365" s="139">
        <v>32</v>
      </c>
      <c r="F365" s="151">
        <f t="shared" ref="F365" si="24">E365*D365</f>
        <v>838.08</v>
      </c>
      <c r="G365" s="109"/>
      <c r="H365" s="92"/>
    </row>
    <row r="366" spans="1:8" x14ac:dyDescent="0.2">
      <c r="A366" s="79" t="s">
        <v>531</v>
      </c>
      <c r="B366" s="80" t="s">
        <v>1821</v>
      </c>
      <c r="C366" s="132" t="s">
        <v>1759</v>
      </c>
      <c r="D366" s="133">
        <v>0</v>
      </c>
      <c r="E366" s="133">
        <v>0</v>
      </c>
      <c r="F366" s="134">
        <f>F367+F370+F373+F375+F379</f>
        <v>49063.45420516</v>
      </c>
      <c r="G366" s="95"/>
      <c r="H366" s="90"/>
    </row>
    <row r="367" spans="1:8" x14ac:dyDescent="0.2">
      <c r="A367" s="81" t="s">
        <v>532</v>
      </c>
      <c r="B367" s="82" t="s">
        <v>504</v>
      </c>
      <c r="C367" s="135" t="s">
        <v>1759</v>
      </c>
      <c r="D367" s="136">
        <v>0</v>
      </c>
      <c r="E367" s="136">
        <v>0</v>
      </c>
      <c r="F367" s="137">
        <f>SUM(F368:F369)</f>
        <v>11637.987775</v>
      </c>
      <c r="G367" s="96"/>
      <c r="H367" s="91"/>
    </row>
    <row r="368" spans="1:8" ht="31.5" x14ac:dyDescent="0.2">
      <c r="A368" s="83" t="s">
        <v>533</v>
      </c>
      <c r="B368" s="84" t="s">
        <v>506</v>
      </c>
      <c r="C368" s="138" t="s">
        <v>130</v>
      </c>
      <c r="D368" s="139">
        <v>26.59</v>
      </c>
      <c r="E368" s="139">
        <v>32.912500000000001</v>
      </c>
      <c r="F368" s="151">
        <f>E368*D368</f>
        <v>875.14337499999999</v>
      </c>
      <c r="G368" s="109"/>
      <c r="H368" s="92"/>
    </row>
    <row r="369" spans="1:8" ht="31.5" x14ac:dyDescent="0.2">
      <c r="A369" s="83" t="s">
        <v>534</v>
      </c>
      <c r="B369" s="84" t="s">
        <v>508</v>
      </c>
      <c r="C369" s="138" t="s">
        <v>130</v>
      </c>
      <c r="D369" s="139">
        <v>252.56</v>
      </c>
      <c r="E369" s="139">
        <v>42.615000000000002</v>
      </c>
      <c r="F369" s="151">
        <f>E369*D369</f>
        <v>10762.8444</v>
      </c>
      <c r="G369" s="109"/>
      <c r="H369" s="92"/>
    </row>
    <row r="370" spans="1:8" x14ac:dyDescent="0.2">
      <c r="A370" s="81" t="s">
        <v>535</v>
      </c>
      <c r="B370" s="82" t="s">
        <v>510</v>
      </c>
      <c r="C370" s="135" t="s">
        <v>1759</v>
      </c>
      <c r="D370" s="136">
        <v>0</v>
      </c>
      <c r="E370" s="136">
        <v>0</v>
      </c>
      <c r="F370" s="137">
        <f>F371+F372</f>
        <v>11903.035290000002</v>
      </c>
      <c r="G370" s="96"/>
      <c r="H370" s="91"/>
    </row>
    <row r="371" spans="1:8" ht="31.5" x14ac:dyDescent="0.2">
      <c r="A371" s="83" t="s">
        <v>536</v>
      </c>
      <c r="B371" s="84" t="s">
        <v>512</v>
      </c>
      <c r="C371" s="138" t="s">
        <v>130</v>
      </c>
      <c r="D371" s="139">
        <v>74.260000000000005</v>
      </c>
      <c r="E371" s="139">
        <v>67.126500000000007</v>
      </c>
      <c r="F371" s="151">
        <f>E371*D371</f>
        <v>4984.8138900000013</v>
      </c>
      <c r="G371" s="109"/>
      <c r="H371" s="92"/>
    </row>
    <row r="372" spans="1:8" x14ac:dyDescent="0.2">
      <c r="A372" s="83" t="s">
        <v>2047</v>
      </c>
      <c r="B372" s="84" t="s">
        <v>1905</v>
      </c>
      <c r="C372" s="138" t="s">
        <v>130</v>
      </c>
      <c r="D372" s="139">
        <v>31.96</v>
      </c>
      <c r="E372" s="139">
        <v>216.465</v>
      </c>
      <c r="F372" s="151">
        <f>E372*D372</f>
        <v>6918.2214000000004</v>
      </c>
      <c r="G372" s="109" t="s">
        <v>2054</v>
      </c>
      <c r="H372" s="92"/>
    </row>
    <row r="373" spans="1:8" x14ac:dyDescent="0.2">
      <c r="A373" s="81" t="s">
        <v>537</v>
      </c>
      <c r="B373" s="82" t="s">
        <v>514</v>
      </c>
      <c r="C373" s="135" t="s">
        <v>1759</v>
      </c>
      <c r="D373" s="136">
        <v>0</v>
      </c>
      <c r="E373" s="136">
        <v>0</v>
      </c>
      <c r="F373" s="137">
        <f>F374</f>
        <v>5797.4130000000005</v>
      </c>
      <c r="G373" s="96"/>
      <c r="H373" s="91"/>
    </row>
    <row r="374" spans="1:8" x14ac:dyDescent="0.2">
      <c r="A374" s="83" t="s">
        <v>538</v>
      </c>
      <c r="B374" s="84" t="s">
        <v>516</v>
      </c>
      <c r="C374" s="138" t="s">
        <v>130</v>
      </c>
      <c r="D374" s="139">
        <v>37.67</v>
      </c>
      <c r="E374" s="139">
        <v>153.9</v>
      </c>
      <c r="F374" s="151">
        <f>E374*D374</f>
        <v>5797.4130000000005</v>
      </c>
      <c r="G374" s="109"/>
      <c r="H374" s="92"/>
    </row>
    <row r="375" spans="1:8" x14ac:dyDescent="0.2">
      <c r="A375" s="81" t="s">
        <v>539</v>
      </c>
      <c r="B375" s="82" t="s">
        <v>518</v>
      </c>
      <c r="C375" s="135" t="s">
        <v>1759</v>
      </c>
      <c r="D375" s="136">
        <v>0</v>
      </c>
      <c r="E375" s="136">
        <v>0</v>
      </c>
      <c r="F375" s="137">
        <f>SUM(F376:F378)</f>
        <v>5056.33814016</v>
      </c>
      <c r="G375" s="96"/>
      <c r="H375" s="91"/>
    </row>
    <row r="376" spans="1:8" x14ac:dyDescent="0.2">
      <c r="A376" s="83" t="s">
        <v>540</v>
      </c>
      <c r="B376" s="84" t="s">
        <v>27</v>
      </c>
      <c r="C376" s="138" t="s">
        <v>123</v>
      </c>
      <c r="D376" s="160">
        <v>32.22</v>
      </c>
      <c r="E376" s="139">
        <v>56.842928000000001</v>
      </c>
      <c r="F376" s="151">
        <f>E376*D376</f>
        <v>1831.47914016</v>
      </c>
      <c r="G376" s="109"/>
      <c r="H376" s="92"/>
    </row>
    <row r="377" spans="1:8" ht="31.5" x14ac:dyDescent="0.2">
      <c r="A377" s="83" t="s">
        <v>541</v>
      </c>
      <c r="B377" s="84" t="s">
        <v>521</v>
      </c>
      <c r="C377" s="138" t="s">
        <v>109</v>
      </c>
      <c r="D377" s="139">
        <v>177</v>
      </c>
      <c r="E377" s="139">
        <v>3.7</v>
      </c>
      <c r="F377" s="151">
        <f>E377*D377</f>
        <v>654.9</v>
      </c>
      <c r="G377" s="109"/>
      <c r="H377" s="92"/>
    </row>
    <row r="378" spans="1:8" ht="31.5" x14ac:dyDescent="0.2">
      <c r="A378" s="83" t="s">
        <v>542</v>
      </c>
      <c r="B378" s="84" t="s">
        <v>523</v>
      </c>
      <c r="C378" s="138" t="s">
        <v>123</v>
      </c>
      <c r="D378" s="139">
        <v>162.45000000000002</v>
      </c>
      <c r="E378" s="139">
        <v>15.82</v>
      </c>
      <c r="F378" s="151">
        <f>E378*D378</f>
        <v>2569.9590000000003</v>
      </c>
      <c r="G378" s="109"/>
      <c r="H378" s="92"/>
    </row>
    <row r="379" spans="1:8" x14ac:dyDescent="0.2">
      <c r="A379" s="81" t="s">
        <v>543</v>
      </c>
      <c r="B379" s="82" t="s">
        <v>295</v>
      </c>
      <c r="C379" s="135" t="s">
        <v>1759</v>
      </c>
      <c r="D379" s="136">
        <v>0</v>
      </c>
      <c r="E379" s="136">
        <v>0</v>
      </c>
      <c r="F379" s="137">
        <f>SUM(F380:F383)</f>
        <v>14668.68</v>
      </c>
      <c r="G379" s="96"/>
      <c r="H379" s="91"/>
    </row>
    <row r="380" spans="1:8" ht="31.5" x14ac:dyDescent="0.2">
      <c r="A380" s="83" t="s">
        <v>544</v>
      </c>
      <c r="B380" s="84" t="s">
        <v>526</v>
      </c>
      <c r="C380" s="138" t="s">
        <v>130</v>
      </c>
      <c r="D380" s="139">
        <v>279.15000000000003</v>
      </c>
      <c r="E380" s="139">
        <v>34</v>
      </c>
      <c r="F380" s="151">
        <f>E380*D380</f>
        <v>9491.1</v>
      </c>
      <c r="G380" s="109"/>
      <c r="H380" s="92"/>
    </row>
    <row r="381" spans="1:8" ht="31.5" x14ac:dyDescent="0.2">
      <c r="A381" s="83" t="s">
        <v>545</v>
      </c>
      <c r="B381" s="84" t="s">
        <v>528</v>
      </c>
      <c r="C381" s="138" t="s">
        <v>130</v>
      </c>
      <c r="D381" s="139">
        <v>74.260000000000005</v>
      </c>
      <c r="E381" s="139">
        <v>36</v>
      </c>
      <c r="F381" s="151">
        <f>E381*D381</f>
        <v>2673.36</v>
      </c>
      <c r="G381" s="109"/>
      <c r="H381" s="92"/>
    </row>
    <row r="382" spans="1:8" ht="31.5" x14ac:dyDescent="0.2">
      <c r="A382" s="83" t="s">
        <v>546</v>
      </c>
      <c r="B382" s="84" t="s">
        <v>530</v>
      </c>
      <c r="C382" s="138" t="s">
        <v>130</v>
      </c>
      <c r="D382" s="160">
        <v>29.63</v>
      </c>
      <c r="E382" s="139">
        <v>50</v>
      </c>
      <c r="F382" s="151">
        <f>E382*D382</f>
        <v>1481.5</v>
      </c>
      <c r="G382" s="109"/>
      <c r="H382" s="92"/>
    </row>
    <row r="383" spans="1:8" ht="31.5" x14ac:dyDescent="0.2">
      <c r="A383" s="83" t="s">
        <v>2048</v>
      </c>
      <c r="B383" s="84" t="s">
        <v>1906</v>
      </c>
      <c r="C383" s="138" t="s">
        <v>130</v>
      </c>
      <c r="D383" s="160">
        <v>31.96</v>
      </c>
      <c r="E383" s="139">
        <v>32</v>
      </c>
      <c r="F383" s="151">
        <f t="shared" ref="F383" si="25">E383*D383</f>
        <v>1022.72</v>
      </c>
      <c r="G383" s="109"/>
      <c r="H383" s="92"/>
    </row>
    <row r="384" spans="1:8" x14ac:dyDescent="0.2">
      <c r="A384" s="79" t="s">
        <v>547</v>
      </c>
      <c r="B384" s="80" t="s">
        <v>1822</v>
      </c>
      <c r="C384" s="132" t="s">
        <v>1759</v>
      </c>
      <c r="D384" s="133">
        <v>0</v>
      </c>
      <c r="E384" s="133">
        <v>0</v>
      </c>
      <c r="F384" s="134">
        <f>F385+F388+F391+F393+F397</f>
        <v>48301.888903359999</v>
      </c>
      <c r="G384" s="95"/>
      <c r="H384" s="90"/>
    </row>
    <row r="385" spans="1:8" x14ac:dyDescent="0.2">
      <c r="A385" s="81" t="s">
        <v>548</v>
      </c>
      <c r="B385" s="82" t="s">
        <v>504</v>
      </c>
      <c r="C385" s="135" t="s">
        <v>1759</v>
      </c>
      <c r="D385" s="136">
        <v>0</v>
      </c>
      <c r="E385" s="136">
        <v>0</v>
      </c>
      <c r="F385" s="137">
        <f>SUM(F386:F387)</f>
        <v>11894.398850000001</v>
      </c>
      <c r="G385" s="96"/>
      <c r="H385" s="91"/>
    </row>
    <row r="386" spans="1:8" ht="31.5" x14ac:dyDescent="0.2">
      <c r="A386" s="83" t="s">
        <v>549</v>
      </c>
      <c r="B386" s="84" t="s">
        <v>506</v>
      </c>
      <c r="C386" s="138" t="s">
        <v>130</v>
      </c>
      <c r="D386" s="139">
        <v>28.580000000000002</v>
      </c>
      <c r="E386" s="139">
        <v>32.912500000000001</v>
      </c>
      <c r="F386" s="151">
        <f>E386*D386</f>
        <v>940.63925000000006</v>
      </c>
      <c r="G386" s="109"/>
      <c r="H386" s="92"/>
    </row>
    <row r="387" spans="1:8" ht="31.5" x14ac:dyDescent="0.2">
      <c r="A387" s="83" t="s">
        <v>550</v>
      </c>
      <c r="B387" s="84" t="s">
        <v>508</v>
      </c>
      <c r="C387" s="138" t="s">
        <v>130</v>
      </c>
      <c r="D387" s="139">
        <v>257.04000000000002</v>
      </c>
      <c r="E387" s="139">
        <v>42.615000000000002</v>
      </c>
      <c r="F387" s="151">
        <f>E387*D387</f>
        <v>10953.759600000001</v>
      </c>
      <c r="G387" s="109"/>
      <c r="H387" s="92"/>
    </row>
    <row r="388" spans="1:8" x14ac:dyDescent="0.2">
      <c r="A388" s="81" t="s">
        <v>551</v>
      </c>
      <c r="B388" s="82" t="s">
        <v>510</v>
      </c>
      <c r="C388" s="135" t="s">
        <v>1759</v>
      </c>
      <c r="D388" s="136">
        <v>0</v>
      </c>
      <c r="E388" s="136">
        <v>0</v>
      </c>
      <c r="F388" s="137">
        <f>F389+F390</f>
        <v>10818.900030000001</v>
      </c>
      <c r="G388" s="96"/>
      <c r="H388" s="91"/>
    </row>
    <row r="389" spans="1:8" ht="31.5" x14ac:dyDescent="0.2">
      <c r="A389" s="83" t="s">
        <v>552</v>
      </c>
      <c r="B389" s="84" t="s">
        <v>512</v>
      </c>
      <c r="C389" s="138" t="s">
        <v>130</v>
      </c>
      <c r="D389" s="139">
        <v>74.62</v>
      </c>
      <c r="E389" s="139">
        <v>67.126500000000007</v>
      </c>
      <c r="F389" s="151">
        <f>E389*D389</f>
        <v>5008.9794300000012</v>
      </c>
      <c r="G389" s="109"/>
      <c r="H389" s="92"/>
    </row>
    <row r="390" spans="1:8" ht="31.5" x14ac:dyDescent="0.2">
      <c r="A390" s="83" t="s">
        <v>2049</v>
      </c>
      <c r="B390" s="84" t="s">
        <v>1905</v>
      </c>
      <c r="C390" s="138" t="s">
        <v>130</v>
      </c>
      <c r="D390" s="139">
        <v>26.84</v>
      </c>
      <c r="E390" s="139">
        <v>216.465</v>
      </c>
      <c r="F390" s="151">
        <f>E390*D390</f>
        <v>5809.9206000000004</v>
      </c>
      <c r="G390" s="109" t="s">
        <v>2054</v>
      </c>
      <c r="H390" s="92"/>
    </row>
    <row r="391" spans="1:8" x14ac:dyDescent="0.2">
      <c r="A391" s="81" t="s">
        <v>553</v>
      </c>
      <c r="B391" s="82" t="s">
        <v>514</v>
      </c>
      <c r="C391" s="135" t="s">
        <v>1759</v>
      </c>
      <c r="D391" s="136">
        <v>0</v>
      </c>
      <c r="E391" s="136">
        <v>0</v>
      </c>
      <c r="F391" s="137">
        <f>F392</f>
        <v>5778.9450000000006</v>
      </c>
      <c r="G391" s="96"/>
      <c r="H391" s="91"/>
    </row>
    <row r="392" spans="1:8" x14ac:dyDescent="0.2">
      <c r="A392" s="83" t="s">
        <v>554</v>
      </c>
      <c r="B392" s="84" t="s">
        <v>516</v>
      </c>
      <c r="C392" s="138" t="s">
        <v>130</v>
      </c>
      <c r="D392" s="139">
        <v>37.550000000000004</v>
      </c>
      <c r="E392" s="139">
        <v>153.9</v>
      </c>
      <c r="F392" s="151">
        <f>E392*D392</f>
        <v>5778.9450000000006</v>
      </c>
      <c r="G392" s="109"/>
      <c r="H392" s="92"/>
    </row>
    <row r="393" spans="1:8" x14ac:dyDescent="0.2">
      <c r="A393" s="81" t="s">
        <v>555</v>
      </c>
      <c r="B393" s="82" t="s">
        <v>518</v>
      </c>
      <c r="C393" s="135" t="s">
        <v>1759</v>
      </c>
      <c r="D393" s="136">
        <v>0</v>
      </c>
      <c r="E393" s="136">
        <v>0</v>
      </c>
      <c r="F393" s="137">
        <f>SUM(F394:F396)</f>
        <v>5071.8650233600001</v>
      </c>
      <c r="G393" s="96"/>
      <c r="H393" s="91"/>
    </row>
    <row r="394" spans="1:8" x14ac:dyDescent="0.2">
      <c r="A394" s="83" t="s">
        <v>556</v>
      </c>
      <c r="B394" s="84" t="s">
        <v>27</v>
      </c>
      <c r="C394" s="138" t="s">
        <v>123</v>
      </c>
      <c r="D394" s="160">
        <v>32.22</v>
      </c>
      <c r="E394" s="139">
        <v>56.865487999999999</v>
      </c>
      <c r="F394" s="151">
        <f>E394*D394</f>
        <v>1832.20602336</v>
      </c>
      <c r="G394" s="109"/>
      <c r="H394" s="92"/>
    </row>
    <row r="395" spans="1:8" ht="31.5" x14ac:dyDescent="0.2">
      <c r="A395" s="83" t="s">
        <v>557</v>
      </c>
      <c r="B395" s="84" t="s">
        <v>521</v>
      </c>
      <c r="C395" s="138" t="s">
        <v>109</v>
      </c>
      <c r="D395" s="139">
        <v>181</v>
      </c>
      <c r="E395" s="139">
        <v>3.7</v>
      </c>
      <c r="F395" s="151">
        <f>E395*D395</f>
        <v>669.7</v>
      </c>
      <c r="G395" s="109"/>
      <c r="H395" s="92"/>
    </row>
    <row r="396" spans="1:8" ht="31.5" x14ac:dyDescent="0.2">
      <c r="A396" s="83" t="s">
        <v>558</v>
      </c>
      <c r="B396" s="84" t="s">
        <v>523</v>
      </c>
      <c r="C396" s="138" t="s">
        <v>123</v>
      </c>
      <c r="D396" s="139">
        <v>162.45000000000002</v>
      </c>
      <c r="E396" s="139">
        <v>15.82</v>
      </c>
      <c r="F396" s="151">
        <f>E396*D396</f>
        <v>2569.9590000000003</v>
      </c>
      <c r="G396" s="109"/>
      <c r="H396" s="92"/>
    </row>
    <row r="397" spans="1:8" x14ac:dyDescent="0.2">
      <c r="A397" s="81" t="s">
        <v>559</v>
      </c>
      <c r="B397" s="82" t="s">
        <v>295</v>
      </c>
      <c r="C397" s="135" t="s">
        <v>1759</v>
      </c>
      <c r="D397" s="136">
        <v>0</v>
      </c>
      <c r="E397" s="136">
        <v>0</v>
      </c>
      <c r="F397" s="137">
        <f>SUM(F398:F401)</f>
        <v>14737.779999999999</v>
      </c>
      <c r="G397" s="96"/>
      <c r="H397" s="91"/>
    </row>
    <row r="398" spans="1:8" ht="31.5" x14ac:dyDescent="0.2">
      <c r="A398" s="83" t="s">
        <v>560</v>
      </c>
      <c r="B398" s="84" t="s">
        <v>526</v>
      </c>
      <c r="C398" s="138" t="s">
        <v>130</v>
      </c>
      <c r="D398" s="139">
        <v>285.62</v>
      </c>
      <c r="E398" s="139">
        <v>34</v>
      </c>
      <c r="F398" s="151">
        <f>E398*D398</f>
        <v>9711.08</v>
      </c>
      <c r="G398" s="109"/>
      <c r="H398" s="92"/>
    </row>
    <row r="399" spans="1:8" ht="31.5" x14ac:dyDescent="0.2">
      <c r="A399" s="83" t="s">
        <v>561</v>
      </c>
      <c r="B399" s="84" t="s">
        <v>528</v>
      </c>
      <c r="C399" s="138" t="s">
        <v>130</v>
      </c>
      <c r="D399" s="139">
        <v>74.62</v>
      </c>
      <c r="E399" s="139">
        <v>36</v>
      </c>
      <c r="F399" s="151">
        <f>E399*D399</f>
        <v>2686.32</v>
      </c>
      <c r="G399" s="109"/>
      <c r="H399" s="92"/>
    </row>
    <row r="400" spans="1:8" ht="31.5" x14ac:dyDescent="0.2">
      <c r="A400" s="83" t="s">
        <v>562</v>
      </c>
      <c r="B400" s="84" t="s">
        <v>530</v>
      </c>
      <c r="C400" s="138" t="s">
        <v>130</v>
      </c>
      <c r="D400" s="160">
        <v>29.63</v>
      </c>
      <c r="E400" s="139">
        <v>50</v>
      </c>
      <c r="F400" s="151">
        <f>E400*D400</f>
        <v>1481.5</v>
      </c>
      <c r="G400" s="109"/>
      <c r="H400" s="92"/>
    </row>
    <row r="401" spans="1:8" ht="31.5" x14ac:dyDescent="0.2">
      <c r="A401" s="83" t="s">
        <v>2050</v>
      </c>
      <c r="B401" s="84" t="s">
        <v>1906</v>
      </c>
      <c r="C401" s="138" t="s">
        <v>130</v>
      </c>
      <c r="D401" s="160">
        <v>26.84</v>
      </c>
      <c r="E401" s="139">
        <v>32</v>
      </c>
      <c r="F401" s="151">
        <f t="shared" ref="F401" si="26">E401*D401</f>
        <v>858.88</v>
      </c>
      <c r="G401" s="109"/>
      <c r="H401" s="92"/>
    </row>
    <row r="402" spans="1:8" x14ac:dyDescent="0.2">
      <c r="A402" s="79" t="s">
        <v>563</v>
      </c>
      <c r="B402" s="80" t="s">
        <v>1823</v>
      </c>
      <c r="C402" s="132" t="s">
        <v>1759</v>
      </c>
      <c r="D402" s="133">
        <v>0</v>
      </c>
      <c r="E402" s="133">
        <v>0</v>
      </c>
      <c r="F402" s="134">
        <f>F403+F406+F409+F411+F415</f>
        <v>49382.721971359999</v>
      </c>
      <c r="G402" s="95"/>
      <c r="H402" s="90"/>
    </row>
    <row r="403" spans="1:8" x14ac:dyDescent="0.2">
      <c r="A403" s="81" t="s">
        <v>564</v>
      </c>
      <c r="B403" s="82" t="s">
        <v>504</v>
      </c>
      <c r="C403" s="135" t="s">
        <v>1759</v>
      </c>
      <c r="D403" s="136">
        <v>0</v>
      </c>
      <c r="E403" s="136">
        <v>0</v>
      </c>
      <c r="F403" s="137">
        <f>SUM(F404:F405)</f>
        <v>11129.419475000001</v>
      </c>
      <c r="G403" s="96"/>
      <c r="H403" s="91"/>
    </row>
    <row r="404" spans="1:8" ht="31.5" x14ac:dyDescent="0.2">
      <c r="A404" s="83" t="s">
        <v>565</v>
      </c>
      <c r="B404" s="84" t="s">
        <v>506</v>
      </c>
      <c r="C404" s="138" t="s">
        <v>130</v>
      </c>
      <c r="D404" s="139">
        <v>20.81</v>
      </c>
      <c r="E404" s="139">
        <v>32.912500000000001</v>
      </c>
      <c r="F404" s="151">
        <f>E404*D404</f>
        <v>684.90912500000002</v>
      </c>
      <c r="G404" s="109"/>
      <c r="H404" s="92"/>
    </row>
    <row r="405" spans="1:8" ht="31.5" x14ac:dyDescent="0.2">
      <c r="A405" s="83" t="s">
        <v>566</v>
      </c>
      <c r="B405" s="84" t="s">
        <v>508</v>
      </c>
      <c r="C405" s="138" t="s">
        <v>130</v>
      </c>
      <c r="D405" s="139">
        <v>245.09</v>
      </c>
      <c r="E405" s="139">
        <v>42.615000000000002</v>
      </c>
      <c r="F405" s="151">
        <f>E405*D405</f>
        <v>10444.51035</v>
      </c>
      <c r="G405" s="109"/>
      <c r="H405" s="92"/>
    </row>
    <row r="406" spans="1:8" x14ac:dyDescent="0.2">
      <c r="A406" s="81" t="s">
        <v>567</v>
      </c>
      <c r="B406" s="82" t="s">
        <v>510</v>
      </c>
      <c r="C406" s="135" t="s">
        <v>1759</v>
      </c>
      <c r="D406" s="136">
        <v>0</v>
      </c>
      <c r="E406" s="136">
        <v>0</v>
      </c>
      <c r="F406" s="137">
        <f>F407+F408</f>
        <v>13166.107785</v>
      </c>
      <c r="G406" s="96"/>
      <c r="H406" s="91"/>
    </row>
    <row r="407" spans="1:8" ht="31.5" x14ac:dyDescent="0.2">
      <c r="A407" s="83" t="s">
        <v>568</v>
      </c>
      <c r="B407" s="84" t="s">
        <v>512</v>
      </c>
      <c r="C407" s="138" t="s">
        <v>130</v>
      </c>
      <c r="D407" s="139">
        <v>90.69</v>
      </c>
      <c r="E407" s="139">
        <v>67.126500000000007</v>
      </c>
      <c r="F407" s="151">
        <f>E407*D407</f>
        <v>6087.7022850000003</v>
      </c>
      <c r="G407" s="109"/>
      <c r="H407" s="92"/>
    </row>
    <row r="408" spans="1:8" x14ac:dyDescent="0.2">
      <c r="A408" s="83" t="s">
        <v>2051</v>
      </c>
      <c r="B408" s="84" t="s">
        <v>1905</v>
      </c>
      <c r="C408" s="138" t="s">
        <v>130</v>
      </c>
      <c r="D408" s="139">
        <v>32.700000000000003</v>
      </c>
      <c r="E408" s="139">
        <v>216.465</v>
      </c>
      <c r="F408" s="151">
        <f>E408*D408</f>
        <v>7078.4055000000008</v>
      </c>
      <c r="G408" s="109"/>
      <c r="H408" s="92"/>
    </row>
    <row r="409" spans="1:8" x14ac:dyDescent="0.2">
      <c r="A409" s="81" t="s">
        <v>569</v>
      </c>
      <c r="B409" s="82" t="s">
        <v>514</v>
      </c>
      <c r="C409" s="135" t="s">
        <v>1759</v>
      </c>
      <c r="D409" s="136">
        <v>0</v>
      </c>
      <c r="E409" s="136">
        <v>0</v>
      </c>
      <c r="F409" s="137">
        <f>F410</f>
        <v>6179.085</v>
      </c>
      <c r="G409" s="96"/>
      <c r="H409" s="91"/>
    </row>
    <row r="410" spans="1:8" x14ac:dyDescent="0.2">
      <c r="A410" s="83" t="s">
        <v>570</v>
      </c>
      <c r="B410" s="84" t="s">
        <v>516</v>
      </c>
      <c r="C410" s="138" t="s">
        <v>130</v>
      </c>
      <c r="D410" s="139">
        <v>40.15</v>
      </c>
      <c r="E410" s="139">
        <v>153.9</v>
      </c>
      <c r="F410" s="151">
        <f>E410*D410</f>
        <v>6179.085</v>
      </c>
      <c r="G410" s="109"/>
      <c r="H410" s="92"/>
    </row>
    <row r="411" spans="1:8" x14ac:dyDescent="0.2">
      <c r="A411" s="81" t="s">
        <v>571</v>
      </c>
      <c r="B411" s="82" t="s">
        <v>518</v>
      </c>
      <c r="C411" s="135" t="s">
        <v>1759</v>
      </c>
      <c r="D411" s="136">
        <v>0</v>
      </c>
      <c r="E411" s="136">
        <v>0</v>
      </c>
      <c r="F411" s="137">
        <f>SUM(F412:F414)</f>
        <v>3848.7697113600002</v>
      </c>
      <c r="G411" s="96"/>
      <c r="H411" s="91"/>
    </row>
    <row r="412" spans="1:8" x14ac:dyDescent="0.2">
      <c r="A412" s="83" t="s">
        <v>572</v>
      </c>
      <c r="B412" s="84" t="s">
        <v>27</v>
      </c>
      <c r="C412" s="138" t="s">
        <v>123</v>
      </c>
      <c r="D412" s="160">
        <v>33.22</v>
      </c>
      <c r="E412" s="139">
        <v>56.865487999999999</v>
      </c>
      <c r="F412" s="151">
        <f>E412*D412</f>
        <v>1889.0715113599999</v>
      </c>
      <c r="G412" s="109"/>
      <c r="H412" s="92"/>
    </row>
    <row r="413" spans="1:8" ht="31.5" x14ac:dyDescent="0.2">
      <c r="A413" s="83" t="s">
        <v>573</v>
      </c>
      <c r="B413" s="84" t="s">
        <v>521</v>
      </c>
      <c r="C413" s="138" t="s">
        <v>109</v>
      </c>
      <c r="D413" s="139">
        <v>179</v>
      </c>
      <c r="E413" s="139">
        <v>3.7</v>
      </c>
      <c r="F413" s="151">
        <f>E413*D413</f>
        <v>662.30000000000007</v>
      </c>
      <c r="G413" s="109"/>
      <c r="H413" s="92"/>
    </row>
    <row r="414" spans="1:8" ht="31.5" x14ac:dyDescent="0.2">
      <c r="A414" s="83" t="s">
        <v>574</v>
      </c>
      <c r="B414" s="84" t="s">
        <v>523</v>
      </c>
      <c r="C414" s="138" t="s">
        <v>123</v>
      </c>
      <c r="D414" s="139">
        <v>82.01</v>
      </c>
      <c r="E414" s="139">
        <v>15.82</v>
      </c>
      <c r="F414" s="151">
        <f>E414*D414</f>
        <v>1297.3982000000001</v>
      </c>
      <c r="G414" s="109"/>
      <c r="H414" s="92"/>
    </row>
    <row r="415" spans="1:8" x14ac:dyDescent="0.2">
      <c r="A415" s="81" t="s">
        <v>575</v>
      </c>
      <c r="B415" s="82" t="s">
        <v>295</v>
      </c>
      <c r="C415" s="135" t="s">
        <v>1759</v>
      </c>
      <c r="D415" s="136">
        <v>0</v>
      </c>
      <c r="E415" s="136">
        <v>0</v>
      </c>
      <c r="F415" s="137">
        <f>SUM(F416:F419)</f>
        <v>15059.339999999998</v>
      </c>
      <c r="G415" s="96"/>
      <c r="H415" s="91"/>
    </row>
    <row r="416" spans="1:8" ht="31.5" x14ac:dyDescent="0.2">
      <c r="A416" s="83" t="s">
        <v>576</v>
      </c>
      <c r="B416" s="84" t="s">
        <v>526</v>
      </c>
      <c r="C416" s="138" t="s">
        <v>130</v>
      </c>
      <c r="D416" s="139">
        <v>265.89999999999998</v>
      </c>
      <c r="E416" s="139">
        <v>34</v>
      </c>
      <c r="F416" s="151">
        <f>E416*D416</f>
        <v>9040.5999999999985</v>
      </c>
      <c r="G416" s="109"/>
      <c r="H416" s="92"/>
    </row>
    <row r="417" spans="1:8" ht="31.5" x14ac:dyDescent="0.2">
      <c r="A417" s="83" t="s">
        <v>577</v>
      </c>
      <c r="B417" s="84" t="s">
        <v>528</v>
      </c>
      <c r="C417" s="138" t="s">
        <v>130</v>
      </c>
      <c r="D417" s="139">
        <v>90.69</v>
      </c>
      <c r="E417" s="139">
        <v>36</v>
      </c>
      <c r="F417" s="151">
        <f>E417*D417</f>
        <v>3264.84</v>
      </c>
      <c r="G417" s="109"/>
      <c r="H417" s="92"/>
    </row>
    <row r="418" spans="1:8" ht="31.5" x14ac:dyDescent="0.2">
      <c r="A418" s="83" t="s">
        <v>578</v>
      </c>
      <c r="B418" s="84" t="s">
        <v>530</v>
      </c>
      <c r="C418" s="138" t="s">
        <v>130</v>
      </c>
      <c r="D418" s="160">
        <v>34.15</v>
      </c>
      <c r="E418" s="139">
        <v>50</v>
      </c>
      <c r="F418" s="151">
        <f>E418*D418</f>
        <v>1707.5</v>
      </c>
      <c r="G418" s="109"/>
      <c r="H418" s="92"/>
    </row>
    <row r="419" spans="1:8" ht="31.5" x14ac:dyDescent="0.2">
      <c r="A419" s="83" t="s">
        <v>2052</v>
      </c>
      <c r="B419" s="84" t="s">
        <v>1906</v>
      </c>
      <c r="C419" s="138" t="s">
        <v>130</v>
      </c>
      <c r="D419" s="160">
        <v>32.700000000000003</v>
      </c>
      <c r="E419" s="139">
        <v>32</v>
      </c>
      <c r="F419" s="151">
        <f t="shared" ref="F419" si="27">E419*D419</f>
        <v>1046.4000000000001</v>
      </c>
      <c r="G419" s="109"/>
      <c r="H419" s="92"/>
    </row>
    <row r="420" spans="1:8" x14ac:dyDescent="0.2">
      <c r="A420" s="79" t="s">
        <v>579</v>
      </c>
      <c r="B420" s="80" t="s">
        <v>1824</v>
      </c>
      <c r="C420" s="132" t="s">
        <v>1759</v>
      </c>
      <c r="D420" s="133">
        <v>0</v>
      </c>
      <c r="E420" s="133">
        <v>0</v>
      </c>
      <c r="F420" s="134">
        <f>F421+F425+F427+F429+F433</f>
        <v>79424.032498240005</v>
      </c>
      <c r="G420" s="95"/>
      <c r="H420" s="90"/>
    </row>
    <row r="421" spans="1:8" x14ac:dyDescent="0.2">
      <c r="A421" s="81" t="s">
        <v>580</v>
      </c>
      <c r="B421" s="82" t="s">
        <v>504</v>
      </c>
      <c r="C421" s="135" t="s">
        <v>1759</v>
      </c>
      <c r="D421" s="136">
        <v>0</v>
      </c>
      <c r="E421" s="136">
        <v>0</v>
      </c>
      <c r="F421" s="137">
        <f>SUM(F422:F424)</f>
        <v>17381.478924999999</v>
      </c>
      <c r="G421" s="96"/>
      <c r="H421" s="91"/>
    </row>
    <row r="422" spans="1:8" ht="31.5" x14ac:dyDescent="0.2">
      <c r="A422" s="83" t="s">
        <v>581</v>
      </c>
      <c r="B422" s="84" t="s">
        <v>506</v>
      </c>
      <c r="C422" s="138" t="s">
        <v>130</v>
      </c>
      <c r="D422" s="139">
        <v>492.26</v>
      </c>
      <c r="E422" s="139">
        <v>32.912500000000001</v>
      </c>
      <c r="F422" s="151">
        <f>E422*D422</f>
        <v>16201.507250000001</v>
      </c>
      <c r="G422" s="109"/>
      <c r="H422" s="92"/>
    </row>
    <row r="423" spans="1:8" ht="31.5" x14ac:dyDescent="0.2">
      <c r="A423" s="83" t="s">
        <v>582</v>
      </c>
      <c r="B423" s="84" t="s">
        <v>508</v>
      </c>
      <c r="C423" s="138" t="s">
        <v>130</v>
      </c>
      <c r="D423" s="139">
        <v>23.75</v>
      </c>
      <c r="E423" s="139">
        <v>42.615000000000002</v>
      </c>
      <c r="F423" s="151">
        <f>E423*D423</f>
        <v>1012.10625</v>
      </c>
      <c r="G423" s="109"/>
      <c r="H423" s="92"/>
    </row>
    <row r="424" spans="1:8" ht="31.5" x14ac:dyDescent="0.2">
      <c r="A424" s="83" t="s">
        <v>1825</v>
      </c>
      <c r="B424" s="84" t="s">
        <v>1826</v>
      </c>
      <c r="C424" s="138" t="s">
        <v>130</v>
      </c>
      <c r="D424" s="139">
        <v>5.8100000000000005</v>
      </c>
      <c r="E424" s="139">
        <v>28.892500000000002</v>
      </c>
      <c r="F424" s="151">
        <f>E424*D424</f>
        <v>167.86542500000002</v>
      </c>
      <c r="G424" s="109"/>
      <c r="H424" s="92"/>
    </row>
    <row r="425" spans="1:8" x14ac:dyDescent="0.2">
      <c r="A425" s="81" t="s">
        <v>583</v>
      </c>
      <c r="B425" s="82" t="s">
        <v>510</v>
      </c>
      <c r="C425" s="135" t="s">
        <v>1759</v>
      </c>
      <c r="D425" s="136">
        <v>0</v>
      </c>
      <c r="E425" s="136">
        <v>0</v>
      </c>
      <c r="F425" s="137">
        <f>F426</f>
        <v>7745.7268350000013</v>
      </c>
      <c r="G425" s="96"/>
      <c r="H425" s="91"/>
    </row>
    <row r="426" spans="1:8" ht="31.5" x14ac:dyDescent="0.2">
      <c r="A426" s="83" t="s">
        <v>584</v>
      </c>
      <c r="B426" s="84" t="s">
        <v>512</v>
      </c>
      <c r="C426" s="138" t="s">
        <v>130</v>
      </c>
      <c r="D426" s="139">
        <v>115.39</v>
      </c>
      <c r="E426" s="139">
        <v>67.126500000000007</v>
      </c>
      <c r="F426" s="151">
        <f>E426*D426</f>
        <v>7745.7268350000013</v>
      </c>
      <c r="G426" s="109"/>
      <c r="H426" s="92"/>
    </row>
    <row r="427" spans="1:8" x14ac:dyDescent="0.2">
      <c r="A427" s="81" t="s">
        <v>585</v>
      </c>
      <c r="B427" s="82" t="s">
        <v>514</v>
      </c>
      <c r="C427" s="135" t="s">
        <v>1759</v>
      </c>
      <c r="D427" s="136">
        <v>0</v>
      </c>
      <c r="E427" s="136">
        <v>0</v>
      </c>
      <c r="F427" s="137">
        <f>F428</f>
        <v>10886.886</v>
      </c>
      <c r="G427" s="96"/>
      <c r="H427" s="91"/>
    </row>
    <row r="428" spans="1:8" x14ac:dyDescent="0.2">
      <c r="A428" s="83" t="s">
        <v>586</v>
      </c>
      <c r="B428" s="84" t="s">
        <v>516</v>
      </c>
      <c r="C428" s="138" t="s">
        <v>130</v>
      </c>
      <c r="D428" s="139">
        <v>70.739999999999995</v>
      </c>
      <c r="E428" s="139">
        <v>153.9</v>
      </c>
      <c r="F428" s="151">
        <f>E428*D428</f>
        <v>10886.886</v>
      </c>
      <c r="G428" s="109"/>
      <c r="H428" s="92"/>
    </row>
    <row r="429" spans="1:8" x14ac:dyDescent="0.2">
      <c r="A429" s="81" t="s">
        <v>587</v>
      </c>
      <c r="B429" s="82" t="s">
        <v>518</v>
      </c>
      <c r="C429" s="135" t="s">
        <v>1759</v>
      </c>
      <c r="D429" s="136">
        <v>0</v>
      </c>
      <c r="E429" s="136">
        <v>0</v>
      </c>
      <c r="F429" s="137">
        <f>SUM(F430:F432)</f>
        <v>16626.52073824</v>
      </c>
      <c r="G429" s="96"/>
      <c r="H429" s="91"/>
    </row>
    <row r="430" spans="1:8" x14ac:dyDescent="0.2">
      <c r="A430" s="83" t="s">
        <v>588</v>
      </c>
      <c r="B430" s="84" t="s">
        <v>27</v>
      </c>
      <c r="C430" s="138" t="s">
        <v>123</v>
      </c>
      <c r="D430" s="160">
        <v>170.98</v>
      </c>
      <c r="E430" s="139">
        <v>56.865487999999999</v>
      </c>
      <c r="F430" s="151">
        <f>E430*D430</f>
        <v>9722.8611382399995</v>
      </c>
      <c r="G430" s="109"/>
      <c r="H430" s="92"/>
    </row>
    <row r="431" spans="1:8" ht="31.5" x14ac:dyDescent="0.2">
      <c r="A431" s="83" t="s">
        <v>589</v>
      </c>
      <c r="B431" s="84" t="s">
        <v>521</v>
      </c>
      <c r="C431" s="138" t="s">
        <v>109</v>
      </c>
      <c r="D431" s="139">
        <v>319</v>
      </c>
      <c r="E431" s="139">
        <v>3.7</v>
      </c>
      <c r="F431" s="151">
        <f>E431*D431</f>
        <v>1180.3</v>
      </c>
      <c r="G431" s="109"/>
      <c r="H431" s="92"/>
    </row>
    <row r="432" spans="1:8" ht="31.5" x14ac:dyDescent="0.2">
      <c r="A432" s="83" t="s">
        <v>590</v>
      </c>
      <c r="B432" s="84" t="s">
        <v>523</v>
      </c>
      <c r="C432" s="138" t="s">
        <v>123</v>
      </c>
      <c r="D432" s="139">
        <v>361.78000000000003</v>
      </c>
      <c r="E432" s="139">
        <v>15.82</v>
      </c>
      <c r="F432" s="151">
        <f>E432*D432</f>
        <v>5723.3596000000007</v>
      </c>
      <c r="G432" s="109"/>
      <c r="H432" s="92"/>
    </row>
    <row r="433" spans="1:8" x14ac:dyDescent="0.2">
      <c r="A433" s="81" t="s">
        <v>591</v>
      </c>
      <c r="B433" s="82" t="s">
        <v>295</v>
      </c>
      <c r="C433" s="135" t="s">
        <v>1759</v>
      </c>
      <c r="D433" s="136">
        <v>0</v>
      </c>
      <c r="E433" s="136">
        <v>0</v>
      </c>
      <c r="F433" s="137">
        <f>SUM(F434:F436)</f>
        <v>26783.420000000002</v>
      </c>
      <c r="G433" s="96"/>
      <c r="H433" s="91"/>
    </row>
    <row r="434" spans="1:8" ht="31.5" x14ac:dyDescent="0.2">
      <c r="A434" s="83" t="s">
        <v>592</v>
      </c>
      <c r="B434" s="84" t="s">
        <v>526</v>
      </c>
      <c r="C434" s="138" t="s">
        <v>130</v>
      </c>
      <c r="D434" s="139">
        <v>521.82000000000005</v>
      </c>
      <c r="E434" s="139">
        <v>34</v>
      </c>
      <c r="F434" s="151">
        <f>E434*D434</f>
        <v>17741.88</v>
      </c>
      <c r="G434" s="109"/>
      <c r="H434" s="92"/>
    </row>
    <row r="435" spans="1:8" ht="31.5" x14ac:dyDescent="0.2">
      <c r="A435" s="83" t="s">
        <v>593</v>
      </c>
      <c r="B435" s="84" t="s">
        <v>528</v>
      </c>
      <c r="C435" s="138" t="s">
        <v>130</v>
      </c>
      <c r="D435" s="139">
        <v>115.39</v>
      </c>
      <c r="E435" s="139">
        <v>36</v>
      </c>
      <c r="F435" s="151">
        <f>E435*D435</f>
        <v>4154.04</v>
      </c>
      <c r="G435" s="109"/>
      <c r="H435" s="92"/>
    </row>
    <row r="436" spans="1:8" ht="31.5" x14ac:dyDescent="0.2">
      <c r="A436" s="83" t="s">
        <v>594</v>
      </c>
      <c r="B436" s="84" t="s">
        <v>530</v>
      </c>
      <c r="C436" s="138" t="s">
        <v>130</v>
      </c>
      <c r="D436" s="160">
        <v>97.75</v>
      </c>
      <c r="E436" s="139">
        <v>50</v>
      </c>
      <c r="F436" s="151">
        <f>E436*D436</f>
        <v>4887.5</v>
      </c>
      <c r="G436" s="109"/>
      <c r="H436" s="92"/>
    </row>
    <row r="437" spans="1:8" x14ac:dyDescent="0.2">
      <c r="A437" s="79" t="s">
        <v>595</v>
      </c>
      <c r="B437" s="80" t="s">
        <v>2053</v>
      </c>
      <c r="C437" s="132" t="s">
        <v>1759</v>
      </c>
      <c r="D437" s="133">
        <v>0</v>
      </c>
      <c r="E437" s="133">
        <v>0</v>
      </c>
      <c r="F437" s="134">
        <f>F438+F442+F444+F446+F450</f>
        <v>1142878.8914821201</v>
      </c>
      <c r="G437" s="95"/>
      <c r="H437" s="90"/>
    </row>
    <row r="438" spans="1:8" x14ac:dyDescent="0.2">
      <c r="A438" s="81" t="s">
        <v>596</v>
      </c>
      <c r="B438" s="82" t="s">
        <v>504</v>
      </c>
      <c r="C438" s="135" t="s">
        <v>1759</v>
      </c>
      <c r="D438" s="136">
        <v>0</v>
      </c>
      <c r="E438" s="136">
        <v>0</v>
      </c>
      <c r="F438" s="137">
        <f>SUM(F439:F441)</f>
        <v>291218.47137499996</v>
      </c>
      <c r="G438" s="96"/>
      <c r="H438" s="91"/>
    </row>
    <row r="439" spans="1:8" ht="31.5" x14ac:dyDescent="0.2">
      <c r="A439" s="83" t="s">
        <v>597</v>
      </c>
      <c r="B439" s="84" t="s">
        <v>598</v>
      </c>
      <c r="C439" s="138" t="s">
        <v>130</v>
      </c>
      <c r="D439" s="139">
        <v>6398.34</v>
      </c>
      <c r="E439" s="139">
        <v>32.912500000000001</v>
      </c>
      <c r="F439" s="151">
        <f>E439*D439</f>
        <v>210585.36525</v>
      </c>
      <c r="G439" s="109"/>
      <c r="H439" s="92"/>
    </row>
    <row r="440" spans="1:8" ht="31.5" x14ac:dyDescent="0.2">
      <c r="A440" s="83" t="s">
        <v>599</v>
      </c>
      <c r="B440" s="84" t="s">
        <v>508</v>
      </c>
      <c r="C440" s="138" t="s">
        <v>130</v>
      </c>
      <c r="D440" s="139">
        <v>1841.45</v>
      </c>
      <c r="E440" s="139">
        <v>42.615000000000002</v>
      </c>
      <c r="F440" s="151">
        <f>E440*D440</f>
        <v>78473.39175000001</v>
      </c>
      <c r="G440" s="109"/>
      <c r="H440" s="92"/>
    </row>
    <row r="441" spans="1:8" ht="31.5" x14ac:dyDescent="0.2">
      <c r="A441" s="83" t="s">
        <v>1827</v>
      </c>
      <c r="B441" s="84" t="s">
        <v>1826</v>
      </c>
      <c r="C441" s="138" t="s">
        <v>130</v>
      </c>
      <c r="D441" s="139">
        <v>74.75</v>
      </c>
      <c r="E441" s="139">
        <v>28.892500000000002</v>
      </c>
      <c r="F441" s="151">
        <f>E441*D441</f>
        <v>2159.714375</v>
      </c>
      <c r="G441" s="109"/>
      <c r="H441" s="92"/>
    </row>
    <row r="442" spans="1:8" x14ac:dyDescent="0.2">
      <c r="A442" s="81" t="s">
        <v>600</v>
      </c>
      <c r="B442" s="82" t="s">
        <v>510</v>
      </c>
      <c r="C442" s="135" t="s">
        <v>1759</v>
      </c>
      <c r="D442" s="136">
        <v>0</v>
      </c>
      <c r="E442" s="136">
        <v>0</v>
      </c>
      <c r="F442" s="137">
        <f>F443</f>
        <v>101523.46113000001</v>
      </c>
      <c r="G442" s="96"/>
      <c r="H442" s="91"/>
    </row>
    <row r="443" spans="1:8" ht="31.5" x14ac:dyDescent="0.2">
      <c r="A443" s="83" t="s">
        <v>601</v>
      </c>
      <c r="B443" s="84" t="s">
        <v>512</v>
      </c>
      <c r="C443" s="138" t="s">
        <v>130</v>
      </c>
      <c r="D443" s="139">
        <v>1512.42</v>
      </c>
      <c r="E443" s="139">
        <v>67.126500000000007</v>
      </c>
      <c r="F443" s="151">
        <f>E443*D443</f>
        <v>101523.46113000001</v>
      </c>
      <c r="G443" s="109"/>
      <c r="H443" s="92"/>
    </row>
    <row r="444" spans="1:8" x14ac:dyDescent="0.2">
      <c r="A444" s="81" t="s">
        <v>602</v>
      </c>
      <c r="B444" s="82" t="s">
        <v>514</v>
      </c>
      <c r="C444" s="135" t="s">
        <v>1759</v>
      </c>
      <c r="D444" s="136">
        <v>0</v>
      </c>
      <c r="E444" s="136">
        <v>0</v>
      </c>
      <c r="F444" s="137">
        <f>F445</f>
        <v>140449.14000000001</v>
      </c>
      <c r="G444" s="96"/>
      <c r="H444" s="91"/>
    </row>
    <row r="445" spans="1:8" x14ac:dyDescent="0.2">
      <c r="A445" s="83" t="s">
        <v>603</v>
      </c>
      <c r="B445" s="84" t="s">
        <v>516</v>
      </c>
      <c r="C445" s="138" t="s">
        <v>130</v>
      </c>
      <c r="D445" s="139">
        <v>912.6</v>
      </c>
      <c r="E445" s="139">
        <v>153.9</v>
      </c>
      <c r="F445" s="151">
        <f>E445*D445</f>
        <v>140449.14000000001</v>
      </c>
      <c r="G445" s="109"/>
      <c r="H445" s="92"/>
    </row>
    <row r="446" spans="1:8" x14ac:dyDescent="0.2">
      <c r="A446" s="81" t="s">
        <v>604</v>
      </c>
      <c r="B446" s="82" t="s">
        <v>518</v>
      </c>
      <c r="C446" s="135" t="s">
        <v>1759</v>
      </c>
      <c r="D446" s="136">
        <v>0</v>
      </c>
      <c r="E446" s="136">
        <v>0</v>
      </c>
      <c r="F446" s="137">
        <f>SUM(F447:F449)</f>
        <v>207962.33897712</v>
      </c>
      <c r="G446" s="96"/>
      <c r="H446" s="91"/>
    </row>
    <row r="447" spans="1:8" x14ac:dyDescent="0.2">
      <c r="A447" s="83" t="s">
        <v>605</v>
      </c>
      <c r="B447" s="84" t="s">
        <v>27</v>
      </c>
      <c r="C447" s="138" t="s">
        <v>123</v>
      </c>
      <c r="D447" s="160">
        <v>2401.4900000000002</v>
      </c>
      <c r="E447" s="139">
        <v>56.865487999999999</v>
      </c>
      <c r="F447" s="151">
        <f>E447*D447</f>
        <v>136561.90077712</v>
      </c>
      <c r="G447" s="109"/>
      <c r="H447" s="92"/>
    </row>
    <row r="448" spans="1:8" x14ac:dyDescent="0.2">
      <c r="A448" s="83" t="s">
        <v>606</v>
      </c>
      <c r="B448" s="84" t="s">
        <v>521</v>
      </c>
      <c r="C448" s="138" t="s">
        <v>109</v>
      </c>
      <c r="D448" s="139">
        <v>4914</v>
      </c>
      <c r="E448" s="139">
        <v>3.7</v>
      </c>
      <c r="F448" s="151">
        <f>E448*D448</f>
        <v>18181.8</v>
      </c>
      <c r="G448" s="109"/>
      <c r="H448" s="92"/>
    </row>
    <row r="449" spans="1:8" x14ac:dyDescent="0.2">
      <c r="A449" s="83" t="s">
        <v>607</v>
      </c>
      <c r="B449" s="84" t="s">
        <v>523</v>
      </c>
      <c r="C449" s="138" t="s">
        <v>123</v>
      </c>
      <c r="D449" s="139">
        <v>3364.01</v>
      </c>
      <c r="E449" s="139">
        <v>15.82</v>
      </c>
      <c r="F449" s="151">
        <f>E449*D449</f>
        <v>53218.638200000001</v>
      </c>
      <c r="G449" s="109"/>
      <c r="H449" s="92"/>
    </row>
    <row r="450" spans="1:8" x14ac:dyDescent="0.2">
      <c r="A450" s="81" t="s">
        <v>608</v>
      </c>
      <c r="B450" s="82" t="s">
        <v>295</v>
      </c>
      <c r="C450" s="135" t="s">
        <v>1759</v>
      </c>
      <c r="D450" s="136">
        <v>0</v>
      </c>
      <c r="E450" s="136">
        <v>0</v>
      </c>
      <c r="F450" s="137">
        <f>SUM(F451:F453)</f>
        <v>401725.48000000004</v>
      </c>
      <c r="G450" s="96"/>
      <c r="H450" s="91"/>
    </row>
    <row r="451" spans="1:8" ht="31.5" x14ac:dyDescent="0.2">
      <c r="A451" s="83" t="s">
        <v>609</v>
      </c>
      <c r="B451" s="84" t="s">
        <v>526</v>
      </c>
      <c r="C451" s="138" t="s">
        <v>130</v>
      </c>
      <c r="D451" s="139">
        <v>8314.5400000000009</v>
      </c>
      <c r="E451" s="139">
        <v>34</v>
      </c>
      <c r="F451" s="151">
        <f>E451*D451</f>
        <v>282694.36000000004</v>
      </c>
      <c r="G451" s="109"/>
      <c r="H451" s="92"/>
    </row>
    <row r="452" spans="1:8" ht="31.5" x14ac:dyDescent="0.2">
      <c r="A452" s="83" t="s">
        <v>610</v>
      </c>
      <c r="B452" s="84" t="s">
        <v>528</v>
      </c>
      <c r="C452" s="138" t="s">
        <v>130</v>
      </c>
      <c r="D452" s="139">
        <v>1512.42</v>
      </c>
      <c r="E452" s="139">
        <v>36</v>
      </c>
      <c r="F452" s="151">
        <f>E452*D452</f>
        <v>54447.12</v>
      </c>
      <c r="G452" s="109"/>
      <c r="H452" s="92"/>
    </row>
    <row r="453" spans="1:8" ht="31.5" x14ac:dyDescent="0.2">
      <c r="A453" s="83" t="s">
        <v>611</v>
      </c>
      <c r="B453" s="84" t="s">
        <v>530</v>
      </c>
      <c r="C453" s="138" t="s">
        <v>130</v>
      </c>
      <c r="D453" s="160">
        <v>1291.68</v>
      </c>
      <c r="E453" s="139">
        <v>50</v>
      </c>
      <c r="F453" s="151">
        <f>E453*D453</f>
        <v>64584</v>
      </c>
      <c r="G453" s="109"/>
      <c r="H453" s="92"/>
    </row>
    <row r="454" spans="1:8" x14ac:dyDescent="0.2">
      <c r="A454" s="79" t="s">
        <v>612</v>
      </c>
      <c r="B454" s="80" t="s">
        <v>1847</v>
      </c>
      <c r="C454" s="132" t="s">
        <v>1759</v>
      </c>
      <c r="D454" s="133">
        <v>0</v>
      </c>
      <c r="E454" s="133">
        <v>0</v>
      </c>
      <c r="F454" s="134">
        <f>F455+F458+F460+F462+F466</f>
        <v>55579.39933108</v>
      </c>
      <c r="G454" s="95"/>
      <c r="H454" s="90"/>
    </row>
    <row r="455" spans="1:8" x14ac:dyDescent="0.2">
      <c r="A455" s="81" t="s">
        <v>613</v>
      </c>
      <c r="B455" s="82" t="s">
        <v>504</v>
      </c>
      <c r="C455" s="135" t="s">
        <v>1759</v>
      </c>
      <c r="D455" s="136">
        <v>0</v>
      </c>
      <c r="E455" s="136">
        <v>0</v>
      </c>
      <c r="F455" s="137">
        <f>SUM(F456:F457)</f>
        <v>7986.31</v>
      </c>
      <c r="G455" s="96"/>
      <c r="H455" s="91"/>
    </row>
    <row r="456" spans="1:8" ht="31.5" x14ac:dyDescent="0.2">
      <c r="A456" s="83" t="s">
        <v>614</v>
      </c>
      <c r="B456" s="84" t="s">
        <v>615</v>
      </c>
      <c r="C456" s="138" t="s">
        <v>130</v>
      </c>
      <c r="D456" s="139">
        <v>180.38</v>
      </c>
      <c r="E456" s="139">
        <v>9.7750000000000004</v>
      </c>
      <c r="F456" s="151">
        <f>E456*D456</f>
        <v>1763.2145</v>
      </c>
      <c r="G456" s="109"/>
      <c r="H456" s="92"/>
    </row>
    <row r="457" spans="1:8" ht="31.5" x14ac:dyDescent="0.2">
      <c r="A457" s="83" t="s">
        <v>1828</v>
      </c>
      <c r="B457" s="84" t="s">
        <v>598</v>
      </c>
      <c r="C457" s="138" t="s">
        <v>130</v>
      </c>
      <c r="D457" s="139">
        <v>189.08</v>
      </c>
      <c r="E457" s="139">
        <v>32.912500000000001</v>
      </c>
      <c r="F457" s="151">
        <f>E457*D457</f>
        <v>6223.0955000000004</v>
      </c>
      <c r="G457" s="109"/>
      <c r="H457" s="92"/>
    </row>
    <row r="458" spans="1:8" x14ac:dyDescent="0.2">
      <c r="A458" s="81" t="s">
        <v>616</v>
      </c>
      <c r="B458" s="82" t="s">
        <v>510</v>
      </c>
      <c r="C458" s="135" t="s">
        <v>1759</v>
      </c>
      <c r="D458" s="136">
        <v>0</v>
      </c>
      <c r="E458" s="136">
        <v>0</v>
      </c>
      <c r="F458" s="137">
        <f>F459</f>
        <v>6079.6471050000009</v>
      </c>
      <c r="G458" s="96"/>
      <c r="H458" s="91"/>
    </row>
    <row r="459" spans="1:8" ht="31.5" x14ac:dyDescent="0.2">
      <c r="A459" s="83" t="s">
        <v>617</v>
      </c>
      <c r="B459" s="84" t="s">
        <v>512</v>
      </c>
      <c r="C459" s="138" t="s">
        <v>130</v>
      </c>
      <c r="D459" s="139">
        <v>90.570000000000007</v>
      </c>
      <c r="E459" s="139">
        <v>67.126500000000007</v>
      </c>
      <c r="F459" s="151">
        <f>E459*D459</f>
        <v>6079.6471050000009</v>
      </c>
      <c r="G459" s="109"/>
      <c r="H459" s="92"/>
    </row>
    <row r="460" spans="1:8" x14ac:dyDescent="0.2">
      <c r="A460" s="81" t="s">
        <v>618</v>
      </c>
      <c r="B460" s="82" t="s">
        <v>514</v>
      </c>
      <c r="C460" s="135" t="s">
        <v>1759</v>
      </c>
      <c r="D460" s="136">
        <v>0</v>
      </c>
      <c r="E460" s="136">
        <v>0</v>
      </c>
      <c r="F460" s="137">
        <f>F461</f>
        <v>9951.1739999999991</v>
      </c>
      <c r="G460" s="96"/>
      <c r="H460" s="91"/>
    </row>
    <row r="461" spans="1:8" x14ac:dyDescent="0.2">
      <c r="A461" s="83" t="s">
        <v>619</v>
      </c>
      <c r="B461" s="84" t="s">
        <v>516</v>
      </c>
      <c r="C461" s="138" t="s">
        <v>130</v>
      </c>
      <c r="D461" s="139">
        <v>64.66</v>
      </c>
      <c r="E461" s="139">
        <v>153.9</v>
      </c>
      <c r="F461" s="151">
        <f>E461*D461</f>
        <v>9951.1739999999991</v>
      </c>
      <c r="G461" s="109"/>
      <c r="H461" s="92"/>
    </row>
    <row r="462" spans="1:8" x14ac:dyDescent="0.2">
      <c r="A462" s="81" t="s">
        <v>1829</v>
      </c>
      <c r="B462" s="82" t="s">
        <v>518</v>
      </c>
      <c r="C462" s="135" t="s">
        <v>1759</v>
      </c>
      <c r="D462" s="136">
        <v>0</v>
      </c>
      <c r="E462" s="136">
        <v>0</v>
      </c>
      <c r="F462" s="137">
        <f>SUM(F463:F465)</f>
        <v>11041.108226079999</v>
      </c>
      <c r="G462" s="96"/>
      <c r="H462" s="91"/>
    </row>
    <row r="463" spans="1:8" x14ac:dyDescent="0.2">
      <c r="A463" s="83" t="s">
        <v>1830</v>
      </c>
      <c r="B463" s="84" t="s">
        <v>521</v>
      </c>
      <c r="C463" s="138" t="s">
        <v>109</v>
      </c>
      <c r="D463" s="139">
        <v>231</v>
      </c>
      <c r="E463" s="139">
        <v>3.7</v>
      </c>
      <c r="F463" s="151">
        <f>E463*D463</f>
        <v>854.7</v>
      </c>
      <c r="G463" s="109"/>
      <c r="H463" s="92"/>
    </row>
    <row r="464" spans="1:8" x14ac:dyDescent="0.2">
      <c r="A464" s="83" t="s">
        <v>1848</v>
      </c>
      <c r="B464" s="84" t="s">
        <v>523</v>
      </c>
      <c r="C464" s="138" t="s">
        <v>123</v>
      </c>
      <c r="D464" s="139">
        <v>320.70999999999998</v>
      </c>
      <c r="E464" s="139">
        <v>15.82</v>
      </c>
      <c r="F464" s="151">
        <f>E464*D464</f>
        <v>5073.6322</v>
      </c>
      <c r="G464" s="109"/>
      <c r="H464" s="92"/>
    </row>
    <row r="465" spans="1:8" x14ac:dyDescent="0.2">
      <c r="A465" s="83" t="s">
        <v>1849</v>
      </c>
      <c r="B465" s="84" t="s">
        <v>27</v>
      </c>
      <c r="C465" s="138" t="s">
        <v>123</v>
      </c>
      <c r="D465" s="160">
        <v>89.91</v>
      </c>
      <c r="E465" s="139">
        <v>56.865487999999999</v>
      </c>
      <c r="F465" s="151">
        <f>E465*D465</f>
        <v>5112.7760260799996</v>
      </c>
      <c r="G465" s="109"/>
      <c r="H465" s="92"/>
    </row>
    <row r="466" spans="1:8" x14ac:dyDescent="0.2">
      <c r="A466" s="81" t="s">
        <v>1850</v>
      </c>
      <c r="B466" s="82" t="s">
        <v>295</v>
      </c>
      <c r="C466" s="135" t="s">
        <v>1759</v>
      </c>
      <c r="D466" s="136">
        <v>0</v>
      </c>
      <c r="E466" s="136">
        <v>0</v>
      </c>
      <c r="F466" s="137">
        <f>SUM(F467:F469)</f>
        <v>20521.16</v>
      </c>
      <c r="G466" s="96"/>
      <c r="H466" s="91"/>
    </row>
    <row r="467" spans="1:8" ht="31.5" x14ac:dyDescent="0.2">
      <c r="A467" s="83" t="s">
        <v>1851</v>
      </c>
      <c r="B467" s="84" t="s">
        <v>526</v>
      </c>
      <c r="C467" s="138" t="s">
        <v>130</v>
      </c>
      <c r="D467" s="139">
        <v>369.46</v>
      </c>
      <c r="E467" s="139">
        <v>34</v>
      </c>
      <c r="F467" s="151">
        <f>E467*D467</f>
        <v>12561.64</v>
      </c>
      <c r="G467" s="109"/>
      <c r="H467" s="92"/>
    </row>
    <row r="468" spans="1:8" ht="31.5" x14ac:dyDescent="0.2">
      <c r="A468" s="83" t="s">
        <v>1852</v>
      </c>
      <c r="B468" s="84" t="s">
        <v>528</v>
      </c>
      <c r="C468" s="138" t="s">
        <v>130</v>
      </c>
      <c r="D468" s="139">
        <v>90.570000000000007</v>
      </c>
      <c r="E468" s="139">
        <v>36</v>
      </c>
      <c r="F468" s="151">
        <f>E468*D468</f>
        <v>3260.5200000000004</v>
      </c>
      <c r="G468" s="109"/>
      <c r="H468" s="92"/>
    </row>
    <row r="469" spans="1:8" ht="31.5" x14ac:dyDescent="0.2">
      <c r="A469" s="83" t="s">
        <v>1853</v>
      </c>
      <c r="B469" s="84" t="s">
        <v>530</v>
      </c>
      <c r="C469" s="138" t="s">
        <v>130</v>
      </c>
      <c r="D469" s="160">
        <v>93.98</v>
      </c>
      <c r="E469" s="139">
        <v>50</v>
      </c>
      <c r="F469" s="151">
        <f>E469*D469</f>
        <v>4699</v>
      </c>
      <c r="G469" s="109"/>
      <c r="H469" s="92"/>
    </row>
    <row r="470" spans="1:8" x14ac:dyDescent="0.2">
      <c r="A470" s="79" t="s">
        <v>620</v>
      </c>
      <c r="B470" s="80" t="s">
        <v>1831</v>
      </c>
      <c r="C470" s="132" t="s">
        <v>1759</v>
      </c>
      <c r="D470" s="133">
        <v>0</v>
      </c>
      <c r="E470" s="133">
        <v>0</v>
      </c>
      <c r="F470" s="134">
        <f>F471+F473+F477+F481+F475</f>
        <v>25538.958917479998</v>
      </c>
      <c r="G470" s="95"/>
      <c r="H470" s="90"/>
    </row>
    <row r="471" spans="1:8" x14ac:dyDescent="0.2">
      <c r="A471" s="81" t="s">
        <v>621</v>
      </c>
      <c r="B471" s="82" t="s">
        <v>504</v>
      </c>
      <c r="C471" s="135" t="s">
        <v>1759</v>
      </c>
      <c r="D471" s="136">
        <v>0</v>
      </c>
      <c r="E471" s="136">
        <v>0</v>
      </c>
      <c r="F471" s="137">
        <f>F472</f>
        <v>1666.8330000000001</v>
      </c>
      <c r="G471" s="96"/>
      <c r="H471" s="91"/>
    </row>
    <row r="472" spans="1:8" ht="31.5" x14ac:dyDescent="0.2">
      <c r="A472" s="83" t="s">
        <v>622</v>
      </c>
      <c r="B472" s="84" t="s">
        <v>615</v>
      </c>
      <c r="C472" s="138" t="s">
        <v>130</v>
      </c>
      <c r="D472" s="139">
        <v>170.52</v>
      </c>
      <c r="E472" s="139">
        <v>9.7750000000000004</v>
      </c>
      <c r="F472" s="151">
        <f>E472*D472</f>
        <v>1666.8330000000001</v>
      </c>
      <c r="G472" s="109"/>
      <c r="H472" s="92"/>
    </row>
    <row r="473" spans="1:8" x14ac:dyDescent="0.2">
      <c r="A473" s="81" t="s">
        <v>1832</v>
      </c>
      <c r="B473" s="82" t="s">
        <v>510</v>
      </c>
      <c r="C473" s="135" t="s">
        <v>1759</v>
      </c>
      <c r="D473" s="136">
        <v>0</v>
      </c>
      <c r="E473" s="136">
        <v>0</v>
      </c>
      <c r="F473" s="137">
        <f>F474</f>
        <v>7733.6440650000013</v>
      </c>
      <c r="G473" s="96"/>
      <c r="H473" s="91"/>
    </row>
    <row r="474" spans="1:8" ht="31.5" x14ac:dyDescent="0.2">
      <c r="A474" s="83" t="s">
        <v>1833</v>
      </c>
      <c r="B474" s="84" t="s">
        <v>512</v>
      </c>
      <c r="C474" s="138" t="s">
        <v>130</v>
      </c>
      <c r="D474" s="139">
        <v>115.21000000000001</v>
      </c>
      <c r="E474" s="139">
        <v>67.126500000000007</v>
      </c>
      <c r="F474" s="151">
        <f>E474*D474</f>
        <v>7733.6440650000013</v>
      </c>
      <c r="G474" s="109"/>
      <c r="H474" s="92"/>
    </row>
    <row r="475" spans="1:8" x14ac:dyDescent="0.2">
      <c r="A475" s="81" t="s">
        <v>623</v>
      </c>
      <c r="B475" s="82" t="s">
        <v>514</v>
      </c>
      <c r="C475" s="135" t="s">
        <v>1759</v>
      </c>
      <c r="D475" s="136">
        <v>0</v>
      </c>
      <c r="E475" s="136">
        <v>0</v>
      </c>
      <c r="F475" s="137">
        <f>F476</f>
        <v>2120.7420000000002</v>
      </c>
      <c r="G475" s="96"/>
      <c r="H475" s="91"/>
    </row>
    <row r="476" spans="1:8" x14ac:dyDescent="0.2">
      <c r="A476" s="83" t="s">
        <v>624</v>
      </c>
      <c r="B476" s="84" t="s">
        <v>516</v>
      </c>
      <c r="C476" s="138" t="s">
        <v>130</v>
      </c>
      <c r="D476" s="139">
        <v>13.780000000000001</v>
      </c>
      <c r="E476" s="139">
        <v>153.9</v>
      </c>
      <c r="F476" s="151">
        <f>E476*D476</f>
        <v>2120.7420000000002</v>
      </c>
      <c r="G476" s="109"/>
      <c r="H476" s="92"/>
    </row>
    <row r="477" spans="1:8" x14ac:dyDescent="0.2">
      <c r="A477" s="81" t="s">
        <v>625</v>
      </c>
      <c r="B477" s="82" t="s">
        <v>518</v>
      </c>
      <c r="C477" s="135" t="s">
        <v>1759</v>
      </c>
      <c r="D477" s="136">
        <v>0</v>
      </c>
      <c r="E477" s="136">
        <v>0</v>
      </c>
      <c r="F477" s="137">
        <f>SUM(F478:F480)</f>
        <v>3431.4998524799998</v>
      </c>
      <c r="G477" s="96"/>
      <c r="H477" s="91"/>
    </row>
    <row r="478" spans="1:8" x14ac:dyDescent="0.2">
      <c r="A478" s="83" t="s">
        <v>626</v>
      </c>
      <c r="B478" s="84" t="s">
        <v>521</v>
      </c>
      <c r="C478" s="138" t="s">
        <v>109</v>
      </c>
      <c r="D478" s="139">
        <v>143</v>
      </c>
      <c r="E478" s="139">
        <v>3.7</v>
      </c>
      <c r="F478" s="151">
        <f>E478*D478</f>
        <v>529.1</v>
      </c>
      <c r="G478" s="109"/>
      <c r="H478" s="92"/>
    </row>
    <row r="479" spans="1:8" x14ac:dyDescent="0.2">
      <c r="A479" s="83" t="s">
        <v>1854</v>
      </c>
      <c r="B479" s="84" t="s">
        <v>523</v>
      </c>
      <c r="C479" s="138" t="s">
        <v>123</v>
      </c>
      <c r="D479" s="139">
        <v>70.38</v>
      </c>
      <c r="E479" s="139">
        <v>15.82</v>
      </c>
      <c r="F479" s="151">
        <f>E479*D479</f>
        <v>1113.4115999999999</v>
      </c>
      <c r="G479" s="109"/>
      <c r="H479" s="92"/>
    </row>
    <row r="480" spans="1:8" x14ac:dyDescent="0.2">
      <c r="A480" s="83" t="s">
        <v>627</v>
      </c>
      <c r="B480" s="84" t="s">
        <v>27</v>
      </c>
      <c r="C480" s="138" t="s">
        <v>123</v>
      </c>
      <c r="D480" s="160">
        <v>31.46</v>
      </c>
      <c r="E480" s="139">
        <v>56.865487999999999</v>
      </c>
      <c r="F480" s="151">
        <f>E480*D480</f>
        <v>1788.98825248</v>
      </c>
      <c r="G480" s="109"/>
      <c r="H480" s="92"/>
    </row>
    <row r="481" spans="1:8" x14ac:dyDescent="0.2">
      <c r="A481" s="81" t="s">
        <v>1855</v>
      </c>
      <c r="B481" s="82" t="s">
        <v>295</v>
      </c>
      <c r="C481" s="135" t="s">
        <v>1759</v>
      </c>
      <c r="D481" s="136">
        <v>0</v>
      </c>
      <c r="E481" s="136">
        <v>0</v>
      </c>
      <c r="F481" s="137">
        <f>SUM(F482:F484)</f>
        <v>10586.240000000002</v>
      </c>
      <c r="G481" s="96"/>
      <c r="H481" s="91"/>
    </row>
    <row r="482" spans="1:8" ht="31.5" x14ac:dyDescent="0.2">
      <c r="A482" s="83" t="s">
        <v>1856</v>
      </c>
      <c r="B482" s="84" t="s">
        <v>526</v>
      </c>
      <c r="C482" s="138" t="s">
        <v>130</v>
      </c>
      <c r="D482" s="139">
        <v>170.52</v>
      </c>
      <c r="E482" s="139">
        <v>34</v>
      </c>
      <c r="F482" s="151">
        <f>E482*D482</f>
        <v>5797.68</v>
      </c>
      <c r="G482" s="109"/>
      <c r="H482" s="92"/>
    </row>
    <row r="483" spans="1:8" ht="31.5" x14ac:dyDescent="0.2">
      <c r="A483" s="83" t="s">
        <v>1857</v>
      </c>
      <c r="B483" s="84" t="s">
        <v>530</v>
      </c>
      <c r="C483" s="138" t="s">
        <v>130</v>
      </c>
      <c r="D483" s="139">
        <v>12.82</v>
      </c>
      <c r="E483" s="139">
        <v>50</v>
      </c>
      <c r="F483" s="151">
        <f>E483*D483</f>
        <v>641</v>
      </c>
      <c r="G483" s="109"/>
      <c r="H483" s="92"/>
    </row>
    <row r="484" spans="1:8" ht="31.5" x14ac:dyDescent="0.2">
      <c r="A484" s="83" t="s">
        <v>1858</v>
      </c>
      <c r="B484" s="84" t="s">
        <v>528</v>
      </c>
      <c r="C484" s="138" t="s">
        <v>130</v>
      </c>
      <c r="D484" s="139">
        <v>115.21000000000001</v>
      </c>
      <c r="E484" s="139">
        <v>36</v>
      </c>
      <c r="F484" s="151">
        <f>E484*D484</f>
        <v>4147.5600000000004</v>
      </c>
      <c r="G484" s="109"/>
      <c r="H484" s="92"/>
    </row>
    <row r="485" spans="1:8" x14ac:dyDescent="0.2">
      <c r="A485" s="79" t="s">
        <v>1834</v>
      </c>
      <c r="B485" s="80" t="s">
        <v>1835</v>
      </c>
      <c r="C485" s="132" t="s">
        <v>1759</v>
      </c>
      <c r="D485" s="133">
        <v>0</v>
      </c>
      <c r="E485" s="133">
        <v>0</v>
      </c>
      <c r="F485" s="134">
        <f>F486+F488+F492</f>
        <v>7027.9777252000004</v>
      </c>
      <c r="G485" s="95"/>
      <c r="H485" s="90"/>
    </row>
    <row r="486" spans="1:8" x14ac:dyDescent="0.2">
      <c r="A486" s="81" t="s">
        <v>1836</v>
      </c>
      <c r="B486" s="82" t="s">
        <v>504</v>
      </c>
      <c r="C486" s="135" t="s">
        <v>1759</v>
      </c>
      <c r="D486" s="136">
        <v>0</v>
      </c>
      <c r="E486" s="136">
        <v>0</v>
      </c>
      <c r="F486" s="137">
        <f>F487</f>
        <v>1210.4382499999999</v>
      </c>
      <c r="G486" s="96"/>
      <c r="H486" s="91"/>
    </row>
    <row r="487" spans="1:8" ht="31.5" x14ac:dyDescent="0.2">
      <c r="A487" s="83" t="s">
        <v>1837</v>
      </c>
      <c r="B487" s="84" t="s">
        <v>615</v>
      </c>
      <c r="C487" s="138" t="s">
        <v>130</v>
      </c>
      <c r="D487" s="139">
        <v>123.83</v>
      </c>
      <c r="E487" s="139">
        <v>9.7750000000000004</v>
      </c>
      <c r="F487" s="151">
        <f>E487*D487</f>
        <v>1210.4382499999999</v>
      </c>
      <c r="G487" s="109"/>
      <c r="H487" s="92"/>
    </row>
    <row r="488" spans="1:8" x14ac:dyDescent="0.2">
      <c r="A488" s="81" t="s">
        <v>1838</v>
      </c>
      <c r="B488" s="82" t="s">
        <v>518</v>
      </c>
      <c r="C488" s="135" t="s">
        <v>1759</v>
      </c>
      <c r="D488" s="136">
        <v>0</v>
      </c>
      <c r="E488" s="136">
        <v>0</v>
      </c>
      <c r="F488" s="137">
        <f>SUM(F489:F491)</f>
        <v>1471.3194751999999</v>
      </c>
      <c r="G488" s="96"/>
      <c r="H488" s="91"/>
    </row>
    <row r="489" spans="1:8" x14ac:dyDescent="0.2">
      <c r="A489" s="83" t="s">
        <v>1839</v>
      </c>
      <c r="B489" s="84" t="s">
        <v>521</v>
      </c>
      <c r="C489" s="138" t="s">
        <v>109</v>
      </c>
      <c r="D489" s="139">
        <v>62</v>
      </c>
      <c r="E489" s="139">
        <v>3.7</v>
      </c>
      <c r="F489" s="151">
        <f t="shared" ref="F489:F494" si="28">E489*D489</f>
        <v>229.4</v>
      </c>
      <c r="G489" s="109"/>
      <c r="H489" s="92"/>
    </row>
    <row r="490" spans="1:8" x14ac:dyDescent="0.2">
      <c r="A490" s="83" t="s">
        <v>1840</v>
      </c>
      <c r="B490" s="84" t="s">
        <v>523</v>
      </c>
      <c r="C490" s="138" t="s">
        <v>123</v>
      </c>
      <c r="D490" s="139">
        <v>41.12</v>
      </c>
      <c r="E490" s="139">
        <v>15.82</v>
      </c>
      <c r="F490" s="151">
        <f t="shared" si="28"/>
        <v>650.51839999999993</v>
      </c>
      <c r="G490" s="109"/>
      <c r="H490" s="92"/>
    </row>
    <row r="491" spans="1:8" x14ac:dyDescent="0.2">
      <c r="A491" s="83" t="s">
        <v>1841</v>
      </c>
      <c r="B491" s="84" t="s">
        <v>27</v>
      </c>
      <c r="C491" s="138" t="s">
        <v>123</v>
      </c>
      <c r="D491" s="160">
        <v>10.4</v>
      </c>
      <c r="E491" s="139">
        <v>56.865487999999999</v>
      </c>
      <c r="F491" s="151">
        <f t="shared" si="28"/>
        <v>591.40107520000004</v>
      </c>
      <c r="G491" s="109"/>
      <c r="H491" s="92"/>
    </row>
    <row r="492" spans="1:8" x14ac:dyDescent="0.2">
      <c r="A492" s="81" t="s">
        <v>1842</v>
      </c>
      <c r="B492" s="82" t="s">
        <v>295</v>
      </c>
      <c r="C492" s="135" t="s">
        <v>1759</v>
      </c>
      <c r="D492" s="136">
        <v>0</v>
      </c>
      <c r="E492" s="136">
        <v>0</v>
      </c>
      <c r="F492" s="137">
        <f>SUM(F493:F494)</f>
        <v>4346.22</v>
      </c>
      <c r="G492" s="96"/>
      <c r="H492" s="91"/>
    </row>
    <row r="493" spans="1:8" ht="31.5" x14ac:dyDescent="0.2">
      <c r="A493" s="83" t="s">
        <v>1843</v>
      </c>
      <c r="B493" s="84" t="s">
        <v>526</v>
      </c>
      <c r="C493" s="138" t="s">
        <v>130</v>
      </c>
      <c r="D493" s="139">
        <v>123.83</v>
      </c>
      <c r="E493" s="139">
        <v>34</v>
      </c>
      <c r="F493" s="151">
        <f t="shared" si="28"/>
        <v>4210.22</v>
      </c>
      <c r="G493" s="109"/>
      <c r="H493" s="92"/>
    </row>
    <row r="494" spans="1:8" ht="31.5" x14ac:dyDescent="0.2">
      <c r="A494" s="83" t="s">
        <v>1844</v>
      </c>
      <c r="B494" s="84" t="s">
        <v>530</v>
      </c>
      <c r="C494" s="138" t="s">
        <v>130</v>
      </c>
      <c r="D494" s="160">
        <v>2.72</v>
      </c>
      <c r="E494" s="139">
        <v>50</v>
      </c>
      <c r="F494" s="151">
        <f t="shared" si="28"/>
        <v>136</v>
      </c>
      <c r="G494" s="97"/>
      <c r="H494" s="92"/>
    </row>
    <row r="495" spans="1:8" x14ac:dyDescent="0.2">
      <c r="A495" s="77" t="s">
        <v>628</v>
      </c>
      <c r="B495" s="78" t="s">
        <v>28</v>
      </c>
      <c r="C495" s="129" t="s">
        <v>1759</v>
      </c>
      <c r="D495" s="130">
        <v>0</v>
      </c>
      <c r="E495" s="130">
        <v>0</v>
      </c>
      <c r="F495" s="131">
        <f>F496+F515+F528+F541+F554+F567+F580+F593</f>
        <v>2000291.6800000002</v>
      </c>
      <c r="G495" s="98"/>
      <c r="H495" s="89"/>
    </row>
    <row r="496" spans="1:8" x14ac:dyDescent="0.2">
      <c r="A496" s="79" t="s">
        <v>629</v>
      </c>
      <c r="B496" s="80" t="s">
        <v>630</v>
      </c>
      <c r="C496" s="132" t="s">
        <v>1759</v>
      </c>
      <c r="D496" s="133">
        <v>0</v>
      </c>
      <c r="E496" s="133">
        <v>0</v>
      </c>
      <c r="F496" s="134">
        <f>F497+F499+F501+F503+F505+F507+F509+F513+F511</f>
        <v>424687.76</v>
      </c>
      <c r="G496" s="95"/>
      <c r="H496" s="90"/>
    </row>
    <row r="497" spans="1:8" x14ac:dyDescent="0.2">
      <c r="A497" s="81" t="s">
        <v>631</v>
      </c>
      <c r="B497" s="82" t="s">
        <v>29</v>
      </c>
      <c r="C497" s="135" t="s">
        <v>1759</v>
      </c>
      <c r="D497" s="136">
        <v>0</v>
      </c>
      <c r="E497" s="136">
        <v>0</v>
      </c>
      <c r="F497" s="137">
        <f>F498</f>
        <v>34210.76</v>
      </c>
      <c r="G497" s="96"/>
      <c r="H497" s="91"/>
    </row>
    <row r="498" spans="1:8" x14ac:dyDescent="0.2">
      <c r="A498" s="83" t="s">
        <v>632</v>
      </c>
      <c r="B498" s="84" t="s">
        <v>29</v>
      </c>
      <c r="C498" s="138" t="s">
        <v>92</v>
      </c>
      <c r="D498" s="139">
        <v>1</v>
      </c>
      <c r="E498" s="139">
        <v>34210.76</v>
      </c>
      <c r="F498" s="140">
        <f>E498*D498</f>
        <v>34210.76</v>
      </c>
      <c r="G498" s="97" t="s">
        <v>81</v>
      </c>
      <c r="H498" s="92"/>
    </row>
    <row r="499" spans="1:8" x14ac:dyDescent="0.2">
      <c r="A499" s="81" t="s">
        <v>633</v>
      </c>
      <c r="B499" s="82" t="s">
        <v>1747</v>
      </c>
      <c r="C499" s="135" t="s">
        <v>1759</v>
      </c>
      <c r="D499" s="136">
        <v>0</v>
      </c>
      <c r="E499" s="136">
        <v>0</v>
      </c>
      <c r="F499" s="137">
        <f>F500</f>
        <v>154931.14000000001</v>
      </c>
      <c r="G499" s="96"/>
      <c r="H499" s="91"/>
    </row>
    <row r="500" spans="1:8" x14ac:dyDescent="0.2">
      <c r="A500" s="83" t="s">
        <v>635</v>
      </c>
      <c r="B500" s="84" t="s">
        <v>2055</v>
      </c>
      <c r="C500" s="138" t="s">
        <v>92</v>
      </c>
      <c r="D500" s="139">
        <v>1</v>
      </c>
      <c r="E500" s="139">
        <v>154931.14000000001</v>
      </c>
      <c r="F500" s="140">
        <f>E500*D500</f>
        <v>154931.14000000001</v>
      </c>
      <c r="G500" s="97" t="s">
        <v>81</v>
      </c>
      <c r="H500" s="92"/>
    </row>
    <row r="501" spans="1:8" x14ac:dyDescent="0.2">
      <c r="A501" s="81" t="s">
        <v>637</v>
      </c>
      <c r="B501" s="82" t="s">
        <v>634</v>
      </c>
      <c r="C501" s="135" t="s">
        <v>1759</v>
      </c>
      <c r="D501" s="136">
        <v>0</v>
      </c>
      <c r="E501" s="136">
        <v>0</v>
      </c>
      <c r="F501" s="137">
        <f>F502</f>
        <v>17962</v>
      </c>
      <c r="G501" s="96"/>
      <c r="H501" s="91"/>
    </row>
    <row r="502" spans="1:8" x14ac:dyDescent="0.2">
      <c r="A502" s="83" t="s">
        <v>639</v>
      </c>
      <c r="B502" s="84" t="s">
        <v>636</v>
      </c>
      <c r="C502" s="138" t="s">
        <v>92</v>
      </c>
      <c r="D502" s="139">
        <v>1</v>
      </c>
      <c r="E502" s="139">
        <v>17962</v>
      </c>
      <c r="F502" s="140">
        <f>E502*D502</f>
        <v>17962</v>
      </c>
      <c r="G502" s="97" t="s">
        <v>1749</v>
      </c>
      <c r="H502" s="92"/>
    </row>
    <row r="503" spans="1:8" x14ac:dyDescent="0.2">
      <c r="A503" s="81" t="s">
        <v>640</v>
      </c>
      <c r="B503" s="82" t="s">
        <v>638</v>
      </c>
      <c r="C503" s="135" t="s">
        <v>1759</v>
      </c>
      <c r="D503" s="136">
        <v>0</v>
      </c>
      <c r="E503" s="136">
        <v>0</v>
      </c>
      <c r="F503" s="137">
        <f>F504</f>
        <v>4688.84</v>
      </c>
      <c r="G503" s="96"/>
      <c r="H503" s="91"/>
    </row>
    <row r="504" spans="1:8" x14ac:dyDescent="0.2">
      <c r="A504" s="83" t="s">
        <v>642</v>
      </c>
      <c r="B504" s="84" t="s">
        <v>638</v>
      </c>
      <c r="C504" s="138" t="s">
        <v>92</v>
      </c>
      <c r="D504" s="139">
        <v>1</v>
      </c>
      <c r="E504" s="139">
        <v>4688.84</v>
      </c>
      <c r="F504" s="140">
        <f>E504*D504</f>
        <v>4688.84</v>
      </c>
      <c r="G504" s="97" t="s">
        <v>81</v>
      </c>
      <c r="H504" s="92"/>
    </row>
    <row r="505" spans="1:8" x14ac:dyDescent="0.2">
      <c r="A505" s="81" t="s">
        <v>644</v>
      </c>
      <c r="B505" s="82" t="s">
        <v>641</v>
      </c>
      <c r="C505" s="135" t="s">
        <v>1759</v>
      </c>
      <c r="D505" s="136">
        <v>0</v>
      </c>
      <c r="E505" s="136">
        <v>0</v>
      </c>
      <c r="F505" s="137">
        <f>F506</f>
        <v>6935.76</v>
      </c>
      <c r="G505" s="96"/>
      <c r="H505" s="91"/>
    </row>
    <row r="506" spans="1:8" x14ac:dyDescent="0.2">
      <c r="A506" s="83" t="s">
        <v>646</v>
      </c>
      <c r="B506" s="84" t="s">
        <v>643</v>
      </c>
      <c r="C506" s="138" t="s">
        <v>92</v>
      </c>
      <c r="D506" s="139">
        <v>1</v>
      </c>
      <c r="E506" s="139">
        <v>6935.76</v>
      </c>
      <c r="F506" s="140">
        <f>E506*D506</f>
        <v>6935.76</v>
      </c>
      <c r="G506" s="97" t="s">
        <v>81</v>
      </c>
      <c r="H506" s="92"/>
    </row>
    <row r="507" spans="1:8" x14ac:dyDescent="0.2">
      <c r="A507" s="81" t="s">
        <v>647</v>
      </c>
      <c r="B507" s="82" t="s">
        <v>645</v>
      </c>
      <c r="C507" s="135" t="s">
        <v>1759</v>
      </c>
      <c r="D507" s="136">
        <v>0</v>
      </c>
      <c r="E507" s="136">
        <v>0</v>
      </c>
      <c r="F507" s="137">
        <f>F508</f>
        <v>4230.8</v>
      </c>
      <c r="G507" s="96"/>
      <c r="H507" s="91"/>
    </row>
    <row r="508" spans="1:8" x14ac:dyDescent="0.2">
      <c r="A508" s="83" t="s">
        <v>2056</v>
      </c>
      <c r="B508" s="84" t="s">
        <v>645</v>
      </c>
      <c r="C508" s="138" t="s">
        <v>92</v>
      </c>
      <c r="D508" s="139">
        <v>1</v>
      </c>
      <c r="E508" s="139">
        <v>4230.8</v>
      </c>
      <c r="F508" s="140">
        <f>E508*D508</f>
        <v>4230.8</v>
      </c>
      <c r="G508" s="97" t="s">
        <v>81</v>
      </c>
      <c r="H508" s="92"/>
    </row>
    <row r="509" spans="1:8" x14ac:dyDescent="0.2">
      <c r="A509" s="81" t="s">
        <v>649</v>
      </c>
      <c r="B509" s="82" t="s">
        <v>648</v>
      </c>
      <c r="C509" s="135" t="s">
        <v>1759</v>
      </c>
      <c r="D509" s="136">
        <v>0</v>
      </c>
      <c r="E509" s="136">
        <v>0</v>
      </c>
      <c r="F509" s="137">
        <f>F510</f>
        <v>2386.08</v>
      </c>
      <c r="G509" s="96"/>
      <c r="H509" s="91"/>
    </row>
    <row r="510" spans="1:8" x14ac:dyDescent="0.2">
      <c r="A510" s="83" t="s">
        <v>2057</v>
      </c>
      <c r="B510" s="84" t="s">
        <v>84</v>
      </c>
      <c r="C510" s="138" t="s">
        <v>92</v>
      </c>
      <c r="D510" s="139">
        <v>1</v>
      </c>
      <c r="E510" s="139">
        <v>2386.08</v>
      </c>
      <c r="F510" s="140">
        <f>E510*D510</f>
        <v>2386.08</v>
      </c>
      <c r="G510" s="97" t="s">
        <v>81</v>
      </c>
      <c r="H510" s="92"/>
    </row>
    <row r="511" spans="1:8" x14ac:dyDescent="0.2">
      <c r="A511" s="81" t="s">
        <v>2058</v>
      </c>
      <c r="B511" s="82" t="s">
        <v>1754</v>
      </c>
      <c r="C511" s="135" t="s">
        <v>1759</v>
      </c>
      <c r="D511" s="136">
        <v>0</v>
      </c>
      <c r="E511" s="136">
        <v>0</v>
      </c>
      <c r="F511" s="137">
        <f>F512</f>
        <v>140965.88</v>
      </c>
      <c r="G511" s="96"/>
      <c r="H511" s="91"/>
    </row>
    <row r="512" spans="1:8" x14ac:dyDescent="0.2">
      <c r="A512" s="83" t="s">
        <v>2059</v>
      </c>
      <c r="B512" s="84" t="s">
        <v>1754</v>
      </c>
      <c r="C512" s="138" t="s">
        <v>92</v>
      </c>
      <c r="D512" s="139">
        <v>1</v>
      </c>
      <c r="E512" s="139">
        <v>140965.88</v>
      </c>
      <c r="F512" s="140">
        <f>E512*D512</f>
        <v>140965.88</v>
      </c>
      <c r="G512" s="97" t="s">
        <v>81</v>
      </c>
      <c r="H512" s="92"/>
    </row>
    <row r="513" spans="1:8" x14ac:dyDescent="0.2">
      <c r="A513" s="81" t="s">
        <v>2060</v>
      </c>
      <c r="B513" s="82" t="s">
        <v>295</v>
      </c>
      <c r="C513" s="135" t="s">
        <v>1759</v>
      </c>
      <c r="D513" s="136">
        <v>0</v>
      </c>
      <c r="E513" s="136">
        <v>0</v>
      </c>
      <c r="F513" s="137">
        <f>F514</f>
        <v>58376.5</v>
      </c>
      <c r="G513" s="96"/>
      <c r="H513" s="91"/>
    </row>
    <row r="514" spans="1:8" x14ac:dyDescent="0.2">
      <c r="A514" s="83" t="s">
        <v>2061</v>
      </c>
      <c r="B514" s="84" t="s">
        <v>650</v>
      </c>
      <c r="C514" s="138" t="s">
        <v>130</v>
      </c>
      <c r="D514" s="139">
        <v>898.1</v>
      </c>
      <c r="E514" s="139">
        <v>65</v>
      </c>
      <c r="F514" s="140">
        <f>E514*D514</f>
        <v>58376.5</v>
      </c>
      <c r="G514" s="97"/>
      <c r="H514" s="92"/>
    </row>
    <row r="515" spans="1:8" x14ac:dyDescent="0.2">
      <c r="A515" s="79" t="s">
        <v>651</v>
      </c>
      <c r="B515" s="80" t="s">
        <v>2062</v>
      </c>
      <c r="C515" s="132" t="s">
        <v>1759</v>
      </c>
      <c r="D515" s="133">
        <v>0</v>
      </c>
      <c r="E515" s="133">
        <v>0</v>
      </c>
      <c r="F515" s="134">
        <f>F516+F518+F520+F522+F524+F526</f>
        <v>87681.11</v>
      </c>
      <c r="G515" s="95"/>
      <c r="H515" s="90"/>
    </row>
    <row r="516" spans="1:8" x14ac:dyDescent="0.2">
      <c r="A516" s="81" t="s">
        <v>652</v>
      </c>
      <c r="B516" s="82" t="s">
        <v>634</v>
      </c>
      <c r="C516" s="135" t="s">
        <v>1759</v>
      </c>
      <c r="D516" s="136">
        <v>0</v>
      </c>
      <c r="E516" s="136">
        <v>0</v>
      </c>
      <c r="F516" s="137">
        <f>F517</f>
        <v>17745.400000000001</v>
      </c>
      <c r="G516" s="96"/>
      <c r="H516" s="91"/>
    </row>
    <row r="517" spans="1:8" x14ac:dyDescent="0.2">
      <c r="A517" s="83" t="s">
        <v>653</v>
      </c>
      <c r="B517" s="84" t="s">
        <v>636</v>
      </c>
      <c r="C517" s="138" t="s">
        <v>92</v>
      </c>
      <c r="D517" s="139">
        <v>1</v>
      </c>
      <c r="E517" s="139">
        <v>17745.400000000001</v>
      </c>
      <c r="F517" s="140">
        <f>E517*D517</f>
        <v>17745.400000000001</v>
      </c>
      <c r="G517" s="97" t="s">
        <v>1749</v>
      </c>
      <c r="H517" s="92"/>
    </row>
    <row r="518" spans="1:8" x14ac:dyDescent="0.2">
      <c r="A518" s="81" t="s">
        <v>654</v>
      </c>
      <c r="B518" s="82" t="s">
        <v>638</v>
      </c>
      <c r="C518" s="135" t="s">
        <v>1759</v>
      </c>
      <c r="D518" s="136">
        <v>0</v>
      </c>
      <c r="E518" s="136">
        <v>0</v>
      </c>
      <c r="F518" s="137">
        <f>F519</f>
        <v>3296.27</v>
      </c>
      <c r="G518" s="96"/>
      <c r="H518" s="91"/>
    </row>
    <row r="519" spans="1:8" x14ac:dyDescent="0.2">
      <c r="A519" s="83" t="s">
        <v>655</v>
      </c>
      <c r="B519" s="84" t="s">
        <v>638</v>
      </c>
      <c r="C519" s="138" t="s">
        <v>92</v>
      </c>
      <c r="D519" s="139">
        <v>1</v>
      </c>
      <c r="E519" s="139">
        <v>3296.27</v>
      </c>
      <c r="F519" s="140">
        <f>E519*D519</f>
        <v>3296.27</v>
      </c>
      <c r="G519" s="97" t="s">
        <v>81</v>
      </c>
      <c r="H519" s="92"/>
    </row>
    <row r="520" spans="1:8" x14ac:dyDescent="0.2">
      <c r="A520" s="81" t="s">
        <v>656</v>
      </c>
      <c r="B520" s="82" t="s">
        <v>641</v>
      </c>
      <c r="C520" s="135" t="s">
        <v>1759</v>
      </c>
      <c r="D520" s="136">
        <v>0</v>
      </c>
      <c r="E520" s="136">
        <v>0</v>
      </c>
      <c r="F520" s="137">
        <f>F521</f>
        <v>2540.7600000000002</v>
      </c>
      <c r="G520" s="96"/>
      <c r="H520" s="91"/>
    </row>
    <row r="521" spans="1:8" x14ac:dyDescent="0.2">
      <c r="A521" s="83" t="s">
        <v>657</v>
      </c>
      <c r="B521" s="84" t="s">
        <v>643</v>
      </c>
      <c r="C521" s="138" t="s">
        <v>92</v>
      </c>
      <c r="D521" s="139">
        <v>1</v>
      </c>
      <c r="E521" s="139">
        <v>2540.7600000000002</v>
      </c>
      <c r="F521" s="140">
        <f>E521*D521</f>
        <v>2540.7600000000002</v>
      </c>
      <c r="G521" s="97" t="s">
        <v>81</v>
      </c>
      <c r="H521" s="92"/>
    </row>
    <row r="522" spans="1:8" x14ac:dyDescent="0.2">
      <c r="A522" s="81" t="s">
        <v>658</v>
      </c>
      <c r="B522" s="82" t="s">
        <v>645</v>
      </c>
      <c r="C522" s="135" t="s">
        <v>1759</v>
      </c>
      <c r="D522" s="136">
        <v>0</v>
      </c>
      <c r="E522" s="136">
        <v>0</v>
      </c>
      <c r="F522" s="137">
        <f>F523</f>
        <v>3657.79</v>
      </c>
      <c r="G522" s="96"/>
      <c r="H522" s="91"/>
    </row>
    <row r="523" spans="1:8" x14ac:dyDescent="0.2">
      <c r="A523" s="83" t="s">
        <v>659</v>
      </c>
      <c r="B523" s="84" t="s">
        <v>645</v>
      </c>
      <c r="C523" s="138" t="s">
        <v>92</v>
      </c>
      <c r="D523" s="139">
        <v>1</v>
      </c>
      <c r="E523" s="139">
        <v>3657.79</v>
      </c>
      <c r="F523" s="140">
        <f>E523*D523</f>
        <v>3657.79</v>
      </c>
      <c r="G523" s="97" t="s">
        <v>81</v>
      </c>
      <c r="H523" s="92"/>
    </row>
    <row r="524" spans="1:8" x14ac:dyDescent="0.2">
      <c r="A524" s="81" t="s">
        <v>660</v>
      </c>
      <c r="B524" s="82" t="s">
        <v>648</v>
      </c>
      <c r="C524" s="135" t="s">
        <v>1759</v>
      </c>
      <c r="D524" s="136">
        <v>0</v>
      </c>
      <c r="E524" s="136">
        <v>0</v>
      </c>
      <c r="F524" s="137">
        <f>F525</f>
        <v>2768.34</v>
      </c>
      <c r="G524" s="96"/>
      <c r="H524" s="91"/>
    </row>
    <row r="525" spans="1:8" x14ac:dyDescent="0.2">
      <c r="A525" s="83" t="s">
        <v>661</v>
      </c>
      <c r="B525" s="84" t="s">
        <v>84</v>
      </c>
      <c r="C525" s="138" t="s">
        <v>92</v>
      </c>
      <c r="D525" s="139">
        <v>1</v>
      </c>
      <c r="E525" s="139">
        <v>2768.34</v>
      </c>
      <c r="F525" s="140">
        <f>E525*D525</f>
        <v>2768.34</v>
      </c>
      <c r="G525" s="97" t="s">
        <v>81</v>
      </c>
      <c r="H525" s="92"/>
    </row>
    <row r="526" spans="1:8" x14ac:dyDescent="0.2">
      <c r="A526" s="81" t="s">
        <v>662</v>
      </c>
      <c r="B526" s="82" t="s">
        <v>295</v>
      </c>
      <c r="C526" s="135" t="s">
        <v>1759</v>
      </c>
      <c r="D526" s="136">
        <v>0</v>
      </c>
      <c r="E526" s="136">
        <v>0</v>
      </c>
      <c r="F526" s="137">
        <f>F527</f>
        <v>57672.549999999996</v>
      </c>
      <c r="G526" s="96"/>
      <c r="H526" s="91"/>
    </row>
    <row r="527" spans="1:8" x14ac:dyDescent="0.2">
      <c r="A527" s="83" t="s">
        <v>663</v>
      </c>
      <c r="B527" s="84" t="s">
        <v>650</v>
      </c>
      <c r="C527" s="138" t="s">
        <v>130</v>
      </c>
      <c r="D527" s="139">
        <v>887.27</v>
      </c>
      <c r="E527" s="139">
        <v>65</v>
      </c>
      <c r="F527" s="140">
        <f>E527*D527</f>
        <v>57672.549999999996</v>
      </c>
      <c r="G527" s="97"/>
      <c r="H527" s="92"/>
    </row>
    <row r="528" spans="1:8" x14ac:dyDescent="0.2">
      <c r="A528" s="79" t="s">
        <v>664</v>
      </c>
      <c r="B528" s="80" t="s">
        <v>2063</v>
      </c>
      <c r="C528" s="132" t="s">
        <v>1759</v>
      </c>
      <c r="D528" s="133">
        <v>0</v>
      </c>
      <c r="E528" s="133">
        <v>0</v>
      </c>
      <c r="F528" s="134">
        <f>F529+F531+F533+F535+F537+F539</f>
        <v>87681.11</v>
      </c>
      <c r="G528" s="95"/>
      <c r="H528" s="90"/>
    </row>
    <row r="529" spans="1:8" x14ac:dyDescent="0.2">
      <c r="A529" s="81" t="s">
        <v>665</v>
      </c>
      <c r="B529" s="82" t="s">
        <v>634</v>
      </c>
      <c r="C529" s="135" t="s">
        <v>1759</v>
      </c>
      <c r="D529" s="136">
        <v>0</v>
      </c>
      <c r="E529" s="136">
        <v>0</v>
      </c>
      <c r="F529" s="137">
        <f>F530</f>
        <v>17745.400000000001</v>
      </c>
      <c r="G529" s="96"/>
      <c r="H529" s="91"/>
    </row>
    <row r="530" spans="1:8" x14ac:dyDescent="0.2">
      <c r="A530" s="83" t="s">
        <v>666</v>
      </c>
      <c r="B530" s="84" t="s">
        <v>636</v>
      </c>
      <c r="C530" s="138" t="s">
        <v>92</v>
      </c>
      <c r="D530" s="139">
        <v>1</v>
      </c>
      <c r="E530" s="139">
        <v>17745.400000000001</v>
      </c>
      <c r="F530" s="140">
        <f>E530*D530</f>
        <v>17745.400000000001</v>
      </c>
      <c r="G530" s="97" t="s">
        <v>1749</v>
      </c>
      <c r="H530" s="92"/>
    </row>
    <row r="531" spans="1:8" x14ac:dyDescent="0.2">
      <c r="A531" s="81" t="s">
        <v>667</v>
      </c>
      <c r="B531" s="82" t="s">
        <v>638</v>
      </c>
      <c r="C531" s="135" t="s">
        <v>1759</v>
      </c>
      <c r="D531" s="136">
        <v>0</v>
      </c>
      <c r="E531" s="136">
        <v>0</v>
      </c>
      <c r="F531" s="137">
        <f>F532</f>
        <v>3296.27</v>
      </c>
      <c r="G531" s="96"/>
      <c r="H531" s="91"/>
    </row>
    <row r="532" spans="1:8" x14ac:dyDescent="0.2">
      <c r="A532" s="83" t="s">
        <v>668</v>
      </c>
      <c r="B532" s="84" t="s">
        <v>638</v>
      </c>
      <c r="C532" s="138" t="s">
        <v>92</v>
      </c>
      <c r="D532" s="139">
        <v>1</v>
      </c>
      <c r="E532" s="139">
        <v>3296.27</v>
      </c>
      <c r="F532" s="140">
        <f>E532*D532</f>
        <v>3296.27</v>
      </c>
      <c r="G532" s="97" t="s">
        <v>81</v>
      </c>
      <c r="H532" s="92"/>
    </row>
    <row r="533" spans="1:8" x14ac:dyDescent="0.2">
      <c r="A533" s="81" t="s">
        <v>669</v>
      </c>
      <c r="B533" s="82" t="s">
        <v>641</v>
      </c>
      <c r="C533" s="135" t="s">
        <v>1759</v>
      </c>
      <c r="D533" s="136">
        <v>0</v>
      </c>
      <c r="E533" s="136">
        <v>0</v>
      </c>
      <c r="F533" s="137">
        <f>F534</f>
        <v>2540.7600000000002</v>
      </c>
      <c r="G533" s="96"/>
      <c r="H533" s="91"/>
    </row>
    <row r="534" spans="1:8" x14ac:dyDescent="0.2">
      <c r="A534" s="83" t="s">
        <v>670</v>
      </c>
      <c r="B534" s="84" t="s">
        <v>643</v>
      </c>
      <c r="C534" s="138" t="s">
        <v>92</v>
      </c>
      <c r="D534" s="139">
        <v>1</v>
      </c>
      <c r="E534" s="139">
        <v>2540.7600000000002</v>
      </c>
      <c r="F534" s="140">
        <f>E534*D534</f>
        <v>2540.7600000000002</v>
      </c>
      <c r="G534" s="97" t="s">
        <v>81</v>
      </c>
      <c r="H534" s="92"/>
    </row>
    <row r="535" spans="1:8" x14ac:dyDescent="0.2">
      <c r="A535" s="81" t="s">
        <v>671</v>
      </c>
      <c r="B535" s="82" t="s">
        <v>645</v>
      </c>
      <c r="C535" s="135" t="s">
        <v>1759</v>
      </c>
      <c r="D535" s="136">
        <v>0</v>
      </c>
      <c r="E535" s="136">
        <v>0</v>
      </c>
      <c r="F535" s="137">
        <f>F536</f>
        <v>3657.79</v>
      </c>
      <c r="G535" s="96"/>
      <c r="H535" s="91"/>
    </row>
    <row r="536" spans="1:8" x14ac:dyDescent="0.2">
      <c r="A536" s="83" t="s">
        <v>672</v>
      </c>
      <c r="B536" s="84" t="s">
        <v>645</v>
      </c>
      <c r="C536" s="138" t="s">
        <v>92</v>
      </c>
      <c r="D536" s="139">
        <v>1</v>
      </c>
      <c r="E536" s="139">
        <v>3657.79</v>
      </c>
      <c r="F536" s="140">
        <f>E536*D536</f>
        <v>3657.79</v>
      </c>
      <c r="G536" s="97" t="s">
        <v>81</v>
      </c>
      <c r="H536" s="92"/>
    </row>
    <row r="537" spans="1:8" x14ac:dyDescent="0.2">
      <c r="A537" s="81" t="s">
        <v>673</v>
      </c>
      <c r="B537" s="82" t="s">
        <v>648</v>
      </c>
      <c r="C537" s="135" t="s">
        <v>1759</v>
      </c>
      <c r="D537" s="136">
        <v>0</v>
      </c>
      <c r="E537" s="136">
        <v>0</v>
      </c>
      <c r="F537" s="137">
        <f>F538</f>
        <v>2768.34</v>
      </c>
      <c r="G537" s="96"/>
      <c r="H537" s="91"/>
    </row>
    <row r="538" spans="1:8" x14ac:dyDescent="0.2">
      <c r="A538" s="83" t="s">
        <v>674</v>
      </c>
      <c r="B538" s="84" t="s">
        <v>84</v>
      </c>
      <c r="C538" s="138" t="s">
        <v>92</v>
      </c>
      <c r="D538" s="139">
        <v>1</v>
      </c>
      <c r="E538" s="139">
        <v>2768.34</v>
      </c>
      <c r="F538" s="140">
        <f>E538*D538</f>
        <v>2768.34</v>
      </c>
      <c r="G538" s="97" t="s">
        <v>81</v>
      </c>
      <c r="H538" s="92"/>
    </row>
    <row r="539" spans="1:8" x14ac:dyDescent="0.2">
      <c r="A539" s="81" t="s">
        <v>675</v>
      </c>
      <c r="B539" s="82" t="s">
        <v>295</v>
      </c>
      <c r="C539" s="135" t="s">
        <v>1759</v>
      </c>
      <c r="D539" s="136">
        <v>0</v>
      </c>
      <c r="E539" s="136">
        <v>0</v>
      </c>
      <c r="F539" s="137">
        <f>F540</f>
        <v>57672.549999999996</v>
      </c>
      <c r="G539" s="96"/>
      <c r="H539" s="91"/>
    </row>
    <row r="540" spans="1:8" x14ac:dyDescent="0.2">
      <c r="A540" s="83" t="s">
        <v>676</v>
      </c>
      <c r="B540" s="84" t="s">
        <v>650</v>
      </c>
      <c r="C540" s="138" t="s">
        <v>130</v>
      </c>
      <c r="D540" s="139">
        <v>887.27</v>
      </c>
      <c r="E540" s="139">
        <v>65</v>
      </c>
      <c r="F540" s="140">
        <f>E540*D540</f>
        <v>57672.549999999996</v>
      </c>
      <c r="G540" s="97"/>
      <c r="H540" s="92"/>
    </row>
    <row r="541" spans="1:8" x14ac:dyDescent="0.2">
      <c r="A541" s="79" t="s">
        <v>677</v>
      </c>
      <c r="B541" s="80" t="s">
        <v>2064</v>
      </c>
      <c r="C541" s="132" t="s">
        <v>1759</v>
      </c>
      <c r="D541" s="133">
        <v>0</v>
      </c>
      <c r="E541" s="133">
        <v>0</v>
      </c>
      <c r="F541" s="134">
        <f>F542+F544+F546+F548+F550+F552</f>
        <v>88449.53</v>
      </c>
      <c r="G541" s="95"/>
      <c r="H541" s="90"/>
    </row>
    <row r="542" spans="1:8" x14ac:dyDescent="0.2">
      <c r="A542" s="81" t="s">
        <v>678</v>
      </c>
      <c r="B542" s="82" t="s">
        <v>634</v>
      </c>
      <c r="C542" s="135" t="s">
        <v>1759</v>
      </c>
      <c r="D542" s="136">
        <v>0</v>
      </c>
      <c r="E542" s="136">
        <v>0</v>
      </c>
      <c r="F542" s="137">
        <f>F543</f>
        <v>17745.400000000001</v>
      </c>
      <c r="G542" s="96"/>
      <c r="H542" s="91"/>
    </row>
    <row r="543" spans="1:8" x14ac:dyDescent="0.2">
      <c r="A543" s="83" t="s">
        <v>679</v>
      </c>
      <c r="B543" s="84" t="s">
        <v>636</v>
      </c>
      <c r="C543" s="138" t="s">
        <v>92</v>
      </c>
      <c r="D543" s="139">
        <v>1</v>
      </c>
      <c r="E543" s="139">
        <v>17745.400000000001</v>
      </c>
      <c r="F543" s="140">
        <f>E543*D543</f>
        <v>17745.400000000001</v>
      </c>
      <c r="G543" s="97" t="s">
        <v>1749</v>
      </c>
      <c r="H543" s="92"/>
    </row>
    <row r="544" spans="1:8" x14ac:dyDescent="0.2">
      <c r="A544" s="81" t="s">
        <v>680</v>
      </c>
      <c r="B544" s="82" t="s">
        <v>638</v>
      </c>
      <c r="C544" s="135" t="s">
        <v>1759</v>
      </c>
      <c r="D544" s="136">
        <v>0</v>
      </c>
      <c r="E544" s="136">
        <v>0</v>
      </c>
      <c r="F544" s="137">
        <f>F545</f>
        <v>2829.19</v>
      </c>
      <c r="G544" s="96"/>
      <c r="H544" s="91"/>
    </row>
    <row r="545" spans="1:8" ht="31.5" x14ac:dyDescent="0.2">
      <c r="A545" s="83" t="s">
        <v>681</v>
      </c>
      <c r="B545" s="84" t="s">
        <v>638</v>
      </c>
      <c r="C545" s="138" t="s">
        <v>92</v>
      </c>
      <c r="D545" s="139">
        <v>1</v>
      </c>
      <c r="E545" s="139">
        <v>2829.19</v>
      </c>
      <c r="F545" s="140">
        <f>E545*D545</f>
        <v>2829.19</v>
      </c>
      <c r="G545" s="97" t="s">
        <v>81</v>
      </c>
      <c r="H545" s="92"/>
    </row>
    <row r="546" spans="1:8" x14ac:dyDescent="0.2">
      <c r="A546" s="81" t="s">
        <v>682</v>
      </c>
      <c r="B546" s="82" t="s">
        <v>641</v>
      </c>
      <c r="C546" s="135" t="s">
        <v>1759</v>
      </c>
      <c r="D546" s="136">
        <v>0</v>
      </c>
      <c r="E546" s="136">
        <v>0</v>
      </c>
      <c r="F546" s="137">
        <f>F547</f>
        <v>2768.76</v>
      </c>
      <c r="G546" s="96"/>
      <c r="H546" s="91"/>
    </row>
    <row r="547" spans="1:8" ht="31.5" x14ac:dyDescent="0.2">
      <c r="A547" s="83" t="s">
        <v>683</v>
      </c>
      <c r="B547" s="84" t="s">
        <v>643</v>
      </c>
      <c r="C547" s="138" t="s">
        <v>92</v>
      </c>
      <c r="D547" s="139">
        <v>1</v>
      </c>
      <c r="E547" s="139">
        <v>2768.76</v>
      </c>
      <c r="F547" s="140">
        <f>E547*D547</f>
        <v>2768.76</v>
      </c>
      <c r="G547" s="97" t="s">
        <v>81</v>
      </c>
      <c r="H547" s="92"/>
    </row>
    <row r="548" spans="1:8" x14ac:dyDescent="0.2">
      <c r="A548" s="81" t="s">
        <v>684</v>
      </c>
      <c r="B548" s="82" t="s">
        <v>645</v>
      </c>
      <c r="C548" s="135" t="s">
        <v>1759</v>
      </c>
      <c r="D548" s="136">
        <v>0</v>
      </c>
      <c r="E548" s="136">
        <v>0</v>
      </c>
      <c r="F548" s="137">
        <f>F549</f>
        <v>4335.3500000000004</v>
      </c>
      <c r="G548" s="96"/>
      <c r="H548" s="91"/>
    </row>
    <row r="549" spans="1:8" x14ac:dyDescent="0.2">
      <c r="A549" s="83" t="s">
        <v>685</v>
      </c>
      <c r="B549" s="84" t="s">
        <v>645</v>
      </c>
      <c r="C549" s="138" t="s">
        <v>92</v>
      </c>
      <c r="D549" s="139">
        <v>1</v>
      </c>
      <c r="E549" s="139">
        <v>4335.3500000000004</v>
      </c>
      <c r="F549" s="140">
        <f>E549*D549</f>
        <v>4335.3500000000004</v>
      </c>
      <c r="G549" s="97" t="s">
        <v>81</v>
      </c>
      <c r="H549" s="92"/>
    </row>
    <row r="550" spans="1:8" x14ac:dyDescent="0.2">
      <c r="A550" s="81" t="s">
        <v>686</v>
      </c>
      <c r="B550" s="82" t="s">
        <v>648</v>
      </c>
      <c r="C550" s="135" t="s">
        <v>1759</v>
      </c>
      <c r="D550" s="136">
        <v>0</v>
      </c>
      <c r="E550" s="136">
        <v>0</v>
      </c>
      <c r="F550" s="137">
        <f>F551</f>
        <v>3098.28</v>
      </c>
      <c r="G550" s="96"/>
      <c r="H550" s="91"/>
    </row>
    <row r="551" spans="1:8" x14ac:dyDescent="0.2">
      <c r="A551" s="83" t="s">
        <v>687</v>
      </c>
      <c r="B551" s="84" t="s">
        <v>84</v>
      </c>
      <c r="C551" s="138" t="s">
        <v>92</v>
      </c>
      <c r="D551" s="139">
        <v>1</v>
      </c>
      <c r="E551" s="139">
        <v>3098.28</v>
      </c>
      <c r="F551" s="140">
        <f>E551*D551</f>
        <v>3098.28</v>
      </c>
      <c r="G551" s="97" t="s">
        <v>81</v>
      </c>
      <c r="H551" s="92"/>
    </row>
    <row r="552" spans="1:8" x14ac:dyDescent="0.2">
      <c r="A552" s="81" t="s">
        <v>688</v>
      </c>
      <c r="B552" s="82" t="s">
        <v>295</v>
      </c>
      <c r="C552" s="135" t="s">
        <v>1759</v>
      </c>
      <c r="D552" s="136">
        <v>0</v>
      </c>
      <c r="E552" s="136">
        <v>0</v>
      </c>
      <c r="F552" s="137">
        <f>F553</f>
        <v>57672.549999999996</v>
      </c>
      <c r="G552" s="96"/>
      <c r="H552" s="91"/>
    </row>
    <row r="553" spans="1:8" x14ac:dyDescent="0.2">
      <c r="A553" s="83" t="s">
        <v>689</v>
      </c>
      <c r="B553" s="84" t="s">
        <v>650</v>
      </c>
      <c r="C553" s="138" t="s">
        <v>130</v>
      </c>
      <c r="D553" s="139">
        <v>887.27</v>
      </c>
      <c r="E553" s="139">
        <v>65</v>
      </c>
      <c r="F553" s="140">
        <f>E553*D553</f>
        <v>57672.549999999996</v>
      </c>
      <c r="G553" s="97"/>
      <c r="H553" s="92"/>
    </row>
    <row r="554" spans="1:8" x14ac:dyDescent="0.2">
      <c r="A554" s="79" t="s">
        <v>690</v>
      </c>
      <c r="B554" s="80" t="s">
        <v>2065</v>
      </c>
      <c r="C554" s="132" t="s">
        <v>1759</v>
      </c>
      <c r="D554" s="133">
        <v>0</v>
      </c>
      <c r="E554" s="133">
        <v>0</v>
      </c>
      <c r="F554" s="134">
        <f>F555+F557+F559+F561+F563+F565</f>
        <v>99171.96</v>
      </c>
      <c r="G554" s="95"/>
      <c r="H554" s="90"/>
    </row>
    <row r="555" spans="1:8" x14ac:dyDescent="0.2">
      <c r="A555" s="81" t="s">
        <v>691</v>
      </c>
      <c r="B555" s="82" t="s">
        <v>634</v>
      </c>
      <c r="C555" s="135" t="s">
        <v>1759</v>
      </c>
      <c r="D555" s="136">
        <v>0</v>
      </c>
      <c r="E555" s="136">
        <v>0</v>
      </c>
      <c r="F555" s="137">
        <f>F556</f>
        <v>14011.4</v>
      </c>
      <c r="G555" s="96"/>
      <c r="H555" s="91"/>
    </row>
    <row r="556" spans="1:8" x14ac:dyDescent="0.2">
      <c r="A556" s="83" t="s">
        <v>692</v>
      </c>
      <c r="B556" s="84" t="s">
        <v>636</v>
      </c>
      <c r="C556" s="138" t="s">
        <v>92</v>
      </c>
      <c r="D556" s="139">
        <v>1</v>
      </c>
      <c r="E556" s="139">
        <v>14011.4</v>
      </c>
      <c r="F556" s="140">
        <f>E556*D556</f>
        <v>14011.4</v>
      </c>
      <c r="G556" s="97" t="s">
        <v>1749</v>
      </c>
      <c r="H556" s="92"/>
    </row>
    <row r="557" spans="1:8" x14ac:dyDescent="0.2">
      <c r="A557" s="81" t="s">
        <v>693</v>
      </c>
      <c r="B557" s="82" t="s">
        <v>638</v>
      </c>
      <c r="C557" s="135" t="s">
        <v>1759</v>
      </c>
      <c r="D557" s="136">
        <v>0</v>
      </c>
      <c r="E557" s="136">
        <v>0</v>
      </c>
      <c r="F557" s="137">
        <f>F558</f>
        <v>8038.3200000000006</v>
      </c>
      <c r="G557" s="96"/>
      <c r="H557" s="91"/>
    </row>
    <row r="558" spans="1:8" ht="31.5" x14ac:dyDescent="0.2">
      <c r="A558" s="83" t="s">
        <v>694</v>
      </c>
      <c r="B558" s="84" t="s">
        <v>638</v>
      </c>
      <c r="C558" s="138" t="s">
        <v>92</v>
      </c>
      <c r="D558" s="139">
        <v>1</v>
      </c>
      <c r="E558" s="139">
        <v>8038.3200000000006</v>
      </c>
      <c r="F558" s="140">
        <f>E558*D558</f>
        <v>8038.3200000000006</v>
      </c>
      <c r="G558" s="97" t="s">
        <v>81</v>
      </c>
      <c r="H558" s="92"/>
    </row>
    <row r="559" spans="1:8" x14ac:dyDescent="0.2">
      <c r="A559" s="81" t="s">
        <v>695</v>
      </c>
      <c r="B559" s="82" t="s">
        <v>641</v>
      </c>
      <c r="C559" s="135" t="s">
        <v>1759</v>
      </c>
      <c r="D559" s="136">
        <v>0</v>
      </c>
      <c r="E559" s="136">
        <v>0</v>
      </c>
      <c r="F559" s="137">
        <f>F560</f>
        <v>15844.800000000001</v>
      </c>
      <c r="G559" s="96"/>
      <c r="H559" s="91"/>
    </row>
    <row r="560" spans="1:8" ht="31.5" x14ac:dyDescent="0.2">
      <c r="A560" s="83" t="s">
        <v>696</v>
      </c>
      <c r="B560" s="84" t="s">
        <v>643</v>
      </c>
      <c r="C560" s="138" t="s">
        <v>92</v>
      </c>
      <c r="D560" s="139">
        <v>1</v>
      </c>
      <c r="E560" s="139">
        <v>15844.800000000001</v>
      </c>
      <c r="F560" s="140">
        <f>E560*D560</f>
        <v>15844.800000000001</v>
      </c>
      <c r="G560" s="97" t="s">
        <v>81</v>
      </c>
      <c r="H560" s="92"/>
    </row>
    <row r="561" spans="1:8" x14ac:dyDescent="0.2">
      <c r="A561" s="81" t="s">
        <v>697</v>
      </c>
      <c r="B561" s="82" t="s">
        <v>645</v>
      </c>
      <c r="C561" s="135" t="s">
        <v>1759</v>
      </c>
      <c r="D561" s="136">
        <v>0</v>
      </c>
      <c r="E561" s="136">
        <v>0</v>
      </c>
      <c r="F561" s="137">
        <f>F562</f>
        <v>15522.11</v>
      </c>
      <c r="G561" s="96"/>
      <c r="H561" s="91"/>
    </row>
    <row r="562" spans="1:8" x14ac:dyDescent="0.2">
      <c r="A562" s="83" t="s">
        <v>698</v>
      </c>
      <c r="B562" s="84" t="s">
        <v>645</v>
      </c>
      <c r="C562" s="138" t="s">
        <v>92</v>
      </c>
      <c r="D562" s="139">
        <v>1</v>
      </c>
      <c r="E562" s="139">
        <v>15522.11</v>
      </c>
      <c r="F562" s="140">
        <f>E562*D562</f>
        <v>15522.11</v>
      </c>
      <c r="G562" s="97" t="s">
        <v>81</v>
      </c>
      <c r="H562" s="92"/>
    </row>
    <row r="563" spans="1:8" x14ac:dyDescent="0.2">
      <c r="A563" s="81" t="s">
        <v>699</v>
      </c>
      <c r="B563" s="82" t="s">
        <v>648</v>
      </c>
      <c r="C563" s="135" t="s">
        <v>1759</v>
      </c>
      <c r="D563" s="136">
        <v>0</v>
      </c>
      <c r="E563" s="136">
        <v>0</v>
      </c>
      <c r="F563" s="137">
        <f>F564</f>
        <v>218.28</v>
      </c>
      <c r="G563" s="96"/>
      <c r="H563" s="91"/>
    </row>
    <row r="564" spans="1:8" x14ac:dyDescent="0.2">
      <c r="A564" s="83" t="s">
        <v>700</v>
      </c>
      <c r="B564" s="84" t="s">
        <v>84</v>
      </c>
      <c r="C564" s="138" t="s">
        <v>92</v>
      </c>
      <c r="D564" s="139">
        <v>1</v>
      </c>
      <c r="E564" s="139">
        <v>218.28</v>
      </c>
      <c r="F564" s="140">
        <f>E564*D564</f>
        <v>218.28</v>
      </c>
      <c r="G564" s="97" t="s">
        <v>81</v>
      </c>
      <c r="H564" s="92"/>
    </row>
    <row r="565" spans="1:8" x14ac:dyDescent="0.2">
      <c r="A565" s="81" t="s">
        <v>701</v>
      </c>
      <c r="B565" s="82" t="s">
        <v>295</v>
      </c>
      <c r="C565" s="135" t="s">
        <v>1759</v>
      </c>
      <c r="D565" s="136">
        <v>0</v>
      </c>
      <c r="E565" s="136">
        <v>0</v>
      </c>
      <c r="F565" s="137">
        <f>F566</f>
        <v>45537.05</v>
      </c>
      <c r="G565" s="96"/>
      <c r="H565" s="91"/>
    </row>
    <row r="566" spans="1:8" x14ac:dyDescent="0.2">
      <c r="A566" s="83" t="s">
        <v>702</v>
      </c>
      <c r="B566" s="84" t="s">
        <v>650</v>
      </c>
      <c r="C566" s="138" t="s">
        <v>130</v>
      </c>
      <c r="D566" s="139">
        <v>700.57</v>
      </c>
      <c r="E566" s="139">
        <v>65</v>
      </c>
      <c r="F566" s="140">
        <f>E566*D566</f>
        <v>45537.05</v>
      </c>
      <c r="G566" s="97"/>
      <c r="H566" s="92"/>
    </row>
    <row r="567" spans="1:8" x14ac:dyDescent="0.2">
      <c r="A567" s="79" t="s">
        <v>703</v>
      </c>
      <c r="B567" s="80" t="s">
        <v>2066</v>
      </c>
      <c r="C567" s="132" t="s">
        <v>1759</v>
      </c>
      <c r="D567" s="133">
        <v>0</v>
      </c>
      <c r="E567" s="133">
        <v>0</v>
      </c>
      <c r="F567" s="134">
        <f>F568+F570+F572+F574+F576+F578</f>
        <v>1072209.6300000001</v>
      </c>
      <c r="G567" s="95"/>
      <c r="H567" s="90"/>
    </row>
    <row r="568" spans="1:8" x14ac:dyDescent="0.2">
      <c r="A568" s="81" t="s">
        <v>704</v>
      </c>
      <c r="B568" s="82" t="s">
        <v>634</v>
      </c>
      <c r="C568" s="135" t="s">
        <v>1759</v>
      </c>
      <c r="D568" s="136">
        <v>0</v>
      </c>
      <c r="E568" s="136">
        <v>0</v>
      </c>
      <c r="F568" s="137">
        <f>F569</f>
        <v>111520</v>
      </c>
      <c r="G568" s="96"/>
      <c r="H568" s="91"/>
    </row>
    <row r="569" spans="1:8" x14ac:dyDescent="0.2">
      <c r="A569" s="83" t="s">
        <v>705</v>
      </c>
      <c r="B569" s="84" t="s">
        <v>636</v>
      </c>
      <c r="C569" s="138" t="s">
        <v>92</v>
      </c>
      <c r="D569" s="139">
        <v>1</v>
      </c>
      <c r="E569" s="139">
        <v>111520</v>
      </c>
      <c r="F569" s="140">
        <f>E569*D569</f>
        <v>111520</v>
      </c>
      <c r="G569" s="97" t="s">
        <v>1749</v>
      </c>
      <c r="H569" s="92"/>
    </row>
    <row r="570" spans="1:8" x14ac:dyDescent="0.2">
      <c r="A570" s="81" t="s">
        <v>706</v>
      </c>
      <c r="B570" s="82" t="s">
        <v>638</v>
      </c>
      <c r="C570" s="135" t="s">
        <v>1759</v>
      </c>
      <c r="D570" s="136">
        <v>0</v>
      </c>
      <c r="E570" s="136">
        <v>0</v>
      </c>
      <c r="F570" s="137">
        <f>F571</f>
        <v>93148.650000000009</v>
      </c>
      <c r="G570" s="96"/>
      <c r="H570" s="91"/>
    </row>
    <row r="571" spans="1:8" ht="31.5" x14ac:dyDescent="0.2">
      <c r="A571" s="83" t="s">
        <v>707</v>
      </c>
      <c r="B571" s="84" t="s">
        <v>638</v>
      </c>
      <c r="C571" s="138" t="s">
        <v>92</v>
      </c>
      <c r="D571" s="139">
        <v>1</v>
      </c>
      <c r="E571" s="139">
        <v>93148.650000000009</v>
      </c>
      <c r="F571" s="140">
        <f>E571*D571</f>
        <v>93148.650000000009</v>
      </c>
      <c r="G571" s="97" t="s">
        <v>81</v>
      </c>
      <c r="H571" s="92"/>
    </row>
    <row r="572" spans="1:8" x14ac:dyDescent="0.2">
      <c r="A572" s="81" t="s">
        <v>708</v>
      </c>
      <c r="B572" s="82" t="s">
        <v>641</v>
      </c>
      <c r="C572" s="135" t="s">
        <v>1759</v>
      </c>
      <c r="D572" s="136">
        <v>0</v>
      </c>
      <c r="E572" s="136">
        <v>0</v>
      </c>
      <c r="F572" s="137">
        <f>F573</f>
        <v>204682.4</v>
      </c>
      <c r="G572" s="96"/>
      <c r="H572" s="91"/>
    </row>
    <row r="573" spans="1:8" ht="31.5" x14ac:dyDescent="0.2">
      <c r="A573" s="83" t="s">
        <v>709</v>
      </c>
      <c r="B573" s="84" t="s">
        <v>643</v>
      </c>
      <c r="C573" s="138" t="s">
        <v>92</v>
      </c>
      <c r="D573" s="139">
        <v>1</v>
      </c>
      <c r="E573" s="139">
        <v>204682.4</v>
      </c>
      <c r="F573" s="140">
        <f>E573*D573</f>
        <v>204682.4</v>
      </c>
      <c r="G573" s="97" t="s">
        <v>81</v>
      </c>
      <c r="H573" s="92"/>
    </row>
    <row r="574" spans="1:8" x14ac:dyDescent="0.2">
      <c r="A574" s="81" t="s">
        <v>710</v>
      </c>
      <c r="B574" s="82" t="s">
        <v>645</v>
      </c>
      <c r="C574" s="135" t="s">
        <v>1759</v>
      </c>
      <c r="D574" s="136">
        <v>0</v>
      </c>
      <c r="E574" s="136">
        <v>0</v>
      </c>
      <c r="F574" s="137">
        <f>F575</f>
        <v>190203.61000000002</v>
      </c>
      <c r="G574" s="96"/>
      <c r="H574" s="91"/>
    </row>
    <row r="575" spans="1:8" x14ac:dyDescent="0.2">
      <c r="A575" s="83" t="s">
        <v>711</v>
      </c>
      <c r="B575" s="84" t="s">
        <v>645</v>
      </c>
      <c r="C575" s="138" t="s">
        <v>92</v>
      </c>
      <c r="D575" s="139">
        <v>1</v>
      </c>
      <c r="E575" s="139">
        <v>190203.61000000002</v>
      </c>
      <c r="F575" s="140">
        <f>E575*D575</f>
        <v>190203.61000000002</v>
      </c>
      <c r="G575" s="97" t="s">
        <v>81</v>
      </c>
      <c r="H575" s="92"/>
    </row>
    <row r="576" spans="1:8" x14ac:dyDescent="0.2">
      <c r="A576" s="81" t="s">
        <v>712</v>
      </c>
      <c r="B576" s="82" t="s">
        <v>648</v>
      </c>
      <c r="C576" s="135" t="s">
        <v>1759</v>
      </c>
      <c r="D576" s="136">
        <v>0</v>
      </c>
      <c r="E576" s="136">
        <v>0</v>
      </c>
      <c r="F576" s="137">
        <f>F577</f>
        <v>2846.02</v>
      </c>
      <c r="G576" s="96"/>
      <c r="H576" s="91"/>
    </row>
    <row r="577" spans="1:8" x14ac:dyDescent="0.2">
      <c r="A577" s="83" t="s">
        <v>713</v>
      </c>
      <c r="B577" s="84" t="s">
        <v>84</v>
      </c>
      <c r="C577" s="138" t="s">
        <v>92</v>
      </c>
      <c r="D577" s="139">
        <v>1</v>
      </c>
      <c r="E577" s="139">
        <v>2846.02</v>
      </c>
      <c r="F577" s="140">
        <f>E577*D577</f>
        <v>2846.02</v>
      </c>
      <c r="G577" s="97" t="s">
        <v>81</v>
      </c>
      <c r="H577" s="92"/>
    </row>
    <row r="578" spans="1:8" x14ac:dyDescent="0.2">
      <c r="A578" s="81" t="s">
        <v>714</v>
      </c>
      <c r="B578" s="82" t="s">
        <v>295</v>
      </c>
      <c r="C578" s="135" t="s">
        <v>1759</v>
      </c>
      <c r="D578" s="136">
        <v>0</v>
      </c>
      <c r="E578" s="136">
        <v>0</v>
      </c>
      <c r="F578" s="137">
        <f>F579</f>
        <v>469808.95</v>
      </c>
      <c r="G578" s="96"/>
      <c r="H578" s="91"/>
    </row>
    <row r="579" spans="1:8" x14ac:dyDescent="0.2">
      <c r="A579" s="83" t="s">
        <v>715</v>
      </c>
      <c r="B579" s="84" t="s">
        <v>650</v>
      </c>
      <c r="C579" s="138" t="s">
        <v>130</v>
      </c>
      <c r="D579" s="139">
        <v>7227.83</v>
      </c>
      <c r="E579" s="139">
        <v>65</v>
      </c>
      <c r="F579" s="140">
        <f>E579*D579</f>
        <v>469808.95</v>
      </c>
      <c r="G579" s="97"/>
      <c r="H579" s="92"/>
    </row>
    <row r="580" spans="1:8" x14ac:dyDescent="0.2">
      <c r="A580" s="79" t="s">
        <v>716</v>
      </c>
      <c r="B580" s="80" t="s">
        <v>2067</v>
      </c>
      <c r="C580" s="132" t="s">
        <v>1759</v>
      </c>
      <c r="D580" s="133">
        <v>0</v>
      </c>
      <c r="E580" s="133">
        <v>0</v>
      </c>
      <c r="F580" s="134">
        <f>F581+F583+F585+F587+F589+F591</f>
        <v>95453.97</v>
      </c>
      <c r="G580" s="95"/>
      <c r="H580" s="90"/>
    </row>
    <row r="581" spans="1:8" x14ac:dyDescent="0.2">
      <c r="A581" s="81" t="s">
        <v>717</v>
      </c>
      <c r="B581" s="82" t="s">
        <v>634</v>
      </c>
      <c r="C581" s="135" t="s">
        <v>1759</v>
      </c>
      <c r="D581" s="136">
        <v>0</v>
      </c>
      <c r="E581" s="136">
        <v>0</v>
      </c>
      <c r="F581" s="137">
        <f>F582</f>
        <v>33036.6</v>
      </c>
      <c r="G581" s="96"/>
      <c r="H581" s="91"/>
    </row>
    <row r="582" spans="1:8" x14ac:dyDescent="0.2">
      <c r="A582" s="83" t="s">
        <v>718</v>
      </c>
      <c r="B582" s="84" t="s">
        <v>636</v>
      </c>
      <c r="C582" s="138" t="s">
        <v>92</v>
      </c>
      <c r="D582" s="139">
        <v>1</v>
      </c>
      <c r="E582" s="139">
        <v>33036.6</v>
      </c>
      <c r="F582" s="140">
        <f>E582*D582</f>
        <v>33036.6</v>
      </c>
      <c r="G582" s="97" t="s">
        <v>1749</v>
      </c>
      <c r="H582" s="92"/>
    </row>
    <row r="583" spans="1:8" x14ac:dyDescent="0.2">
      <c r="A583" s="81" t="s">
        <v>719</v>
      </c>
      <c r="B583" s="82" t="s">
        <v>638</v>
      </c>
      <c r="C583" s="135" t="s">
        <v>1759</v>
      </c>
      <c r="D583" s="136">
        <v>0</v>
      </c>
      <c r="E583" s="136">
        <v>0</v>
      </c>
      <c r="F583" s="137">
        <f>F584</f>
        <v>5891.64</v>
      </c>
      <c r="G583" s="96"/>
      <c r="H583" s="91"/>
    </row>
    <row r="584" spans="1:8" x14ac:dyDescent="0.2">
      <c r="A584" s="83" t="s">
        <v>720</v>
      </c>
      <c r="B584" s="84" t="s">
        <v>638</v>
      </c>
      <c r="C584" s="138" t="s">
        <v>92</v>
      </c>
      <c r="D584" s="139">
        <v>1</v>
      </c>
      <c r="E584" s="139">
        <v>5891.64</v>
      </c>
      <c r="F584" s="140">
        <f>E584*D584</f>
        <v>5891.64</v>
      </c>
      <c r="G584" s="97" t="s">
        <v>81</v>
      </c>
      <c r="H584" s="92"/>
    </row>
    <row r="585" spans="1:8" x14ac:dyDescent="0.2">
      <c r="A585" s="81" t="s">
        <v>721</v>
      </c>
      <c r="B585" s="82" t="s">
        <v>641</v>
      </c>
      <c r="C585" s="135" t="s">
        <v>1759</v>
      </c>
      <c r="D585" s="136">
        <v>0</v>
      </c>
      <c r="E585" s="136">
        <v>0</v>
      </c>
      <c r="F585" s="137">
        <f>F586</f>
        <v>11824.35</v>
      </c>
      <c r="G585" s="96"/>
      <c r="H585" s="91"/>
    </row>
    <row r="586" spans="1:8" x14ac:dyDescent="0.2">
      <c r="A586" s="83" t="s">
        <v>722</v>
      </c>
      <c r="B586" s="84" t="s">
        <v>643</v>
      </c>
      <c r="C586" s="138" t="s">
        <v>92</v>
      </c>
      <c r="D586" s="139">
        <v>1</v>
      </c>
      <c r="E586" s="139">
        <v>11824.35</v>
      </c>
      <c r="F586" s="140">
        <f>E586*D586</f>
        <v>11824.35</v>
      </c>
      <c r="G586" s="97" t="s">
        <v>81</v>
      </c>
      <c r="H586" s="92"/>
    </row>
    <row r="587" spans="1:8" x14ac:dyDescent="0.2">
      <c r="A587" s="81" t="s">
        <v>723</v>
      </c>
      <c r="B587" s="82" t="s">
        <v>645</v>
      </c>
      <c r="C587" s="135" t="s">
        <v>1759</v>
      </c>
      <c r="D587" s="136">
        <v>0</v>
      </c>
      <c r="E587" s="136">
        <v>0</v>
      </c>
      <c r="F587" s="137">
        <f>F588</f>
        <v>9107.880000000001</v>
      </c>
      <c r="G587" s="96"/>
      <c r="H587" s="91"/>
    </row>
    <row r="588" spans="1:8" x14ac:dyDescent="0.2">
      <c r="A588" s="83" t="s">
        <v>724</v>
      </c>
      <c r="B588" s="84" t="s">
        <v>645</v>
      </c>
      <c r="C588" s="138" t="s">
        <v>92</v>
      </c>
      <c r="D588" s="139">
        <v>1</v>
      </c>
      <c r="E588" s="139">
        <v>9107.880000000001</v>
      </c>
      <c r="F588" s="140">
        <f>E588*D588</f>
        <v>9107.880000000001</v>
      </c>
      <c r="G588" s="97" t="s">
        <v>81</v>
      </c>
      <c r="H588" s="92"/>
    </row>
    <row r="589" spans="1:8" x14ac:dyDescent="0.2">
      <c r="A589" s="81" t="s">
        <v>725</v>
      </c>
      <c r="B589" s="82" t="s">
        <v>648</v>
      </c>
      <c r="C589" s="135" t="s">
        <v>1759</v>
      </c>
      <c r="D589" s="136">
        <v>0</v>
      </c>
      <c r="E589" s="136">
        <v>0</v>
      </c>
      <c r="F589" s="137">
        <f>F590</f>
        <v>20.95</v>
      </c>
      <c r="G589" s="96"/>
      <c r="H589" s="91"/>
    </row>
    <row r="590" spans="1:8" x14ac:dyDescent="0.2">
      <c r="A590" s="83" t="s">
        <v>726</v>
      </c>
      <c r="B590" s="84" t="s">
        <v>84</v>
      </c>
      <c r="C590" s="138" t="s">
        <v>92</v>
      </c>
      <c r="D590" s="139">
        <v>1</v>
      </c>
      <c r="E590" s="139">
        <v>20.95</v>
      </c>
      <c r="F590" s="140">
        <f>E590*D590</f>
        <v>20.95</v>
      </c>
      <c r="G590" s="97" t="s">
        <v>81</v>
      </c>
      <c r="H590" s="92"/>
    </row>
    <row r="591" spans="1:8" x14ac:dyDescent="0.2">
      <c r="A591" s="81" t="s">
        <v>727</v>
      </c>
      <c r="B591" s="82" t="s">
        <v>295</v>
      </c>
      <c r="C591" s="135" t="s">
        <v>1759</v>
      </c>
      <c r="D591" s="136">
        <v>0</v>
      </c>
      <c r="E591" s="136">
        <v>0</v>
      </c>
      <c r="F591" s="137">
        <f>F592</f>
        <v>35572.549999999996</v>
      </c>
      <c r="G591" s="96"/>
      <c r="H591" s="91"/>
    </row>
    <row r="592" spans="1:8" x14ac:dyDescent="0.2">
      <c r="A592" s="83" t="s">
        <v>728</v>
      </c>
      <c r="B592" s="84" t="s">
        <v>650</v>
      </c>
      <c r="C592" s="138" t="s">
        <v>130</v>
      </c>
      <c r="D592" s="139">
        <v>547.27</v>
      </c>
      <c r="E592" s="139">
        <v>65</v>
      </c>
      <c r="F592" s="140">
        <f>E592*D592</f>
        <v>35572.549999999996</v>
      </c>
      <c r="G592" s="97"/>
      <c r="H592" s="92"/>
    </row>
    <row r="593" spans="1:8" x14ac:dyDescent="0.2">
      <c r="A593" s="79" t="s">
        <v>2068</v>
      </c>
      <c r="B593" s="80" t="s">
        <v>2069</v>
      </c>
      <c r="C593" s="132" t="s">
        <v>1759</v>
      </c>
      <c r="D593" s="133">
        <v>0</v>
      </c>
      <c r="E593" s="133">
        <v>0</v>
      </c>
      <c r="F593" s="134">
        <f>F594+F596+F598+F600+F602+F604</f>
        <v>44956.61</v>
      </c>
      <c r="G593" s="95"/>
      <c r="H593" s="90"/>
    </row>
    <row r="594" spans="1:8" x14ac:dyDescent="0.2">
      <c r="A594" s="81" t="s">
        <v>2070</v>
      </c>
      <c r="B594" s="82" t="s">
        <v>634</v>
      </c>
      <c r="C594" s="135" t="s">
        <v>1759</v>
      </c>
      <c r="D594" s="136">
        <v>0</v>
      </c>
      <c r="E594" s="136">
        <v>0</v>
      </c>
      <c r="F594" s="137">
        <f>F595</f>
        <v>9667.6</v>
      </c>
      <c r="G594" s="96"/>
      <c r="H594" s="91"/>
    </row>
    <row r="595" spans="1:8" x14ac:dyDescent="0.2">
      <c r="A595" s="83" t="s">
        <v>2071</v>
      </c>
      <c r="B595" s="84" t="s">
        <v>636</v>
      </c>
      <c r="C595" s="138" t="s">
        <v>92</v>
      </c>
      <c r="D595" s="139">
        <v>1</v>
      </c>
      <c r="E595" s="139">
        <v>9667.6</v>
      </c>
      <c r="F595" s="140">
        <f>E595*D595</f>
        <v>9667.6</v>
      </c>
      <c r="G595" s="97" t="s">
        <v>1749</v>
      </c>
      <c r="H595" s="92"/>
    </row>
    <row r="596" spans="1:8" x14ac:dyDescent="0.2">
      <c r="A596" s="81" t="s">
        <v>2072</v>
      </c>
      <c r="B596" s="82" t="s">
        <v>638</v>
      </c>
      <c r="C596" s="135" t="s">
        <v>1759</v>
      </c>
      <c r="D596" s="136">
        <v>0</v>
      </c>
      <c r="E596" s="136">
        <v>0</v>
      </c>
      <c r="F596" s="137">
        <f>F597</f>
        <v>1567.49</v>
      </c>
      <c r="G596" s="96"/>
      <c r="H596" s="91"/>
    </row>
    <row r="597" spans="1:8" x14ac:dyDescent="0.2">
      <c r="A597" s="83" t="s">
        <v>2073</v>
      </c>
      <c r="B597" s="84" t="s">
        <v>638</v>
      </c>
      <c r="C597" s="138" t="s">
        <v>92</v>
      </c>
      <c r="D597" s="139">
        <v>1</v>
      </c>
      <c r="E597" s="139">
        <v>1567.49</v>
      </c>
      <c r="F597" s="140">
        <f>E597*D597</f>
        <v>1567.49</v>
      </c>
      <c r="G597" s="97" t="s">
        <v>81</v>
      </c>
      <c r="H597" s="92"/>
    </row>
    <row r="598" spans="1:8" x14ac:dyDescent="0.2">
      <c r="A598" s="81" t="s">
        <v>2074</v>
      </c>
      <c r="B598" s="82" t="s">
        <v>641</v>
      </c>
      <c r="C598" s="135" t="s">
        <v>1759</v>
      </c>
      <c r="D598" s="136">
        <v>0</v>
      </c>
      <c r="E598" s="136">
        <v>0</v>
      </c>
      <c r="F598" s="137">
        <f>F599</f>
        <v>1656.38</v>
      </c>
      <c r="G598" s="96"/>
      <c r="H598" s="91"/>
    </row>
    <row r="599" spans="1:8" x14ac:dyDescent="0.2">
      <c r="A599" s="83" t="s">
        <v>2075</v>
      </c>
      <c r="B599" s="84" t="s">
        <v>643</v>
      </c>
      <c r="C599" s="138" t="s">
        <v>92</v>
      </c>
      <c r="D599" s="139">
        <v>1</v>
      </c>
      <c r="E599" s="139">
        <v>1656.38</v>
      </c>
      <c r="F599" s="140">
        <f>E599*D599</f>
        <v>1656.38</v>
      </c>
      <c r="G599" s="97" t="s">
        <v>81</v>
      </c>
      <c r="H599" s="92"/>
    </row>
    <row r="600" spans="1:8" x14ac:dyDescent="0.2">
      <c r="A600" s="81" t="s">
        <v>2076</v>
      </c>
      <c r="B600" s="82" t="s">
        <v>645</v>
      </c>
      <c r="C600" s="135" t="s">
        <v>1759</v>
      </c>
      <c r="D600" s="136">
        <v>0</v>
      </c>
      <c r="E600" s="136">
        <v>0</v>
      </c>
      <c r="F600" s="137">
        <f>F601</f>
        <v>411.44</v>
      </c>
      <c r="G600" s="96"/>
      <c r="H600" s="91"/>
    </row>
    <row r="601" spans="1:8" ht="31.5" x14ac:dyDescent="0.2">
      <c r="A601" s="83" t="s">
        <v>2077</v>
      </c>
      <c r="B601" s="84" t="s">
        <v>645</v>
      </c>
      <c r="C601" s="138" t="s">
        <v>92</v>
      </c>
      <c r="D601" s="139">
        <v>1</v>
      </c>
      <c r="E601" s="139">
        <v>411.44</v>
      </c>
      <c r="F601" s="140">
        <f>E601*D601</f>
        <v>411.44</v>
      </c>
      <c r="G601" s="97" t="s">
        <v>81</v>
      </c>
      <c r="H601" s="92"/>
    </row>
    <row r="602" spans="1:8" x14ac:dyDescent="0.2">
      <c r="A602" s="81" t="s">
        <v>2078</v>
      </c>
      <c r="B602" s="82" t="s">
        <v>648</v>
      </c>
      <c r="C602" s="135" t="s">
        <v>1759</v>
      </c>
      <c r="D602" s="136">
        <v>0</v>
      </c>
      <c r="E602" s="136">
        <v>0</v>
      </c>
      <c r="F602" s="137">
        <f>F603</f>
        <v>234</v>
      </c>
      <c r="G602" s="96"/>
      <c r="H602" s="91"/>
    </row>
    <row r="603" spans="1:8" ht="31.5" x14ac:dyDescent="0.2">
      <c r="A603" s="83" t="s">
        <v>2079</v>
      </c>
      <c r="B603" s="84" t="s">
        <v>84</v>
      </c>
      <c r="C603" s="138" t="s">
        <v>92</v>
      </c>
      <c r="D603" s="139">
        <v>1</v>
      </c>
      <c r="E603" s="139">
        <v>234</v>
      </c>
      <c r="F603" s="140">
        <f>E603*D603</f>
        <v>234</v>
      </c>
      <c r="G603" s="97" t="s">
        <v>81</v>
      </c>
      <c r="H603" s="92"/>
    </row>
    <row r="604" spans="1:8" x14ac:dyDescent="0.2">
      <c r="A604" s="81" t="s">
        <v>2080</v>
      </c>
      <c r="B604" s="82" t="s">
        <v>295</v>
      </c>
      <c r="C604" s="135" t="s">
        <v>1759</v>
      </c>
      <c r="D604" s="136">
        <v>0</v>
      </c>
      <c r="E604" s="136">
        <v>0</v>
      </c>
      <c r="F604" s="137">
        <f>F605</f>
        <v>31419.7</v>
      </c>
      <c r="G604" s="96"/>
      <c r="H604" s="91"/>
    </row>
    <row r="605" spans="1:8" ht="31.5" x14ac:dyDescent="0.2">
      <c r="A605" s="83" t="s">
        <v>2081</v>
      </c>
      <c r="B605" s="84" t="s">
        <v>650</v>
      </c>
      <c r="C605" s="138" t="s">
        <v>130</v>
      </c>
      <c r="D605" s="139">
        <v>483.38</v>
      </c>
      <c r="E605" s="139">
        <v>65</v>
      </c>
      <c r="F605" s="140">
        <f>E605*D605</f>
        <v>31419.7</v>
      </c>
      <c r="G605" s="97"/>
      <c r="H605" s="92"/>
    </row>
    <row r="606" spans="1:8" x14ac:dyDescent="0.2">
      <c r="A606" s="77" t="s">
        <v>729</v>
      </c>
      <c r="B606" s="78" t="s">
        <v>730</v>
      </c>
      <c r="C606" s="129" t="s">
        <v>1759</v>
      </c>
      <c r="D606" s="130">
        <v>0</v>
      </c>
      <c r="E606" s="130">
        <v>0</v>
      </c>
      <c r="F606" s="131">
        <f>F607+F620+F631+F640+F651+F664+F677+F690+F699</f>
        <v>1748574.4988999998</v>
      </c>
      <c r="G606" s="98"/>
      <c r="H606" s="89"/>
    </row>
    <row r="607" spans="1:8" x14ac:dyDescent="0.2">
      <c r="A607" s="79" t="s">
        <v>731</v>
      </c>
      <c r="B607" s="80" t="s">
        <v>732</v>
      </c>
      <c r="C607" s="132" t="s">
        <v>1759</v>
      </c>
      <c r="D607" s="133">
        <v>0</v>
      </c>
      <c r="E607" s="133">
        <v>0</v>
      </c>
      <c r="F607" s="134">
        <f>F608+F610+F612+F614+F616+F618</f>
        <v>193841.56279999999</v>
      </c>
      <c r="G607" s="95"/>
      <c r="H607" s="90"/>
    </row>
    <row r="608" spans="1:8" x14ac:dyDescent="0.2">
      <c r="A608" s="81" t="s">
        <v>733</v>
      </c>
      <c r="B608" s="82" t="s">
        <v>734</v>
      </c>
      <c r="C608" s="135" t="s">
        <v>1759</v>
      </c>
      <c r="D608" s="136">
        <v>0</v>
      </c>
      <c r="E608" s="136">
        <v>0</v>
      </c>
      <c r="F608" s="137">
        <f>F609</f>
        <v>32867.33</v>
      </c>
      <c r="G608" s="96"/>
      <c r="H608" s="91"/>
    </row>
    <row r="609" spans="1:8" x14ac:dyDescent="0.2">
      <c r="A609" s="83" t="s">
        <v>735</v>
      </c>
      <c r="B609" s="84" t="s">
        <v>736</v>
      </c>
      <c r="C609" s="138" t="s">
        <v>92</v>
      </c>
      <c r="D609" s="139">
        <v>1</v>
      </c>
      <c r="E609" s="139">
        <v>32867.33</v>
      </c>
      <c r="F609" s="140">
        <f>E609*D609</f>
        <v>32867.33</v>
      </c>
      <c r="G609" s="97" t="s">
        <v>81</v>
      </c>
      <c r="H609" s="92"/>
    </row>
    <row r="610" spans="1:8" x14ac:dyDescent="0.2">
      <c r="A610" s="81" t="s">
        <v>737</v>
      </c>
      <c r="B610" s="82" t="s">
        <v>738</v>
      </c>
      <c r="C610" s="135" t="s">
        <v>1759</v>
      </c>
      <c r="D610" s="136">
        <v>0</v>
      </c>
      <c r="E610" s="136">
        <v>0</v>
      </c>
      <c r="F610" s="137">
        <f>F611</f>
        <v>19540.855499999998</v>
      </c>
      <c r="G610" s="96"/>
      <c r="H610" s="91"/>
    </row>
    <row r="611" spans="1:8" x14ac:dyDescent="0.2">
      <c r="A611" s="83" t="s">
        <v>739</v>
      </c>
      <c r="B611" s="84" t="s">
        <v>740</v>
      </c>
      <c r="C611" s="138" t="s">
        <v>92</v>
      </c>
      <c r="D611" s="139">
        <v>1</v>
      </c>
      <c r="E611" s="139">
        <v>19540.855499999998</v>
      </c>
      <c r="F611" s="140">
        <f>E611*D611</f>
        <v>19540.855499999998</v>
      </c>
      <c r="G611" s="97" t="s">
        <v>81</v>
      </c>
      <c r="H611" s="92"/>
    </row>
    <row r="612" spans="1:8" x14ac:dyDescent="0.2">
      <c r="A612" s="81" t="s">
        <v>741</v>
      </c>
      <c r="B612" s="82" t="s">
        <v>742</v>
      </c>
      <c r="C612" s="135" t="s">
        <v>1759</v>
      </c>
      <c r="D612" s="136">
        <v>0</v>
      </c>
      <c r="E612" s="136">
        <v>0</v>
      </c>
      <c r="F612" s="137">
        <f>F613</f>
        <v>17456.3573</v>
      </c>
      <c r="G612" s="96"/>
      <c r="H612" s="91"/>
    </row>
    <row r="613" spans="1:8" x14ac:dyDescent="0.2">
      <c r="A613" s="83" t="s">
        <v>743</v>
      </c>
      <c r="B613" s="84" t="s">
        <v>744</v>
      </c>
      <c r="C613" s="138" t="s">
        <v>92</v>
      </c>
      <c r="D613" s="139">
        <v>1</v>
      </c>
      <c r="E613" s="139">
        <v>17456.3573</v>
      </c>
      <c r="F613" s="140">
        <f>E613*D613</f>
        <v>17456.3573</v>
      </c>
      <c r="G613" s="97" t="s">
        <v>81</v>
      </c>
      <c r="H613" s="92"/>
    </row>
    <row r="614" spans="1:8" x14ac:dyDescent="0.2">
      <c r="A614" s="81" t="s">
        <v>745</v>
      </c>
      <c r="B614" s="82" t="s">
        <v>746</v>
      </c>
      <c r="C614" s="135" t="s">
        <v>1759</v>
      </c>
      <c r="D614" s="136">
        <v>0</v>
      </c>
      <c r="E614" s="136">
        <v>0</v>
      </c>
      <c r="F614" s="137">
        <f>F615</f>
        <v>62667.16</v>
      </c>
      <c r="G614" s="96"/>
      <c r="H614" s="91"/>
    </row>
    <row r="615" spans="1:8" x14ac:dyDescent="0.2">
      <c r="A615" s="83" t="s">
        <v>747</v>
      </c>
      <c r="B615" s="84" t="s">
        <v>748</v>
      </c>
      <c r="C615" s="138" t="s">
        <v>92</v>
      </c>
      <c r="D615" s="139">
        <v>1</v>
      </c>
      <c r="E615" s="139">
        <v>62667.16</v>
      </c>
      <c r="F615" s="140">
        <f>E615*D615</f>
        <v>62667.16</v>
      </c>
      <c r="G615" s="97" t="s">
        <v>81</v>
      </c>
      <c r="H615" s="92"/>
    </row>
    <row r="616" spans="1:8" x14ac:dyDescent="0.2">
      <c r="A616" s="81" t="s">
        <v>749</v>
      </c>
      <c r="B616" s="82" t="s">
        <v>750</v>
      </c>
      <c r="C616" s="135" t="s">
        <v>1759</v>
      </c>
      <c r="D616" s="136">
        <v>0</v>
      </c>
      <c r="E616" s="136">
        <v>0</v>
      </c>
      <c r="F616" s="137">
        <f>F617</f>
        <v>2933.36</v>
      </c>
      <c r="G616" s="96"/>
      <c r="H616" s="91"/>
    </row>
    <row r="617" spans="1:8" x14ac:dyDescent="0.2">
      <c r="A617" s="83" t="s">
        <v>751</v>
      </c>
      <c r="B617" s="84" t="s">
        <v>752</v>
      </c>
      <c r="C617" s="138" t="s">
        <v>92</v>
      </c>
      <c r="D617" s="139">
        <v>1</v>
      </c>
      <c r="E617" s="139">
        <v>2933.36</v>
      </c>
      <c r="F617" s="140">
        <f>E617*D617</f>
        <v>2933.36</v>
      </c>
      <c r="G617" s="97" t="s">
        <v>1748</v>
      </c>
      <c r="H617" s="92"/>
    </row>
    <row r="618" spans="1:8" x14ac:dyDescent="0.2">
      <c r="A618" s="81" t="s">
        <v>753</v>
      </c>
      <c r="B618" s="82" t="s">
        <v>295</v>
      </c>
      <c r="C618" s="135" t="s">
        <v>1759</v>
      </c>
      <c r="D618" s="136">
        <v>0</v>
      </c>
      <c r="E618" s="136">
        <v>0</v>
      </c>
      <c r="F618" s="137">
        <f>F619</f>
        <v>58376.5</v>
      </c>
      <c r="G618" s="96"/>
      <c r="H618" s="91"/>
    </row>
    <row r="619" spans="1:8" x14ac:dyDescent="0.2">
      <c r="A619" s="83" t="s">
        <v>754</v>
      </c>
      <c r="B619" s="84" t="s">
        <v>755</v>
      </c>
      <c r="C619" s="138" t="s">
        <v>130</v>
      </c>
      <c r="D619" s="139">
        <v>898.1</v>
      </c>
      <c r="E619" s="139">
        <v>65</v>
      </c>
      <c r="F619" s="140">
        <f>E619*D619</f>
        <v>58376.5</v>
      </c>
      <c r="G619" s="97"/>
      <c r="H619" s="92"/>
    </row>
    <row r="620" spans="1:8" x14ac:dyDescent="0.2">
      <c r="A620" s="79" t="s">
        <v>756</v>
      </c>
      <c r="B620" s="80" t="s">
        <v>2082</v>
      </c>
      <c r="C620" s="132" t="s">
        <v>1759</v>
      </c>
      <c r="D620" s="133">
        <v>0</v>
      </c>
      <c r="E620" s="133">
        <v>0</v>
      </c>
      <c r="F620" s="134">
        <f>F621+F623+F625+F627+F629</f>
        <v>68487.786099999998</v>
      </c>
      <c r="G620" s="95"/>
      <c r="H620" s="90"/>
    </row>
    <row r="621" spans="1:8" x14ac:dyDescent="0.2">
      <c r="A621" s="81" t="s">
        <v>2083</v>
      </c>
      <c r="B621" s="82" t="s">
        <v>734</v>
      </c>
      <c r="C621" s="135" t="s">
        <v>1759</v>
      </c>
      <c r="D621" s="136">
        <v>0</v>
      </c>
      <c r="E621" s="136">
        <v>0</v>
      </c>
      <c r="F621" s="137">
        <f>F622</f>
        <v>3419.1</v>
      </c>
      <c r="G621" s="96"/>
      <c r="H621" s="91"/>
    </row>
    <row r="622" spans="1:8" x14ac:dyDescent="0.2">
      <c r="A622" s="83" t="s">
        <v>2084</v>
      </c>
      <c r="B622" s="84" t="s">
        <v>736</v>
      </c>
      <c r="C622" s="138" t="s">
        <v>92</v>
      </c>
      <c r="D622" s="139">
        <v>1</v>
      </c>
      <c r="E622" s="139">
        <v>3419.1</v>
      </c>
      <c r="F622" s="140">
        <f>E622*D622</f>
        <v>3419.1</v>
      </c>
      <c r="G622" s="97" t="s">
        <v>81</v>
      </c>
      <c r="H622" s="92"/>
    </row>
    <row r="623" spans="1:8" x14ac:dyDescent="0.2">
      <c r="A623" s="81" t="s">
        <v>757</v>
      </c>
      <c r="B623" s="82" t="s">
        <v>738</v>
      </c>
      <c r="C623" s="135" t="s">
        <v>1759</v>
      </c>
      <c r="D623" s="136">
        <v>0</v>
      </c>
      <c r="E623" s="136">
        <v>0</v>
      </c>
      <c r="F623" s="137">
        <f>F624</f>
        <v>2862.1907000000001</v>
      </c>
      <c r="G623" s="96"/>
      <c r="H623" s="91"/>
    </row>
    <row r="624" spans="1:8" x14ac:dyDescent="0.2">
      <c r="A624" s="83" t="s">
        <v>758</v>
      </c>
      <c r="B624" s="84" t="s">
        <v>740</v>
      </c>
      <c r="C624" s="138" t="s">
        <v>92</v>
      </c>
      <c r="D624" s="139">
        <v>1</v>
      </c>
      <c r="E624" s="139">
        <v>2862.1907000000001</v>
      </c>
      <c r="F624" s="140">
        <f>E624*D624</f>
        <v>2862.1907000000001</v>
      </c>
      <c r="G624" s="97" t="s">
        <v>81</v>
      </c>
      <c r="H624" s="92"/>
    </row>
    <row r="625" spans="1:8" x14ac:dyDescent="0.2">
      <c r="A625" s="81" t="s">
        <v>759</v>
      </c>
      <c r="B625" s="82" t="s">
        <v>742</v>
      </c>
      <c r="C625" s="135" t="s">
        <v>1759</v>
      </c>
      <c r="D625" s="136">
        <v>0</v>
      </c>
      <c r="E625" s="136">
        <v>0</v>
      </c>
      <c r="F625" s="137">
        <f>F626</f>
        <v>4525.5454</v>
      </c>
      <c r="G625" s="96"/>
      <c r="H625" s="91"/>
    </row>
    <row r="626" spans="1:8" x14ac:dyDescent="0.2">
      <c r="A626" s="83" t="s">
        <v>760</v>
      </c>
      <c r="B626" s="84" t="s">
        <v>744</v>
      </c>
      <c r="C626" s="138" t="s">
        <v>92</v>
      </c>
      <c r="D626" s="139">
        <v>1</v>
      </c>
      <c r="E626" s="139">
        <v>4525.5454</v>
      </c>
      <c r="F626" s="140">
        <f>E626*D626</f>
        <v>4525.5454</v>
      </c>
      <c r="G626" s="97" t="s">
        <v>81</v>
      </c>
      <c r="H626" s="92"/>
    </row>
    <row r="627" spans="1:8" x14ac:dyDescent="0.2">
      <c r="A627" s="81" t="s">
        <v>761</v>
      </c>
      <c r="B627" s="82" t="s">
        <v>750</v>
      </c>
      <c r="C627" s="135" t="s">
        <v>1759</v>
      </c>
      <c r="D627" s="136">
        <v>0</v>
      </c>
      <c r="E627" s="136">
        <v>0</v>
      </c>
      <c r="F627" s="137">
        <f>F628</f>
        <v>8.4</v>
      </c>
      <c r="G627" s="96"/>
      <c r="H627" s="91"/>
    </row>
    <row r="628" spans="1:8" x14ac:dyDescent="0.2">
      <c r="A628" s="83" t="s">
        <v>762</v>
      </c>
      <c r="B628" s="84" t="s">
        <v>752</v>
      </c>
      <c r="C628" s="138" t="s">
        <v>92</v>
      </c>
      <c r="D628" s="139">
        <v>1</v>
      </c>
      <c r="E628" s="139">
        <v>8.4</v>
      </c>
      <c r="F628" s="140">
        <f>E628*D628</f>
        <v>8.4</v>
      </c>
      <c r="G628" s="97" t="s">
        <v>1748</v>
      </c>
      <c r="H628" s="92"/>
    </row>
    <row r="629" spans="1:8" x14ac:dyDescent="0.2">
      <c r="A629" s="81" t="s">
        <v>763</v>
      </c>
      <c r="B629" s="82" t="s">
        <v>295</v>
      </c>
      <c r="C629" s="135" t="s">
        <v>1759</v>
      </c>
      <c r="D629" s="136">
        <v>0</v>
      </c>
      <c r="E629" s="136">
        <v>0</v>
      </c>
      <c r="F629" s="137">
        <f>F630</f>
        <v>57672.549999999996</v>
      </c>
      <c r="G629" s="96"/>
      <c r="H629" s="91"/>
    </row>
    <row r="630" spans="1:8" x14ac:dyDescent="0.2">
      <c r="A630" s="83" t="s">
        <v>764</v>
      </c>
      <c r="B630" s="84" t="s">
        <v>755</v>
      </c>
      <c r="C630" s="138" t="s">
        <v>130</v>
      </c>
      <c r="D630" s="139">
        <v>887.27</v>
      </c>
      <c r="E630" s="139">
        <v>65</v>
      </c>
      <c r="F630" s="140">
        <f>E630*D630</f>
        <v>57672.549999999996</v>
      </c>
      <c r="G630" s="97"/>
      <c r="H630" s="92"/>
    </row>
    <row r="631" spans="1:8" x14ac:dyDescent="0.2">
      <c r="A631" s="79" t="s">
        <v>765</v>
      </c>
      <c r="B631" s="80" t="s">
        <v>2085</v>
      </c>
      <c r="C631" s="132" t="s">
        <v>1759</v>
      </c>
      <c r="D631" s="133">
        <v>0</v>
      </c>
      <c r="E631" s="133">
        <v>0</v>
      </c>
      <c r="F631" s="134">
        <f>F632+F634+F636+F638</f>
        <v>63263.249999999993</v>
      </c>
      <c r="G631" s="95"/>
      <c r="H631" s="90"/>
    </row>
    <row r="632" spans="1:8" x14ac:dyDescent="0.2">
      <c r="A632" s="81" t="s">
        <v>766</v>
      </c>
      <c r="B632" s="82" t="s">
        <v>738</v>
      </c>
      <c r="C632" s="135" t="s">
        <v>1759</v>
      </c>
      <c r="D632" s="136">
        <v>0</v>
      </c>
      <c r="E632" s="136">
        <v>0</v>
      </c>
      <c r="F632" s="137">
        <f>F633</f>
        <v>1200.05</v>
      </c>
      <c r="G632" s="96"/>
      <c r="H632" s="91"/>
    </row>
    <row r="633" spans="1:8" x14ac:dyDescent="0.2">
      <c r="A633" s="83" t="s">
        <v>767</v>
      </c>
      <c r="B633" s="84" t="s">
        <v>740</v>
      </c>
      <c r="C633" s="138" t="s">
        <v>92</v>
      </c>
      <c r="D633" s="139">
        <v>1</v>
      </c>
      <c r="E633" s="139">
        <v>1200.05</v>
      </c>
      <c r="F633" s="140">
        <f>E633*D633</f>
        <v>1200.05</v>
      </c>
      <c r="G633" s="97" t="s">
        <v>81</v>
      </c>
      <c r="H633" s="92"/>
    </row>
    <row r="634" spans="1:8" x14ac:dyDescent="0.2">
      <c r="A634" s="81" t="s">
        <v>768</v>
      </c>
      <c r="B634" s="82" t="s">
        <v>742</v>
      </c>
      <c r="C634" s="135" t="s">
        <v>1759</v>
      </c>
      <c r="D634" s="136">
        <v>0</v>
      </c>
      <c r="E634" s="136">
        <v>0</v>
      </c>
      <c r="F634" s="137">
        <f>F635</f>
        <v>4382.25</v>
      </c>
      <c r="G634" s="96"/>
      <c r="H634" s="91"/>
    </row>
    <row r="635" spans="1:8" x14ac:dyDescent="0.2">
      <c r="A635" s="83" t="s">
        <v>769</v>
      </c>
      <c r="B635" s="84" t="s">
        <v>744</v>
      </c>
      <c r="C635" s="138" t="s">
        <v>92</v>
      </c>
      <c r="D635" s="139">
        <v>1</v>
      </c>
      <c r="E635" s="139">
        <v>4382.25</v>
      </c>
      <c r="F635" s="140">
        <f>E635*D635</f>
        <v>4382.25</v>
      </c>
      <c r="G635" s="97" t="s">
        <v>81</v>
      </c>
      <c r="H635" s="92"/>
    </row>
    <row r="636" spans="1:8" x14ac:dyDescent="0.2">
      <c r="A636" s="81" t="s">
        <v>770</v>
      </c>
      <c r="B636" s="82" t="s">
        <v>750</v>
      </c>
      <c r="C636" s="135" t="s">
        <v>1759</v>
      </c>
      <c r="D636" s="136">
        <v>0</v>
      </c>
      <c r="E636" s="136">
        <v>0</v>
      </c>
      <c r="F636" s="137">
        <f>F637</f>
        <v>8.4</v>
      </c>
      <c r="G636" s="96"/>
      <c r="H636" s="91"/>
    </row>
    <row r="637" spans="1:8" x14ac:dyDescent="0.2">
      <c r="A637" s="83" t="s">
        <v>771</v>
      </c>
      <c r="B637" s="84" t="s">
        <v>752</v>
      </c>
      <c r="C637" s="138" t="s">
        <v>92</v>
      </c>
      <c r="D637" s="139">
        <v>1</v>
      </c>
      <c r="E637" s="139">
        <v>8.4</v>
      </c>
      <c r="F637" s="140">
        <f>E637*D637</f>
        <v>8.4</v>
      </c>
      <c r="G637" s="97" t="s">
        <v>1748</v>
      </c>
      <c r="H637" s="92"/>
    </row>
    <row r="638" spans="1:8" x14ac:dyDescent="0.2">
      <c r="A638" s="81" t="s">
        <v>772</v>
      </c>
      <c r="B638" s="82" t="s">
        <v>295</v>
      </c>
      <c r="C638" s="135" t="s">
        <v>1759</v>
      </c>
      <c r="D638" s="136">
        <v>0</v>
      </c>
      <c r="E638" s="136">
        <v>0</v>
      </c>
      <c r="F638" s="137">
        <f>F639</f>
        <v>57672.549999999996</v>
      </c>
      <c r="G638" s="96"/>
      <c r="H638" s="91"/>
    </row>
    <row r="639" spans="1:8" x14ac:dyDescent="0.2">
      <c r="A639" s="83" t="s">
        <v>773</v>
      </c>
      <c r="B639" s="84" t="s">
        <v>755</v>
      </c>
      <c r="C639" s="138" t="s">
        <v>130</v>
      </c>
      <c r="D639" s="139">
        <v>887.27</v>
      </c>
      <c r="E639" s="139">
        <v>65</v>
      </c>
      <c r="F639" s="140">
        <f>E639*D639</f>
        <v>57672.549999999996</v>
      </c>
      <c r="G639" s="97"/>
      <c r="H639" s="92"/>
    </row>
    <row r="640" spans="1:8" x14ac:dyDescent="0.2">
      <c r="A640" s="79" t="s">
        <v>774</v>
      </c>
      <c r="B640" s="80" t="s">
        <v>2086</v>
      </c>
      <c r="C640" s="132" t="s">
        <v>1759</v>
      </c>
      <c r="D640" s="133">
        <v>0</v>
      </c>
      <c r="E640" s="133">
        <v>0</v>
      </c>
      <c r="F640" s="134">
        <f>F643+F645+F647+F649+F641</f>
        <v>70537.97</v>
      </c>
      <c r="G640" s="95"/>
      <c r="H640" s="90"/>
    </row>
    <row r="641" spans="1:8" x14ac:dyDescent="0.2">
      <c r="A641" s="81" t="s">
        <v>775</v>
      </c>
      <c r="B641" s="82" t="s">
        <v>734</v>
      </c>
      <c r="C641" s="135" t="s">
        <v>1759</v>
      </c>
      <c r="D641" s="136">
        <v>0</v>
      </c>
      <c r="E641" s="136">
        <v>0</v>
      </c>
      <c r="F641" s="137">
        <f>F642</f>
        <v>2005.3500000000001</v>
      </c>
      <c r="G641" s="96"/>
      <c r="H641" s="91"/>
    </row>
    <row r="642" spans="1:8" x14ac:dyDescent="0.2">
      <c r="A642" s="83" t="s">
        <v>776</v>
      </c>
      <c r="B642" s="84" t="s">
        <v>736</v>
      </c>
      <c r="C642" s="138" t="s">
        <v>92</v>
      </c>
      <c r="D642" s="139">
        <v>1</v>
      </c>
      <c r="E642" s="139">
        <v>2005.3500000000001</v>
      </c>
      <c r="F642" s="140">
        <f>E642*D642</f>
        <v>2005.3500000000001</v>
      </c>
      <c r="G642" s="97" t="s">
        <v>81</v>
      </c>
      <c r="H642" s="92"/>
    </row>
    <row r="643" spans="1:8" x14ac:dyDescent="0.2">
      <c r="A643" s="81" t="s">
        <v>779</v>
      </c>
      <c r="B643" s="82" t="s">
        <v>738</v>
      </c>
      <c r="C643" s="135" t="s">
        <v>1759</v>
      </c>
      <c r="D643" s="136">
        <v>0</v>
      </c>
      <c r="E643" s="136">
        <v>0</v>
      </c>
      <c r="F643" s="137">
        <f>F644</f>
        <v>6120.1900000000005</v>
      </c>
      <c r="G643" s="96"/>
      <c r="H643" s="91"/>
    </row>
    <row r="644" spans="1:8" x14ac:dyDescent="0.2">
      <c r="A644" s="83" t="s">
        <v>780</v>
      </c>
      <c r="B644" s="84" t="s">
        <v>740</v>
      </c>
      <c r="C644" s="138" t="s">
        <v>92</v>
      </c>
      <c r="D644" s="139">
        <v>1</v>
      </c>
      <c r="E644" s="139">
        <v>6120.1900000000005</v>
      </c>
      <c r="F644" s="140">
        <f>E644*D644</f>
        <v>6120.1900000000005</v>
      </c>
      <c r="G644" s="97" t="s">
        <v>81</v>
      </c>
      <c r="H644" s="92"/>
    </row>
    <row r="645" spans="1:8" x14ac:dyDescent="0.2">
      <c r="A645" s="81" t="s">
        <v>781</v>
      </c>
      <c r="B645" s="82" t="s">
        <v>742</v>
      </c>
      <c r="C645" s="135" t="s">
        <v>1759</v>
      </c>
      <c r="D645" s="136">
        <v>0</v>
      </c>
      <c r="E645" s="136">
        <v>0</v>
      </c>
      <c r="F645" s="137">
        <f>F646</f>
        <v>4731.4800000000005</v>
      </c>
      <c r="G645" s="96"/>
      <c r="H645" s="91"/>
    </row>
    <row r="646" spans="1:8" ht="31.5" x14ac:dyDescent="0.2">
      <c r="A646" s="83" t="s">
        <v>782</v>
      </c>
      <c r="B646" s="84" t="s">
        <v>744</v>
      </c>
      <c r="C646" s="138" t="s">
        <v>92</v>
      </c>
      <c r="D646" s="139">
        <v>1</v>
      </c>
      <c r="E646" s="139">
        <v>4731.4800000000005</v>
      </c>
      <c r="F646" s="140">
        <f>E646*D646</f>
        <v>4731.4800000000005</v>
      </c>
      <c r="G646" s="97" t="s">
        <v>81</v>
      </c>
      <c r="H646" s="92"/>
    </row>
    <row r="647" spans="1:8" x14ac:dyDescent="0.2">
      <c r="A647" s="81" t="s">
        <v>783</v>
      </c>
      <c r="B647" s="82" t="s">
        <v>750</v>
      </c>
      <c r="C647" s="135" t="s">
        <v>1759</v>
      </c>
      <c r="D647" s="136">
        <v>0</v>
      </c>
      <c r="E647" s="136">
        <v>0</v>
      </c>
      <c r="F647" s="137">
        <f>F648</f>
        <v>8.4</v>
      </c>
      <c r="G647" s="96"/>
      <c r="H647" s="91"/>
    </row>
    <row r="648" spans="1:8" ht="31.5" x14ac:dyDescent="0.2">
      <c r="A648" s="83" t="s">
        <v>784</v>
      </c>
      <c r="B648" s="84" t="s">
        <v>752</v>
      </c>
      <c r="C648" s="138" t="s">
        <v>92</v>
      </c>
      <c r="D648" s="139">
        <v>1</v>
      </c>
      <c r="E648" s="139">
        <v>8.4</v>
      </c>
      <c r="F648" s="140">
        <f>E648*D648</f>
        <v>8.4</v>
      </c>
      <c r="G648" s="97" t="s">
        <v>1748</v>
      </c>
      <c r="H648" s="92"/>
    </row>
    <row r="649" spans="1:8" x14ac:dyDescent="0.2">
      <c r="A649" s="81" t="s">
        <v>785</v>
      </c>
      <c r="B649" s="82" t="s">
        <v>295</v>
      </c>
      <c r="C649" s="135" t="s">
        <v>1759</v>
      </c>
      <c r="D649" s="136">
        <v>0</v>
      </c>
      <c r="E649" s="136">
        <v>0</v>
      </c>
      <c r="F649" s="137">
        <f>F650</f>
        <v>57672.549999999996</v>
      </c>
      <c r="G649" s="96"/>
      <c r="H649" s="91"/>
    </row>
    <row r="650" spans="1:8" ht="31.5" x14ac:dyDescent="0.2">
      <c r="A650" s="83" t="s">
        <v>786</v>
      </c>
      <c r="B650" s="84" t="s">
        <v>755</v>
      </c>
      <c r="C650" s="138" t="s">
        <v>130</v>
      </c>
      <c r="D650" s="139">
        <v>887.27</v>
      </c>
      <c r="E650" s="139">
        <v>65</v>
      </c>
      <c r="F650" s="140">
        <f>E650*D650</f>
        <v>57672.549999999996</v>
      </c>
      <c r="G650" s="97"/>
      <c r="H650" s="92"/>
    </row>
    <row r="651" spans="1:8" x14ac:dyDescent="0.2">
      <c r="A651" s="79" t="s">
        <v>787</v>
      </c>
      <c r="B651" s="80" t="s">
        <v>2087</v>
      </c>
      <c r="C651" s="132" t="s">
        <v>1759</v>
      </c>
      <c r="D651" s="133">
        <v>0</v>
      </c>
      <c r="E651" s="133">
        <v>0</v>
      </c>
      <c r="F651" s="134">
        <f>F652+F654+F656+F658+F660+F662</f>
        <v>98578.31</v>
      </c>
      <c r="G651" s="95"/>
      <c r="H651" s="90"/>
    </row>
    <row r="652" spans="1:8" x14ac:dyDescent="0.2">
      <c r="A652" s="81" t="s">
        <v>788</v>
      </c>
      <c r="B652" s="82" t="s">
        <v>734</v>
      </c>
      <c r="C652" s="135" t="s">
        <v>1759</v>
      </c>
      <c r="D652" s="136">
        <v>0</v>
      </c>
      <c r="E652" s="136">
        <v>0</v>
      </c>
      <c r="F652" s="137">
        <f>F653</f>
        <v>10113.43</v>
      </c>
      <c r="G652" s="96"/>
      <c r="H652" s="91"/>
    </row>
    <row r="653" spans="1:8" x14ac:dyDescent="0.2">
      <c r="A653" s="83" t="s">
        <v>789</v>
      </c>
      <c r="B653" s="84" t="s">
        <v>736</v>
      </c>
      <c r="C653" s="138" t="s">
        <v>92</v>
      </c>
      <c r="D653" s="139">
        <v>1</v>
      </c>
      <c r="E653" s="139">
        <v>10113.43</v>
      </c>
      <c r="F653" s="140">
        <f>E653*D653</f>
        <v>10113.43</v>
      </c>
      <c r="G653" s="97" t="s">
        <v>81</v>
      </c>
      <c r="H653" s="92"/>
    </row>
    <row r="654" spans="1:8" x14ac:dyDescent="0.2">
      <c r="A654" s="81" t="s">
        <v>790</v>
      </c>
      <c r="B654" s="82" t="s">
        <v>777</v>
      </c>
      <c r="C654" s="135" t="s">
        <v>1759</v>
      </c>
      <c r="D654" s="136">
        <v>0</v>
      </c>
      <c r="E654" s="136">
        <v>0</v>
      </c>
      <c r="F654" s="137">
        <f>F655</f>
        <v>6232.21</v>
      </c>
      <c r="G654" s="96"/>
      <c r="H654" s="91"/>
    </row>
    <row r="655" spans="1:8" x14ac:dyDescent="0.2">
      <c r="A655" s="83" t="s">
        <v>791</v>
      </c>
      <c r="B655" s="84" t="s">
        <v>778</v>
      </c>
      <c r="C655" s="138" t="s">
        <v>92</v>
      </c>
      <c r="D655" s="139">
        <v>1</v>
      </c>
      <c r="E655" s="139">
        <v>6232.21</v>
      </c>
      <c r="F655" s="140">
        <f>E655*D655</f>
        <v>6232.21</v>
      </c>
      <c r="G655" s="97" t="s">
        <v>81</v>
      </c>
      <c r="H655" s="92"/>
    </row>
    <row r="656" spans="1:8" x14ac:dyDescent="0.2">
      <c r="A656" s="81" t="s">
        <v>792</v>
      </c>
      <c r="B656" s="82" t="s">
        <v>738</v>
      </c>
      <c r="C656" s="135" t="s">
        <v>1759</v>
      </c>
      <c r="D656" s="136">
        <v>0</v>
      </c>
      <c r="E656" s="136">
        <v>0</v>
      </c>
      <c r="F656" s="137">
        <f>F657</f>
        <v>8403.35</v>
      </c>
      <c r="G656" s="96"/>
      <c r="H656" s="91"/>
    </row>
    <row r="657" spans="1:8" x14ac:dyDescent="0.2">
      <c r="A657" s="83" t="s">
        <v>793</v>
      </c>
      <c r="B657" s="84" t="s">
        <v>740</v>
      </c>
      <c r="C657" s="138" t="s">
        <v>92</v>
      </c>
      <c r="D657" s="139">
        <v>1</v>
      </c>
      <c r="E657" s="139">
        <v>8403.35</v>
      </c>
      <c r="F657" s="140">
        <f>E657*D657</f>
        <v>8403.35</v>
      </c>
      <c r="G657" s="97" t="s">
        <v>81</v>
      </c>
      <c r="H657" s="92"/>
    </row>
    <row r="658" spans="1:8" x14ac:dyDescent="0.2">
      <c r="A658" s="81" t="s">
        <v>794</v>
      </c>
      <c r="B658" s="82" t="s">
        <v>742</v>
      </c>
      <c r="C658" s="135" t="s">
        <v>1759</v>
      </c>
      <c r="D658" s="136">
        <v>0</v>
      </c>
      <c r="E658" s="136">
        <v>0</v>
      </c>
      <c r="F658" s="137">
        <f>F659</f>
        <v>12199.79</v>
      </c>
      <c r="G658" s="96"/>
      <c r="H658" s="91"/>
    </row>
    <row r="659" spans="1:8" ht="31.5" x14ac:dyDescent="0.2">
      <c r="A659" s="83" t="s">
        <v>795</v>
      </c>
      <c r="B659" s="84" t="s">
        <v>744</v>
      </c>
      <c r="C659" s="138" t="s">
        <v>92</v>
      </c>
      <c r="D659" s="139">
        <v>1</v>
      </c>
      <c r="E659" s="139">
        <v>12199.79</v>
      </c>
      <c r="F659" s="140">
        <f>E659*D659</f>
        <v>12199.79</v>
      </c>
      <c r="G659" s="97" t="s">
        <v>81</v>
      </c>
      <c r="H659" s="92"/>
    </row>
    <row r="660" spans="1:8" x14ac:dyDescent="0.2">
      <c r="A660" s="81" t="s">
        <v>796</v>
      </c>
      <c r="B660" s="82" t="s">
        <v>750</v>
      </c>
      <c r="C660" s="135" t="s">
        <v>1759</v>
      </c>
      <c r="D660" s="136">
        <v>0</v>
      </c>
      <c r="E660" s="136">
        <v>0</v>
      </c>
      <c r="F660" s="137">
        <f>F661</f>
        <v>16092.48</v>
      </c>
      <c r="G660" s="96"/>
      <c r="H660" s="91"/>
    </row>
    <row r="661" spans="1:8" ht="31.5" x14ac:dyDescent="0.2">
      <c r="A661" s="83" t="s">
        <v>797</v>
      </c>
      <c r="B661" s="84" t="s">
        <v>752</v>
      </c>
      <c r="C661" s="138" t="s">
        <v>92</v>
      </c>
      <c r="D661" s="139">
        <v>1</v>
      </c>
      <c r="E661" s="139">
        <v>16092.48</v>
      </c>
      <c r="F661" s="140">
        <f>E661*D661</f>
        <v>16092.48</v>
      </c>
      <c r="G661" s="97" t="s">
        <v>1748</v>
      </c>
      <c r="H661" s="92"/>
    </row>
    <row r="662" spans="1:8" x14ac:dyDescent="0.2">
      <c r="A662" s="81" t="s">
        <v>798</v>
      </c>
      <c r="B662" s="82" t="s">
        <v>295</v>
      </c>
      <c r="C662" s="135" t="s">
        <v>1759</v>
      </c>
      <c r="D662" s="136">
        <v>0</v>
      </c>
      <c r="E662" s="136">
        <v>0</v>
      </c>
      <c r="F662" s="137">
        <f>F663</f>
        <v>45537.05</v>
      </c>
      <c r="G662" s="96"/>
      <c r="H662" s="91"/>
    </row>
    <row r="663" spans="1:8" ht="31.5" x14ac:dyDescent="0.2">
      <c r="A663" s="83" t="s">
        <v>799</v>
      </c>
      <c r="B663" s="84" t="s">
        <v>755</v>
      </c>
      <c r="C663" s="138" t="s">
        <v>130</v>
      </c>
      <c r="D663" s="139">
        <v>700.57</v>
      </c>
      <c r="E663" s="139">
        <v>65</v>
      </c>
      <c r="F663" s="140">
        <f>E663*D663</f>
        <v>45537.05</v>
      </c>
      <c r="G663" s="97"/>
      <c r="H663" s="92"/>
    </row>
    <row r="664" spans="1:8" x14ac:dyDescent="0.2">
      <c r="A664" s="79" t="s">
        <v>800</v>
      </c>
      <c r="B664" s="80" t="s">
        <v>2088</v>
      </c>
      <c r="C664" s="132" t="s">
        <v>1759</v>
      </c>
      <c r="D664" s="133">
        <v>0</v>
      </c>
      <c r="E664" s="133">
        <v>0</v>
      </c>
      <c r="F664" s="134">
        <f>F665+F667+F669+F671+F673+F675</f>
        <v>1051982.31</v>
      </c>
      <c r="G664" s="95"/>
      <c r="H664" s="90"/>
    </row>
    <row r="665" spans="1:8" x14ac:dyDescent="0.2">
      <c r="A665" s="81" t="s">
        <v>801</v>
      </c>
      <c r="B665" s="82" t="s">
        <v>734</v>
      </c>
      <c r="C665" s="135" t="s">
        <v>1759</v>
      </c>
      <c r="D665" s="136">
        <v>0</v>
      </c>
      <c r="E665" s="136">
        <v>0</v>
      </c>
      <c r="F665" s="137">
        <f>F666</f>
        <v>128434.27</v>
      </c>
      <c r="G665" s="96"/>
      <c r="H665" s="91"/>
    </row>
    <row r="666" spans="1:8" x14ac:dyDescent="0.2">
      <c r="A666" s="83" t="s">
        <v>802</v>
      </c>
      <c r="B666" s="84" t="s">
        <v>736</v>
      </c>
      <c r="C666" s="138" t="s">
        <v>92</v>
      </c>
      <c r="D666" s="139">
        <v>1</v>
      </c>
      <c r="E666" s="139">
        <v>128434.27</v>
      </c>
      <c r="F666" s="140">
        <f>E666*D666</f>
        <v>128434.27</v>
      </c>
      <c r="G666" s="97" t="s">
        <v>81</v>
      </c>
      <c r="H666" s="92"/>
    </row>
    <row r="667" spans="1:8" x14ac:dyDescent="0.2">
      <c r="A667" s="81" t="s">
        <v>803</v>
      </c>
      <c r="B667" s="82" t="s">
        <v>777</v>
      </c>
      <c r="C667" s="135" t="s">
        <v>1759</v>
      </c>
      <c r="D667" s="136">
        <v>0</v>
      </c>
      <c r="E667" s="136">
        <v>0</v>
      </c>
      <c r="F667" s="137">
        <f>F668</f>
        <v>81021.710000000006</v>
      </c>
      <c r="G667" s="96"/>
      <c r="H667" s="91"/>
    </row>
    <row r="668" spans="1:8" x14ac:dyDescent="0.2">
      <c r="A668" s="83" t="s">
        <v>804</v>
      </c>
      <c r="B668" s="84" t="s">
        <v>778</v>
      </c>
      <c r="C668" s="138" t="s">
        <v>92</v>
      </c>
      <c r="D668" s="139">
        <v>1</v>
      </c>
      <c r="E668" s="139">
        <v>81021.710000000006</v>
      </c>
      <c r="F668" s="140">
        <f>E668*D668</f>
        <v>81021.710000000006</v>
      </c>
      <c r="G668" s="97" t="s">
        <v>81</v>
      </c>
      <c r="H668" s="92"/>
    </row>
    <row r="669" spans="1:8" x14ac:dyDescent="0.2">
      <c r="A669" s="81" t="s">
        <v>805</v>
      </c>
      <c r="B669" s="82" t="s">
        <v>738</v>
      </c>
      <c r="C669" s="135" t="s">
        <v>1759</v>
      </c>
      <c r="D669" s="136">
        <v>0</v>
      </c>
      <c r="E669" s="136">
        <v>0</v>
      </c>
      <c r="F669" s="137">
        <f>F670</f>
        <v>48970.18</v>
      </c>
      <c r="G669" s="96"/>
      <c r="H669" s="91"/>
    </row>
    <row r="670" spans="1:8" x14ac:dyDescent="0.2">
      <c r="A670" s="83" t="s">
        <v>806</v>
      </c>
      <c r="B670" s="84" t="s">
        <v>740</v>
      </c>
      <c r="C670" s="138" t="s">
        <v>92</v>
      </c>
      <c r="D670" s="139">
        <v>1</v>
      </c>
      <c r="E670" s="139">
        <v>48970.18</v>
      </c>
      <c r="F670" s="140">
        <f>E670*D670</f>
        <v>48970.18</v>
      </c>
      <c r="G670" s="97" t="s">
        <v>81</v>
      </c>
      <c r="H670" s="92"/>
    </row>
    <row r="671" spans="1:8" x14ac:dyDescent="0.2">
      <c r="A671" s="81" t="s">
        <v>807</v>
      </c>
      <c r="B671" s="82" t="s">
        <v>742</v>
      </c>
      <c r="C671" s="135" t="s">
        <v>1759</v>
      </c>
      <c r="D671" s="136">
        <v>0</v>
      </c>
      <c r="E671" s="136">
        <v>0</v>
      </c>
      <c r="F671" s="137">
        <f>F672</f>
        <v>114544.96000000001</v>
      </c>
      <c r="G671" s="96"/>
      <c r="H671" s="91"/>
    </row>
    <row r="672" spans="1:8" ht="31.5" x14ac:dyDescent="0.2">
      <c r="A672" s="83" t="s">
        <v>808</v>
      </c>
      <c r="B672" s="84" t="s">
        <v>744</v>
      </c>
      <c r="C672" s="138" t="s">
        <v>92</v>
      </c>
      <c r="D672" s="139">
        <v>1</v>
      </c>
      <c r="E672" s="139">
        <v>114544.96000000001</v>
      </c>
      <c r="F672" s="140">
        <f>E672*D672</f>
        <v>114544.96000000001</v>
      </c>
      <c r="G672" s="97" t="s">
        <v>81</v>
      </c>
      <c r="H672" s="92"/>
    </row>
    <row r="673" spans="1:8" x14ac:dyDescent="0.2">
      <c r="A673" s="81" t="s">
        <v>809</v>
      </c>
      <c r="B673" s="82" t="s">
        <v>750</v>
      </c>
      <c r="C673" s="135" t="s">
        <v>1759</v>
      </c>
      <c r="D673" s="136">
        <v>0</v>
      </c>
      <c r="E673" s="136">
        <v>0</v>
      </c>
      <c r="F673" s="137">
        <f>F674</f>
        <v>209202.24</v>
      </c>
      <c r="G673" s="96"/>
      <c r="H673" s="91"/>
    </row>
    <row r="674" spans="1:8" ht="31.5" x14ac:dyDescent="0.2">
      <c r="A674" s="83" t="s">
        <v>810</v>
      </c>
      <c r="B674" s="84" t="s">
        <v>752</v>
      </c>
      <c r="C674" s="138" t="s">
        <v>92</v>
      </c>
      <c r="D674" s="139">
        <v>1</v>
      </c>
      <c r="E674" s="139">
        <v>209202.24</v>
      </c>
      <c r="F674" s="140">
        <f>E674*D674</f>
        <v>209202.24</v>
      </c>
      <c r="G674" s="97" t="s">
        <v>1748</v>
      </c>
      <c r="H674" s="92"/>
    </row>
    <row r="675" spans="1:8" x14ac:dyDescent="0.2">
      <c r="A675" s="81" t="s">
        <v>811</v>
      </c>
      <c r="B675" s="82" t="s">
        <v>295</v>
      </c>
      <c r="C675" s="135" t="s">
        <v>1759</v>
      </c>
      <c r="D675" s="136">
        <v>0</v>
      </c>
      <c r="E675" s="136">
        <v>0</v>
      </c>
      <c r="F675" s="137">
        <f>F676</f>
        <v>469808.95</v>
      </c>
      <c r="G675" s="96"/>
      <c r="H675" s="91"/>
    </row>
    <row r="676" spans="1:8" ht="31.5" x14ac:dyDescent="0.2">
      <c r="A676" s="83" t="s">
        <v>812</v>
      </c>
      <c r="B676" s="84" t="s">
        <v>755</v>
      </c>
      <c r="C676" s="138" t="s">
        <v>130</v>
      </c>
      <c r="D676" s="139">
        <v>7227.83</v>
      </c>
      <c r="E676" s="139">
        <v>65</v>
      </c>
      <c r="F676" s="140">
        <f>E676*D676</f>
        <v>469808.95</v>
      </c>
      <c r="G676" s="97"/>
      <c r="H676" s="92"/>
    </row>
    <row r="677" spans="1:8" x14ac:dyDescent="0.2">
      <c r="A677" s="79" t="s">
        <v>813</v>
      </c>
      <c r="B677" s="80" t="s">
        <v>2089</v>
      </c>
      <c r="C677" s="132" t="s">
        <v>1759</v>
      </c>
      <c r="D677" s="133">
        <v>0</v>
      </c>
      <c r="E677" s="133">
        <v>0</v>
      </c>
      <c r="F677" s="134">
        <f>F678+F680+F682+F684+F686+F688</f>
        <v>78930.429999999993</v>
      </c>
      <c r="G677" s="95"/>
      <c r="H677" s="90"/>
    </row>
    <row r="678" spans="1:8" x14ac:dyDescent="0.2">
      <c r="A678" s="81" t="s">
        <v>2090</v>
      </c>
      <c r="B678" s="82" t="s">
        <v>734</v>
      </c>
      <c r="C678" s="135" t="s">
        <v>1759</v>
      </c>
      <c r="D678" s="136">
        <v>0</v>
      </c>
      <c r="E678" s="136">
        <v>0</v>
      </c>
      <c r="F678" s="137">
        <f>F679</f>
        <v>4114.87</v>
      </c>
      <c r="G678" s="96"/>
      <c r="H678" s="91"/>
    </row>
    <row r="679" spans="1:8" x14ac:dyDescent="0.2">
      <c r="A679" s="83" t="s">
        <v>2091</v>
      </c>
      <c r="B679" s="84" t="s">
        <v>736</v>
      </c>
      <c r="C679" s="138" t="s">
        <v>92</v>
      </c>
      <c r="D679" s="139">
        <v>1</v>
      </c>
      <c r="E679" s="139">
        <v>4114.87</v>
      </c>
      <c r="F679" s="140">
        <f>E679*D679</f>
        <v>4114.87</v>
      </c>
      <c r="G679" s="97" t="s">
        <v>81</v>
      </c>
      <c r="H679" s="92"/>
    </row>
    <row r="680" spans="1:8" x14ac:dyDescent="0.2">
      <c r="A680" s="81" t="s">
        <v>2092</v>
      </c>
      <c r="B680" s="82" t="s">
        <v>777</v>
      </c>
      <c r="C680" s="135" t="s">
        <v>1759</v>
      </c>
      <c r="D680" s="136">
        <v>0</v>
      </c>
      <c r="E680" s="136">
        <v>0</v>
      </c>
      <c r="F680" s="137">
        <f>F681</f>
        <v>1770.69</v>
      </c>
      <c r="G680" s="96"/>
      <c r="H680" s="91"/>
    </row>
    <row r="681" spans="1:8" x14ac:dyDescent="0.2">
      <c r="A681" s="83" t="s">
        <v>2093</v>
      </c>
      <c r="B681" s="84" t="s">
        <v>778</v>
      </c>
      <c r="C681" s="138" t="s">
        <v>92</v>
      </c>
      <c r="D681" s="139">
        <v>1</v>
      </c>
      <c r="E681" s="139">
        <v>1770.69</v>
      </c>
      <c r="F681" s="140">
        <f>E681*D681</f>
        <v>1770.69</v>
      </c>
      <c r="G681" s="97" t="s">
        <v>81</v>
      </c>
      <c r="H681" s="92"/>
    </row>
    <row r="682" spans="1:8" x14ac:dyDescent="0.2">
      <c r="A682" s="81" t="s">
        <v>814</v>
      </c>
      <c r="B682" s="82" t="s">
        <v>738</v>
      </c>
      <c r="C682" s="135" t="s">
        <v>1759</v>
      </c>
      <c r="D682" s="136">
        <v>0</v>
      </c>
      <c r="E682" s="136">
        <v>0</v>
      </c>
      <c r="F682" s="137">
        <f>F683</f>
        <v>5873.29</v>
      </c>
      <c r="G682" s="96"/>
      <c r="H682" s="91"/>
    </row>
    <row r="683" spans="1:8" x14ac:dyDescent="0.2">
      <c r="A683" s="83" t="s">
        <v>815</v>
      </c>
      <c r="B683" s="84" t="s">
        <v>740</v>
      </c>
      <c r="C683" s="138" t="s">
        <v>92</v>
      </c>
      <c r="D683" s="139">
        <v>1</v>
      </c>
      <c r="E683" s="139">
        <v>5873.29</v>
      </c>
      <c r="F683" s="140">
        <f>E683*D683</f>
        <v>5873.29</v>
      </c>
      <c r="G683" s="97" t="s">
        <v>81</v>
      </c>
      <c r="H683" s="92"/>
    </row>
    <row r="684" spans="1:8" x14ac:dyDescent="0.2">
      <c r="A684" s="81" t="s">
        <v>2094</v>
      </c>
      <c r="B684" s="82" t="s">
        <v>742</v>
      </c>
      <c r="C684" s="135" t="s">
        <v>1759</v>
      </c>
      <c r="D684" s="136">
        <v>0</v>
      </c>
      <c r="E684" s="136">
        <v>0</v>
      </c>
      <c r="F684" s="137">
        <f>F685</f>
        <v>4875.5200000000004</v>
      </c>
      <c r="G684" s="96"/>
      <c r="H684" s="91"/>
    </row>
    <row r="685" spans="1:8" x14ac:dyDescent="0.2">
      <c r="A685" s="83" t="s">
        <v>2095</v>
      </c>
      <c r="B685" s="84" t="s">
        <v>744</v>
      </c>
      <c r="C685" s="138" t="s">
        <v>92</v>
      </c>
      <c r="D685" s="139">
        <v>1</v>
      </c>
      <c r="E685" s="139">
        <v>4875.5200000000004</v>
      </c>
      <c r="F685" s="140">
        <f>E685*D685</f>
        <v>4875.5200000000004</v>
      </c>
      <c r="G685" s="97" t="s">
        <v>81</v>
      </c>
      <c r="H685" s="92"/>
    </row>
    <row r="686" spans="1:8" x14ac:dyDescent="0.2">
      <c r="A686" s="81" t="s">
        <v>2096</v>
      </c>
      <c r="B686" s="82" t="s">
        <v>750</v>
      </c>
      <c r="C686" s="135" t="s">
        <v>1759</v>
      </c>
      <c r="D686" s="136">
        <v>0</v>
      </c>
      <c r="E686" s="136">
        <v>0</v>
      </c>
      <c r="F686" s="137">
        <f>F687</f>
        <v>26723.510000000002</v>
      </c>
      <c r="G686" s="96"/>
      <c r="H686" s="91"/>
    </row>
    <row r="687" spans="1:8" x14ac:dyDescent="0.2">
      <c r="A687" s="83" t="s">
        <v>2097</v>
      </c>
      <c r="B687" s="84" t="s">
        <v>752</v>
      </c>
      <c r="C687" s="138" t="s">
        <v>92</v>
      </c>
      <c r="D687" s="139">
        <v>1</v>
      </c>
      <c r="E687" s="139">
        <v>26723.510000000002</v>
      </c>
      <c r="F687" s="140">
        <f>E687*D687</f>
        <v>26723.510000000002</v>
      </c>
      <c r="G687" s="97" t="s">
        <v>1748</v>
      </c>
      <c r="H687" s="92"/>
    </row>
    <row r="688" spans="1:8" x14ac:dyDescent="0.2">
      <c r="A688" s="81" t="s">
        <v>816</v>
      </c>
      <c r="B688" s="82" t="s">
        <v>295</v>
      </c>
      <c r="C688" s="135" t="s">
        <v>1759</v>
      </c>
      <c r="D688" s="136">
        <v>0</v>
      </c>
      <c r="E688" s="136">
        <v>0</v>
      </c>
      <c r="F688" s="137">
        <f>F689</f>
        <v>35572.549999999996</v>
      </c>
      <c r="G688" s="96"/>
      <c r="H688" s="91"/>
    </row>
    <row r="689" spans="1:8" x14ac:dyDescent="0.2">
      <c r="A689" s="83" t="s">
        <v>817</v>
      </c>
      <c r="B689" s="84" t="s">
        <v>755</v>
      </c>
      <c r="C689" s="138" t="s">
        <v>130</v>
      </c>
      <c r="D689" s="139">
        <v>547.27</v>
      </c>
      <c r="E689" s="139">
        <v>65</v>
      </c>
      <c r="F689" s="140">
        <f>E689*D689</f>
        <v>35572.549999999996</v>
      </c>
      <c r="G689" s="97"/>
      <c r="H689" s="92"/>
    </row>
    <row r="690" spans="1:8" ht="31.5" x14ac:dyDescent="0.2">
      <c r="A690" s="79" t="s">
        <v>2098</v>
      </c>
      <c r="B690" s="80" t="s">
        <v>2099</v>
      </c>
      <c r="C690" s="132" t="s">
        <v>1759</v>
      </c>
      <c r="D690" s="133">
        <v>0</v>
      </c>
      <c r="E690" s="133">
        <v>0</v>
      </c>
      <c r="F690" s="134">
        <f>F691+F693+F697+F695</f>
        <v>72431.48000000001</v>
      </c>
      <c r="G690" s="95"/>
      <c r="H690" s="90"/>
    </row>
    <row r="691" spans="1:8" x14ac:dyDescent="0.2">
      <c r="A691" s="81" t="s">
        <v>2100</v>
      </c>
      <c r="B691" s="82" t="s">
        <v>734</v>
      </c>
      <c r="C691" s="135" t="s">
        <v>1759</v>
      </c>
      <c r="D691" s="136">
        <v>0</v>
      </c>
      <c r="E691" s="136">
        <v>0</v>
      </c>
      <c r="F691" s="137">
        <f>F692</f>
        <v>7079.57</v>
      </c>
      <c r="G691" s="96"/>
      <c r="H691" s="91"/>
    </row>
    <row r="692" spans="1:8" x14ac:dyDescent="0.2">
      <c r="A692" s="83" t="s">
        <v>2101</v>
      </c>
      <c r="B692" s="84" t="s">
        <v>736</v>
      </c>
      <c r="C692" s="138" t="s">
        <v>92</v>
      </c>
      <c r="D692" s="139">
        <v>1</v>
      </c>
      <c r="E692" s="139">
        <v>7079.57</v>
      </c>
      <c r="F692" s="140">
        <f>E692*D692</f>
        <v>7079.57</v>
      </c>
      <c r="G692" s="97" t="s">
        <v>81</v>
      </c>
      <c r="H692" s="92"/>
    </row>
    <row r="693" spans="1:8" x14ac:dyDescent="0.2">
      <c r="A693" s="81" t="s">
        <v>2102</v>
      </c>
      <c r="B693" s="82" t="s">
        <v>738</v>
      </c>
      <c r="C693" s="135" t="s">
        <v>1759</v>
      </c>
      <c r="D693" s="136">
        <v>0</v>
      </c>
      <c r="E693" s="136">
        <v>0</v>
      </c>
      <c r="F693" s="137">
        <f>F694</f>
        <v>529.37</v>
      </c>
      <c r="G693" s="96"/>
      <c r="H693" s="91"/>
    </row>
    <row r="694" spans="1:8" x14ac:dyDescent="0.2">
      <c r="A694" s="83" t="s">
        <v>2103</v>
      </c>
      <c r="B694" s="84" t="s">
        <v>740</v>
      </c>
      <c r="C694" s="138" t="s">
        <v>92</v>
      </c>
      <c r="D694" s="139">
        <v>1</v>
      </c>
      <c r="E694" s="139">
        <v>529.37</v>
      </c>
      <c r="F694" s="140">
        <f>E694*D694</f>
        <v>529.37</v>
      </c>
      <c r="G694" s="97" t="s">
        <v>81</v>
      </c>
      <c r="H694" s="92"/>
    </row>
    <row r="695" spans="1:8" x14ac:dyDescent="0.2">
      <c r="A695" s="81" t="s">
        <v>2104</v>
      </c>
      <c r="B695" s="82" t="s">
        <v>742</v>
      </c>
      <c r="C695" s="135" t="s">
        <v>1759</v>
      </c>
      <c r="D695" s="136">
        <v>0</v>
      </c>
      <c r="E695" s="136">
        <v>0</v>
      </c>
      <c r="F695" s="137">
        <f>F696</f>
        <v>37609.64</v>
      </c>
      <c r="G695" s="96"/>
      <c r="H695" s="91"/>
    </row>
    <row r="696" spans="1:8" x14ac:dyDescent="0.2">
      <c r="A696" s="83" t="s">
        <v>2105</v>
      </c>
      <c r="B696" s="84" t="s">
        <v>744</v>
      </c>
      <c r="C696" s="138" t="s">
        <v>92</v>
      </c>
      <c r="D696" s="139">
        <v>1</v>
      </c>
      <c r="E696" s="139">
        <v>37609.64</v>
      </c>
      <c r="F696" s="140">
        <f>E696*D696</f>
        <v>37609.64</v>
      </c>
      <c r="G696" s="97" t="s">
        <v>81</v>
      </c>
      <c r="H696" s="92"/>
    </row>
    <row r="697" spans="1:8" x14ac:dyDescent="0.2">
      <c r="A697" s="81" t="s">
        <v>2106</v>
      </c>
      <c r="B697" s="82" t="s">
        <v>295</v>
      </c>
      <c r="C697" s="135" t="s">
        <v>1759</v>
      </c>
      <c r="D697" s="136">
        <v>0</v>
      </c>
      <c r="E697" s="136">
        <v>0</v>
      </c>
      <c r="F697" s="137">
        <f>F698</f>
        <v>27212.9</v>
      </c>
      <c r="G697" s="96"/>
      <c r="H697" s="91"/>
    </row>
    <row r="698" spans="1:8" ht="31.5" x14ac:dyDescent="0.2">
      <c r="A698" s="83" t="s">
        <v>2107</v>
      </c>
      <c r="B698" s="84" t="s">
        <v>755</v>
      </c>
      <c r="C698" s="138" t="s">
        <v>130</v>
      </c>
      <c r="D698" s="139">
        <v>418.66</v>
      </c>
      <c r="E698" s="139">
        <v>65</v>
      </c>
      <c r="F698" s="140">
        <f>E698*D698</f>
        <v>27212.9</v>
      </c>
      <c r="G698" s="97"/>
      <c r="H698" s="92"/>
    </row>
    <row r="699" spans="1:8" x14ac:dyDescent="0.2">
      <c r="A699" s="79" t="s">
        <v>2108</v>
      </c>
      <c r="B699" s="80" t="s">
        <v>2109</v>
      </c>
      <c r="C699" s="132" t="s">
        <v>1759</v>
      </c>
      <c r="D699" s="133">
        <v>0</v>
      </c>
      <c r="E699" s="133">
        <v>0</v>
      </c>
      <c r="F699" s="134">
        <f>F700+F702</f>
        <v>50521.4</v>
      </c>
      <c r="G699" s="95"/>
      <c r="H699" s="90"/>
    </row>
    <row r="700" spans="1:8" x14ac:dyDescent="0.2">
      <c r="A700" s="81" t="s">
        <v>2110</v>
      </c>
      <c r="B700" s="82" t="s">
        <v>734</v>
      </c>
      <c r="C700" s="135" t="s">
        <v>1759</v>
      </c>
      <c r="D700" s="136">
        <v>0</v>
      </c>
      <c r="E700" s="136">
        <v>0</v>
      </c>
      <c r="F700" s="137">
        <f>F701</f>
        <v>46314.6</v>
      </c>
      <c r="G700" s="96"/>
      <c r="H700" s="91"/>
    </row>
    <row r="701" spans="1:8" x14ac:dyDescent="0.2">
      <c r="A701" s="83" t="s">
        <v>2111</v>
      </c>
      <c r="B701" s="84" t="s">
        <v>736</v>
      </c>
      <c r="C701" s="138" t="s">
        <v>92</v>
      </c>
      <c r="D701" s="139">
        <v>1</v>
      </c>
      <c r="E701" s="139">
        <v>46314.6</v>
      </c>
      <c r="F701" s="140">
        <f>E701*D701</f>
        <v>46314.6</v>
      </c>
      <c r="G701" s="97" t="s">
        <v>81</v>
      </c>
      <c r="H701" s="92"/>
    </row>
    <row r="702" spans="1:8" x14ac:dyDescent="0.2">
      <c r="A702" s="81" t="s">
        <v>2112</v>
      </c>
      <c r="B702" s="82" t="s">
        <v>295</v>
      </c>
      <c r="C702" s="135" t="s">
        <v>1759</v>
      </c>
      <c r="D702" s="136">
        <v>0</v>
      </c>
      <c r="E702" s="136">
        <v>0</v>
      </c>
      <c r="F702" s="137">
        <f>F703</f>
        <v>4206.8</v>
      </c>
      <c r="G702" s="96"/>
      <c r="H702" s="91"/>
    </row>
    <row r="703" spans="1:8" ht="31.5" x14ac:dyDescent="0.2">
      <c r="A703" s="83" t="s">
        <v>2113</v>
      </c>
      <c r="B703" s="84" t="s">
        <v>755</v>
      </c>
      <c r="C703" s="138" t="s">
        <v>130</v>
      </c>
      <c r="D703" s="139">
        <v>64.72</v>
      </c>
      <c r="E703" s="139">
        <v>65</v>
      </c>
      <c r="F703" s="140">
        <f>E703*D703</f>
        <v>4206.8</v>
      </c>
      <c r="G703" s="97"/>
      <c r="H703" s="92"/>
    </row>
    <row r="704" spans="1:8" x14ac:dyDescent="0.2">
      <c r="A704" s="77" t="s">
        <v>818</v>
      </c>
      <c r="B704" s="78" t="s">
        <v>819</v>
      </c>
      <c r="C704" s="129" t="s">
        <v>1759</v>
      </c>
      <c r="D704" s="130">
        <v>0</v>
      </c>
      <c r="E704" s="130">
        <v>0</v>
      </c>
      <c r="F704" s="131">
        <f>F705+F712+F719+F726+F733+F740+F747+F754+F759</f>
        <v>585043.91</v>
      </c>
      <c r="G704" s="98"/>
      <c r="H704" s="89"/>
    </row>
    <row r="705" spans="1:8" x14ac:dyDescent="0.2">
      <c r="A705" s="79" t="s">
        <v>820</v>
      </c>
      <c r="B705" s="80" t="s">
        <v>821</v>
      </c>
      <c r="C705" s="132" t="s">
        <v>1759</v>
      </c>
      <c r="D705" s="133">
        <v>0</v>
      </c>
      <c r="E705" s="133">
        <v>0</v>
      </c>
      <c r="F705" s="134">
        <f>F706+F708+F710</f>
        <v>26088.92</v>
      </c>
      <c r="G705" s="95"/>
      <c r="H705" s="90"/>
    </row>
    <row r="706" spans="1:8" x14ac:dyDescent="0.2">
      <c r="A706" s="81" t="s">
        <v>822</v>
      </c>
      <c r="B706" s="82" t="s">
        <v>823</v>
      </c>
      <c r="C706" s="135" t="s">
        <v>1759</v>
      </c>
      <c r="D706" s="136">
        <v>0</v>
      </c>
      <c r="E706" s="136">
        <v>0</v>
      </c>
      <c r="F706" s="137">
        <f>F707</f>
        <v>7387.47</v>
      </c>
      <c r="G706" s="96"/>
      <c r="H706" s="91"/>
    </row>
    <row r="707" spans="1:8" x14ac:dyDescent="0.2">
      <c r="A707" s="83" t="s">
        <v>824</v>
      </c>
      <c r="B707" s="84" t="s">
        <v>825</v>
      </c>
      <c r="C707" s="138" t="s">
        <v>92</v>
      </c>
      <c r="D707" s="139">
        <v>1</v>
      </c>
      <c r="E707" s="139">
        <v>7387.47</v>
      </c>
      <c r="F707" s="140">
        <f>E707*D707</f>
        <v>7387.47</v>
      </c>
      <c r="G707" s="97" t="s">
        <v>81</v>
      </c>
      <c r="H707" s="92"/>
    </row>
    <row r="708" spans="1:8" x14ac:dyDescent="0.2">
      <c r="A708" s="81" t="s">
        <v>826</v>
      </c>
      <c r="B708" s="82" t="s">
        <v>827</v>
      </c>
      <c r="C708" s="135" t="s">
        <v>1759</v>
      </c>
      <c r="D708" s="136">
        <v>0</v>
      </c>
      <c r="E708" s="136">
        <v>0</v>
      </c>
      <c r="F708" s="137">
        <f>F709</f>
        <v>15558.1</v>
      </c>
      <c r="G708" s="96"/>
      <c r="H708" s="91"/>
    </row>
    <row r="709" spans="1:8" x14ac:dyDescent="0.2">
      <c r="A709" s="83" t="s">
        <v>828</v>
      </c>
      <c r="B709" s="84" t="s">
        <v>829</v>
      </c>
      <c r="C709" s="138" t="s">
        <v>92</v>
      </c>
      <c r="D709" s="139">
        <v>1</v>
      </c>
      <c r="E709" s="139">
        <v>15558.1</v>
      </c>
      <c r="F709" s="140">
        <f>E709*D709</f>
        <v>15558.1</v>
      </c>
      <c r="G709" s="97" t="s">
        <v>81</v>
      </c>
      <c r="H709" s="92"/>
    </row>
    <row r="710" spans="1:8" x14ac:dyDescent="0.2">
      <c r="A710" s="81" t="s">
        <v>830</v>
      </c>
      <c r="B710" s="82" t="s">
        <v>295</v>
      </c>
      <c r="C710" s="135" t="s">
        <v>1759</v>
      </c>
      <c r="D710" s="136">
        <v>0</v>
      </c>
      <c r="E710" s="136">
        <v>0</v>
      </c>
      <c r="F710" s="137">
        <f>F711</f>
        <v>3143.35</v>
      </c>
      <c r="G710" s="96"/>
      <c r="H710" s="91"/>
    </row>
    <row r="711" spans="1:8" x14ac:dyDescent="0.2">
      <c r="A711" s="83" t="s">
        <v>831</v>
      </c>
      <c r="B711" s="84" t="s">
        <v>832</v>
      </c>
      <c r="C711" s="138" t="s">
        <v>130</v>
      </c>
      <c r="D711" s="139">
        <v>898.1</v>
      </c>
      <c r="E711" s="139">
        <v>3.5</v>
      </c>
      <c r="F711" s="140">
        <f>E711*D711</f>
        <v>3143.35</v>
      </c>
      <c r="G711" s="97"/>
      <c r="H711" s="92"/>
    </row>
    <row r="712" spans="1:8" x14ac:dyDescent="0.2">
      <c r="A712" s="79" t="s">
        <v>833</v>
      </c>
      <c r="B712" s="80" t="s">
        <v>2114</v>
      </c>
      <c r="C712" s="132" t="s">
        <v>1759</v>
      </c>
      <c r="D712" s="133">
        <v>0</v>
      </c>
      <c r="E712" s="133">
        <v>0</v>
      </c>
      <c r="F712" s="134">
        <f>F713+F715+F717</f>
        <v>13919.395</v>
      </c>
      <c r="G712" s="95"/>
      <c r="H712" s="90"/>
    </row>
    <row r="713" spans="1:8" x14ac:dyDescent="0.2">
      <c r="A713" s="81" t="s">
        <v>834</v>
      </c>
      <c r="B713" s="82" t="s">
        <v>823</v>
      </c>
      <c r="C713" s="135" t="s">
        <v>1759</v>
      </c>
      <c r="D713" s="136">
        <v>0</v>
      </c>
      <c r="E713" s="136">
        <v>0</v>
      </c>
      <c r="F713" s="137">
        <f>F714</f>
        <v>245.1</v>
      </c>
      <c r="G713" s="96"/>
      <c r="H713" s="91"/>
    </row>
    <row r="714" spans="1:8" x14ac:dyDescent="0.2">
      <c r="A714" s="83" t="s">
        <v>835</v>
      </c>
      <c r="B714" s="84" t="s">
        <v>825</v>
      </c>
      <c r="C714" s="138" t="s">
        <v>92</v>
      </c>
      <c r="D714" s="139">
        <v>1</v>
      </c>
      <c r="E714" s="139">
        <v>245.1</v>
      </c>
      <c r="F714" s="140">
        <f>E714*D714</f>
        <v>245.1</v>
      </c>
      <c r="G714" s="97" t="s">
        <v>81</v>
      </c>
      <c r="H714" s="92"/>
    </row>
    <row r="715" spans="1:8" x14ac:dyDescent="0.2">
      <c r="A715" s="81" t="s">
        <v>836</v>
      </c>
      <c r="B715" s="82" t="s">
        <v>827</v>
      </c>
      <c r="C715" s="135" t="s">
        <v>1759</v>
      </c>
      <c r="D715" s="136">
        <v>0</v>
      </c>
      <c r="E715" s="136">
        <v>0</v>
      </c>
      <c r="F715" s="137">
        <f>F716</f>
        <v>10568.85</v>
      </c>
      <c r="G715" s="96"/>
      <c r="H715" s="91"/>
    </row>
    <row r="716" spans="1:8" x14ac:dyDescent="0.2">
      <c r="A716" s="83" t="s">
        <v>837</v>
      </c>
      <c r="B716" s="84" t="s">
        <v>829</v>
      </c>
      <c r="C716" s="138" t="s">
        <v>92</v>
      </c>
      <c r="D716" s="139">
        <v>1</v>
      </c>
      <c r="E716" s="139">
        <v>10568.85</v>
      </c>
      <c r="F716" s="140">
        <f>E716*D716</f>
        <v>10568.85</v>
      </c>
      <c r="G716" s="97" t="s">
        <v>81</v>
      </c>
      <c r="H716" s="92"/>
    </row>
    <row r="717" spans="1:8" x14ac:dyDescent="0.2">
      <c r="A717" s="81" t="s">
        <v>838</v>
      </c>
      <c r="B717" s="82" t="s">
        <v>295</v>
      </c>
      <c r="C717" s="135" t="s">
        <v>1759</v>
      </c>
      <c r="D717" s="136">
        <v>0</v>
      </c>
      <c r="E717" s="136">
        <v>0</v>
      </c>
      <c r="F717" s="137">
        <f>F718</f>
        <v>3105.4449999999997</v>
      </c>
      <c r="G717" s="96"/>
      <c r="H717" s="91"/>
    </row>
    <row r="718" spans="1:8" x14ac:dyDescent="0.2">
      <c r="A718" s="83" t="s">
        <v>839</v>
      </c>
      <c r="B718" s="84" t="s">
        <v>832</v>
      </c>
      <c r="C718" s="138" t="s">
        <v>130</v>
      </c>
      <c r="D718" s="139">
        <v>887.27</v>
      </c>
      <c r="E718" s="139">
        <v>3.5</v>
      </c>
      <c r="F718" s="140">
        <f>E718*D718</f>
        <v>3105.4449999999997</v>
      </c>
      <c r="G718" s="97"/>
      <c r="H718" s="92"/>
    </row>
    <row r="719" spans="1:8" x14ac:dyDescent="0.2">
      <c r="A719" s="79" t="s">
        <v>840</v>
      </c>
      <c r="B719" s="80" t="s">
        <v>2115</v>
      </c>
      <c r="C719" s="132" t="s">
        <v>1759</v>
      </c>
      <c r="D719" s="133">
        <v>0</v>
      </c>
      <c r="E719" s="133">
        <v>0</v>
      </c>
      <c r="F719" s="134">
        <f>F720+F722+F724</f>
        <v>13671.085000000001</v>
      </c>
      <c r="G719" s="95"/>
      <c r="H719" s="90"/>
    </row>
    <row r="720" spans="1:8" x14ac:dyDescent="0.2">
      <c r="A720" s="81" t="s">
        <v>841</v>
      </c>
      <c r="B720" s="82" t="s">
        <v>823</v>
      </c>
      <c r="C720" s="135" t="s">
        <v>1759</v>
      </c>
      <c r="D720" s="136">
        <v>0</v>
      </c>
      <c r="E720" s="136">
        <v>0</v>
      </c>
      <c r="F720" s="137">
        <f>F721</f>
        <v>245.1</v>
      </c>
      <c r="G720" s="96"/>
      <c r="H720" s="91"/>
    </row>
    <row r="721" spans="1:8" x14ac:dyDescent="0.2">
      <c r="A721" s="83" t="s">
        <v>842</v>
      </c>
      <c r="B721" s="84" t="s">
        <v>825</v>
      </c>
      <c r="C721" s="138" t="s">
        <v>92</v>
      </c>
      <c r="D721" s="139">
        <v>1</v>
      </c>
      <c r="E721" s="139">
        <v>245.1</v>
      </c>
      <c r="F721" s="140">
        <f>E721*D721</f>
        <v>245.1</v>
      </c>
      <c r="G721" s="97" t="s">
        <v>81</v>
      </c>
      <c r="H721" s="92"/>
    </row>
    <row r="722" spans="1:8" x14ac:dyDescent="0.2">
      <c r="A722" s="81" t="s">
        <v>843</v>
      </c>
      <c r="B722" s="82" t="s">
        <v>827</v>
      </c>
      <c r="C722" s="135" t="s">
        <v>1759</v>
      </c>
      <c r="D722" s="136">
        <v>0</v>
      </c>
      <c r="E722" s="136">
        <v>0</v>
      </c>
      <c r="F722" s="137">
        <f>F723</f>
        <v>10320.540000000001</v>
      </c>
      <c r="G722" s="96"/>
      <c r="H722" s="91"/>
    </row>
    <row r="723" spans="1:8" x14ac:dyDescent="0.2">
      <c r="A723" s="83" t="s">
        <v>844</v>
      </c>
      <c r="B723" s="84" t="s">
        <v>829</v>
      </c>
      <c r="C723" s="138" t="s">
        <v>92</v>
      </c>
      <c r="D723" s="139">
        <v>1</v>
      </c>
      <c r="E723" s="139">
        <v>10320.540000000001</v>
      </c>
      <c r="F723" s="140">
        <f>E723*D723</f>
        <v>10320.540000000001</v>
      </c>
      <c r="G723" s="97" t="s">
        <v>81</v>
      </c>
      <c r="H723" s="92"/>
    </row>
    <row r="724" spans="1:8" x14ac:dyDescent="0.2">
      <c r="A724" s="81" t="s">
        <v>845</v>
      </c>
      <c r="B724" s="82" t="s">
        <v>295</v>
      </c>
      <c r="C724" s="135" t="s">
        <v>1759</v>
      </c>
      <c r="D724" s="136">
        <v>0</v>
      </c>
      <c r="E724" s="136">
        <v>0</v>
      </c>
      <c r="F724" s="137">
        <f>F725</f>
        <v>3105.4449999999997</v>
      </c>
      <c r="G724" s="96"/>
      <c r="H724" s="91"/>
    </row>
    <row r="725" spans="1:8" x14ac:dyDescent="0.2">
      <c r="A725" s="83" t="s">
        <v>846</v>
      </c>
      <c r="B725" s="84" t="s">
        <v>832</v>
      </c>
      <c r="C725" s="138" t="s">
        <v>130</v>
      </c>
      <c r="D725" s="139">
        <v>887.27</v>
      </c>
      <c r="E725" s="139">
        <v>3.5</v>
      </c>
      <c r="F725" s="140">
        <f>E725*D725</f>
        <v>3105.4449999999997</v>
      </c>
      <c r="G725" s="97"/>
      <c r="H725" s="92"/>
    </row>
    <row r="726" spans="1:8" x14ac:dyDescent="0.2">
      <c r="A726" s="79" t="s">
        <v>847</v>
      </c>
      <c r="B726" s="80" t="s">
        <v>2116</v>
      </c>
      <c r="C726" s="132" t="s">
        <v>1759</v>
      </c>
      <c r="D726" s="133">
        <v>0</v>
      </c>
      <c r="E726" s="133">
        <v>0</v>
      </c>
      <c r="F726" s="134">
        <f>F727+F729+F731</f>
        <v>14419.255000000001</v>
      </c>
      <c r="G726" s="95"/>
      <c r="H726" s="90"/>
    </row>
    <row r="727" spans="1:8" x14ac:dyDescent="0.2">
      <c r="A727" s="81" t="s">
        <v>848</v>
      </c>
      <c r="B727" s="82" t="s">
        <v>823</v>
      </c>
      <c r="C727" s="135" t="s">
        <v>1759</v>
      </c>
      <c r="D727" s="136">
        <v>0</v>
      </c>
      <c r="E727" s="136">
        <v>0</v>
      </c>
      <c r="F727" s="137">
        <f>F728</f>
        <v>1160.28</v>
      </c>
      <c r="G727" s="96"/>
      <c r="H727" s="91"/>
    </row>
    <row r="728" spans="1:8" x14ac:dyDescent="0.2">
      <c r="A728" s="83" t="s">
        <v>849</v>
      </c>
      <c r="B728" s="84" t="s">
        <v>825</v>
      </c>
      <c r="C728" s="138" t="s">
        <v>92</v>
      </c>
      <c r="D728" s="139">
        <v>1</v>
      </c>
      <c r="E728" s="139">
        <v>1160.28</v>
      </c>
      <c r="F728" s="140">
        <f>E728*D728</f>
        <v>1160.28</v>
      </c>
      <c r="G728" s="97" t="s">
        <v>81</v>
      </c>
      <c r="H728" s="92"/>
    </row>
    <row r="729" spans="1:8" x14ac:dyDescent="0.2">
      <c r="A729" s="81" t="s">
        <v>850</v>
      </c>
      <c r="B729" s="82" t="s">
        <v>827</v>
      </c>
      <c r="C729" s="135" t="s">
        <v>1759</v>
      </c>
      <c r="D729" s="136">
        <v>0</v>
      </c>
      <c r="E729" s="136">
        <v>0</v>
      </c>
      <c r="F729" s="137">
        <f>F730</f>
        <v>10153.530000000001</v>
      </c>
      <c r="G729" s="96"/>
      <c r="H729" s="91"/>
    </row>
    <row r="730" spans="1:8" x14ac:dyDescent="0.2">
      <c r="A730" s="83" t="s">
        <v>851</v>
      </c>
      <c r="B730" s="84" t="s">
        <v>829</v>
      </c>
      <c r="C730" s="138" t="s">
        <v>92</v>
      </c>
      <c r="D730" s="139">
        <v>1</v>
      </c>
      <c r="E730" s="139">
        <v>10153.530000000001</v>
      </c>
      <c r="F730" s="140">
        <f>E730*D730</f>
        <v>10153.530000000001</v>
      </c>
      <c r="G730" s="97" t="s">
        <v>81</v>
      </c>
      <c r="H730" s="92"/>
    </row>
    <row r="731" spans="1:8" x14ac:dyDescent="0.2">
      <c r="A731" s="81" t="s">
        <v>852</v>
      </c>
      <c r="B731" s="82" t="s">
        <v>295</v>
      </c>
      <c r="C731" s="135" t="s">
        <v>1759</v>
      </c>
      <c r="D731" s="136">
        <v>0</v>
      </c>
      <c r="E731" s="136">
        <v>0</v>
      </c>
      <c r="F731" s="137">
        <f>F732</f>
        <v>3105.4449999999997</v>
      </c>
      <c r="G731" s="96"/>
      <c r="H731" s="91"/>
    </row>
    <row r="732" spans="1:8" ht="31.5" x14ac:dyDescent="0.2">
      <c r="A732" s="83" t="s">
        <v>853</v>
      </c>
      <c r="B732" s="84" t="s">
        <v>832</v>
      </c>
      <c r="C732" s="138" t="s">
        <v>130</v>
      </c>
      <c r="D732" s="139">
        <v>887.27</v>
      </c>
      <c r="E732" s="139">
        <v>3.5</v>
      </c>
      <c r="F732" s="140">
        <f>E732*D732</f>
        <v>3105.4449999999997</v>
      </c>
      <c r="G732" s="97"/>
      <c r="H732" s="92"/>
    </row>
    <row r="733" spans="1:8" x14ac:dyDescent="0.2">
      <c r="A733" s="79" t="s">
        <v>854</v>
      </c>
      <c r="B733" s="80" t="s">
        <v>2117</v>
      </c>
      <c r="C733" s="132" t="s">
        <v>1759</v>
      </c>
      <c r="D733" s="133">
        <v>0</v>
      </c>
      <c r="E733" s="133">
        <v>0</v>
      </c>
      <c r="F733" s="134">
        <f>F734+F736+F738</f>
        <v>31125.395</v>
      </c>
      <c r="G733" s="95"/>
      <c r="H733" s="90"/>
    </row>
    <row r="734" spans="1:8" x14ac:dyDescent="0.2">
      <c r="A734" s="81" t="s">
        <v>855</v>
      </c>
      <c r="B734" s="82" t="s">
        <v>823</v>
      </c>
      <c r="C734" s="135" t="s">
        <v>1759</v>
      </c>
      <c r="D734" s="136">
        <v>0</v>
      </c>
      <c r="E734" s="136">
        <v>0</v>
      </c>
      <c r="F734" s="137">
        <f>F735</f>
        <v>22557.64</v>
      </c>
      <c r="G734" s="96"/>
      <c r="H734" s="91"/>
    </row>
    <row r="735" spans="1:8" x14ac:dyDescent="0.2">
      <c r="A735" s="83" t="s">
        <v>856</v>
      </c>
      <c r="B735" s="84" t="s">
        <v>825</v>
      </c>
      <c r="C735" s="138" t="s">
        <v>92</v>
      </c>
      <c r="D735" s="139">
        <v>1</v>
      </c>
      <c r="E735" s="139">
        <v>22557.64</v>
      </c>
      <c r="F735" s="140">
        <f>E735*D735</f>
        <v>22557.64</v>
      </c>
      <c r="G735" s="97" t="s">
        <v>81</v>
      </c>
      <c r="H735" s="92"/>
    </row>
    <row r="736" spans="1:8" x14ac:dyDescent="0.2">
      <c r="A736" s="81" t="s">
        <v>857</v>
      </c>
      <c r="B736" s="82" t="s">
        <v>827</v>
      </c>
      <c r="C736" s="135" t="s">
        <v>1759</v>
      </c>
      <c r="D736" s="136">
        <v>0</v>
      </c>
      <c r="E736" s="136">
        <v>0</v>
      </c>
      <c r="F736" s="137">
        <f>F737</f>
        <v>6115.76</v>
      </c>
      <c r="G736" s="96"/>
      <c r="H736" s="91"/>
    </row>
    <row r="737" spans="1:8" x14ac:dyDescent="0.2">
      <c r="A737" s="83" t="s">
        <v>858</v>
      </c>
      <c r="B737" s="84" t="s">
        <v>829</v>
      </c>
      <c r="C737" s="138" t="s">
        <v>92</v>
      </c>
      <c r="D737" s="139">
        <v>1</v>
      </c>
      <c r="E737" s="139">
        <v>6115.76</v>
      </c>
      <c r="F737" s="140">
        <f>E737*D737</f>
        <v>6115.76</v>
      </c>
      <c r="G737" s="97" t="s">
        <v>81</v>
      </c>
      <c r="H737" s="92"/>
    </row>
    <row r="738" spans="1:8" x14ac:dyDescent="0.2">
      <c r="A738" s="81" t="s">
        <v>859</v>
      </c>
      <c r="B738" s="82" t="s">
        <v>295</v>
      </c>
      <c r="C738" s="135" t="s">
        <v>1759</v>
      </c>
      <c r="D738" s="136">
        <v>0</v>
      </c>
      <c r="E738" s="136">
        <v>0</v>
      </c>
      <c r="F738" s="137">
        <f>F739</f>
        <v>2451.9950000000003</v>
      </c>
      <c r="G738" s="96"/>
      <c r="H738" s="91"/>
    </row>
    <row r="739" spans="1:8" ht="31.5" x14ac:dyDescent="0.2">
      <c r="A739" s="83" t="s">
        <v>860</v>
      </c>
      <c r="B739" s="84" t="s">
        <v>832</v>
      </c>
      <c r="C739" s="138" t="s">
        <v>130</v>
      </c>
      <c r="D739" s="139">
        <v>700.57</v>
      </c>
      <c r="E739" s="139">
        <v>3.5</v>
      </c>
      <c r="F739" s="140">
        <f>E739*D739</f>
        <v>2451.9950000000003</v>
      </c>
      <c r="G739" s="97"/>
      <c r="H739" s="92"/>
    </row>
    <row r="740" spans="1:8" x14ac:dyDescent="0.2">
      <c r="A740" s="79" t="s">
        <v>861</v>
      </c>
      <c r="B740" s="80" t="s">
        <v>1750</v>
      </c>
      <c r="C740" s="132" t="s">
        <v>1759</v>
      </c>
      <c r="D740" s="133">
        <v>0</v>
      </c>
      <c r="E740" s="133">
        <v>0</v>
      </c>
      <c r="F740" s="134">
        <f>F741+F743+F745</f>
        <v>342897.495</v>
      </c>
      <c r="G740" s="95"/>
      <c r="H740" s="90"/>
    </row>
    <row r="741" spans="1:8" x14ac:dyDescent="0.2">
      <c r="A741" s="81" t="s">
        <v>862</v>
      </c>
      <c r="B741" s="82" t="s">
        <v>823</v>
      </c>
      <c r="C741" s="135" t="s">
        <v>1759</v>
      </c>
      <c r="D741" s="136">
        <v>0</v>
      </c>
      <c r="E741" s="136">
        <v>0</v>
      </c>
      <c r="F741" s="137">
        <f>F742</f>
        <v>260001.93</v>
      </c>
      <c r="G741" s="96"/>
      <c r="H741" s="91"/>
    </row>
    <row r="742" spans="1:8" x14ac:dyDescent="0.2">
      <c r="A742" s="83" t="s">
        <v>863</v>
      </c>
      <c r="B742" s="84" t="s">
        <v>825</v>
      </c>
      <c r="C742" s="138" t="s">
        <v>92</v>
      </c>
      <c r="D742" s="139">
        <v>1</v>
      </c>
      <c r="E742" s="139">
        <v>260001.93</v>
      </c>
      <c r="F742" s="140">
        <f>E742*D742</f>
        <v>260001.93</v>
      </c>
      <c r="G742" s="97" t="s">
        <v>81</v>
      </c>
      <c r="H742" s="92"/>
    </row>
    <row r="743" spans="1:8" x14ac:dyDescent="0.2">
      <c r="A743" s="81" t="s">
        <v>864</v>
      </c>
      <c r="B743" s="82" t="s">
        <v>827</v>
      </c>
      <c r="C743" s="135" t="s">
        <v>1759</v>
      </c>
      <c r="D743" s="136">
        <v>0</v>
      </c>
      <c r="E743" s="136">
        <v>0</v>
      </c>
      <c r="F743" s="137">
        <f>F744</f>
        <v>57598.16</v>
      </c>
      <c r="G743" s="96"/>
      <c r="H743" s="91"/>
    </row>
    <row r="744" spans="1:8" x14ac:dyDescent="0.2">
      <c r="A744" s="83" t="s">
        <v>865</v>
      </c>
      <c r="B744" s="84" t="s">
        <v>829</v>
      </c>
      <c r="C744" s="138" t="s">
        <v>92</v>
      </c>
      <c r="D744" s="139">
        <v>1</v>
      </c>
      <c r="E744" s="139">
        <v>57598.16</v>
      </c>
      <c r="F744" s="140">
        <f>E744*D744</f>
        <v>57598.16</v>
      </c>
      <c r="G744" s="97" t="s">
        <v>81</v>
      </c>
      <c r="H744" s="92"/>
    </row>
    <row r="745" spans="1:8" x14ac:dyDescent="0.2">
      <c r="A745" s="81" t="s">
        <v>866</v>
      </c>
      <c r="B745" s="82" t="s">
        <v>295</v>
      </c>
      <c r="C745" s="135" t="s">
        <v>1759</v>
      </c>
      <c r="D745" s="136">
        <v>0</v>
      </c>
      <c r="E745" s="136">
        <v>0</v>
      </c>
      <c r="F745" s="137">
        <f>F746</f>
        <v>25297.404999999999</v>
      </c>
      <c r="G745" s="96"/>
      <c r="H745" s="91"/>
    </row>
    <row r="746" spans="1:8" ht="31.5" x14ac:dyDescent="0.2">
      <c r="A746" s="83" t="s">
        <v>867</v>
      </c>
      <c r="B746" s="84" t="s">
        <v>832</v>
      </c>
      <c r="C746" s="138" t="s">
        <v>130</v>
      </c>
      <c r="D746" s="139">
        <v>7227.83</v>
      </c>
      <c r="E746" s="139">
        <v>3.5</v>
      </c>
      <c r="F746" s="140">
        <f>E746*D746</f>
        <v>25297.404999999999</v>
      </c>
      <c r="G746" s="97"/>
      <c r="H746" s="92"/>
    </row>
    <row r="747" spans="1:8" x14ac:dyDescent="0.2">
      <c r="A747" s="79" t="s">
        <v>868</v>
      </c>
      <c r="B747" s="80" t="s">
        <v>2118</v>
      </c>
      <c r="C747" s="132" t="s">
        <v>1759</v>
      </c>
      <c r="D747" s="133">
        <v>0</v>
      </c>
      <c r="E747" s="133">
        <v>0</v>
      </c>
      <c r="F747" s="134">
        <f>F748+F750+F752</f>
        <v>17308.235000000001</v>
      </c>
      <c r="G747" s="95"/>
      <c r="H747" s="90"/>
    </row>
    <row r="748" spans="1:8" x14ac:dyDescent="0.2">
      <c r="A748" s="81" t="s">
        <v>2119</v>
      </c>
      <c r="B748" s="82" t="s">
        <v>823</v>
      </c>
      <c r="C748" s="135" t="s">
        <v>1759</v>
      </c>
      <c r="D748" s="136">
        <v>0</v>
      </c>
      <c r="E748" s="136">
        <v>0</v>
      </c>
      <c r="F748" s="137">
        <f>F749</f>
        <v>5113.91</v>
      </c>
      <c r="G748" s="96"/>
      <c r="H748" s="91"/>
    </row>
    <row r="749" spans="1:8" x14ac:dyDescent="0.2">
      <c r="A749" s="83" t="s">
        <v>2120</v>
      </c>
      <c r="B749" s="84" t="s">
        <v>825</v>
      </c>
      <c r="C749" s="138" t="s">
        <v>92</v>
      </c>
      <c r="D749" s="139">
        <v>1</v>
      </c>
      <c r="E749" s="139">
        <v>5113.91</v>
      </c>
      <c r="F749" s="140">
        <f>E749*D749</f>
        <v>5113.91</v>
      </c>
      <c r="G749" s="97" t="s">
        <v>81</v>
      </c>
      <c r="H749" s="92"/>
    </row>
    <row r="750" spans="1:8" x14ac:dyDescent="0.2">
      <c r="A750" s="81" t="s">
        <v>869</v>
      </c>
      <c r="B750" s="82" t="s">
        <v>827</v>
      </c>
      <c r="C750" s="135" t="s">
        <v>1759</v>
      </c>
      <c r="D750" s="136">
        <v>0</v>
      </c>
      <c r="E750" s="136">
        <v>0</v>
      </c>
      <c r="F750" s="137">
        <f>F751</f>
        <v>10278.880000000001</v>
      </c>
      <c r="G750" s="96"/>
      <c r="H750" s="91"/>
    </row>
    <row r="751" spans="1:8" x14ac:dyDescent="0.2">
      <c r="A751" s="83" t="s">
        <v>870</v>
      </c>
      <c r="B751" s="84" t="s">
        <v>829</v>
      </c>
      <c r="C751" s="138" t="s">
        <v>92</v>
      </c>
      <c r="D751" s="139">
        <v>1</v>
      </c>
      <c r="E751" s="139">
        <v>10278.880000000001</v>
      </c>
      <c r="F751" s="140">
        <f>E751*D751</f>
        <v>10278.880000000001</v>
      </c>
      <c r="G751" s="97" t="s">
        <v>81</v>
      </c>
      <c r="H751" s="92"/>
    </row>
    <row r="752" spans="1:8" x14ac:dyDescent="0.2">
      <c r="A752" s="81" t="s">
        <v>871</v>
      </c>
      <c r="B752" s="82" t="s">
        <v>295</v>
      </c>
      <c r="C752" s="135" t="s">
        <v>1759</v>
      </c>
      <c r="D752" s="136">
        <v>0</v>
      </c>
      <c r="E752" s="136">
        <v>0</v>
      </c>
      <c r="F752" s="137">
        <f>F753</f>
        <v>1915.4449999999999</v>
      </c>
      <c r="G752" s="96"/>
      <c r="H752" s="91"/>
    </row>
    <row r="753" spans="1:8" x14ac:dyDescent="0.2">
      <c r="A753" s="83" t="s">
        <v>872</v>
      </c>
      <c r="B753" s="84" t="s">
        <v>832</v>
      </c>
      <c r="C753" s="138" t="s">
        <v>130</v>
      </c>
      <c r="D753" s="139">
        <v>547.27</v>
      </c>
      <c r="E753" s="139">
        <v>3.5</v>
      </c>
      <c r="F753" s="140">
        <f>E753*D753</f>
        <v>1915.4449999999999</v>
      </c>
      <c r="G753" s="97"/>
      <c r="H753" s="92"/>
    </row>
    <row r="754" spans="1:8" x14ac:dyDescent="0.2">
      <c r="A754" s="79" t="s">
        <v>2121</v>
      </c>
      <c r="B754" s="80" t="s">
        <v>2122</v>
      </c>
      <c r="C754" s="132" t="s">
        <v>1759</v>
      </c>
      <c r="D754" s="133">
        <v>0</v>
      </c>
      <c r="E754" s="133">
        <v>0</v>
      </c>
      <c r="F754" s="134">
        <f>F755+F757</f>
        <v>11970.710000000001</v>
      </c>
      <c r="G754" s="95"/>
      <c r="H754" s="90"/>
    </row>
    <row r="755" spans="1:8" x14ac:dyDescent="0.2">
      <c r="A755" s="81" t="s">
        <v>2123</v>
      </c>
      <c r="B755" s="82" t="s">
        <v>827</v>
      </c>
      <c r="C755" s="135" t="s">
        <v>1759</v>
      </c>
      <c r="D755" s="136">
        <v>0</v>
      </c>
      <c r="E755" s="136">
        <v>0</v>
      </c>
      <c r="F755" s="137">
        <f>F756</f>
        <v>10278.880000000001</v>
      </c>
      <c r="G755" s="96"/>
      <c r="H755" s="91"/>
    </row>
    <row r="756" spans="1:8" x14ac:dyDescent="0.2">
      <c r="A756" s="83" t="s">
        <v>2124</v>
      </c>
      <c r="B756" s="84" t="s">
        <v>829</v>
      </c>
      <c r="C756" s="138" t="s">
        <v>92</v>
      </c>
      <c r="D756" s="139">
        <v>1</v>
      </c>
      <c r="E756" s="139">
        <v>10278.880000000001</v>
      </c>
      <c r="F756" s="140">
        <f>E756*D756</f>
        <v>10278.880000000001</v>
      </c>
      <c r="G756" s="97" t="s">
        <v>81</v>
      </c>
      <c r="H756" s="92"/>
    </row>
    <row r="757" spans="1:8" x14ac:dyDescent="0.2">
      <c r="A757" s="81" t="s">
        <v>2125</v>
      </c>
      <c r="B757" s="82" t="s">
        <v>295</v>
      </c>
      <c r="C757" s="135" t="s">
        <v>1759</v>
      </c>
      <c r="D757" s="136">
        <v>0</v>
      </c>
      <c r="E757" s="136">
        <v>0</v>
      </c>
      <c r="F757" s="137">
        <f>F758</f>
        <v>1691.83</v>
      </c>
      <c r="G757" s="96"/>
      <c r="H757" s="91"/>
    </row>
    <row r="758" spans="1:8" x14ac:dyDescent="0.2">
      <c r="A758" s="83" t="s">
        <v>2126</v>
      </c>
      <c r="B758" s="84" t="s">
        <v>832</v>
      </c>
      <c r="C758" s="138" t="s">
        <v>130</v>
      </c>
      <c r="D758" s="139">
        <v>483.38</v>
      </c>
      <c r="E758" s="139">
        <v>3.5</v>
      </c>
      <c r="F758" s="140">
        <f>E758*D758</f>
        <v>1691.83</v>
      </c>
      <c r="G758" s="97"/>
      <c r="H758" s="92"/>
    </row>
    <row r="759" spans="1:8" x14ac:dyDescent="0.2">
      <c r="A759" s="79" t="s">
        <v>2127</v>
      </c>
      <c r="B759" s="80" t="s">
        <v>873</v>
      </c>
      <c r="C759" s="132" t="s">
        <v>1759</v>
      </c>
      <c r="D759" s="133">
        <v>0</v>
      </c>
      <c r="E759" s="133">
        <v>0</v>
      </c>
      <c r="F759" s="134">
        <f>F760</f>
        <v>113643.42</v>
      </c>
      <c r="G759" s="95"/>
      <c r="H759" s="90"/>
    </row>
    <row r="760" spans="1:8" x14ac:dyDescent="0.2">
      <c r="A760" s="81" t="s">
        <v>2128</v>
      </c>
      <c r="B760" s="82" t="s">
        <v>874</v>
      </c>
      <c r="C760" s="135" t="s">
        <v>1759</v>
      </c>
      <c r="D760" s="136">
        <v>0</v>
      </c>
      <c r="E760" s="136">
        <v>0</v>
      </c>
      <c r="F760" s="137">
        <f>F761</f>
        <v>113643.42</v>
      </c>
      <c r="G760" s="96"/>
      <c r="H760" s="91"/>
    </row>
    <row r="761" spans="1:8" x14ac:dyDescent="0.2">
      <c r="A761" s="83" t="s">
        <v>2129</v>
      </c>
      <c r="B761" s="84" t="s">
        <v>875</v>
      </c>
      <c r="C761" s="138" t="s">
        <v>92</v>
      </c>
      <c r="D761" s="139">
        <v>1</v>
      </c>
      <c r="E761" s="139">
        <v>113643.42</v>
      </c>
      <c r="F761" s="140">
        <f>E761*D761</f>
        <v>113643.42</v>
      </c>
      <c r="G761" s="97" t="s">
        <v>81</v>
      </c>
      <c r="H761" s="92"/>
    </row>
    <row r="762" spans="1:8" x14ac:dyDescent="0.2">
      <c r="A762" s="77" t="s">
        <v>876</v>
      </c>
      <c r="B762" s="78" t="s">
        <v>30</v>
      </c>
      <c r="C762" s="129" t="s">
        <v>1759</v>
      </c>
      <c r="D762" s="130">
        <v>0</v>
      </c>
      <c r="E762" s="130">
        <v>0</v>
      </c>
      <c r="F762" s="131">
        <f>F763+F766+F770+F774</f>
        <v>265271.65000000002</v>
      </c>
      <c r="G762" s="98">
        <f>F762/OBRA!D10</f>
        <v>21.189591627419535</v>
      </c>
      <c r="H762" s="89"/>
    </row>
    <row r="763" spans="1:8" x14ac:dyDescent="0.2">
      <c r="A763" s="79" t="s">
        <v>877</v>
      </c>
      <c r="B763" s="80" t="s">
        <v>878</v>
      </c>
      <c r="C763" s="132" t="s">
        <v>1759</v>
      </c>
      <c r="D763" s="133">
        <v>0</v>
      </c>
      <c r="E763" s="133">
        <v>0</v>
      </c>
      <c r="F763" s="134">
        <f>F764</f>
        <v>945.03</v>
      </c>
      <c r="G763" s="95"/>
      <c r="H763" s="90"/>
    </row>
    <row r="764" spans="1:8" x14ac:dyDescent="0.2">
      <c r="A764" s="81" t="s">
        <v>879</v>
      </c>
      <c r="B764" s="82" t="s">
        <v>880</v>
      </c>
      <c r="C764" s="135" t="s">
        <v>1759</v>
      </c>
      <c r="D764" s="136">
        <v>0</v>
      </c>
      <c r="E764" s="136">
        <v>0</v>
      </c>
      <c r="F764" s="137">
        <f>F765</f>
        <v>945.03</v>
      </c>
      <c r="G764" s="96"/>
      <c r="H764" s="91"/>
    </row>
    <row r="765" spans="1:8" x14ac:dyDescent="0.2">
      <c r="A765" s="83" t="s">
        <v>882</v>
      </c>
      <c r="B765" s="84" t="s">
        <v>1912</v>
      </c>
      <c r="C765" s="138" t="s">
        <v>92</v>
      </c>
      <c r="D765" s="139">
        <v>1</v>
      </c>
      <c r="E765" s="139">
        <v>945.03</v>
      </c>
      <c r="F765" s="140">
        <f>E765*D765</f>
        <v>945.03</v>
      </c>
      <c r="G765" s="97" t="s">
        <v>81</v>
      </c>
      <c r="H765" s="92"/>
    </row>
    <row r="766" spans="1:8" x14ac:dyDescent="0.2">
      <c r="A766" s="79" t="s">
        <v>2130</v>
      </c>
      <c r="B766" s="80" t="s">
        <v>2131</v>
      </c>
      <c r="C766" s="132" t="s">
        <v>1759</v>
      </c>
      <c r="D766" s="133">
        <v>0</v>
      </c>
      <c r="E766" s="133">
        <v>0</v>
      </c>
      <c r="F766" s="134">
        <f>F767</f>
        <v>14839.51</v>
      </c>
      <c r="G766" s="95"/>
      <c r="H766" s="90"/>
    </row>
    <row r="767" spans="1:8" x14ac:dyDescent="0.2">
      <c r="A767" s="81" t="s">
        <v>2132</v>
      </c>
      <c r="B767" s="82" t="s">
        <v>880</v>
      </c>
      <c r="C767" s="135" t="s">
        <v>1759</v>
      </c>
      <c r="D767" s="136">
        <v>0</v>
      </c>
      <c r="E767" s="136">
        <v>0</v>
      </c>
      <c r="F767" s="137">
        <f>F768+F769</f>
        <v>14839.51</v>
      </c>
      <c r="G767" s="96"/>
      <c r="H767" s="91"/>
    </row>
    <row r="768" spans="1:8" x14ac:dyDescent="0.2">
      <c r="A768" s="83" t="s">
        <v>2133</v>
      </c>
      <c r="B768" s="84" t="s">
        <v>881</v>
      </c>
      <c r="C768" s="138" t="s">
        <v>92</v>
      </c>
      <c r="D768" s="139">
        <v>1</v>
      </c>
      <c r="E768" s="139">
        <v>7189.46</v>
      </c>
      <c r="F768" s="140">
        <f>E768*D768</f>
        <v>7189.46</v>
      </c>
      <c r="G768" s="97" t="s">
        <v>81</v>
      </c>
      <c r="H768" s="92"/>
    </row>
    <row r="769" spans="1:8" x14ac:dyDescent="0.2">
      <c r="A769" s="83" t="s">
        <v>2134</v>
      </c>
      <c r="B769" s="84" t="s">
        <v>1912</v>
      </c>
      <c r="C769" s="138" t="s">
        <v>92</v>
      </c>
      <c r="D769" s="139">
        <v>1</v>
      </c>
      <c r="E769" s="139">
        <v>7650.05</v>
      </c>
      <c r="F769" s="140">
        <f>E769*D769</f>
        <v>7650.05</v>
      </c>
      <c r="G769" s="97" t="s">
        <v>81</v>
      </c>
      <c r="H769" s="92"/>
    </row>
    <row r="770" spans="1:8" x14ac:dyDescent="0.2">
      <c r="A770" s="79" t="s">
        <v>2135</v>
      </c>
      <c r="B770" s="80" t="s">
        <v>1751</v>
      </c>
      <c r="C770" s="132" t="s">
        <v>1759</v>
      </c>
      <c r="D770" s="133">
        <v>0</v>
      </c>
      <c r="E770" s="133">
        <v>0</v>
      </c>
      <c r="F770" s="134">
        <f>F771</f>
        <v>189553.69</v>
      </c>
      <c r="G770" s="95"/>
      <c r="H770" s="90"/>
    </row>
    <row r="771" spans="1:8" x14ac:dyDescent="0.2">
      <c r="A771" s="81" t="s">
        <v>2136</v>
      </c>
      <c r="B771" s="82" t="s">
        <v>880</v>
      </c>
      <c r="C771" s="135" t="s">
        <v>1759</v>
      </c>
      <c r="D771" s="136">
        <v>0</v>
      </c>
      <c r="E771" s="136">
        <v>0</v>
      </c>
      <c r="F771" s="137">
        <f>F772+F773</f>
        <v>189553.69</v>
      </c>
      <c r="G771" s="96"/>
      <c r="H771" s="91"/>
    </row>
    <row r="772" spans="1:8" x14ac:dyDescent="0.2">
      <c r="A772" s="83" t="s">
        <v>2137</v>
      </c>
      <c r="B772" s="84" t="s">
        <v>881</v>
      </c>
      <c r="C772" s="138" t="s">
        <v>92</v>
      </c>
      <c r="D772" s="139">
        <v>1</v>
      </c>
      <c r="E772" s="139">
        <v>90103.01</v>
      </c>
      <c r="F772" s="140">
        <f>E772*D772</f>
        <v>90103.01</v>
      </c>
      <c r="G772" s="97" t="s">
        <v>81</v>
      </c>
      <c r="H772" s="92"/>
    </row>
    <row r="773" spans="1:8" x14ac:dyDescent="0.2">
      <c r="A773" s="83" t="s">
        <v>2138</v>
      </c>
      <c r="B773" s="84" t="s">
        <v>1912</v>
      </c>
      <c r="C773" s="138" t="s">
        <v>92</v>
      </c>
      <c r="D773" s="139">
        <v>1</v>
      </c>
      <c r="E773" s="139">
        <v>99450.680000000008</v>
      </c>
      <c r="F773" s="140">
        <f>E773*D773</f>
        <v>99450.680000000008</v>
      </c>
      <c r="G773" s="97" t="s">
        <v>81</v>
      </c>
      <c r="H773" s="92"/>
    </row>
    <row r="774" spans="1:8" x14ac:dyDescent="0.2">
      <c r="A774" s="79" t="s">
        <v>2139</v>
      </c>
      <c r="B774" s="80" t="s">
        <v>2140</v>
      </c>
      <c r="C774" s="132" t="s">
        <v>1759</v>
      </c>
      <c r="D774" s="133">
        <v>0</v>
      </c>
      <c r="E774" s="133">
        <v>0</v>
      </c>
      <c r="F774" s="134">
        <f>F775</f>
        <v>59933.420000000006</v>
      </c>
      <c r="G774" s="95"/>
      <c r="H774" s="90"/>
    </row>
    <row r="775" spans="1:8" x14ac:dyDescent="0.2">
      <c r="A775" s="81" t="s">
        <v>2141</v>
      </c>
      <c r="B775" s="82" t="s">
        <v>883</v>
      </c>
      <c r="C775" s="135" t="s">
        <v>1759</v>
      </c>
      <c r="D775" s="136">
        <v>0</v>
      </c>
      <c r="E775" s="136">
        <v>0</v>
      </c>
      <c r="F775" s="137">
        <f>F776+F777+F778</f>
        <v>59933.420000000006</v>
      </c>
      <c r="G775" s="96"/>
      <c r="H775" s="91"/>
    </row>
    <row r="776" spans="1:8" x14ac:dyDescent="0.2">
      <c r="A776" s="83" t="s">
        <v>2142</v>
      </c>
      <c r="B776" s="84" t="s">
        <v>1912</v>
      </c>
      <c r="C776" s="138" t="s">
        <v>92</v>
      </c>
      <c r="D776" s="139">
        <v>1</v>
      </c>
      <c r="E776" s="139">
        <v>5114.32</v>
      </c>
      <c r="F776" s="140">
        <f>E776*D776</f>
        <v>5114.32</v>
      </c>
      <c r="G776" s="97" t="s">
        <v>81</v>
      </c>
      <c r="H776" s="92"/>
    </row>
    <row r="777" spans="1:8" x14ac:dyDescent="0.2">
      <c r="A777" s="83" t="s">
        <v>2143</v>
      </c>
      <c r="B777" s="84" t="s">
        <v>881</v>
      </c>
      <c r="C777" s="138" t="s">
        <v>92</v>
      </c>
      <c r="D777" s="139">
        <v>1</v>
      </c>
      <c r="E777" s="139">
        <v>2509</v>
      </c>
      <c r="F777" s="140">
        <f>E777*D777</f>
        <v>2509</v>
      </c>
      <c r="G777" s="97" t="s">
        <v>81</v>
      </c>
      <c r="H777" s="92"/>
    </row>
    <row r="778" spans="1:8" x14ac:dyDescent="0.2">
      <c r="A778" s="83" t="s">
        <v>2144</v>
      </c>
      <c r="B778" s="99" t="s">
        <v>2145</v>
      </c>
      <c r="C778" s="138" t="s">
        <v>109</v>
      </c>
      <c r="D778" s="139">
        <v>6</v>
      </c>
      <c r="E778" s="139">
        <v>8718.35</v>
      </c>
      <c r="F778" s="140">
        <f>E778*D778</f>
        <v>52310.100000000006</v>
      </c>
      <c r="G778" s="97" t="s">
        <v>81</v>
      </c>
      <c r="H778" s="100"/>
    </row>
    <row r="779" spans="1:8" x14ac:dyDescent="0.2">
      <c r="A779" s="77" t="s">
        <v>884</v>
      </c>
      <c r="B779" s="78" t="s">
        <v>885</v>
      </c>
      <c r="C779" s="129" t="s">
        <v>1759</v>
      </c>
      <c r="D779" s="130"/>
      <c r="E779" s="130">
        <v>0</v>
      </c>
      <c r="F779" s="131">
        <f>F780+F800+F808+F816+F824+F844+F858+F878+F892</f>
        <v>542850.67118000006</v>
      </c>
      <c r="G779" s="98"/>
      <c r="H779" s="89"/>
    </row>
    <row r="780" spans="1:8" x14ac:dyDescent="0.2">
      <c r="A780" s="79" t="s">
        <v>886</v>
      </c>
      <c r="B780" s="80" t="s">
        <v>887</v>
      </c>
      <c r="C780" s="132" t="s">
        <v>1759</v>
      </c>
      <c r="D780" s="133"/>
      <c r="E780" s="133">
        <v>0</v>
      </c>
      <c r="F780" s="134">
        <f>F781+F783+F785+F787+F789+F791+F793</f>
        <v>37020.475180000001</v>
      </c>
      <c r="G780" s="95"/>
      <c r="H780" s="90"/>
    </row>
    <row r="781" spans="1:8" x14ac:dyDescent="0.2">
      <c r="A781" s="81" t="s">
        <v>888</v>
      </c>
      <c r="B781" s="82" t="s">
        <v>921</v>
      </c>
      <c r="C781" s="135" t="s">
        <v>1759</v>
      </c>
      <c r="D781" s="136"/>
      <c r="E781" s="136">
        <v>0</v>
      </c>
      <c r="F781" s="137">
        <f>F782</f>
        <v>272.75297999999998</v>
      </c>
      <c r="G781" s="96"/>
      <c r="H781" s="91"/>
    </row>
    <row r="782" spans="1:8" x14ac:dyDescent="0.2">
      <c r="A782" s="83" t="s">
        <v>890</v>
      </c>
      <c r="B782" s="84" t="s">
        <v>921</v>
      </c>
      <c r="C782" s="138" t="s">
        <v>130</v>
      </c>
      <c r="D782" s="139">
        <f>D786+D788</f>
        <v>38.19</v>
      </c>
      <c r="E782" s="139">
        <v>7.1420000000000003</v>
      </c>
      <c r="F782" s="140">
        <f>E782*D782</f>
        <v>272.75297999999998</v>
      </c>
      <c r="G782" s="97" t="s">
        <v>1001</v>
      </c>
      <c r="H782" s="92"/>
    </row>
    <row r="783" spans="1:8" x14ac:dyDescent="0.2">
      <c r="A783" s="81" t="s">
        <v>892</v>
      </c>
      <c r="B783" s="82" t="s">
        <v>889</v>
      </c>
      <c r="C783" s="135" t="s">
        <v>1759</v>
      </c>
      <c r="D783" s="136"/>
      <c r="E783" s="136">
        <v>0</v>
      </c>
      <c r="F783" s="137">
        <f>F784</f>
        <v>11895.477000000001</v>
      </c>
      <c r="G783" s="96"/>
      <c r="H783" s="91"/>
    </row>
    <row r="784" spans="1:8" x14ac:dyDescent="0.2">
      <c r="A784" s="83" t="s">
        <v>894</v>
      </c>
      <c r="B784" s="84" t="s">
        <v>891</v>
      </c>
      <c r="C784" s="138" t="s">
        <v>130</v>
      </c>
      <c r="D784" s="139">
        <v>477.73</v>
      </c>
      <c r="E784" s="139">
        <v>24.900000000000002</v>
      </c>
      <c r="F784" s="140">
        <f>E784*D784</f>
        <v>11895.477000000001</v>
      </c>
      <c r="G784" s="97" t="s">
        <v>985</v>
      </c>
      <c r="H784" s="92"/>
    </row>
    <row r="785" spans="1:8" x14ac:dyDescent="0.2">
      <c r="A785" s="81" t="s">
        <v>898</v>
      </c>
      <c r="B785" s="82" t="s">
        <v>893</v>
      </c>
      <c r="C785" s="135" t="s">
        <v>1759</v>
      </c>
      <c r="D785" s="136"/>
      <c r="E785" s="136">
        <v>0</v>
      </c>
      <c r="F785" s="137">
        <f>F786</f>
        <v>532.23807999999997</v>
      </c>
      <c r="G785" s="96"/>
      <c r="H785" s="91"/>
    </row>
    <row r="786" spans="1:8" x14ac:dyDescent="0.2">
      <c r="A786" s="83" t="s">
        <v>899</v>
      </c>
      <c r="B786" s="84" t="s">
        <v>895</v>
      </c>
      <c r="C786" s="138" t="s">
        <v>130</v>
      </c>
      <c r="D786" s="139">
        <f>1.37+3.8+9.51</f>
        <v>14.68</v>
      </c>
      <c r="E786" s="139">
        <v>36.256</v>
      </c>
      <c r="F786" s="140">
        <f>E786*D786</f>
        <v>532.23807999999997</v>
      </c>
      <c r="G786" s="97" t="s">
        <v>988</v>
      </c>
      <c r="H786" s="92"/>
    </row>
    <row r="787" spans="1:8" x14ac:dyDescent="0.2">
      <c r="A787" s="81" t="s">
        <v>2146</v>
      </c>
      <c r="B787" s="82" t="s">
        <v>922</v>
      </c>
      <c r="C787" s="135" t="s">
        <v>1759</v>
      </c>
      <c r="D787" s="136"/>
      <c r="E787" s="136">
        <v>0</v>
      </c>
      <c r="F787" s="137">
        <f>F788</f>
        <v>1169.7047850000001</v>
      </c>
      <c r="G787" s="96"/>
      <c r="H787" s="91"/>
    </row>
    <row r="788" spans="1:8" ht="31.5" x14ac:dyDescent="0.2">
      <c r="A788" s="83" t="s">
        <v>2147</v>
      </c>
      <c r="B788" s="84" t="s">
        <v>923</v>
      </c>
      <c r="C788" s="138" t="s">
        <v>130</v>
      </c>
      <c r="D788" s="139">
        <v>23.51</v>
      </c>
      <c r="E788" s="139">
        <v>49.753500000000003</v>
      </c>
      <c r="F788" s="140">
        <f>E788*D788</f>
        <v>1169.7047850000001</v>
      </c>
      <c r="G788" s="97" t="s">
        <v>1860</v>
      </c>
      <c r="H788" s="92"/>
    </row>
    <row r="789" spans="1:8" x14ac:dyDescent="0.2">
      <c r="A789" s="81" t="s">
        <v>2148</v>
      </c>
      <c r="B789" s="82" t="s">
        <v>928</v>
      </c>
      <c r="C789" s="135" t="s">
        <v>1759</v>
      </c>
      <c r="D789" s="136"/>
      <c r="E789" s="136">
        <v>0</v>
      </c>
      <c r="F789" s="137">
        <f>F790</f>
        <v>941.4461950000001</v>
      </c>
      <c r="G789" s="96"/>
      <c r="H789" s="91"/>
    </row>
    <row r="790" spans="1:8" x14ac:dyDescent="0.2">
      <c r="A790" s="83" t="s">
        <v>2149</v>
      </c>
      <c r="B790" s="84" t="s">
        <v>2150</v>
      </c>
      <c r="C790" s="138" t="s">
        <v>130</v>
      </c>
      <c r="D790" s="139">
        <f>D788</f>
        <v>23.51</v>
      </c>
      <c r="E790" s="139">
        <v>40.044499999999999</v>
      </c>
      <c r="F790" s="140">
        <f>E790*D790</f>
        <v>941.4461950000001</v>
      </c>
      <c r="G790" s="97" t="s">
        <v>1861</v>
      </c>
      <c r="H790" s="92"/>
    </row>
    <row r="791" spans="1:8" x14ac:dyDescent="0.2">
      <c r="A791" s="81" t="s">
        <v>2151</v>
      </c>
      <c r="B791" s="82" t="s">
        <v>896</v>
      </c>
      <c r="C791" s="135" t="s">
        <v>1759</v>
      </c>
      <c r="D791" s="136"/>
      <c r="E791" s="136">
        <v>0</v>
      </c>
      <c r="F791" s="137">
        <f>F792</f>
        <v>71.167139999999989</v>
      </c>
      <c r="G791" s="96"/>
      <c r="H791" s="91"/>
    </row>
    <row r="792" spans="1:8" x14ac:dyDescent="0.2">
      <c r="A792" s="83" t="s">
        <v>2152</v>
      </c>
      <c r="B792" s="84" t="s">
        <v>897</v>
      </c>
      <c r="C792" s="138" t="s">
        <v>109</v>
      </c>
      <c r="D792" s="139">
        <v>9</v>
      </c>
      <c r="E792" s="139">
        <v>7.9074599999999995</v>
      </c>
      <c r="F792" s="140">
        <f>E792*D792</f>
        <v>71.167139999999989</v>
      </c>
      <c r="G792" s="97" t="s">
        <v>986</v>
      </c>
      <c r="H792" s="92"/>
    </row>
    <row r="793" spans="1:8" x14ac:dyDescent="0.2">
      <c r="A793" s="81" t="s">
        <v>2153</v>
      </c>
      <c r="B793" s="82" t="s">
        <v>295</v>
      </c>
      <c r="C793" s="135" t="s">
        <v>1759</v>
      </c>
      <c r="D793" s="136"/>
      <c r="E793" s="136">
        <v>0</v>
      </c>
      <c r="F793" s="137">
        <f>SUM(F794:F799)</f>
        <v>22137.689000000002</v>
      </c>
      <c r="G793" s="96"/>
      <c r="H793" s="91"/>
    </row>
    <row r="794" spans="1:8" ht="31.5" x14ac:dyDescent="0.2">
      <c r="A794" s="83" t="s">
        <v>2154</v>
      </c>
      <c r="B794" s="84" t="s">
        <v>900</v>
      </c>
      <c r="C794" s="138" t="s">
        <v>130</v>
      </c>
      <c r="D794" s="139">
        <f>D784</f>
        <v>477.73</v>
      </c>
      <c r="E794" s="139">
        <v>38.300000000000004</v>
      </c>
      <c r="F794" s="140">
        <f t="shared" ref="F794:F799" si="29">E794*D794</f>
        <v>18297.059000000001</v>
      </c>
      <c r="G794" s="97"/>
      <c r="H794" s="92"/>
    </row>
    <row r="795" spans="1:8" x14ac:dyDescent="0.2">
      <c r="A795" s="83" t="s">
        <v>2155</v>
      </c>
      <c r="B795" s="84" t="s">
        <v>901</v>
      </c>
      <c r="C795" s="138" t="s">
        <v>130</v>
      </c>
      <c r="D795" s="139">
        <f>D786</f>
        <v>14.68</v>
      </c>
      <c r="E795" s="139">
        <v>30</v>
      </c>
      <c r="F795" s="140">
        <f t="shared" si="29"/>
        <v>440.4</v>
      </c>
      <c r="G795" s="97"/>
      <c r="H795" s="92"/>
    </row>
    <row r="796" spans="1:8" x14ac:dyDescent="0.2">
      <c r="A796" s="83" t="s">
        <v>2156</v>
      </c>
      <c r="B796" s="84" t="s">
        <v>902</v>
      </c>
      <c r="C796" s="138" t="s">
        <v>109</v>
      </c>
      <c r="D796" s="139">
        <f>D792</f>
        <v>9</v>
      </c>
      <c r="E796" s="139">
        <v>50</v>
      </c>
      <c r="F796" s="140">
        <f t="shared" si="29"/>
        <v>450</v>
      </c>
      <c r="G796" s="97"/>
      <c r="H796" s="92"/>
    </row>
    <row r="797" spans="1:8" ht="31.5" x14ac:dyDescent="0.2">
      <c r="A797" s="83" t="s">
        <v>2157</v>
      </c>
      <c r="B797" s="84" t="s">
        <v>931</v>
      </c>
      <c r="C797" s="138" t="s">
        <v>130</v>
      </c>
      <c r="D797" s="139">
        <f>D782</f>
        <v>38.19</v>
      </c>
      <c r="E797" s="139">
        <v>20</v>
      </c>
      <c r="F797" s="140">
        <f t="shared" si="29"/>
        <v>763.8</v>
      </c>
      <c r="G797" s="97"/>
      <c r="H797" s="92"/>
    </row>
    <row r="798" spans="1:8" ht="31.5" x14ac:dyDescent="0.2">
      <c r="A798" s="83" t="s">
        <v>2158</v>
      </c>
      <c r="B798" s="84" t="s">
        <v>932</v>
      </c>
      <c r="C798" s="138" t="s">
        <v>130</v>
      </c>
      <c r="D798" s="139">
        <f>D788</f>
        <v>23.51</v>
      </c>
      <c r="E798" s="139">
        <v>48</v>
      </c>
      <c r="F798" s="140">
        <f t="shared" si="29"/>
        <v>1128.48</v>
      </c>
      <c r="G798" s="97"/>
      <c r="H798" s="92"/>
    </row>
    <row r="799" spans="1:8" ht="31.5" x14ac:dyDescent="0.2">
      <c r="A799" s="83" t="s">
        <v>2159</v>
      </c>
      <c r="B799" s="84" t="s">
        <v>935</v>
      </c>
      <c r="C799" s="138" t="s">
        <v>130</v>
      </c>
      <c r="D799" s="139">
        <f>D790</f>
        <v>23.51</v>
      </c>
      <c r="E799" s="139">
        <v>45</v>
      </c>
      <c r="F799" s="140">
        <f t="shared" si="29"/>
        <v>1057.95</v>
      </c>
      <c r="G799" s="97"/>
      <c r="H799" s="92"/>
    </row>
    <row r="800" spans="1:8" x14ac:dyDescent="0.2">
      <c r="A800" s="79" t="s">
        <v>903</v>
      </c>
      <c r="B800" s="80" t="s">
        <v>2160</v>
      </c>
      <c r="C800" s="132" t="s">
        <v>1759</v>
      </c>
      <c r="D800" s="133"/>
      <c r="E800" s="133">
        <v>0</v>
      </c>
      <c r="F800" s="134">
        <f>F801+F803+F805</f>
        <v>363.70094</v>
      </c>
      <c r="G800" s="95"/>
      <c r="H800" s="90"/>
    </row>
    <row r="801" spans="1:8" x14ac:dyDescent="0.2">
      <c r="A801" s="81" t="s">
        <v>904</v>
      </c>
      <c r="B801" s="82" t="s">
        <v>889</v>
      </c>
      <c r="C801" s="135" t="s">
        <v>1759</v>
      </c>
      <c r="D801" s="136"/>
      <c r="E801" s="136">
        <v>0</v>
      </c>
      <c r="F801" s="137">
        <f>F802</f>
        <v>73.511099999999999</v>
      </c>
      <c r="G801" s="96"/>
      <c r="H801" s="91"/>
    </row>
    <row r="802" spans="1:8" x14ac:dyDescent="0.2">
      <c r="A802" s="83" t="s">
        <v>905</v>
      </c>
      <c r="B802" s="84" t="s">
        <v>906</v>
      </c>
      <c r="C802" s="138" t="s">
        <v>130</v>
      </c>
      <c r="D802" s="139">
        <f>0.07+1.76</f>
        <v>1.83</v>
      </c>
      <c r="E802" s="139">
        <v>40.17</v>
      </c>
      <c r="F802" s="140">
        <f>E802*D802</f>
        <v>73.511099999999999</v>
      </c>
      <c r="G802" s="97" t="s">
        <v>990</v>
      </c>
      <c r="H802" s="92"/>
    </row>
    <row r="803" spans="1:8" x14ac:dyDescent="0.2">
      <c r="A803" s="81" t="s">
        <v>907</v>
      </c>
      <c r="B803" s="82" t="s">
        <v>896</v>
      </c>
      <c r="C803" s="135" t="s">
        <v>1759</v>
      </c>
      <c r="D803" s="136"/>
      <c r="E803" s="136">
        <v>0</v>
      </c>
      <c r="F803" s="137">
        <f>F804</f>
        <v>31.629839999999998</v>
      </c>
      <c r="G803" s="96"/>
      <c r="H803" s="91"/>
    </row>
    <row r="804" spans="1:8" x14ac:dyDescent="0.2">
      <c r="A804" s="83" t="s">
        <v>908</v>
      </c>
      <c r="B804" s="84" t="s">
        <v>897</v>
      </c>
      <c r="C804" s="138" t="s">
        <v>109</v>
      </c>
      <c r="D804" s="139">
        <v>4</v>
      </c>
      <c r="E804" s="139">
        <v>7.9074599999999995</v>
      </c>
      <c r="F804" s="140">
        <f>E804*D804</f>
        <v>31.629839999999998</v>
      </c>
      <c r="G804" s="97" t="s">
        <v>986</v>
      </c>
      <c r="H804" s="92"/>
    </row>
    <row r="805" spans="1:8" x14ac:dyDescent="0.2">
      <c r="A805" s="81" t="s">
        <v>909</v>
      </c>
      <c r="B805" s="82" t="s">
        <v>295</v>
      </c>
      <c r="C805" s="135" t="s">
        <v>1759</v>
      </c>
      <c r="D805" s="136"/>
      <c r="E805" s="136">
        <v>0</v>
      </c>
      <c r="F805" s="137">
        <f>SUM(F806:F807)</f>
        <v>258.56</v>
      </c>
      <c r="G805" s="96"/>
      <c r="H805" s="91"/>
    </row>
    <row r="806" spans="1:8" ht="31.5" x14ac:dyDescent="0.2">
      <c r="A806" s="83" t="s">
        <v>910</v>
      </c>
      <c r="B806" s="84" t="s">
        <v>987</v>
      </c>
      <c r="C806" s="138" t="s">
        <v>130</v>
      </c>
      <c r="D806" s="139">
        <f>D802</f>
        <v>1.83</v>
      </c>
      <c r="E806" s="139">
        <v>32</v>
      </c>
      <c r="F806" s="140">
        <f>E806*D806</f>
        <v>58.56</v>
      </c>
      <c r="G806" s="97"/>
      <c r="H806" s="92"/>
    </row>
    <row r="807" spans="1:8" ht="31.5" x14ac:dyDescent="0.2">
      <c r="A807" s="83" t="s">
        <v>911</v>
      </c>
      <c r="B807" s="84" t="s">
        <v>902</v>
      </c>
      <c r="C807" s="138" t="s">
        <v>109</v>
      </c>
      <c r="D807" s="139">
        <f>D804</f>
        <v>4</v>
      </c>
      <c r="E807" s="139">
        <v>50</v>
      </c>
      <c r="F807" s="140">
        <f>E807*D807</f>
        <v>200</v>
      </c>
      <c r="G807" s="97"/>
      <c r="H807" s="92"/>
    </row>
    <row r="808" spans="1:8" x14ac:dyDescent="0.2">
      <c r="A808" s="79" t="s">
        <v>912</v>
      </c>
      <c r="B808" s="80" t="s">
        <v>2161</v>
      </c>
      <c r="C808" s="132" t="s">
        <v>1759</v>
      </c>
      <c r="D808" s="133"/>
      <c r="E808" s="133">
        <v>0</v>
      </c>
      <c r="F808" s="134">
        <f>F809+F811+F813</f>
        <v>363.70094</v>
      </c>
      <c r="G808" s="95"/>
      <c r="H808" s="90"/>
    </row>
    <row r="809" spans="1:8" x14ac:dyDescent="0.2">
      <c r="A809" s="81" t="s">
        <v>913</v>
      </c>
      <c r="B809" s="82" t="s">
        <v>889</v>
      </c>
      <c r="C809" s="135" t="s">
        <v>1759</v>
      </c>
      <c r="D809" s="136"/>
      <c r="E809" s="136">
        <v>0</v>
      </c>
      <c r="F809" s="137">
        <f>F810</f>
        <v>73.511099999999999</v>
      </c>
      <c r="G809" s="96"/>
      <c r="H809" s="91"/>
    </row>
    <row r="810" spans="1:8" x14ac:dyDescent="0.2">
      <c r="A810" s="83" t="s">
        <v>914</v>
      </c>
      <c r="B810" s="84" t="s">
        <v>906</v>
      </c>
      <c r="C810" s="138" t="s">
        <v>130</v>
      </c>
      <c r="D810" s="139">
        <f>0.07+1.76</f>
        <v>1.83</v>
      </c>
      <c r="E810" s="139">
        <v>40.17</v>
      </c>
      <c r="F810" s="140">
        <f>E810*D810</f>
        <v>73.511099999999999</v>
      </c>
      <c r="G810" s="97" t="s">
        <v>990</v>
      </c>
      <c r="H810" s="92"/>
    </row>
    <row r="811" spans="1:8" x14ac:dyDescent="0.2">
      <c r="A811" s="81" t="s">
        <v>915</v>
      </c>
      <c r="B811" s="82" t="s">
        <v>896</v>
      </c>
      <c r="C811" s="135" t="s">
        <v>1759</v>
      </c>
      <c r="D811" s="136"/>
      <c r="E811" s="136">
        <v>0</v>
      </c>
      <c r="F811" s="137">
        <f>F812</f>
        <v>31.629839999999998</v>
      </c>
      <c r="G811" s="96"/>
      <c r="H811" s="91"/>
    </row>
    <row r="812" spans="1:8" x14ac:dyDescent="0.2">
      <c r="A812" s="83" t="s">
        <v>916</v>
      </c>
      <c r="B812" s="84" t="s">
        <v>897</v>
      </c>
      <c r="C812" s="138" t="s">
        <v>109</v>
      </c>
      <c r="D812" s="139">
        <v>4</v>
      </c>
      <c r="E812" s="139">
        <v>7.9074599999999995</v>
      </c>
      <c r="F812" s="140">
        <f>E812*D812</f>
        <v>31.629839999999998</v>
      </c>
      <c r="G812" s="97" t="s">
        <v>986</v>
      </c>
      <c r="H812" s="92"/>
    </row>
    <row r="813" spans="1:8" x14ac:dyDescent="0.2">
      <c r="A813" s="81" t="s">
        <v>917</v>
      </c>
      <c r="B813" s="82" t="s">
        <v>295</v>
      </c>
      <c r="C813" s="135" t="s">
        <v>1759</v>
      </c>
      <c r="D813" s="136"/>
      <c r="E813" s="136">
        <v>0</v>
      </c>
      <c r="F813" s="137">
        <f>SUM(F814:F815)</f>
        <v>258.56</v>
      </c>
      <c r="G813" s="96"/>
      <c r="H813" s="91"/>
    </row>
    <row r="814" spans="1:8" ht="31.5" x14ac:dyDescent="0.2">
      <c r="A814" s="83" t="s">
        <v>918</v>
      </c>
      <c r="B814" s="84" t="s">
        <v>987</v>
      </c>
      <c r="C814" s="138" t="s">
        <v>130</v>
      </c>
      <c r="D814" s="139">
        <f>D810</f>
        <v>1.83</v>
      </c>
      <c r="E814" s="139">
        <v>32</v>
      </c>
      <c r="F814" s="140">
        <f>E814*D814</f>
        <v>58.56</v>
      </c>
      <c r="G814" s="97"/>
      <c r="H814" s="92"/>
    </row>
    <row r="815" spans="1:8" ht="31.5" x14ac:dyDescent="0.2">
      <c r="A815" s="83" t="s">
        <v>919</v>
      </c>
      <c r="B815" s="84" t="s">
        <v>902</v>
      </c>
      <c r="C815" s="138" t="s">
        <v>109</v>
      </c>
      <c r="D815" s="139">
        <f>D812</f>
        <v>4</v>
      </c>
      <c r="E815" s="139">
        <v>50</v>
      </c>
      <c r="F815" s="140">
        <f>E815*D815</f>
        <v>200</v>
      </c>
      <c r="G815" s="97"/>
      <c r="H815" s="92"/>
    </row>
    <row r="816" spans="1:8" x14ac:dyDescent="0.2">
      <c r="A816" s="79" t="s">
        <v>920</v>
      </c>
      <c r="B816" s="80" t="s">
        <v>2162</v>
      </c>
      <c r="C816" s="132" t="s">
        <v>1759</v>
      </c>
      <c r="D816" s="133"/>
      <c r="E816" s="133">
        <v>0</v>
      </c>
      <c r="F816" s="134">
        <f>F817+F819+F821</f>
        <v>363.70094</v>
      </c>
      <c r="G816" s="95"/>
      <c r="H816" s="90"/>
    </row>
    <row r="817" spans="1:8" x14ac:dyDescent="0.2">
      <c r="A817" s="81" t="s">
        <v>924</v>
      </c>
      <c r="B817" s="82" t="s">
        <v>889</v>
      </c>
      <c r="C817" s="135" t="s">
        <v>1759</v>
      </c>
      <c r="D817" s="136"/>
      <c r="E817" s="136">
        <v>0</v>
      </c>
      <c r="F817" s="137">
        <f>F818</f>
        <v>73.511099999999999</v>
      </c>
      <c r="G817" s="96"/>
      <c r="H817" s="91"/>
    </row>
    <row r="818" spans="1:8" ht="31.5" x14ac:dyDescent="0.2">
      <c r="A818" s="83" t="s">
        <v>925</v>
      </c>
      <c r="B818" s="84" t="s">
        <v>906</v>
      </c>
      <c r="C818" s="138" t="s">
        <v>130</v>
      </c>
      <c r="D818" s="139">
        <f>0.07+1.76</f>
        <v>1.83</v>
      </c>
      <c r="E818" s="139">
        <v>40.17</v>
      </c>
      <c r="F818" s="140">
        <f>E818*D818</f>
        <v>73.511099999999999</v>
      </c>
      <c r="G818" s="97" t="s">
        <v>990</v>
      </c>
      <c r="H818" s="92"/>
    </row>
    <row r="819" spans="1:8" x14ac:dyDescent="0.2">
      <c r="A819" s="81" t="s">
        <v>926</v>
      </c>
      <c r="B819" s="82" t="s">
        <v>896</v>
      </c>
      <c r="C819" s="135" t="s">
        <v>1759</v>
      </c>
      <c r="D819" s="136"/>
      <c r="E819" s="136">
        <v>0</v>
      </c>
      <c r="F819" s="137">
        <f>F820</f>
        <v>31.629839999999998</v>
      </c>
      <c r="G819" s="96"/>
      <c r="H819" s="91"/>
    </row>
    <row r="820" spans="1:8" ht="31.5" x14ac:dyDescent="0.2">
      <c r="A820" s="83" t="s">
        <v>927</v>
      </c>
      <c r="B820" s="84" t="s">
        <v>897</v>
      </c>
      <c r="C820" s="138" t="s">
        <v>109</v>
      </c>
      <c r="D820" s="139">
        <v>4</v>
      </c>
      <c r="E820" s="139">
        <v>7.9074599999999995</v>
      </c>
      <c r="F820" s="140">
        <f>E820*D820</f>
        <v>31.629839999999998</v>
      </c>
      <c r="G820" s="97" t="s">
        <v>986</v>
      </c>
      <c r="H820" s="92"/>
    </row>
    <row r="821" spans="1:8" x14ac:dyDescent="0.2">
      <c r="A821" s="81" t="s">
        <v>930</v>
      </c>
      <c r="B821" s="82" t="s">
        <v>295</v>
      </c>
      <c r="C821" s="135" t="s">
        <v>1759</v>
      </c>
      <c r="D821" s="136"/>
      <c r="E821" s="136">
        <v>0</v>
      </c>
      <c r="F821" s="137">
        <f>SUM(F822:F823)</f>
        <v>258.56</v>
      </c>
      <c r="G821" s="96"/>
      <c r="H821" s="91"/>
    </row>
    <row r="822" spans="1:8" ht="31.5" x14ac:dyDescent="0.2">
      <c r="A822" s="83" t="s">
        <v>933</v>
      </c>
      <c r="B822" s="84" t="s">
        <v>987</v>
      </c>
      <c r="C822" s="138" t="s">
        <v>130</v>
      </c>
      <c r="D822" s="139">
        <f>D818</f>
        <v>1.83</v>
      </c>
      <c r="E822" s="139">
        <v>32</v>
      </c>
      <c r="F822" s="140">
        <f>E822*D822</f>
        <v>58.56</v>
      </c>
      <c r="G822" s="97"/>
      <c r="H822" s="92"/>
    </row>
    <row r="823" spans="1:8" ht="31.5" x14ac:dyDescent="0.2">
      <c r="A823" s="83" t="s">
        <v>934</v>
      </c>
      <c r="B823" s="84" t="s">
        <v>902</v>
      </c>
      <c r="C823" s="138" t="s">
        <v>109</v>
      </c>
      <c r="D823" s="139">
        <f>D820</f>
        <v>4</v>
      </c>
      <c r="E823" s="139">
        <v>50</v>
      </c>
      <c r="F823" s="140">
        <f>E823*D823</f>
        <v>200</v>
      </c>
      <c r="G823" s="97"/>
      <c r="H823" s="92"/>
    </row>
    <row r="824" spans="1:8" x14ac:dyDescent="0.2">
      <c r="A824" s="79" t="s">
        <v>936</v>
      </c>
      <c r="B824" s="80" t="s">
        <v>1862</v>
      </c>
      <c r="C824" s="132" t="s">
        <v>1759</v>
      </c>
      <c r="D824" s="133"/>
      <c r="E824" s="133">
        <v>0</v>
      </c>
      <c r="F824" s="134">
        <f>F825+F827+F829+F831+F833+F835+F837</f>
        <v>61199.211360000001</v>
      </c>
      <c r="G824" s="95"/>
      <c r="H824" s="90"/>
    </row>
    <row r="825" spans="1:8" x14ac:dyDescent="0.2">
      <c r="A825" s="81" t="s">
        <v>937</v>
      </c>
      <c r="B825" s="82" t="s">
        <v>921</v>
      </c>
      <c r="C825" s="135" t="s">
        <v>1759</v>
      </c>
      <c r="D825" s="136"/>
      <c r="E825" s="136">
        <v>0</v>
      </c>
      <c r="F825" s="137">
        <f>F826</f>
        <v>2868.72714</v>
      </c>
      <c r="G825" s="96"/>
      <c r="H825" s="91"/>
    </row>
    <row r="826" spans="1:8" x14ac:dyDescent="0.2">
      <c r="A826" s="83" t="s">
        <v>938</v>
      </c>
      <c r="B826" s="84" t="s">
        <v>921</v>
      </c>
      <c r="C826" s="138" t="s">
        <v>130</v>
      </c>
      <c r="D826" s="139">
        <f>D828+D830</f>
        <v>401.66999999999996</v>
      </c>
      <c r="E826" s="139">
        <v>7.1420000000000003</v>
      </c>
      <c r="F826" s="140">
        <f>E826*D826</f>
        <v>2868.72714</v>
      </c>
      <c r="G826" s="97" t="s">
        <v>1001</v>
      </c>
      <c r="H826" s="92"/>
    </row>
    <row r="827" spans="1:8" x14ac:dyDescent="0.2">
      <c r="A827" s="81" t="s">
        <v>2163</v>
      </c>
      <c r="B827" s="82" t="s">
        <v>922</v>
      </c>
      <c r="C827" s="135" t="s">
        <v>1759</v>
      </c>
      <c r="D827" s="136"/>
      <c r="E827" s="136">
        <v>0</v>
      </c>
      <c r="F827" s="137">
        <f>F828</f>
        <v>9656.6568150000003</v>
      </c>
      <c r="G827" s="96"/>
      <c r="H827" s="91"/>
    </row>
    <row r="828" spans="1:8" ht="31.5" x14ac:dyDescent="0.2">
      <c r="A828" s="83" t="s">
        <v>2164</v>
      </c>
      <c r="B828" s="84" t="s">
        <v>923</v>
      </c>
      <c r="C828" s="138" t="s">
        <v>130</v>
      </c>
      <c r="D828" s="139">
        <f>28.18+165.91</f>
        <v>194.09</v>
      </c>
      <c r="E828" s="139">
        <v>49.753500000000003</v>
      </c>
      <c r="F828" s="140">
        <f>E828*D828</f>
        <v>9656.6568150000003</v>
      </c>
      <c r="G828" s="97" t="s">
        <v>1860</v>
      </c>
      <c r="H828" s="92"/>
    </row>
    <row r="829" spans="1:8" x14ac:dyDescent="0.2">
      <c r="A829" s="81" t="s">
        <v>939</v>
      </c>
      <c r="B829" s="82" t="s">
        <v>893</v>
      </c>
      <c r="C829" s="135" t="s">
        <v>1759</v>
      </c>
      <c r="D829" s="136"/>
      <c r="E829" s="136">
        <v>0</v>
      </c>
      <c r="F829" s="137">
        <f>F830</f>
        <v>7526.0204799999992</v>
      </c>
      <c r="G829" s="96"/>
      <c r="H829" s="91"/>
    </row>
    <row r="830" spans="1:8" x14ac:dyDescent="0.2">
      <c r="A830" s="83" t="s">
        <v>940</v>
      </c>
      <c r="B830" s="84" t="s">
        <v>895</v>
      </c>
      <c r="C830" s="138" t="s">
        <v>130</v>
      </c>
      <c r="D830" s="139">
        <f>5.32+61.22+34.13+2.48+27.41+11.64+28.34+37.04</f>
        <v>207.57999999999998</v>
      </c>
      <c r="E830" s="139">
        <v>36.256</v>
      </c>
      <c r="F830" s="140">
        <f>E830*D830</f>
        <v>7526.0204799999992</v>
      </c>
      <c r="G830" s="97" t="s">
        <v>988</v>
      </c>
      <c r="H830" s="92"/>
    </row>
    <row r="831" spans="1:8" x14ac:dyDescent="0.2">
      <c r="A831" s="81" t="s">
        <v>941</v>
      </c>
      <c r="B831" s="82" t="s">
        <v>889</v>
      </c>
      <c r="C831" s="135" t="s">
        <v>1759</v>
      </c>
      <c r="D831" s="136"/>
      <c r="E831" s="136">
        <v>0</v>
      </c>
      <c r="F831" s="137">
        <f>F832</f>
        <v>205.6704</v>
      </c>
      <c r="G831" s="96"/>
      <c r="H831" s="91"/>
    </row>
    <row r="832" spans="1:8" ht="31.5" x14ac:dyDescent="0.2">
      <c r="A832" s="83" t="s">
        <v>942</v>
      </c>
      <c r="B832" s="84" t="s">
        <v>906</v>
      </c>
      <c r="C832" s="138" t="s">
        <v>130</v>
      </c>
      <c r="D832" s="139">
        <f>1.6+3.52</f>
        <v>5.12</v>
      </c>
      <c r="E832" s="139">
        <v>40.17</v>
      </c>
      <c r="F832" s="140">
        <f>E832*D832</f>
        <v>205.6704</v>
      </c>
      <c r="G832" s="97" t="s">
        <v>990</v>
      </c>
      <c r="H832" s="92"/>
    </row>
    <row r="833" spans="1:8" x14ac:dyDescent="0.2">
      <c r="A833" s="81" t="s">
        <v>2165</v>
      </c>
      <c r="B833" s="82" t="s">
        <v>928</v>
      </c>
      <c r="C833" s="135" t="s">
        <v>1759</v>
      </c>
      <c r="D833" s="136"/>
      <c r="E833" s="136">
        <v>0</v>
      </c>
      <c r="F833" s="137">
        <f>F834</f>
        <v>7772.237005</v>
      </c>
      <c r="G833" s="96"/>
      <c r="H833" s="91"/>
    </row>
    <row r="834" spans="1:8" ht="31.5" x14ac:dyDescent="0.2">
      <c r="A834" s="83" t="s">
        <v>2166</v>
      </c>
      <c r="B834" s="84" t="s">
        <v>929</v>
      </c>
      <c r="C834" s="138" t="s">
        <v>130</v>
      </c>
      <c r="D834" s="139">
        <f>D828</f>
        <v>194.09</v>
      </c>
      <c r="E834" s="139">
        <v>40.044499999999999</v>
      </c>
      <c r="F834" s="140">
        <f>E834*D834</f>
        <v>7772.237005</v>
      </c>
      <c r="G834" s="97" t="s">
        <v>986</v>
      </c>
      <c r="H834" s="92"/>
    </row>
    <row r="835" spans="1:8" x14ac:dyDescent="0.2">
      <c r="A835" s="81" t="s">
        <v>943</v>
      </c>
      <c r="B835" s="82" t="s">
        <v>896</v>
      </c>
      <c r="C835" s="135" t="s">
        <v>1759</v>
      </c>
      <c r="D835" s="136"/>
      <c r="E835" s="136">
        <v>0</v>
      </c>
      <c r="F835" s="137">
        <f>F836</f>
        <v>94.88951999999999</v>
      </c>
      <c r="G835" s="96"/>
      <c r="H835" s="91"/>
    </row>
    <row r="836" spans="1:8" ht="31.5" x14ac:dyDescent="0.2">
      <c r="A836" s="83" t="s">
        <v>944</v>
      </c>
      <c r="B836" s="84" t="s">
        <v>897</v>
      </c>
      <c r="C836" s="138" t="s">
        <v>109</v>
      </c>
      <c r="D836" s="139">
        <v>12</v>
      </c>
      <c r="E836" s="139">
        <v>7.9074599999999995</v>
      </c>
      <c r="F836" s="140">
        <f>E836*D836</f>
        <v>94.88951999999999</v>
      </c>
      <c r="G836" s="97" t="s">
        <v>989</v>
      </c>
      <c r="H836" s="92"/>
    </row>
    <row r="837" spans="1:8" x14ac:dyDescent="0.2">
      <c r="A837" s="81" t="s">
        <v>945</v>
      </c>
      <c r="B837" s="82" t="s">
        <v>295</v>
      </c>
      <c r="C837" s="135" t="s">
        <v>1759</v>
      </c>
      <c r="D837" s="136"/>
      <c r="E837" s="136">
        <v>0</v>
      </c>
      <c r="F837" s="137">
        <f>SUM(F838:F843)</f>
        <v>33075.01</v>
      </c>
      <c r="G837" s="96"/>
      <c r="H837" s="91"/>
    </row>
    <row r="838" spans="1:8" x14ac:dyDescent="0.2">
      <c r="A838" s="83" t="s">
        <v>946</v>
      </c>
      <c r="B838" s="84" t="s">
        <v>931</v>
      </c>
      <c r="C838" s="138" t="s">
        <v>130</v>
      </c>
      <c r="D838" s="139">
        <f>D826</f>
        <v>401.66999999999996</v>
      </c>
      <c r="E838" s="139">
        <v>20</v>
      </c>
      <c r="F838" s="140">
        <f t="shared" ref="F838:F843" si="30">E838*D838</f>
        <v>8033.4</v>
      </c>
      <c r="G838" s="97"/>
      <c r="H838" s="92"/>
    </row>
    <row r="839" spans="1:8" ht="31.5" x14ac:dyDescent="0.2">
      <c r="A839" s="83" t="s">
        <v>2167</v>
      </c>
      <c r="B839" s="84" t="s">
        <v>932</v>
      </c>
      <c r="C839" s="138" t="s">
        <v>130</v>
      </c>
      <c r="D839" s="139">
        <f>D828</f>
        <v>194.09</v>
      </c>
      <c r="E839" s="139">
        <v>48</v>
      </c>
      <c r="F839" s="140">
        <f t="shared" si="30"/>
        <v>9316.32</v>
      </c>
      <c r="G839" s="97"/>
      <c r="H839" s="92"/>
    </row>
    <row r="840" spans="1:8" ht="31.5" x14ac:dyDescent="0.2">
      <c r="A840" s="83" t="s">
        <v>947</v>
      </c>
      <c r="B840" s="84" t="s">
        <v>901</v>
      </c>
      <c r="C840" s="138" t="s">
        <v>130</v>
      </c>
      <c r="D840" s="139">
        <f>D830</f>
        <v>207.57999999999998</v>
      </c>
      <c r="E840" s="139">
        <v>30</v>
      </c>
      <c r="F840" s="140">
        <f t="shared" si="30"/>
        <v>6227.4</v>
      </c>
      <c r="G840" s="97"/>
      <c r="H840" s="92"/>
    </row>
    <row r="841" spans="1:8" ht="31.5" x14ac:dyDescent="0.2">
      <c r="A841" s="83" t="s">
        <v>948</v>
      </c>
      <c r="B841" s="84" t="s">
        <v>987</v>
      </c>
      <c r="C841" s="138" t="s">
        <v>130</v>
      </c>
      <c r="D841" s="139">
        <f>D832</f>
        <v>5.12</v>
      </c>
      <c r="E841" s="139">
        <v>32</v>
      </c>
      <c r="F841" s="140">
        <f t="shared" si="30"/>
        <v>163.84</v>
      </c>
      <c r="G841" s="97"/>
      <c r="H841" s="92"/>
    </row>
    <row r="842" spans="1:8" ht="31.5" x14ac:dyDescent="0.2">
      <c r="A842" s="83" t="s">
        <v>949</v>
      </c>
      <c r="B842" s="84" t="s">
        <v>902</v>
      </c>
      <c r="C842" s="138" t="s">
        <v>109</v>
      </c>
      <c r="D842" s="139">
        <v>12</v>
      </c>
      <c r="E842" s="139">
        <v>50</v>
      </c>
      <c r="F842" s="140">
        <f t="shared" si="30"/>
        <v>600</v>
      </c>
      <c r="G842" s="97"/>
      <c r="H842" s="92"/>
    </row>
    <row r="843" spans="1:8" ht="31.5" x14ac:dyDescent="0.2">
      <c r="A843" s="83" t="s">
        <v>2168</v>
      </c>
      <c r="B843" s="84" t="s">
        <v>935</v>
      </c>
      <c r="C843" s="138" t="s">
        <v>130</v>
      </c>
      <c r="D843" s="139">
        <f>D834</f>
        <v>194.09</v>
      </c>
      <c r="E843" s="139">
        <v>45</v>
      </c>
      <c r="F843" s="140">
        <f t="shared" si="30"/>
        <v>8734.0499999999993</v>
      </c>
      <c r="G843" s="97"/>
      <c r="H843" s="92"/>
    </row>
    <row r="844" spans="1:8" x14ac:dyDescent="0.2">
      <c r="A844" s="79" t="s">
        <v>950</v>
      </c>
      <c r="B844" s="80" t="s">
        <v>1863</v>
      </c>
      <c r="C844" s="132" t="s">
        <v>1759</v>
      </c>
      <c r="D844" s="133"/>
      <c r="E844" s="133">
        <v>0</v>
      </c>
      <c r="F844" s="134">
        <f>F845+F847+F849+F851+F853</f>
        <v>265875.43788000004</v>
      </c>
      <c r="G844" s="95"/>
      <c r="H844" s="90"/>
    </row>
    <row r="845" spans="1:8" x14ac:dyDescent="0.2">
      <c r="A845" s="81" t="s">
        <v>951</v>
      </c>
      <c r="B845" s="82" t="s">
        <v>921</v>
      </c>
      <c r="C845" s="135" t="s">
        <v>1759</v>
      </c>
      <c r="D845" s="136"/>
      <c r="E845" s="136">
        <v>0</v>
      </c>
      <c r="F845" s="137">
        <f>F846</f>
        <v>19272.972679999999</v>
      </c>
      <c r="G845" s="96"/>
      <c r="H845" s="91"/>
    </row>
    <row r="846" spans="1:8" x14ac:dyDescent="0.2">
      <c r="A846" s="83" t="s">
        <v>952</v>
      </c>
      <c r="B846" s="84" t="s">
        <v>921</v>
      </c>
      <c r="C846" s="138" t="s">
        <v>130</v>
      </c>
      <c r="D846" s="139">
        <f>D848</f>
        <v>2698.54</v>
      </c>
      <c r="E846" s="139">
        <v>7.1420000000000003</v>
      </c>
      <c r="F846" s="140">
        <f>E846*D846</f>
        <v>19272.972679999999</v>
      </c>
      <c r="G846" s="97" t="s">
        <v>1001</v>
      </c>
      <c r="H846" s="92"/>
    </row>
    <row r="847" spans="1:8" x14ac:dyDescent="0.2">
      <c r="A847" s="81" t="s">
        <v>953</v>
      </c>
      <c r="B847" s="82" t="s">
        <v>893</v>
      </c>
      <c r="C847" s="135" t="s">
        <v>1759</v>
      </c>
      <c r="D847" s="136"/>
      <c r="E847" s="136">
        <v>0</v>
      </c>
      <c r="F847" s="137">
        <f>F848</f>
        <v>97838.266239999997</v>
      </c>
      <c r="G847" s="96"/>
      <c r="H847" s="91"/>
    </row>
    <row r="848" spans="1:8" x14ac:dyDescent="0.2">
      <c r="A848" s="83" t="s">
        <v>954</v>
      </c>
      <c r="B848" s="84" t="s">
        <v>895</v>
      </c>
      <c r="C848" s="138" t="s">
        <v>130</v>
      </c>
      <c r="D848" s="139">
        <f>(5.32+61.22+34.13+2.48+27.41+11.64+28.34+37.04)*13</f>
        <v>2698.54</v>
      </c>
      <c r="E848" s="139">
        <v>36.256</v>
      </c>
      <c r="F848" s="140">
        <f>E848*D848</f>
        <v>97838.266239999997</v>
      </c>
      <c r="G848" s="97" t="s">
        <v>988</v>
      </c>
      <c r="H848" s="92"/>
    </row>
    <row r="849" spans="1:8" x14ac:dyDescent="0.2">
      <c r="A849" s="81" t="s">
        <v>955</v>
      </c>
      <c r="B849" s="82" t="s">
        <v>889</v>
      </c>
      <c r="C849" s="135" t="s">
        <v>1759</v>
      </c>
      <c r="D849" s="136"/>
      <c r="E849" s="136">
        <v>0</v>
      </c>
      <c r="F849" s="137">
        <f>F850</f>
        <v>2673.7152000000001</v>
      </c>
      <c r="G849" s="96"/>
      <c r="H849" s="91"/>
    </row>
    <row r="850" spans="1:8" ht="31.5" x14ac:dyDescent="0.2">
      <c r="A850" s="83" t="s">
        <v>956</v>
      </c>
      <c r="B850" s="84" t="s">
        <v>906</v>
      </c>
      <c r="C850" s="138" t="s">
        <v>130</v>
      </c>
      <c r="D850" s="139">
        <f>(1.6+3.52)*13</f>
        <v>66.56</v>
      </c>
      <c r="E850" s="139">
        <v>40.17</v>
      </c>
      <c r="F850" s="140">
        <f>E850*D850</f>
        <v>2673.7152000000001</v>
      </c>
      <c r="G850" s="97" t="s">
        <v>990</v>
      </c>
      <c r="H850" s="92"/>
    </row>
    <row r="851" spans="1:8" x14ac:dyDescent="0.2">
      <c r="A851" s="81" t="s">
        <v>957</v>
      </c>
      <c r="B851" s="82" t="s">
        <v>896</v>
      </c>
      <c r="C851" s="135" t="s">
        <v>1759</v>
      </c>
      <c r="D851" s="136"/>
      <c r="E851" s="136">
        <v>0</v>
      </c>
      <c r="F851" s="137">
        <f>F852</f>
        <v>1233.56376</v>
      </c>
      <c r="G851" s="96"/>
      <c r="H851" s="91"/>
    </row>
    <row r="852" spans="1:8" ht="31.5" x14ac:dyDescent="0.2">
      <c r="A852" s="83" t="s">
        <v>958</v>
      </c>
      <c r="B852" s="84" t="s">
        <v>897</v>
      </c>
      <c r="C852" s="138" t="s">
        <v>109</v>
      </c>
      <c r="D852" s="139">
        <v>156</v>
      </c>
      <c r="E852" s="139">
        <v>7.9074599999999995</v>
      </c>
      <c r="F852" s="140">
        <f>E852*D852</f>
        <v>1233.56376</v>
      </c>
      <c r="G852" s="97" t="s">
        <v>989</v>
      </c>
      <c r="H852" s="92"/>
    </row>
    <row r="853" spans="1:8" x14ac:dyDescent="0.2">
      <c r="A853" s="81" t="s">
        <v>959</v>
      </c>
      <c r="B853" s="82" t="s">
        <v>295</v>
      </c>
      <c r="C853" s="135" t="s">
        <v>1759</v>
      </c>
      <c r="D853" s="136"/>
      <c r="E853" s="136">
        <v>0</v>
      </c>
      <c r="F853" s="137">
        <f>SUM(F854:F857)</f>
        <v>144856.92000000001</v>
      </c>
      <c r="G853" s="96"/>
      <c r="H853" s="91"/>
    </row>
    <row r="854" spans="1:8" x14ac:dyDescent="0.2">
      <c r="A854" s="83" t="s">
        <v>960</v>
      </c>
      <c r="B854" s="84" t="s">
        <v>931</v>
      </c>
      <c r="C854" s="138" t="s">
        <v>130</v>
      </c>
      <c r="D854" s="139">
        <f>D846</f>
        <v>2698.54</v>
      </c>
      <c r="E854" s="139">
        <v>20</v>
      </c>
      <c r="F854" s="140">
        <f>E854*D854</f>
        <v>53970.8</v>
      </c>
      <c r="G854" s="97"/>
      <c r="H854" s="92"/>
    </row>
    <row r="855" spans="1:8" ht="31.5" x14ac:dyDescent="0.2">
      <c r="A855" s="83" t="s">
        <v>961</v>
      </c>
      <c r="B855" s="84" t="s">
        <v>901</v>
      </c>
      <c r="C855" s="138" t="s">
        <v>130</v>
      </c>
      <c r="D855" s="139">
        <f>D848</f>
        <v>2698.54</v>
      </c>
      <c r="E855" s="139">
        <v>30</v>
      </c>
      <c r="F855" s="140">
        <f>E855*D855</f>
        <v>80956.2</v>
      </c>
      <c r="G855" s="97"/>
      <c r="H855" s="92"/>
    </row>
    <row r="856" spans="1:8" ht="31.5" x14ac:dyDescent="0.2">
      <c r="A856" s="83" t="s">
        <v>962</v>
      </c>
      <c r="B856" s="84" t="s">
        <v>987</v>
      </c>
      <c r="C856" s="138" t="s">
        <v>130</v>
      </c>
      <c r="D856" s="139">
        <f>D850</f>
        <v>66.56</v>
      </c>
      <c r="E856" s="139">
        <v>32</v>
      </c>
      <c r="F856" s="140">
        <f>E856*D856</f>
        <v>2129.92</v>
      </c>
      <c r="G856" s="97"/>
      <c r="H856" s="92"/>
    </row>
    <row r="857" spans="1:8" ht="31.5" x14ac:dyDescent="0.2">
      <c r="A857" s="83" t="s">
        <v>963</v>
      </c>
      <c r="B857" s="84" t="s">
        <v>902</v>
      </c>
      <c r="C857" s="138" t="s">
        <v>109</v>
      </c>
      <c r="D857" s="139">
        <f>D852</f>
        <v>156</v>
      </c>
      <c r="E857" s="139">
        <v>50</v>
      </c>
      <c r="F857" s="140">
        <f>E857*D857</f>
        <v>7800</v>
      </c>
      <c r="G857" s="97"/>
      <c r="H857" s="92"/>
    </row>
    <row r="858" spans="1:8" x14ac:dyDescent="0.2">
      <c r="A858" s="79" t="s">
        <v>964</v>
      </c>
      <c r="B858" s="80" t="s">
        <v>1864</v>
      </c>
      <c r="C858" s="132" t="s">
        <v>1759</v>
      </c>
      <c r="D858" s="133"/>
      <c r="E858" s="133">
        <v>0</v>
      </c>
      <c r="F858" s="134">
        <f>F859+F861+F863+F865+F867+F869+F871</f>
        <v>39403.666840000005</v>
      </c>
      <c r="G858" s="95"/>
      <c r="H858" s="90"/>
    </row>
    <row r="859" spans="1:8" x14ac:dyDescent="0.2">
      <c r="A859" s="81" t="s">
        <v>965</v>
      </c>
      <c r="B859" s="82" t="s">
        <v>921</v>
      </c>
      <c r="C859" s="135" t="s">
        <v>1759</v>
      </c>
      <c r="D859" s="136"/>
      <c r="E859" s="136">
        <v>0</v>
      </c>
      <c r="F859" s="137">
        <f>F860</f>
        <v>1684.0835999999999</v>
      </c>
      <c r="G859" s="96"/>
      <c r="H859" s="91"/>
    </row>
    <row r="860" spans="1:8" x14ac:dyDescent="0.2">
      <c r="A860" s="83" t="s">
        <v>966</v>
      </c>
      <c r="B860" s="84" t="s">
        <v>921</v>
      </c>
      <c r="C860" s="138" t="s">
        <v>130</v>
      </c>
      <c r="D860" s="139">
        <f>D862+D864</f>
        <v>235.79999999999998</v>
      </c>
      <c r="E860" s="139">
        <v>7.1420000000000003</v>
      </c>
      <c r="F860" s="140">
        <f>E860*D860</f>
        <v>1684.0835999999999</v>
      </c>
      <c r="G860" s="97" t="s">
        <v>1001</v>
      </c>
      <c r="H860" s="92"/>
    </row>
    <row r="861" spans="1:8" x14ac:dyDescent="0.2">
      <c r="A861" s="81" t="s">
        <v>967</v>
      </c>
      <c r="B861" s="82" t="s">
        <v>922</v>
      </c>
      <c r="C861" s="135" t="s">
        <v>1759</v>
      </c>
      <c r="D861" s="136"/>
      <c r="E861" s="136">
        <v>0</v>
      </c>
      <c r="F861" s="137">
        <f>F862</f>
        <v>7151.0705550000002</v>
      </c>
      <c r="G861" s="96"/>
      <c r="H861" s="91"/>
    </row>
    <row r="862" spans="1:8" ht="31.5" x14ac:dyDescent="0.2">
      <c r="A862" s="83" t="s">
        <v>968</v>
      </c>
      <c r="B862" s="84" t="s">
        <v>923</v>
      </c>
      <c r="C862" s="138" t="s">
        <v>130</v>
      </c>
      <c r="D862" s="139">
        <f>27.91+8.74+4.45+7.22+29.45+65.96</f>
        <v>143.72999999999999</v>
      </c>
      <c r="E862" s="139">
        <v>49.753500000000003</v>
      </c>
      <c r="F862" s="140">
        <f>E862*D862</f>
        <v>7151.0705550000002</v>
      </c>
      <c r="G862" s="97" t="s">
        <v>1860</v>
      </c>
      <c r="H862" s="92"/>
    </row>
    <row r="863" spans="1:8" x14ac:dyDescent="0.2">
      <c r="A863" s="81" t="s">
        <v>2169</v>
      </c>
      <c r="B863" s="82" t="s">
        <v>893</v>
      </c>
      <c r="C863" s="135" t="s">
        <v>1759</v>
      </c>
      <c r="D863" s="136"/>
      <c r="E863" s="136">
        <v>0</v>
      </c>
      <c r="F863" s="137">
        <f>F864</f>
        <v>3338.0899199999999</v>
      </c>
      <c r="G863" s="96"/>
      <c r="H863" s="91"/>
    </row>
    <row r="864" spans="1:8" x14ac:dyDescent="0.2">
      <c r="A864" s="83" t="s">
        <v>2170</v>
      </c>
      <c r="B864" s="84" t="s">
        <v>895</v>
      </c>
      <c r="C864" s="138" t="s">
        <v>130</v>
      </c>
      <c r="D864" s="139">
        <f>5.04+8.01+13.82+3.83+9.02+1.61+11.21+35.03+4.5</f>
        <v>92.07</v>
      </c>
      <c r="E864" s="139">
        <v>36.256</v>
      </c>
      <c r="F864" s="140">
        <f>E864*D864</f>
        <v>3338.0899199999999</v>
      </c>
      <c r="G864" s="97" t="s">
        <v>988</v>
      </c>
      <c r="H864" s="92"/>
    </row>
    <row r="865" spans="1:8" x14ac:dyDescent="0.2">
      <c r="A865" s="81" t="s">
        <v>969</v>
      </c>
      <c r="B865" s="82" t="s">
        <v>889</v>
      </c>
      <c r="C865" s="135" t="s">
        <v>1759</v>
      </c>
      <c r="D865" s="136"/>
      <c r="E865" s="136">
        <v>0</v>
      </c>
      <c r="F865" s="137">
        <f>F866</f>
        <v>253.87440000000001</v>
      </c>
      <c r="G865" s="96"/>
      <c r="H865" s="91"/>
    </row>
    <row r="866" spans="1:8" x14ac:dyDescent="0.2">
      <c r="A866" s="83" t="s">
        <v>970</v>
      </c>
      <c r="B866" s="84" t="s">
        <v>906</v>
      </c>
      <c r="C866" s="138" t="s">
        <v>130</v>
      </c>
      <c r="D866" s="139">
        <f>1.62+4.7</f>
        <v>6.32</v>
      </c>
      <c r="E866" s="139">
        <v>40.17</v>
      </c>
      <c r="F866" s="140">
        <f>E866*D866</f>
        <v>253.87440000000001</v>
      </c>
      <c r="G866" s="97" t="s">
        <v>990</v>
      </c>
      <c r="H866" s="92"/>
    </row>
    <row r="867" spans="1:8" x14ac:dyDescent="0.2">
      <c r="A867" s="81" t="s">
        <v>2171</v>
      </c>
      <c r="B867" s="82" t="s">
        <v>896</v>
      </c>
      <c r="C867" s="135" t="s">
        <v>1759</v>
      </c>
      <c r="D867" s="136"/>
      <c r="E867" s="136">
        <v>0</v>
      </c>
      <c r="F867" s="137">
        <f>F868</f>
        <v>23.722379999999998</v>
      </c>
      <c r="G867" s="96"/>
      <c r="H867" s="91"/>
    </row>
    <row r="868" spans="1:8" x14ac:dyDescent="0.2">
      <c r="A868" s="83" t="s">
        <v>2172</v>
      </c>
      <c r="B868" s="84" t="s">
        <v>897</v>
      </c>
      <c r="C868" s="138" t="s">
        <v>109</v>
      </c>
      <c r="D868" s="139">
        <v>3</v>
      </c>
      <c r="E868" s="139">
        <v>7.9074599999999995</v>
      </c>
      <c r="F868" s="140">
        <f>E868*D868</f>
        <v>23.722379999999998</v>
      </c>
      <c r="G868" s="97" t="s">
        <v>986</v>
      </c>
      <c r="H868" s="92"/>
    </row>
    <row r="869" spans="1:8" x14ac:dyDescent="0.2">
      <c r="A869" s="81" t="s">
        <v>971</v>
      </c>
      <c r="B869" s="82" t="s">
        <v>928</v>
      </c>
      <c r="C869" s="135" t="s">
        <v>1759</v>
      </c>
      <c r="D869" s="136"/>
      <c r="E869" s="136">
        <v>0</v>
      </c>
      <c r="F869" s="137">
        <f>F870</f>
        <v>5755.5959849999999</v>
      </c>
      <c r="G869" s="96"/>
      <c r="H869" s="91"/>
    </row>
    <row r="870" spans="1:8" ht="31.5" x14ac:dyDescent="0.2">
      <c r="A870" s="83" t="s">
        <v>972</v>
      </c>
      <c r="B870" s="84" t="s">
        <v>929</v>
      </c>
      <c r="C870" s="138" t="s">
        <v>130</v>
      </c>
      <c r="D870" s="139">
        <f>D862</f>
        <v>143.72999999999999</v>
      </c>
      <c r="E870" s="139">
        <v>40.044499999999999</v>
      </c>
      <c r="F870" s="140">
        <f>E870*D870</f>
        <v>5755.5959849999999</v>
      </c>
      <c r="G870" s="97" t="s">
        <v>989</v>
      </c>
      <c r="H870" s="92"/>
    </row>
    <row r="871" spans="1:8" x14ac:dyDescent="0.2">
      <c r="A871" s="81" t="s">
        <v>2173</v>
      </c>
      <c r="B871" s="82" t="s">
        <v>295</v>
      </c>
      <c r="C871" s="135" t="s">
        <v>1759</v>
      </c>
      <c r="D871" s="136"/>
      <c r="E871" s="136">
        <v>0</v>
      </c>
      <c r="F871" s="137">
        <f>SUM(F872:F877)</f>
        <v>21197.23</v>
      </c>
      <c r="G871" s="96"/>
      <c r="H871" s="91"/>
    </row>
    <row r="872" spans="1:8" x14ac:dyDescent="0.2">
      <c r="A872" s="83" t="s">
        <v>2174</v>
      </c>
      <c r="B872" s="84" t="s">
        <v>931</v>
      </c>
      <c r="C872" s="138" t="s">
        <v>130</v>
      </c>
      <c r="D872" s="139">
        <f>D860</f>
        <v>235.79999999999998</v>
      </c>
      <c r="E872" s="139">
        <v>20</v>
      </c>
      <c r="F872" s="140">
        <f t="shared" ref="F872:F877" si="31">E872*D872</f>
        <v>4716</v>
      </c>
      <c r="G872" s="97"/>
      <c r="H872" s="92"/>
    </row>
    <row r="873" spans="1:8" ht="31.5" x14ac:dyDescent="0.2">
      <c r="A873" s="83" t="s">
        <v>2175</v>
      </c>
      <c r="B873" s="84" t="s">
        <v>932</v>
      </c>
      <c r="C873" s="138" t="s">
        <v>130</v>
      </c>
      <c r="D873" s="139">
        <f>D862</f>
        <v>143.72999999999999</v>
      </c>
      <c r="E873" s="139">
        <v>48</v>
      </c>
      <c r="F873" s="140">
        <f t="shared" si="31"/>
        <v>6899.0399999999991</v>
      </c>
      <c r="G873" s="97"/>
      <c r="H873" s="92"/>
    </row>
    <row r="874" spans="1:8" ht="31.5" x14ac:dyDescent="0.2">
      <c r="A874" s="83" t="s">
        <v>2176</v>
      </c>
      <c r="B874" s="84" t="s">
        <v>902</v>
      </c>
      <c r="C874" s="138" t="s">
        <v>109</v>
      </c>
      <c r="D874" s="139">
        <v>3</v>
      </c>
      <c r="E874" s="139">
        <v>50</v>
      </c>
      <c r="F874" s="140">
        <f t="shared" si="31"/>
        <v>150</v>
      </c>
      <c r="G874" s="97"/>
      <c r="H874" s="92"/>
    </row>
    <row r="875" spans="1:8" ht="31.5" x14ac:dyDescent="0.2">
      <c r="A875" s="83" t="s">
        <v>2177</v>
      </c>
      <c r="B875" s="84" t="s">
        <v>935</v>
      </c>
      <c r="C875" s="138" t="s">
        <v>130</v>
      </c>
      <c r="D875" s="139">
        <f>D870</f>
        <v>143.72999999999999</v>
      </c>
      <c r="E875" s="139">
        <v>45</v>
      </c>
      <c r="F875" s="140">
        <f t="shared" si="31"/>
        <v>6467.8499999999995</v>
      </c>
      <c r="G875" s="97"/>
      <c r="H875" s="92"/>
    </row>
    <row r="876" spans="1:8" ht="31.5" x14ac:dyDescent="0.2">
      <c r="A876" s="83" t="s">
        <v>2178</v>
      </c>
      <c r="B876" s="84" t="s">
        <v>901</v>
      </c>
      <c r="C876" s="138" t="s">
        <v>130</v>
      </c>
      <c r="D876" s="139">
        <f>D864</f>
        <v>92.07</v>
      </c>
      <c r="E876" s="139">
        <v>30</v>
      </c>
      <c r="F876" s="140">
        <f t="shared" si="31"/>
        <v>2762.1</v>
      </c>
      <c r="G876" s="97"/>
      <c r="H876" s="92"/>
    </row>
    <row r="877" spans="1:8" ht="31.5" x14ac:dyDescent="0.2">
      <c r="A877" s="83" t="s">
        <v>2179</v>
      </c>
      <c r="B877" s="84" t="s">
        <v>987</v>
      </c>
      <c r="C877" s="138" t="s">
        <v>130</v>
      </c>
      <c r="D877" s="139">
        <f>D866</f>
        <v>6.32</v>
      </c>
      <c r="E877" s="139">
        <v>32</v>
      </c>
      <c r="F877" s="140">
        <f t="shared" si="31"/>
        <v>202.24</v>
      </c>
      <c r="G877" s="97"/>
      <c r="H877" s="92"/>
    </row>
    <row r="878" spans="1:8" x14ac:dyDescent="0.2">
      <c r="A878" s="79" t="s">
        <v>973</v>
      </c>
      <c r="B878" s="80" t="s">
        <v>2180</v>
      </c>
      <c r="C878" s="132" t="s">
        <v>1759</v>
      </c>
      <c r="D878" s="133"/>
      <c r="E878" s="133">
        <v>0</v>
      </c>
      <c r="F878" s="134">
        <f>F879+F881+F883+F885+F887</f>
        <v>73066.0095</v>
      </c>
      <c r="G878" s="95"/>
      <c r="H878" s="90"/>
    </row>
    <row r="879" spans="1:8" x14ac:dyDescent="0.2">
      <c r="A879" s="81" t="s">
        <v>975</v>
      </c>
      <c r="B879" s="82" t="s">
        <v>921</v>
      </c>
      <c r="C879" s="135" t="s">
        <v>1759</v>
      </c>
      <c r="D879" s="136"/>
      <c r="E879" s="136">
        <v>0</v>
      </c>
      <c r="F879" s="137">
        <f>F880</f>
        <v>2484.9874800000002</v>
      </c>
      <c r="G879" s="96"/>
      <c r="H879" s="91"/>
    </row>
    <row r="880" spans="1:8" x14ac:dyDescent="0.2">
      <c r="A880" s="83" t="s">
        <v>976</v>
      </c>
      <c r="B880" s="84" t="s">
        <v>921</v>
      </c>
      <c r="C880" s="138" t="s">
        <v>130</v>
      </c>
      <c r="D880" s="139">
        <f>D882</f>
        <v>347.94</v>
      </c>
      <c r="E880" s="139">
        <v>7.1420000000000003</v>
      </c>
      <c r="F880" s="140">
        <f>E880*D880</f>
        <v>2484.9874800000002</v>
      </c>
      <c r="G880" s="97" t="s">
        <v>1001</v>
      </c>
      <c r="H880" s="92"/>
    </row>
    <row r="881" spans="1:8" x14ac:dyDescent="0.2">
      <c r="A881" s="81" t="s">
        <v>977</v>
      </c>
      <c r="B881" s="82" t="s">
        <v>922</v>
      </c>
      <c r="C881" s="135" t="s">
        <v>1759</v>
      </c>
      <c r="D881" s="136"/>
      <c r="E881" s="136">
        <v>0</v>
      </c>
      <c r="F881" s="137">
        <f>F882</f>
        <v>17311.232790000002</v>
      </c>
      <c r="G881" s="96"/>
      <c r="H881" s="91"/>
    </row>
    <row r="882" spans="1:8" ht="31.5" x14ac:dyDescent="0.2">
      <c r="A882" s="83" t="s">
        <v>978</v>
      </c>
      <c r="B882" s="84" t="s">
        <v>923</v>
      </c>
      <c r="C882" s="138" t="s">
        <v>130</v>
      </c>
      <c r="D882" s="139">
        <v>347.94</v>
      </c>
      <c r="E882" s="139">
        <v>49.753500000000003</v>
      </c>
      <c r="F882" s="140">
        <f>E882*D882</f>
        <v>17311.232790000002</v>
      </c>
      <c r="G882" s="97" t="s">
        <v>1860</v>
      </c>
      <c r="H882" s="92"/>
    </row>
    <row r="883" spans="1:8" x14ac:dyDescent="0.2">
      <c r="A883" s="81" t="s">
        <v>2181</v>
      </c>
      <c r="B883" s="82" t="s">
        <v>889</v>
      </c>
      <c r="C883" s="135" t="s">
        <v>1759</v>
      </c>
      <c r="D883" s="136"/>
      <c r="E883" s="136">
        <v>0</v>
      </c>
      <c r="F883" s="137">
        <f>F884</f>
        <v>10.8459</v>
      </c>
      <c r="G883" s="96"/>
      <c r="H883" s="91"/>
    </row>
    <row r="884" spans="1:8" x14ac:dyDescent="0.2">
      <c r="A884" s="83" t="s">
        <v>2182</v>
      </c>
      <c r="B884" s="84" t="s">
        <v>906</v>
      </c>
      <c r="C884" s="138" t="s">
        <v>130</v>
      </c>
      <c r="D884" s="139">
        <f>0.09+0.18</f>
        <v>0.27</v>
      </c>
      <c r="E884" s="139">
        <v>40.17</v>
      </c>
      <c r="F884" s="140">
        <f>E884*D884</f>
        <v>10.8459</v>
      </c>
      <c r="G884" s="97" t="s">
        <v>990</v>
      </c>
      <c r="H884" s="92"/>
    </row>
    <row r="885" spans="1:8" x14ac:dyDescent="0.2">
      <c r="A885" s="81" t="s">
        <v>979</v>
      </c>
      <c r="B885" s="82" t="s">
        <v>928</v>
      </c>
      <c r="C885" s="135" t="s">
        <v>1759</v>
      </c>
      <c r="D885" s="136"/>
      <c r="E885" s="136">
        <v>0</v>
      </c>
      <c r="F885" s="137">
        <f>F886</f>
        <v>13933.083329999999</v>
      </c>
      <c r="G885" s="96"/>
      <c r="H885" s="91"/>
    </row>
    <row r="886" spans="1:8" ht="31.5" x14ac:dyDescent="0.2">
      <c r="A886" s="83" t="s">
        <v>980</v>
      </c>
      <c r="B886" s="84" t="s">
        <v>929</v>
      </c>
      <c r="C886" s="138" t="s">
        <v>130</v>
      </c>
      <c r="D886" s="139">
        <f>D882</f>
        <v>347.94</v>
      </c>
      <c r="E886" s="139">
        <v>40.044499999999999</v>
      </c>
      <c r="F886" s="140">
        <f>E886*D886</f>
        <v>13933.083329999999</v>
      </c>
      <c r="G886" s="97" t="s">
        <v>989</v>
      </c>
      <c r="H886" s="92"/>
    </row>
    <row r="887" spans="1:8" x14ac:dyDescent="0.2">
      <c r="A887" s="81" t="s">
        <v>981</v>
      </c>
      <c r="B887" s="82" t="s">
        <v>295</v>
      </c>
      <c r="C887" s="135" t="s">
        <v>1759</v>
      </c>
      <c r="D887" s="136"/>
      <c r="E887" s="136">
        <v>0</v>
      </c>
      <c r="F887" s="137">
        <f>SUM(F888:F891)</f>
        <v>39325.86</v>
      </c>
      <c r="G887" s="96"/>
      <c r="H887" s="91"/>
    </row>
    <row r="888" spans="1:8" ht="31.5" x14ac:dyDescent="0.2">
      <c r="A888" s="83" t="s">
        <v>982</v>
      </c>
      <c r="B888" s="84" t="s">
        <v>931</v>
      </c>
      <c r="C888" s="138" t="s">
        <v>130</v>
      </c>
      <c r="D888" s="139">
        <f>D880</f>
        <v>347.94</v>
      </c>
      <c r="E888" s="139">
        <v>20</v>
      </c>
      <c r="F888" s="140">
        <f>E888*D888</f>
        <v>6958.8</v>
      </c>
      <c r="G888" s="97"/>
      <c r="H888" s="92"/>
    </row>
    <row r="889" spans="1:8" ht="31.5" x14ac:dyDescent="0.2">
      <c r="A889" s="83" t="s">
        <v>983</v>
      </c>
      <c r="B889" s="84" t="s">
        <v>932</v>
      </c>
      <c r="C889" s="138" t="s">
        <v>130</v>
      </c>
      <c r="D889" s="139">
        <f>D882</f>
        <v>347.94</v>
      </c>
      <c r="E889" s="139">
        <v>48</v>
      </c>
      <c r="F889" s="140">
        <f>E889*D889</f>
        <v>16701.12</v>
      </c>
      <c r="G889" s="97"/>
      <c r="H889" s="92"/>
    </row>
    <row r="890" spans="1:8" ht="31.5" x14ac:dyDescent="0.2">
      <c r="A890" s="83" t="s">
        <v>984</v>
      </c>
      <c r="B890" s="84" t="s">
        <v>935</v>
      </c>
      <c r="C890" s="138" t="s">
        <v>130</v>
      </c>
      <c r="D890" s="139">
        <f>D886</f>
        <v>347.94</v>
      </c>
      <c r="E890" s="139">
        <v>45</v>
      </c>
      <c r="F890" s="140">
        <f>E890*D890</f>
        <v>15657.3</v>
      </c>
      <c r="G890" s="97"/>
      <c r="H890" s="92"/>
    </row>
    <row r="891" spans="1:8" ht="31.5" x14ac:dyDescent="0.2">
      <c r="A891" s="83" t="s">
        <v>2183</v>
      </c>
      <c r="B891" s="84" t="s">
        <v>987</v>
      </c>
      <c r="C891" s="138" t="s">
        <v>130</v>
      </c>
      <c r="D891" s="139">
        <f>D884</f>
        <v>0.27</v>
      </c>
      <c r="E891" s="139">
        <v>32</v>
      </c>
      <c r="F891" s="140">
        <f>E891*D891</f>
        <v>8.64</v>
      </c>
      <c r="G891" s="97"/>
      <c r="H891" s="92"/>
    </row>
    <row r="892" spans="1:8" x14ac:dyDescent="0.2">
      <c r="A892" s="79" t="s">
        <v>2184</v>
      </c>
      <c r="B892" s="80" t="s">
        <v>974</v>
      </c>
      <c r="C892" s="132" t="s">
        <v>1759</v>
      </c>
      <c r="D892" s="133"/>
      <c r="E892" s="133">
        <v>0</v>
      </c>
      <c r="F892" s="134">
        <f>F893+F895+F897+F899</f>
        <v>65194.767600000006</v>
      </c>
      <c r="G892" s="95"/>
      <c r="H892" s="90"/>
    </row>
    <row r="893" spans="1:8" x14ac:dyDescent="0.2">
      <c r="A893" s="81" t="s">
        <v>2185</v>
      </c>
      <c r="B893" s="82" t="s">
        <v>921</v>
      </c>
      <c r="C893" s="135" t="s">
        <v>1759</v>
      </c>
      <c r="D893" s="136"/>
      <c r="E893" s="136">
        <v>0</v>
      </c>
      <c r="F893" s="137">
        <f>F894</f>
        <v>2217.8766800000003</v>
      </c>
      <c r="G893" s="96"/>
      <c r="H893" s="91"/>
    </row>
    <row r="894" spans="1:8" x14ac:dyDescent="0.2">
      <c r="A894" s="83" t="s">
        <v>2186</v>
      </c>
      <c r="B894" s="84" t="s">
        <v>921</v>
      </c>
      <c r="C894" s="138" t="s">
        <v>130</v>
      </c>
      <c r="D894" s="139">
        <f>D896</f>
        <v>310.54000000000002</v>
      </c>
      <c r="E894" s="139">
        <v>7.1420000000000003</v>
      </c>
      <c r="F894" s="140">
        <f>E894*D894</f>
        <v>2217.8766800000003</v>
      </c>
      <c r="G894" s="97" t="s">
        <v>1001</v>
      </c>
      <c r="H894" s="92"/>
    </row>
    <row r="895" spans="1:8" x14ac:dyDescent="0.2">
      <c r="A895" s="81" t="s">
        <v>2187</v>
      </c>
      <c r="B895" s="82" t="s">
        <v>922</v>
      </c>
      <c r="C895" s="135" t="s">
        <v>1759</v>
      </c>
      <c r="D895" s="136"/>
      <c r="E895" s="136">
        <v>0</v>
      </c>
      <c r="F895" s="137">
        <f>F896</f>
        <v>15450.451890000002</v>
      </c>
      <c r="G895" s="96"/>
      <c r="H895" s="91"/>
    </row>
    <row r="896" spans="1:8" ht="31.5" x14ac:dyDescent="0.2">
      <c r="A896" s="83" t="s">
        <v>2188</v>
      </c>
      <c r="B896" s="84" t="s">
        <v>923</v>
      </c>
      <c r="C896" s="138" t="s">
        <v>130</v>
      </c>
      <c r="D896" s="139">
        <f>143.89+110.23+56.42</f>
        <v>310.54000000000002</v>
      </c>
      <c r="E896" s="139">
        <v>49.753500000000003</v>
      </c>
      <c r="F896" s="140">
        <f>E896*D896</f>
        <v>15450.451890000002</v>
      </c>
      <c r="G896" s="97" t="s">
        <v>1860</v>
      </c>
      <c r="H896" s="92"/>
    </row>
    <row r="897" spans="1:8" x14ac:dyDescent="0.2">
      <c r="A897" s="81" t="s">
        <v>2189</v>
      </c>
      <c r="B897" s="82" t="s">
        <v>928</v>
      </c>
      <c r="C897" s="135" t="s">
        <v>1759</v>
      </c>
      <c r="D897" s="136"/>
      <c r="E897" s="136">
        <v>0</v>
      </c>
      <c r="F897" s="137">
        <f>F898</f>
        <v>12435.419030000001</v>
      </c>
      <c r="G897" s="96"/>
      <c r="H897" s="91"/>
    </row>
    <row r="898" spans="1:8" ht="31.5" x14ac:dyDescent="0.2">
      <c r="A898" s="83" t="s">
        <v>2190</v>
      </c>
      <c r="B898" s="84" t="s">
        <v>929</v>
      </c>
      <c r="C898" s="138" t="s">
        <v>130</v>
      </c>
      <c r="D898" s="139">
        <f>D896</f>
        <v>310.54000000000002</v>
      </c>
      <c r="E898" s="139">
        <v>40.044499999999999</v>
      </c>
      <c r="F898" s="140">
        <f>E898*D898</f>
        <v>12435.419030000001</v>
      </c>
      <c r="G898" s="97" t="s">
        <v>986</v>
      </c>
      <c r="H898" s="92"/>
    </row>
    <row r="899" spans="1:8" x14ac:dyDescent="0.2">
      <c r="A899" s="81" t="s">
        <v>2191</v>
      </c>
      <c r="B899" s="82" t="s">
        <v>295</v>
      </c>
      <c r="C899" s="135" t="s">
        <v>1759</v>
      </c>
      <c r="D899" s="136"/>
      <c r="E899" s="136">
        <v>0</v>
      </c>
      <c r="F899" s="137">
        <f>SUM(F900:F902)</f>
        <v>35091.020000000004</v>
      </c>
      <c r="G899" s="96"/>
      <c r="H899" s="91"/>
    </row>
    <row r="900" spans="1:8" ht="31.5" x14ac:dyDescent="0.2">
      <c r="A900" s="83" t="s">
        <v>2192</v>
      </c>
      <c r="B900" s="84" t="s">
        <v>931</v>
      </c>
      <c r="C900" s="138" t="s">
        <v>130</v>
      </c>
      <c r="D900" s="139">
        <f>D894</f>
        <v>310.54000000000002</v>
      </c>
      <c r="E900" s="139">
        <v>20</v>
      </c>
      <c r="F900" s="140">
        <f>E900*D900</f>
        <v>6210.8</v>
      </c>
      <c r="G900" s="97"/>
      <c r="H900" s="92"/>
    </row>
    <row r="901" spans="1:8" ht="31.5" x14ac:dyDescent="0.2">
      <c r="A901" s="83" t="s">
        <v>2193</v>
      </c>
      <c r="B901" s="84" t="s">
        <v>932</v>
      </c>
      <c r="C901" s="138" t="s">
        <v>130</v>
      </c>
      <c r="D901" s="139">
        <f>D896</f>
        <v>310.54000000000002</v>
      </c>
      <c r="E901" s="139">
        <v>48</v>
      </c>
      <c r="F901" s="140">
        <f>E901*D901</f>
        <v>14905.920000000002</v>
      </c>
      <c r="G901" s="97"/>
      <c r="H901" s="92"/>
    </row>
    <row r="902" spans="1:8" ht="31.5" x14ac:dyDescent="0.2">
      <c r="A902" s="83" t="s">
        <v>2194</v>
      </c>
      <c r="B902" s="84" t="s">
        <v>935</v>
      </c>
      <c r="C902" s="138" t="s">
        <v>130</v>
      </c>
      <c r="D902" s="139">
        <f>D898</f>
        <v>310.54000000000002</v>
      </c>
      <c r="E902" s="139">
        <v>45</v>
      </c>
      <c r="F902" s="140">
        <f>E902*D902</f>
        <v>13974.300000000001</v>
      </c>
      <c r="G902" s="97"/>
      <c r="H902" s="92"/>
    </row>
    <row r="903" spans="1:8" x14ac:dyDescent="0.2">
      <c r="A903" s="77" t="s">
        <v>991</v>
      </c>
      <c r="B903" s="78" t="s">
        <v>992</v>
      </c>
      <c r="C903" s="129" t="s">
        <v>1759</v>
      </c>
      <c r="D903" s="130">
        <v>0</v>
      </c>
      <c r="E903" s="130">
        <v>0</v>
      </c>
      <c r="F903" s="131">
        <f>F904+F920+F934+F948+F962+F975+F987+F1002+F1015</f>
        <v>1830357.6252172</v>
      </c>
      <c r="G903" s="98"/>
      <c r="H903" s="89"/>
    </row>
    <row r="904" spans="1:8" x14ac:dyDescent="0.2">
      <c r="A904" s="79" t="s">
        <v>993</v>
      </c>
      <c r="B904" s="80" t="s">
        <v>994</v>
      </c>
      <c r="C904" s="132" t="s">
        <v>1759</v>
      </c>
      <c r="D904" s="133">
        <v>0</v>
      </c>
      <c r="E904" s="133">
        <v>0</v>
      </c>
      <c r="F904" s="134">
        <f>F905+F910+F915</f>
        <v>58678.9586308</v>
      </c>
      <c r="G904" s="95"/>
      <c r="H904" s="90"/>
    </row>
    <row r="905" spans="1:8" x14ac:dyDescent="0.2">
      <c r="A905" s="81" t="s">
        <v>995</v>
      </c>
      <c r="B905" s="82" t="s">
        <v>996</v>
      </c>
      <c r="C905" s="135" t="s">
        <v>1759</v>
      </c>
      <c r="D905" s="136">
        <v>0</v>
      </c>
      <c r="E905" s="136">
        <v>0</v>
      </c>
      <c r="F905" s="137">
        <f>SUM(F906:F909)</f>
        <v>1751.1468150000001</v>
      </c>
      <c r="G905" s="96"/>
      <c r="H905" s="91"/>
    </row>
    <row r="906" spans="1:8" x14ac:dyDescent="0.2">
      <c r="A906" s="83" t="s">
        <v>997</v>
      </c>
      <c r="B906" s="84" t="s">
        <v>998</v>
      </c>
      <c r="C906" s="138" t="s">
        <v>130</v>
      </c>
      <c r="D906" s="139">
        <v>21.830000000000002</v>
      </c>
      <c r="E906" s="139">
        <v>23.375</v>
      </c>
      <c r="F906" s="140">
        <f t="shared" ref="F906:F918" si="32">E906*D906</f>
        <v>510.27625000000006</v>
      </c>
      <c r="G906" s="97"/>
      <c r="H906" s="92"/>
    </row>
    <row r="907" spans="1:8" x14ac:dyDescent="0.2">
      <c r="A907" s="83" t="s">
        <v>999</v>
      </c>
      <c r="B907" s="84" t="s">
        <v>1041</v>
      </c>
      <c r="C907" s="138" t="s">
        <v>130</v>
      </c>
      <c r="D907" s="139">
        <v>57.06</v>
      </c>
      <c r="E907" s="139">
        <v>18.7</v>
      </c>
      <c r="F907" s="140">
        <f t="shared" si="32"/>
        <v>1067.0219999999999</v>
      </c>
      <c r="G907" s="97"/>
      <c r="H907" s="92"/>
    </row>
    <row r="908" spans="1:8" x14ac:dyDescent="0.2">
      <c r="A908" s="83" t="s">
        <v>1871</v>
      </c>
      <c r="B908" s="84" t="s">
        <v>1000</v>
      </c>
      <c r="C908" s="138" t="s">
        <v>130</v>
      </c>
      <c r="D908" s="139">
        <v>16.07</v>
      </c>
      <c r="E908" s="139">
        <v>6.9795000000000007</v>
      </c>
      <c r="F908" s="140">
        <f t="shared" si="32"/>
        <v>112.16056500000002</v>
      </c>
      <c r="G908" s="97"/>
      <c r="H908" s="92"/>
    </row>
    <row r="909" spans="1:8" x14ac:dyDescent="0.2">
      <c r="A909" s="83" t="s">
        <v>2195</v>
      </c>
      <c r="B909" s="84" t="s">
        <v>1870</v>
      </c>
      <c r="C909" s="138" t="s">
        <v>130</v>
      </c>
      <c r="D909" s="139">
        <v>7.01</v>
      </c>
      <c r="E909" s="139">
        <v>8.8000000000000007</v>
      </c>
      <c r="F909" s="140">
        <f t="shared" si="32"/>
        <v>61.688000000000002</v>
      </c>
      <c r="G909" s="97"/>
      <c r="H909" s="92"/>
    </row>
    <row r="910" spans="1:8" x14ac:dyDescent="0.2">
      <c r="A910" s="81" t="s">
        <v>1002</v>
      </c>
      <c r="B910" s="82" t="s">
        <v>1003</v>
      </c>
      <c r="C910" s="135" t="s">
        <v>1759</v>
      </c>
      <c r="D910" s="136">
        <v>0</v>
      </c>
      <c r="E910" s="136">
        <v>0</v>
      </c>
      <c r="F910" s="137">
        <f>SUM(F911:F914)</f>
        <v>17792.771815799999</v>
      </c>
      <c r="G910" s="96"/>
      <c r="H910" s="91"/>
    </row>
    <row r="911" spans="1:8" ht="31.5" x14ac:dyDescent="0.2">
      <c r="A911" s="83" t="s">
        <v>1004</v>
      </c>
      <c r="B911" s="84" t="s">
        <v>1005</v>
      </c>
      <c r="C911" s="138" t="s">
        <v>130</v>
      </c>
      <c r="D911" s="139">
        <v>254.14000000000001</v>
      </c>
      <c r="E911" s="139">
        <v>1.6027199999999999</v>
      </c>
      <c r="F911" s="140">
        <f t="shared" si="32"/>
        <v>407.31526079999998</v>
      </c>
      <c r="G911" s="97" t="s">
        <v>1733</v>
      </c>
      <c r="H911" s="92"/>
    </row>
    <row r="912" spans="1:8" ht="31.5" x14ac:dyDescent="0.2">
      <c r="A912" s="83" t="s">
        <v>1006</v>
      </c>
      <c r="B912" s="84" t="s">
        <v>1007</v>
      </c>
      <c r="C912" s="138" t="s">
        <v>130</v>
      </c>
      <c r="D912" s="139">
        <v>569.33000000000004</v>
      </c>
      <c r="E912" s="139">
        <v>1.764</v>
      </c>
      <c r="F912" s="140">
        <f t="shared" si="32"/>
        <v>1004.29812</v>
      </c>
      <c r="G912" s="97"/>
      <c r="H912" s="92"/>
    </row>
    <row r="913" spans="1:8" ht="31.5" x14ac:dyDescent="0.2">
      <c r="A913" s="83" t="s">
        <v>1008</v>
      </c>
      <c r="B913" s="84" t="s">
        <v>1009</v>
      </c>
      <c r="C913" s="138" t="s">
        <v>130</v>
      </c>
      <c r="D913" s="139">
        <v>823.47</v>
      </c>
      <c r="E913" s="139">
        <v>18.048000000000002</v>
      </c>
      <c r="F913" s="140">
        <f t="shared" si="32"/>
        <v>14861.986560000001</v>
      </c>
      <c r="G913" s="97"/>
      <c r="H913" s="92"/>
    </row>
    <row r="914" spans="1:8" x14ac:dyDescent="0.2">
      <c r="A914" s="83" t="s">
        <v>1869</v>
      </c>
      <c r="B914" s="84" t="s">
        <v>1010</v>
      </c>
      <c r="C914" s="138" t="s">
        <v>130</v>
      </c>
      <c r="D914" s="139">
        <v>373.95</v>
      </c>
      <c r="E914" s="139">
        <v>4.0625</v>
      </c>
      <c r="F914" s="140">
        <f>E914*D914</f>
        <v>1519.171875</v>
      </c>
      <c r="G914" s="97"/>
      <c r="H914" s="92"/>
    </row>
    <row r="915" spans="1:8" x14ac:dyDescent="0.2">
      <c r="A915" s="81" t="s">
        <v>1011</v>
      </c>
      <c r="B915" s="82" t="s">
        <v>295</v>
      </c>
      <c r="C915" s="135" t="s">
        <v>1759</v>
      </c>
      <c r="D915" s="136">
        <v>0</v>
      </c>
      <c r="E915" s="136">
        <v>0</v>
      </c>
      <c r="F915" s="137">
        <f>SUM(F916:F919)</f>
        <v>39135.040000000001</v>
      </c>
      <c r="G915" s="96"/>
      <c r="H915" s="91"/>
    </row>
    <row r="916" spans="1:8" x14ac:dyDescent="0.2">
      <c r="A916" s="83" t="s">
        <v>1012</v>
      </c>
      <c r="B916" s="84" t="s">
        <v>1013</v>
      </c>
      <c r="C916" s="138" t="s">
        <v>130</v>
      </c>
      <c r="D916" s="139">
        <v>78.89</v>
      </c>
      <c r="E916" s="139">
        <v>32</v>
      </c>
      <c r="F916" s="140">
        <f t="shared" si="32"/>
        <v>2524.48</v>
      </c>
      <c r="G916" s="97"/>
      <c r="H916" s="92"/>
    </row>
    <row r="917" spans="1:8" x14ac:dyDescent="0.2">
      <c r="A917" s="83" t="s">
        <v>1014</v>
      </c>
      <c r="B917" s="84" t="s">
        <v>1015</v>
      </c>
      <c r="C917" s="138" t="s">
        <v>130</v>
      </c>
      <c r="D917" s="139">
        <v>16.07</v>
      </c>
      <c r="E917" s="139">
        <v>24</v>
      </c>
      <c r="F917" s="140">
        <f t="shared" si="32"/>
        <v>385.68</v>
      </c>
      <c r="G917" s="97"/>
      <c r="H917" s="92"/>
    </row>
    <row r="918" spans="1:8" x14ac:dyDescent="0.2">
      <c r="A918" s="83" t="s">
        <v>1016</v>
      </c>
      <c r="B918" s="84" t="s">
        <v>1017</v>
      </c>
      <c r="C918" s="138" t="s">
        <v>130</v>
      </c>
      <c r="D918" s="139">
        <v>823.47</v>
      </c>
      <c r="E918" s="139">
        <v>34</v>
      </c>
      <c r="F918" s="140">
        <f t="shared" si="32"/>
        <v>27997.98</v>
      </c>
      <c r="G918" s="97"/>
      <c r="H918" s="92"/>
    </row>
    <row r="919" spans="1:8" x14ac:dyDescent="0.2">
      <c r="A919" s="83" t="s">
        <v>2196</v>
      </c>
      <c r="B919" s="84" t="s">
        <v>1018</v>
      </c>
      <c r="C919" s="138" t="s">
        <v>130</v>
      </c>
      <c r="D919" s="139">
        <v>373.95</v>
      </c>
      <c r="E919" s="139">
        <v>22</v>
      </c>
      <c r="F919" s="140">
        <f>E919*D919</f>
        <v>8226.9</v>
      </c>
      <c r="G919" s="97"/>
      <c r="H919" s="92"/>
    </row>
    <row r="920" spans="1:8" x14ac:dyDescent="0.2">
      <c r="A920" s="79" t="s">
        <v>1019</v>
      </c>
      <c r="B920" s="80" t="s">
        <v>2197</v>
      </c>
      <c r="C920" s="132" t="s">
        <v>1759</v>
      </c>
      <c r="D920" s="133">
        <v>0</v>
      </c>
      <c r="E920" s="133">
        <v>0</v>
      </c>
      <c r="F920" s="134">
        <f>F921+F924+F929</f>
        <v>44859.747395400002</v>
      </c>
      <c r="G920" s="95"/>
      <c r="H920" s="90"/>
    </row>
    <row r="921" spans="1:8" x14ac:dyDescent="0.2">
      <c r="A921" s="81" t="s">
        <v>1020</v>
      </c>
      <c r="B921" s="82" t="s">
        <v>996</v>
      </c>
      <c r="C921" s="135" t="s">
        <v>1759</v>
      </c>
      <c r="D921" s="136">
        <v>0</v>
      </c>
      <c r="E921" s="136">
        <v>0</v>
      </c>
      <c r="F921" s="137">
        <f>F922+F923</f>
        <v>427.00734999999997</v>
      </c>
      <c r="G921" s="96"/>
      <c r="H921" s="91"/>
    </row>
    <row r="922" spans="1:8" x14ac:dyDescent="0.2">
      <c r="A922" s="83" t="s">
        <v>1021</v>
      </c>
      <c r="B922" s="84" t="s">
        <v>998</v>
      </c>
      <c r="C922" s="138" t="s">
        <v>130</v>
      </c>
      <c r="D922" s="139">
        <v>13.55</v>
      </c>
      <c r="E922" s="139">
        <v>23.375</v>
      </c>
      <c r="F922" s="140">
        <f>E922*D922</f>
        <v>316.73124999999999</v>
      </c>
      <c r="G922" s="97"/>
      <c r="H922" s="92"/>
    </row>
    <row r="923" spans="1:8" x14ac:dyDescent="0.2">
      <c r="A923" s="83" t="s">
        <v>2198</v>
      </c>
      <c r="B923" s="84" t="s">
        <v>1000</v>
      </c>
      <c r="C923" s="138" t="s">
        <v>130</v>
      </c>
      <c r="D923" s="139">
        <v>15.8</v>
      </c>
      <c r="E923" s="139">
        <v>6.9795000000000007</v>
      </c>
      <c r="F923" s="140">
        <f>E923*D923</f>
        <v>110.27610000000001</v>
      </c>
      <c r="G923" s="97"/>
      <c r="H923" s="92"/>
    </row>
    <row r="924" spans="1:8" x14ac:dyDescent="0.2">
      <c r="A924" s="81" t="s">
        <v>1022</v>
      </c>
      <c r="B924" s="82" t="s">
        <v>1003</v>
      </c>
      <c r="C924" s="135" t="s">
        <v>1759</v>
      </c>
      <c r="D924" s="136">
        <v>0</v>
      </c>
      <c r="E924" s="136">
        <v>0</v>
      </c>
      <c r="F924" s="137">
        <f>SUM(F925:F928)</f>
        <v>13776.480045400003</v>
      </c>
      <c r="G924" s="96"/>
      <c r="H924" s="91"/>
    </row>
    <row r="925" spans="1:8" ht="31.5" x14ac:dyDescent="0.2">
      <c r="A925" s="83" t="s">
        <v>1023</v>
      </c>
      <c r="B925" s="84" t="s">
        <v>1005</v>
      </c>
      <c r="C925" s="138" t="s">
        <v>130</v>
      </c>
      <c r="D925" s="139">
        <v>239.32</v>
      </c>
      <c r="E925" s="139">
        <v>1.6027199999999999</v>
      </c>
      <c r="F925" s="140">
        <f>E925*D925</f>
        <v>383.56295039999998</v>
      </c>
      <c r="G925" s="97" t="s">
        <v>1733</v>
      </c>
      <c r="H925" s="92"/>
    </row>
    <row r="926" spans="1:8" ht="31.5" x14ac:dyDescent="0.2">
      <c r="A926" s="83" t="s">
        <v>1024</v>
      </c>
      <c r="B926" s="84" t="s">
        <v>1007</v>
      </c>
      <c r="C926" s="138" t="s">
        <v>130</v>
      </c>
      <c r="D926" s="139">
        <v>374.28000000000003</v>
      </c>
      <c r="E926" s="139">
        <v>1.764</v>
      </c>
      <c r="F926" s="140">
        <f>E926*D926</f>
        <v>660.22992000000011</v>
      </c>
      <c r="G926" s="97"/>
      <c r="H926" s="92"/>
    </row>
    <row r="927" spans="1:8" ht="31.5" x14ac:dyDescent="0.2">
      <c r="A927" s="83" t="s">
        <v>1025</v>
      </c>
      <c r="B927" s="84" t="s">
        <v>1009</v>
      </c>
      <c r="C927" s="138" t="s">
        <v>130</v>
      </c>
      <c r="D927" s="139">
        <v>613.6</v>
      </c>
      <c r="E927" s="139">
        <v>18.048000000000002</v>
      </c>
      <c r="F927" s="140">
        <f>E927*D927</f>
        <v>11074.252800000002</v>
      </c>
      <c r="G927" s="97"/>
      <c r="H927" s="92"/>
    </row>
    <row r="928" spans="1:8" ht="31.5" x14ac:dyDescent="0.2">
      <c r="A928" s="83" t="s">
        <v>2199</v>
      </c>
      <c r="B928" s="84" t="s">
        <v>1010</v>
      </c>
      <c r="C928" s="138" t="s">
        <v>130</v>
      </c>
      <c r="D928" s="139">
        <v>408.23</v>
      </c>
      <c r="E928" s="139">
        <v>4.0625</v>
      </c>
      <c r="F928" s="140">
        <f>E928*D928</f>
        <v>1658.434375</v>
      </c>
      <c r="G928" s="97"/>
      <c r="H928" s="92"/>
    </row>
    <row r="929" spans="1:8" x14ac:dyDescent="0.2">
      <c r="A929" s="81" t="s">
        <v>1026</v>
      </c>
      <c r="B929" s="82" t="s">
        <v>295</v>
      </c>
      <c r="C929" s="135" t="s">
        <v>1759</v>
      </c>
      <c r="D929" s="136">
        <v>0</v>
      </c>
      <c r="E929" s="136">
        <v>0</v>
      </c>
      <c r="F929" s="137">
        <f>SUM(F930:F933)</f>
        <v>30656.260000000002</v>
      </c>
      <c r="G929" s="96"/>
      <c r="H929" s="91"/>
    </row>
    <row r="930" spans="1:8" x14ac:dyDescent="0.2">
      <c r="A930" s="83" t="s">
        <v>1027</v>
      </c>
      <c r="B930" s="84" t="s">
        <v>1013</v>
      </c>
      <c r="C930" s="138" t="s">
        <v>130</v>
      </c>
      <c r="D930" s="139">
        <v>13.55</v>
      </c>
      <c r="E930" s="139">
        <v>32</v>
      </c>
      <c r="F930" s="140">
        <f>E930*D930</f>
        <v>433.6</v>
      </c>
      <c r="G930" s="97"/>
      <c r="H930" s="92"/>
    </row>
    <row r="931" spans="1:8" ht="31.5" x14ac:dyDescent="0.2">
      <c r="A931" s="83" t="s">
        <v>2200</v>
      </c>
      <c r="B931" s="84" t="s">
        <v>1015</v>
      </c>
      <c r="C931" s="138" t="s">
        <v>130</v>
      </c>
      <c r="D931" s="139">
        <v>15.8</v>
      </c>
      <c r="E931" s="139">
        <v>24</v>
      </c>
      <c r="F931" s="140">
        <f>E931*D931</f>
        <v>379.20000000000005</v>
      </c>
      <c r="G931" s="97"/>
      <c r="H931" s="92"/>
    </row>
    <row r="932" spans="1:8" ht="31.5" x14ac:dyDescent="0.2">
      <c r="A932" s="83" t="s">
        <v>1028</v>
      </c>
      <c r="B932" s="84" t="s">
        <v>1017</v>
      </c>
      <c r="C932" s="138" t="s">
        <v>130</v>
      </c>
      <c r="D932" s="139">
        <v>613.6</v>
      </c>
      <c r="E932" s="139">
        <v>34</v>
      </c>
      <c r="F932" s="140">
        <f>E932*D932</f>
        <v>20862.400000000001</v>
      </c>
      <c r="G932" s="97"/>
      <c r="H932" s="92"/>
    </row>
    <row r="933" spans="1:8" ht="31.5" x14ac:dyDescent="0.2">
      <c r="A933" s="83" t="s">
        <v>2201</v>
      </c>
      <c r="B933" s="84" t="s">
        <v>1018</v>
      </c>
      <c r="C933" s="138" t="s">
        <v>130</v>
      </c>
      <c r="D933" s="139">
        <v>408.23</v>
      </c>
      <c r="E933" s="139">
        <v>22</v>
      </c>
      <c r="F933" s="140">
        <f>E933*D933</f>
        <v>8981.0600000000013</v>
      </c>
      <c r="G933" s="97"/>
      <c r="H933" s="92"/>
    </row>
    <row r="934" spans="1:8" x14ac:dyDescent="0.2">
      <c r="A934" s="79" t="s">
        <v>1029</v>
      </c>
      <c r="B934" s="80" t="s">
        <v>2202</v>
      </c>
      <c r="C934" s="132" t="s">
        <v>1759</v>
      </c>
      <c r="D934" s="133">
        <v>0</v>
      </c>
      <c r="E934" s="133">
        <v>0</v>
      </c>
      <c r="F934" s="134">
        <f>F935+F938+F943</f>
        <v>45060.856299000006</v>
      </c>
      <c r="G934" s="95"/>
      <c r="H934" s="90"/>
    </row>
    <row r="935" spans="1:8" x14ac:dyDescent="0.2">
      <c r="A935" s="81" t="s">
        <v>1030</v>
      </c>
      <c r="B935" s="82" t="s">
        <v>996</v>
      </c>
      <c r="C935" s="135" t="s">
        <v>1759</v>
      </c>
      <c r="D935" s="136">
        <v>0</v>
      </c>
      <c r="E935" s="136">
        <v>0</v>
      </c>
      <c r="F935" s="137">
        <f>F936+F937</f>
        <v>427.00734999999997</v>
      </c>
      <c r="G935" s="96"/>
      <c r="H935" s="91"/>
    </row>
    <row r="936" spans="1:8" x14ac:dyDescent="0.2">
      <c r="A936" s="83" t="s">
        <v>1031</v>
      </c>
      <c r="B936" s="84" t="s">
        <v>998</v>
      </c>
      <c r="C936" s="138" t="s">
        <v>130</v>
      </c>
      <c r="D936" s="139">
        <v>13.55</v>
      </c>
      <c r="E936" s="139">
        <v>23.375</v>
      </c>
      <c r="F936" s="140">
        <f>E936*D936</f>
        <v>316.73124999999999</v>
      </c>
      <c r="G936" s="97"/>
      <c r="H936" s="92"/>
    </row>
    <row r="937" spans="1:8" x14ac:dyDescent="0.2">
      <c r="A937" s="83" t="s">
        <v>2203</v>
      </c>
      <c r="B937" s="84" t="s">
        <v>1000</v>
      </c>
      <c r="C937" s="138" t="s">
        <v>130</v>
      </c>
      <c r="D937" s="139">
        <v>15.8</v>
      </c>
      <c r="E937" s="139">
        <v>6.9795000000000007</v>
      </c>
      <c r="F937" s="140">
        <f>E937*D937</f>
        <v>110.27610000000001</v>
      </c>
      <c r="G937" s="97"/>
      <c r="H937" s="92"/>
    </row>
    <row r="938" spans="1:8" x14ac:dyDescent="0.2">
      <c r="A938" s="81" t="s">
        <v>1032</v>
      </c>
      <c r="B938" s="82" t="s">
        <v>1003</v>
      </c>
      <c r="C938" s="135" t="s">
        <v>1759</v>
      </c>
      <c r="D938" s="136">
        <v>0</v>
      </c>
      <c r="E938" s="136">
        <v>0</v>
      </c>
      <c r="F938" s="137">
        <f>SUM(F939:F942)</f>
        <v>13857.268949000001</v>
      </c>
      <c r="G938" s="96"/>
      <c r="H938" s="91"/>
    </row>
    <row r="939" spans="1:8" ht="31.5" x14ac:dyDescent="0.2">
      <c r="A939" s="83" t="s">
        <v>1033</v>
      </c>
      <c r="B939" s="84" t="s">
        <v>1005</v>
      </c>
      <c r="C939" s="138" t="s">
        <v>130</v>
      </c>
      <c r="D939" s="139">
        <v>243.70000000000002</v>
      </c>
      <c r="E939" s="139">
        <v>1.6027199999999999</v>
      </c>
      <c r="F939" s="140">
        <f t="shared" ref="F939:F947" si="33">E939*D939</f>
        <v>390.58286400000003</v>
      </c>
      <c r="G939" s="97" t="s">
        <v>1733</v>
      </c>
      <c r="H939" s="92"/>
    </row>
    <row r="940" spans="1:8" ht="31.5" x14ac:dyDescent="0.2">
      <c r="A940" s="83" t="s">
        <v>1034</v>
      </c>
      <c r="B940" s="84" t="s">
        <v>1007</v>
      </c>
      <c r="C940" s="138" t="s">
        <v>130</v>
      </c>
      <c r="D940" s="139">
        <v>374.28000000000003</v>
      </c>
      <c r="E940" s="139">
        <v>1.764</v>
      </c>
      <c r="F940" s="140">
        <f t="shared" si="33"/>
        <v>660.22992000000011</v>
      </c>
      <c r="G940" s="97"/>
      <c r="H940" s="92"/>
    </row>
    <row r="941" spans="1:8" ht="31.5" x14ac:dyDescent="0.2">
      <c r="A941" s="83" t="s">
        <v>1035</v>
      </c>
      <c r="B941" s="84" t="s">
        <v>1009</v>
      </c>
      <c r="C941" s="138" t="s">
        <v>130</v>
      </c>
      <c r="D941" s="139">
        <v>617.98</v>
      </c>
      <c r="E941" s="139">
        <v>18.048000000000002</v>
      </c>
      <c r="F941" s="140">
        <f t="shared" si="33"/>
        <v>11153.303040000001</v>
      </c>
      <c r="G941" s="97"/>
      <c r="H941" s="92"/>
    </row>
    <row r="942" spans="1:8" ht="31.5" x14ac:dyDescent="0.2">
      <c r="A942" s="83" t="s">
        <v>2204</v>
      </c>
      <c r="B942" s="84" t="s">
        <v>1010</v>
      </c>
      <c r="C942" s="138" t="s">
        <v>130</v>
      </c>
      <c r="D942" s="139">
        <v>406.93</v>
      </c>
      <c r="E942" s="139">
        <v>4.0625</v>
      </c>
      <c r="F942" s="140">
        <f t="shared" si="33"/>
        <v>1653.153125</v>
      </c>
      <c r="G942" s="97"/>
      <c r="H942" s="92"/>
    </row>
    <row r="943" spans="1:8" x14ac:dyDescent="0.2">
      <c r="A943" s="81" t="s">
        <v>1036</v>
      </c>
      <c r="B943" s="82" t="s">
        <v>295</v>
      </c>
      <c r="C943" s="135" t="s">
        <v>1759</v>
      </c>
      <c r="D943" s="136">
        <v>0</v>
      </c>
      <c r="E943" s="136">
        <v>0</v>
      </c>
      <c r="F943" s="137">
        <f>SUM(F944:F947)</f>
        <v>30776.58</v>
      </c>
      <c r="G943" s="96"/>
      <c r="H943" s="91"/>
    </row>
    <row r="944" spans="1:8" x14ac:dyDescent="0.2">
      <c r="A944" s="83" t="s">
        <v>1037</v>
      </c>
      <c r="B944" s="84" t="s">
        <v>1013</v>
      </c>
      <c r="C944" s="138" t="s">
        <v>130</v>
      </c>
      <c r="D944" s="139">
        <v>13.55</v>
      </c>
      <c r="E944" s="139">
        <v>32</v>
      </c>
      <c r="F944" s="140">
        <f t="shared" si="33"/>
        <v>433.6</v>
      </c>
      <c r="G944" s="97"/>
      <c r="H944" s="92"/>
    </row>
    <row r="945" spans="1:8" ht="31.5" x14ac:dyDescent="0.2">
      <c r="A945" s="83" t="s">
        <v>1038</v>
      </c>
      <c r="B945" s="84" t="s">
        <v>1017</v>
      </c>
      <c r="C945" s="138" t="s">
        <v>130</v>
      </c>
      <c r="D945" s="139">
        <v>617.98</v>
      </c>
      <c r="E945" s="139">
        <v>34</v>
      </c>
      <c r="F945" s="140">
        <f t="shared" si="33"/>
        <v>21011.32</v>
      </c>
      <c r="G945" s="97"/>
      <c r="H945" s="92"/>
    </row>
    <row r="946" spans="1:8" ht="31.5" x14ac:dyDescent="0.2">
      <c r="A946" s="83" t="s">
        <v>2205</v>
      </c>
      <c r="B946" s="84" t="s">
        <v>1015</v>
      </c>
      <c r="C946" s="138" t="s">
        <v>130</v>
      </c>
      <c r="D946" s="139">
        <v>15.8</v>
      </c>
      <c r="E946" s="139">
        <v>24</v>
      </c>
      <c r="F946" s="140">
        <f t="shared" si="33"/>
        <v>379.20000000000005</v>
      </c>
      <c r="G946" s="97"/>
      <c r="H946" s="92"/>
    </row>
    <row r="947" spans="1:8" ht="31.5" x14ac:dyDescent="0.2">
      <c r="A947" s="83" t="s">
        <v>2206</v>
      </c>
      <c r="B947" s="84" t="s">
        <v>1018</v>
      </c>
      <c r="C947" s="138" t="s">
        <v>130</v>
      </c>
      <c r="D947" s="139">
        <v>406.93</v>
      </c>
      <c r="E947" s="139">
        <v>22</v>
      </c>
      <c r="F947" s="140">
        <f t="shared" si="33"/>
        <v>8952.4600000000009</v>
      </c>
      <c r="G947" s="97"/>
      <c r="H947" s="92"/>
    </row>
    <row r="948" spans="1:8" x14ac:dyDescent="0.2">
      <c r="A948" s="79" t="s">
        <v>1039</v>
      </c>
      <c r="B948" s="80" t="s">
        <v>2207</v>
      </c>
      <c r="C948" s="132" t="s">
        <v>1759</v>
      </c>
      <c r="D948" s="133">
        <v>0</v>
      </c>
      <c r="E948" s="133">
        <v>0</v>
      </c>
      <c r="F948" s="134">
        <f>F949+F952+F957</f>
        <v>48209.255869200002</v>
      </c>
      <c r="G948" s="95"/>
      <c r="H948" s="90"/>
    </row>
    <row r="949" spans="1:8" x14ac:dyDescent="0.2">
      <c r="A949" s="81" t="s">
        <v>1040</v>
      </c>
      <c r="B949" s="82" t="s">
        <v>996</v>
      </c>
      <c r="C949" s="135" t="s">
        <v>1759</v>
      </c>
      <c r="D949" s="136">
        <v>0</v>
      </c>
      <c r="E949" s="136">
        <v>0</v>
      </c>
      <c r="F949" s="137">
        <f>F950+F951</f>
        <v>427.00734999999997</v>
      </c>
      <c r="G949" s="96"/>
      <c r="H949" s="91"/>
    </row>
    <row r="950" spans="1:8" x14ac:dyDescent="0.2">
      <c r="A950" s="83" t="s">
        <v>1042</v>
      </c>
      <c r="B950" s="84" t="s">
        <v>998</v>
      </c>
      <c r="C950" s="138" t="s">
        <v>130</v>
      </c>
      <c r="D950" s="139">
        <v>13.55</v>
      </c>
      <c r="E950" s="139">
        <v>23.375</v>
      </c>
      <c r="F950" s="140">
        <f>E950*D950</f>
        <v>316.73124999999999</v>
      </c>
      <c r="G950" s="97"/>
      <c r="H950" s="92"/>
    </row>
    <row r="951" spans="1:8" x14ac:dyDescent="0.2">
      <c r="A951" s="83" t="s">
        <v>2208</v>
      </c>
      <c r="B951" s="84" t="s">
        <v>1000</v>
      </c>
      <c r="C951" s="138" t="s">
        <v>130</v>
      </c>
      <c r="D951" s="139">
        <v>15.8</v>
      </c>
      <c r="E951" s="139">
        <v>6.9795000000000007</v>
      </c>
      <c r="F951" s="140">
        <f>E951*D951</f>
        <v>110.27610000000001</v>
      </c>
      <c r="G951" s="97"/>
      <c r="H951" s="92"/>
    </row>
    <row r="952" spans="1:8" x14ac:dyDescent="0.2">
      <c r="A952" s="81" t="s">
        <v>1043</v>
      </c>
      <c r="B952" s="82" t="s">
        <v>1003</v>
      </c>
      <c r="C952" s="135" t="s">
        <v>1759</v>
      </c>
      <c r="D952" s="136">
        <v>0</v>
      </c>
      <c r="E952" s="136">
        <v>0</v>
      </c>
      <c r="F952" s="137">
        <f>SUM(F953:F956)</f>
        <v>14447.8285192</v>
      </c>
      <c r="G952" s="96"/>
      <c r="H952" s="91"/>
    </row>
    <row r="953" spans="1:8" ht="31.5" x14ac:dyDescent="0.2">
      <c r="A953" s="83" t="s">
        <v>1044</v>
      </c>
      <c r="B953" s="84" t="s">
        <v>1005</v>
      </c>
      <c r="C953" s="138" t="s">
        <v>130</v>
      </c>
      <c r="D953" s="139">
        <v>268.36</v>
      </c>
      <c r="E953" s="139">
        <v>1.6027199999999999</v>
      </c>
      <c r="F953" s="140">
        <f t="shared" ref="F953:F961" si="34">E953*D953</f>
        <v>430.10593920000002</v>
      </c>
      <c r="G953" s="97" t="s">
        <v>1733</v>
      </c>
      <c r="H953" s="92"/>
    </row>
    <row r="954" spans="1:8" ht="31.5" x14ac:dyDescent="0.2">
      <c r="A954" s="83" t="s">
        <v>1045</v>
      </c>
      <c r="B954" s="84" t="s">
        <v>1007</v>
      </c>
      <c r="C954" s="138" t="s">
        <v>130</v>
      </c>
      <c r="D954" s="139">
        <v>358.65000000000003</v>
      </c>
      <c r="E954" s="139">
        <v>1.764</v>
      </c>
      <c r="F954" s="140">
        <f t="shared" si="34"/>
        <v>632.65860000000009</v>
      </c>
      <c r="G954" s="97"/>
      <c r="H954" s="92"/>
    </row>
    <row r="955" spans="1:8" ht="31.5" x14ac:dyDescent="0.2">
      <c r="A955" s="83" t="s">
        <v>1046</v>
      </c>
      <c r="B955" s="84" t="s">
        <v>1009</v>
      </c>
      <c r="C955" s="138" t="s">
        <v>130</v>
      </c>
      <c r="D955" s="139">
        <v>627.01</v>
      </c>
      <c r="E955" s="139">
        <v>18.048000000000002</v>
      </c>
      <c r="F955" s="140">
        <f t="shared" si="34"/>
        <v>11316.27648</v>
      </c>
      <c r="G955" s="97"/>
      <c r="H955" s="92"/>
    </row>
    <row r="956" spans="1:8" ht="31.5" x14ac:dyDescent="0.2">
      <c r="A956" s="83" t="s">
        <v>2209</v>
      </c>
      <c r="B956" s="84" t="s">
        <v>1010</v>
      </c>
      <c r="C956" s="138" t="s">
        <v>130</v>
      </c>
      <c r="D956" s="139">
        <v>509.24</v>
      </c>
      <c r="E956" s="139">
        <v>4.0625</v>
      </c>
      <c r="F956" s="140">
        <f t="shared" si="34"/>
        <v>2068.7874999999999</v>
      </c>
      <c r="G956" s="97"/>
      <c r="H956" s="92"/>
    </row>
    <row r="957" spans="1:8" x14ac:dyDescent="0.2">
      <c r="A957" s="81" t="s">
        <v>1047</v>
      </c>
      <c r="B957" s="82" t="s">
        <v>295</v>
      </c>
      <c r="C957" s="135" t="s">
        <v>1759</v>
      </c>
      <c r="D957" s="136">
        <v>0</v>
      </c>
      <c r="E957" s="136">
        <v>0</v>
      </c>
      <c r="F957" s="137">
        <f>SUM(F958:F961)</f>
        <v>33334.42</v>
      </c>
      <c r="G957" s="96"/>
      <c r="H957" s="91"/>
    </row>
    <row r="958" spans="1:8" x14ac:dyDescent="0.2">
      <c r="A958" s="83" t="s">
        <v>1048</v>
      </c>
      <c r="B958" s="84" t="s">
        <v>1013</v>
      </c>
      <c r="C958" s="138" t="s">
        <v>130</v>
      </c>
      <c r="D958" s="139">
        <v>13.55</v>
      </c>
      <c r="E958" s="139">
        <v>32</v>
      </c>
      <c r="F958" s="140">
        <f t="shared" si="34"/>
        <v>433.6</v>
      </c>
      <c r="G958" s="97"/>
      <c r="H958" s="92"/>
    </row>
    <row r="959" spans="1:8" ht="31.5" x14ac:dyDescent="0.2">
      <c r="A959" s="83" t="s">
        <v>1049</v>
      </c>
      <c r="B959" s="84" t="s">
        <v>1017</v>
      </c>
      <c r="C959" s="138" t="s">
        <v>130</v>
      </c>
      <c r="D959" s="139">
        <v>627.01</v>
      </c>
      <c r="E959" s="139">
        <v>34</v>
      </c>
      <c r="F959" s="140">
        <f t="shared" si="34"/>
        <v>21318.34</v>
      </c>
      <c r="G959" s="97"/>
      <c r="H959" s="92"/>
    </row>
    <row r="960" spans="1:8" ht="31.5" x14ac:dyDescent="0.2">
      <c r="A960" s="83" t="s">
        <v>2210</v>
      </c>
      <c r="B960" s="84" t="s">
        <v>1018</v>
      </c>
      <c r="C960" s="138" t="s">
        <v>130</v>
      </c>
      <c r="D960" s="139">
        <v>509.24</v>
      </c>
      <c r="E960" s="139">
        <v>22</v>
      </c>
      <c r="F960" s="140">
        <f t="shared" si="34"/>
        <v>11203.28</v>
      </c>
      <c r="G960" s="97"/>
      <c r="H960" s="92"/>
    </row>
    <row r="961" spans="1:8" ht="31.5" x14ac:dyDescent="0.2">
      <c r="A961" s="83" t="s">
        <v>2211</v>
      </c>
      <c r="B961" s="84" t="s">
        <v>1015</v>
      </c>
      <c r="C961" s="138" t="s">
        <v>130</v>
      </c>
      <c r="D961" s="139">
        <v>15.8</v>
      </c>
      <c r="E961" s="139">
        <v>24</v>
      </c>
      <c r="F961" s="140">
        <f t="shared" si="34"/>
        <v>379.20000000000005</v>
      </c>
      <c r="G961" s="97"/>
      <c r="H961" s="92"/>
    </row>
    <row r="962" spans="1:8" x14ac:dyDescent="0.2">
      <c r="A962" s="79" t="s">
        <v>1050</v>
      </c>
      <c r="B962" s="80" t="s">
        <v>1867</v>
      </c>
      <c r="C962" s="132" t="s">
        <v>1759</v>
      </c>
      <c r="D962" s="133">
        <v>0</v>
      </c>
      <c r="E962" s="133">
        <v>0</v>
      </c>
      <c r="F962" s="134">
        <f>F963+F967+F971</f>
        <v>109958.15526320001</v>
      </c>
      <c r="G962" s="95"/>
      <c r="H962" s="90"/>
    </row>
    <row r="963" spans="1:8" x14ac:dyDescent="0.2">
      <c r="A963" s="81" t="s">
        <v>1051</v>
      </c>
      <c r="B963" s="82" t="s">
        <v>996</v>
      </c>
      <c r="C963" s="135" t="s">
        <v>1759</v>
      </c>
      <c r="D963" s="136">
        <v>0</v>
      </c>
      <c r="E963" s="136">
        <v>0</v>
      </c>
      <c r="F963" s="137">
        <f>SUM(F964:F966)</f>
        <v>19398.017100000001</v>
      </c>
      <c r="G963" s="96"/>
      <c r="H963" s="91"/>
    </row>
    <row r="964" spans="1:8" x14ac:dyDescent="0.2">
      <c r="A964" s="83" t="s">
        <v>1052</v>
      </c>
      <c r="B964" s="84" t="s">
        <v>2212</v>
      </c>
      <c r="C964" s="138" t="s">
        <v>130</v>
      </c>
      <c r="D964" s="139">
        <v>389.29</v>
      </c>
      <c r="E964" s="139">
        <v>37.4</v>
      </c>
      <c r="F964" s="140">
        <f>E964*D964</f>
        <v>14559.446</v>
      </c>
      <c r="G964" s="97"/>
      <c r="H964" s="92"/>
    </row>
    <row r="965" spans="1:8" x14ac:dyDescent="0.2">
      <c r="A965" s="83" t="s">
        <v>1053</v>
      </c>
      <c r="B965" s="84" t="s">
        <v>998</v>
      </c>
      <c r="C965" s="138" t="s">
        <v>130</v>
      </c>
      <c r="D965" s="139">
        <v>202.28</v>
      </c>
      <c r="E965" s="139">
        <v>23.375</v>
      </c>
      <c r="F965" s="140">
        <f>E965*D965</f>
        <v>4728.2950000000001</v>
      </c>
      <c r="G965" s="97"/>
      <c r="H965" s="92"/>
    </row>
    <row r="966" spans="1:8" x14ac:dyDescent="0.2">
      <c r="A966" s="83" t="s">
        <v>2213</v>
      </c>
      <c r="B966" s="84" t="s">
        <v>1000</v>
      </c>
      <c r="C966" s="138" t="s">
        <v>130</v>
      </c>
      <c r="D966" s="139">
        <v>15.8</v>
      </c>
      <c r="E966" s="139">
        <v>6.9795000000000007</v>
      </c>
      <c r="F966" s="140">
        <f>E966*D966</f>
        <v>110.27610000000001</v>
      </c>
      <c r="G966" s="97"/>
      <c r="H966" s="92"/>
    </row>
    <row r="967" spans="1:8" x14ac:dyDescent="0.2">
      <c r="A967" s="81" t="s">
        <v>1055</v>
      </c>
      <c r="B967" s="82" t="s">
        <v>1003</v>
      </c>
      <c r="C967" s="135" t="s">
        <v>1759</v>
      </c>
      <c r="D967" s="136">
        <v>0</v>
      </c>
      <c r="E967" s="136">
        <v>0</v>
      </c>
      <c r="F967" s="137">
        <f>SUM(F968:F970)</f>
        <v>26196.618163200004</v>
      </c>
      <c r="G967" s="96"/>
      <c r="H967" s="91"/>
    </row>
    <row r="968" spans="1:8" ht="31.5" x14ac:dyDescent="0.2">
      <c r="A968" s="83" t="s">
        <v>1056</v>
      </c>
      <c r="B968" s="84" t="s">
        <v>1005</v>
      </c>
      <c r="C968" s="138" t="s">
        <v>130</v>
      </c>
      <c r="D968" s="139">
        <v>351.31</v>
      </c>
      <c r="E968" s="139">
        <v>1.6027199999999999</v>
      </c>
      <c r="F968" s="140">
        <f>E968*D968</f>
        <v>563.05156320000003</v>
      </c>
      <c r="G968" s="97" t="s">
        <v>1733</v>
      </c>
      <c r="H968" s="92"/>
    </row>
    <row r="969" spans="1:8" ht="31.5" x14ac:dyDescent="0.2">
      <c r="A969" s="83" t="s">
        <v>1057</v>
      </c>
      <c r="B969" s="84" t="s">
        <v>1007</v>
      </c>
      <c r="C969" s="138" t="s">
        <v>130</v>
      </c>
      <c r="D969" s="139">
        <v>973.81000000000006</v>
      </c>
      <c r="E969" s="139">
        <v>1.764</v>
      </c>
      <c r="F969" s="140">
        <f>E969*D969</f>
        <v>1717.8008400000001</v>
      </c>
      <c r="G969" s="97"/>
      <c r="H969" s="92"/>
    </row>
    <row r="970" spans="1:8" ht="31.5" x14ac:dyDescent="0.2">
      <c r="A970" s="83" t="s">
        <v>1058</v>
      </c>
      <c r="B970" s="84" t="s">
        <v>1009</v>
      </c>
      <c r="C970" s="138" t="s">
        <v>130</v>
      </c>
      <c r="D970" s="139">
        <v>1325.1200000000001</v>
      </c>
      <c r="E970" s="139">
        <v>18.048000000000002</v>
      </c>
      <c r="F970" s="140">
        <f>E970*D970</f>
        <v>23915.765760000006</v>
      </c>
      <c r="G970" s="97"/>
      <c r="H970" s="92"/>
    </row>
    <row r="971" spans="1:8" x14ac:dyDescent="0.2">
      <c r="A971" s="81" t="s">
        <v>1059</v>
      </c>
      <c r="B971" s="82" t="s">
        <v>295</v>
      </c>
      <c r="C971" s="135" t="s">
        <v>1759</v>
      </c>
      <c r="D971" s="136">
        <v>0</v>
      </c>
      <c r="E971" s="136">
        <v>0</v>
      </c>
      <c r="F971" s="137">
        <f>SUM(F972:F974)</f>
        <v>64363.520000000004</v>
      </c>
      <c r="G971" s="96"/>
      <c r="H971" s="91"/>
    </row>
    <row r="972" spans="1:8" ht="31.5" x14ac:dyDescent="0.2">
      <c r="A972" s="83" t="s">
        <v>1060</v>
      </c>
      <c r="B972" s="84" t="s">
        <v>1061</v>
      </c>
      <c r="C972" s="138" t="s">
        <v>130</v>
      </c>
      <c r="D972" s="139">
        <v>591.57000000000005</v>
      </c>
      <c r="E972" s="139">
        <v>32</v>
      </c>
      <c r="F972" s="140">
        <f>E972*D972</f>
        <v>18930.240000000002</v>
      </c>
      <c r="G972" s="97"/>
      <c r="H972" s="92"/>
    </row>
    <row r="973" spans="1:8" ht="31.5" x14ac:dyDescent="0.2">
      <c r="A973" s="83" t="s">
        <v>1062</v>
      </c>
      <c r="B973" s="84" t="s">
        <v>1017</v>
      </c>
      <c r="C973" s="138" t="s">
        <v>130</v>
      </c>
      <c r="D973" s="139">
        <v>1325.1200000000001</v>
      </c>
      <c r="E973" s="139">
        <v>34</v>
      </c>
      <c r="F973" s="140">
        <f>E973*D973</f>
        <v>45054.080000000002</v>
      </c>
      <c r="G973" s="97"/>
      <c r="H973" s="92"/>
    </row>
    <row r="974" spans="1:8" ht="31.5" x14ac:dyDescent="0.2">
      <c r="A974" s="83" t="s">
        <v>2214</v>
      </c>
      <c r="B974" s="84" t="s">
        <v>1015</v>
      </c>
      <c r="C974" s="138" t="s">
        <v>130</v>
      </c>
      <c r="D974" s="139">
        <v>15.8</v>
      </c>
      <c r="E974" s="139">
        <v>24</v>
      </c>
      <c r="F974" s="140">
        <f>E974*D974</f>
        <v>379.20000000000005</v>
      </c>
      <c r="G974" s="97"/>
      <c r="H974" s="92"/>
    </row>
    <row r="975" spans="1:8" x14ac:dyDescent="0.2">
      <c r="A975" s="79" t="s">
        <v>1063</v>
      </c>
      <c r="B975" s="80" t="s">
        <v>1865</v>
      </c>
      <c r="C975" s="132" t="s">
        <v>1759</v>
      </c>
      <c r="D975" s="133">
        <v>0</v>
      </c>
      <c r="E975" s="133">
        <v>0</v>
      </c>
      <c r="F975" s="134">
        <f>F976+F979+F983</f>
        <v>1405647.4327688001</v>
      </c>
      <c r="G975" s="95"/>
      <c r="H975" s="90"/>
    </row>
    <row r="976" spans="1:8" x14ac:dyDescent="0.2">
      <c r="A976" s="81" t="s">
        <v>1064</v>
      </c>
      <c r="B976" s="82" t="s">
        <v>996</v>
      </c>
      <c r="C976" s="135" t="s">
        <v>1759</v>
      </c>
      <c r="D976" s="136">
        <v>0</v>
      </c>
      <c r="E976" s="136">
        <v>0</v>
      </c>
      <c r="F976" s="137">
        <f>F977+F978</f>
        <v>287314.95130000002</v>
      </c>
      <c r="G976" s="96"/>
      <c r="H976" s="91"/>
    </row>
    <row r="977" spans="1:8" x14ac:dyDescent="0.2">
      <c r="A977" s="83" t="s">
        <v>1065</v>
      </c>
      <c r="B977" s="84" t="s">
        <v>1054</v>
      </c>
      <c r="C977" s="138" t="s">
        <v>130</v>
      </c>
      <c r="D977" s="139">
        <v>5885.36</v>
      </c>
      <c r="E977" s="139">
        <v>48.575000000000003</v>
      </c>
      <c r="F977" s="140">
        <f>E977*D977</f>
        <v>285881.36200000002</v>
      </c>
      <c r="G977" s="97"/>
      <c r="H977" s="92"/>
    </row>
    <row r="978" spans="1:8" x14ac:dyDescent="0.2">
      <c r="A978" s="83" t="s">
        <v>1066</v>
      </c>
      <c r="B978" s="84" t="s">
        <v>1000</v>
      </c>
      <c r="C978" s="138" t="s">
        <v>130</v>
      </c>
      <c r="D978" s="139">
        <v>205.4</v>
      </c>
      <c r="E978" s="139">
        <v>6.9795000000000007</v>
      </c>
      <c r="F978" s="140">
        <f>E978*D978</f>
        <v>1433.5893000000001</v>
      </c>
      <c r="G978" s="97"/>
      <c r="H978" s="92"/>
    </row>
    <row r="979" spans="1:8" x14ac:dyDescent="0.2">
      <c r="A979" s="81" t="s">
        <v>1067</v>
      </c>
      <c r="B979" s="82" t="s">
        <v>1003</v>
      </c>
      <c r="C979" s="135" t="s">
        <v>1759</v>
      </c>
      <c r="D979" s="136">
        <v>0</v>
      </c>
      <c r="E979" s="136">
        <v>0</v>
      </c>
      <c r="F979" s="137">
        <f>SUM(F980:F982)</f>
        <v>340119.72146879998</v>
      </c>
      <c r="G979" s="96"/>
      <c r="H979" s="91"/>
    </row>
    <row r="980" spans="1:8" ht="31.5" x14ac:dyDescent="0.2">
      <c r="A980" s="83" t="s">
        <v>1068</v>
      </c>
      <c r="B980" s="84" t="s">
        <v>1005</v>
      </c>
      <c r="C980" s="138" t="s">
        <v>130</v>
      </c>
      <c r="D980" s="139">
        <v>4557.54</v>
      </c>
      <c r="E980" s="139">
        <v>1.6027199999999999</v>
      </c>
      <c r="F980" s="140">
        <f>E980*D980</f>
        <v>7304.4605087999998</v>
      </c>
      <c r="G980" s="97" t="s">
        <v>1733</v>
      </c>
      <c r="H980" s="92"/>
    </row>
    <row r="981" spans="1:8" ht="31.5" x14ac:dyDescent="0.2">
      <c r="A981" s="83" t="s">
        <v>1069</v>
      </c>
      <c r="B981" s="84" t="s">
        <v>1007</v>
      </c>
      <c r="C981" s="138" t="s">
        <v>130</v>
      </c>
      <c r="D981" s="139">
        <v>12646.92</v>
      </c>
      <c r="E981" s="139">
        <v>1.764</v>
      </c>
      <c r="F981" s="140">
        <f>E981*D981</f>
        <v>22309.166880000001</v>
      </c>
      <c r="G981" s="97"/>
      <c r="H981" s="92"/>
    </row>
    <row r="982" spans="1:8" ht="31.5" x14ac:dyDescent="0.2">
      <c r="A982" s="83" t="s">
        <v>1070</v>
      </c>
      <c r="B982" s="84" t="s">
        <v>1009</v>
      </c>
      <c r="C982" s="138" t="s">
        <v>130</v>
      </c>
      <c r="D982" s="139">
        <v>17204.46</v>
      </c>
      <c r="E982" s="139">
        <v>18.048000000000002</v>
      </c>
      <c r="F982" s="140">
        <f>E982*D982</f>
        <v>310506.09408000001</v>
      </c>
      <c r="G982" s="97"/>
      <c r="H982" s="92"/>
    </row>
    <row r="983" spans="1:8" x14ac:dyDescent="0.2">
      <c r="A983" s="81" t="s">
        <v>1071</v>
      </c>
      <c r="B983" s="82" t="s">
        <v>295</v>
      </c>
      <c r="C983" s="135" t="s">
        <v>1759</v>
      </c>
      <c r="D983" s="136">
        <v>0</v>
      </c>
      <c r="E983" s="136">
        <v>0</v>
      </c>
      <c r="F983" s="137">
        <f>SUM(F984:F986)</f>
        <v>778212.76</v>
      </c>
      <c r="G983" s="96"/>
      <c r="H983" s="91"/>
    </row>
    <row r="984" spans="1:8" ht="31.5" x14ac:dyDescent="0.2">
      <c r="A984" s="83" t="s">
        <v>1072</v>
      </c>
      <c r="B984" s="84" t="s">
        <v>1061</v>
      </c>
      <c r="C984" s="138" t="s">
        <v>130</v>
      </c>
      <c r="D984" s="139">
        <v>5885.36</v>
      </c>
      <c r="E984" s="139">
        <v>32</v>
      </c>
      <c r="F984" s="140">
        <f>E984*D984</f>
        <v>188331.51999999999</v>
      </c>
      <c r="G984" s="97"/>
      <c r="H984" s="92"/>
    </row>
    <row r="985" spans="1:8" ht="31.5" x14ac:dyDescent="0.2">
      <c r="A985" s="83" t="s">
        <v>1073</v>
      </c>
      <c r="B985" s="84" t="s">
        <v>1017</v>
      </c>
      <c r="C985" s="138" t="s">
        <v>130</v>
      </c>
      <c r="D985" s="139">
        <v>17204.46</v>
      </c>
      <c r="E985" s="139">
        <v>34</v>
      </c>
      <c r="F985" s="140">
        <f>E985*D985</f>
        <v>584951.64</v>
      </c>
      <c r="G985" s="97"/>
      <c r="H985" s="92"/>
    </row>
    <row r="986" spans="1:8" ht="31.5" x14ac:dyDescent="0.2">
      <c r="A986" s="83" t="s">
        <v>2215</v>
      </c>
      <c r="B986" s="84" t="s">
        <v>1015</v>
      </c>
      <c r="C986" s="138" t="s">
        <v>130</v>
      </c>
      <c r="D986" s="139">
        <v>205.4</v>
      </c>
      <c r="E986" s="139">
        <v>24</v>
      </c>
      <c r="F986" s="140">
        <f>E986*D986</f>
        <v>4929.6000000000004</v>
      </c>
      <c r="G986" s="97"/>
      <c r="H986" s="92"/>
    </row>
    <row r="987" spans="1:8" x14ac:dyDescent="0.2">
      <c r="A987" s="79" t="s">
        <v>1074</v>
      </c>
      <c r="B987" s="80" t="s">
        <v>1866</v>
      </c>
      <c r="C987" s="132" t="s">
        <v>1759</v>
      </c>
      <c r="D987" s="133">
        <v>0</v>
      </c>
      <c r="E987" s="133">
        <v>0</v>
      </c>
      <c r="F987" s="134">
        <f>F988+F994+F998</f>
        <v>66761.469479800013</v>
      </c>
      <c r="G987" s="95"/>
      <c r="H987" s="90"/>
    </row>
    <row r="988" spans="1:8" x14ac:dyDescent="0.2">
      <c r="A988" s="81" t="s">
        <v>1075</v>
      </c>
      <c r="B988" s="82" t="s">
        <v>996</v>
      </c>
      <c r="C988" s="135" t="s">
        <v>1759</v>
      </c>
      <c r="D988" s="136">
        <v>0</v>
      </c>
      <c r="E988" s="136">
        <v>0</v>
      </c>
      <c r="F988" s="137">
        <f>SUM(F989:F993)</f>
        <v>12952.626075</v>
      </c>
      <c r="G988" s="96"/>
      <c r="H988" s="91"/>
    </row>
    <row r="989" spans="1:8" x14ac:dyDescent="0.2">
      <c r="A989" s="83" t="s">
        <v>1076</v>
      </c>
      <c r="B989" s="84" t="s">
        <v>998</v>
      </c>
      <c r="C989" s="138" t="s">
        <v>130</v>
      </c>
      <c r="D989" s="139">
        <v>306.55</v>
      </c>
      <c r="E989" s="139">
        <v>23.375</v>
      </c>
      <c r="F989" s="140">
        <f>E989*D989</f>
        <v>7165.6062499999998</v>
      </c>
      <c r="G989" s="97"/>
      <c r="H989" s="92"/>
    </row>
    <row r="990" spans="1:8" x14ac:dyDescent="0.2">
      <c r="A990" s="83" t="s">
        <v>1868</v>
      </c>
      <c r="B990" s="84" t="s">
        <v>1054</v>
      </c>
      <c r="C990" s="138" t="s">
        <v>130</v>
      </c>
      <c r="D990" s="139">
        <v>38.1</v>
      </c>
      <c r="E990" s="139">
        <v>48.575000000000003</v>
      </c>
      <c r="F990" s="140">
        <f>E990*D990</f>
        <v>1850.7075000000002</v>
      </c>
      <c r="G990" s="97"/>
      <c r="H990" s="92"/>
    </row>
    <row r="991" spans="1:8" x14ac:dyDescent="0.2">
      <c r="A991" s="83" t="s">
        <v>2216</v>
      </c>
      <c r="B991" s="84" t="s">
        <v>2217</v>
      </c>
      <c r="C991" s="138" t="s">
        <v>130</v>
      </c>
      <c r="D991" s="139">
        <v>99.25</v>
      </c>
      <c r="E991" s="139">
        <v>32.725000000000001</v>
      </c>
      <c r="F991" s="140">
        <f>E991*D991</f>
        <v>3247.9562500000002</v>
      </c>
      <c r="G991" s="97"/>
      <c r="H991" s="92"/>
    </row>
    <row r="992" spans="1:8" x14ac:dyDescent="0.2">
      <c r="A992" s="83" t="s">
        <v>2218</v>
      </c>
      <c r="B992" s="84" t="s">
        <v>2219</v>
      </c>
      <c r="C992" s="138" t="s">
        <v>130</v>
      </c>
      <c r="D992" s="139">
        <v>7.94</v>
      </c>
      <c r="E992" s="139">
        <v>70.125</v>
      </c>
      <c r="F992" s="140">
        <f>E992*D992</f>
        <v>556.79250000000002</v>
      </c>
      <c r="G992" s="97"/>
      <c r="H992" s="92"/>
    </row>
    <row r="993" spans="1:8" x14ac:dyDescent="0.2">
      <c r="A993" s="83" t="s">
        <v>2220</v>
      </c>
      <c r="B993" s="84" t="s">
        <v>1000</v>
      </c>
      <c r="C993" s="138" t="s">
        <v>130</v>
      </c>
      <c r="D993" s="139">
        <v>18.850000000000001</v>
      </c>
      <c r="E993" s="139">
        <v>6.9795000000000007</v>
      </c>
      <c r="F993" s="140">
        <f>E993*D993</f>
        <v>131.56357500000001</v>
      </c>
      <c r="G993" s="97"/>
      <c r="H993" s="92"/>
    </row>
    <row r="994" spans="1:8" x14ac:dyDescent="0.2">
      <c r="A994" s="81" t="s">
        <v>1077</v>
      </c>
      <c r="B994" s="82" t="s">
        <v>1003</v>
      </c>
      <c r="C994" s="135" t="s">
        <v>1759</v>
      </c>
      <c r="D994" s="136">
        <v>0</v>
      </c>
      <c r="E994" s="136">
        <v>0</v>
      </c>
      <c r="F994" s="137">
        <f>SUM(F995:F997)</f>
        <v>14300.603404800004</v>
      </c>
      <c r="G994" s="96"/>
      <c r="H994" s="91"/>
    </row>
    <row r="995" spans="1:8" ht="31.5" x14ac:dyDescent="0.2">
      <c r="A995" s="83" t="s">
        <v>1078</v>
      </c>
      <c r="B995" s="84" t="s">
        <v>1005</v>
      </c>
      <c r="C995" s="138" t="s">
        <v>130</v>
      </c>
      <c r="D995" s="139">
        <v>199.59</v>
      </c>
      <c r="E995" s="139">
        <v>1.6027199999999999</v>
      </c>
      <c r="F995" s="140">
        <f t="shared" ref="F995:F1001" si="35">E995*D995</f>
        <v>319.88688479999996</v>
      </c>
      <c r="G995" s="97" t="s">
        <v>1733</v>
      </c>
      <c r="H995" s="92"/>
    </row>
    <row r="996" spans="1:8" ht="31.5" x14ac:dyDescent="0.2">
      <c r="A996" s="83" t="s">
        <v>1079</v>
      </c>
      <c r="B996" s="84" t="s">
        <v>1007</v>
      </c>
      <c r="C996" s="138" t="s">
        <v>130</v>
      </c>
      <c r="D996" s="139">
        <v>523.85</v>
      </c>
      <c r="E996" s="139">
        <v>1.764</v>
      </c>
      <c r="F996" s="140">
        <f t="shared" si="35"/>
        <v>924.07140000000004</v>
      </c>
      <c r="G996" s="97"/>
      <c r="H996" s="92"/>
    </row>
    <row r="997" spans="1:8" ht="31.5" x14ac:dyDescent="0.2">
      <c r="A997" s="83" t="s">
        <v>1080</v>
      </c>
      <c r="B997" s="84" t="s">
        <v>1009</v>
      </c>
      <c r="C997" s="138" t="s">
        <v>130</v>
      </c>
      <c r="D997" s="139">
        <v>723.44</v>
      </c>
      <c r="E997" s="139">
        <v>18.048000000000002</v>
      </c>
      <c r="F997" s="140">
        <f t="shared" si="35"/>
        <v>13056.645120000003</v>
      </c>
      <c r="G997" s="97"/>
      <c r="H997" s="92"/>
    </row>
    <row r="998" spans="1:8" x14ac:dyDescent="0.2">
      <c r="A998" s="81" t="s">
        <v>1081</v>
      </c>
      <c r="B998" s="82" t="s">
        <v>295</v>
      </c>
      <c r="C998" s="135" t="s">
        <v>1759</v>
      </c>
      <c r="D998" s="136">
        <v>0</v>
      </c>
      <c r="E998" s="136">
        <v>0</v>
      </c>
      <c r="F998" s="137">
        <f>SUM(F999:F1001)</f>
        <v>39508.240000000005</v>
      </c>
      <c r="G998" s="96"/>
      <c r="H998" s="91"/>
    </row>
    <row r="999" spans="1:8" ht="31.5" x14ac:dyDescent="0.2">
      <c r="A999" s="83" t="s">
        <v>1082</v>
      </c>
      <c r="B999" s="84" t="s">
        <v>1017</v>
      </c>
      <c r="C999" s="138" t="s">
        <v>130</v>
      </c>
      <c r="D999" s="139">
        <v>723.44</v>
      </c>
      <c r="E999" s="139">
        <v>34</v>
      </c>
      <c r="F999" s="140">
        <f t="shared" si="35"/>
        <v>24596.960000000003</v>
      </c>
      <c r="G999" s="97"/>
      <c r="H999" s="92"/>
    </row>
    <row r="1000" spans="1:8" ht="31.5" x14ac:dyDescent="0.2">
      <c r="A1000" s="83" t="s">
        <v>2221</v>
      </c>
      <c r="B1000" s="84" t="s">
        <v>1061</v>
      </c>
      <c r="C1000" s="138" t="s">
        <v>130</v>
      </c>
      <c r="D1000" s="139">
        <v>451.84000000000003</v>
      </c>
      <c r="E1000" s="139">
        <v>32</v>
      </c>
      <c r="F1000" s="140">
        <f t="shared" si="35"/>
        <v>14458.880000000001</v>
      </c>
      <c r="G1000" s="97"/>
      <c r="H1000" s="92"/>
    </row>
    <row r="1001" spans="1:8" ht="31.5" x14ac:dyDescent="0.2">
      <c r="A1001" s="83" t="s">
        <v>2222</v>
      </c>
      <c r="B1001" s="84" t="s">
        <v>1015</v>
      </c>
      <c r="C1001" s="138" t="s">
        <v>130</v>
      </c>
      <c r="D1001" s="139">
        <v>18.850000000000001</v>
      </c>
      <c r="E1001" s="139">
        <v>24</v>
      </c>
      <c r="F1001" s="140">
        <f t="shared" si="35"/>
        <v>452.40000000000003</v>
      </c>
      <c r="G1001" s="97"/>
      <c r="H1001" s="92"/>
    </row>
    <row r="1002" spans="1:8" x14ac:dyDescent="0.2">
      <c r="A1002" s="79" t="s">
        <v>1083</v>
      </c>
      <c r="B1002" s="80" t="s">
        <v>2223</v>
      </c>
      <c r="C1002" s="132" t="s">
        <v>1759</v>
      </c>
      <c r="D1002" s="133">
        <v>0</v>
      </c>
      <c r="E1002" s="133">
        <v>0</v>
      </c>
      <c r="F1002" s="134">
        <f>F1003+F1007+F1011</f>
        <v>35815.036866199996</v>
      </c>
      <c r="G1002" s="95"/>
      <c r="H1002" s="90"/>
    </row>
    <row r="1003" spans="1:8" x14ac:dyDescent="0.2">
      <c r="A1003" s="81" t="s">
        <v>1085</v>
      </c>
      <c r="B1003" s="82" t="s">
        <v>996</v>
      </c>
      <c r="C1003" s="135" t="s">
        <v>1759</v>
      </c>
      <c r="D1003" s="136">
        <v>0</v>
      </c>
      <c r="E1003" s="136">
        <v>0</v>
      </c>
      <c r="F1003" s="137">
        <f>SUM(F1004:F1006)</f>
        <v>11927.038255000001</v>
      </c>
      <c r="G1003" s="96"/>
      <c r="H1003" s="91"/>
    </row>
    <row r="1004" spans="1:8" x14ac:dyDescent="0.2">
      <c r="A1004" s="83" t="s">
        <v>2224</v>
      </c>
      <c r="B1004" s="84" t="s">
        <v>998</v>
      </c>
      <c r="C1004" s="138" t="s">
        <v>130</v>
      </c>
      <c r="D1004" s="139">
        <v>28.830000000000002</v>
      </c>
      <c r="E1004" s="139">
        <v>23.375</v>
      </c>
      <c r="F1004" s="140">
        <f>E1004*D1004</f>
        <v>673.90125</v>
      </c>
      <c r="G1004" s="97"/>
      <c r="H1004" s="92"/>
    </row>
    <row r="1005" spans="1:8" x14ac:dyDescent="0.2">
      <c r="A1005" s="83" t="s">
        <v>2225</v>
      </c>
      <c r="B1005" s="84" t="s">
        <v>2217</v>
      </c>
      <c r="C1005" s="138" t="s">
        <v>130</v>
      </c>
      <c r="D1005" s="139">
        <v>343.36</v>
      </c>
      <c r="E1005" s="139">
        <v>32.725000000000001</v>
      </c>
      <c r="F1005" s="140">
        <f>E1005*D1005</f>
        <v>11236.456</v>
      </c>
      <c r="G1005" s="97"/>
      <c r="H1005" s="92"/>
    </row>
    <row r="1006" spans="1:8" ht="31.5" x14ac:dyDescent="0.2">
      <c r="A1006" s="83" t="s">
        <v>2226</v>
      </c>
      <c r="B1006" s="84" t="s">
        <v>1000</v>
      </c>
      <c r="C1006" s="138" t="s">
        <v>130</v>
      </c>
      <c r="D1006" s="139">
        <v>2.39</v>
      </c>
      <c r="E1006" s="139">
        <v>6.9795000000000007</v>
      </c>
      <c r="F1006" s="140">
        <f>E1006*D1006</f>
        <v>16.681005000000003</v>
      </c>
      <c r="G1006" s="97"/>
      <c r="H1006" s="92"/>
    </row>
    <row r="1007" spans="1:8" x14ac:dyDescent="0.2">
      <c r="A1007" s="81" t="s">
        <v>1086</v>
      </c>
      <c r="B1007" s="82" t="s">
        <v>1003</v>
      </c>
      <c r="C1007" s="135" t="s">
        <v>1759</v>
      </c>
      <c r="D1007" s="136">
        <v>0</v>
      </c>
      <c r="E1007" s="136">
        <v>0</v>
      </c>
      <c r="F1007" s="137">
        <f>SUM(F1008:F1010)</f>
        <v>4382.0786112000005</v>
      </c>
      <c r="G1007" s="96"/>
      <c r="H1007" s="91"/>
    </row>
    <row r="1008" spans="1:8" ht="31.5" x14ac:dyDescent="0.2">
      <c r="A1008" s="83" t="s">
        <v>1087</v>
      </c>
      <c r="B1008" s="84" t="s">
        <v>1005</v>
      </c>
      <c r="C1008" s="138" t="s">
        <v>130</v>
      </c>
      <c r="D1008" s="139">
        <v>65.960000000000008</v>
      </c>
      <c r="E1008" s="139">
        <v>1.6027199999999999</v>
      </c>
      <c r="F1008" s="140">
        <f>E1008*D1008</f>
        <v>105.71541120000001</v>
      </c>
      <c r="G1008" s="97" t="s">
        <v>1733</v>
      </c>
      <c r="H1008" s="92"/>
    </row>
    <row r="1009" spans="1:8" ht="31.5" x14ac:dyDescent="0.2">
      <c r="A1009" s="83" t="s">
        <v>1088</v>
      </c>
      <c r="B1009" s="84" t="s">
        <v>1007</v>
      </c>
      <c r="C1009" s="138" t="s">
        <v>130</v>
      </c>
      <c r="D1009" s="139">
        <v>155.76</v>
      </c>
      <c r="E1009" s="139">
        <v>1.764</v>
      </c>
      <c r="F1009" s="140">
        <f>E1009*D1009</f>
        <v>274.76063999999997</v>
      </c>
      <c r="G1009" s="97"/>
      <c r="H1009" s="92"/>
    </row>
    <row r="1010" spans="1:8" ht="31.5" x14ac:dyDescent="0.2">
      <c r="A1010" s="83" t="s">
        <v>1089</v>
      </c>
      <c r="B1010" s="84" t="s">
        <v>1009</v>
      </c>
      <c r="C1010" s="138" t="s">
        <v>130</v>
      </c>
      <c r="D1010" s="139">
        <v>221.72</v>
      </c>
      <c r="E1010" s="139">
        <v>18.048000000000002</v>
      </c>
      <c r="F1010" s="140">
        <f>E1010*D1010</f>
        <v>4001.6025600000003</v>
      </c>
      <c r="G1010" s="97"/>
      <c r="H1010" s="92"/>
    </row>
    <row r="1011" spans="1:8" x14ac:dyDescent="0.2">
      <c r="A1011" s="81" t="s">
        <v>1090</v>
      </c>
      <c r="B1011" s="82" t="s">
        <v>295</v>
      </c>
      <c r="C1011" s="135" t="s">
        <v>1759</v>
      </c>
      <c r="D1011" s="136">
        <v>0</v>
      </c>
      <c r="E1011" s="136">
        <v>0</v>
      </c>
      <c r="F1011" s="137">
        <f>SUM(F1012:F1014)</f>
        <v>19505.919999999998</v>
      </c>
      <c r="G1011" s="96"/>
      <c r="H1011" s="91"/>
    </row>
    <row r="1012" spans="1:8" ht="31.5" x14ac:dyDescent="0.2">
      <c r="A1012" s="83" t="s">
        <v>1091</v>
      </c>
      <c r="B1012" s="84" t="s">
        <v>1013</v>
      </c>
      <c r="C1012" s="138" t="s">
        <v>130</v>
      </c>
      <c r="D1012" s="139">
        <v>372.19</v>
      </c>
      <c r="E1012" s="139">
        <v>32</v>
      </c>
      <c r="F1012" s="140">
        <f>E1012*D1012</f>
        <v>11910.08</v>
      </c>
      <c r="G1012" s="97"/>
      <c r="H1012" s="92"/>
    </row>
    <row r="1013" spans="1:8" ht="31.5" x14ac:dyDescent="0.2">
      <c r="A1013" s="83" t="s">
        <v>1092</v>
      </c>
      <c r="B1013" s="84" t="s">
        <v>1017</v>
      </c>
      <c r="C1013" s="138" t="s">
        <v>130</v>
      </c>
      <c r="D1013" s="139">
        <v>221.72</v>
      </c>
      <c r="E1013" s="139">
        <v>34</v>
      </c>
      <c r="F1013" s="140">
        <f>E1013*D1013</f>
        <v>7538.48</v>
      </c>
      <c r="G1013" s="97"/>
      <c r="H1013" s="92"/>
    </row>
    <row r="1014" spans="1:8" ht="31.5" x14ac:dyDescent="0.2">
      <c r="A1014" s="83" t="s">
        <v>2227</v>
      </c>
      <c r="B1014" s="84" t="s">
        <v>1015</v>
      </c>
      <c r="C1014" s="138" t="s">
        <v>130</v>
      </c>
      <c r="D1014" s="139">
        <v>2.39</v>
      </c>
      <c r="E1014" s="139">
        <v>24</v>
      </c>
      <c r="F1014" s="140">
        <f t="shared" ref="F1014" si="36">E1014*D1014</f>
        <v>57.36</v>
      </c>
      <c r="G1014" s="97"/>
      <c r="H1014" s="92"/>
    </row>
    <row r="1015" spans="1:8" x14ac:dyDescent="0.2">
      <c r="A1015" s="79" t="s">
        <v>2228</v>
      </c>
      <c r="B1015" s="80" t="s">
        <v>1084</v>
      </c>
      <c r="C1015" s="132" t="s">
        <v>1759</v>
      </c>
      <c r="D1015" s="133">
        <v>0</v>
      </c>
      <c r="E1015" s="133">
        <v>0</v>
      </c>
      <c r="F1015" s="134">
        <f>F1016+F1018+F1022</f>
        <v>15366.712644800002</v>
      </c>
      <c r="G1015" s="95"/>
      <c r="H1015" s="90"/>
    </row>
    <row r="1016" spans="1:8" x14ac:dyDescent="0.2">
      <c r="A1016" s="81" t="s">
        <v>2229</v>
      </c>
      <c r="B1016" s="82" t="s">
        <v>996</v>
      </c>
      <c r="C1016" s="135" t="s">
        <v>1759</v>
      </c>
      <c r="D1016" s="136">
        <v>0</v>
      </c>
      <c r="E1016" s="136">
        <v>0</v>
      </c>
      <c r="F1016" s="137">
        <f>F1017</f>
        <v>3701.8520000000003</v>
      </c>
      <c r="G1016" s="96"/>
      <c r="H1016" s="91"/>
    </row>
    <row r="1017" spans="1:8" x14ac:dyDescent="0.2">
      <c r="A1017" s="83" t="s">
        <v>2230</v>
      </c>
      <c r="B1017" s="84" t="s">
        <v>2217</v>
      </c>
      <c r="C1017" s="138" t="s">
        <v>130</v>
      </c>
      <c r="D1017" s="139">
        <v>113.12</v>
      </c>
      <c r="E1017" s="139">
        <v>32.725000000000001</v>
      </c>
      <c r="F1017" s="140">
        <f>E1017*D1017</f>
        <v>3701.8520000000003</v>
      </c>
      <c r="G1017" s="97"/>
      <c r="H1017" s="92"/>
    </row>
    <row r="1018" spans="1:8" x14ac:dyDescent="0.2">
      <c r="A1018" s="81" t="s">
        <v>2231</v>
      </c>
      <c r="B1018" s="82" t="s">
        <v>1003</v>
      </c>
      <c r="C1018" s="135" t="s">
        <v>1759</v>
      </c>
      <c r="D1018" s="136">
        <v>0</v>
      </c>
      <c r="E1018" s="136">
        <v>0</v>
      </c>
      <c r="F1018" s="137">
        <f>SUM(F1019:F1021)</f>
        <v>2957.6006448000003</v>
      </c>
      <c r="G1018" s="96"/>
      <c r="H1018" s="91"/>
    </row>
    <row r="1019" spans="1:8" ht="31.5" x14ac:dyDescent="0.2">
      <c r="A1019" s="83" t="s">
        <v>2232</v>
      </c>
      <c r="B1019" s="84" t="s">
        <v>1005</v>
      </c>
      <c r="C1019" s="138" t="s">
        <v>130</v>
      </c>
      <c r="D1019" s="139">
        <v>42.59</v>
      </c>
      <c r="E1019" s="139">
        <v>1.6027199999999999</v>
      </c>
      <c r="F1019" s="140">
        <f t="shared" ref="F1019:F1024" si="37">E1019*D1019</f>
        <v>68.259844799999996</v>
      </c>
      <c r="G1019" s="97" t="s">
        <v>1733</v>
      </c>
      <c r="H1019" s="92"/>
    </row>
    <row r="1020" spans="1:8" ht="31.5" x14ac:dyDescent="0.2">
      <c r="A1020" s="83" t="s">
        <v>2233</v>
      </c>
      <c r="B1020" s="84" t="s">
        <v>1007</v>
      </c>
      <c r="C1020" s="138" t="s">
        <v>130</v>
      </c>
      <c r="D1020" s="139">
        <v>107.04</v>
      </c>
      <c r="E1020" s="139">
        <v>1.764</v>
      </c>
      <c r="F1020" s="140">
        <f t="shared" si="37"/>
        <v>188.81856000000002</v>
      </c>
      <c r="G1020" s="97"/>
      <c r="H1020" s="92"/>
    </row>
    <row r="1021" spans="1:8" ht="31.5" x14ac:dyDescent="0.2">
      <c r="A1021" s="83" t="s">
        <v>2234</v>
      </c>
      <c r="B1021" s="84" t="s">
        <v>1009</v>
      </c>
      <c r="C1021" s="138" t="s">
        <v>130</v>
      </c>
      <c r="D1021" s="139">
        <v>149.63</v>
      </c>
      <c r="E1021" s="139">
        <v>18.048000000000002</v>
      </c>
      <c r="F1021" s="140">
        <f t="shared" si="37"/>
        <v>2700.5222400000002</v>
      </c>
      <c r="G1021" s="97"/>
      <c r="H1021" s="92"/>
    </row>
    <row r="1022" spans="1:8" x14ac:dyDescent="0.2">
      <c r="A1022" s="81" t="s">
        <v>2235</v>
      </c>
      <c r="B1022" s="82" t="s">
        <v>295</v>
      </c>
      <c r="C1022" s="135" t="s">
        <v>1759</v>
      </c>
      <c r="D1022" s="136">
        <v>0</v>
      </c>
      <c r="E1022" s="136">
        <v>0</v>
      </c>
      <c r="F1022" s="137">
        <f>SUM(F1023:F1024)</f>
        <v>8707.26</v>
      </c>
      <c r="G1022" s="96"/>
      <c r="H1022" s="91"/>
    </row>
    <row r="1023" spans="1:8" x14ac:dyDescent="0.2">
      <c r="A1023" s="83" t="s">
        <v>2236</v>
      </c>
      <c r="B1023" s="84" t="s">
        <v>1013</v>
      </c>
      <c r="C1023" s="138" t="s">
        <v>130</v>
      </c>
      <c r="D1023" s="139">
        <v>113.12</v>
      </c>
      <c r="E1023" s="139">
        <v>32</v>
      </c>
      <c r="F1023" s="140">
        <f t="shared" si="37"/>
        <v>3619.84</v>
      </c>
      <c r="G1023" s="97"/>
      <c r="H1023" s="92"/>
    </row>
    <row r="1024" spans="1:8" ht="31.5" x14ac:dyDescent="0.2">
      <c r="A1024" s="83" t="s">
        <v>2237</v>
      </c>
      <c r="B1024" s="84" t="s">
        <v>1017</v>
      </c>
      <c r="C1024" s="138" t="s">
        <v>130</v>
      </c>
      <c r="D1024" s="139">
        <v>149.63</v>
      </c>
      <c r="E1024" s="139">
        <v>34</v>
      </c>
      <c r="F1024" s="140">
        <f t="shared" si="37"/>
        <v>5087.42</v>
      </c>
      <c r="G1024" s="97"/>
      <c r="H1024" s="92"/>
    </row>
    <row r="1025" spans="1:8" x14ac:dyDescent="0.2">
      <c r="A1025" s="77" t="s">
        <v>1108</v>
      </c>
      <c r="B1025" s="78" t="s">
        <v>31</v>
      </c>
      <c r="C1025" s="129" t="s">
        <v>1759</v>
      </c>
      <c r="D1025" s="130">
        <v>0</v>
      </c>
      <c r="E1025" s="130">
        <v>0</v>
      </c>
      <c r="F1025" s="131">
        <f>F1026+F1034+F1042+F1050+F1060+F1070+F1080+F1088+F1093</f>
        <v>752400.11312499992</v>
      </c>
      <c r="G1025" s="98"/>
      <c r="H1025" s="89"/>
    </row>
    <row r="1026" spans="1:8" x14ac:dyDescent="0.2">
      <c r="A1026" s="79" t="s">
        <v>1109</v>
      </c>
      <c r="B1026" s="80" t="s">
        <v>32</v>
      </c>
      <c r="C1026" s="132" t="s">
        <v>1759</v>
      </c>
      <c r="D1026" s="133">
        <v>0</v>
      </c>
      <c r="E1026" s="133">
        <v>0</v>
      </c>
      <c r="F1026" s="134">
        <f>F1027+F1029+F1032</f>
        <v>25153.759999999998</v>
      </c>
      <c r="G1026" s="95"/>
      <c r="H1026" s="90"/>
    </row>
    <row r="1027" spans="1:8" x14ac:dyDescent="0.2">
      <c r="A1027" s="81" t="s">
        <v>1110</v>
      </c>
      <c r="B1027" s="82" t="s">
        <v>1111</v>
      </c>
      <c r="C1027" s="135" t="s">
        <v>1759</v>
      </c>
      <c r="D1027" s="136">
        <v>0</v>
      </c>
      <c r="E1027" s="136">
        <v>0</v>
      </c>
      <c r="F1027" s="137">
        <f>F1028</f>
        <v>2897.7</v>
      </c>
      <c r="G1027" s="96"/>
      <c r="H1027" s="91"/>
    </row>
    <row r="1028" spans="1:8" x14ac:dyDescent="0.2">
      <c r="A1028" s="83" t="s">
        <v>1112</v>
      </c>
      <c r="B1028" s="84" t="s">
        <v>1106</v>
      </c>
      <c r="C1028" s="138" t="s">
        <v>130</v>
      </c>
      <c r="D1028" s="139">
        <v>713.28</v>
      </c>
      <c r="E1028" s="139">
        <v>4.0625</v>
      </c>
      <c r="F1028" s="140">
        <f>E1028*D1028</f>
        <v>2897.7</v>
      </c>
      <c r="G1028" s="97" t="s">
        <v>86</v>
      </c>
      <c r="H1028" s="92"/>
    </row>
    <row r="1029" spans="1:8" x14ac:dyDescent="0.2">
      <c r="A1029" s="81" t="s">
        <v>1113</v>
      </c>
      <c r="B1029" s="82" t="s">
        <v>1114</v>
      </c>
      <c r="C1029" s="135" t="s">
        <v>1759</v>
      </c>
      <c r="D1029" s="136">
        <v>0</v>
      </c>
      <c r="E1029" s="136">
        <v>0</v>
      </c>
      <c r="F1029" s="137">
        <f>SUM(F1030:F1031)</f>
        <v>6563.9</v>
      </c>
      <c r="G1029" s="96"/>
      <c r="H1029" s="91"/>
    </row>
    <row r="1030" spans="1:8" ht="31.5" x14ac:dyDescent="0.2">
      <c r="A1030" s="83" t="s">
        <v>1115</v>
      </c>
      <c r="B1030" s="84" t="s">
        <v>1116</v>
      </c>
      <c r="C1030" s="138" t="s">
        <v>130</v>
      </c>
      <c r="D1030" s="139">
        <v>74.94</v>
      </c>
      <c r="E1030" s="139">
        <v>60</v>
      </c>
      <c r="F1030" s="140">
        <f>E1030*D1030</f>
        <v>4496.3999999999996</v>
      </c>
      <c r="G1030" s="97" t="s">
        <v>86</v>
      </c>
      <c r="H1030" s="92"/>
    </row>
    <row r="1031" spans="1:8" x14ac:dyDescent="0.2">
      <c r="A1031" s="83" t="s">
        <v>1117</v>
      </c>
      <c r="B1031" s="84" t="s">
        <v>1118</v>
      </c>
      <c r="C1031" s="138" t="s">
        <v>123</v>
      </c>
      <c r="D1031" s="139">
        <v>82.7</v>
      </c>
      <c r="E1031" s="139">
        <v>25</v>
      </c>
      <c r="F1031" s="140">
        <f>E1031*D1031</f>
        <v>2067.5</v>
      </c>
      <c r="G1031" s="97" t="s">
        <v>86</v>
      </c>
      <c r="H1031" s="92"/>
    </row>
    <row r="1032" spans="1:8" x14ac:dyDescent="0.2">
      <c r="A1032" s="81" t="s">
        <v>1119</v>
      </c>
      <c r="B1032" s="82" t="s">
        <v>295</v>
      </c>
      <c r="C1032" s="135" t="s">
        <v>1759</v>
      </c>
      <c r="D1032" s="136">
        <v>0</v>
      </c>
      <c r="E1032" s="136">
        <v>0</v>
      </c>
      <c r="F1032" s="137">
        <f>F1033</f>
        <v>15692.16</v>
      </c>
      <c r="G1032" s="96"/>
      <c r="H1032" s="91"/>
    </row>
    <row r="1033" spans="1:8" x14ac:dyDescent="0.2">
      <c r="A1033" s="83" t="s">
        <v>1120</v>
      </c>
      <c r="B1033" s="84" t="s">
        <v>1018</v>
      </c>
      <c r="C1033" s="138" t="s">
        <v>130</v>
      </c>
      <c r="D1033" s="139">
        <v>713.28</v>
      </c>
      <c r="E1033" s="139">
        <v>22</v>
      </c>
      <c r="F1033" s="140">
        <f>E1033*D1033</f>
        <v>15692.16</v>
      </c>
      <c r="G1033" s="97"/>
      <c r="H1033" s="92"/>
    </row>
    <row r="1034" spans="1:8" x14ac:dyDescent="0.2">
      <c r="A1034" s="79" t="s">
        <v>1121</v>
      </c>
      <c r="B1034" s="80" t="s">
        <v>2238</v>
      </c>
      <c r="C1034" s="132" t="s">
        <v>1759</v>
      </c>
      <c r="D1034" s="133">
        <v>0</v>
      </c>
      <c r="E1034" s="133">
        <v>0</v>
      </c>
      <c r="F1034" s="134">
        <f>F1035+F1037+F1040</f>
        <v>23216.025624999998</v>
      </c>
      <c r="G1034" s="95"/>
      <c r="H1034" s="90"/>
    </row>
    <row r="1035" spans="1:8" x14ac:dyDescent="0.2">
      <c r="A1035" s="81" t="s">
        <v>1122</v>
      </c>
      <c r="B1035" s="82" t="s">
        <v>1111</v>
      </c>
      <c r="C1035" s="135" t="s">
        <v>1759</v>
      </c>
      <c r="D1035" s="136">
        <v>0</v>
      </c>
      <c r="E1035" s="136">
        <v>0</v>
      </c>
      <c r="F1035" s="137">
        <f>F1036</f>
        <v>3499.9656249999998</v>
      </c>
      <c r="G1035" s="96"/>
      <c r="H1035" s="91"/>
    </row>
    <row r="1036" spans="1:8" x14ac:dyDescent="0.2">
      <c r="A1036" s="83" t="s">
        <v>1123</v>
      </c>
      <c r="B1036" s="84" t="s">
        <v>1106</v>
      </c>
      <c r="C1036" s="138" t="s">
        <v>130</v>
      </c>
      <c r="D1036" s="139">
        <v>861.53</v>
      </c>
      <c r="E1036" s="139">
        <v>4.0625</v>
      </c>
      <c r="F1036" s="140">
        <f>E1036*D1036</f>
        <v>3499.9656249999998</v>
      </c>
      <c r="G1036" s="97" t="s">
        <v>86</v>
      </c>
      <c r="H1036" s="92"/>
    </row>
    <row r="1037" spans="1:8" x14ac:dyDescent="0.2">
      <c r="A1037" s="81" t="s">
        <v>2239</v>
      </c>
      <c r="B1037" s="82" t="s">
        <v>1114</v>
      </c>
      <c r="C1037" s="135" t="s">
        <v>1759</v>
      </c>
      <c r="D1037" s="136">
        <v>0</v>
      </c>
      <c r="E1037" s="136">
        <v>0</v>
      </c>
      <c r="F1037" s="137">
        <f>SUM(F1038:F1039)</f>
        <v>762.4</v>
      </c>
      <c r="G1037" s="96"/>
      <c r="H1037" s="91"/>
    </row>
    <row r="1038" spans="1:8" ht="31.5" x14ac:dyDescent="0.2">
      <c r="A1038" s="83" t="s">
        <v>2240</v>
      </c>
      <c r="B1038" s="84" t="s">
        <v>1116</v>
      </c>
      <c r="C1038" s="138" t="s">
        <v>130</v>
      </c>
      <c r="D1038" s="139">
        <v>7.59</v>
      </c>
      <c r="E1038" s="139">
        <v>60</v>
      </c>
      <c r="F1038" s="140">
        <f>E1038*D1038</f>
        <v>455.4</v>
      </c>
      <c r="G1038" s="97" t="s">
        <v>86</v>
      </c>
      <c r="H1038" s="92"/>
    </row>
    <row r="1039" spans="1:8" x14ac:dyDescent="0.2">
      <c r="A1039" s="83" t="s">
        <v>2241</v>
      </c>
      <c r="B1039" s="84" t="s">
        <v>1118</v>
      </c>
      <c r="C1039" s="138" t="s">
        <v>123</v>
      </c>
      <c r="D1039" s="139">
        <v>12.280000000000001</v>
      </c>
      <c r="E1039" s="139">
        <v>25</v>
      </c>
      <c r="F1039" s="140">
        <f>E1039*D1039</f>
        <v>307</v>
      </c>
      <c r="G1039" s="97" t="s">
        <v>86</v>
      </c>
      <c r="H1039" s="92"/>
    </row>
    <row r="1040" spans="1:8" x14ac:dyDescent="0.2">
      <c r="A1040" s="81" t="s">
        <v>1124</v>
      </c>
      <c r="B1040" s="82" t="s">
        <v>295</v>
      </c>
      <c r="C1040" s="135" t="s">
        <v>1759</v>
      </c>
      <c r="D1040" s="136">
        <v>0</v>
      </c>
      <c r="E1040" s="136">
        <v>0</v>
      </c>
      <c r="F1040" s="137">
        <f>F1041</f>
        <v>18953.66</v>
      </c>
      <c r="G1040" s="96"/>
      <c r="H1040" s="91"/>
    </row>
    <row r="1041" spans="1:8" x14ac:dyDescent="0.2">
      <c r="A1041" s="83" t="s">
        <v>1125</v>
      </c>
      <c r="B1041" s="84" t="s">
        <v>1126</v>
      </c>
      <c r="C1041" s="138" t="s">
        <v>130</v>
      </c>
      <c r="D1041" s="139">
        <v>861.53</v>
      </c>
      <c r="E1041" s="139">
        <v>22</v>
      </c>
      <c r="F1041" s="140">
        <f>E1041*D1041</f>
        <v>18953.66</v>
      </c>
      <c r="G1041" s="97"/>
      <c r="H1041" s="92"/>
    </row>
    <row r="1042" spans="1:8" x14ac:dyDescent="0.2">
      <c r="A1042" s="79" t="s">
        <v>1127</v>
      </c>
      <c r="B1042" s="80" t="s">
        <v>2242</v>
      </c>
      <c r="C1042" s="132" t="s">
        <v>1759</v>
      </c>
      <c r="D1042" s="133">
        <v>0</v>
      </c>
      <c r="E1042" s="133">
        <v>0</v>
      </c>
      <c r="F1042" s="134">
        <f>F1043+F1045+F1048</f>
        <v>18120.285625</v>
      </c>
      <c r="G1042" s="95"/>
      <c r="H1042" s="90"/>
    </row>
    <row r="1043" spans="1:8" x14ac:dyDescent="0.2">
      <c r="A1043" s="81" t="s">
        <v>1128</v>
      </c>
      <c r="B1043" s="82" t="s">
        <v>1111</v>
      </c>
      <c r="C1043" s="135" t="s">
        <v>1759</v>
      </c>
      <c r="D1043" s="136">
        <v>0</v>
      </c>
      <c r="E1043" s="136">
        <v>0</v>
      </c>
      <c r="F1043" s="137">
        <f>F1044</f>
        <v>2705.6656250000001</v>
      </c>
      <c r="G1043" s="96"/>
      <c r="H1043" s="91"/>
    </row>
    <row r="1044" spans="1:8" x14ac:dyDescent="0.2">
      <c r="A1044" s="83" t="s">
        <v>1129</v>
      </c>
      <c r="B1044" s="84" t="s">
        <v>1106</v>
      </c>
      <c r="C1044" s="138" t="s">
        <v>130</v>
      </c>
      <c r="D1044" s="139">
        <v>666.01</v>
      </c>
      <c r="E1044" s="139">
        <v>4.0625</v>
      </c>
      <c r="F1044" s="140">
        <f>E1044*D1044</f>
        <v>2705.6656250000001</v>
      </c>
      <c r="G1044" s="97" t="s">
        <v>86</v>
      </c>
      <c r="H1044" s="92"/>
    </row>
    <row r="1045" spans="1:8" x14ac:dyDescent="0.2">
      <c r="A1045" s="81" t="s">
        <v>2243</v>
      </c>
      <c r="B1045" s="82" t="s">
        <v>1114</v>
      </c>
      <c r="C1045" s="135" t="s">
        <v>1759</v>
      </c>
      <c r="D1045" s="136">
        <v>0</v>
      </c>
      <c r="E1045" s="136">
        <v>0</v>
      </c>
      <c r="F1045" s="137">
        <f>SUM(F1046:F1047)</f>
        <v>762.4</v>
      </c>
      <c r="G1045" s="96"/>
      <c r="H1045" s="91"/>
    </row>
    <row r="1046" spans="1:8" ht="31.5" x14ac:dyDescent="0.2">
      <c r="A1046" s="83" t="s">
        <v>2244</v>
      </c>
      <c r="B1046" s="84" t="s">
        <v>1116</v>
      </c>
      <c r="C1046" s="138" t="s">
        <v>130</v>
      </c>
      <c r="D1046" s="139">
        <v>7.59</v>
      </c>
      <c r="E1046" s="139">
        <v>60</v>
      </c>
      <c r="F1046" s="140">
        <f>E1046*D1046</f>
        <v>455.4</v>
      </c>
      <c r="G1046" s="97" t="s">
        <v>86</v>
      </c>
      <c r="H1046" s="92"/>
    </row>
    <row r="1047" spans="1:8" x14ac:dyDescent="0.2">
      <c r="A1047" s="83" t="s">
        <v>2245</v>
      </c>
      <c r="B1047" s="84" t="s">
        <v>1118</v>
      </c>
      <c r="C1047" s="138" t="s">
        <v>123</v>
      </c>
      <c r="D1047" s="139">
        <v>12.280000000000001</v>
      </c>
      <c r="E1047" s="139">
        <v>25</v>
      </c>
      <c r="F1047" s="140">
        <f>E1047*D1047</f>
        <v>307</v>
      </c>
      <c r="G1047" s="97" t="s">
        <v>86</v>
      </c>
      <c r="H1047" s="92"/>
    </row>
    <row r="1048" spans="1:8" x14ac:dyDescent="0.2">
      <c r="A1048" s="81" t="s">
        <v>1130</v>
      </c>
      <c r="B1048" s="82" t="s">
        <v>295</v>
      </c>
      <c r="C1048" s="135" t="s">
        <v>1759</v>
      </c>
      <c r="D1048" s="136">
        <v>0</v>
      </c>
      <c r="E1048" s="136">
        <v>0</v>
      </c>
      <c r="F1048" s="137">
        <f>F1049</f>
        <v>14652.22</v>
      </c>
      <c r="G1048" s="96"/>
      <c r="H1048" s="91"/>
    </row>
    <row r="1049" spans="1:8" x14ac:dyDescent="0.2">
      <c r="A1049" s="83" t="s">
        <v>1131</v>
      </c>
      <c r="B1049" s="84" t="s">
        <v>1126</v>
      </c>
      <c r="C1049" s="138" t="s">
        <v>130</v>
      </c>
      <c r="D1049" s="139">
        <v>666.01</v>
      </c>
      <c r="E1049" s="139">
        <v>22</v>
      </c>
      <c r="F1049" s="140">
        <f>E1049*D1049</f>
        <v>14652.22</v>
      </c>
      <c r="G1049" s="97"/>
      <c r="H1049" s="92"/>
    </row>
    <row r="1050" spans="1:8" x14ac:dyDescent="0.2">
      <c r="A1050" s="79" t="s">
        <v>1132</v>
      </c>
      <c r="B1050" s="80" t="s">
        <v>2246</v>
      </c>
      <c r="C1050" s="132" t="s">
        <v>1759</v>
      </c>
      <c r="D1050" s="133">
        <v>0</v>
      </c>
      <c r="E1050" s="133">
        <v>0</v>
      </c>
      <c r="F1050" s="134">
        <f>F1051+F1053+F1056+F1058</f>
        <v>17428.066875</v>
      </c>
      <c r="G1050" s="95"/>
      <c r="H1050" s="90"/>
    </row>
    <row r="1051" spans="1:8" x14ac:dyDescent="0.2">
      <c r="A1051" s="81" t="s">
        <v>1133</v>
      </c>
      <c r="B1051" s="82" t="s">
        <v>1111</v>
      </c>
      <c r="C1051" s="135" t="s">
        <v>1759</v>
      </c>
      <c r="D1051" s="136">
        <v>0</v>
      </c>
      <c r="E1051" s="136">
        <v>0</v>
      </c>
      <c r="F1051" s="137">
        <f>F1052</f>
        <v>2125.9468750000001</v>
      </c>
      <c r="G1051" s="96"/>
      <c r="H1051" s="91"/>
    </row>
    <row r="1052" spans="1:8" x14ac:dyDescent="0.2">
      <c r="A1052" s="83" t="s">
        <v>1134</v>
      </c>
      <c r="B1052" s="84" t="s">
        <v>1106</v>
      </c>
      <c r="C1052" s="138" t="s">
        <v>130</v>
      </c>
      <c r="D1052" s="139">
        <v>523.31000000000006</v>
      </c>
      <c r="E1052" s="139">
        <v>4.0625</v>
      </c>
      <c r="F1052" s="140">
        <f>E1052*D1052</f>
        <v>2125.9468750000001</v>
      </c>
      <c r="G1052" s="97" t="s">
        <v>86</v>
      </c>
      <c r="H1052" s="92"/>
    </row>
    <row r="1053" spans="1:8" x14ac:dyDescent="0.2">
      <c r="A1053" s="81" t="s">
        <v>1135</v>
      </c>
      <c r="B1053" s="82" t="s">
        <v>1114</v>
      </c>
      <c r="C1053" s="135" t="s">
        <v>1759</v>
      </c>
      <c r="D1053" s="136">
        <v>0</v>
      </c>
      <c r="E1053" s="136">
        <v>0</v>
      </c>
      <c r="F1053" s="137">
        <f>SUM(F1054:F1055)</f>
        <v>838.8</v>
      </c>
      <c r="G1053" s="96"/>
      <c r="H1053" s="91"/>
    </row>
    <row r="1054" spans="1:8" ht="31.5" x14ac:dyDescent="0.2">
      <c r="A1054" s="83" t="s">
        <v>1136</v>
      </c>
      <c r="B1054" s="84" t="s">
        <v>1116</v>
      </c>
      <c r="C1054" s="138" t="s">
        <v>130</v>
      </c>
      <c r="D1054" s="139">
        <v>8.5299999999999994</v>
      </c>
      <c r="E1054" s="139">
        <v>60</v>
      </c>
      <c r="F1054" s="140">
        <f>E1054*D1054</f>
        <v>511.79999999999995</v>
      </c>
      <c r="G1054" s="97" t="s">
        <v>86</v>
      </c>
      <c r="H1054" s="92"/>
    </row>
    <row r="1055" spans="1:8" x14ac:dyDescent="0.2">
      <c r="A1055" s="83" t="s">
        <v>1137</v>
      </c>
      <c r="B1055" s="84" t="s">
        <v>1118</v>
      </c>
      <c r="C1055" s="138" t="s">
        <v>123</v>
      </c>
      <c r="D1055" s="139">
        <v>13.08</v>
      </c>
      <c r="E1055" s="139">
        <v>25</v>
      </c>
      <c r="F1055" s="140">
        <f>E1055*D1055</f>
        <v>327</v>
      </c>
      <c r="G1055" s="97" t="s">
        <v>86</v>
      </c>
      <c r="H1055" s="92"/>
    </row>
    <row r="1056" spans="1:8" x14ac:dyDescent="0.2">
      <c r="A1056" s="81" t="s">
        <v>2247</v>
      </c>
      <c r="B1056" s="82" t="s">
        <v>2248</v>
      </c>
      <c r="C1056" s="135" t="s">
        <v>1759</v>
      </c>
      <c r="D1056" s="136">
        <v>0</v>
      </c>
      <c r="E1056" s="136">
        <v>0</v>
      </c>
      <c r="F1056" s="137">
        <f>F1057</f>
        <v>2950.5</v>
      </c>
      <c r="G1056" s="96"/>
      <c r="H1056" s="91"/>
    </row>
    <row r="1057" spans="1:8" x14ac:dyDescent="0.2">
      <c r="A1057" s="83" t="s">
        <v>2249</v>
      </c>
      <c r="B1057" s="84" t="s">
        <v>2250</v>
      </c>
      <c r="C1057" s="138" t="s">
        <v>130</v>
      </c>
      <c r="D1057" s="139">
        <v>14.05</v>
      </c>
      <c r="E1057" s="139">
        <v>210</v>
      </c>
      <c r="F1057" s="140">
        <f>E1057*D1057</f>
        <v>2950.5</v>
      </c>
      <c r="G1057" s="97" t="s">
        <v>86</v>
      </c>
      <c r="H1057" s="92"/>
    </row>
    <row r="1058" spans="1:8" x14ac:dyDescent="0.2">
      <c r="A1058" s="81" t="s">
        <v>2251</v>
      </c>
      <c r="B1058" s="82" t="s">
        <v>295</v>
      </c>
      <c r="C1058" s="135" t="s">
        <v>1759</v>
      </c>
      <c r="D1058" s="136">
        <v>0</v>
      </c>
      <c r="E1058" s="136">
        <v>0</v>
      </c>
      <c r="F1058" s="137">
        <f>F1059</f>
        <v>11512.820000000002</v>
      </c>
      <c r="G1058" s="96"/>
      <c r="H1058" s="91"/>
    </row>
    <row r="1059" spans="1:8" x14ac:dyDescent="0.2">
      <c r="A1059" s="83" t="s">
        <v>2252</v>
      </c>
      <c r="B1059" s="84" t="s">
        <v>1126</v>
      </c>
      <c r="C1059" s="138" t="s">
        <v>130</v>
      </c>
      <c r="D1059" s="139">
        <v>523.31000000000006</v>
      </c>
      <c r="E1059" s="139">
        <v>22</v>
      </c>
      <c r="F1059" s="140">
        <f>E1059*D1059</f>
        <v>11512.820000000002</v>
      </c>
      <c r="G1059" s="97"/>
      <c r="H1059" s="92"/>
    </row>
    <row r="1060" spans="1:8" x14ac:dyDescent="0.2">
      <c r="A1060" s="79" t="s">
        <v>1138</v>
      </c>
      <c r="B1060" s="80" t="s">
        <v>1872</v>
      </c>
      <c r="C1060" s="132" t="s">
        <v>1759</v>
      </c>
      <c r="D1060" s="133">
        <v>0</v>
      </c>
      <c r="E1060" s="133">
        <v>0</v>
      </c>
      <c r="F1060" s="134">
        <f>F1061+F1063+F1066+F1068</f>
        <v>45446.763124999998</v>
      </c>
      <c r="G1060" s="95"/>
      <c r="H1060" s="90"/>
    </row>
    <row r="1061" spans="1:8" x14ac:dyDescent="0.2">
      <c r="A1061" s="81" t="s">
        <v>1139</v>
      </c>
      <c r="B1061" s="82" t="s">
        <v>1111</v>
      </c>
      <c r="C1061" s="135" t="s">
        <v>1759</v>
      </c>
      <c r="D1061" s="136">
        <v>0</v>
      </c>
      <c r="E1061" s="136">
        <v>0</v>
      </c>
      <c r="F1061" s="137">
        <f>F1062</f>
        <v>18.403124999999999</v>
      </c>
      <c r="G1061" s="96"/>
      <c r="H1061" s="91"/>
    </row>
    <row r="1062" spans="1:8" x14ac:dyDescent="0.2">
      <c r="A1062" s="83" t="s">
        <v>1140</v>
      </c>
      <c r="B1062" s="84" t="s">
        <v>1106</v>
      </c>
      <c r="C1062" s="138" t="s">
        <v>130</v>
      </c>
      <c r="D1062" s="139">
        <v>4.53</v>
      </c>
      <c r="E1062" s="139">
        <v>4.0625</v>
      </c>
      <c r="F1062" s="140">
        <f>E1062*D1062</f>
        <v>18.403124999999999</v>
      </c>
      <c r="G1062" s="97" t="s">
        <v>86</v>
      </c>
      <c r="H1062" s="92"/>
    </row>
    <row r="1063" spans="1:8" x14ac:dyDescent="0.2">
      <c r="A1063" s="81" t="s">
        <v>1141</v>
      </c>
      <c r="B1063" s="82" t="s">
        <v>1114</v>
      </c>
      <c r="C1063" s="135" t="s">
        <v>1759</v>
      </c>
      <c r="D1063" s="136">
        <v>0</v>
      </c>
      <c r="E1063" s="136">
        <v>0</v>
      </c>
      <c r="F1063" s="137">
        <f>SUM(F1064:F1065)</f>
        <v>41534</v>
      </c>
      <c r="G1063" s="96"/>
      <c r="H1063" s="91"/>
    </row>
    <row r="1064" spans="1:8" ht="31.5" x14ac:dyDescent="0.2">
      <c r="A1064" s="83" t="s">
        <v>1142</v>
      </c>
      <c r="B1064" s="84" t="s">
        <v>1116</v>
      </c>
      <c r="C1064" s="138" t="s">
        <v>130</v>
      </c>
      <c r="D1064" s="139">
        <v>426.2</v>
      </c>
      <c r="E1064" s="139">
        <v>60</v>
      </c>
      <c r="F1064" s="140">
        <f>E1064*D1064</f>
        <v>25572</v>
      </c>
      <c r="G1064" s="97" t="s">
        <v>86</v>
      </c>
      <c r="H1064" s="92"/>
    </row>
    <row r="1065" spans="1:8" x14ac:dyDescent="0.2">
      <c r="A1065" s="83" t="s">
        <v>1143</v>
      </c>
      <c r="B1065" s="84" t="s">
        <v>1118</v>
      </c>
      <c r="C1065" s="138" t="s">
        <v>123</v>
      </c>
      <c r="D1065" s="139">
        <v>638.48</v>
      </c>
      <c r="E1065" s="139">
        <v>25</v>
      </c>
      <c r="F1065" s="140">
        <f>E1065*D1065</f>
        <v>15962</v>
      </c>
      <c r="G1065" s="97" t="s">
        <v>86</v>
      </c>
      <c r="H1065" s="92"/>
    </row>
    <row r="1066" spans="1:8" x14ac:dyDescent="0.2">
      <c r="A1066" s="81" t="s">
        <v>2253</v>
      </c>
      <c r="B1066" s="82" t="s">
        <v>2248</v>
      </c>
      <c r="C1066" s="135" t="s">
        <v>1759</v>
      </c>
      <c r="D1066" s="136">
        <v>0</v>
      </c>
      <c r="E1066" s="136">
        <v>0</v>
      </c>
      <c r="F1066" s="137">
        <f>F1067</f>
        <v>3794.7000000000003</v>
      </c>
      <c r="G1066" s="96"/>
      <c r="H1066" s="91"/>
    </row>
    <row r="1067" spans="1:8" ht="31.5" x14ac:dyDescent="0.2">
      <c r="A1067" s="83" t="s">
        <v>2254</v>
      </c>
      <c r="B1067" s="84" t="s">
        <v>2250</v>
      </c>
      <c r="C1067" s="138" t="s">
        <v>130</v>
      </c>
      <c r="D1067" s="139">
        <v>18.07</v>
      </c>
      <c r="E1067" s="139">
        <v>210</v>
      </c>
      <c r="F1067" s="140">
        <f>E1067*D1067</f>
        <v>3794.7000000000003</v>
      </c>
      <c r="G1067" s="97" t="s">
        <v>86</v>
      </c>
      <c r="H1067" s="92"/>
    </row>
    <row r="1068" spans="1:8" x14ac:dyDescent="0.2">
      <c r="A1068" s="81" t="s">
        <v>2255</v>
      </c>
      <c r="B1068" s="82" t="s">
        <v>295</v>
      </c>
      <c r="C1068" s="135" t="s">
        <v>1759</v>
      </c>
      <c r="D1068" s="136">
        <v>0</v>
      </c>
      <c r="E1068" s="136">
        <v>0</v>
      </c>
      <c r="F1068" s="137">
        <f>F1069</f>
        <v>99.660000000000011</v>
      </c>
      <c r="G1068" s="96"/>
      <c r="H1068" s="91"/>
    </row>
    <row r="1069" spans="1:8" x14ac:dyDescent="0.2">
      <c r="A1069" s="83" t="s">
        <v>2256</v>
      </c>
      <c r="B1069" s="84" t="s">
        <v>1126</v>
      </c>
      <c r="C1069" s="138" t="s">
        <v>130</v>
      </c>
      <c r="D1069" s="139">
        <v>4.53</v>
      </c>
      <c r="E1069" s="139">
        <v>22</v>
      </c>
      <c r="F1069" s="140">
        <f>E1069*D1069</f>
        <v>99.660000000000011</v>
      </c>
      <c r="G1069" s="97"/>
      <c r="H1069" s="92"/>
    </row>
    <row r="1070" spans="1:8" x14ac:dyDescent="0.2">
      <c r="A1070" s="79" t="s">
        <v>1144</v>
      </c>
      <c r="B1070" s="80" t="s">
        <v>1873</v>
      </c>
      <c r="C1070" s="132" t="s">
        <v>1759</v>
      </c>
      <c r="D1070" s="133">
        <v>0</v>
      </c>
      <c r="E1070" s="133">
        <v>0</v>
      </c>
      <c r="F1070" s="134">
        <f>F1071+F1073+F1076+F1078</f>
        <v>591174.52062499989</v>
      </c>
      <c r="G1070" s="95"/>
      <c r="H1070" s="90"/>
    </row>
    <row r="1071" spans="1:8" x14ac:dyDescent="0.2">
      <c r="A1071" s="81" t="s">
        <v>1145</v>
      </c>
      <c r="B1071" s="82" t="s">
        <v>1111</v>
      </c>
      <c r="C1071" s="135" t="s">
        <v>1759</v>
      </c>
      <c r="D1071" s="136">
        <v>0</v>
      </c>
      <c r="E1071" s="136">
        <v>0</v>
      </c>
      <c r="F1071" s="137">
        <f>F1072</f>
        <v>239.24062499999999</v>
      </c>
      <c r="G1071" s="96"/>
      <c r="H1071" s="91"/>
    </row>
    <row r="1072" spans="1:8" x14ac:dyDescent="0.2">
      <c r="A1072" s="83" t="s">
        <v>1146</v>
      </c>
      <c r="B1072" s="84" t="s">
        <v>1106</v>
      </c>
      <c r="C1072" s="138" t="s">
        <v>130</v>
      </c>
      <c r="D1072" s="139">
        <v>58.89</v>
      </c>
      <c r="E1072" s="139">
        <v>4.0625</v>
      </c>
      <c r="F1072" s="140">
        <f>E1072*D1072</f>
        <v>239.24062499999999</v>
      </c>
      <c r="G1072" s="97" t="s">
        <v>86</v>
      </c>
      <c r="H1072" s="92"/>
    </row>
    <row r="1073" spans="1:8" x14ac:dyDescent="0.2">
      <c r="A1073" s="81" t="s">
        <v>2257</v>
      </c>
      <c r="B1073" s="82" t="s">
        <v>1114</v>
      </c>
      <c r="C1073" s="135" t="s">
        <v>1759</v>
      </c>
      <c r="D1073" s="136">
        <v>0</v>
      </c>
      <c r="E1073" s="136">
        <v>0</v>
      </c>
      <c r="F1073" s="137">
        <f>SUM(F1074:F1075)</f>
        <v>539489.6</v>
      </c>
      <c r="G1073" s="96"/>
      <c r="H1073" s="91"/>
    </row>
    <row r="1074" spans="1:8" ht="31.5" x14ac:dyDescent="0.2">
      <c r="A1074" s="83" t="s">
        <v>2258</v>
      </c>
      <c r="B1074" s="84" t="s">
        <v>1116</v>
      </c>
      <c r="C1074" s="138" t="s">
        <v>130</v>
      </c>
      <c r="D1074" s="139">
        <v>5542.16</v>
      </c>
      <c r="E1074" s="139">
        <v>60</v>
      </c>
      <c r="F1074" s="140">
        <f>E1074*D1074</f>
        <v>332529.59999999998</v>
      </c>
      <c r="G1074" s="97" t="s">
        <v>86</v>
      </c>
      <c r="H1074" s="92"/>
    </row>
    <row r="1075" spans="1:8" x14ac:dyDescent="0.2">
      <c r="A1075" s="83" t="s">
        <v>2259</v>
      </c>
      <c r="B1075" s="84" t="s">
        <v>1118</v>
      </c>
      <c r="C1075" s="138" t="s">
        <v>123</v>
      </c>
      <c r="D1075" s="139">
        <v>8278.4</v>
      </c>
      <c r="E1075" s="139">
        <v>25</v>
      </c>
      <c r="F1075" s="140">
        <f>E1075*D1075</f>
        <v>206960</v>
      </c>
      <c r="G1075" s="97" t="s">
        <v>86</v>
      </c>
      <c r="H1075" s="92"/>
    </row>
    <row r="1076" spans="1:8" x14ac:dyDescent="0.2">
      <c r="A1076" s="81" t="s">
        <v>1147</v>
      </c>
      <c r="B1076" s="82" t="s">
        <v>2248</v>
      </c>
      <c r="C1076" s="135" t="s">
        <v>1759</v>
      </c>
      <c r="D1076" s="136">
        <v>0</v>
      </c>
      <c r="E1076" s="136">
        <v>0</v>
      </c>
      <c r="F1076" s="137">
        <f>F1077</f>
        <v>50150.1</v>
      </c>
      <c r="G1076" s="96"/>
      <c r="H1076" s="91"/>
    </row>
    <row r="1077" spans="1:8" x14ac:dyDescent="0.2">
      <c r="A1077" s="83" t="s">
        <v>2260</v>
      </c>
      <c r="B1077" s="84" t="s">
        <v>2250</v>
      </c>
      <c r="C1077" s="138" t="s">
        <v>130</v>
      </c>
      <c r="D1077" s="139">
        <v>238.81</v>
      </c>
      <c r="E1077" s="139">
        <v>210</v>
      </c>
      <c r="F1077" s="140">
        <f>E1077*D1077</f>
        <v>50150.1</v>
      </c>
      <c r="G1077" s="97" t="s">
        <v>86</v>
      </c>
      <c r="H1077" s="92"/>
    </row>
    <row r="1078" spans="1:8" x14ac:dyDescent="0.2">
      <c r="A1078" s="81" t="s">
        <v>1148</v>
      </c>
      <c r="B1078" s="82" t="s">
        <v>295</v>
      </c>
      <c r="C1078" s="135" t="s">
        <v>1759</v>
      </c>
      <c r="D1078" s="136">
        <v>0</v>
      </c>
      <c r="E1078" s="136">
        <v>0</v>
      </c>
      <c r="F1078" s="137">
        <f>F1079</f>
        <v>1295.58</v>
      </c>
      <c r="G1078" s="96"/>
      <c r="H1078" s="91"/>
    </row>
    <row r="1079" spans="1:8" x14ac:dyDescent="0.2">
      <c r="A1079" s="83" t="s">
        <v>1149</v>
      </c>
      <c r="B1079" s="84" t="s">
        <v>1126</v>
      </c>
      <c r="C1079" s="138" t="s">
        <v>130</v>
      </c>
      <c r="D1079" s="139">
        <v>58.89</v>
      </c>
      <c r="E1079" s="139">
        <v>22</v>
      </c>
      <c r="F1079" s="140">
        <f>E1079*D1079</f>
        <v>1295.58</v>
      </c>
      <c r="G1079" s="97"/>
      <c r="H1079" s="92"/>
    </row>
    <row r="1080" spans="1:8" x14ac:dyDescent="0.2">
      <c r="A1080" s="79" t="s">
        <v>1150</v>
      </c>
      <c r="B1080" s="80" t="s">
        <v>1874</v>
      </c>
      <c r="C1080" s="132" t="s">
        <v>1759</v>
      </c>
      <c r="D1080" s="133">
        <v>0</v>
      </c>
      <c r="E1080" s="133">
        <v>0</v>
      </c>
      <c r="F1080" s="134">
        <f>F1081+F1083+F1086</f>
        <v>29235.155000000002</v>
      </c>
      <c r="G1080" s="95"/>
      <c r="H1080" s="90"/>
    </row>
    <row r="1081" spans="1:8" x14ac:dyDescent="0.2">
      <c r="A1081" s="81" t="s">
        <v>1151</v>
      </c>
      <c r="B1081" s="82" t="s">
        <v>1111</v>
      </c>
      <c r="C1081" s="135" t="s">
        <v>1759</v>
      </c>
      <c r="D1081" s="136">
        <v>0</v>
      </c>
      <c r="E1081" s="136">
        <v>0</v>
      </c>
      <c r="F1081" s="137">
        <f>F1082</f>
        <v>26.975000000000001</v>
      </c>
      <c r="G1081" s="96"/>
      <c r="H1081" s="91"/>
    </row>
    <row r="1082" spans="1:8" x14ac:dyDescent="0.2">
      <c r="A1082" s="83" t="s">
        <v>1152</v>
      </c>
      <c r="B1082" s="84" t="s">
        <v>1106</v>
      </c>
      <c r="C1082" s="138" t="s">
        <v>130</v>
      </c>
      <c r="D1082" s="139">
        <v>6.6400000000000006</v>
      </c>
      <c r="E1082" s="139">
        <v>4.0625</v>
      </c>
      <c r="F1082" s="140">
        <f>E1082*D1082</f>
        <v>26.975000000000001</v>
      </c>
      <c r="G1082" s="97" t="s">
        <v>86</v>
      </c>
      <c r="H1082" s="92"/>
    </row>
    <row r="1083" spans="1:8" x14ac:dyDescent="0.2">
      <c r="A1083" s="81" t="s">
        <v>2261</v>
      </c>
      <c r="B1083" s="82" t="s">
        <v>1114</v>
      </c>
      <c r="C1083" s="135" t="s">
        <v>1759</v>
      </c>
      <c r="D1083" s="136">
        <v>0</v>
      </c>
      <c r="E1083" s="136">
        <v>0</v>
      </c>
      <c r="F1083" s="137">
        <f>SUM(F1084:F1085)</f>
        <v>29062.100000000002</v>
      </c>
      <c r="G1083" s="96"/>
      <c r="H1083" s="91"/>
    </row>
    <row r="1084" spans="1:8" ht="31.5" x14ac:dyDescent="0.2">
      <c r="A1084" s="83" t="s">
        <v>2262</v>
      </c>
      <c r="B1084" s="84" t="s">
        <v>1116</v>
      </c>
      <c r="C1084" s="138" t="s">
        <v>130</v>
      </c>
      <c r="D1084" s="139">
        <v>338.41</v>
      </c>
      <c r="E1084" s="139">
        <v>60</v>
      </c>
      <c r="F1084" s="140">
        <f>E1084*D1084</f>
        <v>20304.600000000002</v>
      </c>
      <c r="G1084" s="97" t="s">
        <v>86</v>
      </c>
      <c r="H1084" s="92"/>
    </row>
    <row r="1085" spans="1:8" x14ac:dyDescent="0.2">
      <c r="A1085" s="83" t="s">
        <v>2263</v>
      </c>
      <c r="B1085" s="84" t="s">
        <v>1118</v>
      </c>
      <c r="C1085" s="138" t="s">
        <v>123</v>
      </c>
      <c r="D1085" s="139">
        <v>350.3</v>
      </c>
      <c r="E1085" s="139">
        <v>25</v>
      </c>
      <c r="F1085" s="140">
        <f>E1085*D1085</f>
        <v>8757.5</v>
      </c>
      <c r="G1085" s="97" t="s">
        <v>86</v>
      </c>
      <c r="H1085" s="92"/>
    </row>
    <row r="1086" spans="1:8" x14ac:dyDescent="0.2">
      <c r="A1086" s="81" t="s">
        <v>1153</v>
      </c>
      <c r="B1086" s="82" t="s">
        <v>295</v>
      </c>
      <c r="C1086" s="135" t="s">
        <v>1759</v>
      </c>
      <c r="D1086" s="136">
        <v>0</v>
      </c>
      <c r="E1086" s="136">
        <v>0</v>
      </c>
      <c r="F1086" s="137">
        <f>F1087</f>
        <v>146.08000000000001</v>
      </c>
      <c r="G1086" s="96"/>
      <c r="H1086" s="91"/>
    </row>
    <row r="1087" spans="1:8" x14ac:dyDescent="0.2">
      <c r="A1087" s="83" t="s">
        <v>1154</v>
      </c>
      <c r="B1087" s="84" t="s">
        <v>1126</v>
      </c>
      <c r="C1087" s="138" t="s">
        <v>130</v>
      </c>
      <c r="D1087" s="139">
        <v>6.6400000000000006</v>
      </c>
      <c r="E1087" s="139">
        <v>22</v>
      </c>
      <c r="F1087" s="140">
        <f>E1087*D1087</f>
        <v>146.08000000000001</v>
      </c>
      <c r="G1087" s="97"/>
      <c r="H1087" s="92"/>
    </row>
    <row r="1088" spans="1:8" ht="24.75" customHeight="1" x14ac:dyDescent="0.2">
      <c r="A1088" s="79" t="s">
        <v>1155</v>
      </c>
      <c r="B1088" s="80" t="s">
        <v>2264</v>
      </c>
      <c r="C1088" s="132" t="s">
        <v>1759</v>
      </c>
      <c r="D1088" s="133">
        <v>0</v>
      </c>
      <c r="E1088" s="133">
        <v>0</v>
      </c>
      <c r="F1088" s="134">
        <f>F1089+F1091</f>
        <v>1203.826875</v>
      </c>
      <c r="G1088" s="95"/>
      <c r="H1088" s="90"/>
    </row>
    <row r="1089" spans="1:8" x14ac:dyDescent="0.2">
      <c r="A1089" s="81" t="s">
        <v>1157</v>
      </c>
      <c r="B1089" s="82" t="s">
        <v>1111</v>
      </c>
      <c r="C1089" s="135" t="s">
        <v>1759</v>
      </c>
      <c r="D1089" s="136">
        <v>0</v>
      </c>
      <c r="E1089" s="136">
        <v>0</v>
      </c>
      <c r="F1089" s="137">
        <f>F1090</f>
        <v>187.64687499999999</v>
      </c>
      <c r="G1089" s="96"/>
      <c r="H1089" s="91"/>
    </row>
    <row r="1090" spans="1:8" x14ac:dyDescent="0.2">
      <c r="A1090" s="83" t="s">
        <v>1158</v>
      </c>
      <c r="B1090" s="84" t="s">
        <v>1106</v>
      </c>
      <c r="C1090" s="138" t="s">
        <v>130</v>
      </c>
      <c r="D1090" s="139">
        <v>46.19</v>
      </c>
      <c r="E1090" s="139">
        <v>4.0625</v>
      </c>
      <c r="F1090" s="140">
        <f>E1090*D1090</f>
        <v>187.64687499999999</v>
      </c>
      <c r="G1090" s="97" t="s">
        <v>86</v>
      </c>
      <c r="H1090" s="92"/>
    </row>
    <row r="1091" spans="1:8" x14ac:dyDescent="0.2">
      <c r="A1091" s="81" t="s">
        <v>1159</v>
      </c>
      <c r="B1091" s="82" t="s">
        <v>295</v>
      </c>
      <c r="C1091" s="135" t="s">
        <v>1759</v>
      </c>
      <c r="D1091" s="136">
        <v>0</v>
      </c>
      <c r="E1091" s="136">
        <v>0</v>
      </c>
      <c r="F1091" s="137">
        <f>F1092</f>
        <v>1016.18</v>
      </c>
      <c r="G1091" s="96"/>
      <c r="H1091" s="91"/>
    </row>
    <row r="1092" spans="1:8" x14ac:dyDescent="0.2">
      <c r="A1092" s="83" t="s">
        <v>1160</v>
      </c>
      <c r="B1092" s="84" t="s">
        <v>1126</v>
      </c>
      <c r="C1092" s="138" t="s">
        <v>130</v>
      </c>
      <c r="D1092" s="139">
        <v>46.19</v>
      </c>
      <c r="E1092" s="139">
        <v>22</v>
      </c>
      <c r="F1092" s="140">
        <f>E1092*D1092</f>
        <v>1016.18</v>
      </c>
      <c r="G1092" s="97"/>
      <c r="H1092" s="92"/>
    </row>
    <row r="1093" spans="1:8" x14ac:dyDescent="0.2">
      <c r="A1093" s="79" t="s">
        <v>2265</v>
      </c>
      <c r="B1093" s="80" t="s">
        <v>1156</v>
      </c>
      <c r="C1093" s="132" t="s">
        <v>1759</v>
      </c>
      <c r="D1093" s="133">
        <v>0</v>
      </c>
      <c r="E1093" s="133">
        <v>0</v>
      </c>
      <c r="F1093" s="134">
        <f>F1094+F1096</f>
        <v>1421.7093750000001</v>
      </c>
      <c r="G1093" s="95"/>
      <c r="H1093" s="90"/>
    </row>
    <row r="1094" spans="1:8" x14ac:dyDescent="0.2">
      <c r="A1094" s="81" t="s">
        <v>2266</v>
      </c>
      <c r="B1094" s="82" t="s">
        <v>1111</v>
      </c>
      <c r="C1094" s="135" t="s">
        <v>1759</v>
      </c>
      <c r="D1094" s="136">
        <v>0</v>
      </c>
      <c r="E1094" s="136">
        <v>0</v>
      </c>
      <c r="F1094" s="137">
        <f>F1095</f>
        <v>221.60937500000003</v>
      </c>
      <c r="G1094" s="96"/>
      <c r="H1094" s="91"/>
    </row>
    <row r="1095" spans="1:8" x14ac:dyDescent="0.2">
      <c r="A1095" s="83" t="s">
        <v>2267</v>
      </c>
      <c r="B1095" s="84" t="s">
        <v>1106</v>
      </c>
      <c r="C1095" s="138" t="s">
        <v>130</v>
      </c>
      <c r="D1095" s="139">
        <v>54.550000000000004</v>
      </c>
      <c r="E1095" s="139">
        <v>4.0625</v>
      </c>
      <c r="F1095" s="140">
        <f>E1095*D1095</f>
        <v>221.60937500000003</v>
      </c>
      <c r="G1095" s="97" t="s">
        <v>86</v>
      </c>
      <c r="H1095" s="92"/>
    </row>
    <row r="1096" spans="1:8" x14ac:dyDescent="0.2">
      <c r="A1096" s="81" t="s">
        <v>2268</v>
      </c>
      <c r="B1096" s="82" t="s">
        <v>295</v>
      </c>
      <c r="C1096" s="135" t="s">
        <v>1759</v>
      </c>
      <c r="D1096" s="136">
        <v>0</v>
      </c>
      <c r="E1096" s="136">
        <v>0</v>
      </c>
      <c r="F1096" s="137">
        <f>F1097</f>
        <v>1200.1000000000001</v>
      </c>
      <c r="G1096" s="96"/>
      <c r="H1096" s="91"/>
    </row>
    <row r="1097" spans="1:8" x14ac:dyDescent="0.2">
      <c r="A1097" s="83" t="s">
        <v>2269</v>
      </c>
      <c r="B1097" s="84" t="s">
        <v>1126</v>
      </c>
      <c r="C1097" s="138" t="s">
        <v>130</v>
      </c>
      <c r="D1097" s="139">
        <v>54.550000000000004</v>
      </c>
      <c r="E1097" s="139">
        <v>22</v>
      </c>
      <c r="F1097" s="140">
        <f>E1097*D1097</f>
        <v>1200.1000000000001</v>
      </c>
      <c r="G1097" s="97"/>
      <c r="H1097" s="92"/>
    </row>
    <row r="1098" spans="1:8" x14ac:dyDescent="0.2">
      <c r="A1098" s="77" t="s">
        <v>1161</v>
      </c>
      <c r="B1098" s="78" t="s">
        <v>33</v>
      </c>
      <c r="C1098" s="129" t="s">
        <v>1759</v>
      </c>
      <c r="D1098" s="130">
        <v>0</v>
      </c>
      <c r="E1098" s="130">
        <v>0</v>
      </c>
      <c r="F1098" s="131">
        <f>F1099+F1129+F1145+F1161+F1177+F1204+F1231+F1259+F1267</f>
        <v>1919773.5695336752</v>
      </c>
      <c r="G1098" s="98"/>
      <c r="H1098" s="89"/>
    </row>
    <row r="1099" spans="1:8" x14ac:dyDescent="0.2">
      <c r="A1099" s="79" t="s">
        <v>1162</v>
      </c>
      <c r="B1099" s="80" t="s">
        <v>34</v>
      </c>
      <c r="C1099" s="132" t="s">
        <v>1759</v>
      </c>
      <c r="D1099" s="133">
        <v>0</v>
      </c>
      <c r="E1099" s="133">
        <v>0</v>
      </c>
      <c r="F1099" s="134">
        <f>F1100+F1106+F1110+F1112+F1116+F1118</f>
        <v>58891.978976184997</v>
      </c>
      <c r="G1099" s="95"/>
      <c r="H1099" s="90"/>
    </row>
    <row r="1100" spans="1:8" x14ac:dyDescent="0.2">
      <c r="A1100" s="81" t="s">
        <v>1163</v>
      </c>
      <c r="B1100" s="82" t="s">
        <v>1164</v>
      </c>
      <c r="C1100" s="135" t="s">
        <v>1759</v>
      </c>
      <c r="D1100" s="136">
        <v>0</v>
      </c>
      <c r="E1100" s="136">
        <v>0</v>
      </c>
      <c r="F1100" s="137">
        <f>SUM(F1101:F1105)</f>
        <v>28052.385466784996</v>
      </c>
      <c r="G1100" s="96"/>
      <c r="H1100" s="91"/>
    </row>
    <row r="1101" spans="1:8" x14ac:dyDescent="0.2">
      <c r="A1101" s="83" t="s">
        <v>1165</v>
      </c>
      <c r="B1101" s="84" t="s">
        <v>1094</v>
      </c>
      <c r="C1101" s="138" t="s">
        <v>130</v>
      </c>
      <c r="D1101" s="139">
        <v>23.45</v>
      </c>
      <c r="E1101" s="139">
        <v>70.528000000000006</v>
      </c>
      <c r="F1101" s="140">
        <f t="shared" ref="F1101:F1105" si="38">E1101*D1101</f>
        <v>1653.8816000000002</v>
      </c>
      <c r="G1101" s="97" t="s">
        <v>2326</v>
      </c>
      <c r="H1101" s="92"/>
    </row>
    <row r="1102" spans="1:8" x14ac:dyDescent="0.2">
      <c r="A1102" s="83" t="s">
        <v>1166</v>
      </c>
      <c r="B1102" s="84" t="s">
        <v>1167</v>
      </c>
      <c r="C1102" s="138" t="s">
        <v>130</v>
      </c>
      <c r="D1102" s="139">
        <v>51.36</v>
      </c>
      <c r="E1102" s="139">
        <v>89.525000000000006</v>
      </c>
      <c r="F1102" s="140">
        <f t="shared" si="38"/>
        <v>4598.0039999999999</v>
      </c>
      <c r="G1102" s="97" t="s">
        <v>2327</v>
      </c>
      <c r="H1102" s="92"/>
    </row>
    <row r="1103" spans="1:8" x14ac:dyDescent="0.2">
      <c r="A1103" s="83" t="s">
        <v>1168</v>
      </c>
      <c r="B1103" s="84" t="s">
        <v>1169</v>
      </c>
      <c r="C1103" s="138" t="s">
        <v>130</v>
      </c>
      <c r="D1103" s="139">
        <v>139.31</v>
      </c>
      <c r="E1103" s="139">
        <v>98</v>
      </c>
      <c r="F1103" s="140">
        <f t="shared" si="38"/>
        <v>13652.380000000001</v>
      </c>
      <c r="G1103" s="97"/>
      <c r="H1103" s="92"/>
    </row>
    <row r="1104" spans="1:8" x14ac:dyDescent="0.2">
      <c r="A1104" s="83" t="s">
        <v>1170</v>
      </c>
      <c r="B1104" s="84" t="s">
        <v>1096</v>
      </c>
      <c r="C1104" s="138" t="s">
        <v>130</v>
      </c>
      <c r="D1104" s="139">
        <v>63.04</v>
      </c>
      <c r="E1104" s="139">
        <v>62.526339</v>
      </c>
      <c r="F1104" s="140">
        <f t="shared" si="38"/>
        <v>3941.6604105599999</v>
      </c>
      <c r="G1104" s="97"/>
      <c r="H1104" s="92"/>
    </row>
    <row r="1105" spans="1:8" x14ac:dyDescent="0.2">
      <c r="A1105" s="83" t="s">
        <v>2270</v>
      </c>
      <c r="B1105" s="84" t="s">
        <v>1909</v>
      </c>
      <c r="C1105" s="138" t="s">
        <v>130</v>
      </c>
      <c r="D1105" s="139">
        <v>67.275000000000006</v>
      </c>
      <c r="E1105" s="139">
        <v>62.526339</v>
      </c>
      <c r="F1105" s="140">
        <f t="shared" si="38"/>
        <v>4206.4594562250004</v>
      </c>
      <c r="G1105" s="97"/>
      <c r="H1105" s="92"/>
    </row>
    <row r="1106" spans="1:8" x14ac:dyDescent="0.2">
      <c r="A1106" s="81" t="s">
        <v>1171</v>
      </c>
      <c r="B1106" s="82" t="s">
        <v>1172</v>
      </c>
      <c r="C1106" s="135" t="s">
        <v>1759</v>
      </c>
      <c r="D1106" s="136">
        <v>0</v>
      </c>
      <c r="E1106" s="136">
        <v>0</v>
      </c>
      <c r="F1106" s="137">
        <f>SUM(F1107:F1109)</f>
        <v>1612.5536093999999</v>
      </c>
      <c r="G1106" s="96"/>
      <c r="H1106" s="91"/>
    </row>
    <row r="1107" spans="1:8" x14ac:dyDescent="0.2">
      <c r="A1107" s="83" t="s">
        <v>1173</v>
      </c>
      <c r="B1107" s="84" t="s">
        <v>1174</v>
      </c>
      <c r="C1107" s="138" t="s">
        <v>123</v>
      </c>
      <c r="D1107" s="139">
        <v>22.95</v>
      </c>
      <c r="E1107" s="139">
        <v>8.1393000000000004</v>
      </c>
      <c r="F1107" s="140">
        <f t="shared" ref="F1107:F1109" si="39">E1107*D1107</f>
        <v>186.79693499999999</v>
      </c>
      <c r="G1107" s="97"/>
      <c r="H1107" s="92"/>
    </row>
    <row r="1108" spans="1:8" x14ac:dyDescent="0.2">
      <c r="A1108" s="83" t="s">
        <v>1175</v>
      </c>
      <c r="B1108" s="84" t="s">
        <v>1176</v>
      </c>
      <c r="C1108" s="138" t="s">
        <v>123</v>
      </c>
      <c r="D1108" s="139">
        <v>27.66</v>
      </c>
      <c r="E1108" s="139">
        <v>46.634839999999997</v>
      </c>
      <c r="F1108" s="140">
        <f t="shared" si="39"/>
        <v>1289.9196743999998</v>
      </c>
      <c r="G1108" s="97"/>
      <c r="H1108" s="92"/>
    </row>
    <row r="1109" spans="1:8" x14ac:dyDescent="0.2">
      <c r="A1109" s="83" t="s">
        <v>2271</v>
      </c>
      <c r="B1109" s="84" t="s">
        <v>1904</v>
      </c>
      <c r="C1109" s="138" t="s">
        <v>123</v>
      </c>
      <c r="D1109" s="139">
        <v>13.5</v>
      </c>
      <c r="E1109" s="139">
        <v>10.062000000000001</v>
      </c>
      <c r="F1109" s="140">
        <f t="shared" si="39"/>
        <v>135.83700000000002</v>
      </c>
      <c r="G1109" s="97"/>
      <c r="H1109" s="92"/>
    </row>
    <row r="1110" spans="1:8" x14ac:dyDescent="0.2">
      <c r="A1110" s="81" t="s">
        <v>1177</v>
      </c>
      <c r="B1110" s="82" t="s">
        <v>1178</v>
      </c>
      <c r="C1110" s="135" t="s">
        <v>1759</v>
      </c>
      <c r="D1110" s="136">
        <v>0</v>
      </c>
      <c r="E1110" s="136">
        <v>0</v>
      </c>
      <c r="F1110" s="137">
        <f>SUM(F1111)</f>
        <v>4028.3649</v>
      </c>
      <c r="G1110" s="96"/>
      <c r="H1110" s="91"/>
    </row>
    <row r="1111" spans="1:8" x14ac:dyDescent="0.2">
      <c r="A1111" s="83" t="s">
        <v>1179</v>
      </c>
      <c r="B1111" s="84" t="s">
        <v>1180</v>
      </c>
      <c r="C1111" s="138" t="s">
        <v>123</v>
      </c>
      <c r="D1111" s="139">
        <v>30.89</v>
      </c>
      <c r="E1111" s="139">
        <v>130.41</v>
      </c>
      <c r="F1111" s="140">
        <f t="shared" ref="F1111" si="40">E1111*D1111</f>
        <v>4028.3649</v>
      </c>
      <c r="G1111" s="97" t="s">
        <v>2328</v>
      </c>
      <c r="H1111" s="92"/>
    </row>
    <row r="1112" spans="1:8" x14ac:dyDescent="0.2">
      <c r="A1112" s="81" t="s">
        <v>1181</v>
      </c>
      <c r="B1112" s="82" t="s">
        <v>1182</v>
      </c>
      <c r="C1112" s="135" t="s">
        <v>1759</v>
      </c>
      <c r="D1112" s="136">
        <v>0</v>
      </c>
      <c r="E1112" s="136">
        <v>0</v>
      </c>
      <c r="F1112" s="137">
        <f>SUM(F1113:F1115)</f>
        <v>5952.9674800000003</v>
      </c>
      <c r="G1112" s="96"/>
      <c r="H1112" s="91"/>
    </row>
    <row r="1113" spans="1:8" x14ac:dyDescent="0.2">
      <c r="A1113" s="83" t="s">
        <v>1902</v>
      </c>
      <c r="B1113" s="84" t="s">
        <v>2272</v>
      </c>
      <c r="C1113" s="138" t="s">
        <v>130</v>
      </c>
      <c r="D1113" s="139">
        <v>21.06</v>
      </c>
      <c r="E1113" s="139">
        <v>88.924000000000007</v>
      </c>
      <c r="F1113" s="140">
        <f t="shared" ref="F1113:F1115" si="41">E1113*D1113</f>
        <v>1872.7394400000001</v>
      </c>
      <c r="G1113" s="97" t="s">
        <v>2329</v>
      </c>
      <c r="H1113" s="92"/>
    </row>
    <row r="1114" spans="1:8" x14ac:dyDescent="0.2">
      <c r="A1114" s="83" t="s">
        <v>1903</v>
      </c>
      <c r="B1114" s="84" t="s">
        <v>1887</v>
      </c>
      <c r="C1114" s="138" t="s">
        <v>130</v>
      </c>
      <c r="D1114" s="139">
        <v>2.7800000000000002</v>
      </c>
      <c r="E1114" s="139">
        <v>243.70000000000002</v>
      </c>
      <c r="F1114" s="140">
        <f t="shared" si="41"/>
        <v>677.4860000000001</v>
      </c>
      <c r="G1114" s="97"/>
      <c r="H1114" s="92"/>
    </row>
    <row r="1115" spans="1:8" x14ac:dyDescent="0.2">
      <c r="A1115" s="83" t="s">
        <v>2273</v>
      </c>
      <c r="B1115" s="84" t="s">
        <v>2274</v>
      </c>
      <c r="C1115" s="138" t="s">
        <v>130</v>
      </c>
      <c r="D1115" s="139">
        <v>24.76</v>
      </c>
      <c r="E1115" s="139">
        <v>137.429</v>
      </c>
      <c r="F1115" s="140">
        <f t="shared" si="41"/>
        <v>3402.7420400000001</v>
      </c>
      <c r="G1115" s="97"/>
      <c r="H1115" s="92"/>
    </row>
    <row r="1116" spans="1:8" x14ac:dyDescent="0.2">
      <c r="A1116" s="81" t="s">
        <v>1183</v>
      </c>
      <c r="B1116" s="82" t="s">
        <v>1184</v>
      </c>
      <c r="C1116" s="135" t="s">
        <v>1759</v>
      </c>
      <c r="D1116" s="136">
        <v>0</v>
      </c>
      <c r="E1116" s="136">
        <v>0</v>
      </c>
      <c r="F1116" s="137">
        <f>SUM(F1117)</f>
        <v>169.21152000000001</v>
      </c>
      <c r="G1116" s="96"/>
      <c r="H1116" s="91"/>
    </row>
    <row r="1117" spans="1:8" x14ac:dyDescent="0.2">
      <c r="A1117" s="83" t="s">
        <v>1185</v>
      </c>
      <c r="B1117" s="84" t="s">
        <v>1186</v>
      </c>
      <c r="C1117" s="138" t="s">
        <v>123</v>
      </c>
      <c r="D1117" s="139">
        <v>1.74</v>
      </c>
      <c r="E1117" s="139">
        <v>97.248000000000005</v>
      </c>
      <c r="F1117" s="140">
        <f t="shared" ref="F1117" si="42">E1117*D1117</f>
        <v>169.21152000000001</v>
      </c>
      <c r="G1117" s="97" t="s">
        <v>1206</v>
      </c>
      <c r="H1117" s="92"/>
    </row>
    <row r="1118" spans="1:8" x14ac:dyDescent="0.2">
      <c r="A1118" s="81" t="s">
        <v>1187</v>
      </c>
      <c r="B1118" s="82" t="s">
        <v>295</v>
      </c>
      <c r="C1118" s="135" t="s">
        <v>1759</v>
      </c>
      <c r="D1118" s="136">
        <v>0</v>
      </c>
      <c r="E1118" s="136">
        <v>0</v>
      </c>
      <c r="F1118" s="137">
        <f>SUM(F1119:F1128)</f>
        <v>19076.496000000003</v>
      </c>
      <c r="G1118" s="96"/>
      <c r="H1118" s="91"/>
    </row>
    <row r="1119" spans="1:8" x14ac:dyDescent="0.2">
      <c r="A1119" s="83" t="s">
        <v>1188</v>
      </c>
      <c r="B1119" s="84" t="s">
        <v>1189</v>
      </c>
      <c r="C1119" s="138" t="s">
        <v>130</v>
      </c>
      <c r="D1119" s="139">
        <v>23.45</v>
      </c>
      <c r="E1119" s="139">
        <v>46</v>
      </c>
      <c r="F1119" s="140">
        <f t="shared" ref="F1119:F1128" si="43">E1119*D1119</f>
        <v>1078.7</v>
      </c>
      <c r="G1119" s="97"/>
      <c r="H1119" s="92"/>
    </row>
    <row r="1120" spans="1:8" x14ac:dyDescent="0.2">
      <c r="A1120" s="83" t="s">
        <v>1190</v>
      </c>
      <c r="B1120" s="84" t="s">
        <v>1191</v>
      </c>
      <c r="C1120" s="138" t="s">
        <v>130</v>
      </c>
      <c r="D1120" s="139">
        <v>51.36</v>
      </c>
      <c r="E1120" s="139">
        <v>48</v>
      </c>
      <c r="F1120" s="140">
        <f t="shared" si="43"/>
        <v>2465.2799999999997</v>
      </c>
      <c r="G1120" s="97"/>
      <c r="H1120" s="92"/>
    </row>
    <row r="1121" spans="1:8" x14ac:dyDescent="0.2">
      <c r="A1121" s="83" t="s">
        <v>1192</v>
      </c>
      <c r="B1121" s="84" t="s">
        <v>1193</v>
      </c>
      <c r="C1121" s="138" t="s">
        <v>130</v>
      </c>
      <c r="D1121" s="139">
        <v>130.32</v>
      </c>
      <c r="E1121" s="139">
        <v>45</v>
      </c>
      <c r="F1121" s="140">
        <f t="shared" si="43"/>
        <v>5864.4</v>
      </c>
      <c r="G1121" s="97"/>
      <c r="H1121" s="92"/>
    </row>
    <row r="1122" spans="1:8" x14ac:dyDescent="0.2">
      <c r="A1122" s="83" t="s">
        <v>1194</v>
      </c>
      <c r="B1122" s="84" t="s">
        <v>1195</v>
      </c>
      <c r="C1122" s="138" t="s">
        <v>130</v>
      </c>
      <c r="D1122" s="139">
        <v>139.31</v>
      </c>
      <c r="E1122" s="139">
        <v>41</v>
      </c>
      <c r="F1122" s="140">
        <f t="shared" si="43"/>
        <v>5711.71</v>
      </c>
      <c r="G1122" s="97"/>
      <c r="H1122" s="92"/>
    </row>
    <row r="1123" spans="1:8" x14ac:dyDescent="0.2">
      <c r="A1123" s="83" t="s">
        <v>1196</v>
      </c>
      <c r="B1123" s="84" t="s">
        <v>1197</v>
      </c>
      <c r="C1123" s="138" t="s">
        <v>123</v>
      </c>
      <c r="D1123" s="139">
        <v>36.450000000000003</v>
      </c>
      <c r="E1123" s="139">
        <v>22</v>
      </c>
      <c r="F1123" s="140">
        <f t="shared" si="43"/>
        <v>801.90000000000009</v>
      </c>
      <c r="G1123" s="97"/>
      <c r="H1123" s="92"/>
    </row>
    <row r="1124" spans="1:8" x14ac:dyDescent="0.2">
      <c r="A1124" s="83" t="s">
        <v>1198</v>
      </c>
      <c r="B1124" s="84" t="s">
        <v>1199</v>
      </c>
      <c r="C1124" s="138" t="s">
        <v>123</v>
      </c>
      <c r="D1124" s="139">
        <v>27.66</v>
      </c>
      <c r="E1124" s="139">
        <v>22</v>
      </c>
      <c r="F1124" s="140">
        <f t="shared" si="43"/>
        <v>608.52</v>
      </c>
      <c r="G1124" s="97"/>
      <c r="H1124" s="92"/>
    </row>
    <row r="1125" spans="1:8" x14ac:dyDescent="0.2">
      <c r="A1125" s="83" t="s">
        <v>1200</v>
      </c>
      <c r="B1125" s="84" t="s">
        <v>1201</v>
      </c>
      <c r="C1125" s="138" t="s">
        <v>123</v>
      </c>
      <c r="D1125" s="139">
        <v>30.89</v>
      </c>
      <c r="E1125" s="139">
        <v>10.4</v>
      </c>
      <c r="F1125" s="140">
        <f t="shared" si="43"/>
        <v>321.25600000000003</v>
      </c>
      <c r="G1125" s="97"/>
      <c r="H1125" s="92"/>
    </row>
    <row r="1126" spans="1:8" x14ac:dyDescent="0.2">
      <c r="A1126" s="83" t="s">
        <v>1202</v>
      </c>
      <c r="B1126" s="84" t="s">
        <v>1203</v>
      </c>
      <c r="C1126" s="138" t="s">
        <v>130</v>
      </c>
      <c r="D1126" s="139">
        <v>45.82</v>
      </c>
      <c r="E1126" s="139">
        <v>45</v>
      </c>
      <c r="F1126" s="140">
        <f t="shared" si="43"/>
        <v>2061.9</v>
      </c>
      <c r="G1126" s="97"/>
      <c r="H1126" s="92"/>
    </row>
    <row r="1127" spans="1:8" x14ac:dyDescent="0.2">
      <c r="A1127" s="83" t="s">
        <v>2275</v>
      </c>
      <c r="B1127" s="84" t="s">
        <v>1888</v>
      </c>
      <c r="C1127" s="138" t="s">
        <v>130</v>
      </c>
      <c r="D1127" s="139">
        <v>2.7800000000000002</v>
      </c>
      <c r="E1127" s="139">
        <v>52</v>
      </c>
      <c r="F1127" s="140">
        <f t="shared" si="43"/>
        <v>144.56</v>
      </c>
      <c r="G1127" s="97"/>
      <c r="H1127" s="92"/>
    </row>
    <row r="1128" spans="1:8" x14ac:dyDescent="0.2">
      <c r="A1128" s="83" t="s">
        <v>1204</v>
      </c>
      <c r="B1128" s="84" t="s">
        <v>1205</v>
      </c>
      <c r="C1128" s="138" t="s">
        <v>130</v>
      </c>
      <c r="D1128" s="139">
        <v>1.74</v>
      </c>
      <c r="E1128" s="139">
        <v>10.5</v>
      </c>
      <c r="F1128" s="140">
        <f t="shared" si="43"/>
        <v>18.27</v>
      </c>
      <c r="G1128" s="97"/>
      <c r="H1128" s="92"/>
    </row>
    <row r="1129" spans="1:8" x14ac:dyDescent="0.2">
      <c r="A1129" s="79" t="s">
        <v>1207</v>
      </c>
      <c r="B1129" s="80" t="s">
        <v>2276</v>
      </c>
      <c r="C1129" s="132" t="s">
        <v>1759</v>
      </c>
      <c r="D1129" s="133">
        <v>0</v>
      </c>
      <c r="E1129" s="133">
        <v>0</v>
      </c>
      <c r="F1129" s="134">
        <f>F1130+F1133+F1137+F1139+F1135</f>
        <v>15082.05174929</v>
      </c>
      <c r="G1129" s="95"/>
      <c r="H1129" s="90"/>
    </row>
    <row r="1130" spans="1:8" x14ac:dyDescent="0.2">
      <c r="A1130" s="81" t="s">
        <v>1208</v>
      </c>
      <c r="B1130" s="82" t="s">
        <v>1164</v>
      </c>
      <c r="C1130" s="135" t="s">
        <v>1759</v>
      </c>
      <c r="D1130" s="136">
        <v>0</v>
      </c>
      <c r="E1130" s="136">
        <v>0</v>
      </c>
      <c r="F1130" s="137">
        <f>SUM(F1131:F1132)</f>
        <v>7682.5558660900006</v>
      </c>
      <c r="G1130" s="96"/>
      <c r="H1130" s="91"/>
    </row>
    <row r="1131" spans="1:8" ht="31.5" x14ac:dyDescent="0.2">
      <c r="A1131" s="83" t="s">
        <v>1209</v>
      </c>
      <c r="B1131" s="84" t="s">
        <v>1210</v>
      </c>
      <c r="C1131" s="138" t="s">
        <v>130</v>
      </c>
      <c r="D1131" s="139">
        <v>9.4700000000000006</v>
      </c>
      <c r="E1131" s="139">
        <v>89.525000000000006</v>
      </c>
      <c r="F1131" s="140">
        <f t="shared" ref="F1131:F1132" si="44">E1131*D1131</f>
        <v>847.80175000000008</v>
      </c>
      <c r="G1131" s="97" t="s">
        <v>2326</v>
      </c>
      <c r="H1131" s="92"/>
    </row>
    <row r="1132" spans="1:8" x14ac:dyDescent="0.2">
      <c r="A1132" s="83" t="s">
        <v>1211</v>
      </c>
      <c r="B1132" s="84" t="s">
        <v>1096</v>
      </c>
      <c r="C1132" s="138" t="s">
        <v>130</v>
      </c>
      <c r="D1132" s="139">
        <v>109.31</v>
      </c>
      <c r="E1132" s="139">
        <v>62.526339</v>
      </c>
      <c r="F1132" s="140">
        <f t="shared" si="44"/>
        <v>6834.75411609</v>
      </c>
      <c r="G1132" s="97"/>
      <c r="H1132" s="92"/>
    </row>
    <row r="1133" spans="1:8" x14ac:dyDescent="0.2">
      <c r="A1133" s="81" t="s">
        <v>1212</v>
      </c>
      <c r="B1133" s="82" t="s">
        <v>1172</v>
      </c>
      <c r="C1133" s="135" t="s">
        <v>1759</v>
      </c>
      <c r="D1133" s="136">
        <v>0</v>
      </c>
      <c r="E1133" s="136">
        <v>0</v>
      </c>
      <c r="F1133" s="137">
        <f>SUM(F1134)</f>
        <v>302.19376319999998</v>
      </c>
      <c r="G1133" s="96"/>
      <c r="H1133" s="91"/>
    </row>
    <row r="1134" spans="1:8" x14ac:dyDescent="0.2">
      <c r="A1134" s="83" t="s">
        <v>1213</v>
      </c>
      <c r="B1134" s="84" t="s">
        <v>1176</v>
      </c>
      <c r="C1134" s="138" t="s">
        <v>123</v>
      </c>
      <c r="D1134" s="139">
        <v>6.48</v>
      </c>
      <c r="E1134" s="139">
        <v>46.634839999999997</v>
      </c>
      <c r="F1134" s="140">
        <f t="shared" ref="F1134" si="45">E1134*D1134</f>
        <v>302.19376319999998</v>
      </c>
      <c r="G1134" s="97"/>
      <c r="H1134" s="92"/>
    </row>
    <row r="1135" spans="1:8" x14ac:dyDescent="0.2">
      <c r="A1135" s="81" t="s">
        <v>2277</v>
      </c>
      <c r="B1135" s="82" t="s">
        <v>1178</v>
      </c>
      <c r="C1135" s="135" t="s">
        <v>1759</v>
      </c>
      <c r="D1135" s="136">
        <v>0</v>
      </c>
      <c r="E1135" s="136">
        <v>0</v>
      </c>
      <c r="F1135" s="137">
        <f>SUM(F1136)</f>
        <v>252.99539999999999</v>
      </c>
      <c r="G1135" s="96"/>
      <c r="H1135" s="91"/>
    </row>
    <row r="1136" spans="1:8" x14ac:dyDescent="0.2">
      <c r="A1136" s="83" t="s">
        <v>2278</v>
      </c>
      <c r="B1136" s="84" t="s">
        <v>1180</v>
      </c>
      <c r="C1136" s="138" t="s">
        <v>123</v>
      </c>
      <c r="D1136" s="139">
        <v>1.94</v>
      </c>
      <c r="E1136" s="139">
        <v>130.41</v>
      </c>
      <c r="F1136" s="140">
        <f t="shared" ref="F1136" si="46">E1136*D1136</f>
        <v>252.99539999999999</v>
      </c>
      <c r="G1136" s="97" t="s">
        <v>2328</v>
      </c>
      <c r="H1136" s="92"/>
    </row>
    <row r="1137" spans="1:8" x14ac:dyDescent="0.2">
      <c r="A1137" s="81" t="s">
        <v>1214</v>
      </c>
      <c r="B1137" s="82" t="s">
        <v>1184</v>
      </c>
      <c r="C1137" s="135" t="s">
        <v>1759</v>
      </c>
      <c r="D1137" s="136">
        <v>0</v>
      </c>
      <c r="E1137" s="136">
        <v>0</v>
      </c>
      <c r="F1137" s="137">
        <f>SUM(F1138)</f>
        <v>1180.5907200000001</v>
      </c>
      <c r="G1137" s="96"/>
      <c r="H1137" s="91"/>
    </row>
    <row r="1138" spans="1:8" x14ac:dyDescent="0.2">
      <c r="A1138" s="83" t="s">
        <v>1215</v>
      </c>
      <c r="B1138" s="84" t="s">
        <v>1186</v>
      </c>
      <c r="C1138" s="138" t="s">
        <v>123</v>
      </c>
      <c r="D1138" s="139">
        <v>12.14</v>
      </c>
      <c r="E1138" s="139">
        <v>97.248000000000005</v>
      </c>
      <c r="F1138" s="140">
        <f t="shared" ref="F1138" si="47">E1138*D1138</f>
        <v>1180.5907200000001</v>
      </c>
      <c r="G1138" s="97" t="s">
        <v>1206</v>
      </c>
      <c r="H1138" s="92"/>
    </row>
    <row r="1139" spans="1:8" x14ac:dyDescent="0.2">
      <c r="A1139" s="81" t="s">
        <v>1216</v>
      </c>
      <c r="B1139" s="82" t="s">
        <v>295</v>
      </c>
      <c r="C1139" s="135" t="s">
        <v>1759</v>
      </c>
      <c r="D1139" s="136">
        <v>0</v>
      </c>
      <c r="E1139" s="136">
        <v>0</v>
      </c>
      <c r="F1139" s="137">
        <f>SUM(F1140:F1144)</f>
        <v>5663.7160000000003</v>
      </c>
      <c r="G1139" s="96"/>
      <c r="H1139" s="91"/>
    </row>
    <row r="1140" spans="1:8" x14ac:dyDescent="0.2">
      <c r="A1140" s="83" t="s">
        <v>1217</v>
      </c>
      <c r="B1140" s="84" t="s">
        <v>1191</v>
      </c>
      <c r="C1140" s="138" t="s">
        <v>130</v>
      </c>
      <c r="D1140" s="139">
        <v>9.4700000000000006</v>
      </c>
      <c r="E1140" s="139">
        <v>48</v>
      </c>
      <c r="F1140" s="140">
        <f t="shared" ref="F1140:F1144" si="48">E1140*D1140</f>
        <v>454.56000000000006</v>
      </c>
      <c r="G1140" s="97"/>
      <c r="H1140" s="92"/>
    </row>
    <row r="1141" spans="1:8" x14ac:dyDescent="0.2">
      <c r="A1141" s="83" t="s">
        <v>1218</v>
      </c>
      <c r="B1141" s="84" t="s">
        <v>1199</v>
      </c>
      <c r="C1141" s="138" t="s">
        <v>123</v>
      </c>
      <c r="D1141" s="139">
        <v>6.48</v>
      </c>
      <c r="E1141" s="139">
        <v>22</v>
      </c>
      <c r="F1141" s="140">
        <f t="shared" si="48"/>
        <v>142.56</v>
      </c>
      <c r="G1141" s="97"/>
      <c r="H1141" s="92"/>
    </row>
    <row r="1142" spans="1:8" x14ac:dyDescent="0.2">
      <c r="A1142" s="83" t="s">
        <v>2279</v>
      </c>
      <c r="B1142" s="84" t="s">
        <v>1201</v>
      </c>
      <c r="C1142" s="138" t="s">
        <v>123</v>
      </c>
      <c r="D1142" s="139">
        <v>1.94</v>
      </c>
      <c r="E1142" s="139">
        <v>10.4</v>
      </c>
      <c r="F1142" s="140">
        <f t="shared" si="48"/>
        <v>20.175999999999998</v>
      </c>
      <c r="G1142" s="97"/>
      <c r="H1142" s="92"/>
    </row>
    <row r="1143" spans="1:8" x14ac:dyDescent="0.2">
      <c r="A1143" s="83" t="s">
        <v>1219</v>
      </c>
      <c r="B1143" s="84" t="s">
        <v>1193</v>
      </c>
      <c r="C1143" s="138" t="s">
        <v>130</v>
      </c>
      <c r="D1143" s="139">
        <v>109.31</v>
      </c>
      <c r="E1143" s="139">
        <v>45</v>
      </c>
      <c r="F1143" s="140">
        <f t="shared" si="48"/>
        <v>4918.95</v>
      </c>
      <c r="G1143" s="97"/>
      <c r="H1143" s="92"/>
    </row>
    <row r="1144" spans="1:8" x14ac:dyDescent="0.2">
      <c r="A1144" s="83" t="s">
        <v>1220</v>
      </c>
      <c r="B1144" s="84" t="s">
        <v>1205</v>
      </c>
      <c r="C1144" s="138" t="s">
        <v>123</v>
      </c>
      <c r="D1144" s="139">
        <v>12.14</v>
      </c>
      <c r="E1144" s="139">
        <v>10.5</v>
      </c>
      <c r="F1144" s="140">
        <f t="shared" si="48"/>
        <v>127.47</v>
      </c>
      <c r="G1144" s="97"/>
      <c r="H1144" s="92"/>
    </row>
    <row r="1145" spans="1:8" x14ac:dyDescent="0.2">
      <c r="A1145" s="79" t="s">
        <v>1221</v>
      </c>
      <c r="B1145" s="80" t="s">
        <v>2280</v>
      </c>
      <c r="C1145" s="132" t="s">
        <v>1759</v>
      </c>
      <c r="D1145" s="133">
        <v>0</v>
      </c>
      <c r="E1145" s="133">
        <v>0</v>
      </c>
      <c r="F1145" s="134">
        <f>F1146+F1149+F1153+F1155+F1151</f>
        <v>13891.735176560003</v>
      </c>
      <c r="G1145" s="95"/>
      <c r="H1145" s="90"/>
    </row>
    <row r="1146" spans="1:8" x14ac:dyDescent="0.2">
      <c r="A1146" s="81" t="s">
        <v>1222</v>
      </c>
      <c r="B1146" s="82" t="s">
        <v>1164</v>
      </c>
      <c r="C1146" s="135" t="s">
        <v>1759</v>
      </c>
      <c r="D1146" s="136">
        <v>0</v>
      </c>
      <c r="E1146" s="136">
        <v>0</v>
      </c>
      <c r="F1146" s="137">
        <f>SUM(F1147:F1148)</f>
        <v>6990.38929336</v>
      </c>
      <c r="G1146" s="96"/>
      <c r="H1146" s="91"/>
    </row>
    <row r="1147" spans="1:8" ht="31.5" x14ac:dyDescent="0.2">
      <c r="A1147" s="83" t="s">
        <v>1223</v>
      </c>
      <c r="B1147" s="84" t="s">
        <v>1210</v>
      </c>
      <c r="C1147" s="138" t="s">
        <v>130</v>
      </c>
      <c r="D1147" s="139">
        <v>9.4700000000000006</v>
      </c>
      <c r="E1147" s="139">
        <v>89.525000000000006</v>
      </c>
      <c r="F1147" s="140">
        <f t="shared" ref="F1147:F1148" si="49">E1147*D1147</f>
        <v>847.80175000000008</v>
      </c>
      <c r="G1147" s="97" t="s">
        <v>2330</v>
      </c>
      <c r="H1147" s="92"/>
    </row>
    <row r="1148" spans="1:8" x14ac:dyDescent="0.2">
      <c r="A1148" s="83" t="s">
        <v>1224</v>
      </c>
      <c r="B1148" s="84" t="s">
        <v>1096</v>
      </c>
      <c r="C1148" s="138" t="s">
        <v>130</v>
      </c>
      <c r="D1148" s="139">
        <v>98.240000000000009</v>
      </c>
      <c r="E1148" s="139">
        <v>62.526339</v>
      </c>
      <c r="F1148" s="140">
        <f t="shared" si="49"/>
        <v>6142.5875433600004</v>
      </c>
      <c r="G1148" s="97"/>
      <c r="H1148" s="92"/>
    </row>
    <row r="1149" spans="1:8" x14ac:dyDescent="0.2">
      <c r="A1149" s="81" t="s">
        <v>1225</v>
      </c>
      <c r="B1149" s="82" t="s">
        <v>1172</v>
      </c>
      <c r="C1149" s="135" t="s">
        <v>1759</v>
      </c>
      <c r="D1149" s="136">
        <v>0</v>
      </c>
      <c r="E1149" s="136">
        <v>0</v>
      </c>
      <c r="F1149" s="137">
        <f>SUM(F1150)</f>
        <v>302.19376319999998</v>
      </c>
      <c r="G1149" s="96"/>
      <c r="H1149" s="91"/>
    </row>
    <row r="1150" spans="1:8" x14ac:dyDescent="0.2">
      <c r="A1150" s="83" t="s">
        <v>1226</v>
      </c>
      <c r="B1150" s="84" t="s">
        <v>1176</v>
      </c>
      <c r="C1150" s="138" t="s">
        <v>123</v>
      </c>
      <c r="D1150" s="139">
        <v>6.48</v>
      </c>
      <c r="E1150" s="139">
        <v>46.634839999999997</v>
      </c>
      <c r="F1150" s="140">
        <f t="shared" ref="F1150" si="50">E1150*D1150</f>
        <v>302.19376319999998</v>
      </c>
      <c r="G1150" s="97"/>
      <c r="H1150" s="92"/>
    </row>
    <row r="1151" spans="1:8" x14ac:dyDescent="0.2">
      <c r="A1151" s="81" t="s">
        <v>2281</v>
      </c>
      <c r="B1151" s="82" t="s">
        <v>1178</v>
      </c>
      <c r="C1151" s="135" t="s">
        <v>1759</v>
      </c>
      <c r="D1151" s="136">
        <v>0</v>
      </c>
      <c r="E1151" s="136">
        <v>0</v>
      </c>
      <c r="F1151" s="137">
        <f>SUM(F1152)</f>
        <v>252.99539999999999</v>
      </c>
      <c r="G1151" s="96"/>
      <c r="H1151" s="91"/>
    </row>
    <row r="1152" spans="1:8" x14ac:dyDescent="0.2">
      <c r="A1152" s="83" t="s">
        <v>2282</v>
      </c>
      <c r="B1152" s="84" t="s">
        <v>1180</v>
      </c>
      <c r="C1152" s="138" t="s">
        <v>123</v>
      </c>
      <c r="D1152" s="139">
        <v>1.94</v>
      </c>
      <c r="E1152" s="139">
        <v>130.41</v>
      </c>
      <c r="F1152" s="140">
        <f t="shared" ref="F1152" si="51">E1152*D1152</f>
        <v>252.99539999999999</v>
      </c>
      <c r="G1152" s="97" t="s">
        <v>2328</v>
      </c>
      <c r="H1152" s="92"/>
    </row>
    <row r="1153" spans="1:8" x14ac:dyDescent="0.2">
      <c r="A1153" s="81" t="s">
        <v>1227</v>
      </c>
      <c r="B1153" s="82" t="s">
        <v>1184</v>
      </c>
      <c r="C1153" s="135" t="s">
        <v>1759</v>
      </c>
      <c r="D1153" s="136">
        <v>0</v>
      </c>
      <c r="E1153" s="136">
        <v>0</v>
      </c>
      <c r="F1153" s="137">
        <f>SUM(F1154)</f>
        <v>1180.5907200000001</v>
      </c>
      <c r="G1153" s="96"/>
      <c r="H1153" s="91"/>
    </row>
    <row r="1154" spans="1:8" x14ac:dyDescent="0.2">
      <c r="A1154" s="83" t="s">
        <v>1228</v>
      </c>
      <c r="B1154" s="84" t="s">
        <v>1186</v>
      </c>
      <c r="C1154" s="138" t="s">
        <v>123</v>
      </c>
      <c r="D1154" s="139">
        <v>12.14</v>
      </c>
      <c r="E1154" s="139">
        <v>97.248000000000005</v>
      </c>
      <c r="F1154" s="140">
        <f t="shared" ref="F1154" si="52">E1154*D1154</f>
        <v>1180.5907200000001</v>
      </c>
      <c r="G1154" s="97" t="s">
        <v>1206</v>
      </c>
      <c r="H1154" s="92"/>
    </row>
    <row r="1155" spans="1:8" x14ac:dyDescent="0.2">
      <c r="A1155" s="81" t="s">
        <v>1229</v>
      </c>
      <c r="B1155" s="82" t="s">
        <v>295</v>
      </c>
      <c r="C1155" s="135" t="s">
        <v>1759</v>
      </c>
      <c r="D1155" s="136">
        <v>0</v>
      </c>
      <c r="E1155" s="136">
        <v>0</v>
      </c>
      <c r="F1155" s="137">
        <f>SUM(F1156:F1160)</f>
        <v>5165.5660000000016</v>
      </c>
      <c r="G1155" s="96"/>
      <c r="H1155" s="91"/>
    </row>
    <row r="1156" spans="1:8" x14ac:dyDescent="0.2">
      <c r="A1156" s="83" t="s">
        <v>1230</v>
      </c>
      <c r="B1156" s="84" t="s">
        <v>1191</v>
      </c>
      <c r="C1156" s="138" t="s">
        <v>130</v>
      </c>
      <c r="D1156" s="139">
        <v>9.4700000000000006</v>
      </c>
      <c r="E1156" s="139">
        <v>48</v>
      </c>
      <c r="F1156" s="140">
        <f t="shared" ref="F1156:F1160" si="53">E1156*D1156</f>
        <v>454.56000000000006</v>
      </c>
      <c r="G1156" s="97"/>
      <c r="H1156" s="92"/>
    </row>
    <row r="1157" spans="1:8" x14ac:dyDescent="0.2">
      <c r="A1157" s="83" t="s">
        <v>1231</v>
      </c>
      <c r="B1157" s="84" t="s">
        <v>1193</v>
      </c>
      <c r="C1157" s="138" t="s">
        <v>130</v>
      </c>
      <c r="D1157" s="139">
        <v>98.240000000000009</v>
      </c>
      <c r="E1157" s="139">
        <v>45</v>
      </c>
      <c r="F1157" s="140">
        <f t="shared" si="53"/>
        <v>4420.8</v>
      </c>
      <c r="G1157" s="97"/>
      <c r="H1157" s="92"/>
    </row>
    <row r="1158" spans="1:8" x14ac:dyDescent="0.2">
      <c r="A1158" s="83" t="s">
        <v>1232</v>
      </c>
      <c r="B1158" s="84" t="s">
        <v>1199</v>
      </c>
      <c r="C1158" s="138" t="s">
        <v>123</v>
      </c>
      <c r="D1158" s="139">
        <v>6.48</v>
      </c>
      <c r="E1158" s="139">
        <v>22</v>
      </c>
      <c r="F1158" s="140">
        <f t="shared" si="53"/>
        <v>142.56</v>
      </c>
      <c r="G1158" s="97"/>
      <c r="H1158" s="92"/>
    </row>
    <row r="1159" spans="1:8" x14ac:dyDescent="0.2">
      <c r="A1159" s="83" t="s">
        <v>2283</v>
      </c>
      <c r="B1159" s="84" t="s">
        <v>1201</v>
      </c>
      <c r="C1159" s="138" t="s">
        <v>123</v>
      </c>
      <c r="D1159" s="139">
        <v>1.94</v>
      </c>
      <c r="E1159" s="139">
        <v>10.4</v>
      </c>
      <c r="F1159" s="140">
        <f t="shared" si="53"/>
        <v>20.175999999999998</v>
      </c>
      <c r="G1159" s="97"/>
      <c r="H1159" s="92"/>
    </row>
    <row r="1160" spans="1:8" x14ac:dyDescent="0.2">
      <c r="A1160" s="83" t="s">
        <v>1233</v>
      </c>
      <c r="B1160" s="84" t="s">
        <v>1205</v>
      </c>
      <c r="C1160" s="138" t="s">
        <v>123</v>
      </c>
      <c r="D1160" s="139">
        <v>12.14</v>
      </c>
      <c r="E1160" s="139">
        <v>10.5</v>
      </c>
      <c r="F1160" s="140">
        <f t="shared" si="53"/>
        <v>127.47</v>
      </c>
      <c r="G1160" s="97"/>
      <c r="H1160" s="92"/>
    </row>
    <row r="1161" spans="1:8" x14ac:dyDescent="0.2">
      <c r="A1161" s="79" t="s">
        <v>1234</v>
      </c>
      <c r="B1161" s="80" t="s">
        <v>2284</v>
      </c>
      <c r="C1161" s="132" t="s">
        <v>1759</v>
      </c>
      <c r="D1161" s="133">
        <v>0</v>
      </c>
      <c r="E1161" s="133">
        <v>0</v>
      </c>
      <c r="F1161" s="134">
        <f>F1162+F1165+F1169+F1171+F1167</f>
        <v>16076.670385040001</v>
      </c>
      <c r="G1161" s="95"/>
      <c r="H1161" s="90"/>
    </row>
    <row r="1162" spans="1:8" x14ac:dyDescent="0.2">
      <c r="A1162" s="81" t="s">
        <v>1235</v>
      </c>
      <c r="B1162" s="82" t="s">
        <v>1164</v>
      </c>
      <c r="C1162" s="135" t="s">
        <v>1759</v>
      </c>
      <c r="D1162" s="136">
        <v>0</v>
      </c>
      <c r="E1162" s="136">
        <v>0</v>
      </c>
      <c r="F1162" s="137">
        <f>SUM(F1163:F1164)</f>
        <v>8260.9245018399997</v>
      </c>
      <c r="G1162" s="96"/>
      <c r="H1162" s="91"/>
    </row>
    <row r="1163" spans="1:8" ht="31.5" x14ac:dyDescent="0.2">
      <c r="A1163" s="83" t="s">
        <v>1238</v>
      </c>
      <c r="B1163" s="84" t="s">
        <v>1210</v>
      </c>
      <c r="C1163" s="138" t="s">
        <v>130</v>
      </c>
      <c r="D1163" s="139">
        <v>9.4700000000000006</v>
      </c>
      <c r="E1163" s="139">
        <v>89.525000000000006</v>
      </c>
      <c r="F1163" s="140">
        <f t="shared" ref="F1163:F1164" si="54">E1163*D1163</f>
        <v>847.80175000000008</v>
      </c>
      <c r="G1163" s="97" t="s">
        <v>2330</v>
      </c>
      <c r="H1163" s="92"/>
    </row>
    <row r="1164" spans="1:8" x14ac:dyDescent="0.2">
      <c r="A1164" s="83" t="s">
        <v>2285</v>
      </c>
      <c r="B1164" s="84" t="s">
        <v>1096</v>
      </c>
      <c r="C1164" s="138" t="s">
        <v>130</v>
      </c>
      <c r="D1164" s="139">
        <v>118.56</v>
      </c>
      <c r="E1164" s="139">
        <v>62.526339</v>
      </c>
      <c r="F1164" s="140">
        <f t="shared" si="54"/>
        <v>7413.1227518400001</v>
      </c>
      <c r="G1164" s="97"/>
      <c r="H1164" s="92"/>
    </row>
    <row r="1165" spans="1:8" x14ac:dyDescent="0.2">
      <c r="A1165" s="81" t="s">
        <v>1239</v>
      </c>
      <c r="B1165" s="82" t="s">
        <v>1172</v>
      </c>
      <c r="C1165" s="135" t="s">
        <v>1759</v>
      </c>
      <c r="D1165" s="136">
        <v>0</v>
      </c>
      <c r="E1165" s="136">
        <v>0</v>
      </c>
      <c r="F1165" s="137">
        <f>SUM(F1166)</f>
        <v>302.19376319999998</v>
      </c>
      <c r="G1165" s="96"/>
      <c r="H1165" s="91"/>
    </row>
    <row r="1166" spans="1:8" x14ac:dyDescent="0.2">
      <c r="A1166" s="83" t="s">
        <v>1240</v>
      </c>
      <c r="B1166" s="84" t="s">
        <v>1176</v>
      </c>
      <c r="C1166" s="138" t="s">
        <v>123</v>
      </c>
      <c r="D1166" s="139">
        <v>6.48</v>
      </c>
      <c r="E1166" s="139">
        <v>46.634839999999997</v>
      </c>
      <c r="F1166" s="140">
        <f t="shared" ref="F1166" si="55">E1166*D1166</f>
        <v>302.19376319999998</v>
      </c>
      <c r="G1166" s="97"/>
      <c r="H1166" s="92"/>
    </row>
    <row r="1167" spans="1:8" x14ac:dyDescent="0.2">
      <c r="A1167" s="81" t="s">
        <v>1241</v>
      </c>
      <c r="B1167" s="82" t="s">
        <v>1178</v>
      </c>
      <c r="C1167" s="135" t="s">
        <v>1759</v>
      </c>
      <c r="D1167" s="136">
        <v>0</v>
      </c>
      <c r="E1167" s="136">
        <v>0</v>
      </c>
      <c r="F1167" s="137">
        <f>SUM(F1168)</f>
        <v>252.99539999999999</v>
      </c>
      <c r="G1167" s="96"/>
      <c r="H1167" s="91"/>
    </row>
    <row r="1168" spans="1:8" x14ac:dyDescent="0.2">
      <c r="A1168" s="83" t="s">
        <v>1242</v>
      </c>
      <c r="B1168" s="84" t="s">
        <v>1180</v>
      </c>
      <c r="C1168" s="138" t="s">
        <v>123</v>
      </c>
      <c r="D1168" s="139">
        <v>1.94</v>
      </c>
      <c r="E1168" s="139">
        <v>130.41</v>
      </c>
      <c r="F1168" s="140">
        <f t="shared" ref="F1168" si="56">E1168*D1168</f>
        <v>252.99539999999999</v>
      </c>
      <c r="G1168" s="97" t="s">
        <v>2328</v>
      </c>
      <c r="H1168" s="92"/>
    </row>
    <row r="1169" spans="1:8" x14ac:dyDescent="0.2">
      <c r="A1169" s="81" t="s">
        <v>1243</v>
      </c>
      <c r="B1169" s="82" t="s">
        <v>1184</v>
      </c>
      <c r="C1169" s="135" t="s">
        <v>1759</v>
      </c>
      <c r="D1169" s="136">
        <v>0</v>
      </c>
      <c r="E1169" s="136">
        <v>0</v>
      </c>
      <c r="F1169" s="137">
        <f>SUM(F1170)</f>
        <v>1180.5907200000001</v>
      </c>
      <c r="G1169" s="96"/>
      <c r="H1169" s="91"/>
    </row>
    <row r="1170" spans="1:8" x14ac:dyDescent="0.2">
      <c r="A1170" s="83" t="s">
        <v>1244</v>
      </c>
      <c r="B1170" s="84" t="s">
        <v>1186</v>
      </c>
      <c r="C1170" s="138" t="s">
        <v>123</v>
      </c>
      <c r="D1170" s="139">
        <v>12.14</v>
      </c>
      <c r="E1170" s="139">
        <v>97.248000000000005</v>
      </c>
      <c r="F1170" s="140">
        <f t="shared" ref="F1170" si="57">E1170*D1170</f>
        <v>1180.5907200000001</v>
      </c>
      <c r="G1170" s="97" t="s">
        <v>1206</v>
      </c>
      <c r="H1170" s="92"/>
    </row>
    <row r="1171" spans="1:8" x14ac:dyDescent="0.2">
      <c r="A1171" s="81" t="s">
        <v>1245</v>
      </c>
      <c r="B1171" s="82" t="s">
        <v>295</v>
      </c>
      <c r="C1171" s="135" t="s">
        <v>1759</v>
      </c>
      <c r="D1171" s="136">
        <v>0</v>
      </c>
      <c r="E1171" s="136">
        <v>0</v>
      </c>
      <c r="F1171" s="137">
        <f>SUM(F1172:F1176)</f>
        <v>6079.9660000000003</v>
      </c>
      <c r="G1171" s="96"/>
      <c r="H1171" s="91"/>
    </row>
    <row r="1172" spans="1:8" x14ac:dyDescent="0.2">
      <c r="A1172" s="83" t="s">
        <v>1247</v>
      </c>
      <c r="B1172" s="84" t="s">
        <v>1191</v>
      </c>
      <c r="C1172" s="138" t="s">
        <v>130</v>
      </c>
      <c r="D1172" s="139">
        <v>9.4700000000000006</v>
      </c>
      <c r="E1172" s="139">
        <v>48</v>
      </c>
      <c r="F1172" s="140">
        <f t="shared" ref="F1172:F1176" si="58">E1172*D1172</f>
        <v>454.56000000000006</v>
      </c>
      <c r="G1172" s="97"/>
      <c r="H1172" s="92"/>
    </row>
    <row r="1173" spans="1:8" x14ac:dyDescent="0.2">
      <c r="A1173" s="83" t="s">
        <v>1248</v>
      </c>
      <c r="B1173" s="84" t="s">
        <v>1201</v>
      </c>
      <c r="C1173" s="138" t="s">
        <v>123</v>
      </c>
      <c r="D1173" s="139">
        <v>1.94</v>
      </c>
      <c r="E1173" s="139">
        <v>10.4</v>
      </c>
      <c r="F1173" s="140">
        <f t="shared" si="58"/>
        <v>20.175999999999998</v>
      </c>
      <c r="G1173" s="97"/>
      <c r="H1173" s="92"/>
    </row>
    <row r="1174" spans="1:8" x14ac:dyDescent="0.2">
      <c r="A1174" s="83" t="s">
        <v>1249</v>
      </c>
      <c r="B1174" s="84" t="s">
        <v>1205</v>
      </c>
      <c r="C1174" s="138" t="s">
        <v>123</v>
      </c>
      <c r="D1174" s="139">
        <v>12.14</v>
      </c>
      <c r="E1174" s="139">
        <v>10.5</v>
      </c>
      <c r="F1174" s="140">
        <f t="shared" si="58"/>
        <v>127.47</v>
      </c>
      <c r="G1174" s="97"/>
      <c r="H1174" s="92"/>
    </row>
    <row r="1175" spans="1:8" x14ac:dyDescent="0.2">
      <c r="A1175" s="83" t="s">
        <v>1250</v>
      </c>
      <c r="B1175" s="84" t="s">
        <v>1199</v>
      </c>
      <c r="C1175" s="138" t="s">
        <v>123</v>
      </c>
      <c r="D1175" s="139">
        <v>6.48</v>
      </c>
      <c r="E1175" s="139">
        <v>22</v>
      </c>
      <c r="F1175" s="140">
        <f t="shared" si="58"/>
        <v>142.56</v>
      </c>
      <c r="G1175" s="97"/>
      <c r="H1175" s="92"/>
    </row>
    <row r="1176" spans="1:8" x14ac:dyDescent="0.2">
      <c r="A1176" s="83" t="s">
        <v>2286</v>
      </c>
      <c r="B1176" s="84" t="s">
        <v>1193</v>
      </c>
      <c r="C1176" s="138" t="s">
        <v>130</v>
      </c>
      <c r="D1176" s="139">
        <v>118.56</v>
      </c>
      <c r="E1176" s="139">
        <v>45</v>
      </c>
      <c r="F1176" s="140">
        <f t="shared" si="58"/>
        <v>5335.2</v>
      </c>
      <c r="G1176" s="97"/>
      <c r="H1176" s="92"/>
    </row>
    <row r="1177" spans="1:8" x14ac:dyDescent="0.2">
      <c r="A1177" s="79" t="s">
        <v>1251</v>
      </c>
      <c r="B1177" s="80" t="s">
        <v>1899</v>
      </c>
      <c r="C1177" s="132" t="s">
        <v>1759</v>
      </c>
      <c r="D1177" s="133">
        <v>0</v>
      </c>
      <c r="E1177" s="133">
        <v>0</v>
      </c>
      <c r="F1177" s="134">
        <f>F1178+F1184+F1187+F1189+F1193+F1195</f>
        <v>142781.40489160002</v>
      </c>
      <c r="G1177" s="95"/>
      <c r="H1177" s="90"/>
    </row>
    <row r="1178" spans="1:8" x14ac:dyDescent="0.2">
      <c r="A1178" s="81" t="s">
        <v>1252</v>
      </c>
      <c r="B1178" s="82" t="s">
        <v>1164</v>
      </c>
      <c r="C1178" s="135" t="s">
        <v>1759</v>
      </c>
      <c r="D1178" s="136">
        <v>0</v>
      </c>
      <c r="E1178" s="136">
        <v>0</v>
      </c>
      <c r="F1178" s="137">
        <f>SUM(F1179:F1183)</f>
        <v>53070.620364399998</v>
      </c>
      <c r="G1178" s="96"/>
      <c r="H1178" s="91"/>
    </row>
    <row r="1179" spans="1:8" ht="31.5" x14ac:dyDescent="0.2">
      <c r="A1179" s="83" t="s">
        <v>1253</v>
      </c>
      <c r="B1179" s="84" t="s">
        <v>1236</v>
      </c>
      <c r="C1179" s="138" t="s">
        <v>130</v>
      </c>
      <c r="D1179" s="139">
        <v>176.6</v>
      </c>
      <c r="E1179" s="139">
        <v>89.525000000000006</v>
      </c>
      <c r="F1179" s="140">
        <f t="shared" ref="F1179:F1183" si="59">E1179*D1179</f>
        <v>15810.115</v>
      </c>
      <c r="G1179" s="97" t="s">
        <v>2332</v>
      </c>
      <c r="H1179" s="92"/>
    </row>
    <row r="1180" spans="1:8" ht="31.5" x14ac:dyDescent="0.2">
      <c r="A1180" s="83" t="s">
        <v>2287</v>
      </c>
      <c r="B1180" s="84" t="s">
        <v>1098</v>
      </c>
      <c r="C1180" s="138" t="s">
        <v>130</v>
      </c>
      <c r="D1180" s="139">
        <v>145.42000000000002</v>
      </c>
      <c r="E1180" s="139">
        <v>92.674319999999994</v>
      </c>
      <c r="F1180" s="140">
        <f t="shared" si="59"/>
        <v>13476.6996144</v>
      </c>
      <c r="G1180" s="97" t="s">
        <v>1314</v>
      </c>
      <c r="H1180" s="92"/>
    </row>
    <row r="1181" spans="1:8" ht="31.5" x14ac:dyDescent="0.2">
      <c r="A1181" s="83" t="s">
        <v>1254</v>
      </c>
      <c r="B1181" s="84" t="s">
        <v>1255</v>
      </c>
      <c r="C1181" s="138" t="s">
        <v>130</v>
      </c>
      <c r="D1181" s="139">
        <v>39.119999999999997</v>
      </c>
      <c r="E1181" s="139">
        <v>89.975000000000009</v>
      </c>
      <c r="F1181" s="140">
        <f t="shared" si="59"/>
        <v>3519.8220000000001</v>
      </c>
      <c r="G1181" s="97" t="s">
        <v>2331</v>
      </c>
      <c r="H1181" s="92"/>
    </row>
    <row r="1182" spans="1:8" ht="31.5" x14ac:dyDescent="0.2">
      <c r="A1182" s="83" t="s">
        <v>1256</v>
      </c>
      <c r="B1182" s="84" t="s">
        <v>1237</v>
      </c>
      <c r="C1182" s="138" t="s">
        <v>130</v>
      </c>
      <c r="D1182" s="139">
        <v>198.19</v>
      </c>
      <c r="E1182" s="139">
        <v>89.525000000000006</v>
      </c>
      <c r="F1182" s="140">
        <f t="shared" si="59"/>
        <v>17742.959750000002</v>
      </c>
      <c r="G1182" s="97" t="s">
        <v>2332</v>
      </c>
      <c r="H1182" s="92"/>
    </row>
    <row r="1183" spans="1:8" ht="31.5" x14ac:dyDescent="0.2">
      <c r="A1183" s="83" t="s">
        <v>1257</v>
      </c>
      <c r="B1183" s="84" t="s">
        <v>1210</v>
      </c>
      <c r="C1183" s="138" t="s">
        <v>130</v>
      </c>
      <c r="D1183" s="139">
        <v>28.16</v>
      </c>
      <c r="E1183" s="139">
        <v>89.525000000000006</v>
      </c>
      <c r="F1183" s="140">
        <f t="shared" si="59"/>
        <v>2521.0240000000003</v>
      </c>
      <c r="G1183" s="97" t="s">
        <v>2332</v>
      </c>
      <c r="H1183" s="92"/>
    </row>
    <row r="1184" spans="1:8" ht="15" customHeight="1" x14ac:dyDescent="0.2">
      <c r="A1184" s="81" t="s">
        <v>1258</v>
      </c>
      <c r="B1184" s="82" t="s">
        <v>1172</v>
      </c>
      <c r="C1184" s="135" t="s">
        <v>1759</v>
      </c>
      <c r="D1184" s="136">
        <v>0</v>
      </c>
      <c r="E1184" s="136">
        <v>0</v>
      </c>
      <c r="F1184" s="137">
        <f>SUM(F1185:F1186)</f>
        <v>15323.790647199998</v>
      </c>
      <c r="G1184" s="96"/>
      <c r="H1184" s="91"/>
    </row>
    <row r="1185" spans="1:8" x14ac:dyDescent="0.2">
      <c r="A1185" s="83" t="s">
        <v>1259</v>
      </c>
      <c r="B1185" s="84" t="s">
        <v>1904</v>
      </c>
      <c r="C1185" s="138" t="s">
        <v>123</v>
      </c>
      <c r="D1185" s="139">
        <v>159.95000000000002</v>
      </c>
      <c r="E1185" s="139">
        <v>10.062000000000001</v>
      </c>
      <c r="F1185" s="140">
        <f t="shared" ref="F1185:F1186" si="60">E1185*D1185</f>
        <v>1609.4169000000004</v>
      </c>
      <c r="G1185" s="97"/>
      <c r="H1185" s="92"/>
    </row>
    <row r="1186" spans="1:8" x14ac:dyDescent="0.2">
      <c r="A1186" s="83" t="s">
        <v>1260</v>
      </c>
      <c r="B1186" s="84" t="s">
        <v>1176</v>
      </c>
      <c r="C1186" s="138" t="s">
        <v>123</v>
      </c>
      <c r="D1186" s="139">
        <v>294.08</v>
      </c>
      <c r="E1186" s="139">
        <v>46.634839999999997</v>
      </c>
      <c r="F1186" s="140">
        <f t="shared" si="60"/>
        <v>13714.373747199998</v>
      </c>
      <c r="G1186" s="97"/>
      <c r="H1186" s="92"/>
    </row>
    <row r="1187" spans="1:8" x14ac:dyDescent="0.2">
      <c r="A1187" s="81" t="s">
        <v>1261</v>
      </c>
      <c r="B1187" s="82" t="s">
        <v>1178</v>
      </c>
      <c r="C1187" s="135" t="s">
        <v>1759</v>
      </c>
      <c r="D1187" s="136">
        <v>0</v>
      </c>
      <c r="E1187" s="136">
        <v>0</v>
      </c>
      <c r="F1187" s="137">
        <f>SUM(F1188)</f>
        <v>7675.9326000000001</v>
      </c>
      <c r="G1187" s="96"/>
      <c r="H1187" s="91"/>
    </row>
    <row r="1188" spans="1:8" x14ac:dyDescent="0.2">
      <c r="A1188" s="83" t="s">
        <v>1262</v>
      </c>
      <c r="B1188" s="84" t="s">
        <v>1180</v>
      </c>
      <c r="C1188" s="138" t="s">
        <v>123</v>
      </c>
      <c r="D1188" s="139">
        <v>58.86</v>
      </c>
      <c r="E1188" s="139">
        <v>130.41</v>
      </c>
      <c r="F1188" s="140">
        <f t="shared" ref="F1188" si="61">E1188*D1188</f>
        <v>7675.9326000000001</v>
      </c>
      <c r="G1188" s="97" t="s">
        <v>2328</v>
      </c>
      <c r="H1188" s="92"/>
    </row>
    <row r="1189" spans="1:8" x14ac:dyDescent="0.2">
      <c r="A1189" s="81" t="s">
        <v>1263</v>
      </c>
      <c r="B1189" s="82" t="s">
        <v>1182</v>
      </c>
      <c r="C1189" s="135" t="s">
        <v>1759</v>
      </c>
      <c r="D1189" s="136">
        <v>0</v>
      </c>
      <c r="E1189" s="136">
        <v>0</v>
      </c>
      <c r="F1189" s="137">
        <f>SUM(F1190:F1192)</f>
        <v>17844.726600000002</v>
      </c>
      <c r="G1189" s="96"/>
      <c r="H1189" s="91"/>
    </row>
    <row r="1190" spans="1:8" x14ac:dyDescent="0.2">
      <c r="A1190" s="83" t="s">
        <v>1264</v>
      </c>
      <c r="B1190" s="84" t="s">
        <v>1104</v>
      </c>
      <c r="C1190" s="138" t="s">
        <v>130</v>
      </c>
      <c r="D1190" s="139">
        <v>100.84</v>
      </c>
      <c r="E1190" s="139">
        <v>88.924000000000007</v>
      </c>
      <c r="F1190" s="140">
        <f t="shared" ref="F1190:F1192" si="62">E1190*D1190</f>
        <v>8967.096160000001</v>
      </c>
      <c r="G1190" s="97" t="s">
        <v>2333</v>
      </c>
      <c r="H1190" s="92"/>
    </row>
    <row r="1191" spans="1:8" ht="31.5" x14ac:dyDescent="0.2">
      <c r="A1191" s="83" t="s">
        <v>1265</v>
      </c>
      <c r="B1191" s="84" t="s">
        <v>1105</v>
      </c>
      <c r="C1191" s="138" t="s">
        <v>130</v>
      </c>
      <c r="D1191" s="139">
        <v>77.06</v>
      </c>
      <c r="E1191" s="139">
        <v>88.924000000000007</v>
      </c>
      <c r="F1191" s="140">
        <f t="shared" si="62"/>
        <v>6852.4834400000009</v>
      </c>
      <c r="G1191" s="97" t="s">
        <v>2333</v>
      </c>
      <c r="H1191" s="92"/>
    </row>
    <row r="1192" spans="1:8" x14ac:dyDescent="0.2">
      <c r="A1192" s="83" t="s">
        <v>2288</v>
      </c>
      <c r="B1192" s="84" t="s">
        <v>1887</v>
      </c>
      <c r="C1192" s="138" t="s">
        <v>130</v>
      </c>
      <c r="D1192" s="139">
        <v>8.31</v>
      </c>
      <c r="E1192" s="139">
        <v>243.70000000000002</v>
      </c>
      <c r="F1192" s="140">
        <f t="shared" si="62"/>
        <v>2025.1470000000002</v>
      </c>
      <c r="G1192" s="97"/>
      <c r="H1192" s="92"/>
    </row>
    <row r="1193" spans="1:8" x14ac:dyDescent="0.2">
      <c r="A1193" s="81" t="s">
        <v>1266</v>
      </c>
      <c r="B1193" s="82" t="s">
        <v>1184</v>
      </c>
      <c r="C1193" s="135" t="s">
        <v>1759</v>
      </c>
      <c r="D1193" s="136">
        <v>0</v>
      </c>
      <c r="E1193" s="136">
        <v>0</v>
      </c>
      <c r="F1193" s="137">
        <f>SUM(F1194)</f>
        <v>2519.6956800000003</v>
      </c>
      <c r="G1193" s="96"/>
      <c r="H1193" s="91"/>
    </row>
    <row r="1194" spans="1:8" x14ac:dyDescent="0.2">
      <c r="A1194" s="83" t="s">
        <v>1267</v>
      </c>
      <c r="B1194" s="84" t="s">
        <v>1186</v>
      </c>
      <c r="C1194" s="138" t="s">
        <v>123</v>
      </c>
      <c r="D1194" s="139">
        <v>25.91</v>
      </c>
      <c r="E1194" s="139">
        <v>97.248000000000005</v>
      </c>
      <c r="F1194" s="140">
        <f t="shared" ref="F1194" si="63">E1194*D1194</f>
        <v>2519.6956800000003</v>
      </c>
      <c r="G1194" s="97" t="s">
        <v>1206</v>
      </c>
      <c r="H1194" s="92"/>
    </row>
    <row r="1195" spans="1:8" x14ac:dyDescent="0.2">
      <c r="A1195" s="81" t="s">
        <v>1268</v>
      </c>
      <c r="B1195" s="82" t="s">
        <v>295</v>
      </c>
      <c r="C1195" s="135" t="s">
        <v>1759</v>
      </c>
      <c r="D1195" s="136">
        <v>0</v>
      </c>
      <c r="E1195" s="136">
        <v>0</v>
      </c>
      <c r="F1195" s="137">
        <f>SUM(F1196:F1203)</f>
        <v>46346.63900000001</v>
      </c>
      <c r="G1195" s="96"/>
      <c r="H1195" s="91"/>
    </row>
    <row r="1196" spans="1:8" x14ac:dyDescent="0.2">
      <c r="A1196" s="83" t="s">
        <v>1269</v>
      </c>
      <c r="B1196" s="84" t="s">
        <v>1191</v>
      </c>
      <c r="C1196" s="138" t="s">
        <v>130</v>
      </c>
      <c r="D1196" s="139">
        <v>442.07</v>
      </c>
      <c r="E1196" s="139">
        <v>48</v>
      </c>
      <c r="F1196" s="140">
        <f t="shared" ref="F1196:F1202" si="64">E1196*D1196</f>
        <v>21219.360000000001</v>
      </c>
      <c r="G1196" s="97"/>
      <c r="H1196" s="92"/>
    </row>
    <row r="1197" spans="1:8" x14ac:dyDescent="0.2">
      <c r="A1197" s="83" t="s">
        <v>1270</v>
      </c>
      <c r="B1197" s="84" t="s">
        <v>1246</v>
      </c>
      <c r="C1197" s="138" t="s">
        <v>130</v>
      </c>
      <c r="D1197" s="139">
        <v>145.42000000000002</v>
      </c>
      <c r="E1197" s="139">
        <v>40</v>
      </c>
      <c r="F1197" s="140">
        <f t="shared" si="64"/>
        <v>5816.8000000000011</v>
      </c>
      <c r="G1197" s="97"/>
      <c r="H1197" s="92"/>
    </row>
    <row r="1198" spans="1:8" x14ac:dyDescent="0.2">
      <c r="A1198" s="83" t="s">
        <v>1271</v>
      </c>
      <c r="B1198" s="84" t="s">
        <v>1199</v>
      </c>
      <c r="C1198" s="138" t="s">
        <v>123</v>
      </c>
      <c r="D1198" s="139">
        <v>294.08</v>
      </c>
      <c r="E1198" s="139">
        <v>22</v>
      </c>
      <c r="F1198" s="140">
        <f t="shared" si="64"/>
        <v>6469.7599999999993</v>
      </c>
      <c r="G1198" s="97"/>
      <c r="H1198" s="92"/>
    </row>
    <row r="1199" spans="1:8" x14ac:dyDescent="0.2">
      <c r="A1199" s="83" t="s">
        <v>1272</v>
      </c>
      <c r="B1199" s="84" t="s">
        <v>1197</v>
      </c>
      <c r="C1199" s="138" t="s">
        <v>123</v>
      </c>
      <c r="D1199" s="139">
        <v>159.95000000000002</v>
      </c>
      <c r="E1199" s="139">
        <v>22</v>
      </c>
      <c r="F1199" s="140">
        <f t="shared" si="64"/>
        <v>3518.9000000000005</v>
      </c>
      <c r="G1199" s="97"/>
      <c r="H1199" s="92"/>
    </row>
    <row r="1200" spans="1:8" x14ac:dyDescent="0.2">
      <c r="A1200" s="83" t="s">
        <v>1273</v>
      </c>
      <c r="B1200" s="84" t="s">
        <v>1201</v>
      </c>
      <c r="C1200" s="138" t="s">
        <v>123</v>
      </c>
      <c r="D1200" s="139">
        <v>58.86</v>
      </c>
      <c r="E1200" s="139">
        <v>10.4</v>
      </c>
      <c r="F1200" s="140">
        <f t="shared" si="64"/>
        <v>612.14400000000001</v>
      </c>
      <c r="G1200" s="97"/>
      <c r="H1200" s="92"/>
    </row>
    <row r="1201" spans="1:8" x14ac:dyDescent="0.2">
      <c r="A1201" s="83" t="s">
        <v>1274</v>
      </c>
      <c r="B1201" s="84" t="s">
        <v>1203</v>
      </c>
      <c r="C1201" s="138" t="s">
        <v>130</v>
      </c>
      <c r="D1201" s="139">
        <v>177.9</v>
      </c>
      <c r="E1201" s="139">
        <v>45</v>
      </c>
      <c r="F1201" s="140">
        <f t="shared" si="64"/>
        <v>8005.5</v>
      </c>
      <c r="G1201" s="97"/>
      <c r="H1201" s="92"/>
    </row>
    <row r="1202" spans="1:8" x14ac:dyDescent="0.2">
      <c r="A1202" s="83" t="s">
        <v>1275</v>
      </c>
      <c r="B1202" s="84" t="s">
        <v>1205</v>
      </c>
      <c r="C1202" s="138" t="s">
        <v>123</v>
      </c>
      <c r="D1202" s="139">
        <v>25.91</v>
      </c>
      <c r="E1202" s="139">
        <v>10.5</v>
      </c>
      <c r="F1202" s="140">
        <f t="shared" si="64"/>
        <v>272.05500000000001</v>
      </c>
      <c r="G1202" s="97"/>
      <c r="H1202" s="92"/>
    </row>
    <row r="1203" spans="1:8" x14ac:dyDescent="0.2">
      <c r="A1203" s="83" t="s">
        <v>2289</v>
      </c>
      <c r="B1203" s="84" t="s">
        <v>1888</v>
      </c>
      <c r="C1203" s="138" t="s">
        <v>130</v>
      </c>
      <c r="D1203" s="139">
        <v>8.31</v>
      </c>
      <c r="E1203" s="139">
        <v>52</v>
      </c>
      <c r="F1203" s="140">
        <f t="shared" ref="F1203" si="65">E1203*D1203</f>
        <v>432.12</v>
      </c>
      <c r="G1203" s="97"/>
      <c r="H1203" s="92"/>
    </row>
    <row r="1204" spans="1:8" x14ac:dyDescent="0.2">
      <c r="A1204" s="79" t="s">
        <v>1276</v>
      </c>
      <c r="B1204" s="80" t="s">
        <v>1900</v>
      </c>
      <c r="C1204" s="132" t="s">
        <v>1759</v>
      </c>
      <c r="D1204" s="133">
        <v>0</v>
      </c>
      <c r="E1204" s="133">
        <v>0</v>
      </c>
      <c r="F1204" s="134">
        <f>F1205+F1211+F1214+F1216+F1220+F1222</f>
        <v>1543925.851858</v>
      </c>
      <c r="G1204" s="95"/>
      <c r="H1204" s="90"/>
    </row>
    <row r="1205" spans="1:8" x14ac:dyDescent="0.2">
      <c r="A1205" s="81" t="s">
        <v>1277</v>
      </c>
      <c r="B1205" s="82" t="s">
        <v>1164</v>
      </c>
      <c r="C1205" s="135" t="s">
        <v>1759</v>
      </c>
      <c r="D1205" s="136">
        <v>0</v>
      </c>
      <c r="E1205" s="136">
        <v>0</v>
      </c>
      <c r="F1205" s="137">
        <f>SUM(F1206:F1210)</f>
        <v>518126.03189879999</v>
      </c>
      <c r="G1205" s="96"/>
      <c r="H1205" s="91"/>
    </row>
    <row r="1206" spans="1:8" ht="31.5" x14ac:dyDescent="0.2">
      <c r="A1206" s="83" t="s">
        <v>1278</v>
      </c>
      <c r="B1206" s="84" t="s">
        <v>1236</v>
      </c>
      <c r="C1206" s="138" t="s">
        <v>130</v>
      </c>
      <c r="D1206" s="139">
        <v>2298.14</v>
      </c>
      <c r="E1206" s="139">
        <v>89.525000000000006</v>
      </c>
      <c r="F1206" s="140">
        <f t="shared" ref="F1206:F1210" si="66">E1206*D1206</f>
        <v>205740.9835</v>
      </c>
      <c r="G1206" s="97" t="s">
        <v>2331</v>
      </c>
      <c r="H1206" s="92"/>
    </row>
    <row r="1207" spans="1:8" ht="31.5" x14ac:dyDescent="0.2">
      <c r="A1207" s="83" t="s">
        <v>1279</v>
      </c>
      <c r="B1207" s="84" t="s">
        <v>1098</v>
      </c>
      <c r="C1207" s="138" t="s">
        <v>130</v>
      </c>
      <c r="D1207" s="139">
        <v>1890.5900000000001</v>
      </c>
      <c r="E1207" s="139">
        <v>92.674319999999994</v>
      </c>
      <c r="F1207" s="140">
        <f t="shared" si="66"/>
        <v>175209.14264880001</v>
      </c>
      <c r="G1207" s="97" t="s">
        <v>1314</v>
      </c>
      <c r="H1207" s="92"/>
    </row>
    <row r="1208" spans="1:8" ht="31.5" x14ac:dyDescent="0.2">
      <c r="A1208" s="83" t="s">
        <v>2290</v>
      </c>
      <c r="B1208" s="84" t="s">
        <v>1255</v>
      </c>
      <c r="C1208" s="138" t="s">
        <v>130</v>
      </c>
      <c r="D1208" s="139">
        <v>508.04</v>
      </c>
      <c r="E1208" s="139">
        <v>89.975000000000009</v>
      </c>
      <c r="F1208" s="140">
        <f t="shared" si="66"/>
        <v>45710.899000000005</v>
      </c>
      <c r="G1208" s="97" t="s">
        <v>2331</v>
      </c>
      <c r="H1208" s="92"/>
    </row>
    <row r="1209" spans="1:8" ht="31.5" x14ac:dyDescent="0.2">
      <c r="A1209" s="83" t="s">
        <v>1280</v>
      </c>
      <c r="B1209" s="84" t="s">
        <v>1237</v>
      </c>
      <c r="C1209" s="138" t="s">
        <v>130</v>
      </c>
      <c r="D1209" s="139">
        <v>655.59</v>
      </c>
      <c r="E1209" s="139">
        <v>89.525000000000006</v>
      </c>
      <c r="F1209" s="140">
        <f t="shared" si="66"/>
        <v>58691.69475000001</v>
      </c>
      <c r="G1209" s="97" t="s">
        <v>2331</v>
      </c>
      <c r="H1209" s="92"/>
    </row>
    <row r="1210" spans="1:8" ht="31.5" x14ac:dyDescent="0.2">
      <c r="A1210" s="83" t="s">
        <v>1281</v>
      </c>
      <c r="B1210" s="84" t="s">
        <v>1210</v>
      </c>
      <c r="C1210" s="138" t="s">
        <v>130</v>
      </c>
      <c r="D1210" s="139">
        <v>366.08</v>
      </c>
      <c r="E1210" s="139">
        <v>89.525000000000006</v>
      </c>
      <c r="F1210" s="140">
        <f t="shared" si="66"/>
        <v>32773.311999999998</v>
      </c>
      <c r="G1210" s="97" t="s">
        <v>2331</v>
      </c>
      <c r="H1210" s="92"/>
    </row>
    <row r="1211" spans="1:8" x14ac:dyDescent="0.2">
      <c r="A1211" s="81" t="s">
        <v>1286</v>
      </c>
      <c r="B1211" s="82" t="s">
        <v>1172</v>
      </c>
      <c r="C1211" s="135" t="s">
        <v>1759</v>
      </c>
      <c r="D1211" s="136">
        <v>0</v>
      </c>
      <c r="E1211" s="136">
        <v>0</v>
      </c>
      <c r="F1211" s="137">
        <f>SUM(F1212:F1213)</f>
        <v>188000.11877920001</v>
      </c>
      <c r="G1211" s="96"/>
      <c r="H1211" s="91"/>
    </row>
    <row r="1212" spans="1:8" x14ac:dyDescent="0.2">
      <c r="A1212" s="83" t="s">
        <v>1287</v>
      </c>
      <c r="B1212" s="84" t="s">
        <v>1904</v>
      </c>
      <c r="C1212" s="138" t="s">
        <v>123</v>
      </c>
      <c r="D1212" s="139">
        <v>412.23</v>
      </c>
      <c r="E1212" s="139">
        <v>10.062000000000001</v>
      </c>
      <c r="F1212" s="140">
        <f t="shared" ref="F1212:F1213" si="67">E1212*D1212</f>
        <v>4147.8582600000009</v>
      </c>
      <c r="G1212" s="97"/>
      <c r="H1212" s="92"/>
    </row>
    <row r="1213" spans="1:8" x14ac:dyDescent="0.2">
      <c r="A1213" s="83" t="s">
        <v>1288</v>
      </c>
      <c r="B1213" s="84" t="s">
        <v>1176</v>
      </c>
      <c r="C1213" s="138" t="s">
        <v>123</v>
      </c>
      <c r="D1213" s="139">
        <v>3942.38</v>
      </c>
      <c r="E1213" s="139">
        <v>46.634839999999997</v>
      </c>
      <c r="F1213" s="140">
        <f t="shared" si="67"/>
        <v>183852.2605192</v>
      </c>
      <c r="G1213" s="97"/>
      <c r="H1213" s="92"/>
    </row>
    <row r="1214" spans="1:8" x14ac:dyDescent="0.2">
      <c r="A1214" s="81" t="s">
        <v>1282</v>
      </c>
      <c r="B1214" s="82" t="s">
        <v>1178</v>
      </c>
      <c r="C1214" s="135" t="s">
        <v>1759</v>
      </c>
      <c r="D1214" s="136">
        <v>0</v>
      </c>
      <c r="E1214" s="136">
        <v>0</v>
      </c>
      <c r="F1214" s="137">
        <f>SUM(F1215)</f>
        <v>84105.321300000011</v>
      </c>
      <c r="G1214" s="96"/>
      <c r="H1214" s="91"/>
    </row>
    <row r="1215" spans="1:8" x14ac:dyDescent="0.2">
      <c r="A1215" s="83" t="s">
        <v>1283</v>
      </c>
      <c r="B1215" s="84" t="s">
        <v>1180</v>
      </c>
      <c r="C1215" s="138" t="s">
        <v>123</v>
      </c>
      <c r="D1215" s="139">
        <v>644.93000000000006</v>
      </c>
      <c r="E1215" s="139">
        <v>130.41</v>
      </c>
      <c r="F1215" s="140">
        <f t="shared" ref="F1215" si="68">E1215*D1215</f>
        <v>84105.321300000011</v>
      </c>
      <c r="G1215" s="97" t="s">
        <v>2328</v>
      </c>
      <c r="H1215" s="92"/>
    </row>
    <row r="1216" spans="1:8" x14ac:dyDescent="0.2">
      <c r="A1216" s="81" t="s">
        <v>1289</v>
      </c>
      <c r="B1216" s="82" t="s">
        <v>1182</v>
      </c>
      <c r="C1216" s="135" t="s">
        <v>1759</v>
      </c>
      <c r="D1216" s="136">
        <v>0</v>
      </c>
      <c r="E1216" s="136">
        <v>0</v>
      </c>
      <c r="F1216" s="137">
        <f>SUM(F1217:F1219)</f>
        <v>232582.57204000003</v>
      </c>
      <c r="G1216" s="96"/>
      <c r="H1216" s="91"/>
    </row>
    <row r="1217" spans="1:8" x14ac:dyDescent="0.2">
      <c r="A1217" s="83" t="s">
        <v>1290</v>
      </c>
      <c r="B1217" s="84" t="s">
        <v>1104</v>
      </c>
      <c r="C1217" s="138" t="s">
        <v>130</v>
      </c>
      <c r="D1217" s="139">
        <v>1316.38</v>
      </c>
      <c r="E1217" s="139">
        <v>88.924000000000007</v>
      </c>
      <c r="F1217" s="140">
        <f t="shared" ref="F1217:F1219" si="69">E1217*D1217</f>
        <v>117057.77512000002</v>
      </c>
      <c r="G1217" s="97" t="s">
        <v>2333</v>
      </c>
      <c r="H1217" s="92"/>
    </row>
    <row r="1218" spans="1:8" ht="31.5" x14ac:dyDescent="0.2">
      <c r="A1218" s="83" t="s">
        <v>1291</v>
      </c>
      <c r="B1218" s="84" t="s">
        <v>1105</v>
      </c>
      <c r="C1218" s="138" t="s">
        <v>130</v>
      </c>
      <c r="D1218" s="139">
        <v>1003.08</v>
      </c>
      <c r="E1218" s="139">
        <v>88.924000000000007</v>
      </c>
      <c r="F1218" s="140">
        <f t="shared" si="69"/>
        <v>89197.885920000015</v>
      </c>
      <c r="G1218" s="97" t="s">
        <v>2333</v>
      </c>
      <c r="H1218" s="92"/>
    </row>
    <row r="1219" spans="1:8" x14ac:dyDescent="0.2">
      <c r="A1219" s="83" t="s">
        <v>2291</v>
      </c>
      <c r="B1219" s="84" t="s">
        <v>1887</v>
      </c>
      <c r="C1219" s="138" t="s">
        <v>130</v>
      </c>
      <c r="D1219" s="139">
        <v>108.03</v>
      </c>
      <c r="E1219" s="139">
        <v>243.70000000000002</v>
      </c>
      <c r="F1219" s="140">
        <f t="shared" si="69"/>
        <v>26326.911000000004</v>
      </c>
      <c r="G1219" s="97"/>
      <c r="H1219" s="92"/>
    </row>
    <row r="1220" spans="1:8" x14ac:dyDescent="0.2">
      <c r="A1220" s="81" t="s">
        <v>1284</v>
      </c>
      <c r="B1220" s="82" t="s">
        <v>1184</v>
      </c>
      <c r="C1220" s="135" t="s">
        <v>1759</v>
      </c>
      <c r="D1220" s="136">
        <v>0</v>
      </c>
      <c r="E1220" s="136">
        <v>0</v>
      </c>
      <c r="F1220" s="137">
        <f>SUM(F1221)</f>
        <v>44450.115839999999</v>
      </c>
      <c r="G1220" s="96"/>
      <c r="H1220" s="91"/>
    </row>
    <row r="1221" spans="1:8" x14ac:dyDescent="0.2">
      <c r="A1221" s="83" t="s">
        <v>1285</v>
      </c>
      <c r="B1221" s="84" t="s">
        <v>1186</v>
      </c>
      <c r="C1221" s="138" t="s">
        <v>123</v>
      </c>
      <c r="D1221" s="139">
        <v>457.08</v>
      </c>
      <c r="E1221" s="139">
        <v>97.248000000000005</v>
      </c>
      <c r="F1221" s="140">
        <f t="shared" ref="F1221" si="70">E1221*D1221</f>
        <v>44450.115839999999</v>
      </c>
      <c r="G1221" s="97" t="s">
        <v>1206</v>
      </c>
      <c r="H1221" s="92"/>
    </row>
    <row r="1222" spans="1:8" x14ac:dyDescent="0.2">
      <c r="A1222" s="81" t="s">
        <v>1292</v>
      </c>
      <c r="B1222" s="82" t="s">
        <v>295</v>
      </c>
      <c r="C1222" s="135" t="s">
        <v>1759</v>
      </c>
      <c r="D1222" s="136">
        <v>0</v>
      </c>
      <c r="E1222" s="136">
        <v>0</v>
      </c>
      <c r="F1222" s="137">
        <f>SUM(F1223:F1230)</f>
        <v>476661.69200000004</v>
      </c>
      <c r="G1222" s="96"/>
      <c r="H1222" s="91"/>
    </row>
    <row r="1223" spans="1:8" x14ac:dyDescent="0.2">
      <c r="A1223" s="83" t="s">
        <v>1293</v>
      </c>
      <c r="B1223" s="84" t="s">
        <v>1191</v>
      </c>
      <c r="C1223" s="138" t="s">
        <v>130</v>
      </c>
      <c r="D1223" s="139">
        <v>3827.85</v>
      </c>
      <c r="E1223" s="139">
        <v>48</v>
      </c>
      <c r="F1223" s="140">
        <f t="shared" ref="F1223:F1230" si="71">E1223*D1223</f>
        <v>183736.8</v>
      </c>
      <c r="G1223" s="97"/>
      <c r="H1223" s="92"/>
    </row>
    <row r="1224" spans="1:8" x14ac:dyDescent="0.2">
      <c r="A1224" s="83" t="s">
        <v>1294</v>
      </c>
      <c r="B1224" s="84" t="s">
        <v>1246</v>
      </c>
      <c r="C1224" s="138" t="s">
        <v>130</v>
      </c>
      <c r="D1224" s="139">
        <v>1890.5900000000001</v>
      </c>
      <c r="E1224" s="139">
        <v>40</v>
      </c>
      <c r="F1224" s="140">
        <f t="shared" si="71"/>
        <v>75623.600000000006</v>
      </c>
      <c r="G1224" s="97"/>
      <c r="H1224" s="92"/>
    </row>
    <row r="1225" spans="1:8" x14ac:dyDescent="0.2">
      <c r="A1225" s="83" t="s">
        <v>1295</v>
      </c>
      <c r="B1225" s="84" t="s">
        <v>1199</v>
      </c>
      <c r="C1225" s="138" t="s">
        <v>123</v>
      </c>
      <c r="D1225" s="139">
        <v>3942.38</v>
      </c>
      <c r="E1225" s="139">
        <v>22</v>
      </c>
      <c r="F1225" s="140">
        <f t="shared" si="71"/>
        <v>86732.36</v>
      </c>
      <c r="G1225" s="97"/>
      <c r="H1225" s="92"/>
    </row>
    <row r="1226" spans="1:8" x14ac:dyDescent="0.2">
      <c r="A1226" s="83" t="s">
        <v>1296</v>
      </c>
      <c r="B1226" s="84" t="s">
        <v>1197</v>
      </c>
      <c r="C1226" s="138" t="s">
        <v>123</v>
      </c>
      <c r="D1226" s="139">
        <v>412.23</v>
      </c>
      <c r="E1226" s="139">
        <v>22</v>
      </c>
      <c r="F1226" s="140">
        <f t="shared" si="71"/>
        <v>9069.0600000000013</v>
      </c>
      <c r="G1226" s="97"/>
      <c r="H1226" s="92"/>
    </row>
    <row r="1227" spans="1:8" x14ac:dyDescent="0.2">
      <c r="A1227" s="83" t="s">
        <v>1297</v>
      </c>
      <c r="B1227" s="84" t="s">
        <v>1203</v>
      </c>
      <c r="C1227" s="138" t="s">
        <v>130</v>
      </c>
      <c r="D1227" s="139">
        <v>2319.46</v>
      </c>
      <c r="E1227" s="139">
        <v>45</v>
      </c>
      <c r="F1227" s="140">
        <f t="shared" si="71"/>
        <v>104375.7</v>
      </c>
      <c r="G1227" s="97"/>
      <c r="H1227" s="92"/>
    </row>
    <row r="1228" spans="1:8" x14ac:dyDescent="0.2">
      <c r="A1228" s="83" t="s">
        <v>1298</v>
      </c>
      <c r="B1228" s="84" t="s">
        <v>1205</v>
      </c>
      <c r="C1228" s="138" t="s">
        <v>123</v>
      </c>
      <c r="D1228" s="139">
        <v>457.08</v>
      </c>
      <c r="E1228" s="139">
        <v>10.5</v>
      </c>
      <c r="F1228" s="140">
        <f t="shared" si="71"/>
        <v>4799.34</v>
      </c>
      <c r="G1228" s="97"/>
      <c r="H1228" s="92"/>
    </row>
    <row r="1229" spans="1:8" x14ac:dyDescent="0.2">
      <c r="A1229" s="83" t="s">
        <v>1299</v>
      </c>
      <c r="B1229" s="84" t="s">
        <v>1201</v>
      </c>
      <c r="C1229" s="138" t="s">
        <v>123</v>
      </c>
      <c r="D1229" s="139">
        <v>644.93000000000006</v>
      </c>
      <c r="E1229" s="139">
        <v>10.4</v>
      </c>
      <c r="F1229" s="140">
        <f t="shared" si="71"/>
        <v>6707.2720000000008</v>
      </c>
      <c r="G1229" s="97"/>
      <c r="H1229" s="92"/>
    </row>
    <row r="1230" spans="1:8" x14ac:dyDescent="0.2">
      <c r="A1230" s="83" t="s">
        <v>2292</v>
      </c>
      <c r="B1230" s="84" t="s">
        <v>1888</v>
      </c>
      <c r="C1230" s="138" t="s">
        <v>130</v>
      </c>
      <c r="D1230" s="139">
        <v>108.03</v>
      </c>
      <c r="E1230" s="139">
        <v>52</v>
      </c>
      <c r="F1230" s="140">
        <f t="shared" si="71"/>
        <v>5617.56</v>
      </c>
      <c r="G1230" s="97"/>
      <c r="H1230" s="92"/>
    </row>
    <row r="1231" spans="1:8" x14ac:dyDescent="0.2">
      <c r="A1231" s="79" t="s">
        <v>1300</v>
      </c>
      <c r="B1231" s="80" t="s">
        <v>1901</v>
      </c>
      <c r="C1231" s="132" t="s">
        <v>1759</v>
      </c>
      <c r="D1231" s="133">
        <v>0</v>
      </c>
      <c r="E1231" s="133">
        <v>0</v>
      </c>
      <c r="F1231" s="134">
        <f>F1232+F1238+F1240+F1242+F1245+F1249</f>
        <v>127359.37935700003</v>
      </c>
      <c r="G1231" s="95"/>
      <c r="H1231" s="90"/>
    </row>
    <row r="1232" spans="1:8" x14ac:dyDescent="0.2">
      <c r="A1232" s="81" t="s">
        <v>2293</v>
      </c>
      <c r="B1232" s="82" t="s">
        <v>1164</v>
      </c>
      <c r="C1232" s="135" t="s">
        <v>1759</v>
      </c>
      <c r="D1232" s="136">
        <v>0</v>
      </c>
      <c r="E1232" s="136">
        <v>0</v>
      </c>
      <c r="F1232" s="137">
        <f>SUM(F1233:F1237)</f>
        <v>48787.298042000009</v>
      </c>
      <c r="G1232" s="96"/>
      <c r="H1232" s="91"/>
    </row>
    <row r="1233" spans="1:8" x14ac:dyDescent="0.2">
      <c r="A1233" s="83" t="s">
        <v>2294</v>
      </c>
      <c r="B1233" s="84" t="s">
        <v>1099</v>
      </c>
      <c r="C1233" s="138" t="s">
        <v>130</v>
      </c>
      <c r="D1233" s="139">
        <v>63.1</v>
      </c>
      <c r="E1233" s="139">
        <v>217.40950000000001</v>
      </c>
      <c r="F1233" s="140">
        <f>E1233*D1233</f>
        <v>13718.53945</v>
      </c>
      <c r="G1233" s="97" t="s">
        <v>2331</v>
      </c>
      <c r="H1233" s="92"/>
    </row>
    <row r="1234" spans="1:8" ht="31.5" x14ac:dyDescent="0.2">
      <c r="A1234" s="83" t="s">
        <v>2295</v>
      </c>
      <c r="B1234" s="84" t="s">
        <v>1210</v>
      </c>
      <c r="C1234" s="138" t="s">
        <v>130</v>
      </c>
      <c r="D1234" s="139">
        <v>315.8</v>
      </c>
      <c r="E1234" s="139">
        <v>89.525000000000006</v>
      </c>
      <c r="F1234" s="140">
        <f t="shared" ref="F1234:F1237" si="72">E1234*D1234</f>
        <v>28271.995000000003</v>
      </c>
      <c r="G1234" s="97" t="s">
        <v>1314</v>
      </c>
      <c r="H1234" s="92"/>
    </row>
    <row r="1235" spans="1:8" x14ac:dyDescent="0.2">
      <c r="A1235" s="83" t="s">
        <v>2296</v>
      </c>
      <c r="B1235" s="84" t="s">
        <v>2297</v>
      </c>
      <c r="C1235" s="138" t="s">
        <v>130</v>
      </c>
      <c r="D1235" s="139">
        <v>38.1</v>
      </c>
      <c r="E1235" s="139">
        <v>92.674319999999994</v>
      </c>
      <c r="F1235" s="140">
        <f t="shared" si="72"/>
        <v>3530.8915919999999</v>
      </c>
      <c r="G1235" s="97" t="s">
        <v>2331</v>
      </c>
      <c r="H1235" s="92"/>
    </row>
    <row r="1236" spans="1:8" x14ac:dyDescent="0.2">
      <c r="A1236" s="83" t="s">
        <v>2298</v>
      </c>
      <c r="B1236" s="84" t="s">
        <v>2299</v>
      </c>
      <c r="C1236" s="138" t="s">
        <v>130</v>
      </c>
      <c r="D1236" s="139">
        <v>4.5</v>
      </c>
      <c r="E1236" s="139">
        <v>89.525000000000006</v>
      </c>
      <c r="F1236" s="140">
        <f t="shared" si="72"/>
        <v>402.86250000000001</v>
      </c>
      <c r="G1236" s="97" t="s">
        <v>2331</v>
      </c>
      <c r="H1236" s="92"/>
    </row>
    <row r="1237" spans="1:8" ht="31.5" x14ac:dyDescent="0.2">
      <c r="A1237" s="83" t="s">
        <v>2300</v>
      </c>
      <c r="B1237" s="84" t="s">
        <v>2301</v>
      </c>
      <c r="C1237" s="138" t="s">
        <v>130</v>
      </c>
      <c r="D1237" s="139">
        <v>31.98</v>
      </c>
      <c r="E1237" s="139">
        <v>89.525000000000006</v>
      </c>
      <c r="F1237" s="140">
        <f t="shared" si="72"/>
        <v>2863.0095000000001</v>
      </c>
      <c r="G1237" s="97"/>
      <c r="H1237" s="92"/>
    </row>
    <row r="1238" spans="1:8" x14ac:dyDescent="0.2">
      <c r="A1238" s="81" t="s">
        <v>1301</v>
      </c>
      <c r="B1238" s="82" t="s">
        <v>1178</v>
      </c>
      <c r="C1238" s="135" t="s">
        <v>1759</v>
      </c>
      <c r="D1238" s="136">
        <v>0</v>
      </c>
      <c r="E1238" s="136">
        <v>0</v>
      </c>
      <c r="F1238" s="137">
        <f>SUM(F1239)</f>
        <v>5653.2735000000002</v>
      </c>
      <c r="G1238" s="96"/>
      <c r="H1238" s="91"/>
    </row>
    <row r="1239" spans="1:8" x14ac:dyDescent="0.2">
      <c r="A1239" s="83" t="s">
        <v>1302</v>
      </c>
      <c r="B1239" s="84" t="s">
        <v>1180</v>
      </c>
      <c r="C1239" s="138" t="s">
        <v>123</v>
      </c>
      <c r="D1239" s="139">
        <v>43.35</v>
      </c>
      <c r="E1239" s="139">
        <v>130.41</v>
      </c>
      <c r="F1239" s="140">
        <f t="shared" ref="F1239:F1244" si="73">E1239*D1239</f>
        <v>5653.2735000000002</v>
      </c>
      <c r="G1239" s="97" t="s">
        <v>2328</v>
      </c>
      <c r="H1239" s="92"/>
    </row>
    <row r="1240" spans="1:8" x14ac:dyDescent="0.2">
      <c r="A1240" s="81" t="s">
        <v>1303</v>
      </c>
      <c r="B1240" s="82" t="s">
        <v>1184</v>
      </c>
      <c r="C1240" s="135" t="s">
        <v>1759</v>
      </c>
      <c r="D1240" s="136">
        <v>0</v>
      </c>
      <c r="E1240" s="136">
        <v>0</v>
      </c>
      <c r="F1240" s="137">
        <f>SUM(F1241)</f>
        <v>1101.8198400000001</v>
      </c>
      <c r="G1240" s="96"/>
      <c r="H1240" s="91"/>
    </row>
    <row r="1241" spans="1:8" x14ac:dyDescent="0.2">
      <c r="A1241" s="83" t="s">
        <v>1304</v>
      </c>
      <c r="B1241" s="84" t="s">
        <v>1186</v>
      </c>
      <c r="C1241" s="138" t="s">
        <v>123</v>
      </c>
      <c r="D1241" s="139">
        <v>11.33</v>
      </c>
      <c r="E1241" s="139">
        <v>97.248000000000005</v>
      </c>
      <c r="F1241" s="140">
        <f t="shared" si="73"/>
        <v>1101.8198400000001</v>
      </c>
      <c r="G1241" s="97" t="s">
        <v>1206</v>
      </c>
      <c r="H1241" s="92"/>
    </row>
    <row r="1242" spans="1:8" x14ac:dyDescent="0.2">
      <c r="A1242" s="81" t="s">
        <v>2302</v>
      </c>
      <c r="B1242" s="82" t="s">
        <v>1172</v>
      </c>
      <c r="C1242" s="135" t="s">
        <v>1759</v>
      </c>
      <c r="D1242" s="136">
        <v>0</v>
      </c>
      <c r="E1242" s="136">
        <v>0</v>
      </c>
      <c r="F1242" s="137">
        <f>SUM(F1243:F1244)</f>
        <v>10223.466899999999</v>
      </c>
      <c r="G1242" s="96"/>
      <c r="H1242" s="91"/>
    </row>
    <row r="1243" spans="1:8" x14ac:dyDescent="0.2">
      <c r="A1243" s="83" t="s">
        <v>2303</v>
      </c>
      <c r="B1243" s="84" t="s">
        <v>1904</v>
      </c>
      <c r="C1243" s="138" t="s">
        <v>123</v>
      </c>
      <c r="D1243" s="139">
        <v>42.75</v>
      </c>
      <c r="E1243" s="139">
        <v>10.062000000000001</v>
      </c>
      <c r="F1243" s="140">
        <f t="shared" si="73"/>
        <v>430.15050000000002</v>
      </c>
      <c r="G1243" s="97"/>
      <c r="H1243" s="92"/>
    </row>
    <row r="1244" spans="1:8" x14ac:dyDescent="0.2">
      <c r="A1244" s="83" t="s">
        <v>2304</v>
      </c>
      <c r="B1244" s="84" t="s">
        <v>1176</v>
      </c>
      <c r="C1244" s="138" t="s">
        <v>123</v>
      </c>
      <c r="D1244" s="139">
        <v>210</v>
      </c>
      <c r="E1244" s="139">
        <v>46.634839999999997</v>
      </c>
      <c r="F1244" s="140">
        <f t="shared" si="73"/>
        <v>9793.3163999999997</v>
      </c>
      <c r="G1244" s="97"/>
      <c r="H1244" s="92"/>
    </row>
    <row r="1245" spans="1:8" x14ac:dyDescent="0.2">
      <c r="A1245" s="81" t="s">
        <v>2305</v>
      </c>
      <c r="B1245" s="82" t="s">
        <v>1182</v>
      </c>
      <c r="C1245" s="135" t="s">
        <v>1759</v>
      </c>
      <c r="D1245" s="136">
        <v>0</v>
      </c>
      <c r="E1245" s="136">
        <v>0</v>
      </c>
      <c r="F1245" s="137">
        <f>SUM(F1246:F1248)</f>
        <v>24739.576075000001</v>
      </c>
      <c r="G1245" s="96"/>
      <c r="H1245" s="91"/>
    </row>
    <row r="1246" spans="1:8" x14ac:dyDescent="0.2">
      <c r="A1246" s="83" t="s">
        <v>2306</v>
      </c>
      <c r="B1246" s="84" t="s">
        <v>1099</v>
      </c>
      <c r="C1246" s="138" t="s">
        <v>130</v>
      </c>
      <c r="D1246" s="139">
        <v>30.13</v>
      </c>
      <c r="E1246" s="139">
        <v>217.40950000000001</v>
      </c>
      <c r="F1246" s="140">
        <f t="shared" ref="F1246" si="74">E1246*D1246</f>
        <v>6550.5482350000002</v>
      </c>
      <c r="G1246" s="97" t="s">
        <v>2333</v>
      </c>
      <c r="H1246" s="92"/>
    </row>
    <row r="1247" spans="1:8" x14ac:dyDescent="0.2">
      <c r="A1247" s="83" t="s">
        <v>2307</v>
      </c>
      <c r="B1247" s="84" t="s">
        <v>1103</v>
      </c>
      <c r="C1247" s="138" t="s">
        <v>130</v>
      </c>
      <c r="D1247" s="139">
        <v>151.16</v>
      </c>
      <c r="E1247" s="139">
        <v>88.924000000000007</v>
      </c>
      <c r="F1247" s="140">
        <f t="shared" ref="F1247:F1258" si="75">E1247*D1247</f>
        <v>13441.751840000001</v>
      </c>
      <c r="G1247" s="97" t="s">
        <v>2333</v>
      </c>
      <c r="H1247" s="92"/>
    </row>
    <row r="1248" spans="1:8" x14ac:dyDescent="0.2">
      <c r="A1248" s="83" t="s">
        <v>2308</v>
      </c>
      <c r="B1248" s="84" t="s">
        <v>1887</v>
      </c>
      <c r="C1248" s="138" t="s">
        <v>130</v>
      </c>
      <c r="D1248" s="139">
        <v>19.48</v>
      </c>
      <c r="E1248" s="139">
        <v>243.70000000000002</v>
      </c>
      <c r="F1248" s="140">
        <f t="shared" si="75"/>
        <v>4747.2760000000007</v>
      </c>
      <c r="G1248" s="97"/>
      <c r="H1248" s="92"/>
    </row>
    <row r="1249" spans="1:8" x14ac:dyDescent="0.2">
      <c r="A1249" s="81" t="s">
        <v>1305</v>
      </c>
      <c r="B1249" s="82" t="s">
        <v>295</v>
      </c>
      <c r="C1249" s="135" t="s">
        <v>1759</v>
      </c>
      <c r="D1249" s="136">
        <v>0</v>
      </c>
      <c r="E1249" s="136">
        <v>0</v>
      </c>
      <c r="F1249" s="137">
        <f>SUM(F1250:F1258)</f>
        <v>36853.945</v>
      </c>
      <c r="G1249" s="96"/>
      <c r="H1249" s="91"/>
    </row>
    <row r="1250" spans="1:8" x14ac:dyDescent="0.2">
      <c r="A1250" s="83" t="s">
        <v>2309</v>
      </c>
      <c r="B1250" s="84" t="s">
        <v>1191</v>
      </c>
      <c r="C1250" s="138" t="s">
        <v>130</v>
      </c>
      <c r="D1250" s="139">
        <v>352.28000000000003</v>
      </c>
      <c r="E1250" s="139">
        <v>48</v>
      </c>
      <c r="F1250" s="140">
        <f t="shared" si="75"/>
        <v>16909.440000000002</v>
      </c>
      <c r="G1250" s="97"/>
      <c r="H1250" s="92"/>
    </row>
    <row r="1251" spans="1:8" x14ac:dyDescent="0.2">
      <c r="A1251" s="83" t="s">
        <v>1306</v>
      </c>
      <c r="B1251" s="84" t="s">
        <v>1205</v>
      </c>
      <c r="C1251" s="138" t="s">
        <v>123</v>
      </c>
      <c r="D1251" s="139">
        <v>11.33</v>
      </c>
      <c r="E1251" s="139">
        <v>10.5</v>
      </c>
      <c r="F1251" s="140">
        <f t="shared" si="75"/>
        <v>118.965</v>
      </c>
      <c r="G1251" s="97"/>
      <c r="H1251" s="92"/>
    </row>
    <row r="1252" spans="1:8" x14ac:dyDescent="0.2">
      <c r="A1252" s="83" t="s">
        <v>1307</v>
      </c>
      <c r="B1252" s="84" t="s">
        <v>1201</v>
      </c>
      <c r="C1252" s="138" t="s">
        <v>123</v>
      </c>
      <c r="D1252" s="139">
        <v>43.35</v>
      </c>
      <c r="E1252" s="139">
        <v>10.4</v>
      </c>
      <c r="F1252" s="140">
        <f t="shared" si="75"/>
        <v>450.84000000000003</v>
      </c>
      <c r="G1252" s="97"/>
      <c r="H1252" s="92"/>
    </row>
    <row r="1253" spans="1:8" x14ac:dyDescent="0.2">
      <c r="A1253" s="83" t="s">
        <v>2310</v>
      </c>
      <c r="B1253" s="84" t="s">
        <v>1246</v>
      </c>
      <c r="C1253" s="138" t="s">
        <v>130</v>
      </c>
      <c r="D1253" s="139">
        <v>38.1</v>
      </c>
      <c r="E1253" s="139">
        <v>40</v>
      </c>
      <c r="F1253" s="140">
        <f t="shared" si="75"/>
        <v>1524</v>
      </c>
      <c r="G1253" s="97"/>
      <c r="H1253" s="92"/>
    </row>
    <row r="1254" spans="1:8" x14ac:dyDescent="0.2">
      <c r="A1254" s="83" t="s">
        <v>2311</v>
      </c>
      <c r="B1254" s="84" t="s">
        <v>2312</v>
      </c>
      <c r="C1254" s="138" t="s">
        <v>130</v>
      </c>
      <c r="D1254" s="139">
        <v>93.23</v>
      </c>
      <c r="E1254" s="139">
        <v>48</v>
      </c>
      <c r="F1254" s="140">
        <f t="shared" si="75"/>
        <v>4475.04</v>
      </c>
      <c r="G1254" s="97"/>
      <c r="H1254" s="92"/>
    </row>
    <row r="1255" spans="1:8" x14ac:dyDescent="0.2">
      <c r="A1255" s="83" t="s">
        <v>2313</v>
      </c>
      <c r="B1255" s="84" t="s">
        <v>1199</v>
      </c>
      <c r="C1255" s="138" t="s">
        <v>123</v>
      </c>
      <c r="D1255" s="139">
        <v>210</v>
      </c>
      <c r="E1255" s="139">
        <v>22</v>
      </c>
      <c r="F1255" s="140">
        <f t="shared" si="75"/>
        <v>4620</v>
      </c>
      <c r="G1255" s="97"/>
      <c r="H1255" s="92"/>
    </row>
    <row r="1256" spans="1:8" x14ac:dyDescent="0.2">
      <c r="A1256" s="83" t="s">
        <v>2314</v>
      </c>
      <c r="B1256" s="84" t="s">
        <v>1197</v>
      </c>
      <c r="C1256" s="138" t="s">
        <v>123</v>
      </c>
      <c r="D1256" s="139">
        <v>42.75</v>
      </c>
      <c r="E1256" s="139">
        <v>22</v>
      </c>
      <c r="F1256" s="140">
        <f t="shared" si="75"/>
        <v>940.5</v>
      </c>
      <c r="G1256" s="97"/>
      <c r="H1256" s="92"/>
    </row>
    <row r="1257" spans="1:8" x14ac:dyDescent="0.2">
      <c r="A1257" s="83" t="s">
        <v>2315</v>
      </c>
      <c r="B1257" s="84" t="s">
        <v>1203</v>
      </c>
      <c r="C1257" s="138" t="s">
        <v>130</v>
      </c>
      <c r="D1257" s="139">
        <v>151.16</v>
      </c>
      <c r="E1257" s="139">
        <v>45</v>
      </c>
      <c r="F1257" s="140">
        <f t="shared" si="75"/>
        <v>6802.2</v>
      </c>
      <c r="G1257" s="97"/>
      <c r="H1257" s="92"/>
    </row>
    <row r="1258" spans="1:8" x14ac:dyDescent="0.2">
      <c r="A1258" s="83" t="s">
        <v>2316</v>
      </c>
      <c r="B1258" s="84" t="s">
        <v>1888</v>
      </c>
      <c r="C1258" s="138" t="s">
        <v>130</v>
      </c>
      <c r="D1258" s="139">
        <v>19.48</v>
      </c>
      <c r="E1258" s="139">
        <v>52</v>
      </c>
      <c r="F1258" s="140">
        <f t="shared" si="75"/>
        <v>1012.96</v>
      </c>
      <c r="G1258" s="97"/>
      <c r="H1258" s="92"/>
    </row>
    <row r="1259" spans="1:8" x14ac:dyDescent="0.2">
      <c r="A1259" s="79" t="s">
        <v>1308</v>
      </c>
      <c r="B1259" s="80" t="s">
        <v>2317</v>
      </c>
      <c r="C1259" s="132" t="s">
        <v>1759</v>
      </c>
      <c r="D1259" s="133">
        <v>0</v>
      </c>
      <c r="E1259" s="133">
        <v>0</v>
      </c>
      <c r="F1259" s="134">
        <f>F1260+F1262+F1264</f>
        <v>1490.8172199999999</v>
      </c>
      <c r="G1259" s="95"/>
      <c r="H1259" s="90"/>
    </row>
    <row r="1260" spans="1:8" x14ac:dyDescent="0.2">
      <c r="A1260" s="81" t="s">
        <v>2318</v>
      </c>
      <c r="B1260" s="82" t="s">
        <v>1178</v>
      </c>
      <c r="C1260" s="135" t="s">
        <v>1759</v>
      </c>
      <c r="D1260" s="136">
        <v>0</v>
      </c>
      <c r="E1260" s="136">
        <v>0</v>
      </c>
      <c r="F1260" s="137">
        <f>SUM(F1261)</f>
        <v>593.3655</v>
      </c>
      <c r="G1260" s="96"/>
      <c r="H1260" s="91"/>
    </row>
    <row r="1261" spans="1:8" x14ac:dyDescent="0.2">
      <c r="A1261" s="83" t="s">
        <v>2319</v>
      </c>
      <c r="B1261" s="84" t="s">
        <v>1180</v>
      </c>
      <c r="C1261" s="138" t="s">
        <v>123</v>
      </c>
      <c r="D1261" s="139">
        <v>4.55</v>
      </c>
      <c r="E1261" s="139">
        <v>130.41</v>
      </c>
      <c r="F1261" s="140">
        <f t="shared" ref="F1261" si="76">E1261*D1261</f>
        <v>593.3655</v>
      </c>
      <c r="G1261" s="97" t="s">
        <v>2328</v>
      </c>
      <c r="H1261" s="92"/>
    </row>
    <row r="1262" spans="1:8" x14ac:dyDescent="0.2">
      <c r="A1262" s="81" t="s">
        <v>1310</v>
      </c>
      <c r="B1262" s="82" t="s">
        <v>1184</v>
      </c>
      <c r="C1262" s="135" t="s">
        <v>1759</v>
      </c>
      <c r="D1262" s="136">
        <v>0</v>
      </c>
      <c r="E1262" s="136">
        <v>0</v>
      </c>
      <c r="F1262" s="137">
        <f>SUM(F1263)</f>
        <v>767.28672000000006</v>
      </c>
      <c r="G1262" s="96"/>
      <c r="H1262" s="91"/>
    </row>
    <row r="1263" spans="1:8" x14ac:dyDescent="0.2">
      <c r="A1263" s="83" t="s">
        <v>1311</v>
      </c>
      <c r="B1263" s="84" t="s">
        <v>1186</v>
      </c>
      <c r="C1263" s="138" t="s">
        <v>123</v>
      </c>
      <c r="D1263" s="139">
        <v>7.8900000000000006</v>
      </c>
      <c r="E1263" s="139">
        <v>97.248000000000005</v>
      </c>
      <c r="F1263" s="140">
        <f t="shared" ref="F1263" si="77">E1263*D1263</f>
        <v>767.28672000000006</v>
      </c>
      <c r="G1263" s="97" t="s">
        <v>1206</v>
      </c>
      <c r="H1263" s="92"/>
    </row>
    <row r="1264" spans="1:8" x14ac:dyDescent="0.2">
      <c r="A1264" s="81" t="s">
        <v>1312</v>
      </c>
      <c r="B1264" s="82" t="s">
        <v>295</v>
      </c>
      <c r="C1264" s="135" t="s">
        <v>1759</v>
      </c>
      <c r="D1264" s="136">
        <v>0</v>
      </c>
      <c r="E1264" s="136">
        <v>0</v>
      </c>
      <c r="F1264" s="137">
        <f>SUM(F1265:F1266)</f>
        <v>130.16499999999999</v>
      </c>
      <c r="G1264" s="96"/>
      <c r="H1264" s="91"/>
    </row>
    <row r="1265" spans="1:8" x14ac:dyDescent="0.2">
      <c r="A1265" s="83" t="s">
        <v>1313</v>
      </c>
      <c r="B1265" s="84" t="s">
        <v>1205</v>
      </c>
      <c r="C1265" s="138" t="s">
        <v>123</v>
      </c>
      <c r="D1265" s="139">
        <v>7.8900000000000006</v>
      </c>
      <c r="E1265" s="139">
        <v>10.5</v>
      </c>
      <c r="F1265" s="140">
        <f t="shared" ref="F1265:F1266" si="78">E1265*D1265</f>
        <v>82.844999999999999</v>
      </c>
      <c r="G1265" s="97"/>
      <c r="H1265" s="92"/>
    </row>
    <row r="1266" spans="1:8" x14ac:dyDescent="0.2">
      <c r="A1266" s="83" t="s">
        <v>2320</v>
      </c>
      <c r="B1266" s="84" t="s">
        <v>1201</v>
      </c>
      <c r="C1266" s="138" t="s">
        <v>123</v>
      </c>
      <c r="D1266" s="139">
        <v>4.55</v>
      </c>
      <c r="E1266" s="139">
        <v>10.4</v>
      </c>
      <c r="F1266" s="140">
        <f t="shared" si="78"/>
        <v>47.32</v>
      </c>
      <c r="G1266" s="97"/>
      <c r="H1266" s="92"/>
    </row>
    <row r="1267" spans="1:8" x14ac:dyDescent="0.2">
      <c r="A1267" s="79" t="s">
        <v>2321</v>
      </c>
      <c r="B1267" s="80" t="s">
        <v>1309</v>
      </c>
      <c r="C1267" s="132" t="s">
        <v>1759</v>
      </c>
      <c r="D1267" s="133">
        <v>0</v>
      </c>
      <c r="E1267" s="133">
        <v>0</v>
      </c>
      <c r="F1267" s="134">
        <f>+F1268+F1270</f>
        <v>273.67992000000004</v>
      </c>
      <c r="G1267" s="95"/>
      <c r="H1267" s="90"/>
    </row>
    <row r="1268" spans="1:8" x14ac:dyDescent="0.2">
      <c r="A1268" s="81" t="s">
        <v>2322</v>
      </c>
      <c r="B1268" s="82" t="s">
        <v>1184</v>
      </c>
      <c r="C1268" s="135" t="s">
        <v>1759</v>
      </c>
      <c r="D1268" s="136">
        <v>0</v>
      </c>
      <c r="E1268" s="136">
        <v>0</v>
      </c>
      <c r="F1268" s="137">
        <f>SUM(F1269)</f>
        <v>247.00992000000002</v>
      </c>
      <c r="G1268" s="96"/>
      <c r="H1268" s="91"/>
    </row>
    <row r="1269" spans="1:8" x14ac:dyDescent="0.2">
      <c r="A1269" s="83" t="s">
        <v>2323</v>
      </c>
      <c r="B1269" s="84" t="s">
        <v>1186</v>
      </c>
      <c r="C1269" s="138" t="s">
        <v>123</v>
      </c>
      <c r="D1269" s="139">
        <v>2.54</v>
      </c>
      <c r="E1269" s="139">
        <v>97.248000000000005</v>
      </c>
      <c r="F1269" s="140">
        <f t="shared" ref="F1269" si="79">E1269*D1269</f>
        <v>247.00992000000002</v>
      </c>
      <c r="G1269" s="97" t="s">
        <v>1206</v>
      </c>
      <c r="H1269" s="92"/>
    </row>
    <row r="1270" spans="1:8" x14ac:dyDescent="0.2">
      <c r="A1270" s="81" t="s">
        <v>2324</v>
      </c>
      <c r="B1270" s="82" t="s">
        <v>295</v>
      </c>
      <c r="C1270" s="135" t="s">
        <v>1759</v>
      </c>
      <c r="D1270" s="136">
        <v>0</v>
      </c>
      <c r="E1270" s="136">
        <v>0</v>
      </c>
      <c r="F1270" s="137">
        <f>SUM(F1271:F1271)</f>
        <v>26.67</v>
      </c>
      <c r="G1270" s="96"/>
      <c r="H1270" s="91"/>
    </row>
    <row r="1271" spans="1:8" x14ac:dyDescent="0.2">
      <c r="A1271" s="83" t="s">
        <v>2325</v>
      </c>
      <c r="B1271" s="84" t="s">
        <v>1205</v>
      </c>
      <c r="C1271" s="138" t="s">
        <v>123</v>
      </c>
      <c r="D1271" s="139">
        <v>2.54</v>
      </c>
      <c r="E1271" s="139">
        <v>10.5</v>
      </c>
      <c r="F1271" s="140">
        <f t="shared" ref="F1271" si="80">E1271*D1271</f>
        <v>26.67</v>
      </c>
      <c r="G1271" s="97"/>
      <c r="H1271" s="92"/>
    </row>
    <row r="1272" spans="1:8" x14ac:dyDescent="0.2">
      <c r="A1272" s="77" t="s">
        <v>1315</v>
      </c>
      <c r="B1272" s="78" t="s">
        <v>35</v>
      </c>
      <c r="C1272" s="129" t="s">
        <v>1759</v>
      </c>
      <c r="D1272" s="130">
        <v>0</v>
      </c>
      <c r="E1272" s="130">
        <v>0</v>
      </c>
      <c r="F1272" s="131">
        <f>F1273+F1298+F1323+F1348+F1373+F1394+F1415+F1436+F1451</f>
        <v>1872679.0286231199</v>
      </c>
      <c r="G1272" s="98"/>
      <c r="H1272" s="89"/>
    </row>
    <row r="1273" spans="1:8" x14ac:dyDescent="0.2">
      <c r="A1273" s="79" t="s">
        <v>1316</v>
      </c>
      <c r="B1273" s="80" t="s">
        <v>36</v>
      </c>
      <c r="C1273" s="132" t="s">
        <v>1759</v>
      </c>
      <c r="D1273" s="133">
        <v>0</v>
      </c>
      <c r="E1273" s="133">
        <v>0</v>
      </c>
      <c r="F1273" s="134">
        <f>F1274+F1277+F1284+F1289</f>
        <v>163448.10005359998</v>
      </c>
      <c r="G1273" s="95"/>
      <c r="H1273" s="90"/>
    </row>
    <row r="1274" spans="1:8" x14ac:dyDescent="0.2">
      <c r="A1274" s="81" t="s">
        <v>1317</v>
      </c>
      <c r="B1274" s="82" t="s">
        <v>1318</v>
      </c>
      <c r="C1274" s="135" t="s">
        <v>1759</v>
      </c>
      <c r="D1274" s="136">
        <v>0</v>
      </c>
      <c r="E1274" s="136">
        <v>0</v>
      </c>
      <c r="F1274" s="137">
        <f>SUM(F1275:F1276)</f>
        <v>53519.299179199988</v>
      </c>
      <c r="G1274" s="96"/>
      <c r="H1274" s="91"/>
    </row>
    <row r="1275" spans="1:8" ht="31.5" x14ac:dyDescent="0.2">
      <c r="A1275" s="83" t="s">
        <v>1319</v>
      </c>
      <c r="B1275" s="84" t="s">
        <v>1097</v>
      </c>
      <c r="C1275" s="138" t="s">
        <v>130</v>
      </c>
      <c r="D1275" s="139">
        <v>712.9</v>
      </c>
      <c r="E1275" s="139">
        <v>74.897359999999992</v>
      </c>
      <c r="F1275" s="140">
        <f>E1275*D1275</f>
        <v>53394.32794399999</v>
      </c>
      <c r="G1275" s="97"/>
      <c r="H1275" s="92"/>
    </row>
    <row r="1276" spans="1:8" x14ac:dyDescent="0.2">
      <c r="A1276" s="83" t="s">
        <v>1320</v>
      </c>
      <c r="B1276" s="84" t="s">
        <v>1095</v>
      </c>
      <c r="C1276" s="138" t="s">
        <v>130</v>
      </c>
      <c r="D1276" s="139">
        <v>20.16</v>
      </c>
      <c r="E1276" s="139">
        <v>6.1989700000000001</v>
      </c>
      <c r="F1276" s="140">
        <f>E1276*D1276</f>
        <v>124.97123520000001</v>
      </c>
      <c r="G1276" s="97"/>
      <c r="H1276" s="92"/>
    </row>
    <row r="1277" spans="1:8" x14ac:dyDescent="0.2">
      <c r="A1277" s="81" t="s">
        <v>1321</v>
      </c>
      <c r="B1277" s="82" t="s">
        <v>1322</v>
      </c>
      <c r="C1277" s="135" t="s">
        <v>1759</v>
      </c>
      <c r="D1277" s="136">
        <v>0</v>
      </c>
      <c r="E1277" s="136">
        <v>0</v>
      </c>
      <c r="F1277" s="137">
        <f>SUM(F1278:F1283)</f>
        <v>9079.1429625199999</v>
      </c>
      <c r="G1277" s="96"/>
      <c r="H1277" s="91"/>
    </row>
    <row r="1278" spans="1:8" x14ac:dyDescent="0.2">
      <c r="A1278" s="83" t="s">
        <v>1323</v>
      </c>
      <c r="B1278" s="84" t="s">
        <v>1324</v>
      </c>
      <c r="C1278" s="138" t="s">
        <v>130</v>
      </c>
      <c r="D1278" s="139">
        <v>1358.51</v>
      </c>
      <c r="E1278" s="139">
        <v>0.96</v>
      </c>
      <c r="F1278" s="140">
        <f>E1278*D1278</f>
        <v>1304.1695999999999</v>
      </c>
      <c r="G1278" s="97"/>
      <c r="H1278" s="92"/>
    </row>
    <row r="1279" spans="1:8" x14ac:dyDescent="0.2">
      <c r="A1279" s="83" t="s">
        <v>1325</v>
      </c>
      <c r="B1279" s="84" t="s">
        <v>1326</v>
      </c>
      <c r="C1279" s="138" t="s">
        <v>130</v>
      </c>
      <c r="D1279" s="139">
        <v>339.26</v>
      </c>
      <c r="E1279" s="139">
        <v>1.389052</v>
      </c>
      <c r="F1279" s="140">
        <f t="shared" ref="F1279:F1297" si="81">E1279*D1279</f>
        <v>471.24978152</v>
      </c>
      <c r="G1279" s="97"/>
      <c r="H1279" s="92"/>
    </row>
    <row r="1280" spans="1:8" x14ac:dyDescent="0.2">
      <c r="A1280" s="83" t="s">
        <v>1327</v>
      </c>
      <c r="B1280" s="84" t="s">
        <v>1102</v>
      </c>
      <c r="C1280" s="138" t="s">
        <v>130</v>
      </c>
      <c r="D1280" s="139">
        <v>82.3</v>
      </c>
      <c r="E1280" s="139">
        <v>4.8130499999999996</v>
      </c>
      <c r="F1280" s="140">
        <f t="shared" si="81"/>
        <v>396.11401499999994</v>
      </c>
      <c r="G1280" s="97" t="s">
        <v>2373</v>
      </c>
      <c r="H1280" s="92"/>
    </row>
    <row r="1281" spans="1:8" x14ac:dyDescent="0.2">
      <c r="A1281" s="83" t="s">
        <v>1328</v>
      </c>
      <c r="B1281" s="84" t="s">
        <v>1329</v>
      </c>
      <c r="C1281" s="138" t="s">
        <v>130</v>
      </c>
      <c r="D1281" s="139">
        <v>64.52</v>
      </c>
      <c r="E1281" s="139">
        <v>9.626100000000001</v>
      </c>
      <c r="F1281" s="140">
        <f t="shared" si="81"/>
        <v>621.07597199999998</v>
      </c>
      <c r="G1281" s="97" t="s">
        <v>2374</v>
      </c>
      <c r="H1281" s="92"/>
    </row>
    <row r="1282" spans="1:8" x14ac:dyDescent="0.2">
      <c r="A1282" s="83" t="s">
        <v>1330</v>
      </c>
      <c r="B1282" s="84" t="s">
        <v>1100</v>
      </c>
      <c r="C1282" s="138" t="s">
        <v>130</v>
      </c>
      <c r="D1282" s="139">
        <v>130.56</v>
      </c>
      <c r="E1282" s="139">
        <v>14.43915</v>
      </c>
      <c r="F1282" s="140">
        <f t="shared" si="81"/>
        <v>1885.175424</v>
      </c>
      <c r="G1282" s="97"/>
      <c r="H1282" s="92"/>
    </row>
    <row r="1283" spans="1:8" x14ac:dyDescent="0.2">
      <c r="A1283" s="83" t="s">
        <v>1331</v>
      </c>
      <c r="B1283" s="84" t="s">
        <v>1101</v>
      </c>
      <c r="C1283" s="138" t="s">
        <v>130</v>
      </c>
      <c r="D1283" s="139">
        <v>1145.6500000000001</v>
      </c>
      <c r="E1283" s="139">
        <v>3.8418000000000001</v>
      </c>
      <c r="F1283" s="140">
        <f t="shared" si="81"/>
        <v>4401.3581700000004</v>
      </c>
      <c r="G1283" s="97"/>
      <c r="H1283" s="92"/>
    </row>
    <row r="1284" spans="1:8" x14ac:dyDescent="0.2">
      <c r="A1284" s="81" t="s">
        <v>1332</v>
      </c>
      <c r="B1284" s="82" t="s">
        <v>1333</v>
      </c>
      <c r="C1284" s="135" t="s">
        <v>1759</v>
      </c>
      <c r="D1284" s="136">
        <v>0</v>
      </c>
      <c r="E1284" s="136">
        <v>0</v>
      </c>
      <c r="F1284" s="137">
        <f>SUM(F1285:F1288)</f>
        <v>4769.3879118799996</v>
      </c>
      <c r="G1284" s="96"/>
      <c r="H1284" s="91"/>
    </row>
    <row r="1285" spans="1:8" x14ac:dyDescent="0.2">
      <c r="A1285" s="83" t="s">
        <v>1334</v>
      </c>
      <c r="B1285" s="84" t="s">
        <v>1335</v>
      </c>
      <c r="C1285" s="138" t="s">
        <v>130</v>
      </c>
      <c r="D1285" s="139">
        <v>801.19</v>
      </c>
      <c r="E1285" s="139">
        <v>0.96</v>
      </c>
      <c r="F1285" s="140">
        <f t="shared" si="81"/>
        <v>769.14240000000007</v>
      </c>
      <c r="G1285" s="97"/>
      <c r="H1285" s="92"/>
    </row>
    <row r="1286" spans="1:8" x14ac:dyDescent="0.2">
      <c r="A1286" s="83" t="s">
        <v>1336</v>
      </c>
      <c r="B1286" s="84" t="s">
        <v>1337</v>
      </c>
      <c r="C1286" s="138" t="s">
        <v>130</v>
      </c>
      <c r="D1286" s="139">
        <v>76.94</v>
      </c>
      <c r="E1286" s="139">
        <v>1.389052</v>
      </c>
      <c r="F1286" s="140">
        <f t="shared" si="81"/>
        <v>106.87366087999999</v>
      </c>
      <c r="G1286" s="97"/>
      <c r="H1286" s="92"/>
    </row>
    <row r="1287" spans="1:8" x14ac:dyDescent="0.2">
      <c r="A1287" s="83" t="s">
        <v>1338</v>
      </c>
      <c r="B1287" s="84" t="s">
        <v>1107</v>
      </c>
      <c r="C1287" s="138" t="s">
        <v>130</v>
      </c>
      <c r="D1287" s="139">
        <v>76.94</v>
      </c>
      <c r="E1287" s="139">
        <v>14.43915</v>
      </c>
      <c r="F1287" s="140">
        <f t="shared" si="81"/>
        <v>1110.9482009999999</v>
      </c>
      <c r="G1287" s="97"/>
      <c r="H1287" s="92"/>
    </row>
    <row r="1288" spans="1:8" x14ac:dyDescent="0.2">
      <c r="A1288" s="83" t="s">
        <v>1339</v>
      </c>
      <c r="B1288" s="84" t="s">
        <v>1340</v>
      </c>
      <c r="C1288" s="138" t="s">
        <v>130</v>
      </c>
      <c r="D1288" s="139">
        <v>724.25</v>
      </c>
      <c r="E1288" s="139">
        <v>3.8418000000000001</v>
      </c>
      <c r="F1288" s="140">
        <f t="shared" si="81"/>
        <v>2782.4236500000002</v>
      </c>
      <c r="G1288" s="97" t="s">
        <v>2375</v>
      </c>
      <c r="H1288" s="92"/>
    </row>
    <row r="1289" spans="1:8" x14ac:dyDescent="0.2">
      <c r="A1289" s="81" t="s">
        <v>1341</v>
      </c>
      <c r="B1289" s="82" t="s">
        <v>295</v>
      </c>
      <c r="C1289" s="135" t="s">
        <v>1759</v>
      </c>
      <c r="D1289" s="136">
        <v>0</v>
      </c>
      <c r="E1289" s="136">
        <v>0</v>
      </c>
      <c r="F1289" s="137">
        <f>SUM(F1290:F1297)</f>
        <v>96080.27</v>
      </c>
      <c r="G1289" s="96"/>
      <c r="H1289" s="91"/>
    </row>
    <row r="1290" spans="1:8" x14ac:dyDescent="0.2">
      <c r="A1290" s="83" t="s">
        <v>1342</v>
      </c>
      <c r="B1290" s="84" t="s">
        <v>1343</v>
      </c>
      <c r="C1290" s="138" t="s">
        <v>130</v>
      </c>
      <c r="D1290" s="139">
        <v>712.9</v>
      </c>
      <c r="E1290" s="139">
        <v>40</v>
      </c>
      <c r="F1290" s="140">
        <f t="shared" si="81"/>
        <v>28516</v>
      </c>
      <c r="G1290" s="97"/>
      <c r="H1290" s="92"/>
    </row>
    <row r="1291" spans="1:8" x14ac:dyDescent="0.2">
      <c r="A1291" s="83" t="s">
        <v>1344</v>
      </c>
      <c r="B1291" s="84" t="s">
        <v>1345</v>
      </c>
      <c r="C1291" s="138" t="s">
        <v>130</v>
      </c>
      <c r="D1291" s="139">
        <v>20.16</v>
      </c>
      <c r="E1291" s="139">
        <v>28</v>
      </c>
      <c r="F1291" s="140">
        <f t="shared" si="81"/>
        <v>564.48</v>
      </c>
      <c r="G1291" s="97"/>
      <c r="H1291" s="92"/>
    </row>
    <row r="1292" spans="1:8" x14ac:dyDescent="0.2">
      <c r="A1292" s="83" t="s">
        <v>1346</v>
      </c>
      <c r="B1292" s="84" t="s">
        <v>1347</v>
      </c>
      <c r="C1292" s="138" t="s">
        <v>130</v>
      </c>
      <c r="D1292" s="139">
        <v>82.3</v>
      </c>
      <c r="E1292" s="139">
        <v>28</v>
      </c>
      <c r="F1292" s="140">
        <f t="shared" si="81"/>
        <v>2304.4</v>
      </c>
      <c r="G1292" s="97"/>
      <c r="H1292" s="92"/>
    </row>
    <row r="1293" spans="1:8" x14ac:dyDescent="0.2">
      <c r="A1293" s="83" t="s">
        <v>1348</v>
      </c>
      <c r="B1293" s="84" t="s">
        <v>1349</v>
      </c>
      <c r="C1293" s="138" t="s">
        <v>130</v>
      </c>
      <c r="D1293" s="139">
        <v>130.56</v>
      </c>
      <c r="E1293" s="139">
        <v>34</v>
      </c>
      <c r="F1293" s="140">
        <f t="shared" si="81"/>
        <v>4439.04</v>
      </c>
      <c r="G1293" s="97"/>
      <c r="H1293" s="92"/>
    </row>
    <row r="1294" spans="1:8" x14ac:dyDescent="0.2">
      <c r="A1294" s="83" t="s">
        <v>1350</v>
      </c>
      <c r="B1294" s="84" t="s">
        <v>1351</v>
      </c>
      <c r="C1294" s="138" t="s">
        <v>130</v>
      </c>
      <c r="D1294" s="139">
        <v>64.52</v>
      </c>
      <c r="E1294" s="139">
        <v>31</v>
      </c>
      <c r="F1294" s="140">
        <f t="shared" si="81"/>
        <v>2000.12</v>
      </c>
      <c r="G1294" s="97"/>
      <c r="H1294" s="92"/>
    </row>
    <row r="1295" spans="1:8" x14ac:dyDescent="0.2">
      <c r="A1295" s="83" t="s">
        <v>1352</v>
      </c>
      <c r="B1295" s="84" t="s">
        <v>1353</v>
      </c>
      <c r="C1295" s="138" t="s">
        <v>130</v>
      </c>
      <c r="D1295" s="139">
        <v>1145.6500000000001</v>
      </c>
      <c r="E1295" s="139">
        <v>31</v>
      </c>
      <c r="F1295" s="140">
        <f t="shared" si="81"/>
        <v>35515.15</v>
      </c>
      <c r="G1295" s="97"/>
      <c r="H1295" s="92"/>
    </row>
    <row r="1296" spans="1:8" x14ac:dyDescent="0.2">
      <c r="A1296" s="83" t="s">
        <v>1354</v>
      </c>
      <c r="B1296" s="84" t="s">
        <v>1355</v>
      </c>
      <c r="C1296" s="138" t="s">
        <v>130</v>
      </c>
      <c r="D1296" s="139">
        <v>76.94</v>
      </c>
      <c r="E1296" s="139">
        <v>32</v>
      </c>
      <c r="F1296" s="140">
        <f t="shared" si="81"/>
        <v>2462.08</v>
      </c>
      <c r="G1296" s="97"/>
      <c r="H1296" s="92"/>
    </row>
    <row r="1297" spans="1:8" x14ac:dyDescent="0.2">
      <c r="A1297" s="83" t="s">
        <v>1356</v>
      </c>
      <c r="B1297" s="84" t="s">
        <v>1357</v>
      </c>
      <c r="C1297" s="138" t="s">
        <v>130</v>
      </c>
      <c r="D1297" s="139">
        <v>724.25</v>
      </c>
      <c r="E1297" s="139">
        <v>28</v>
      </c>
      <c r="F1297" s="140">
        <f t="shared" si="81"/>
        <v>20279</v>
      </c>
      <c r="G1297" s="97"/>
      <c r="H1297" s="92"/>
    </row>
    <row r="1298" spans="1:8" x14ac:dyDescent="0.2">
      <c r="A1298" s="79" t="s">
        <v>1358</v>
      </c>
      <c r="B1298" s="80" t="s">
        <v>2334</v>
      </c>
      <c r="C1298" s="132" t="s">
        <v>1759</v>
      </c>
      <c r="D1298" s="133">
        <v>0</v>
      </c>
      <c r="E1298" s="133">
        <v>0</v>
      </c>
      <c r="F1298" s="134">
        <f>F1299+F1302+F1309+F1314</f>
        <v>155190.44075857999</v>
      </c>
      <c r="G1298" s="95"/>
      <c r="H1298" s="90"/>
    </row>
    <row r="1299" spans="1:8" x14ac:dyDescent="0.2">
      <c r="A1299" s="81" t="s">
        <v>1359</v>
      </c>
      <c r="B1299" s="82" t="s">
        <v>1318</v>
      </c>
      <c r="C1299" s="135" t="s">
        <v>1759</v>
      </c>
      <c r="D1299" s="136">
        <v>0</v>
      </c>
      <c r="E1299" s="136">
        <v>0</v>
      </c>
      <c r="F1299" s="137">
        <f>SUM(F1300:F1301)</f>
        <v>53608.189273199998</v>
      </c>
      <c r="G1299" s="96"/>
      <c r="H1299" s="91"/>
    </row>
    <row r="1300" spans="1:8" ht="31.5" x14ac:dyDescent="0.2">
      <c r="A1300" s="83" t="s">
        <v>1360</v>
      </c>
      <c r="B1300" s="84" t="s">
        <v>1361</v>
      </c>
      <c r="C1300" s="138" t="s">
        <v>130</v>
      </c>
      <c r="D1300" s="139">
        <v>714.11</v>
      </c>
      <c r="E1300" s="139">
        <v>74.897359999999992</v>
      </c>
      <c r="F1300" s="140">
        <f>E1300*D1300</f>
        <v>53484.953749599998</v>
      </c>
      <c r="G1300" s="97"/>
      <c r="H1300" s="92"/>
    </row>
    <row r="1301" spans="1:8" x14ac:dyDescent="0.2">
      <c r="A1301" s="83" t="s">
        <v>1362</v>
      </c>
      <c r="B1301" s="84" t="s">
        <v>1095</v>
      </c>
      <c r="C1301" s="138" t="s">
        <v>130</v>
      </c>
      <c r="D1301" s="139">
        <v>19.88</v>
      </c>
      <c r="E1301" s="139">
        <v>6.1989700000000001</v>
      </c>
      <c r="F1301" s="140">
        <f>E1301*D1301</f>
        <v>123.23552359999999</v>
      </c>
      <c r="G1301" s="97"/>
      <c r="H1301" s="92"/>
    </row>
    <row r="1302" spans="1:8" x14ac:dyDescent="0.2">
      <c r="A1302" s="81" t="s">
        <v>1363</v>
      </c>
      <c r="B1302" s="82" t="s">
        <v>1322</v>
      </c>
      <c r="C1302" s="135" t="s">
        <v>1759</v>
      </c>
      <c r="D1302" s="136">
        <v>0</v>
      </c>
      <c r="E1302" s="136">
        <v>0</v>
      </c>
      <c r="F1302" s="137">
        <f>SUM(F1303:F1308)</f>
        <v>6421.2248362</v>
      </c>
      <c r="G1302" s="96"/>
      <c r="H1302" s="91"/>
    </row>
    <row r="1303" spans="1:8" x14ac:dyDescent="0.2">
      <c r="A1303" s="83" t="s">
        <v>1364</v>
      </c>
      <c r="B1303" s="84" t="s">
        <v>1324</v>
      </c>
      <c r="C1303" s="138" t="s">
        <v>130</v>
      </c>
      <c r="D1303" s="139">
        <v>1142.31</v>
      </c>
      <c r="E1303" s="139">
        <v>0.96</v>
      </c>
      <c r="F1303" s="140">
        <f>E1303*D1303</f>
        <v>1096.6175999999998</v>
      </c>
      <c r="G1303" s="97"/>
      <c r="H1303" s="92"/>
    </row>
    <row r="1304" spans="1:8" x14ac:dyDescent="0.2">
      <c r="A1304" s="83" t="s">
        <v>1365</v>
      </c>
      <c r="B1304" s="84" t="s">
        <v>1326</v>
      </c>
      <c r="C1304" s="138" t="s">
        <v>130</v>
      </c>
      <c r="D1304" s="139">
        <v>23.35</v>
      </c>
      <c r="E1304" s="139">
        <v>1.389052</v>
      </c>
      <c r="F1304" s="140">
        <f t="shared" ref="F1304:F1322" si="82">E1304*D1304</f>
        <v>32.434364199999997</v>
      </c>
      <c r="G1304" s="97"/>
      <c r="H1304" s="92"/>
    </row>
    <row r="1305" spans="1:8" x14ac:dyDescent="0.2">
      <c r="A1305" s="83" t="s">
        <v>1366</v>
      </c>
      <c r="B1305" s="84" t="s">
        <v>1102</v>
      </c>
      <c r="C1305" s="138" t="s">
        <v>130</v>
      </c>
      <c r="D1305" s="139">
        <v>82.05</v>
      </c>
      <c r="E1305" s="139">
        <v>4.8130499999999996</v>
      </c>
      <c r="F1305" s="140">
        <f t="shared" si="82"/>
        <v>394.91075249999994</v>
      </c>
      <c r="G1305" s="97" t="s">
        <v>2373</v>
      </c>
      <c r="H1305" s="92"/>
    </row>
    <row r="1306" spans="1:8" x14ac:dyDescent="0.2">
      <c r="A1306" s="83" t="s">
        <v>1367</v>
      </c>
      <c r="B1306" s="84" t="s">
        <v>1329</v>
      </c>
      <c r="C1306" s="138" t="s">
        <v>130</v>
      </c>
      <c r="D1306" s="139">
        <v>59.89</v>
      </c>
      <c r="E1306" s="139">
        <v>9.626100000000001</v>
      </c>
      <c r="F1306" s="140">
        <f t="shared" si="82"/>
        <v>576.50712900000008</v>
      </c>
      <c r="G1306" s="97" t="s">
        <v>2374</v>
      </c>
      <c r="H1306" s="92"/>
    </row>
    <row r="1307" spans="1:8" x14ac:dyDescent="0.2">
      <c r="A1307" s="83" t="s">
        <v>1368</v>
      </c>
      <c r="B1307" s="84" t="s">
        <v>1100</v>
      </c>
      <c r="C1307" s="138" t="s">
        <v>130</v>
      </c>
      <c r="D1307" s="139">
        <v>23.35</v>
      </c>
      <c r="E1307" s="139">
        <v>14.43915</v>
      </c>
      <c r="F1307" s="140">
        <f t="shared" si="82"/>
        <v>337.15415250000001</v>
      </c>
      <c r="G1307" s="97"/>
      <c r="H1307" s="92"/>
    </row>
    <row r="1308" spans="1:8" x14ac:dyDescent="0.2">
      <c r="A1308" s="83" t="s">
        <v>1369</v>
      </c>
      <c r="B1308" s="84" t="s">
        <v>1101</v>
      </c>
      <c r="C1308" s="138" t="s">
        <v>130</v>
      </c>
      <c r="D1308" s="139">
        <v>1036.9100000000001</v>
      </c>
      <c r="E1308" s="139">
        <v>3.8418000000000001</v>
      </c>
      <c r="F1308" s="140">
        <f t="shared" si="82"/>
        <v>3983.6008380000003</v>
      </c>
      <c r="G1308" s="97"/>
      <c r="H1308" s="92"/>
    </row>
    <row r="1309" spans="1:8" x14ac:dyDescent="0.2">
      <c r="A1309" s="81" t="s">
        <v>1370</v>
      </c>
      <c r="B1309" s="82" t="s">
        <v>1333</v>
      </c>
      <c r="C1309" s="135" t="s">
        <v>1759</v>
      </c>
      <c r="D1309" s="136">
        <v>0</v>
      </c>
      <c r="E1309" s="136">
        <v>0</v>
      </c>
      <c r="F1309" s="137">
        <f>SUM(F1310:F1313)</f>
        <v>4310.8466491800009</v>
      </c>
      <c r="G1309" s="96"/>
      <c r="H1309" s="91"/>
    </row>
    <row r="1310" spans="1:8" x14ac:dyDescent="0.2">
      <c r="A1310" s="83" t="s">
        <v>1371</v>
      </c>
      <c r="B1310" s="84" t="s">
        <v>1335</v>
      </c>
      <c r="C1310" s="138" t="s">
        <v>130</v>
      </c>
      <c r="D1310" s="139">
        <v>878.81000000000006</v>
      </c>
      <c r="E1310" s="139">
        <v>0.96</v>
      </c>
      <c r="F1310" s="140">
        <f t="shared" si="82"/>
        <v>843.6576</v>
      </c>
      <c r="G1310" s="97"/>
      <c r="H1310" s="92"/>
    </row>
    <row r="1311" spans="1:8" x14ac:dyDescent="0.2">
      <c r="A1311" s="83" t="s">
        <v>1372</v>
      </c>
      <c r="B1311" s="84" t="s">
        <v>1340</v>
      </c>
      <c r="C1311" s="138" t="s">
        <v>130</v>
      </c>
      <c r="D1311" s="139">
        <v>871.22</v>
      </c>
      <c r="E1311" s="139">
        <v>3.8418000000000001</v>
      </c>
      <c r="F1311" s="140">
        <f t="shared" si="82"/>
        <v>3347.0529960000003</v>
      </c>
      <c r="G1311" s="97"/>
      <c r="H1311" s="92"/>
    </row>
    <row r="1312" spans="1:8" x14ac:dyDescent="0.2">
      <c r="A1312" s="83" t="s">
        <v>2335</v>
      </c>
      <c r="B1312" s="84" t="s">
        <v>1337</v>
      </c>
      <c r="C1312" s="138" t="s">
        <v>130</v>
      </c>
      <c r="D1312" s="139">
        <v>7.59</v>
      </c>
      <c r="E1312" s="139">
        <v>1.389052</v>
      </c>
      <c r="F1312" s="140">
        <f t="shared" si="82"/>
        <v>10.542904679999999</v>
      </c>
      <c r="G1312" s="97"/>
      <c r="H1312" s="92"/>
    </row>
    <row r="1313" spans="1:8" x14ac:dyDescent="0.2">
      <c r="A1313" s="83" t="s">
        <v>2336</v>
      </c>
      <c r="B1313" s="84" t="s">
        <v>1107</v>
      </c>
      <c r="C1313" s="138" t="s">
        <v>130</v>
      </c>
      <c r="D1313" s="139">
        <v>7.59</v>
      </c>
      <c r="E1313" s="139">
        <v>14.43915</v>
      </c>
      <c r="F1313" s="140">
        <f t="shared" si="82"/>
        <v>109.5931485</v>
      </c>
      <c r="G1313" s="97" t="s">
        <v>2375</v>
      </c>
      <c r="H1313" s="92"/>
    </row>
    <row r="1314" spans="1:8" x14ac:dyDescent="0.2">
      <c r="A1314" s="81" t="s">
        <v>1373</v>
      </c>
      <c r="B1314" s="82" t="s">
        <v>295</v>
      </c>
      <c r="C1314" s="135" t="s">
        <v>1759</v>
      </c>
      <c r="D1314" s="136">
        <v>0</v>
      </c>
      <c r="E1314" s="136">
        <v>0</v>
      </c>
      <c r="F1314" s="137">
        <f>SUM(F1315:F1322)</f>
        <v>90850.180000000008</v>
      </c>
      <c r="G1314" s="96"/>
      <c r="H1314" s="91"/>
    </row>
    <row r="1315" spans="1:8" x14ac:dyDescent="0.2">
      <c r="A1315" s="83" t="s">
        <v>1374</v>
      </c>
      <c r="B1315" s="84" t="s">
        <v>1343</v>
      </c>
      <c r="C1315" s="138" t="s">
        <v>130</v>
      </c>
      <c r="D1315" s="139">
        <v>714.11</v>
      </c>
      <c r="E1315" s="139">
        <v>40</v>
      </c>
      <c r="F1315" s="140">
        <f t="shared" si="82"/>
        <v>28564.400000000001</v>
      </c>
      <c r="G1315" s="97"/>
      <c r="H1315" s="92"/>
    </row>
    <row r="1316" spans="1:8" x14ac:dyDescent="0.2">
      <c r="A1316" s="83" t="s">
        <v>1375</v>
      </c>
      <c r="B1316" s="84" t="s">
        <v>1345</v>
      </c>
      <c r="C1316" s="138" t="s">
        <v>130</v>
      </c>
      <c r="D1316" s="139">
        <v>19.88</v>
      </c>
      <c r="E1316" s="139">
        <v>28</v>
      </c>
      <c r="F1316" s="140">
        <f t="shared" si="82"/>
        <v>556.64</v>
      </c>
      <c r="G1316" s="97"/>
      <c r="H1316" s="92"/>
    </row>
    <row r="1317" spans="1:8" x14ac:dyDescent="0.2">
      <c r="A1317" s="83" t="s">
        <v>1376</v>
      </c>
      <c r="B1317" s="84" t="s">
        <v>1347</v>
      </c>
      <c r="C1317" s="138" t="s">
        <v>130</v>
      </c>
      <c r="D1317" s="139">
        <v>82.05</v>
      </c>
      <c r="E1317" s="139">
        <v>28</v>
      </c>
      <c r="F1317" s="140">
        <f t="shared" si="82"/>
        <v>2297.4</v>
      </c>
      <c r="G1317" s="97"/>
      <c r="H1317" s="92"/>
    </row>
    <row r="1318" spans="1:8" x14ac:dyDescent="0.2">
      <c r="A1318" s="83" t="s">
        <v>1377</v>
      </c>
      <c r="B1318" s="84" t="s">
        <v>1351</v>
      </c>
      <c r="C1318" s="138" t="s">
        <v>130</v>
      </c>
      <c r="D1318" s="139">
        <v>59.89</v>
      </c>
      <c r="E1318" s="139">
        <v>31</v>
      </c>
      <c r="F1318" s="140">
        <f t="shared" si="82"/>
        <v>1856.59</v>
      </c>
      <c r="G1318" s="97"/>
      <c r="H1318" s="92"/>
    </row>
    <row r="1319" spans="1:8" x14ac:dyDescent="0.2">
      <c r="A1319" s="83" t="s">
        <v>1378</v>
      </c>
      <c r="B1319" s="84" t="s">
        <v>1349</v>
      </c>
      <c r="C1319" s="138" t="s">
        <v>130</v>
      </c>
      <c r="D1319" s="139">
        <v>23.35</v>
      </c>
      <c r="E1319" s="139">
        <v>34</v>
      </c>
      <c r="F1319" s="140">
        <f t="shared" si="82"/>
        <v>793.90000000000009</v>
      </c>
      <c r="G1319" s="97"/>
      <c r="H1319" s="92"/>
    </row>
    <row r="1320" spans="1:8" x14ac:dyDescent="0.2">
      <c r="A1320" s="83" t="s">
        <v>1379</v>
      </c>
      <c r="B1320" s="84" t="s">
        <v>1353</v>
      </c>
      <c r="C1320" s="138" t="s">
        <v>130</v>
      </c>
      <c r="D1320" s="139">
        <v>1036.9100000000001</v>
      </c>
      <c r="E1320" s="139">
        <v>31</v>
      </c>
      <c r="F1320" s="140">
        <f t="shared" si="82"/>
        <v>32144.210000000003</v>
      </c>
      <c r="G1320" s="97"/>
      <c r="H1320" s="92"/>
    </row>
    <row r="1321" spans="1:8" x14ac:dyDescent="0.2">
      <c r="A1321" s="83" t="s">
        <v>1380</v>
      </c>
      <c r="B1321" s="84" t="s">
        <v>1357</v>
      </c>
      <c r="C1321" s="138" t="s">
        <v>130</v>
      </c>
      <c r="D1321" s="139">
        <v>871.22</v>
      </c>
      <c r="E1321" s="139">
        <v>28</v>
      </c>
      <c r="F1321" s="140">
        <f t="shared" si="82"/>
        <v>24394.16</v>
      </c>
      <c r="G1321" s="97"/>
      <c r="H1321" s="92"/>
    </row>
    <row r="1322" spans="1:8" x14ac:dyDescent="0.2">
      <c r="A1322" s="83" t="s">
        <v>2337</v>
      </c>
      <c r="B1322" s="84" t="s">
        <v>1355</v>
      </c>
      <c r="C1322" s="138" t="s">
        <v>130</v>
      </c>
      <c r="D1322" s="139">
        <v>7.59</v>
      </c>
      <c r="E1322" s="139">
        <v>32</v>
      </c>
      <c r="F1322" s="140">
        <f t="shared" si="82"/>
        <v>242.88</v>
      </c>
      <c r="G1322" s="97"/>
      <c r="H1322" s="92"/>
    </row>
    <row r="1323" spans="1:8" x14ac:dyDescent="0.2">
      <c r="A1323" s="79" t="s">
        <v>1381</v>
      </c>
      <c r="B1323" s="80" t="s">
        <v>2338</v>
      </c>
      <c r="C1323" s="132" t="s">
        <v>1759</v>
      </c>
      <c r="D1323" s="133">
        <v>0</v>
      </c>
      <c r="E1323" s="133">
        <v>0</v>
      </c>
      <c r="F1323" s="134">
        <f>F1324+F1327+F1334+F1339</f>
        <v>149966.14147728001</v>
      </c>
      <c r="G1323" s="95"/>
      <c r="H1323" s="90"/>
    </row>
    <row r="1324" spans="1:8" x14ac:dyDescent="0.2">
      <c r="A1324" s="81" t="s">
        <v>1382</v>
      </c>
      <c r="B1324" s="82" t="s">
        <v>1318</v>
      </c>
      <c r="C1324" s="135" t="s">
        <v>1759</v>
      </c>
      <c r="D1324" s="136">
        <v>0</v>
      </c>
      <c r="E1324" s="136">
        <v>0</v>
      </c>
      <c r="F1324" s="137">
        <f>SUM(F1325:F1326)</f>
        <v>53568.4936724</v>
      </c>
      <c r="G1324" s="96"/>
      <c r="H1324" s="91"/>
    </row>
    <row r="1325" spans="1:8" x14ac:dyDescent="0.2">
      <c r="A1325" s="83" t="s">
        <v>1383</v>
      </c>
      <c r="B1325" s="84" t="s">
        <v>1095</v>
      </c>
      <c r="C1325" s="138" t="s">
        <v>130</v>
      </c>
      <c r="D1325" s="139">
        <v>19.88</v>
      </c>
      <c r="E1325" s="139">
        <v>6.1989700000000001</v>
      </c>
      <c r="F1325" s="140">
        <f>E1325*D1325</f>
        <v>123.23552359999999</v>
      </c>
      <c r="G1325" s="97"/>
      <c r="H1325" s="92"/>
    </row>
    <row r="1326" spans="1:8" ht="31.5" x14ac:dyDescent="0.2">
      <c r="A1326" s="83" t="s">
        <v>1384</v>
      </c>
      <c r="B1326" s="84" t="s">
        <v>1361</v>
      </c>
      <c r="C1326" s="138" t="s">
        <v>130</v>
      </c>
      <c r="D1326" s="139">
        <v>713.58</v>
      </c>
      <c r="E1326" s="139">
        <v>74.897359999999992</v>
      </c>
      <c r="F1326" s="140">
        <f>E1326*D1326</f>
        <v>53445.2581488</v>
      </c>
      <c r="G1326" s="97"/>
      <c r="H1326" s="92"/>
    </row>
    <row r="1327" spans="1:8" x14ac:dyDescent="0.2">
      <c r="A1327" s="81" t="s">
        <v>1385</v>
      </c>
      <c r="B1327" s="82" t="s">
        <v>1322</v>
      </c>
      <c r="C1327" s="135" t="s">
        <v>1759</v>
      </c>
      <c r="D1327" s="136">
        <v>0</v>
      </c>
      <c r="E1327" s="136">
        <v>0</v>
      </c>
      <c r="F1327" s="137">
        <f>SUM(F1328:F1333)</f>
        <v>6624.9762996999998</v>
      </c>
      <c r="G1327" s="96"/>
      <c r="H1327" s="91"/>
    </row>
    <row r="1328" spans="1:8" x14ac:dyDescent="0.2">
      <c r="A1328" s="83" t="s">
        <v>1386</v>
      </c>
      <c r="B1328" s="84" t="s">
        <v>1324</v>
      </c>
      <c r="C1328" s="138" t="s">
        <v>130</v>
      </c>
      <c r="D1328" s="139">
        <v>1179.8800000000001</v>
      </c>
      <c r="E1328" s="139">
        <v>0.96</v>
      </c>
      <c r="F1328" s="140">
        <f t="shared" ref="F1328:F1333" si="83">E1328*D1328</f>
        <v>1132.6848</v>
      </c>
      <c r="G1328" s="97"/>
      <c r="H1328" s="92"/>
    </row>
    <row r="1329" spans="1:8" x14ac:dyDescent="0.2">
      <c r="A1329" s="83" t="s">
        <v>1387</v>
      </c>
      <c r="B1329" s="84" t="s">
        <v>1326</v>
      </c>
      <c r="C1329" s="138" t="s">
        <v>130</v>
      </c>
      <c r="D1329" s="139">
        <v>23.35</v>
      </c>
      <c r="E1329" s="139">
        <v>1.389052</v>
      </c>
      <c r="F1329" s="140">
        <f t="shared" si="83"/>
        <v>32.434364199999997</v>
      </c>
      <c r="G1329" s="97"/>
      <c r="H1329" s="92"/>
    </row>
    <row r="1330" spans="1:8" x14ac:dyDescent="0.2">
      <c r="A1330" s="83" t="s">
        <v>1388</v>
      </c>
      <c r="B1330" s="84" t="s">
        <v>1102</v>
      </c>
      <c r="C1330" s="138" t="s">
        <v>130</v>
      </c>
      <c r="D1330" s="139">
        <v>116</v>
      </c>
      <c r="E1330" s="139">
        <v>4.8130499999999996</v>
      </c>
      <c r="F1330" s="140">
        <f t="shared" si="83"/>
        <v>558.3137999999999</v>
      </c>
      <c r="G1330" s="97" t="s">
        <v>2373</v>
      </c>
      <c r="H1330" s="92"/>
    </row>
    <row r="1331" spans="1:8" x14ac:dyDescent="0.2">
      <c r="A1331" s="83" t="s">
        <v>1389</v>
      </c>
      <c r="B1331" s="84" t="s">
        <v>1329</v>
      </c>
      <c r="C1331" s="138" t="s">
        <v>130</v>
      </c>
      <c r="D1331" s="139">
        <v>58.89</v>
      </c>
      <c r="E1331" s="139">
        <v>9.626100000000001</v>
      </c>
      <c r="F1331" s="140">
        <f t="shared" si="83"/>
        <v>566.88102900000001</v>
      </c>
      <c r="G1331" s="97" t="s">
        <v>2374</v>
      </c>
      <c r="H1331" s="92"/>
    </row>
    <row r="1332" spans="1:8" x14ac:dyDescent="0.2">
      <c r="A1332" s="83" t="s">
        <v>1390</v>
      </c>
      <c r="B1332" s="84" t="s">
        <v>1100</v>
      </c>
      <c r="C1332" s="138" t="s">
        <v>130</v>
      </c>
      <c r="D1332" s="139">
        <v>23.35</v>
      </c>
      <c r="E1332" s="139">
        <v>14.43915</v>
      </c>
      <c r="F1332" s="140">
        <f t="shared" si="83"/>
        <v>337.15415250000001</v>
      </c>
      <c r="G1332" s="97"/>
      <c r="H1332" s="92"/>
    </row>
    <row r="1333" spans="1:8" x14ac:dyDescent="0.2">
      <c r="A1333" s="83" t="s">
        <v>1391</v>
      </c>
      <c r="B1333" s="84" t="s">
        <v>1101</v>
      </c>
      <c r="C1333" s="138" t="s">
        <v>130</v>
      </c>
      <c r="D1333" s="139">
        <v>1040.53</v>
      </c>
      <c r="E1333" s="139">
        <v>3.8418000000000001</v>
      </c>
      <c r="F1333" s="140">
        <f t="shared" si="83"/>
        <v>3997.5081540000001</v>
      </c>
      <c r="G1333" s="97"/>
      <c r="H1333" s="92"/>
    </row>
    <row r="1334" spans="1:8" x14ac:dyDescent="0.2">
      <c r="A1334" s="81" t="s">
        <v>1392</v>
      </c>
      <c r="B1334" s="82" t="s">
        <v>1333</v>
      </c>
      <c r="C1334" s="135" t="s">
        <v>1759</v>
      </c>
      <c r="D1334" s="136">
        <v>0</v>
      </c>
      <c r="E1334" s="136">
        <v>0</v>
      </c>
      <c r="F1334" s="137">
        <f>SUM(F1335:F1338)</f>
        <v>3374.1115051800002</v>
      </c>
      <c r="G1334" s="96"/>
      <c r="H1334" s="91"/>
    </row>
    <row r="1335" spans="1:8" x14ac:dyDescent="0.2">
      <c r="A1335" s="83" t="s">
        <v>1393</v>
      </c>
      <c r="B1335" s="84" t="s">
        <v>1335</v>
      </c>
      <c r="C1335" s="138" t="s">
        <v>130</v>
      </c>
      <c r="D1335" s="139">
        <v>683.73</v>
      </c>
      <c r="E1335" s="139">
        <v>0.96</v>
      </c>
      <c r="F1335" s="140">
        <f>E1335*D1335</f>
        <v>656.38080000000002</v>
      </c>
      <c r="G1335" s="97"/>
      <c r="H1335" s="92"/>
    </row>
    <row r="1336" spans="1:8" x14ac:dyDescent="0.2">
      <c r="A1336" s="83" t="s">
        <v>1394</v>
      </c>
      <c r="B1336" s="84" t="s">
        <v>1340</v>
      </c>
      <c r="C1336" s="138" t="s">
        <v>130</v>
      </c>
      <c r="D1336" s="139">
        <v>676.14</v>
      </c>
      <c r="E1336" s="139">
        <v>3.8418000000000001</v>
      </c>
      <c r="F1336" s="140">
        <f>E1336*D1336</f>
        <v>2597.5946520000002</v>
      </c>
      <c r="G1336" s="97"/>
      <c r="H1336" s="92"/>
    </row>
    <row r="1337" spans="1:8" x14ac:dyDescent="0.2">
      <c r="A1337" s="83" t="s">
        <v>2339</v>
      </c>
      <c r="B1337" s="84" t="s">
        <v>1337</v>
      </c>
      <c r="C1337" s="138" t="s">
        <v>130</v>
      </c>
      <c r="D1337" s="139">
        <v>7.59</v>
      </c>
      <c r="E1337" s="139">
        <v>1.389052</v>
      </c>
      <c r="F1337" s="140">
        <f>E1337*D1337</f>
        <v>10.542904679999999</v>
      </c>
      <c r="G1337" s="97"/>
      <c r="H1337" s="92"/>
    </row>
    <row r="1338" spans="1:8" x14ac:dyDescent="0.2">
      <c r="A1338" s="83" t="s">
        <v>2340</v>
      </c>
      <c r="B1338" s="84" t="s">
        <v>1107</v>
      </c>
      <c r="C1338" s="138" t="s">
        <v>130</v>
      </c>
      <c r="D1338" s="139">
        <v>7.59</v>
      </c>
      <c r="E1338" s="139">
        <v>14.43915</v>
      </c>
      <c r="F1338" s="140">
        <f>E1338*D1338</f>
        <v>109.5931485</v>
      </c>
      <c r="G1338" s="97" t="s">
        <v>2375</v>
      </c>
      <c r="H1338" s="92"/>
    </row>
    <row r="1339" spans="1:8" x14ac:dyDescent="0.2">
      <c r="A1339" s="81" t="s">
        <v>1395</v>
      </c>
      <c r="B1339" s="82" t="s">
        <v>295</v>
      </c>
      <c r="C1339" s="135" t="s">
        <v>1759</v>
      </c>
      <c r="D1339" s="136">
        <v>0</v>
      </c>
      <c r="E1339" s="136">
        <v>0</v>
      </c>
      <c r="F1339" s="137">
        <f>SUM(F1340:F1347)</f>
        <v>86398.56</v>
      </c>
      <c r="G1339" s="96"/>
      <c r="H1339" s="91"/>
    </row>
    <row r="1340" spans="1:8" x14ac:dyDescent="0.2">
      <c r="A1340" s="83" t="s">
        <v>1396</v>
      </c>
      <c r="B1340" s="84" t="s">
        <v>1345</v>
      </c>
      <c r="C1340" s="138" t="s">
        <v>130</v>
      </c>
      <c r="D1340" s="139">
        <v>19.88</v>
      </c>
      <c r="E1340" s="139">
        <v>28</v>
      </c>
      <c r="F1340" s="140">
        <f t="shared" ref="F1340:F1347" si="84">E1340*D1340</f>
        <v>556.64</v>
      </c>
      <c r="G1340" s="97"/>
      <c r="H1340" s="92"/>
    </row>
    <row r="1341" spans="1:8" x14ac:dyDescent="0.2">
      <c r="A1341" s="83" t="s">
        <v>2341</v>
      </c>
      <c r="B1341" s="84" t="s">
        <v>1343</v>
      </c>
      <c r="C1341" s="138" t="s">
        <v>130</v>
      </c>
      <c r="D1341" s="139">
        <v>713.58</v>
      </c>
      <c r="E1341" s="139">
        <v>40</v>
      </c>
      <c r="F1341" s="140">
        <f t="shared" si="84"/>
        <v>28543.200000000001</v>
      </c>
      <c r="G1341" s="97"/>
      <c r="H1341" s="92"/>
    </row>
    <row r="1342" spans="1:8" x14ac:dyDescent="0.2">
      <c r="A1342" s="83" t="s">
        <v>2342</v>
      </c>
      <c r="B1342" s="84" t="s">
        <v>1355</v>
      </c>
      <c r="C1342" s="138" t="s">
        <v>130</v>
      </c>
      <c r="D1342" s="139">
        <v>7.59</v>
      </c>
      <c r="E1342" s="139">
        <v>32</v>
      </c>
      <c r="F1342" s="140">
        <f t="shared" si="84"/>
        <v>242.88</v>
      </c>
      <c r="G1342" s="97"/>
      <c r="H1342" s="92"/>
    </row>
    <row r="1343" spans="1:8" x14ac:dyDescent="0.2">
      <c r="A1343" s="83" t="s">
        <v>1397</v>
      </c>
      <c r="B1343" s="84" t="s">
        <v>1347</v>
      </c>
      <c r="C1343" s="138" t="s">
        <v>130</v>
      </c>
      <c r="D1343" s="139">
        <v>116</v>
      </c>
      <c r="E1343" s="139">
        <v>28</v>
      </c>
      <c r="F1343" s="140">
        <f t="shared" si="84"/>
        <v>3248</v>
      </c>
      <c r="G1343" s="97"/>
      <c r="H1343" s="92"/>
    </row>
    <row r="1344" spans="1:8" x14ac:dyDescent="0.2">
      <c r="A1344" s="83" t="s">
        <v>1398</v>
      </c>
      <c r="B1344" s="84" t="s">
        <v>1351</v>
      </c>
      <c r="C1344" s="138" t="s">
        <v>130</v>
      </c>
      <c r="D1344" s="139">
        <v>58.89</v>
      </c>
      <c r="E1344" s="139">
        <v>31</v>
      </c>
      <c r="F1344" s="140">
        <f t="shared" si="84"/>
        <v>1825.59</v>
      </c>
      <c r="G1344" s="97"/>
      <c r="H1344" s="92"/>
    </row>
    <row r="1345" spans="1:8" x14ac:dyDescent="0.2">
      <c r="A1345" s="83" t="s">
        <v>1399</v>
      </c>
      <c r="B1345" s="84" t="s">
        <v>1349</v>
      </c>
      <c r="C1345" s="138" t="s">
        <v>130</v>
      </c>
      <c r="D1345" s="139">
        <v>23.35</v>
      </c>
      <c r="E1345" s="139">
        <v>34</v>
      </c>
      <c r="F1345" s="140">
        <f t="shared" si="84"/>
        <v>793.90000000000009</v>
      </c>
      <c r="G1345" s="97"/>
      <c r="H1345" s="92"/>
    </row>
    <row r="1346" spans="1:8" x14ac:dyDescent="0.2">
      <c r="A1346" s="83" t="s">
        <v>1400</v>
      </c>
      <c r="B1346" s="84" t="s">
        <v>1353</v>
      </c>
      <c r="C1346" s="138" t="s">
        <v>130</v>
      </c>
      <c r="D1346" s="139">
        <v>1040.53</v>
      </c>
      <c r="E1346" s="139">
        <v>31</v>
      </c>
      <c r="F1346" s="140">
        <f t="shared" si="84"/>
        <v>32256.43</v>
      </c>
      <c r="G1346" s="97"/>
      <c r="H1346" s="92"/>
    </row>
    <row r="1347" spans="1:8" x14ac:dyDescent="0.2">
      <c r="A1347" s="83" t="s">
        <v>1401</v>
      </c>
      <c r="B1347" s="84" t="s">
        <v>1357</v>
      </c>
      <c r="C1347" s="138" t="s">
        <v>130</v>
      </c>
      <c r="D1347" s="139">
        <v>676.14</v>
      </c>
      <c r="E1347" s="139">
        <v>28</v>
      </c>
      <c r="F1347" s="140">
        <f t="shared" si="84"/>
        <v>18931.919999999998</v>
      </c>
      <c r="G1347" s="97"/>
      <c r="H1347" s="92"/>
    </row>
    <row r="1348" spans="1:8" x14ac:dyDescent="0.2">
      <c r="A1348" s="79" t="s">
        <v>1402</v>
      </c>
      <c r="B1348" s="80" t="s">
        <v>2343</v>
      </c>
      <c r="C1348" s="132" t="s">
        <v>1759</v>
      </c>
      <c r="D1348" s="133">
        <v>0</v>
      </c>
      <c r="E1348" s="133">
        <v>0</v>
      </c>
      <c r="F1348" s="134">
        <f>F1349+F1352+F1359+F1364</f>
        <v>150798.60516674002</v>
      </c>
      <c r="G1348" s="95"/>
      <c r="H1348" s="90"/>
    </row>
    <row r="1349" spans="1:8" x14ac:dyDescent="0.2">
      <c r="A1349" s="81" t="s">
        <v>1403</v>
      </c>
      <c r="B1349" s="82" t="s">
        <v>1318</v>
      </c>
      <c r="C1349" s="135" t="s">
        <v>1759</v>
      </c>
      <c r="D1349" s="136">
        <v>0</v>
      </c>
      <c r="E1349" s="136">
        <v>0</v>
      </c>
      <c r="F1349" s="137">
        <f>SUM(F1350:F1351)</f>
        <v>53878.672333399998</v>
      </c>
      <c r="G1349" s="96"/>
      <c r="H1349" s="91"/>
    </row>
    <row r="1350" spans="1:8" x14ac:dyDescent="0.2">
      <c r="A1350" s="83" t="s">
        <v>1404</v>
      </c>
      <c r="B1350" s="84" t="s">
        <v>1095</v>
      </c>
      <c r="C1350" s="138" t="s">
        <v>130</v>
      </c>
      <c r="D1350" s="139">
        <v>20.38</v>
      </c>
      <c r="E1350" s="139">
        <v>6.1989700000000001</v>
      </c>
      <c r="F1350" s="140">
        <f>E1350*D1350</f>
        <v>126.33500859999999</v>
      </c>
      <c r="G1350" s="97"/>
      <c r="H1350" s="92"/>
    </row>
    <row r="1351" spans="1:8" ht="31.5" x14ac:dyDescent="0.2">
      <c r="A1351" s="83" t="s">
        <v>2344</v>
      </c>
      <c r="B1351" s="84" t="s">
        <v>1361</v>
      </c>
      <c r="C1351" s="138" t="s">
        <v>130</v>
      </c>
      <c r="D1351" s="139">
        <v>717.68000000000006</v>
      </c>
      <c r="E1351" s="139">
        <v>74.897359999999992</v>
      </c>
      <c r="F1351" s="140">
        <f>E1351*D1351</f>
        <v>53752.337324799999</v>
      </c>
      <c r="G1351" s="97"/>
      <c r="H1351" s="92"/>
    </row>
    <row r="1352" spans="1:8" x14ac:dyDescent="0.2">
      <c r="A1352" s="81" t="s">
        <v>1405</v>
      </c>
      <c r="B1352" s="82" t="s">
        <v>1322</v>
      </c>
      <c r="C1352" s="135" t="s">
        <v>1759</v>
      </c>
      <c r="D1352" s="136">
        <v>0</v>
      </c>
      <c r="E1352" s="136">
        <v>0</v>
      </c>
      <c r="F1352" s="137">
        <f>SUM(F1353:F1358)</f>
        <v>8225.1061082800006</v>
      </c>
      <c r="G1352" s="96"/>
      <c r="H1352" s="91"/>
    </row>
    <row r="1353" spans="1:8" x14ac:dyDescent="0.2">
      <c r="A1353" s="83" t="s">
        <v>1406</v>
      </c>
      <c r="B1353" s="84" t="s">
        <v>1324</v>
      </c>
      <c r="C1353" s="138" t="s">
        <v>130</v>
      </c>
      <c r="D1353" s="139">
        <v>1277.69</v>
      </c>
      <c r="E1353" s="139">
        <v>0.96</v>
      </c>
      <c r="F1353" s="140">
        <f t="shared" ref="F1353:F1358" si="85">E1353*D1353</f>
        <v>1226.5824</v>
      </c>
      <c r="G1353" s="97"/>
      <c r="H1353" s="92"/>
    </row>
    <row r="1354" spans="1:8" x14ac:dyDescent="0.2">
      <c r="A1354" s="83" t="s">
        <v>2345</v>
      </c>
      <c r="B1354" s="84" t="s">
        <v>1329</v>
      </c>
      <c r="C1354" s="138" t="s">
        <v>130</v>
      </c>
      <c r="D1354" s="139">
        <v>58.620000000000005</v>
      </c>
      <c r="E1354" s="139">
        <v>9.626100000000001</v>
      </c>
      <c r="F1354" s="140">
        <f t="shared" si="85"/>
        <v>564.28198200000008</v>
      </c>
      <c r="G1354" s="97"/>
      <c r="H1354" s="92"/>
    </row>
    <row r="1355" spans="1:8" x14ac:dyDescent="0.2">
      <c r="A1355" s="83" t="s">
        <v>1407</v>
      </c>
      <c r="B1355" s="84" t="s">
        <v>1326</v>
      </c>
      <c r="C1355" s="138" t="s">
        <v>130</v>
      </c>
      <c r="D1355" s="139">
        <v>119.14</v>
      </c>
      <c r="E1355" s="139">
        <v>1.389052</v>
      </c>
      <c r="F1355" s="140">
        <f t="shared" si="85"/>
        <v>165.49165528</v>
      </c>
      <c r="G1355" s="97"/>
      <c r="H1355" s="92"/>
    </row>
    <row r="1356" spans="1:8" x14ac:dyDescent="0.2">
      <c r="A1356" s="83" t="s">
        <v>1408</v>
      </c>
      <c r="B1356" s="84" t="s">
        <v>1102</v>
      </c>
      <c r="C1356" s="138" t="s">
        <v>130</v>
      </c>
      <c r="D1356" s="139">
        <v>100.44</v>
      </c>
      <c r="E1356" s="139">
        <v>4.8130499999999996</v>
      </c>
      <c r="F1356" s="140">
        <f t="shared" si="85"/>
        <v>483.42274199999997</v>
      </c>
      <c r="G1356" s="97" t="s">
        <v>2373</v>
      </c>
      <c r="H1356" s="92"/>
    </row>
    <row r="1357" spans="1:8" x14ac:dyDescent="0.2">
      <c r="A1357" s="83" t="s">
        <v>1409</v>
      </c>
      <c r="B1357" s="84" t="s">
        <v>1100</v>
      </c>
      <c r="C1357" s="138" t="s">
        <v>130</v>
      </c>
      <c r="D1357" s="139">
        <v>119.14</v>
      </c>
      <c r="E1357" s="139">
        <v>14.43915</v>
      </c>
      <c r="F1357" s="140">
        <f t="shared" si="85"/>
        <v>1720.2803309999999</v>
      </c>
      <c r="G1357" s="97"/>
      <c r="H1357" s="92"/>
    </row>
    <row r="1358" spans="1:8" x14ac:dyDescent="0.2">
      <c r="A1358" s="83" t="s">
        <v>1410</v>
      </c>
      <c r="B1358" s="84" t="s">
        <v>1101</v>
      </c>
      <c r="C1358" s="138" t="s">
        <v>130</v>
      </c>
      <c r="D1358" s="139">
        <v>1058.1100000000001</v>
      </c>
      <c r="E1358" s="139">
        <v>3.8418000000000001</v>
      </c>
      <c r="F1358" s="140">
        <f t="shared" si="85"/>
        <v>4065.0469980000007</v>
      </c>
      <c r="G1358" s="97"/>
      <c r="H1358" s="92"/>
    </row>
    <row r="1359" spans="1:8" x14ac:dyDescent="0.2">
      <c r="A1359" s="81" t="s">
        <v>1411</v>
      </c>
      <c r="B1359" s="82" t="s">
        <v>1333</v>
      </c>
      <c r="C1359" s="135" t="s">
        <v>1759</v>
      </c>
      <c r="D1359" s="136">
        <v>0</v>
      </c>
      <c r="E1359" s="136">
        <v>0</v>
      </c>
      <c r="F1359" s="137">
        <f>SUM(F1360:F1363)</f>
        <v>2707.79672506</v>
      </c>
      <c r="G1359" s="96"/>
      <c r="H1359" s="91"/>
    </row>
    <row r="1360" spans="1:8" x14ac:dyDescent="0.2">
      <c r="A1360" s="83" t="s">
        <v>1412</v>
      </c>
      <c r="B1360" s="84" t="s">
        <v>1335</v>
      </c>
      <c r="C1360" s="138" t="s">
        <v>130</v>
      </c>
      <c r="D1360" s="139">
        <v>542.62</v>
      </c>
      <c r="E1360" s="139">
        <v>0.96</v>
      </c>
      <c r="F1360" s="140">
        <f>E1360*D1360</f>
        <v>520.91520000000003</v>
      </c>
      <c r="G1360" s="97"/>
      <c r="H1360" s="92"/>
    </row>
    <row r="1361" spans="1:8" x14ac:dyDescent="0.2">
      <c r="A1361" s="83" t="s">
        <v>2346</v>
      </c>
      <c r="B1361" s="84" t="s">
        <v>1337</v>
      </c>
      <c r="C1361" s="138" t="s">
        <v>130</v>
      </c>
      <c r="D1361" s="139">
        <v>8.5299999999999994</v>
      </c>
      <c r="E1361" s="139">
        <v>1.389052</v>
      </c>
      <c r="F1361" s="140">
        <f>E1361*D1361</f>
        <v>11.848613559999999</v>
      </c>
      <c r="G1361" s="97"/>
      <c r="H1361" s="92"/>
    </row>
    <row r="1362" spans="1:8" x14ac:dyDescent="0.2">
      <c r="A1362" s="83" t="s">
        <v>2347</v>
      </c>
      <c r="B1362" s="84" t="s">
        <v>1107</v>
      </c>
      <c r="C1362" s="138" t="s">
        <v>130</v>
      </c>
      <c r="D1362" s="139">
        <v>8.5299999999999994</v>
      </c>
      <c r="E1362" s="139">
        <v>14.43915</v>
      </c>
      <c r="F1362" s="140">
        <f>E1362*D1362</f>
        <v>123.16594949999998</v>
      </c>
      <c r="G1362" s="97"/>
      <c r="H1362" s="92"/>
    </row>
    <row r="1363" spans="1:8" x14ac:dyDescent="0.2">
      <c r="A1363" s="83" t="s">
        <v>1413</v>
      </c>
      <c r="B1363" s="84" t="s">
        <v>1340</v>
      </c>
      <c r="C1363" s="138" t="s">
        <v>130</v>
      </c>
      <c r="D1363" s="139">
        <v>534.09</v>
      </c>
      <c r="E1363" s="139">
        <v>3.8418000000000001</v>
      </c>
      <c r="F1363" s="140">
        <f>E1363*D1363</f>
        <v>2051.8669620000001</v>
      </c>
      <c r="G1363" s="97" t="s">
        <v>2375</v>
      </c>
      <c r="H1363" s="92"/>
    </row>
    <row r="1364" spans="1:8" x14ac:dyDescent="0.2">
      <c r="A1364" s="81" t="s">
        <v>1414</v>
      </c>
      <c r="B1364" s="82" t="s">
        <v>295</v>
      </c>
      <c r="C1364" s="135" t="s">
        <v>1759</v>
      </c>
      <c r="D1364" s="136">
        <v>0</v>
      </c>
      <c r="E1364" s="136">
        <v>0</v>
      </c>
      <c r="F1364" s="137">
        <f>SUM(F1365:F1372)</f>
        <v>85987.030000000028</v>
      </c>
      <c r="G1364" s="96"/>
      <c r="H1364" s="91"/>
    </row>
    <row r="1365" spans="1:8" x14ac:dyDescent="0.2">
      <c r="A1365" s="83" t="s">
        <v>1415</v>
      </c>
      <c r="B1365" s="84" t="s">
        <v>1345</v>
      </c>
      <c r="C1365" s="138" t="s">
        <v>130</v>
      </c>
      <c r="D1365" s="139">
        <v>20.38</v>
      </c>
      <c r="E1365" s="139">
        <v>28</v>
      </c>
      <c r="F1365" s="140">
        <f t="shared" ref="F1365:F1372" si="86">E1365*D1365</f>
        <v>570.64</v>
      </c>
      <c r="G1365" s="97"/>
      <c r="H1365" s="92"/>
    </row>
    <row r="1366" spans="1:8" x14ac:dyDescent="0.2">
      <c r="A1366" s="83" t="s">
        <v>2348</v>
      </c>
      <c r="B1366" s="84" t="s">
        <v>1351</v>
      </c>
      <c r="C1366" s="138" t="s">
        <v>130</v>
      </c>
      <c r="D1366" s="139">
        <v>58.620000000000005</v>
      </c>
      <c r="E1366" s="139">
        <v>31</v>
      </c>
      <c r="F1366" s="140">
        <f t="shared" si="86"/>
        <v>1817.2200000000003</v>
      </c>
      <c r="G1366" s="97"/>
      <c r="H1366" s="92"/>
    </row>
    <row r="1367" spans="1:8" x14ac:dyDescent="0.2">
      <c r="A1367" s="83" t="s">
        <v>1416</v>
      </c>
      <c r="B1367" s="84" t="s">
        <v>1347</v>
      </c>
      <c r="C1367" s="138" t="s">
        <v>130</v>
      </c>
      <c r="D1367" s="139">
        <v>100.44</v>
      </c>
      <c r="E1367" s="139">
        <v>28</v>
      </c>
      <c r="F1367" s="140">
        <f t="shared" si="86"/>
        <v>2812.3199999999997</v>
      </c>
      <c r="G1367" s="97"/>
      <c r="H1367" s="92"/>
    </row>
    <row r="1368" spans="1:8" x14ac:dyDescent="0.2">
      <c r="A1368" s="83" t="s">
        <v>1417</v>
      </c>
      <c r="B1368" s="84" t="s">
        <v>1349</v>
      </c>
      <c r="C1368" s="138" t="s">
        <v>130</v>
      </c>
      <c r="D1368" s="139">
        <v>119.14</v>
      </c>
      <c r="E1368" s="139">
        <v>34</v>
      </c>
      <c r="F1368" s="140">
        <f t="shared" si="86"/>
        <v>4050.76</v>
      </c>
      <c r="G1368" s="97"/>
      <c r="H1368" s="92"/>
    </row>
    <row r="1369" spans="1:8" x14ac:dyDescent="0.2">
      <c r="A1369" s="83" t="s">
        <v>1418</v>
      </c>
      <c r="B1369" s="84" t="s">
        <v>1353</v>
      </c>
      <c r="C1369" s="138" t="s">
        <v>130</v>
      </c>
      <c r="D1369" s="139">
        <v>1058.1100000000001</v>
      </c>
      <c r="E1369" s="139">
        <v>31</v>
      </c>
      <c r="F1369" s="140">
        <f t="shared" si="86"/>
        <v>32801.410000000003</v>
      </c>
      <c r="G1369" s="97"/>
      <c r="H1369" s="92"/>
    </row>
    <row r="1370" spans="1:8" x14ac:dyDescent="0.2">
      <c r="A1370" s="83" t="s">
        <v>2349</v>
      </c>
      <c r="B1370" s="84" t="s">
        <v>1343</v>
      </c>
      <c r="C1370" s="138" t="s">
        <v>130</v>
      </c>
      <c r="D1370" s="139">
        <v>717.68000000000006</v>
      </c>
      <c r="E1370" s="139">
        <v>40</v>
      </c>
      <c r="F1370" s="140">
        <f t="shared" si="86"/>
        <v>28707.200000000004</v>
      </c>
      <c r="G1370" s="97"/>
      <c r="H1370" s="92"/>
    </row>
    <row r="1371" spans="1:8" x14ac:dyDescent="0.2">
      <c r="A1371" s="83" t="s">
        <v>1419</v>
      </c>
      <c r="B1371" s="84" t="s">
        <v>1355</v>
      </c>
      <c r="C1371" s="138" t="s">
        <v>130</v>
      </c>
      <c r="D1371" s="139">
        <v>8.5299999999999994</v>
      </c>
      <c r="E1371" s="139">
        <v>32</v>
      </c>
      <c r="F1371" s="140">
        <f t="shared" si="86"/>
        <v>272.95999999999998</v>
      </c>
      <c r="G1371" s="97"/>
      <c r="H1371" s="92"/>
    </row>
    <row r="1372" spans="1:8" x14ac:dyDescent="0.2">
      <c r="A1372" s="83" t="s">
        <v>1420</v>
      </c>
      <c r="B1372" s="84" t="s">
        <v>1357</v>
      </c>
      <c r="C1372" s="138" t="s">
        <v>130</v>
      </c>
      <c r="D1372" s="139">
        <v>534.09</v>
      </c>
      <c r="E1372" s="139">
        <v>28</v>
      </c>
      <c r="F1372" s="140">
        <f t="shared" si="86"/>
        <v>14954.52</v>
      </c>
      <c r="G1372" s="97"/>
      <c r="H1372" s="92"/>
    </row>
    <row r="1373" spans="1:8" x14ac:dyDescent="0.2">
      <c r="A1373" s="79" t="s">
        <v>1421</v>
      </c>
      <c r="B1373" s="80" t="s">
        <v>1875</v>
      </c>
      <c r="C1373" s="132" t="s">
        <v>1759</v>
      </c>
      <c r="D1373" s="133">
        <v>0</v>
      </c>
      <c r="E1373" s="133">
        <v>0</v>
      </c>
      <c r="F1373" s="134">
        <f>F1374+F1376+F1382+F1387</f>
        <v>82942.41461338001</v>
      </c>
      <c r="G1373" s="95"/>
      <c r="H1373" s="90"/>
    </row>
    <row r="1374" spans="1:8" x14ac:dyDescent="0.2">
      <c r="A1374" s="81" t="s">
        <v>1422</v>
      </c>
      <c r="B1374" s="82" t="s">
        <v>1318</v>
      </c>
      <c r="C1374" s="135" t="s">
        <v>1759</v>
      </c>
      <c r="D1374" s="136">
        <v>0</v>
      </c>
      <c r="E1374" s="136">
        <v>0</v>
      </c>
      <c r="F1374" s="137">
        <f>F1375</f>
        <v>123.17353390000001</v>
      </c>
      <c r="G1374" s="96"/>
      <c r="H1374" s="91"/>
    </row>
    <row r="1375" spans="1:8" x14ac:dyDescent="0.2">
      <c r="A1375" s="83" t="s">
        <v>1423</v>
      </c>
      <c r="B1375" s="84" t="s">
        <v>1095</v>
      </c>
      <c r="C1375" s="138" t="s">
        <v>130</v>
      </c>
      <c r="D1375" s="139">
        <v>19.87</v>
      </c>
      <c r="E1375" s="139">
        <v>6.1989700000000001</v>
      </c>
      <c r="F1375" s="140">
        <f>E1375*D1375</f>
        <v>123.17353390000001</v>
      </c>
      <c r="G1375" s="97"/>
      <c r="H1375" s="92"/>
    </row>
    <row r="1376" spans="1:8" x14ac:dyDescent="0.2">
      <c r="A1376" s="81" t="s">
        <v>1424</v>
      </c>
      <c r="B1376" s="82" t="s">
        <v>1322</v>
      </c>
      <c r="C1376" s="135" t="s">
        <v>1759</v>
      </c>
      <c r="D1376" s="136">
        <v>0</v>
      </c>
      <c r="E1376" s="136">
        <v>0</v>
      </c>
      <c r="F1376" s="137">
        <f>SUM(F1377:F1381)</f>
        <v>19220.810495080001</v>
      </c>
      <c r="G1376" s="96"/>
      <c r="H1376" s="91"/>
    </row>
    <row r="1377" spans="1:8" x14ac:dyDescent="0.2">
      <c r="A1377" s="83" t="s">
        <v>1425</v>
      </c>
      <c r="B1377" s="84" t="s">
        <v>1324</v>
      </c>
      <c r="C1377" s="138" t="s">
        <v>130</v>
      </c>
      <c r="D1377" s="139">
        <v>1246.3</v>
      </c>
      <c r="E1377" s="139">
        <v>0.96</v>
      </c>
      <c r="F1377" s="140">
        <f>E1377*D1377</f>
        <v>1196.4479999999999</v>
      </c>
      <c r="G1377" s="97"/>
      <c r="H1377" s="92"/>
    </row>
    <row r="1378" spans="1:8" x14ac:dyDescent="0.2">
      <c r="A1378" s="83" t="s">
        <v>1426</v>
      </c>
      <c r="B1378" s="84" t="s">
        <v>1326</v>
      </c>
      <c r="C1378" s="138" t="s">
        <v>130</v>
      </c>
      <c r="D1378" s="139">
        <v>1099.54</v>
      </c>
      <c r="E1378" s="139">
        <v>1.389052</v>
      </c>
      <c r="F1378" s="140">
        <f>E1378*D1378</f>
        <v>1527.3182360799999</v>
      </c>
      <c r="G1378" s="97"/>
      <c r="H1378" s="92"/>
    </row>
    <row r="1379" spans="1:8" x14ac:dyDescent="0.2">
      <c r="A1379" s="83" t="s">
        <v>1427</v>
      </c>
      <c r="B1379" s="84" t="s">
        <v>1102</v>
      </c>
      <c r="C1379" s="138" t="s">
        <v>130</v>
      </c>
      <c r="D1379" s="139">
        <v>58.480000000000004</v>
      </c>
      <c r="E1379" s="139">
        <v>4.8130499999999996</v>
      </c>
      <c r="F1379" s="140">
        <f>E1379*D1379</f>
        <v>281.46716399999997</v>
      </c>
      <c r="G1379" s="97" t="s">
        <v>2373</v>
      </c>
      <c r="H1379" s="92"/>
    </row>
    <row r="1380" spans="1:8" x14ac:dyDescent="0.2">
      <c r="A1380" s="83" t="s">
        <v>1428</v>
      </c>
      <c r="B1380" s="84" t="s">
        <v>1100</v>
      </c>
      <c r="C1380" s="138" t="s">
        <v>130</v>
      </c>
      <c r="D1380" s="139">
        <v>1099.54</v>
      </c>
      <c r="E1380" s="139">
        <v>14.43915</v>
      </c>
      <c r="F1380" s="140">
        <f>E1380*D1380</f>
        <v>15876.422990999999</v>
      </c>
      <c r="G1380" s="97"/>
      <c r="H1380" s="92"/>
    </row>
    <row r="1381" spans="1:8" x14ac:dyDescent="0.2">
      <c r="A1381" s="83" t="s">
        <v>1429</v>
      </c>
      <c r="B1381" s="84" t="s">
        <v>1101</v>
      </c>
      <c r="C1381" s="138" t="s">
        <v>130</v>
      </c>
      <c r="D1381" s="139">
        <v>88.28</v>
      </c>
      <c r="E1381" s="139">
        <v>3.8418000000000001</v>
      </c>
      <c r="F1381" s="140">
        <f>E1381*D1381</f>
        <v>339.15410400000002</v>
      </c>
      <c r="G1381" s="97"/>
      <c r="H1381" s="92"/>
    </row>
    <row r="1382" spans="1:8" x14ac:dyDescent="0.2">
      <c r="A1382" s="81" t="s">
        <v>1430</v>
      </c>
      <c r="B1382" s="82" t="s">
        <v>1333</v>
      </c>
      <c r="C1382" s="135" t="s">
        <v>1759</v>
      </c>
      <c r="D1382" s="136">
        <v>0</v>
      </c>
      <c r="E1382" s="136">
        <v>0</v>
      </c>
      <c r="F1382" s="137">
        <f>SUM(F1383:F1386)</f>
        <v>7226.8705843999996</v>
      </c>
      <c r="G1382" s="96"/>
      <c r="H1382" s="91"/>
    </row>
    <row r="1383" spans="1:8" x14ac:dyDescent="0.2">
      <c r="A1383" s="83" t="s">
        <v>1431</v>
      </c>
      <c r="B1383" s="84" t="s">
        <v>1335</v>
      </c>
      <c r="C1383" s="138" t="s">
        <v>130</v>
      </c>
      <c r="D1383" s="139">
        <v>441.14</v>
      </c>
      <c r="E1383" s="139">
        <v>0.96</v>
      </c>
      <c r="F1383" s="140">
        <f>E1383*D1383</f>
        <v>423.49439999999998</v>
      </c>
      <c r="G1383" s="97"/>
      <c r="H1383" s="92"/>
    </row>
    <row r="1384" spans="1:8" x14ac:dyDescent="0.2">
      <c r="A1384" s="83" t="s">
        <v>1432</v>
      </c>
      <c r="B1384" s="84" t="s">
        <v>1337</v>
      </c>
      <c r="C1384" s="138" t="s">
        <v>130</v>
      </c>
      <c r="D1384" s="139">
        <v>426.2</v>
      </c>
      <c r="E1384" s="139">
        <v>1.389052</v>
      </c>
      <c r="F1384" s="140">
        <f>E1384*D1384</f>
        <v>592.01396239999997</v>
      </c>
      <c r="G1384" s="97"/>
      <c r="H1384" s="92"/>
    </row>
    <row r="1385" spans="1:8" x14ac:dyDescent="0.2">
      <c r="A1385" s="83" t="s">
        <v>1433</v>
      </c>
      <c r="B1385" s="84" t="s">
        <v>1340</v>
      </c>
      <c r="C1385" s="138" t="s">
        <v>130</v>
      </c>
      <c r="D1385" s="139">
        <v>14.94</v>
      </c>
      <c r="E1385" s="139">
        <v>3.8418000000000001</v>
      </c>
      <c r="F1385" s="140">
        <f>E1385*D1385</f>
        <v>57.396492000000002</v>
      </c>
      <c r="G1385" s="97"/>
      <c r="H1385" s="92"/>
    </row>
    <row r="1386" spans="1:8" x14ac:dyDescent="0.2">
      <c r="A1386" s="83" t="s">
        <v>1434</v>
      </c>
      <c r="B1386" s="84" t="s">
        <v>1107</v>
      </c>
      <c r="C1386" s="138" t="s">
        <v>130</v>
      </c>
      <c r="D1386" s="139">
        <v>426.2</v>
      </c>
      <c r="E1386" s="139">
        <v>14.43915</v>
      </c>
      <c r="F1386" s="140">
        <f>E1386*D1386</f>
        <v>6153.9657299999999</v>
      </c>
      <c r="G1386" s="97" t="s">
        <v>2375</v>
      </c>
      <c r="H1386" s="92"/>
    </row>
    <row r="1387" spans="1:8" x14ac:dyDescent="0.2">
      <c r="A1387" s="81" t="s">
        <v>1435</v>
      </c>
      <c r="B1387" s="82" t="s">
        <v>295</v>
      </c>
      <c r="C1387" s="135" t="s">
        <v>1759</v>
      </c>
      <c r="D1387" s="136">
        <v>0</v>
      </c>
      <c r="E1387" s="136">
        <v>0</v>
      </c>
      <c r="F1387" s="137">
        <f>SUM(F1388:F1393)</f>
        <v>56371.560000000005</v>
      </c>
      <c r="G1387" s="96"/>
      <c r="H1387" s="91"/>
    </row>
    <row r="1388" spans="1:8" x14ac:dyDescent="0.2">
      <c r="A1388" s="83" t="s">
        <v>1436</v>
      </c>
      <c r="B1388" s="84" t="s">
        <v>1345</v>
      </c>
      <c r="C1388" s="138" t="s">
        <v>130</v>
      </c>
      <c r="D1388" s="139">
        <v>19.87</v>
      </c>
      <c r="E1388" s="139">
        <v>28</v>
      </c>
      <c r="F1388" s="140">
        <f t="shared" ref="F1388:F1393" si="87">E1388*D1388</f>
        <v>556.36</v>
      </c>
      <c r="G1388" s="97"/>
      <c r="H1388" s="92"/>
    </row>
    <row r="1389" spans="1:8" x14ac:dyDescent="0.2">
      <c r="A1389" s="83" t="s">
        <v>1437</v>
      </c>
      <c r="B1389" s="84" t="s">
        <v>1347</v>
      </c>
      <c r="C1389" s="138" t="s">
        <v>130</v>
      </c>
      <c r="D1389" s="139">
        <v>58.480000000000004</v>
      </c>
      <c r="E1389" s="139">
        <v>28</v>
      </c>
      <c r="F1389" s="140">
        <f t="shared" si="87"/>
        <v>1637.44</v>
      </c>
      <c r="G1389" s="97"/>
      <c r="H1389" s="92"/>
    </row>
    <row r="1390" spans="1:8" x14ac:dyDescent="0.2">
      <c r="A1390" s="83" t="s">
        <v>1438</v>
      </c>
      <c r="B1390" s="84" t="s">
        <v>1349</v>
      </c>
      <c r="C1390" s="138" t="s">
        <v>130</v>
      </c>
      <c r="D1390" s="139">
        <v>1099.54</v>
      </c>
      <c r="E1390" s="139">
        <v>34</v>
      </c>
      <c r="F1390" s="140">
        <f t="shared" si="87"/>
        <v>37384.36</v>
      </c>
      <c r="G1390" s="97"/>
      <c r="H1390" s="92"/>
    </row>
    <row r="1391" spans="1:8" x14ac:dyDescent="0.2">
      <c r="A1391" s="83" t="s">
        <v>1439</v>
      </c>
      <c r="B1391" s="84" t="s">
        <v>1353</v>
      </c>
      <c r="C1391" s="138" t="s">
        <v>130</v>
      </c>
      <c r="D1391" s="139">
        <v>88.28</v>
      </c>
      <c r="E1391" s="139">
        <v>31</v>
      </c>
      <c r="F1391" s="140">
        <f t="shared" si="87"/>
        <v>2736.68</v>
      </c>
      <c r="G1391" s="97"/>
      <c r="H1391" s="92"/>
    </row>
    <row r="1392" spans="1:8" x14ac:dyDescent="0.2">
      <c r="A1392" s="83" t="s">
        <v>1440</v>
      </c>
      <c r="B1392" s="84" t="s">
        <v>1357</v>
      </c>
      <c r="C1392" s="138" t="s">
        <v>130</v>
      </c>
      <c r="D1392" s="139">
        <v>14.94</v>
      </c>
      <c r="E1392" s="139">
        <v>28</v>
      </c>
      <c r="F1392" s="140">
        <f t="shared" si="87"/>
        <v>418.32</v>
      </c>
      <c r="G1392" s="97"/>
      <c r="H1392" s="92"/>
    </row>
    <row r="1393" spans="1:8" x14ac:dyDescent="0.2">
      <c r="A1393" s="83" t="s">
        <v>1441</v>
      </c>
      <c r="B1393" s="84" t="s">
        <v>1355</v>
      </c>
      <c r="C1393" s="138" t="s">
        <v>130</v>
      </c>
      <c r="D1393" s="139">
        <v>426.2</v>
      </c>
      <c r="E1393" s="139">
        <v>32</v>
      </c>
      <c r="F1393" s="140">
        <f t="shared" si="87"/>
        <v>13638.4</v>
      </c>
      <c r="G1393" s="97"/>
      <c r="H1393" s="92"/>
    </row>
    <row r="1394" spans="1:8" x14ac:dyDescent="0.2">
      <c r="A1394" s="79" t="s">
        <v>1442</v>
      </c>
      <c r="B1394" s="80" t="s">
        <v>1876</v>
      </c>
      <c r="C1394" s="132" t="s">
        <v>1759</v>
      </c>
      <c r="D1394" s="133">
        <v>0</v>
      </c>
      <c r="E1394" s="133">
        <v>0</v>
      </c>
      <c r="F1394" s="134">
        <f>F1395+F1397+F1403+F1408</f>
        <v>1100375.84624008</v>
      </c>
      <c r="G1394" s="95"/>
      <c r="H1394" s="90"/>
    </row>
    <row r="1395" spans="1:8" x14ac:dyDescent="0.2">
      <c r="A1395" s="81" t="s">
        <v>1443</v>
      </c>
      <c r="B1395" s="82" t="s">
        <v>1318</v>
      </c>
      <c r="C1395" s="135" t="s">
        <v>1759</v>
      </c>
      <c r="D1395" s="136">
        <v>0</v>
      </c>
      <c r="E1395" s="136">
        <v>0</v>
      </c>
      <c r="F1395" s="137">
        <f>F1396</f>
        <v>2617.4530927999999</v>
      </c>
      <c r="G1395" s="96"/>
      <c r="H1395" s="91"/>
    </row>
    <row r="1396" spans="1:8" x14ac:dyDescent="0.2">
      <c r="A1396" s="83" t="s">
        <v>1444</v>
      </c>
      <c r="B1396" s="84" t="s">
        <v>1095</v>
      </c>
      <c r="C1396" s="138" t="s">
        <v>130</v>
      </c>
      <c r="D1396" s="139">
        <v>422.24</v>
      </c>
      <c r="E1396" s="139">
        <v>6.1989700000000001</v>
      </c>
      <c r="F1396" s="140">
        <f>E1396*D1396</f>
        <v>2617.4530927999999</v>
      </c>
      <c r="G1396" s="97"/>
      <c r="H1396" s="92"/>
    </row>
    <row r="1397" spans="1:8" x14ac:dyDescent="0.2">
      <c r="A1397" s="81" t="s">
        <v>1445</v>
      </c>
      <c r="B1397" s="82" t="s">
        <v>1322</v>
      </c>
      <c r="C1397" s="135" t="s">
        <v>1759</v>
      </c>
      <c r="D1397" s="136">
        <v>0</v>
      </c>
      <c r="E1397" s="136">
        <v>0</v>
      </c>
      <c r="F1397" s="137">
        <f>SUM(F1398:F1402)</f>
        <v>253153.04172096</v>
      </c>
      <c r="G1397" s="96"/>
      <c r="H1397" s="91"/>
    </row>
    <row r="1398" spans="1:8" x14ac:dyDescent="0.2">
      <c r="A1398" s="83" t="s">
        <v>1446</v>
      </c>
      <c r="B1398" s="84" t="s">
        <v>1324</v>
      </c>
      <c r="C1398" s="138" t="s">
        <v>130</v>
      </c>
      <c r="D1398" s="139">
        <v>16670.240000000002</v>
      </c>
      <c r="E1398" s="139">
        <v>0.96</v>
      </c>
      <c r="F1398" s="140">
        <f>E1398*D1398</f>
        <v>16003.430400000001</v>
      </c>
      <c r="G1398" s="97"/>
      <c r="H1398" s="92"/>
    </row>
    <row r="1399" spans="1:8" x14ac:dyDescent="0.2">
      <c r="A1399" s="83" t="s">
        <v>1447</v>
      </c>
      <c r="B1399" s="84" t="s">
        <v>1102</v>
      </c>
      <c r="C1399" s="138" t="s">
        <v>130</v>
      </c>
      <c r="D1399" s="139">
        <v>1260.3500000000001</v>
      </c>
      <c r="E1399" s="139">
        <v>4.8130499999999996</v>
      </c>
      <c r="F1399" s="140">
        <f>E1399*D1399</f>
        <v>6066.1275674999997</v>
      </c>
      <c r="G1399" s="97" t="s">
        <v>2373</v>
      </c>
      <c r="H1399" s="92"/>
    </row>
    <row r="1400" spans="1:8" x14ac:dyDescent="0.2">
      <c r="A1400" s="83" t="s">
        <v>1448</v>
      </c>
      <c r="B1400" s="84" t="s">
        <v>1100</v>
      </c>
      <c r="C1400" s="138" t="s">
        <v>130</v>
      </c>
      <c r="D1400" s="139">
        <v>14339.73</v>
      </c>
      <c r="E1400" s="139">
        <v>14.43915</v>
      </c>
      <c r="F1400" s="140">
        <f>E1400*D1400</f>
        <v>207053.5124295</v>
      </c>
      <c r="G1400" s="97"/>
      <c r="H1400" s="92"/>
    </row>
    <row r="1401" spans="1:8" x14ac:dyDescent="0.2">
      <c r="A1401" s="83" t="s">
        <v>1449</v>
      </c>
      <c r="B1401" s="84" t="s">
        <v>1326</v>
      </c>
      <c r="C1401" s="138" t="s">
        <v>130</v>
      </c>
      <c r="D1401" s="139">
        <v>14339.73</v>
      </c>
      <c r="E1401" s="139">
        <v>1.389052</v>
      </c>
      <c r="F1401" s="140">
        <f>E1401*D1401</f>
        <v>19918.630635959998</v>
      </c>
      <c r="G1401" s="97"/>
      <c r="H1401" s="92"/>
    </row>
    <row r="1402" spans="1:8" x14ac:dyDescent="0.2">
      <c r="A1402" s="83" t="s">
        <v>1450</v>
      </c>
      <c r="B1402" s="84" t="s">
        <v>1101</v>
      </c>
      <c r="C1402" s="138" t="s">
        <v>130</v>
      </c>
      <c r="D1402" s="139">
        <v>1070.1600000000001</v>
      </c>
      <c r="E1402" s="139">
        <v>3.8418000000000001</v>
      </c>
      <c r="F1402" s="140">
        <f>E1402*D1402</f>
        <v>4111.3406880000002</v>
      </c>
      <c r="G1402" s="97"/>
      <c r="H1402" s="92"/>
    </row>
    <row r="1403" spans="1:8" x14ac:dyDescent="0.2">
      <c r="A1403" s="81" t="s">
        <v>1451</v>
      </c>
      <c r="B1403" s="82" t="s">
        <v>1333</v>
      </c>
      <c r="C1403" s="135" t="s">
        <v>1759</v>
      </c>
      <c r="D1403" s="136">
        <v>0</v>
      </c>
      <c r="E1403" s="136">
        <v>0</v>
      </c>
      <c r="F1403" s="137">
        <f>SUM(F1404:F1407)</f>
        <v>93976.131426319989</v>
      </c>
      <c r="G1403" s="96"/>
      <c r="H1403" s="91"/>
    </row>
    <row r="1404" spans="1:8" x14ac:dyDescent="0.2">
      <c r="A1404" s="83" t="s">
        <v>1452</v>
      </c>
      <c r="B1404" s="84" t="s">
        <v>1335</v>
      </c>
      <c r="C1404" s="138" t="s">
        <v>130</v>
      </c>
      <c r="D1404" s="139">
        <v>5736.51</v>
      </c>
      <c r="E1404" s="139">
        <v>0.96</v>
      </c>
      <c r="F1404" s="140">
        <f>E1404*D1404</f>
        <v>5507.0496000000003</v>
      </c>
      <c r="G1404" s="97"/>
      <c r="H1404" s="92"/>
    </row>
    <row r="1405" spans="1:8" x14ac:dyDescent="0.2">
      <c r="A1405" s="83" t="s">
        <v>1453</v>
      </c>
      <c r="B1405" s="84" t="s">
        <v>1337</v>
      </c>
      <c r="C1405" s="138" t="s">
        <v>130</v>
      </c>
      <c r="D1405" s="139">
        <v>5542.16</v>
      </c>
      <c r="E1405" s="139">
        <v>1.389052</v>
      </c>
      <c r="F1405" s="140">
        <f>E1405*D1405</f>
        <v>7698.3484323199991</v>
      </c>
      <c r="G1405" s="97"/>
      <c r="H1405" s="92"/>
    </row>
    <row r="1406" spans="1:8" x14ac:dyDescent="0.2">
      <c r="A1406" s="83" t="s">
        <v>1454</v>
      </c>
      <c r="B1406" s="84" t="s">
        <v>1107</v>
      </c>
      <c r="C1406" s="138" t="s">
        <v>130</v>
      </c>
      <c r="D1406" s="139">
        <v>5542.16</v>
      </c>
      <c r="E1406" s="139">
        <v>14.43915</v>
      </c>
      <c r="F1406" s="140">
        <f>E1406*D1406</f>
        <v>80024.079564</v>
      </c>
      <c r="G1406" s="97"/>
      <c r="H1406" s="92"/>
    </row>
    <row r="1407" spans="1:8" x14ac:dyDescent="0.2">
      <c r="A1407" s="83" t="s">
        <v>1455</v>
      </c>
      <c r="B1407" s="84" t="s">
        <v>1340</v>
      </c>
      <c r="C1407" s="138" t="s">
        <v>130</v>
      </c>
      <c r="D1407" s="139">
        <v>194.35</v>
      </c>
      <c r="E1407" s="139">
        <v>3.8418000000000001</v>
      </c>
      <c r="F1407" s="140">
        <f>E1407*D1407</f>
        <v>746.65382999999997</v>
      </c>
      <c r="G1407" s="97" t="s">
        <v>2375</v>
      </c>
      <c r="H1407" s="92"/>
    </row>
    <row r="1408" spans="1:8" x14ac:dyDescent="0.2">
      <c r="A1408" s="81" t="s">
        <v>1456</v>
      </c>
      <c r="B1408" s="82" t="s">
        <v>295</v>
      </c>
      <c r="C1408" s="135" t="s">
        <v>1759</v>
      </c>
      <c r="D1408" s="136">
        <v>0</v>
      </c>
      <c r="E1408" s="136">
        <v>0</v>
      </c>
      <c r="F1408" s="137">
        <f>SUM(F1409:F1414)</f>
        <v>750629.22</v>
      </c>
      <c r="G1408" s="96"/>
      <c r="H1408" s="91"/>
    </row>
    <row r="1409" spans="1:8" x14ac:dyDescent="0.2">
      <c r="A1409" s="83" t="s">
        <v>1457</v>
      </c>
      <c r="B1409" s="84" t="s">
        <v>1345</v>
      </c>
      <c r="C1409" s="138" t="s">
        <v>130</v>
      </c>
      <c r="D1409" s="139">
        <v>422.24</v>
      </c>
      <c r="E1409" s="139">
        <v>28</v>
      </c>
      <c r="F1409" s="140">
        <f t="shared" ref="F1409:F1414" si="88">E1409*D1409</f>
        <v>11822.720000000001</v>
      </c>
      <c r="G1409" s="97"/>
      <c r="H1409" s="92"/>
    </row>
    <row r="1410" spans="1:8" x14ac:dyDescent="0.2">
      <c r="A1410" s="83" t="s">
        <v>1458</v>
      </c>
      <c r="B1410" s="84" t="s">
        <v>1347</v>
      </c>
      <c r="C1410" s="138" t="s">
        <v>130</v>
      </c>
      <c r="D1410" s="139">
        <v>1260.3500000000001</v>
      </c>
      <c r="E1410" s="139">
        <v>28</v>
      </c>
      <c r="F1410" s="140">
        <f t="shared" si="88"/>
        <v>35289.800000000003</v>
      </c>
      <c r="G1410" s="97"/>
      <c r="H1410" s="92"/>
    </row>
    <row r="1411" spans="1:8" x14ac:dyDescent="0.2">
      <c r="A1411" s="83" t="s">
        <v>1459</v>
      </c>
      <c r="B1411" s="84" t="s">
        <v>1349</v>
      </c>
      <c r="C1411" s="138" t="s">
        <v>130</v>
      </c>
      <c r="D1411" s="139">
        <v>14339.73</v>
      </c>
      <c r="E1411" s="139">
        <v>34</v>
      </c>
      <c r="F1411" s="140">
        <f t="shared" si="88"/>
        <v>487550.82</v>
      </c>
      <c r="G1411" s="97"/>
      <c r="H1411" s="92"/>
    </row>
    <row r="1412" spans="1:8" x14ac:dyDescent="0.2">
      <c r="A1412" s="83" t="s">
        <v>1460</v>
      </c>
      <c r="B1412" s="84" t="s">
        <v>1353</v>
      </c>
      <c r="C1412" s="138" t="s">
        <v>130</v>
      </c>
      <c r="D1412" s="139">
        <v>1070.1600000000001</v>
      </c>
      <c r="E1412" s="139">
        <v>31</v>
      </c>
      <c r="F1412" s="140">
        <f t="shared" si="88"/>
        <v>33174.959999999999</v>
      </c>
      <c r="G1412" s="97"/>
      <c r="H1412" s="92"/>
    </row>
    <row r="1413" spans="1:8" x14ac:dyDescent="0.2">
      <c r="A1413" s="83" t="s">
        <v>1461</v>
      </c>
      <c r="B1413" s="84" t="s">
        <v>1357</v>
      </c>
      <c r="C1413" s="138" t="s">
        <v>130</v>
      </c>
      <c r="D1413" s="139">
        <v>194.35</v>
      </c>
      <c r="E1413" s="139">
        <v>28</v>
      </c>
      <c r="F1413" s="140">
        <f t="shared" si="88"/>
        <v>5441.8</v>
      </c>
      <c r="G1413" s="97"/>
      <c r="H1413" s="92"/>
    </row>
    <row r="1414" spans="1:8" x14ac:dyDescent="0.2">
      <c r="A1414" s="83" t="s">
        <v>1462</v>
      </c>
      <c r="B1414" s="84" t="s">
        <v>1355</v>
      </c>
      <c r="C1414" s="138" t="s">
        <v>130</v>
      </c>
      <c r="D1414" s="139">
        <v>5542.16</v>
      </c>
      <c r="E1414" s="139">
        <v>32</v>
      </c>
      <c r="F1414" s="140">
        <f t="shared" si="88"/>
        <v>177349.12</v>
      </c>
      <c r="G1414" s="97"/>
      <c r="H1414" s="92"/>
    </row>
    <row r="1415" spans="1:8" x14ac:dyDescent="0.2">
      <c r="A1415" s="79" t="s">
        <v>1463</v>
      </c>
      <c r="B1415" s="80" t="s">
        <v>1877</v>
      </c>
      <c r="C1415" s="132" t="s">
        <v>1759</v>
      </c>
      <c r="D1415" s="133">
        <v>0</v>
      </c>
      <c r="E1415" s="133">
        <v>0</v>
      </c>
      <c r="F1415" s="134">
        <f>F1416+F1418+F1424+F1429</f>
        <v>49296.318196259999</v>
      </c>
      <c r="G1415" s="95"/>
      <c r="H1415" s="90"/>
    </row>
    <row r="1416" spans="1:8" x14ac:dyDescent="0.2">
      <c r="A1416" s="81" t="s">
        <v>1464</v>
      </c>
      <c r="B1416" s="82" t="s">
        <v>1318</v>
      </c>
      <c r="C1416" s="135" t="s">
        <v>1759</v>
      </c>
      <c r="D1416" s="136">
        <v>0</v>
      </c>
      <c r="E1416" s="136">
        <v>0</v>
      </c>
      <c r="F1416" s="137">
        <f>F1417</f>
        <v>141.70845420000001</v>
      </c>
      <c r="G1416" s="96"/>
      <c r="H1416" s="91"/>
    </row>
    <row r="1417" spans="1:8" x14ac:dyDescent="0.2">
      <c r="A1417" s="83" t="s">
        <v>1465</v>
      </c>
      <c r="B1417" s="84" t="s">
        <v>1095</v>
      </c>
      <c r="C1417" s="138" t="s">
        <v>130</v>
      </c>
      <c r="D1417" s="139">
        <v>22.86</v>
      </c>
      <c r="E1417" s="139">
        <v>6.1989700000000001</v>
      </c>
      <c r="F1417" s="140">
        <f>E1417*D1417</f>
        <v>141.70845420000001</v>
      </c>
      <c r="G1417" s="97"/>
      <c r="H1417" s="92"/>
    </row>
    <row r="1418" spans="1:8" x14ac:dyDescent="0.2">
      <c r="A1418" s="81" t="s">
        <v>1466</v>
      </c>
      <c r="B1418" s="82" t="s">
        <v>1322</v>
      </c>
      <c r="C1418" s="135" t="s">
        <v>1759</v>
      </c>
      <c r="D1418" s="136">
        <v>0</v>
      </c>
      <c r="E1418" s="136">
        <v>0</v>
      </c>
      <c r="F1418" s="137">
        <f>SUM(F1419:F1423)</f>
        <v>9365.0237072400014</v>
      </c>
      <c r="G1418" s="96"/>
      <c r="H1418" s="91"/>
    </row>
    <row r="1419" spans="1:8" x14ac:dyDescent="0.2">
      <c r="A1419" s="83" t="s">
        <v>1467</v>
      </c>
      <c r="B1419" s="84" t="s">
        <v>1324</v>
      </c>
      <c r="C1419" s="138" t="s">
        <v>130</v>
      </c>
      <c r="D1419" s="139">
        <v>668.5</v>
      </c>
      <c r="E1419" s="139">
        <v>0.96</v>
      </c>
      <c r="F1419" s="140">
        <f>E1419*D1419</f>
        <v>641.76</v>
      </c>
      <c r="G1419" s="97"/>
      <c r="H1419" s="92"/>
    </row>
    <row r="1420" spans="1:8" x14ac:dyDescent="0.2">
      <c r="A1420" s="83" t="s">
        <v>1468</v>
      </c>
      <c r="B1420" s="84" t="s">
        <v>1102</v>
      </c>
      <c r="C1420" s="138" t="s">
        <v>130</v>
      </c>
      <c r="D1420" s="139">
        <v>78.739999999999995</v>
      </c>
      <c r="E1420" s="139">
        <v>4.8130499999999996</v>
      </c>
      <c r="F1420" s="140">
        <f>E1420*D1420</f>
        <v>378.97955699999994</v>
      </c>
      <c r="G1420" s="97" t="s">
        <v>2373</v>
      </c>
      <c r="H1420" s="92"/>
    </row>
    <row r="1421" spans="1:8" x14ac:dyDescent="0.2">
      <c r="A1421" s="83" t="s">
        <v>2350</v>
      </c>
      <c r="B1421" s="84" t="s">
        <v>1100</v>
      </c>
      <c r="C1421" s="138" t="s">
        <v>130</v>
      </c>
      <c r="D1421" s="139">
        <v>507.12</v>
      </c>
      <c r="E1421" s="139">
        <v>14.43915</v>
      </c>
      <c r="F1421" s="140">
        <f>E1421*D1421</f>
        <v>7322.3817479999998</v>
      </c>
      <c r="G1421" s="97"/>
      <c r="H1421" s="92"/>
    </row>
    <row r="1422" spans="1:8" x14ac:dyDescent="0.2">
      <c r="A1422" s="83" t="s">
        <v>2351</v>
      </c>
      <c r="B1422" s="84" t="s">
        <v>1326</v>
      </c>
      <c r="C1422" s="138" t="s">
        <v>130</v>
      </c>
      <c r="D1422" s="139">
        <v>507.12</v>
      </c>
      <c r="E1422" s="139">
        <v>1.389052</v>
      </c>
      <c r="F1422" s="140">
        <f>E1422*D1422</f>
        <v>704.41605024</v>
      </c>
      <c r="G1422" s="97"/>
      <c r="H1422" s="92"/>
    </row>
    <row r="1423" spans="1:8" x14ac:dyDescent="0.2">
      <c r="A1423" s="83" t="s">
        <v>2352</v>
      </c>
      <c r="B1423" s="84" t="s">
        <v>1101</v>
      </c>
      <c r="C1423" s="138" t="s">
        <v>130</v>
      </c>
      <c r="D1423" s="139">
        <v>82.64</v>
      </c>
      <c r="E1423" s="139">
        <v>3.8418000000000001</v>
      </c>
      <c r="F1423" s="140">
        <f>E1423*D1423</f>
        <v>317.48635200000001</v>
      </c>
      <c r="G1423" s="97"/>
      <c r="H1423" s="92"/>
    </row>
    <row r="1424" spans="1:8" x14ac:dyDescent="0.2">
      <c r="A1424" s="81" t="s">
        <v>1469</v>
      </c>
      <c r="B1424" s="82" t="s">
        <v>1333</v>
      </c>
      <c r="C1424" s="135" t="s">
        <v>1759</v>
      </c>
      <c r="D1424" s="136">
        <v>0</v>
      </c>
      <c r="E1424" s="136">
        <v>0</v>
      </c>
      <c r="F1424" s="137">
        <f>SUM(F1425:F1428)</f>
        <v>5773.5860348200004</v>
      </c>
      <c r="G1424" s="96"/>
      <c r="H1424" s="91"/>
    </row>
    <row r="1425" spans="1:8" x14ac:dyDescent="0.2">
      <c r="A1425" s="83" t="s">
        <v>1470</v>
      </c>
      <c r="B1425" s="84" t="s">
        <v>1335</v>
      </c>
      <c r="C1425" s="138" t="s">
        <v>130</v>
      </c>
      <c r="D1425" s="139">
        <v>357.63</v>
      </c>
      <c r="E1425" s="139">
        <v>0.96</v>
      </c>
      <c r="F1425" s="140">
        <f>E1425*D1425</f>
        <v>343.32479999999998</v>
      </c>
      <c r="G1425" s="97"/>
      <c r="H1425" s="92"/>
    </row>
    <row r="1426" spans="1:8" x14ac:dyDescent="0.2">
      <c r="A1426" s="83" t="s">
        <v>1471</v>
      </c>
      <c r="B1426" s="84" t="s">
        <v>1340</v>
      </c>
      <c r="C1426" s="138" t="s">
        <v>130</v>
      </c>
      <c r="D1426" s="139">
        <v>19.22</v>
      </c>
      <c r="E1426" s="139">
        <v>3.8418000000000001</v>
      </c>
      <c r="F1426" s="140">
        <f>E1426*D1426</f>
        <v>73.839395999999994</v>
      </c>
      <c r="G1426" s="97"/>
      <c r="H1426" s="92"/>
    </row>
    <row r="1427" spans="1:8" x14ac:dyDescent="0.2">
      <c r="A1427" s="83" t="s">
        <v>2353</v>
      </c>
      <c r="B1427" s="84" t="s">
        <v>1337</v>
      </c>
      <c r="C1427" s="138" t="s">
        <v>130</v>
      </c>
      <c r="D1427" s="139">
        <v>338.41</v>
      </c>
      <c r="E1427" s="139">
        <v>1.389052</v>
      </c>
      <c r="F1427" s="140">
        <f>E1427*D1427</f>
        <v>470.06908731999999</v>
      </c>
      <c r="G1427" s="97"/>
      <c r="H1427" s="92"/>
    </row>
    <row r="1428" spans="1:8" x14ac:dyDescent="0.2">
      <c r="A1428" s="83" t="s">
        <v>2354</v>
      </c>
      <c r="B1428" s="84" t="s">
        <v>1107</v>
      </c>
      <c r="C1428" s="138" t="s">
        <v>130</v>
      </c>
      <c r="D1428" s="139">
        <v>338.41</v>
      </c>
      <c r="E1428" s="139">
        <v>14.43915</v>
      </c>
      <c r="F1428" s="140">
        <f>E1428*D1428</f>
        <v>4886.3527515000005</v>
      </c>
      <c r="G1428" s="97" t="s">
        <v>2375</v>
      </c>
      <c r="H1428" s="92"/>
    </row>
    <row r="1429" spans="1:8" x14ac:dyDescent="0.2">
      <c r="A1429" s="81" t="s">
        <v>1472</v>
      </c>
      <c r="B1429" s="82" t="s">
        <v>295</v>
      </c>
      <c r="C1429" s="135" t="s">
        <v>1759</v>
      </c>
      <c r="D1429" s="136">
        <v>0</v>
      </c>
      <c r="E1429" s="136">
        <v>0</v>
      </c>
      <c r="F1429" s="137">
        <f>SUM(F1430:F1435)</f>
        <v>34016</v>
      </c>
      <c r="G1429" s="96"/>
      <c r="H1429" s="91"/>
    </row>
    <row r="1430" spans="1:8" x14ac:dyDescent="0.2">
      <c r="A1430" s="83" t="s">
        <v>1473</v>
      </c>
      <c r="B1430" s="84" t="s">
        <v>1345</v>
      </c>
      <c r="C1430" s="138" t="s">
        <v>130</v>
      </c>
      <c r="D1430" s="139">
        <v>22.86</v>
      </c>
      <c r="E1430" s="139">
        <v>28</v>
      </c>
      <c r="F1430" s="140">
        <f t="shared" ref="F1430:F1435" si="89">E1430*D1430</f>
        <v>640.07999999999993</v>
      </c>
      <c r="G1430" s="97"/>
      <c r="H1430" s="92"/>
    </row>
    <row r="1431" spans="1:8" x14ac:dyDescent="0.2">
      <c r="A1431" s="83" t="s">
        <v>1474</v>
      </c>
      <c r="B1431" s="84" t="s">
        <v>1347</v>
      </c>
      <c r="C1431" s="138" t="s">
        <v>130</v>
      </c>
      <c r="D1431" s="139">
        <v>78.739999999999995</v>
      </c>
      <c r="E1431" s="139">
        <v>28</v>
      </c>
      <c r="F1431" s="140">
        <f t="shared" si="89"/>
        <v>2204.7199999999998</v>
      </c>
      <c r="G1431" s="97"/>
      <c r="H1431" s="92"/>
    </row>
    <row r="1432" spans="1:8" x14ac:dyDescent="0.2">
      <c r="A1432" s="83" t="s">
        <v>1475</v>
      </c>
      <c r="B1432" s="84" t="s">
        <v>1353</v>
      </c>
      <c r="C1432" s="138" t="s">
        <v>130</v>
      </c>
      <c r="D1432" s="139">
        <v>82.64</v>
      </c>
      <c r="E1432" s="139">
        <v>31</v>
      </c>
      <c r="F1432" s="140">
        <f t="shared" si="89"/>
        <v>2561.84</v>
      </c>
      <c r="G1432" s="97"/>
      <c r="H1432" s="92"/>
    </row>
    <row r="1433" spans="1:8" x14ac:dyDescent="0.2">
      <c r="A1433" s="83" t="s">
        <v>1476</v>
      </c>
      <c r="B1433" s="84" t="s">
        <v>1357</v>
      </c>
      <c r="C1433" s="138" t="s">
        <v>130</v>
      </c>
      <c r="D1433" s="139">
        <v>19.22</v>
      </c>
      <c r="E1433" s="139">
        <v>28</v>
      </c>
      <c r="F1433" s="140">
        <f t="shared" si="89"/>
        <v>538.16</v>
      </c>
      <c r="G1433" s="97"/>
      <c r="H1433" s="92"/>
    </row>
    <row r="1434" spans="1:8" x14ac:dyDescent="0.2">
      <c r="A1434" s="83" t="s">
        <v>2355</v>
      </c>
      <c r="B1434" s="84" t="s">
        <v>1349</v>
      </c>
      <c r="C1434" s="138" t="s">
        <v>130</v>
      </c>
      <c r="D1434" s="139">
        <v>507.12</v>
      </c>
      <c r="E1434" s="139">
        <v>34</v>
      </c>
      <c r="F1434" s="140">
        <f t="shared" si="89"/>
        <v>17242.080000000002</v>
      </c>
      <c r="G1434" s="97"/>
      <c r="H1434" s="92"/>
    </row>
    <row r="1435" spans="1:8" x14ac:dyDescent="0.2">
      <c r="A1435" s="83" t="s">
        <v>2356</v>
      </c>
      <c r="B1435" s="84" t="s">
        <v>1355</v>
      </c>
      <c r="C1435" s="138" t="s">
        <v>130</v>
      </c>
      <c r="D1435" s="139">
        <v>338.41</v>
      </c>
      <c r="E1435" s="139">
        <v>32</v>
      </c>
      <c r="F1435" s="140">
        <f t="shared" si="89"/>
        <v>10829.12</v>
      </c>
      <c r="G1435" s="97"/>
      <c r="H1435" s="92"/>
    </row>
    <row r="1436" spans="1:8" x14ac:dyDescent="0.2">
      <c r="A1436" s="79" t="s">
        <v>1477</v>
      </c>
      <c r="B1436" s="80" t="s">
        <v>2357</v>
      </c>
      <c r="C1436" s="132" t="s">
        <v>1759</v>
      </c>
      <c r="D1436" s="133">
        <v>0</v>
      </c>
      <c r="E1436" s="133">
        <v>0</v>
      </c>
      <c r="F1436" s="134">
        <f>F1437+F1439+F1443+F1446</f>
        <v>12500.117342199999</v>
      </c>
      <c r="G1436" s="95"/>
      <c r="H1436" s="90"/>
    </row>
    <row r="1437" spans="1:8" x14ac:dyDescent="0.2">
      <c r="A1437" s="81" t="s">
        <v>2358</v>
      </c>
      <c r="B1437" s="82" t="s">
        <v>1318</v>
      </c>
      <c r="C1437" s="135" t="s">
        <v>1759</v>
      </c>
      <c r="D1437" s="136">
        <v>0</v>
      </c>
      <c r="E1437" s="136">
        <v>0</v>
      </c>
      <c r="F1437" s="137">
        <f>F1438</f>
        <v>40.975191700000003</v>
      </c>
      <c r="G1437" s="96"/>
      <c r="H1437" s="91"/>
    </row>
    <row r="1438" spans="1:8" x14ac:dyDescent="0.2">
      <c r="A1438" s="83" t="s">
        <v>2359</v>
      </c>
      <c r="B1438" s="84" t="s">
        <v>1095</v>
      </c>
      <c r="C1438" s="138" t="s">
        <v>130</v>
      </c>
      <c r="D1438" s="139">
        <v>6.61</v>
      </c>
      <c r="E1438" s="139">
        <v>6.1989700000000001</v>
      </c>
      <c r="F1438" s="140">
        <f>E1438*D1438</f>
        <v>40.975191700000003</v>
      </c>
      <c r="G1438" s="97"/>
      <c r="H1438" s="92"/>
    </row>
    <row r="1439" spans="1:8" x14ac:dyDescent="0.2">
      <c r="A1439" s="81" t="s">
        <v>1479</v>
      </c>
      <c r="B1439" s="82" t="s">
        <v>1322</v>
      </c>
      <c r="C1439" s="135" t="s">
        <v>1759</v>
      </c>
      <c r="D1439" s="136">
        <v>0</v>
      </c>
      <c r="E1439" s="136">
        <v>0</v>
      </c>
      <c r="F1439" s="137">
        <f>SUM(F1440:F1442)</f>
        <v>1529.8070084999999</v>
      </c>
      <c r="G1439" s="96"/>
      <c r="H1439" s="91"/>
    </row>
    <row r="1440" spans="1:8" x14ac:dyDescent="0.2">
      <c r="A1440" s="83" t="s">
        <v>1480</v>
      </c>
      <c r="B1440" s="84" t="s">
        <v>1324</v>
      </c>
      <c r="C1440" s="138" t="s">
        <v>130</v>
      </c>
      <c r="D1440" s="139">
        <v>304.47000000000003</v>
      </c>
      <c r="E1440" s="139">
        <v>0.96</v>
      </c>
      <c r="F1440" s="140">
        <f>E1440*D1440</f>
        <v>292.2912</v>
      </c>
      <c r="G1440" s="97"/>
      <c r="H1440" s="92"/>
    </row>
    <row r="1441" spans="1:8" x14ac:dyDescent="0.2">
      <c r="A1441" s="83" t="s">
        <v>1481</v>
      </c>
      <c r="B1441" s="84" t="s">
        <v>1102</v>
      </c>
      <c r="C1441" s="138" t="s">
        <v>130</v>
      </c>
      <c r="D1441" s="139">
        <v>69.81</v>
      </c>
      <c r="E1441" s="139">
        <v>4.8130499999999996</v>
      </c>
      <c r="F1441" s="140">
        <f>E1441*D1441</f>
        <v>335.99902049999997</v>
      </c>
      <c r="G1441" s="97" t="s">
        <v>2373</v>
      </c>
      <c r="H1441" s="92"/>
    </row>
    <row r="1442" spans="1:8" x14ac:dyDescent="0.2">
      <c r="A1442" s="83" t="s">
        <v>1482</v>
      </c>
      <c r="B1442" s="84" t="s">
        <v>1101</v>
      </c>
      <c r="C1442" s="138" t="s">
        <v>130</v>
      </c>
      <c r="D1442" s="139">
        <v>234.66</v>
      </c>
      <c r="E1442" s="139">
        <v>3.8418000000000001</v>
      </c>
      <c r="F1442" s="140">
        <f>E1442*D1442</f>
        <v>901.51678800000002</v>
      </c>
      <c r="G1442" s="97"/>
      <c r="H1442" s="92"/>
    </row>
    <row r="1443" spans="1:8" x14ac:dyDescent="0.2">
      <c r="A1443" s="81" t="s">
        <v>1483</v>
      </c>
      <c r="B1443" s="82" t="s">
        <v>1333</v>
      </c>
      <c r="C1443" s="135" t="s">
        <v>1759</v>
      </c>
      <c r="D1443" s="136">
        <v>0</v>
      </c>
      <c r="E1443" s="136">
        <v>0</v>
      </c>
      <c r="F1443" s="137">
        <f>SUM(F1444:F1445)</f>
        <v>221.795142</v>
      </c>
      <c r="G1443" s="96"/>
      <c r="H1443" s="91"/>
    </row>
    <row r="1444" spans="1:8" x14ac:dyDescent="0.2">
      <c r="A1444" s="83" t="s">
        <v>1484</v>
      </c>
      <c r="B1444" s="84" t="s">
        <v>1335</v>
      </c>
      <c r="C1444" s="138" t="s">
        <v>130</v>
      </c>
      <c r="D1444" s="139">
        <v>46.19</v>
      </c>
      <c r="E1444" s="139">
        <v>0.96</v>
      </c>
      <c r="F1444" s="140">
        <f>E1444*D1444</f>
        <v>44.342399999999998</v>
      </c>
      <c r="G1444" s="97"/>
      <c r="H1444" s="92"/>
    </row>
    <row r="1445" spans="1:8" x14ac:dyDescent="0.2">
      <c r="A1445" s="83" t="s">
        <v>1485</v>
      </c>
      <c r="B1445" s="84" t="s">
        <v>1340</v>
      </c>
      <c r="C1445" s="138" t="s">
        <v>130</v>
      </c>
      <c r="D1445" s="139">
        <v>46.19</v>
      </c>
      <c r="E1445" s="139">
        <v>3.8418000000000001</v>
      </c>
      <c r="F1445" s="140">
        <f>E1445*D1445</f>
        <v>177.452742</v>
      </c>
      <c r="G1445" s="97" t="s">
        <v>2375</v>
      </c>
      <c r="H1445" s="92"/>
    </row>
    <row r="1446" spans="1:8" x14ac:dyDescent="0.2">
      <c r="A1446" s="81" t="s">
        <v>1486</v>
      </c>
      <c r="B1446" s="82" t="s">
        <v>295</v>
      </c>
      <c r="C1446" s="135" t="s">
        <v>1759</v>
      </c>
      <c r="D1446" s="136">
        <v>0</v>
      </c>
      <c r="E1446" s="136">
        <v>0</v>
      </c>
      <c r="F1446" s="137">
        <f>SUM(F1447:F1450)</f>
        <v>10707.539999999999</v>
      </c>
      <c r="G1446" s="96"/>
      <c r="H1446" s="91"/>
    </row>
    <row r="1447" spans="1:8" x14ac:dyDescent="0.2">
      <c r="A1447" s="83" t="s">
        <v>1487</v>
      </c>
      <c r="B1447" s="84" t="s">
        <v>1347</v>
      </c>
      <c r="C1447" s="138" t="s">
        <v>130</v>
      </c>
      <c r="D1447" s="139">
        <v>69.81</v>
      </c>
      <c r="E1447" s="139">
        <v>28</v>
      </c>
      <c r="F1447" s="140">
        <f>E1447*D1447</f>
        <v>1954.68</v>
      </c>
      <c r="G1447" s="97"/>
      <c r="H1447" s="92"/>
    </row>
    <row r="1448" spans="1:8" x14ac:dyDescent="0.2">
      <c r="A1448" s="83" t="s">
        <v>1488</v>
      </c>
      <c r="B1448" s="84" t="s">
        <v>1353</v>
      </c>
      <c r="C1448" s="138" t="s">
        <v>130</v>
      </c>
      <c r="D1448" s="139">
        <v>234.66</v>
      </c>
      <c r="E1448" s="139">
        <v>31</v>
      </c>
      <c r="F1448" s="140">
        <f>E1448*D1448</f>
        <v>7274.46</v>
      </c>
      <c r="G1448" s="97"/>
      <c r="H1448" s="92"/>
    </row>
    <row r="1449" spans="1:8" x14ac:dyDescent="0.2">
      <c r="A1449" s="83" t="s">
        <v>1489</v>
      </c>
      <c r="B1449" s="84" t="s">
        <v>1357</v>
      </c>
      <c r="C1449" s="138" t="s">
        <v>130</v>
      </c>
      <c r="D1449" s="139">
        <v>46.19</v>
      </c>
      <c r="E1449" s="139">
        <v>28</v>
      </c>
      <c r="F1449" s="140">
        <f>E1449*D1449</f>
        <v>1293.32</v>
      </c>
      <c r="G1449" s="97"/>
      <c r="H1449" s="92"/>
    </row>
    <row r="1450" spans="1:8" x14ac:dyDescent="0.2">
      <c r="A1450" s="83" t="s">
        <v>2360</v>
      </c>
      <c r="B1450" s="84" t="s">
        <v>1345</v>
      </c>
      <c r="C1450" s="138" t="s">
        <v>130</v>
      </c>
      <c r="D1450" s="139">
        <v>6.61</v>
      </c>
      <c r="E1450" s="139">
        <v>28</v>
      </c>
      <c r="F1450" s="140">
        <f>E1450*D1450</f>
        <v>185.08</v>
      </c>
      <c r="G1450" s="97"/>
      <c r="H1450" s="92"/>
    </row>
    <row r="1451" spans="1:8" x14ac:dyDescent="0.2">
      <c r="A1451" s="79" t="s">
        <v>2361</v>
      </c>
      <c r="B1451" s="80" t="s">
        <v>1478</v>
      </c>
      <c r="C1451" s="132" t="s">
        <v>1759</v>
      </c>
      <c r="D1451" s="133">
        <v>0</v>
      </c>
      <c r="E1451" s="133">
        <v>0</v>
      </c>
      <c r="F1451" s="134">
        <f>F1452+F1456+F1459</f>
        <v>8161.0447750000003</v>
      </c>
      <c r="G1451" s="95"/>
      <c r="H1451" s="90"/>
    </row>
    <row r="1452" spans="1:8" x14ac:dyDescent="0.2">
      <c r="A1452" s="81" t="s">
        <v>2362</v>
      </c>
      <c r="B1452" s="82" t="s">
        <v>1322</v>
      </c>
      <c r="C1452" s="135" t="s">
        <v>1759</v>
      </c>
      <c r="D1452" s="136">
        <v>0</v>
      </c>
      <c r="E1452" s="136">
        <v>0</v>
      </c>
      <c r="F1452" s="137">
        <f>SUM(F1453:F1455)</f>
        <v>892.50658500000009</v>
      </c>
      <c r="G1452" s="96"/>
      <c r="H1452" s="91"/>
    </row>
    <row r="1453" spans="1:8" x14ac:dyDescent="0.2">
      <c r="A1453" s="83" t="s">
        <v>2363</v>
      </c>
      <c r="B1453" s="84" t="s">
        <v>1324</v>
      </c>
      <c r="C1453" s="138" t="s">
        <v>130</v>
      </c>
      <c r="D1453" s="139">
        <v>179.70000000000002</v>
      </c>
      <c r="E1453" s="139">
        <v>0.96</v>
      </c>
      <c r="F1453" s="140">
        <f>E1453*D1453</f>
        <v>172.512</v>
      </c>
      <c r="G1453" s="97"/>
      <c r="H1453" s="92"/>
    </row>
    <row r="1454" spans="1:8" x14ac:dyDescent="0.2">
      <c r="A1454" s="83" t="s">
        <v>2364</v>
      </c>
      <c r="B1454" s="84" t="s">
        <v>1102</v>
      </c>
      <c r="C1454" s="138" t="s">
        <v>130</v>
      </c>
      <c r="D1454" s="139">
        <v>30.5</v>
      </c>
      <c r="E1454" s="139">
        <v>4.8130499999999996</v>
      </c>
      <c r="F1454" s="140">
        <f>E1454*D1454</f>
        <v>146.798025</v>
      </c>
      <c r="G1454" s="97" t="s">
        <v>2373</v>
      </c>
      <c r="H1454" s="92"/>
    </row>
    <row r="1455" spans="1:8" x14ac:dyDescent="0.2">
      <c r="A1455" s="83" t="s">
        <v>2365</v>
      </c>
      <c r="B1455" s="84" t="s">
        <v>1101</v>
      </c>
      <c r="C1455" s="138" t="s">
        <v>130</v>
      </c>
      <c r="D1455" s="139">
        <v>149.20000000000002</v>
      </c>
      <c r="E1455" s="139">
        <v>3.8418000000000001</v>
      </c>
      <c r="F1455" s="140">
        <f>E1455*D1455</f>
        <v>573.19656000000009</v>
      </c>
      <c r="G1455" s="97"/>
      <c r="H1455" s="92"/>
    </row>
    <row r="1456" spans="1:8" x14ac:dyDescent="0.2">
      <c r="A1456" s="81" t="s">
        <v>2366</v>
      </c>
      <c r="B1456" s="82" t="s">
        <v>1333</v>
      </c>
      <c r="C1456" s="135" t="s">
        <v>1759</v>
      </c>
      <c r="D1456" s="136">
        <v>0</v>
      </c>
      <c r="E1456" s="136">
        <v>0</v>
      </c>
      <c r="F1456" s="137">
        <f>SUM(F1457:F1458)</f>
        <v>261.93819000000002</v>
      </c>
      <c r="G1456" s="96"/>
      <c r="H1456" s="91"/>
    </row>
    <row r="1457" spans="1:8" x14ac:dyDescent="0.2">
      <c r="A1457" s="83" t="s">
        <v>2367</v>
      </c>
      <c r="B1457" s="84" t="s">
        <v>1335</v>
      </c>
      <c r="C1457" s="138" t="s">
        <v>130</v>
      </c>
      <c r="D1457" s="139">
        <v>54.550000000000004</v>
      </c>
      <c r="E1457" s="139">
        <v>0.96</v>
      </c>
      <c r="F1457" s="140">
        <f>E1457*D1457</f>
        <v>52.368000000000002</v>
      </c>
      <c r="G1457" s="97"/>
      <c r="H1457" s="92"/>
    </row>
    <row r="1458" spans="1:8" x14ac:dyDescent="0.2">
      <c r="A1458" s="83" t="s">
        <v>2368</v>
      </c>
      <c r="B1458" s="84" t="s">
        <v>1340</v>
      </c>
      <c r="C1458" s="138" t="s">
        <v>130</v>
      </c>
      <c r="D1458" s="139">
        <v>54.550000000000004</v>
      </c>
      <c r="E1458" s="139">
        <v>3.8418000000000001</v>
      </c>
      <c r="F1458" s="140">
        <f>E1458*D1458</f>
        <v>209.57019000000003</v>
      </c>
      <c r="G1458" s="97" t="s">
        <v>2375</v>
      </c>
      <c r="H1458" s="92"/>
    </row>
    <row r="1459" spans="1:8" x14ac:dyDescent="0.2">
      <c r="A1459" s="81" t="s">
        <v>2369</v>
      </c>
      <c r="B1459" s="82" t="s">
        <v>295</v>
      </c>
      <c r="C1459" s="135" t="s">
        <v>1759</v>
      </c>
      <c r="D1459" s="136">
        <v>0</v>
      </c>
      <c r="E1459" s="136">
        <v>0</v>
      </c>
      <c r="F1459" s="137">
        <f>SUM(F1460:F1462)</f>
        <v>7006.6</v>
      </c>
      <c r="G1459" s="96"/>
      <c r="H1459" s="91"/>
    </row>
    <row r="1460" spans="1:8" x14ac:dyDescent="0.2">
      <c r="A1460" s="83" t="s">
        <v>2370</v>
      </c>
      <c r="B1460" s="84" t="s">
        <v>1347</v>
      </c>
      <c r="C1460" s="138" t="s">
        <v>130</v>
      </c>
      <c r="D1460" s="139">
        <v>30.5</v>
      </c>
      <c r="E1460" s="139">
        <v>28</v>
      </c>
      <c r="F1460" s="140">
        <f>E1460*D1460</f>
        <v>854</v>
      </c>
      <c r="G1460" s="97"/>
      <c r="H1460" s="92"/>
    </row>
    <row r="1461" spans="1:8" x14ac:dyDescent="0.2">
      <c r="A1461" s="83" t="s">
        <v>2371</v>
      </c>
      <c r="B1461" s="84" t="s">
        <v>1353</v>
      </c>
      <c r="C1461" s="138" t="s">
        <v>130</v>
      </c>
      <c r="D1461" s="139">
        <v>149.20000000000002</v>
      </c>
      <c r="E1461" s="139">
        <v>31</v>
      </c>
      <c r="F1461" s="140">
        <f>E1461*D1461</f>
        <v>4625.2000000000007</v>
      </c>
      <c r="G1461" s="97"/>
      <c r="H1461" s="92"/>
    </row>
    <row r="1462" spans="1:8" x14ac:dyDescent="0.2">
      <c r="A1462" s="83" t="s">
        <v>2372</v>
      </c>
      <c r="B1462" s="84" t="s">
        <v>1357</v>
      </c>
      <c r="C1462" s="138" t="s">
        <v>130</v>
      </c>
      <c r="D1462" s="139">
        <v>54.550000000000004</v>
      </c>
      <c r="E1462" s="139">
        <v>28</v>
      </c>
      <c r="F1462" s="140">
        <f>E1462*D1462</f>
        <v>1527.4</v>
      </c>
      <c r="G1462" s="97"/>
      <c r="H1462" s="92"/>
    </row>
    <row r="1463" spans="1:8" x14ac:dyDescent="0.2">
      <c r="A1463" s="77" t="s">
        <v>1490</v>
      </c>
      <c r="B1463" s="78" t="s">
        <v>1491</v>
      </c>
      <c r="C1463" s="129" t="s">
        <v>1759</v>
      </c>
      <c r="D1463" s="130">
        <v>0</v>
      </c>
      <c r="E1463" s="130">
        <v>0</v>
      </c>
      <c r="F1463" s="131">
        <f>F1464+F1478+F1487+F1496+F1505+F1523+F1541+F1559+F1568</f>
        <v>3613117.619279</v>
      </c>
      <c r="G1463" s="98"/>
      <c r="H1463" s="89"/>
    </row>
    <row r="1464" spans="1:8" x14ac:dyDescent="0.2">
      <c r="A1464" s="79" t="s">
        <v>1492</v>
      </c>
      <c r="B1464" s="80" t="s">
        <v>1493</v>
      </c>
      <c r="C1464" s="132" t="s">
        <v>1759</v>
      </c>
      <c r="D1464" s="133">
        <v>0</v>
      </c>
      <c r="E1464" s="133">
        <v>0</v>
      </c>
      <c r="F1464" s="134">
        <f>F1465+F1470+F1473+F1475</f>
        <v>93432.143026000005</v>
      </c>
      <c r="G1464" s="95"/>
      <c r="H1464" s="90"/>
    </row>
    <row r="1465" spans="1:8" x14ac:dyDescent="0.2">
      <c r="A1465" s="81" t="s">
        <v>1494</v>
      </c>
      <c r="B1465" s="82" t="s">
        <v>1495</v>
      </c>
      <c r="C1465" s="135" t="s">
        <v>1759</v>
      </c>
      <c r="D1465" s="136">
        <v>0</v>
      </c>
      <c r="E1465" s="136">
        <v>0</v>
      </c>
      <c r="F1465" s="137">
        <f>SUM(F1466:F1469)</f>
        <v>84044.387006000004</v>
      </c>
      <c r="G1465" s="96"/>
      <c r="H1465" s="91"/>
    </row>
    <row r="1466" spans="1:8" x14ac:dyDescent="0.2">
      <c r="A1466" s="83" t="s">
        <v>1496</v>
      </c>
      <c r="B1466" s="84" t="s">
        <v>1497</v>
      </c>
      <c r="C1466" s="138" t="s">
        <v>123</v>
      </c>
      <c r="D1466" s="139">
        <v>109.38</v>
      </c>
      <c r="E1466" s="139">
        <v>0.85</v>
      </c>
      <c r="F1466" s="140">
        <f>E1466*D1466</f>
        <v>92.972999999999999</v>
      </c>
      <c r="G1466" s="97"/>
      <c r="H1466" s="92"/>
    </row>
    <row r="1467" spans="1:8" x14ac:dyDescent="0.2">
      <c r="A1467" s="83" t="s">
        <v>1498</v>
      </c>
      <c r="B1467" s="84" t="s">
        <v>1499</v>
      </c>
      <c r="C1467" s="138" t="s">
        <v>130</v>
      </c>
      <c r="D1467" s="139">
        <v>41.660000000000004</v>
      </c>
      <c r="E1467" s="139">
        <v>1088.0241000000001</v>
      </c>
      <c r="F1467" s="140">
        <f t="shared" ref="F1467:F1477" si="90">E1467*D1467</f>
        <v>45327.084006000005</v>
      </c>
      <c r="G1467" s="97" t="s">
        <v>82</v>
      </c>
      <c r="H1467" s="92"/>
    </row>
    <row r="1468" spans="1:8" ht="31.5" x14ac:dyDescent="0.2">
      <c r="A1468" s="83" t="s">
        <v>1500</v>
      </c>
      <c r="B1468" s="84" t="s">
        <v>1501</v>
      </c>
      <c r="C1468" s="138" t="s">
        <v>109</v>
      </c>
      <c r="D1468" s="139">
        <v>2</v>
      </c>
      <c r="E1468" s="139">
        <v>1569.69</v>
      </c>
      <c r="F1468" s="140">
        <f t="shared" si="90"/>
        <v>3139.38</v>
      </c>
      <c r="G1468" s="97"/>
      <c r="H1468" s="92"/>
    </row>
    <row r="1469" spans="1:8" x14ac:dyDescent="0.2">
      <c r="A1469" s="83" t="s">
        <v>1502</v>
      </c>
      <c r="B1469" s="84" t="s">
        <v>1503</v>
      </c>
      <c r="C1469" s="138" t="s">
        <v>109</v>
      </c>
      <c r="D1469" s="139">
        <v>2</v>
      </c>
      <c r="E1469" s="139">
        <v>17742.474999999999</v>
      </c>
      <c r="F1469" s="140">
        <f t="shared" si="90"/>
        <v>35484.949999999997</v>
      </c>
      <c r="G1469" s="97"/>
      <c r="H1469" s="92"/>
    </row>
    <row r="1470" spans="1:8" x14ac:dyDescent="0.2">
      <c r="A1470" s="81" t="s">
        <v>1504</v>
      </c>
      <c r="B1470" s="82" t="s">
        <v>1505</v>
      </c>
      <c r="C1470" s="135" t="s">
        <v>1759</v>
      </c>
      <c r="D1470" s="136">
        <v>0</v>
      </c>
      <c r="E1470" s="136">
        <v>0</v>
      </c>
      <c r="F1470" s="137">
        <f>SUM(F1471:F1472)</f>
        <v>5848.2360200000003</v>
      </c>
      <c r="G1470" s="96"/>
      <c r="H1470" s="91"/>
    </row>
    <row r="1471" spans="1:8" x14ac:dyDescent="0.2">
      <c r="A1471" s="83" t="s">
        <v>1508</v>
      </c>
      <c r="B1471" s="84" t="s">
        <v>1509</v>
      </c>
      <c r="C1471" s="138" t="s">
        <v>123</v>
      </c>
      <c r="D1471" s="139">
        <v>18.010000000000002</v>
      </c>
      <c r="E1471" s="139">
        <v>60.5</v>
      </c>
      <c r="F1471" s="140">
        <f t="shared" si="90"/>
        <v>1089.605</v>
      </c>
      <c r="G1471" s="97"/>
      <c r="H1471" s="92"/>
    </row>
    <row r="1472" spans="1:8" ht="31.5" x14ac:dyDescent="0.2">
      <c r="A1472" s="83" t="s">
        <v>2376</v>
      </c>
      <c r="B1472" s="84" t="s">
        <v>1546</v>
      </c>
      <c r="C1472" s="138" t="s">
        <v>109</v>
      </c>
      <c r="D1472" s="139">
        <v>3</v>
      </c>
      <c r="E1472" s="139">
        <v>1586.2103400000001</v>
      </c>
      <c r="F1472" s="140">
        <f t="shared" si="90"/>
        <v>4758.6310200000007</v>
      </c>
      <c r="G1472" s="97"/>
      <c r="H1472" s="92"/>
    </row>
    <row r="1473" spans="1:8" x14ac:dyDescent="0.2">
      <c r="A1473" s="81" t="s">
        <v>1510</v>
      </c>
      <c r="B1473" s="82" t="s">
        <v>1511</v>
      </c>
      <c r="C1473" s="135" t="s">
        <v>1759</v>
      </c>
      <c r="D1473" s="136">
        <v>0</v>
      </c>
      <c r="E1473" s="136">
        <v>0</v>
      </c>
      <c r="F1473" s="137">
        <f>F1474</f>
        <v>961.92</v>
      </c>
      <c r="G1473" s="96"/>
      <c r="H1473" s="91"/>
    </row>
    <row r="1474" spans="1:8" x14ac:dyDescent="0.2">
      <c r="A1474" s="83" t="s">
        <v>1512</v>
      </c>
      <c r="B1474" s="84" t="s">
        <v>1513</v>
      </c>
      <c r="C1474" s="138" t="s">
        <v>109</v>
      </c>
      <c r="D1474" s="139">
        <v>3</v>
      </c>
      <c r="E1474" s="139">
        <v>320.64</v>
      </c>
      <c r="F1474" s="140">
        <f t="shared" si="90"/>
        <v>961.92</v>
      </c>
      <c r="G1474" s="97"/>
      <c r="H1474" s="92"/>
    </row>
    <row r="1475" spans="1:8" x14ac:dyDescent="0.2">
      <c r="A1475" s="81" t="s">
        <v>1515</v>
      </c>
      <c r="B1475" s="82" t="s">
        <v>295</v>
      </c>
      <c r="C1475" s="135" t="s">
        <v>1759</v>
      </c>
      <c r="D1475" s="136">
        <v>0</v>
      </c>
      <c r="E1475" s="136">
        <v>0</v>
      </c>
      <c r="F1475" s="137">
        <f>SUM(F1476:F1477)</f>
        <v>2577.6</v>
      </c>
      <c r="G1475" s="96"/>
      <c r="H1475" s="91"/>
    </row>
    <row r="1476" spans="1:8" x14ac:dyDescent="0.2">
      <c r="A1476" s="83" t="s">
        <v>1516</v>
      </c>
      <c r="B1476" s="84" t="s">
        <v>1517</v>
      </c>
      <c r="C1476" s="138" t="s">
        <v>123</v>
      </c>
      <c r="D1476" s="139">
        <v>109.38</v>
      </c>
      <c r="E1476" s="139">
        <v>20</v>
      </c>
      <c r="F1476" s="140">
        <f t="shared" si="90"/>
        <v>2187.6</v>
      </c>
      <c r="G1476" s="97"/>
      <c r="H1476" s="92"/>
    </row>
    <row r="1477" spans="1:8" x14ac:dyDescent="0.2">
      <c r="A1477" s="83" t="s">
        <v>1518</v>
      </c>
      <c r="B1477" s="84" t="s">
        <v>1519</v>
      </c>
      <c r="C1477" s="138" t="s">
        <v>109</v>
      </c>
      <c r="D1477" s="139">
        <v>3</v>
      </c>
      <c r="E1477" s="139">
        <v>130</v>
      </c>
      <c r="F1477" s="140">
        <f t="shared" si="90"/>
        <v>390</v>
      </c>
      <c r="G1477" s="97"/>
      <c r="H1477" s="92"/>
    </row>
    <row r="1478" spans="1:8" x14ac:dyDescent="0.2">
      <c r="A1478" s="79" t="s">
        <v>1520</v>
      </c>
      <c r="B1478" s="80" t="s">
        <v>2377</v>
      </c>
      <c r="C1478" s="132" t="s">
        <v>1759</v>
      </c>
      <c r="D1478" s="133">
        <v>0</v>
      </c>
      <c r="E1478" s="133">
        <v>0</v>
      </c>
      <c r="F1478" s="134">
        <f>F1479+F1483+F1485</f>
        <v>42307.875183999997</v>
      </c>
      <c r="G1478" s="95"/>
      <c r="H1478" s="90"/>
    </row>
    <row r="1479" spans="1:8" x14ac:dyDescent="0.2">
      <c r="A1479" s="81" t="s">
        <v>1521</v>
      </c>
      <c r="B1479" s="82" t="s">
        <v>1495</v>
      </c>
      <c r="C1479" s="135" t="s">
        <v>1759</v>
      </c>
      <c r="D1479" s="136">
        <v>0</v>
      </c>
      <c r="E1479" s="136">
        <v>0</v>
      </c>
      <c r="F1479" s="137">
        <f>SUM(F1480:F1482)</f>
        <v>40428.855184</v>
      </c>
      <c r="G1479" s="96"/>
      <c r="H1479" s="91"/>
    </row>
    <row r="1480" spans="1:8" x14ac:dyDescent="0.2">
      <c r="A1480" s="83" t="s">
        <v>1522</v>
      </c>
      <c r="B1480" s="84" t="s">
        <v>1497</v>
      </c>
      <c r="C1480" s="138" t="s">
        <v>123</v>
      </c>
      <c r="D1480" s="139">
        <v>41.800000000000004</v>
      </c>
      <c r="E1480" s="139">
        <v>0.85</v>
      </c>
      <c r="F1480" s="140">
        <f>E1480*D1480</f>
        <v>35.53</v>
      </c>
      <c r="G1480" s="97"/>
      <c r="H1480" s="92"/>
    </row>
    <row r="1481" spans="1:8" x14ac:dyDescent="0.2">
      <c r="A1481" s="83" t="s">
        <v>1523</v>
      </c>
      <c r="B1481" s="84" t="s">
        <v>1499</v>
      </c>
      <c r="C1481" s="138" t="s">
        <v>130</v>
      </c>
      <c r="D1481" s="139">
        <v>34.24</v>
      </c>
      <c r="E1481" s="139">
        <v>1088.0241000000001</v>
      </c>
      <c r="F1481" s="140">
        <f>E1481*D1481</f>
        <v>37253.945184000004</v>
      </c>
      <c r="G1481" s="97"/>
      <c r="H1481" s="92"/>
    </row>
    <row r="1482" spans="1:8" ht="31.5" x14ac:dyDescent="0.2">
      <c r="A1482" s="83" t="s">
        <v>1524</v>
      </c>
      <c r="B1482" s="84" t="s">
        <v>1501</v>
      </c>
      <c r="C1482" s="138" t="s">
        <v>109</v>
      </c>
      <c r="D1482" s="139">
        <v>2</v>
      </c>
      <c r="E1482" s="139">
        <v>1569.69</v>
      </c>
      <c r="F1482" s="140">
        <f>E1482*D1482</f>
        <v>3139.38</v>
      </c>
      <c r="G1482" s="97"/>
      <c r="H1482" s="92"/>
    </row>
    <row r="1483" spans="1:8" x14ac:dyDescent="0.2">
      <c r="A1483" s="81" t="s">
        <v>1525</v>
      </c>
      <c r="B1483" s="82" t="s">
        <v>1505</v>
      </c>
      <c r="C1483" s="135" t="s">
        <v>1759</v>
      </c>
      <c r="D1483" s="136">
        <v>0</v>
      </c>
      <c r="E1483" s="136">
        <v>0</v>
      </c>
      <c r="F1483" s="137">
        <f>F1484</f>
        <v>1043.0200000000002</v>
      </c>
      <c r="G1483" s="96"/>
      <c r="H1483" s="91"/>
    </row>
    <row r="1484" spans="1:8" x14ac:dyDescent="0.2">
      <c r="A1484" s="83" t="s">
        <v>1526</v>
      </c>
      <c r="B1484" s="84" t="s">
        <v>1509</v>
      </c>
      <c r="C1484" s="138" t="s">
        <v>123</v>
      </c>
      <c r="D1484" s="139">
        <v>17.240000000000002</v>
      </c>
      <c r="E1484" s="139">
        <v>60.5</v>
      </c>
      <c r="F1484" s="140">
        <f>E1484*D1484</f>
        <v>1043.0200000000002</v>
      </c>
      <c r="G1484" s="97"/>
      <c r="H1484" s="92"/>
    </row>
    <row r="1485" spans="1:8" x14ac:dyDescent="0.2">
      <c r="A1485" s="81" t="s">
        <v>1527</v>
      </c>
      <c r="B1485" s="82" t="s">
        <v>295</v>
      </c>
      <c r="C1485" s="135" t="s">
        <v>1759</v>
      </c>
      <c r="D1485" s="136">
        <v>0</v>
      </c>
      <c r="E1485" s="136">
        <v>0</v>
      </c>
      <c r="F1485" s="137">
        <f>F1486</f>
        <v>836.00000000000011</v>
      </c>
      <c r="G1485" s="96"/>
      <c r="H1485" s="91"/>
    </row>
    <row r="1486" spans="1:8" x14ac:dyDescent="0.2">
      <c r="A1486" s="83" t="s">
        <v>1528</v>
      </c>
      <c r="B1486" s="84" t="s">
        <v>1517</v>
      </c>
      <c r="C1486" s="138" t="s">
        <v>130</v>
      </c>
      <c r="D1486" s="139">
        <v>41.800000000000004</v>
      </c>
      <c r="E1486" s="139">
        <v>20</v>
      </c>
      <c r="F1486" s="140">
        <f>E1486*D1486</f>
        <v>836.00000000000011</v>
      </c>
      <c r="G1486" s="97"/>
      <c r="H1486" s="92"/>
    </row>
    <row r="1487" spans="1:8" x14ac:dyDescent="0.2">
      <c r="A1487" s="79" t="s">
        <v>1529</v>
      </c>
      <c r="B1487" s="80" t="s">
        <v>2378</v>
      </c>
      <c r="C1487" s="132" t="s">
        <v>1759</v>
      </c>
      <c r="D1487" s="133">
        <v>0</v>
      </c>
      <c r="E1487" s="133">
        <v>0</v>
      </c>
      <c r="F1487" s="134">
        <f>F1488+F1492+F1494</f>
        <v>37254.554082999995</v>
      </c>
      <c r="G1487" s="95"/>
      <c r="H1487" s="90"/>
    </row>
    <row r="1488" spans="1:8" x14ac:dyDescent="0.2">
      <c r="A1488" s="81" t="s">
        <v>1530</v>
      </c>
      <c r="B1488" s="82" t="s">
        <v>1495</v>
      </c>
      <c r="C1488" s="135" t="s">
        <v>1759</v>
      </c>
      <c r="D1488" s="136">
        <v>0</v>
      </c>
      <c r="E1488" s="136">
        <v>0</v>
      </c>
      <c r="F1488" s="137">
        <f>SUM(F1489:F1491)</f>
        <v>35411.534082999999</v>
      </c>
      <c r="G1488" s="96"/>
      <c r="H1488" s="91"/>
    </row>
    <row r="1489" spans="1:8" x14ac:dyDescent="0.2">
      <c r="A1489" s="83" t="s">
        <v>1531</v>
      </c>
      <c r="B1489" s="84" t="s">
        <v>1497</v>
      </c>
      <c r="C1489" s="138" t="s">
        <v>123</v>
      </c>
      <c r="D1489" s="139">
        <v>40</v>
      </c>
      <c r="E1489" s="139">
        <v>0.85</v>
      </c>
      <c r="F1489" s="140">
        <f>E1489*D1489</f>
        <v>34</v>
      </c>
      <c r="G1489" s="97"/>
      <c r="H1489" s="92"/>
    </row>
    <row r="1490" spans="1:8" x14ac:dyDescent="0.2">
      <c r="A1490" s="83" t="s">
        <v>1532</v>
      </c>
      <c r="B1490" s="84" t="s">
        <v>1499</v>
      </c>
      <c r="C1490" s="138" t="s">
        <v>130</v>
      </c>
      <c r="D1490" s="139">
        <v>29.63</v>
      </c>
      <c r="E1490" s="139">
        <v>1088.0241000000001</v>
      </c>
      <c r="F1490" s="140">
        <f>E1490*D1490</f>
        <v>32238.154083000001</v>
      </c>
      <c r="G1490" s="97"/>
      <c r="H1490" s="92"/>
    </row>
    <row r="1491" spans="1:8" ht="31.5" x14ac:dyDescent="0.2">
      <c r="A1491" s="83" t="s">
        <v>1533</v>
      </c>
      <c r="B1491" s="84" t="s">
        <v>1501</v>
      </c>
      <c r="C1491" s="138" t="s">
        <v>109</v>
      </c>
      <c r="D1491" s="139">
        <v>2</v>
      </c>
      <c r="E1491" s="139">
        <v>1569.69</v>
      </c>
      <c r="F1491" s="140">
        <f>E1491*D1491</f>
        <v>3139.38</v>
      </c>
      <c r="G1491" s="97"/>
      <c r="H1491" s="92"/>
    </row>
    <row r="1492" spans="1:8" x14ac:dyDescent="0.2">
      <c r="A1492" s="81" t="s">
        <v>1534</v>
      </c>
      <c r="B1492" s="82" t="s">
        <v>1505</v>
      </c>
      <c r="C1492" s="135" t="s">
        <v>1759</v>
      </c>
      <c r="D1492" s="136">
        <v>0</v>
      </c>
      <c r="E1492" s="136">
        <v>0</v>
      </c>
      <c r="F1492" s="137">
        <f>F1493</f>
        <v>1043.0200000000002</v>
      </c>
      <c r="G1492" s="96"/>
      <c r="H1492" s="91"/>
    </row>
    <row r="1493" spans="1:8" x14ac:dyDescent="0.2">
      <c r="A1493" s="83" t="s">
        <v>1535</v>
      </c>
      <c r="B1493" s="84" t="s">
        <v>1509</v>
      </c>
      <c r="C1493" s="138" t="s">
        <v>123</v>
      </c>
      <c r="D1493" s="139">
        <v>17.240000000000002</v>
      </c>
      <c r="E1493" s="139">
        <v>60.5</v>
      </c>
      <c r="F1493" s="140">
        <f>E1493*D1493</f>
        <v>1043.0200000000002</v>
      </c>
      <c r="G1493" s="97"/>
      <c r="H1493" s="92"/>
    </row>
    <row r="1494" spans="1:8" x14ac:dyDescent="0.2">
      <c r="A1494" s="81" t="s">
        <v>1536</v>
      </c>
      <c r="B1494" s="82" t="s">
        <v>295</v>
      </c>
      <c r="C1494" s="135" t="s">
        <v>1759</v>
      </c>
      <c r="D1494" s="136">
        <v>0</v>
      </c>
      <c r="E1494" s="136">
        <v>0</v>
      </c>
      <c r="F1494" s="137">
        <f>F1495</f>
        <v>800</v>
      </c>
      <c r="G1494" s="96"/>
      <c r="H1494" s="91"/>
    </row>
    <row r="1495" spans="1:8" x14ac:dyDescent="0.2">
      <c r="A1495" s="83" t="s">
        <v>1537</v>
      </c>
      <c r="B1495" s="84" t="s">
        <v>1517</v>
      </c>
      <c r="C1495" s="138" t="s">
        <v>123</v>
      </c>
      <c r="D1495" s="139">
        <v>40</v>
      </c>
      <c r="E1495" s="139">
        <v>20</v>
      </c>
      <c r="F1495" s="140">
        <f>E1495*D1495</f>
        <v>800</v>
      </c>
      <c r="G1495" s="97"/>
      <c r="H1495" s="92"/>
    </row>
    <row r="1496" spans="1:8" x14ac:dyDescent="0.2">
      <c r="A1496" s="79" t="s">
        <v>1538</v>
      </c>
      <c r="B1496" s="80" t="s">
        <v>2379</v>
      </c>
      <c r="C1496" s="132" t="s">
        <v>1759</v>
      </c>
      <c r="D1496" s="133">
        <v>0</v>
      </c>
      <c r="E1496" s="133">
        <v>0</v>
      </c>
      <c r="F1496" s="134">
        <f>F1497+F1501+F1503</f>
        <v>42289.584014999993</v>
      </c>
      <c r="G1496" s="95"/>
      <c r="H1496" s="90"/>
    </row>
    <row r="1497" spans="1:8" x14ac:dyDescent="0.2">
      <c r="A1497" s="81" t="s">
        <v>1539</v>
      </c>
      <c r="B1497" s="82" t="s">
        <v>1540</v>
      </c>
      <c r="C1497" s="135" t="s">
        <v>1759</v>
      </c>
      <c r="D1497" s="136">
        <v>0</v>
      </c>
      <c r="E1497" s="136">
        <v>0</v>
      </c>
      <c r="F1497" s="137">
        <f>SUM(F1498:F1500)</f>
        <v>40330.899014999995</v>
      </c>
      <c r="G1497" s="96"/>
      <c r="H1497" s="91"/>
    </row>
    <row r="1498" spans="1:8" x14ac:dyDescent="0.2">
      <c r="A1498" s="83" t="s">
        <v>1541</v>
      </c>
      <c r="B1498" s="84" t="s">
        <v>1497</v>
      </c>
      <c r="C1498" s="138" t="s">
        <v>123</v>
      </c>
      <c r="D1498" s="139">
        <v>41.76</v>
      </c>
      <c r="E1498" s="139">
        <v>0.85</v>
      </c>
      <c r="F1498" s="140">
        <f>E1498*D1498</f>
        <v>35.495999999999995</v>
      </c>
      <c r="G1498" s="97"/>
      <c r="H1498" s="92"/>
    </row>
    <row r="1499" spans="1:8" x14ac:dyDescent="0.2">
      <c r="A1499" s="83" t="s">
        <v>1542</v>
      </c>
      <c r="B1499" s="84" t="s">
        <v>1499</v>
      </c>
      <c r="C1499" s="138" t="s">
        <v>130</v>
      </c>
      <c r="D1499" s="139">
        <v>34.15</v>
      </c>
      <c r="E1499" s="139">
        <v>1088.0241000000001</v>
      </c>
      <c r="F1499" s="140">
        <f>E1499*D1499</f>
        <v>37156.023014999999</v>
      </c>
      <c r="G1499" s="97"/>
      <c r="H1499" s="92"/>
    </row>
    <row r="1500" spans="1:8" ht="31.5" x14ac:dyDescent="0.2">
      <c r="A1500" s="83" t="s">
        <v>1544</v>
      </c>
      <c r="B1500" s="84" t="s">
        <v>1501</v>
      </c>
      <c r="C1500" s="138" t="s">
        <v>109</v>
      </c>
      <c r="D1500" s="139">
        <v>2</v>
      </c>
      <c r="E1500" s="139">
        <v>1569.69</v>
      </c>
      <c r="F1500" s="140">
        <f>E1500*D1500</f>
        <v>3139.38</v>
      </c>
      <c r="G1500" s="97"/>
      <c r="H1500" s="92"/>
    </row>
    <row r="1501" spans="1:8" x14ac:dyDescent="0.2">
      <c r="A1501" s="81" t="s">
        <v>1545</v>
      </c>
      <c r="B1501" s="82" t="s">
        <v>1505</v>
      </c>
      <c r="C1501" s="135" t="s">
        <v>1759</v>
      </c>
      <c r="D1501" s="136">
        <v>0</v>
      </c>
      <c r="E1501" s="136">
        <v>0</v>
      </c>
      <c r="F1501" s="137">
        <f>F1502</f>
        <v>1123.4850000000001</v>
      </c>
      <c r="G1501" s="96"/>
      <c r="H1501" s="91"/>
    </row>
    <row r="1502" spans="1:8" x14ac:dyDescent="0.2">
      <c r="A1502" s="83" t="s">
        <v>1547</v>
      </c>
      <c r="B1502" s="84" t="s">
        <v>1509</v>
      </c>
      <c r="C1502" s="138" t="s">
        <v>123</v>
      </c>
      <c r="D1502" s="139">
        <v>18.57</v>
      </c>
      <c r="E1502" s="139">
        <v>60.5</v>
      </c>
      <c r="F1502" s="140">
        <f>E1502*D1502</f>
        <v>1123.4850000000001</v>
      </c>
      <c r="G1502" s="97"/>
      <c r="H1502" s="92"/>
    </row>
    <row r="1503" spans="1:8" x14ac:dyDescent="0.2">
      <c r="A1503" s="81" t="s">
        <v>1548</v>
      </c>
      <c r="B1503" s="82" t="s">
        <v>295</v>
      </c>
      <c r="C1503" s="135" t="s">
        <v>1759</v>
      </c>
      <c r="D1503" s="136">
        <v>0</v>
      </c>
      <c r="E1503" s="136">
        <v>0</v>
      </c>
      <c r="F1503" s="137">
        <f>F1504</f>
        <v>835.19999999999993</v>
      </c>
      <c r="G1503" s="96"/>
      <c r="H1503" s="91"/>
    </row>
    <row r="1504" spans="1:8" x14ac:dyDescent="0.2">
      <c r="A1504" s="83" t="s">
        <v>1549</v>
      </c>
      <c r="B1504" s="84" t="s">
        <v>1517</v>
      </c>
      <c r="C1504" s="138" t="s">
        <v>123</v>
      </c>
      <c r="D1504" s="139">
        <v>41.76</v>
      </c>
      <c r="E1504" s="139">
        <v>20</v>
      </c>
      <c r="F1504" s="140">
        <f>E1504*D1504</f>
        <v>835.19999999999993</v>
      </c>
      <c r="G1504" s="97"/>
      <c r="H1504" s="92"/>
    </row>
    <row r="1505" spans="1:8" x14ac:dyDescent="0.2">
      <c r="A1505" s="79" t="s">
        <v>1550</v>
      </c>
      <c r="B1505" s="80" t="s">
        <v>1878</v>
      </c>
      <c r="C1505" s="132" t="s">
        <v>1759</v>
      </c>
      <c r="D1505" s="133">
        <v>0</v>
      </c>
      <c r="E1505" s="133">
        <v>0</v>
      </c>
      <c r="F1505" s="134">
        <f>F1506+F1512+F1517+F1520</f>
        <v>226169.81541500002</v>
      </c>
      <c r="G1505" s="95"/>
      <c r="H1505" s="90"/>
    </row>
    <row r="1506" spans="1:8" x14ac:dyDescent="0.2">
      <c r="A1506" s="81" t="s">
        <v>1551</v>
      </c>
      <c r="B1506" s="82" t="s">
        <v>1552</v>
      </c>
      <c r="C1506" s="135" t="s">
        <v>1759</v>
      </c>
      <c r="D1506" s="136">
        <v>0</v>
      </c>
      <c r="E1506" s="136">
        <v>0</v>
      </c>
      <c r="F1506" s="137">
        <f>SUM(F1507:F1511)</f>
        <v>161099.51453500002</v>
      </c>
      <c r="G1506" s="96"/>
      <c r="H1506" s="91"/>
    </row>
    <row r="1507" spans="1:8" x14ac:dyDescent="0.2">
      <c r="A1507" s="83" t="s">
        <v>1553</v>
      </c>
      <c r="B1507" s="84" t="s">
        <v>1497</v>
      </c>
      <c r="C1507" s="138" t="s">
        <v>123</v>
      </c>
      <c r="D1507" s="139">
        <v>255.32</v>
      </c>
      <c r="E1507" s="139">
        <v>0.85</v>
      </c>
      <c r="F1507" s="140">
        <f t="shared" ref="F1507:F1516" si="91">E1507*D1507</f>
        <v>217.02199999999999</v>
      </c>
      <c r="G1507" s="97"/>
      <c r="H1507" s="92"/>
    </row>
    <row r="1508" spans="1:8" x14ac:dyDescent="0.2">
      <c r="A1508" s="83" t="s">
        <v>1554</v>
      </c>
      <c r="B1508" s="84" t="s">
        <v>1499</v>
      </c>
      <c r="C1508" s="138" t="s">
        <v>130</v>
      </c>
      <c r="D1508" s="139">
        <v>97.75</v>
      </c>
      <c r="E1508" s="139">
        <v>1088.0241000000001</v>
      </c>
      <c r="F1508" s="140">
        <f t="shared" si="91"/>
        <v>106354.355775</v>
      </c>
      <c r="G1508" s="97"/>
      <c r="H1508" s="92"/>
    </row>
    <row r="1509" spans="1:8" x14ac:dyDescent="0.2">
      <c r="A1509" s="83" t="s">
        <v>1555</v>
      </c>
      <c r="B1509" s="84" t="s">
        <v>1543</v>
      </c>
      <c r="C1509" s="138" t="s">
        <v>130</v>
      </c>
      <c r="D1509" s="139">
        <v>47.74</v>
      </c>
      <c r="E1509" s="139">
        <v>935.99</v>
      </c>
      <c r="F1509" s="140">
        <f t="shared" si="91"/>
        <v>44684.162600000003</v>
      </c>
      <c r="G1509" s="97"/>
      <c r="H1509" s="92"/>
    </row>
    <row r="1510" spans="1:8" ht="31.5" x14ac:dyDescent="0.2">
      <c r="A1510" s="83" t="s">
        <v>1556</v>
      </c>
      <c r="B1510" s="84" t="s">
        <v>1501</v>
      </c>
      <c r="C1510" s="138" t="s">
        <v>109</v>
      </c>
      <c r="D1510" s="139">
        <v>2</v>
      </c>
      <c r="E1510" s="139">
        <v>1569.69</v>
      </c>
      <c r="F1510" s="140">
        <f t="shared" si="91"/>
        <v>3139.38</v>
      </c>
      <c r="G1510" s="97"/>
      <c r="H1510" s="92"/>
    </row>
    <row r="1511" spans="1:8" x14ac:dyDescent="0.2">
      <c r="A1511" s="83" t="s">
        <v>2380</v>
      </c>
      <c r="B1511" s="84" t="s">
        <v>2381</v>
      </c>
      <c r="C1511" s="138" t="s">
        <v>130</v>
      </c>
      <c r="D1511" s="139">
        <v>11.176</v>
      </c>
      <c r="E1511" s="139">
        <v>599.91</v>
      </c>
      <c r="F1511" s="140">
        <f t="shared" si="91"/>
        <v>6704.5941599999996</v>
      </c>
      <c r="G1511" s="97"/>
      <c r="H1511" s="92"/>
    </row>
    <row r="1512" spans="1:8" x14ac:dyDescent="0.2">
      <c r="A1512" s="81" t="s">
        <v>1557</v>
      </c>
      <c r="B1512" s="82" t="s">
        <v>1505</v>
      </c>
      <c r="C1512" s="135" t="s">
        <v>1759</v>
      </c>
      <c r="D1512" s="136">
        <v>0</v>
      </c>
      <c r="E1512" s="136">
        <v>0</v>
      </c>
      <c r="F1512" s="137">
        <f>SUM(F1513:F1516)</f>
        <v>46050.420879999998</v>
      </c>
      <c r="G1512" s="96"/>
      <c r="H1512" s="91"/>
    </row>
    <row r="1513" spans="1:8" x14ac:dyDescent="0.2">
      <c r="A1513" s="83" t="s">
        <v>1558</v>
      </c>
      <c r="B1513" s="84" t="s">
        <v>1506</v>
      </c>
      <c r="C1513" s="138" t="s">
        <v>109</v>
      </c>
      <c r="D1513" s="139">
        <v>13</v>
      </c>
      <c r="E1513" s="139">
        <v>1317.4803400000001</v>
      </c>
      <c r="F1513" s="140">
        <f t="shared" si="91"/>
        <v>17127.244420000003</v>
      </c>
      <c r="G1513" s="97"/>
      <c r="H1513" s="92"/>
    </row>
    <row r="1514" spans="1:8" x14ac:dyDescent="0.2">
      <c r="A1514" s="83" t="s">
        <v>1559</v>
      </c>
      <c r="B1514" s="84" t="s">
        <v>1507</v>
      </c>
      <c r="C1514" s="138" t="s">
        <v>109</v>
      </c>
      <c r="D1514" s="139">
        <v>13</v>
      </c>
      <c r="E1514" s="139">
        <v>1412.53034</v>
      </c>
      <c r="F1514" s="140">
        <f t="shared" si="91"/>
        <v>18362.894420000001</v>
      </c>
      <c r="G1514" s="97"/>
      <c r="H1514" s="92"/>
    </row>
    <row r="1515" spans="1:8" x14ac:dyDescent="0.2">
      <c r="A1515" s="83" t="s">
        <v>1560</v>
      </c>
      <c r="B1515" s="84" t="s">
        <v>1509</v>
      </c>
      <c r="C1515" s="138" t="s">
        <v>123</v>
      </c>
      <c r="D1515" s="139">
        <v>17.240000000000002</v>
      </c>
      <c r="E1515" s="139">
        <v>60.5</v>
      </c>
      <c r="F1515" s="140">
        <f t="shared" si="91"/>
        <v>1043.0200000000002</v>
      </c>
      <c r="G1515" s="97"/>
      <c r="H1515" s="92"/>
    </row>
    <row r="1516" spans="1:8" ht="31.5" x14ac:dyDescent="0.2">
      <c r="A1516" s="83" t="s">
        <v>2382</v>
      </c>
      <c r="B1516" s="84" t="s">
        <v>1546</v>
      </c>
      <c r="C1516" s="138" t="s">
        <v>109</v>
      </c>
      <c r="D1516" s="139">
        <v>6</v>
      </c>
      <c r="E1516" s="139">
        <v>1586.2103400000001</v>
      </c>
      <c r="F1516" s="140">
        <f t="shared" si="91"/>
        <v>9517.2620400000014</v>
      </c>
      <c r="G1516" s="97"/>
      <c r="H1516" s="92"/>
    </row>
    <row r="1517" spans="1:8" x14ac:dyDescent="0.2">
      <c r="A1517" s="81" t="s">
        <v>1561</v>
      </c>
      <c r="B1517" s="82" t="s">
        <v>1511</v>
      </c>
      <c r="C1517" s="135" t="s">
        <v>1759</v>
      </c>
      <c r="D1517" s="136">
        <v>0</v>
      </c>
      <c r="E1517" s="136">
        <v>0</v>
      </c>
      <c r="F1517" s="137">
        <f>SUM(F1518:F1519)</f>
        <v>9753.48</v>
      </c>
      <c r="G1517" s="96"/>
      <c r="H1517" s="91"/>
    </row>
    <row r="1518" spans="1:8" x14ac:dyDescent="0.2">
      <c r="A1518" s="83" t="s">
        <v>1562</v>
      </c>
      <c r="B1518" s="84" t="s">
        <v>1513</v>
      </c>
      <c r="C1518" s="138" t="s">
        <v>109</v>
      </c>
      <c r="D1518" s="139">
        <v>19</v>
      </c>
      <c r="E1518" s="139">
        <v>320.64</v>
      </c>
      <c r="F1518" s="140">
        <f>E1518*D1518</f>
        <v>6092.16</v>
      </c>
      <c r="G1518" s="97"/>
      <c r="H1518" s="92"/>
    </row>
    <row r="1519" spans="1:8" x14ac:dyDescent="0.2">
      <c r="A1519" s="83" t="s">
        <v>1563</v>
      </c>
      <c r="B1519" s="84" t="s">
        <v>1514</v>
      </c>
      <c r="C1519" s="138" t="s">
        <v>109</v>
      </c>
      <c r="D1519" s="139">
        <v>13</v>
      </c>
      <c r="E1519" s="139">
        <v>281.64</v>
      </c>
      <c r="F1519" s="140">
        <f>E1519*D1519</f>
        <v>3661.3199999999997</v>
      </c>
      <c r="G1519" s="97"/>
      <c r="H1519" s="92"/>
    </row>
    <row r="1520" spans="1:8" x14ac:dyDescent="0.2">
      <c r="A1520" s="81" t="s">
        <v>1564</v>
      </c>
      <c r="B1520" s="82" t="s">
        <v>295</v>
      </c>
      <c r="C1520" s="135" t="s">
        <v>1759</v>
      </c>
      <c r="D1520" s="136">
        <v>0</v>
      </c>
      <c r="E1520" s="136">
        <v>0</v>
      </c>
      <c r="F1520" s="137">
        <f>SUM(F1521:F1522)</f>
        <v>9266.4</v>
      </c>
      <c r="G1520" s="96"/>
      <c r="H1520" s="91"/>
    </row>
    <row r="1521" spans="1:8" x14ac:dyDescent="0.2">
      <c r="A1521" s="83" t="s">
        <v>1565</v>
      </c>
      <c r="B1521" s="84" t="s">
        <v>1517</v>
      </c>
      <c r="C1521" s="138" t="s">
        <v>123</v>
      </c>
      <c r="D1521" s="139">
        <v>255.32</v>
      </c>
      <c r="E1521" s="139">
        <v>20</v>
      </c>
      <c r="F1521" s="140">
        <f>E1521*D1521</f>
        <v>5106.3999999999996</v>
      </c>
      <c r="G1521" s="97"/>
      <c r="H1521" s="92"/>
    </row>
    <row r="1522" spans="1:8" x14ac:dyDescent="0.2">
      <c r="A1522" s="83" t="s">
        <v>1566</v>
      </c>
      <c r="B1522" s="84" t="s">
        <v>1519</v>
      </c>
      <c r="C1522" s="138" t="s">
        <v>109</v>
      </c>
      <c r="D1522" s="139">
        <v>32</v>
      </c>
      <c r="E1522" s="139">
        <v>130</v>
      </c>
      <c r="F1522" s="140">
        <f>E1522*D1522</f>
        <v>4160</v>
      </c>
      <c r="G1522" s="97"/>
      <c r="H1522" s="92"/>
    </row>
    <row r="1523" spans="1:8" x14ac:dyDescent="0.2">
      <c r="A1523" s="79" t="s">
        <v>1567</v>
      </c>
      <c r="B1523" s="80" t="s">
        <v>1879</v>
      </c>
      <c r="C1523" s="132" t="s">
        <v>1759</v>
      </c>
      <c r="D1523" s="133">
        <v>0</v>
      </c>
      <c r="E1523" s="133">
        <v>0</v>
      </c>
      <c r="F1523" s="134">
        <f>F1524+F1530+F1535+F1538</f>
        <v>2922093.8580080001</v>
      </c>
      <c r="G1523" s="95"/>
      <c r="H1523" s="90"/>
    </row>
    <row r="1524" spans="1:8" x14ac:dyDescent="0.2">
      <c r="A1524" s="81" t="s">
        <v>1568</v>
      </c>
      <c r="B1524" s="82" t="s">
        <v>1552</v>
      </c>
      <c r="C1524" s="135" t="s">
        <v>1759</v>
      </c>
      <c r="D1524" s="136">
        <v>0</v>
      </c>
      <c r="E1524" s="136">
        <v>0</v>
      </c>
      <c r="F1524" s="137">
        <f>SUM(F1525:F1529)</f>
        <v>2077414.9465680001</v>
      </c>
      <c r="G1524" s="96"/>
      <c r="H1524" s="91"/>
    </row>
    <row r="1525" spans="1:8" x14ac:dyDescent="0.2">
      <c r="A1525" s="83" t="s">
        <v>1569</v>
      </c>
      <c r="B1525" s="84" t="s">
        <v>1497</v>
      </c>
      <c r="C1525" s="138" t="s">
        <v>123</v>
      </c>
      <c r="D1525" s="139">
        <v>3257.41</v>
      </c>
      <c r="E1525" s="139">
        <v>0.85</v>
      </c>
      <c r="F1525" s="140">
        <f>E1525*D1525</f>
        <v>2768.7984999999999</v>
      </c>
      <c r="G1525" s="97"/>
      <c r="H1525" s="92"/>
    </row>
    <row r="1526" spans="1:8" x14ac:dyDescent="0.2">
      <c r="A1526" s="83" t="s">
        <v>1570</v>
      </c>
      <c r="B1526" s="84" t="s">
        <v>1499</v>
      </c>
      <c r="C1526" s="138" t="s">
        <v>130</v>
      </c>
      <c r="D1526" s="139">
        <v>1221.48</v>
      </c>
      <c r="E1526" s="139">
        <v>1088.0241000000001</v>
      </c>
      <c r="F1526" s="140">
        <f>E1526*D1526</f>
        <v>1328999.6776680001</v>
      </c>
      <c r="G1526" s="97"/>
      <c r="H1526" s="92"/>
    </row>
    <row r="1527" spans="1:8" x14ac:dyDescent="0.2">
      <c r="A1527" s="83" t="s">
        <v>1571</v>
      </c>
      <c r="B1527" s="84" t="s">
        <v>1543</v>
      </c>
      <c r="C1527" s="138" t="s">
        <v>251</v>
      </c>
      <c r="D1527" s="164">
        <v>530.95900000000006</v>
      </c>
      <c r="E1527" s="139">
        <v>935.99</v>
      </c>
      <c r="F1527" s="140">
        <f>E1527*D1527</f>
        <v>496972.31441000005</v>
      </c>
      <c r="G1527" s="97"/>
      <c r="H1527" s="92"/>
    </row>
    <row r="1528" spans="1:8" ht="31.5" x14ac:dyDescent="0.2">
      <c r="A1528" s="83" t="s">
        <v>1572</v>
      </c>
      <c r="B1528" s="84" t="s">
        <v>1501</v>
      </c>
      <c r="C1528" s="138" t="s">
        <v>109</v>
      </c>
      <c r="D1528" s="139">
        <v>26</v>
      </c>
      <c r="E1528" s="139">
        <v>1569.69</v>
      </c>
      <c r="F1528" s="140">
        <f>E1528*D1528</f>
        <v>40811.94</v>
      </c>
      <c r="G1528" s="97"/>
      <c r="H1528" s="92"/>
    </row>
    <row r="1529" spans="1:8" x14ac:dyDescent="0.2">
      <c r="A1529" s="83" t="s">
        <v>2383</v>
      </c>
      <c r="B1529" s="84" t="s">
        <v>2381</v>
      </c>
      <c r="C1529" s="138" t="s">
        <v>130</v>
      </c>
      <c r="D1529" s="164">
        <v>346.48900000000003</v>
      </c>
      <c r="E1529" s="139">
        <v>599.91</v>
      </c>
      <c r="F1529" s="140">
        <f>E1529*D1529</f>
        <v>207862.21599</v>
      </c>
      <c r="G1529" s="97"/>
      <c r="H1529" s="92"/>
    </row>
    <row r="1530" spans="1:8" x14ac:dyDescent="0.2">
      <c r="A1530" s="81" t="s">
        <v>1573</v>
      </c>
      <c r="B1530" s="82" t="s">
        <v>1505</v>
      </c>
      <c r="C1530" s="135" t="s">
        <v>1759</v>
      </c>
      <c r="D1530" s="136">
        <v>0</v>
      </c>
      <c r="E1530" s="136">
        <v>0</v>
      </c>
      <c r="F1530" s="137">
        <f>SUM(F1531:F1534)</f>
        <v>598655.47143999999</v>
      </c>
      <c r="G1530" s="96"/>
      <c r="H1530" s="91"/>
    </row>
    <row r="1531" spans="1:8" x14ac:dyDescent="0.2">
      <c r="A1531" s="83" t="s">
        <v>1574</v>
      </c>
      <c r="B1531" s="84" t="s">
        <v>1506</v>
      </c>
      <c r="C1531" s="138" t="s">
        <v>109</v>
      </c>
      <c r="D1531" s="139">
        <v>169</v>
      </c>
      <c r="E1531" s="139">
        <v>1317.4803400000001</v>
      </c>
      <c r="F1531" s="140">
        <f>E1531*D1531</f>
        <v>222654.17746000001</v>
      </c>
      <c r="G1531" s="97"/>
      <c r="H1531" s="92"/>
    </row>
    <row r="1532" spans="1:8" x14ac:dyDescent="0.2">
      <c r="A1532" s="83" t="s">
        <v>1575</v>
      </c>
      <c r="B1532" s="84" t="s">
        <v>1507</v>
      </c>
      <c r="C1532" s="138" t="s">
        <v>109</v>
      </c>
      <c r="D1532" s="139">
        <v>169</v>
      </c>
      <c r="E1532" s="139">
        <v>1412.53034</v>
      </c>
      <c r="F1532" s="140">
        <f>E1532*D1532</f>
        <v>238717.62746000002</v>
      </c>
      <c r="G1532" s="97"/>
      <c r="H1532" s="92"/>
    </row>
    <row r="1533" spans="1:8" x14ac:dyDescent="0.2">
      <c r="A1533" s="83" t="s">
        <v>1576</v>
      </c>
      <c r="B1533" s="84" t="s">
        <v>1509</v>
      </c>
      <c r="C1533" s="138" t="s">
        <v>123</v>
      </c>
      <c r="D1533" s="139">
        <v>224.12</v>
      </c>
      <c r="E1533" s="139">
        <v>60.5</v>
      </c>
      <c r="F1533" s="140">
        <f>E1533*D1533</f>
        <v>13559.26</v>
      </c>
      <c r="G1533" s="97"/>
      <c r="H1533" s="92"/>
    </row>
    <row r="1534" spans="1:8" ht="31.5" x14ac:dyDescent="0.2">
      <c r="A1534" s="83" t="s">
        <v>1898</v>
      </c>
      <c r="B1534" s="84" t="s">
        <v>1546</v>
      </c>
      <c r="C1534" s="138" t="s">
        <v>109</v>
      </c>
      <c r="D1534" s="139">
        <v>78</v>
      </c>
      <c r="E1534" s="139">
        <v>1586.2103400000001</v>
      </c>
      <c r="F1534" s="140">
        <f>E1534*D1534</f>
        <v>123724.40652</v>
      </c>
      <c r="G1534" s="97"/>
      <c r="H1534" s="92"/>
    </row>
    <row r="1535" spans="1:8" x14ac:dyDescent="0.2">
      <c r="A1535" s="81" t="s">
        <v>1577</v>
      </c>
      <c r="B1535" s="82" t="s">
        <v>1511</v>
      </c>
      <c r="C1535" s="135" t="s">
        <v>1759</v>
      </c>
      <c r="D1535" s="136">
        <v>0</v>
      </c>
      <c r="E1535" s="136">
        <v>0</v>
      </c>
      <c r="F1535" s="137">
        <f>SUM(F1536:F1537)</f>
        <v>126795.23999999999</v>
      </c>
      <c r="G1535" s="96"/>
      <c r="H1535" s="91"/>
    </row>
    <row r="1536" spans="1:8" x14ac:dyDescent="0.2">
      <c r="A1536" s="83" t="s">
        <v>1578</v>
      </c>
      <c r="B1536" s="84" t="s">
        <v>1513</v>
      </c>
      <c r="C1536" s="138" t="s">
        <v>109</v>
      </c>
      <c r="D1536" s="139">
        <v>247</v>
      </c>
      <c r="E1536" s="139">
        <v>320.64</v>
      </c>
      <c r="F1536" s="140">
        <f>E1536*D1536</f>
        <v>79198.080000000002</v>
      </c>
      <c r="G1536" s="97"/>
      <c r="H1536" s="92"/>
    </row>
    <row r="1537" spans="1:8" x14ac:dyDescent="0.2">
      <c r="A1537" s="83" t="s">
        <v>1579</v>
      </c>
      <c r="B1537" s="84" t="s">
        <v>1514</v>
      </c>
      <c r="C1537" s="138" t="s">
        <v>109</v>
      </c>
      <c r="D1537" s="139">
        <v>169</v>
      </c>
      <c r="E1537" s="139">
        <v>281.64</v>
      </c>
      <c r="F1537" s="140">
        <f>E1537*D1537</f>
        <v>47597.159999999996</v>
      </c>
      <c r="G1537" s="97"/>
      <c r="H1537" s="92"/>
    </row>
    <row r="1538" spans="1:8" x14ac:dyDescent="0.2">
      <c r="A1538" s="81" t="s">
        <v>1580</v>
      </c>
      <c r="B1538" s="82" t="s">
        <v>295</v>
      </c>
      <c r="C1538" s="135" t="s">
        <v>1759</v>
      </c>
      <c r="D1538" s="136">
        <v>0</v>
      </c>
      <c r="E1538" s="136">
        <v>0</v>
      </c>
      <c r="F1538" s="137">
        <f>SUM(F1539:F1540)</f>
        <v>119228.2</v>
      </c>
      <c r="G1538" s="96"/>
      <c r="H1538" s="91"/>
    </row>
    <row r="1539" spans="1:8" x14ac:dyDescent="0.2">
      <c r="A1539" s="83" t="s">
        <v>1581</v>
      </c>
      <c r="B1539" s="84" t="s">
        <v>1517</v>
      </c>
      <c r="C1539" s="138" t="s">
        <v>123</v>
      </c>
      <c r="D1539" s="139">
        <v>3257.41</v>
      </c>
      <c r="E1539" s="139">
        <v>20</v>
      </c>
      <c r="F1539" s="140">
        <f>E1539*D1539</f>
        <v>65148.2</v>
      </c>
      <c r="G1539" s="97"/>
      <c r="H1539" s="92"/>
    </row>
    <row r="1540" spans="1:8" x14ac:dyDescent="0.2">
      <c r="A1540" s="83" t="s">
        <v>1582</v>
      </c>
      <c r="B1540" s="84" t="s">
        <v>1519</v>
      </c>
      <c r="C1540" s="138" t="s">
        <v>109</v>
      </c>
      <c r="D1540" s="139">
        <v>416</v>
      </c>
      <c r="E1540" s="139">
        <v>130</v>
      </c>
      <c r="F1540" s="140">
        <f>E1540*D1540</f>
        <v>54080</v>
      </c>
      <c r="G1540" s="97"/>
      <c r="H1540" s="92"/>
    </row>
    <row r="1541" spans="1:8" x14ac:dyDescent="0.2">
      <c r="A1541" s="79" t="s">
        <v>1583</v>
      </c>
      <c r="B1541" s="80" t="s">
        <v>1880</v>
      </c>
      <c r="C1541" s="132" t="s">
        <v>1759</v>
      </c>
      <c r="D1541" s="133">
        <v>0</v>
      </c>
      <c r="E1541" s="133">
        <v>0</v>
      </c>
      <c r="F1541" s="134">
        <f>F1542+F1547+F1553+F1556</f>
        <v>215124.80240400007</v>
      </c>
      <c r="G1541" s="95"/>
      <c r="H1541" s="90"/>
    </row>
    <row r="1542" spans="1:8" x14ac:dyDescent="0.2">
      <c r="A1542" s="81" t="s">
        <v>1584</v>
      </c>
      <c r="B1542" s="82" t="s">
        <v>1552</v>
      </c>
      <c r="C1542" s="135" t="s">
        <v>1759</v>
      </c>
      <c r="D1542" s="136">
        <v>0</v>
      </c>
      <c r="E1542" s="136">
        <v>0</v>
      </c>
      <c r="F1542" s="137">
        <f>SUM(F1543:F1546)</f>
        <v>197416.13002400004</v>
      </c>
      <c r="G1542" s="96"/>
      <c r="H1542" s="91"/>
    </row>
    <row r="1543" spans="1:8" x14ac:dyDescent="0.2">
      <c r="A1543" s="83" t="s">
        <v>1585</v>
      </c>
      <c r="B1543" s="84" t="s">
        <v>1497</v>
      </c>
      <c r="C1543" s="138" t="s">
        <v>123</v>
      </c>
      <c r="D1543" s="139">
        <v>174.16</v>
      </c>
      <c r="E1543" s="139">
        <v>0.85</v>
      </c>
      <c r="F1543" s="140">
        <f>E1543*D1543</f>
        <v>148.036</v>
      </c>
      <c r="G1543" s="97"/>
      <c r="H1543" s="92"/>
    </row>
    <row r="1544" spans="1:8" x14ac:dyDescent="0.2">
      <c r="A1544" s="83" t="s">
        <v>1586</v>
      </c>
      <c r="B1544" s="84" t="s">
        <v>1499</v>
      </c>
      <c r="C1544" s="138" t="s">
        <v>130</v>
      </c>
      <c r="D1544" s="139">
        <v>121.04</v>
      </c>
      <c r="E1544" s="139">
        <v>1088.0241000000001</v>
      </c>
      <c r="F1544" s="140">
        <f>E1544*D1544</f>
        <v>131694.43706400003</v>
      </c>
      <c r="G1544" s="97"/>
      <c r="H1544" s="92"/>
    </row>
    <row r="1545" spans="1:8" ht="31.5" x14ac:dyDescent="0.2">
      <c r="A1545" s="83" t="s">
        <v>1587</v>
      </c>
      <c r="B1545" s="84" t="s">
        <v>1501</v>
      </c>
      <c r="C1545" s="138" t="s">
        <v>109</v>
      </c>
      <c r="D1545" s="164">
        <v>2</v>
      </c>
      <c r="E1545" s="139">
        <v>1569.69</v>
      </c>
      <c r="F1545" s="140">
        <f>E1545*D1545</f>
        <v>3139.38</v>
      </c>
      <c r="G1545" s="97"/>
      <c r="H1545" s="92"/>
    </row>
    <row r="1546" spans="1:8" x14ac:dyDescent="0.2">
      <c r="A1546" s="83" t="s">
        <v>2384</v>
      </c>
      <c r="B1546" s="84" t="s">
        <v>1543</v>
      </c>
      <c r="C1546" s="138" t="s">
        <v>130</v>
      </c>
      <c r="D1546" s="139">
        <v>66.704000000000008</v>
      </c>
      <c r="E1546" s="139">
        <v>935.99</v>
      </c>
      <c r="F1546" s="140">
        <f>E1546*D1546</f>
        <v>62434.27696000001</v>
      </c>
      <c r="G1546" s="97"/>
      <c r="H1546" s="92"/>
    </row>
    <row r="1547" spans="1:8" x14ac:dyDescent="0.2">
      <c r="A1547" s="81" t="s">
        <v>2385</v>
      </c>
      <c r="B1547" s="82" t="s">
        <v>1505</v>
      </c>
      <c r="C1547" s="135" t="s">
        <v>1759</v>
      </c>
      <c r="D1547" s="136">
        <v>0</v>
      </c>
      <c r="E1547" s="136">
        <v>0</v>
      </c>
      <c r="F1547" s="137">
        <f>SUM(F1548:F1552)</f>
        <v>11187.992380000002</v>
      </c>
      <c r="G1547" s="96"/>
      <c r="H1547" s="91"/>
    </row>
    <row r="1548" spans="1:8" x14ac:dyDescent="0.2">
      <c r="A1548" s="83" t="s">
        <v>2386</v>
      </c>
      <c r="B1548" s="84" t="s">
        <v>1509</v>
      </c>
      <c r="C1548" s="138" t="s">
        <v>123</v>
      </c>
      <c r="D1548" s="139">
        <v>17.240000000000002</v>
      </c>
      <c r="E1548" s="139">
        <v>60.5</v>
      </c>
      <c r="F1548" s="140">
        <f>E1548*D1548</f>
        <v>1043.0200000000002</v>
      </c>
      <c r="G1548" s="97"/>
      <c r="H1548" s="92"/>
    </row>
    <row r="1549" spans="1:8" x14ac:dyDescent="0.2">
      <c r="A1549" s="83" t="s">
        <v>2387</v>
      </c>
      <c r="B1549" s="84" t="s">
        <v>1506</v>
      </c>
      <c r="C1549" s="138" t="s">
        <v>109</v>
      </c>
      <c r="D1549" s="139">
        <v>2</v>
      </c>
      <c r="E1549" s="139">
        <v>1317.4803400000001</v>
      </c>
      <c r="F1549" s="140">
        <f>E1549*D1549</f>
        <v>2634.9606800000001</v>
      </c>
      <c r="G1549" s="97"/>
      <c r="H1549" s="92"/>
    </row>
    <row r="1550" spans="1:8" x14ac:dyDescent="0.2">
      <c r="A1550" s="83" t="s">
        <v>2388</v>
      </c>
      <c r="B1550" s="84" t="s">
        <v>1507</v>
      </c>
      <c r="C1550" s="138" t="s">
        <v>109</v>
      </c>
      <c r="D1550" s="139">
        <v>2</v>
      </c>
      <c r="E1550" s="139">
        <v>1412.53034</v>
      </c>
      <c r="F1550" s="140">
        <f>E1550*D1550</f>
        <v>2825.06068</v>
      </c>
      <c r="G1550" s="97"/>
      <c r="H1550" s="92"/>
    </row>
    <row r="1551" spans="1:8" ht="31.5" x14ac:dyDescent="0.2">
      <c r="A1551" s="83" t="s">
        <v>2389</v>
      </c>
      <c r="B1551" s="84" t="s">
        <v>1546</v>
      </c>
      <c r="C1551" s="138" t="s">
        <v>109</v>
      </c>
      <c r="D1551" s="139">
        <v>2</v>
      </c>
      <c r="E1551" s="139">
        <v>1586.2103400000001</v>
      </c>
      <c r="F1551" s="140">
        <f>E1551*D1551</f>
        <v>3172.4206800000002</v>
      </c>
      <c r="G1551" s="97"/>
      <c r="H1551" s="92"/>
    </row>
    <row r="1552" spans="1:8" ht="31.5" x14ac:dyDescent="0.2">
      <c r="A1552" s="83" t="s">
        <v>2390</v>
      </c>
      <c r="B1552" s="84" t="s">
        <v>2391</v>
      </c>
      <c r="C1552" s="138" t="s">
        <v>109</v>
      </c>
      <c r="D1552" s="139">
        <v>1</v>
      </c>
      <c r="E1552" s="139">
        <v>1512.53034</v>
      </c>
      <c r="F1552" s="140">
        <f>E1552*D1552</f>
        <v>1512.53034</v>
      </c>
      <c r="G1552" s="97"/>
      <c r="H1552" s="92"/>
    </row>
    <row r="1553" spans="1:8" x14ac:dyDescent="0.2">
      <c r="A1553" s="81" t="s">
        <v>2392</v>
      </c>
      <c r="B1553" s="82" t="s">
        <v>1511</v>
      </c>
      <c r="C1553" s="135" t="s">
        <v>1759</v>
      </c>
      <c r="D1553" s="136">
        <v>0</v>
      </c>
      <c r="E1553" s="136">
        <v>0</v>
      </c>
      <c r="F1553" s="137">
        <f>SUM(F1554:F1555)</f>
        <v>2127.48</v>
      </c>
      <c r="G1553" s="96"/>
      <c r="H1553" s="91"/>
    </row>
    <row r="1554" spans="1:8" x14ac:dyDescent="0.2">
      <c r="A1554" s="83" t="s">
        <v>2393</v>
      </c>
      <c r="B1554" s="84" t="s">
        <v>1513</v>
      </c>
      <c r="C1554" s="138" t="s">
        <v>109</v>
      </c>
      <c r="D1554" s="139">
        <v>4</v>
      </c>
      <c r="E1554" s="139">
        <v>320.64</v>
      </c>
      <c r="F1554" s="140">
        <f>E1554*D1554</f>
        <v>1282.56</v>
      </c>
      <c r="G1554" s="97"/>
      <c r="H1554" s="92"/>
    </row>
    <row r="1555" spans="1:8" x14ac:dyDescent="0.2">
      <c r="A1555" s="83" t="s">
        <v>2394</v>
      </c>
      <c r="B1555" s="84" t="s">
        <v>1514</v>
      </c>
      <c r="C1555" s="138" t="s">
        <v>109</v>
      </c>
      <c r="D1555" s="139">
        <v>3</v>
      </c>
      <c r="E1555" s="139">
        <v>281.64</v>
      </c>
      <c r="F1555" s="140">
        <f>E1555*D1555</f>
        <v>844.92</v>
      </c>
      <c r="G1555" s="97"/>
      <c r="H1555" s="92"/>
    </row>
    <row r="1556" spans="1:8" x14ac:dyDescent="0.2">
      <c r="A1556" s="81" t="s">
        <v>1588</v>
      </c>
      <c r="B1556" s="82" t="s">
        <v>295</v>
      </c>
      <c r="C1556" s="135" t="s">
        <v>1759</v>
      </c>
      <c r="D1556" s="136">
        <v>0</v>
      </c>
      <c r="E1556" s="136">
        <v>0</v>
      </c>
      <c r="F1556" s="137">
        <f>SUM(F1557:F1558)</f>
        <v>4393.2</v>
      </c>
      <c r="G1556" s="96"/>
      <c r="H1556" s="91"/>
    </row>
    <row r="1557" spans="1:8" x14ac:dyDescent="0.2">
      <c r="A1557" s="83" t="s">
        <v>1589</v>
      </c>
      <c r="B1557" s="84" t="s">
        <v>1517</v>
      </c>
      <c r="C1557" s="138" t="s">
        <v>123</v>
      </c>
      <c r="D1557" s="139">
        <v>174.16</v>
      </c>
      <c r="E1557" s="139">
        <v>20</v>
      </c>
      <c r="F1557" s="140">
        <f>E1557*D1557</f>
        <v>3483.2</v>
      </c>
      <c r="G1557" s="97"/>
      <c r="H1557" s="92"/>
    </row>
    <row r="1558" spans="1:8" x14ac:dyDescent="0.2">
      <c r="A1558" s="83" t="s">
        <v>2395</v>
      </c>
      <c r="B1558" s="84" t="s">
        <v>1519</v>
      </c>
      <c r="C1558" s="138" t="s">
        <v>109</v>
      </c>
      <c r="D1558" s="139">
        <v>7</v>
      </c>
      <c r="E1558" s="139">
        <v>130</v>
      </c>
      <c r="F1558" s="140">
        <f>E1558*D1558</f>
        <v>910</v>
      </c>
      <c r="G1558" s="97"/>
      <c r="H1558" s="92"/>
    </row>
    <row r="1559" spans="1:8" x14ac:dyDescent="0.2">
      <c r="A1559" s="79" t="s">
        <v>1590</v>
      </c>
      <c r="B1559" s="80" t="s">
        <v>2396</v>
      </c>
      <c r="C1559" s="132" t="s">
        <v>1759</v>
      </c>
      <c r="D1559" s="133">
        <v>0</v>
      </c>
      <c r="E1559" s="133">
        <v>0</v>
      </c>
      <c r="F1559" s="134">
        <f>F1560+F1566</f>
        <v>29294.405592000003</v>
      </c>
      <c r="G1559" s="95"/>
      <c r="H1559" s="90"/>
    </row>
    <row r="1560" spans="1:8" x14ac:dyDescent="0.2">
      <c r="A1560" s="81" t="s">
        <v>1592</v>
      </c>
      <c r="B1560" s="82" t="s">
        <v>1552</v>
      </c>
      <c r="C1560" s="135" t="s">
        <v>1759</v>
      </c>
      <c r="D1560" s="136">
        <v>0</v>
      </c>
      <c r="E1560" s="136">
        <v>0</v>
      </c>
      <c r="F1560" s="137">
        <f>SUM(F1561:F1565)</f>
        <v>28355.205592000002</v>
      </c>
      <c r="G1560" s="96"/>
      <c r="H1560" s="91"/>
    </row>
    <row r="1561" spans="1:8" x14ac:dyDescent="0.2">
      <c r="A1561" s="83" t="s">
        <v>1593</v>
      </c>
      <c r="B1561" s="84" t="s">
        <v>1497</v>
      </c>
      <c r="C1561" s="138" t="s">
        <v>123</v>
      </c>
      <c r="D1561" s="139">
        <v>46.96</v>
      </c>
      <c r="E1561" s="139">
        <v>0.85</v>
      </c>
      <c r="F1561" s="140">
        <f>E1561*D1561</f>
        <v>39.915999999999997</v>
      </c>
      <c r="G1561" s="97"/>
      <c r="H1561" s="92"/>
    </row>
    <row r="1562" spans="1:8" x14ac:dyDescent="0.2">
      <c r="A1562" s="83" t="s">
        <v>1594</v>
      </c>
      <c r="B1562" s="84" t="s">
        <v>1499</v>
      </c>
      <c r="C1562" s="138" t="s">
        <v>130</v>
      </c>
      <c r="D1562" s="139">
        <v>12.82</v>
      </c>
      <c r="E1562" s="139">
        <v>1088.0241000000001</v>
      </c>
      <c r="F1562" s="140">
        <f>E1562*D1562</f>
        <v>13948.468962000001</v>
      </c>
      <c r="G1562" s="97"/>
      <c r="H1562" s="92"/>
    </row>
    <row r="1563" spans="1:8" x14ac:dyDescent="0.2">
      <c r="A1563" s="83" t="s">
        <v>2397</v>
      </c>
      <c r="B1563" s="84" t="s">
        <v>2381</v>
      </c>
      <c r="C1563" s="138" t="s">
        <v>130</v>
      </c>
      <c r="D1563" s="139">
        <v>3.9930000000000003</v>
      </c>
      <c r="E1563" s="139">
        <v>599.91</v>
      </c>
      <c r="F1563" s="140">
        <f>E1563*D1563</f>
        <v>2395.4406300000001</v>
      </c>
      <c r="G1563" s="97"/>
      <c r="H1563" s="92"/>
    </row>
    <row r="1564" spans="1:8" ht="31.5" x14ac:dyDescent="0.2">
      <c r="A1564" s="83" t="s">
        <v>1595</v>
      </c>
      <c r="B1564" s="84" t="s">
        <v>1501</v>
      </c>
      <c r="C1564" s="138" t="s">
        <v>109</v>
      </c>
      <c r="D1564" s="164">
        <v>2</v>
      </c>
      <c r="E1564" s="139">
        <v>1569.69</v>
      </c>
      <c r="F1564" s="140">
        <f>E1564*D1564</f>
        <v>3139.38</v>
      </c>
      <c r="G1564" s="97"/>
      <c r="H1564" s="92"/>
    </row>
    <row r="1565" spans="1:8" x14ac:dyDescent="0.2">
      <c r="A1565" s="83" t="s">
        <v>2398</v>
      </c>
      <c r="B1565" s="84" t="s">
        <v>1881</v>
      </c>
      <c r="C1565" s="138" t="s">
        <v>109</v>
      </c>
      <c r="D1565" s="139">
        <v>1</v>
      </c>
      <c r="E1565" s="139">
        <v>8832</v>
      </c>
      <c r="F1565" s="140">
        <f>E1565*D1565</f>
        <v>8832</v>
      </c>
      <c r="G1565" s="97"/>
      <c r="H1565" s="92"/>
    </row>
    <row r="1566" spans="1:8" x14ac:dyDescent="0.2">
      <c r="A1566" s="81" t="s">
        <v>1596</v>
      </c>
      <c r="B1566" s="82" t="s">
        <v>295</v>
      </c>
      <c r="C1566" s="135" t="s">
        <v>1759</v>
      </c>
      <c r="D1566" s="136">
        <v>0</v>
      </c>
      <c r="E1566" s="136">
        <v>0</v>
      </c>
      <c r="F1566" s="137">
        <f>SUM(F1567)</f>
        <v>939.2</v>
      </c>
      <c r="G1566" s="96"/>
      <c r="H1566" s="91"/>
    </row>
    <row r="1567" spans="1:8" x14ac:dyDescent="0.2">
      <c r="A1567" s="83" t="s">
        <v>1597</v>
      </c>
      <c r="B1567" s="84" t="s">
        <v>1517</v>
      </c>
      <c r="C1567" s="138" t="s">
        <v>123</v>
      </c>
      <c r="D1567" s="139">
        <v>46.96</v>
      </c>
      <c r="E1567" s="139">
        <v>20</v>
      </c>
      <c r="F1567" s="140">
        <f>E1567*D1567</f>
        <v>939.2</v>
      </c>
      <c r="G1567" s="97"/>
      <c r="H1567" s="92"/>
    </row>
    <row r="1568" spans="1:8" x14ac:dyDescent="0.2">
      <c r="A1568" s="79" t="s">
        <v>2399</v>
      </c>
      <c r="B1568" s="80" t="s">
        <v>1591</v>
      </c>
      <c r="C1568" s="132" t="s">
        <v>1759</v>
      </c>
      <c r="D1568" s="133">
        <v>0</v>
      </c>
      <c r="E1568" s="133">
        <v>0</v>
      </c>
      <c r="F1568" s="134">
        <f>F1569+F1573</f>
        <v>5150.5815520000006</v>
      </c>
      <c r="G1568" s="95"/>
      <c r="H1568" s="90"/>
    </row>
    <row r="1569" spans="1:8" x14ac:dyDescent="0.2">
      <c r="A1569" s="81" t="s">
        <v>2400</v>
      </c>
      <c r="B1569" s="82" t="s">
        <v>1552</v>
      </c>
      <c r="C1569" s="135" t="s">
        <v>1759</v>
      </c>
      <c r="D1569" s="136">
        <v>0</v>
      </c>
      <c r="E1569" s="136">
        <v>0</v>
      </c>
      <c r="F1569" s="137">
        <f>SUM(F1570:F1572)</f>
        <v>4963.3815520000007</v>
      </c>
      <c r="G1569" s="96"/>
      <c r="H1569" s="91"/>
    </row>
    <row r="1570" spans="1:8" x14ac:dyDescent="0.2">
      <c r="A1570" s="83" t="s">
        <v>2401</v>
      </c>
      <c r="B1570" s="84" t="s">
        <v>1497</v>
      </c>
      <c r="C1570" s="138" t="s">
        <v>123</v>
      </c>
      <c r="D1570" s="139">
        <v>9.36</v>
      </c>
      <c r="E1570" s="139">
        <v>0.85</v>
      </c>
      <c r="F1570" s="140">
        <f>E1570*D1570</f>
        <v>7.9559999999999995</v>
      </c>
      <c r="G1570" s="97"/>
      <c r="H1570" s="92"/>
    </row>
    <row r="1571" spans="1:8" x14ac:dyDescent="0.2">
      <c r="A1571" s="83" t="s">
        <v>2402</v>
      </c>
      <c r="B1571" s="84" t="s">
        <v>1499</v>
      </c>
      <c r="C1571" s="138" t="s">
        <v>130</v>
      </c>
      <c r="D1571" s="139">
        <v>2.72</v>
      </c>
      <c r="E1571" s="139">
        <v>1088.0241000000001</v>
      </c>
      <c r="F1571" s="140">
        <f>E1571*D1571</f>
        <v>2959.4255520000006</v>
      </c>
      <c r="G1571" s="97"/>
      <c r="H1571" s="92"/>
    </row>
    <row r="1572" spans="1:8" x14ac:dyDescent="0.2">
      <c r="A1572" s="83" t="s">
        <v>2403</v>
      </c>
      <c r="B1572" s="84" t="s">
        <v>2404</v>
      </c>
      <c r="C1572" s="138" t="s">
        <v>109</v>
      </c>
      <c r="D1572" s="139">
        <v>2</v>
      </c>
      <c r="E1572" s="139">
        <v>998</v>
      </c>
      <c r="F1572" s="140">
        <f>E1572*D1572</f>
        <v>1996</v>
      </c>
      <c r="G1572" s="97"/>
      <c r="H1572" s="92"/>
    </row>
    <row r="1573" spans="1:8" x14ac:dyDescent="0.2">
      <c r="A1573" s="81" t="s">
        <v>2405</v>
      </c>
      <c r="B1573" s="82" t="s">
        <v>295</v>
      </c>
      <c r="C1573" s="135" t="s">
        <v>1759</v>
      </c>
      <c r="D1573" s="136">
        <v>0</v>
      </c>
      <c r="E1573" s="136">
        <v>0</v>
      </c>
      <c r="F1573" s="137">
        <f>SUM(F1574)</f>
        <v>187.2</v>
      </c>
      <c r="G1573" s="96"/>
      <c r="H1573" s="91"/>
    </row>
    <row r="1574" spans="1:8" x14ac:dyDescent="0.2">
      <c r="A1574" s="83" t="s">
        <v>2406</v>
      </c>
      <c r="B1574" s="84" t="s">
        <v>1517</v>
      </c>
      <c r="C1574" s="138" t="s">
        <v>123</v>
      </c>
      <c r="D1574" s="139">
        <v>9.36</v>
      </c>
      <c r="E1574" s="139">
        <v>20</v>
      </c>
      <c r="F1574" s="140">
        <f>E1574*D1574</f>
        <v>187.2</v>
      </c>
      <c r="G1574" s="97"/>
      <c r="H1574" s="92"/>
    </row>
    <row r="1575" spans="1:8" x14ac:dyDescent="0.2">
      <c r="A1575" s="77" t="s">
        <v>1598</v>
      </c>
      <c r="B1575" s="78" t="s">
        <v>37</v>
      </c>
      <c r="C1575" s="129" t="s">
        <v>1759</v>
      </c>
      <c r="D1575" s="130">
        <v>0</v>
      </c>
      <c r="E1575" s="130">
        <v>0</v>
      </c>
      <c r="F1575" s="131">
        <f>F1576</f>
        <v>30902.209440000002</v>
      </c>
      <c r="G1575" s="98"/>
      <c r="H1575" s="89"/>
    </row>
    <row r="1576" spans="1:8" x14ac:dyDescent="0.2">
      <c r="A1576" s="79" t="s">
        <v>1599</v>
      </c>
      <c r="B1576" s="80" t="s">
        <v>80</v>
      </c>
      <c r="C1576" s="132" t="s">
        <v>1759</v>
      </c>
      <c r="D1576" s="133">
        <v>0</v>
      </c>
      <c r="E1576" s="133">
        <v>0</v>
      </c>
      <c r="F1576" s="134">
        <f>F1577</f>
        <v>30902.209440000002</v>
      </c>
      <c r="G1576" s="95"/>
      <c r="H1576" s="90"/>
    </row>
    <row r="1577" spans="1:8" x14ac:dyDescent="0.2">
      <c r="A1577" s="81" t="s">
        <v>1600</v>
      </c>
      <c r="B1577" s="82" t="s">
        <v>1882</v>
      </c>
      <c r="C1577" s="135" t="s">
        <v>1759</v>
      </c>
      <c r="D1577" s="136">
        <v>0</v>
      </c>
      <c r="E1577" s="136">
        <v>0</v>
      </c>
      <c r="F1577" s="137">
        <f>SUM(F1578:F1579)</f>
        <v>30902.209440000002</v>
      </c>
      <c r="G1577" s="96"/>
      <c r="H1577" s="91"/>
    </row>
    <row r="1578" spans="1:8" x14ac:dyDescent="0.2">
      <c r="A1578" s="83" t="s">
        <v>1601</v>
      </c>
      <c r="B1578" s="84" t="s">
        <v>1883</v>
      </c>
      <c r="C1578" s="138" t="s">
        <v>130</v>
      </c>
      <c r="D1578" s="139">
        <v>17.568000000000001</v>
      </c>
      <c r="E1578" s="139">
        <v>1578.28</v>
      </c>
      <c r="F1578" s="140">
        <f>E1578*D1578</f>
        <v>27727.223040000001</v>
      </c>
      <c r="G1578" s="97"/>
      <c r="H1578" s="92"/>
    </row>
    <row r="1579" spans="1:8" x14ac:dyDescent="0.2">
      <c r="A1579" s="83" t="s">
        <v>2407</v>
      </c>
      <c r="B1579" s="84" t="s">
        <v>1884</v>
      </c>
      <c r="C1579" s="138" t="s">
        <v>130</v>
      </c>
      <c r="D1579" s="139">
        <v>4.53</v>
      </c>
      <c r="E1579" s="139">
        <v>700.88</v>
      </c>
      <c r="F1579" s="140">
        <f>E1579*D1579</f>
        <v>3174.9864000000002</v>
      </c>
      <c r="G1579" s="97"/>
      <c r="H1579" s="92"/>
    </row>
    <row r="1580" spans="1:8" x14ac:dyDescent="0.2">
      <c r="A1580" s="77" t="s">
        <v>1602</v>
      </c>
      <c r="B1580" s="78" t="s">
        <v>1603</v>
      </c>
      <c r="C1580" s="129" t="s">
        <v>1759</v>
      </c>
      <c r="D1580" s="130">
        <v>0</v>
      </c>
      <c r="E1580" s="130">
        <v>0</v>
      </c>
      <c r="F1580" s="131">
        <f>F1581+F1598+F1613+F1630+F1647+F1659</f>
        <v>1433771.2642254003</v>
      </c>
      <c r="G1580" s="98" t="s">
        <v>1681</v>
      </c>
      <c r="H1580" s="89"/>
    </row>
    <row r="1581" spans="1:8" x14ac:dyDescent="0.2">
      <c r="A1581" s="79" t="s">
        <v>1604</v>
      </c>
      <c r="B1581" s="80" t="s">
        <v>1735</v>
      </c>
      <c r="C1581" s="132" t="s">
        <v>1759</v>
      </c>
      <c r="D1581" s="133">
        <v>0</v>
      </c>
      <c r="E1581" s="133">
        <v>0</v>
      </c>
      <c r="F1581" s="134">
        <f>F1582+F1587+F1593+F1590</f>
        <v>283397.71079420001</v>
      </c>
      <c r="G1581" s="95"/>
      <c r="H1581" s="90"/>
    </row>
    <row r="1582" spans="1:8" x14ac:dyDescent="0.2">
      <c r="A1582" s="81" t="s">
        <v>1605</v>
      </c>
      <c r="B1582" s="82" t="s">
        <v>1606</v>
      </c>
      <c r="C1582" s="135" t="s">
        <v>1759</v>
      </c>
      <c r="D1582" s="136">
        <v>0</v>
      </c>
      <c r="E1582" s="136">
        <v>0</v>
      </c>
      <c r="F1582" s="137">
        <f>SUM(F1583:F1586)</f>
        <v>36440.823739200001</v>
      </c>
      <c r="G1582" s="161"/>
      <c r="H1582" s="162"/>
    </row>
    <row r="1583" spans="1:8" ht="31.5" x14ac:dyDescent="0.2">
      <c r="A1583" s="83" t="s">
        <v>1607</v>
      </c>
      <c r="B1583" s="84" t="s">
        <v>1005</v>
      </c>
      <c r="C1583" s="138" t="s">
        <v>130</v>
      </c>
      <c r="D1583" s="139">
        <v>604.66</v>
      </c>
      <c r="E1583" s="139">
        <v>1.6027199999999999</v>
      </c>
      <c r="F1583" s="140">
        <f>E1583*D1583</f>
        <v>969.10067519999996</v>
      </c>
      <c r="G1583" s="97" t="s">
        <v>1733</v>
      </c>
      <c r="H1583" s="163"/>
    </row>
    <row r="1584" spans="1:8" ht="31.5" x14ac:dyDescent="0.2">
      <c r="A1584" s="83" t="s">
        <v>1608</v>
      </c>
      <c r="B1584" s="84" t="s">
        <v>1609</v>
      </c>
      <c r="C1584" s="138" t="s">
        <v>130</v>
      </c>
      <c r="D1584" s="139">
        <v>999.47</v>
      </c>
      <c r="E1584" s="139">
        <v>1.764</v>
      </c>
      <c r="F1584" s="140">
        <f t="shared" ref="F1584:F1589" si="92">E1584*D1584</f>
        <v>1763.0650800000001</v>
      </c>
      <c r="G1584" s="97"/>
      <c r="H1584" s="163"/>
    </row>
    <row r="1585" spans="1:8" x14ac:dyDescent="0.2">
      <c r="A1585" s="83" t="s">
        <v>1610</v>
      </c>
      <c r="B1585" s="84" t="s">
        <v>1611</v>
      </c>
      <c r="C1585" s="138" t="s">
        <v>130</v>
      </c>
      <c r="D1585" s="139">
        <v>1604.13</v>
      </c>
      <c r="E1585" s="139">
        <v>20.236800000000002</v>
      </c>
      <c r="F1585" s="140">
        <f t="shared" si="92"/>
        <v>32462.457984000004</v>
      </c>
      <c r="G1585" s="97"/>
      <c r="H1585" s="92"/>
    </row>
    <row r="1586" spans="1:8" x14ac:dyDescent="0.2">
      <c r="A1586" s="83" t="s">
        <v>1612</v>
      </c>
      <c r="B1586" s="84" t="s">
        <v>1613</v>
      </c>
      <c r="C1586" s="138" t="s">
        <v>109</v>
      </c>
      <c r="D1586" s="139">
        <v>402</v>
      </c>
      <c r="E1586" s="139">
        <v>3.1</v>
      </c>
      <c r="F1586" s="140">
        <f t="shared" si="92"/>
        <v>1246.2</v>
      </c>
      <c r="G1586" s="97"/>
      <c r="H1586" s="92"/>
    </row>
    <row r="1587" spans="1:8" x14ac:dyDescent="0.2">
      <c r="A1587" s="81" t="s">
        <v>1614</v>
      </c>
      <c r="B1587" s="82" t="s">
        <v>1615</v>
      </c>
      <c r="C1587" s="135" t="s">
        <v>1759</v>
      </c>
      <c r="D1587" s="136">
        <v>0</v>
      </c>
      <c r="E1587" s="136">
        <v>0</v>
      </c>
      <c r="F1587" s="137">
        <f>SUM(F1588:F1589)</f>
        <v>10941.998720000001</v>
      </c>
      <c r="G1587" s="96"/>
      <c r="H1587" s="91"/>
    </row>
    <row r="1588" spans="1:8" x14ac:dyDescent="0.2">
      <c r="A1588" s="83" t="s">
        <v>1616</v>
      </c>
      <c r="B1588" s="84" t="s">
        <v>1617</v>
      </c>
      <c r="C1588" s="138" t="s">
        <v>130</v>
      </c>
      <c r="D1588" s="139">
        <v>1285.6000000000001</v>
      </c>
      <c r="E1588" s="139">
        <v>1.5104</v>
      </c>
      <c r="F1588" s="140">
        <f t="shared" si="92"/>
        <v>1941.7702400000001</v>
      </c>
      <c r="G1588" s="97"/>
      <c r="H1588" s="92"/>
    </row>
    <row r="1589" spans="1:8" ht="31.5" x14ac:dyDescent="0.2">
      <c r="A1589" s="83" t="s">
        <v>1618</v>
      </c>
      <c r="B1589" s="84" t="s">
        <v>2408</v>
      </c>
      <c r="C1589" s="138" t="s">
        <v>130</v>
      </c>
      <c r="D1589" s="139">
        <v>1285.6000000000001</v>
      </c>
      <c r="E1589" s="139">
        <v>7.0007999999999999</v>
      </c>
      <c r="F1589" s="140">
        <f t="shared" si="92"/>
        <v>9000.2284800000016</v>
      </c>
      <c r="G1589" s="97"/>
      <c r="H1589" s="92"/>
    </row>
    <row r="1590" spans="1:8" x14ac:dyDescent="0.2">
      <c r="A1590" s="81" t="s">
        <v>2409</v>
      </c>
      <c r="B1590" s="82" t="s">
        <v>1895</v>
      </c>
      <c r="C1590" s="135" t="s">
        <v>1759</v>
      </c>
      <c r="D1590" s="136">
        <v>0</v>
      </c>
      <c r="E1590" s="136">
        <v>0</v>
      </c>
      <c r="F1590" s="137">
        <f>SUM(F1591:F1592)</f>
        <v>35440.745335</v>
      </c>
      <c r="G1590" s="96"/>
      <c r="H1590" s="91"/>
    </row>
    <row r="1591" spans="1:8" x14ac:dyDescent="0.2">
      <c r="A1591" s="83" t="s">
        <v>2410</v>
      </c>
      <c r="B1591" s="84" t="s">
        <v>1897</v>
      </c>
      <c r="C1591" s="138" t="s">
        <v>130</v>
      </c>
      <c r="D1591" s="139">
        <v>187.31</v>
      </c>
      <c r="E1591" s="139">
        <v>117.66250000000001</v>
      </c>
      <c r="F1591" s="140">
        <f t="shared" ref="F1591" si="93">E1591*D1591</f>
        <v>22039.362875000003</v>
      </c>
      <c r="G1591" s="97"/>
      <c r="H1591" s="92"/>
    </row>
    <row r="1592" spans="1:8" x14ac:dyDescent="0.2">
      <c r="A1592" s="83" t="s">
        <v>2411</v>
      </c>
      <c r="B1592" s="84" t="s">
        <v>1886</v>
      </c>
      <c r="C1592" s="138" t="s">
        <v>130</v>
      </c>
      <c r="D1592" s="139">
        <v>81.86</v>
      </c>
      <c r="E1592" s="139">
        <v>163.71100000000001</v>
      </c>
      <c r="F1592" s="140">
        <f t="shared" ref="F1592:F1597" si="94">E1592*D1592</f>
        <v>13401.382460000001</v>
      </c>
      <c r="G1592" s="97"/>
      <c r="H1592" s="92"/>
    </row>
    <row r="1593" spans="1:8" x14ac:dyDescent="0.2">
      <c r="A1593" s="81" t="s">
        <v>1619</v>
      </c>
      <c r="B1593" s="82" t="s">
        <v>295</v>
      </c>
      <c r="C1593" s="135" t="s">
        <v>1759</v>
      </c>
      <c r="D1593" s="136">
        <v>0</v>
      </c>
      <c r="E1593" s="136">
        <v>0</v>
      </c>
      <c r="F1593" s="137">
        <f>SUM(F1594:F1597)</f>
        <v>200574.14300000001</v>
      </c>
      <c r="G1593" s="96"/>
      <c r="H1593" s="91"/>
    </row>
    <row r="1594" spans="1:8" x14ac:dyDescent="0.2">
      <c r="A1594" s="83" t="s">
        <v>1620</v>
      </c>
      <c r="B1594" s="84" t="s">
        <v>1621</v>
      </c>
      <c r="C1594" s="138" t="s">
        <v>130</v>
      </c>
      <c r="D1594" s="139">
        <v>1604.13</v>
      </c>
      <c r="E1594" s="139">
        <v>80.100000000000009</v>
      </c>
      <c r="F1594" s="140">
        <f t="shared" si="94"/>
        <v>128490.81300000002</v>
      </c>
      <c r="G1594" s="97" t="s">
        <v>1896</v>
      </c>
      <c r="H1594" s="92"/>
    </row>
    <row r="1595" spans="1:8" x14ac:dyDescent="0.2">
      <c r="A1595" s="83" t="s">
        <v>1622</v>
      </c>
      <c r="B1595" s="84" t="s">
        <v>1623</v>
      </c>
      <c r="C1595" s="138" t="s">
        <v>130</v>
      </c>
      <c r="D1595" s="139">
        <v>1285.6000000000001</v>
      </c>
      <c r="E1595" s="139">
        <v>45</v>
      </c>
      <c r="F1595" s="140">
        <f t="shared" si="94"/>
        <v>57852.000000000007</v>
      </c>
      <c r="G1595" s="97"/>
      <c r="H1595" s="92"/>
    </row>
    <row r="1596" spans="1:8" x14ac:dyDescent="0.2">
      <c r="A1596" s="83" t="s">
        <v>2412</v>
      </c>
      <c r="B1596" s="84" t="s">
        <v>1890</v>
      </c>
      <c r="C1596" s="138" t="s">
        <v>130</v>
      </c>
      <c r="D1596" s="139">
        <v>187.31</v>
      </c>
      <c r="E1596" s="139">
        <v>55</v>
      </c>
      <c r="F1596" s="140">
        <f t="shared" si="94"/>
        <v>10302.049999999999</v>
      </c>
      <c r="G1596" s="97"/>
      <c r="H1596" s="92"/>
    </row>
    <row r="1597" spans="1:8" ht="31.5" x14ac:dyDescent="0.2">
      <c r="A1597" s="83" t="s">
        <v>2413</v>
      </c>
      <c r="B1597" s="84" t="s">
        <v>1889</v>
      </c>
      <c r="C1597" s="138" t="s">
        <v>130</v>
      </c>
      <c r="D1597" s="139">
        <v>81.86</v>
      </c>
      <c r="E1597" s="139">
        <v>48</v>
      </c>
      <c r="F1597" s="140">
        <f t="shared" si="94"/>
        <v>3929.2799999999997</v>
      </c>
      <c r="G1597" s="97"/>
      <c r="H1597" s="92"/>
    </row>
    <row r="1598" spans="1:8" x14ac:dyDescent="0.2">
      <c r="A1598" s="79" t="s">
        <v>1624</v>
      </c>
      <c r="B1598" s="80" t="s">
        <v>1891</v>
      </c>
      <c r="C1598" s="132" t="s">
        <v>1759</v>
      </c>
      <c r="D1598" s="133">
        <v>0</v>
      </c>
      <c r="E1598" s="133">
        <v>0</v>
      </c>
      <c r="F1598" s="134">
        <f>F1599+F1604+F1609+F1607</f>
        <v>434039.12471120001</v>
      </c>
      <c r="G1598" s="95"/>
      <c r="H1598" s="90"/>
    </row>
    <row r="1599" spans="1:8" x14ac:dyDescent="0.2">
      <c r="A1599" s="81" t="s">
        <v>1625</v>
      </c>
      <c r="B1599" s="82" t="s">
        <v>1606</v>
      </c>
      <c r="C1599" s="135" t="s">
        <v>1759</v>
      </c>
      <c r="D1599" s="136">
        <v>0</v>
      </c>
      <c r="E1599" s="136">
        <v>0</v>
      </c>
      <c r="F1599" s="137">
        <f>SUM(F1600:F1603)</f>
        <v>49074.268283200006</v>
      </c>
      <c r="G1599" s="96"/>
      <c r="H1599" s="91"/>
    </row>
    <row r="1600" spans="1:8" ht="31.5" x14ac:dyDescent="0.2">
      <c r="A1600" s="83" t="s">
        <v>1626</v>
      </c>
      <c r="B1600" s="84" t="s">
        <v>1005</v>
      </c>
      <c r="C1600" s="138" t="s">
        <v>130</v>
      </c>
      <c r="D1600" s="139">
        <v>1253.8600000000001</v>
      </c>
      <c r="E1600" s="139">
        <v>1.6027199999999999</v>
      </c>
      <c r="F1600" s="140">
        <f>E1600*D1600</f>
        <v>2009.5864992000002</v>
      </c>
      <c r="G1600" s="97" t="s">
        <v>1733</v>
      </c>
      <c r="H1600" s="92"/>
    </row>
    <row r="1601" spans="1:8" ht="31.5" x14ac:dyDescent="0.2">
      <c r="A1601" s="83" t="s">
        <v>1627</v>
      </c>
      <c r="B1601" s="84" t="s">
        <v>1609</v>
      </c>
      <c r="C1601" s="138" t="s">
        <v>130</v>
      </c>
      <c r="D1601" s="139">
        <v>909.67000000000007</v>
      </c>
      <c r="E1601" s="139">
        <v>1.764</v>
      </c>
      <c r="F1601" s="140">
        <f>E1601*D1601</f>
        <v>1604.6578800000002</v>
      </c>
      <c r="G1601" s="97"/>
      <c r="H1601" s="92"/>
    </row>
    <row r="1602" spans="1:8" x14ac:dyDescent="0.2">
      <c r="A1602" s="83" t="s">
        <v>1628</v>
      </c>
      <c r="B1602" s="84" t="s">
        <v>1611</v>
      </c>
      <c r="C1602" s="138" t="s">
        <v>130</v>
      </c>
      <c r="D1602" s="139">
        <v>2163.5300000000002</v>
      </c>
      <c r="E1602" s="139">
        <v>20.236800000000002</v>
      </c>
      <c r="F1602" s="140">
        <f>E1602*D1602</f>
        <v>43782.92390400001</v>
      </c>
      <c r="G1602" s="97"/>
      <c r="H1602" s="92"/>
    </row>
    <row r="1603" spans="1:8" x14ac:dyDescent="0.2">
      <c r="A1603" s="83" t="s">
        <v>1629</v>
      </c>
      <c r="B1603" s="84" t="s">
        <v>1613</v>
      </c>
      <c r="C1603" s="138" t="s">
        <v>109</v>
      </c>
      <c r="D1603" s="139">
        <v>541</v>
      </c>
      <c r="E1603" s="139">
        <v>3.1</v>
      </c>
      <c r="F1603" s="140">
        <f>E1603*D1603</f>
        <v>1677.1000000000001</v>
      </c>
      <c r="G1603" s="97"/>
      <c r="H1603" s="92"/>
    </row>
    <row r="1604" spans="1:8" x14ac:dyDescent="0.2">
      <c r="A1604" s="81" t="s">
        <v>1630</v>
      </c>
      <c r="B1604" s="82" t="s">
        <v>1615</v>
      </c>
      <c r="C1604" s="135" t="s">
        <v>1759</v>
      </c>
      <c r="D1604" s="136">
        <v>0</v>
      </c>
      <c r="E1604" s="136">
        <v>0</v>
      </c>
      <c r="F1604" s="137">
        <f>SUM(F1605:F1606)</f>
        <v>14442.995728</v>
      </c>
      <c r="G1604" s="96"/>
      <c r="H1604" s="91"/>
    </row>
    <row r="1605" spans="1:8" x14ac:dyDescent="0.2">
      <c r="A1605" s="83" t="s">
        <v>1631</v>
      </c>
      <c r="B1605" s="84" t="s">
        <v>1617</v>
      </c>
      <c r="C1605" s="138" t="s">
        <v>130</v>
      </c>
      <c r="D1605" s="139">
        <v>1696.94</v>
      </c>
      <c r="E1605" s="139">
        <v>1.5104</v>
      </c>
      <c r="F1605" s="140">
        <f>E1605*D1605</f>
        <v>2563.058176</v>
      </c>
      <c r="G1605" s="97"/>
      <c r="H1605" s="92"/>
    </row>
    <row r="1606" spans="1:8" x14ac:dyDescent="0.2">
      <c r="A1606" s="83" t="s">
        <v>2414</v>
      </c>
      <c r="B1606" s="84" t="s">
        <v>2415</v>
      </c>
      <c r="C1606" s="138" t="s">
        <v>130</v>
      </c>
      <c r="D1606" s="139">
        <v>1696.94</v>
      </c>
      <c r="E1606" s="139">
        <v>7.0007999999999999</v>
      </c>
      <c r="F1606" s="140">
        <f>E1606*D1606</f>
        <v>11879.937551999999</v>
      </c>
      <c r="G1606" s="97"/>
      <c r="H1606" s="92"/>
    </row>
    <row r="1607" spans="1:8" x14ac:dyDescent="0.2">
      <c r="A1607" s="81" t="s">
        <v>2416</v>
      </c>
      <c r="B1607" s="82" t="s">
        <v>1895</v>
      </c>
      <c r="C1607" s="135" t="s">
        <v>1759</v>
      </c>
      <c r="D1607" s="136">
        <v>0</v>
      </c>
      <c r="E1607" s="136">
        <v>0</v>
      </c>
      <c r="F1607" s="137">
        <f>SUM(F1608:F1608)</f>
        <v>95198.357700000008</v>
      </c>
      <c r="G1607" s="96"/>
      <c r="H1607" s="91"/>
    </row>
    <row r="1608" spans="1:8" x14ac:dyDescent="0.2">
      <c r="A1608" s="83" t="s">
        <v>2417</v>
      </c>
      <c r="B1608" s="84" t="s">
        <v>1885</v>
      </c>
      <c r="C1608" s="138" t="s">
        <v>130</v>
      </c>
      <c r="D1608" s="139">
        <v>466.59000000000003</v>
      </c>
      <c r="E1608" s="139">
        <v>204.03</v>
      </c>
      <c r="F1608" s="140">
        <f>E1608*D1608</f>
        <v>95198.357700000008</v>
      </c>
      <c r="G1608" s="97"/>
      <c r="H1608" s="92"/>
    </row>
    <row r="1609" spans="1:8" x14ac:dyDescent="0.2">
      <c r="A1609" s="81" t="s">
        <v>1632</v>
      </c>
      <c r="B1609" s="82" t="s">
        <v>295</v>
      </c>
      <c r="C1609" s="135" t="s">
        <v>1759</v>
      </c>
      <c r="D1609" s="136">
        <v>0</v>
      </c>
      <c r="E1609" s="136">
        <v>0</v>
      </c>
      <c r="F1609" s="137">
        <f>SUM(F1610:F1612)</f>
        <v>275323.50300000003</v>
      </c>
      <c r="G1609" s="96"/>
      <c r="H1609" s="91"/>
    </row>
    <row r="1610" spans="1:8" x14ac:dyDescent="0.2">
      <c r="A1610" s="83" t="s">
        <v>1633</v>
      </c>
      <c r="B1610" s="84" t="s">
        <v>1621</v>
      </c>
      <c r="C1610" s="138" t="s">
        <v>130</v>
      </c>
      <c r="D1610" s="139">
        <v>2163.5300000000002</v>
      </c>
      <c r="E1610" s="139">
        <v>80.100000000000009</v>
      </c>
      <c r="F1610" s="140">
        <f>E1610*D1610</f>
        <v>173298.75300000003</v>
      </c>
      <c r="G1610" s="97" t="s">
        <v>1896</v>
      </c>
      <c r="H1610" s="92"/>
    </row>
    <row r="1611" spans="1:8" x14ac:dyDescent="0.2">
      <c r="A1611" s="83" t="s">
        <v>1634</v>
      </c>
      <c r="B1611" s="84" t="s">
        <v>1623</v>
      </c>
      <c r="C1611" s="138" t="s">
        <v>130</v>
      </c>
      <c r="D1611" s="139">
        <v>1696.94</v>
      </c>
      <c r="E1611" s="139">
        <v>45</v>
      </c>
      <c r="F1611" s="140">
        <f>E1611*D1611</f>
        <v>76362.3</v>
      </c>
      <c r="G1611" s="97"/>
      <c r="H1611" s="92"/>
    </row>
    <row r="1612" spans="1:8" x14ac:dyDescent="0.2">
      <c r="A1612" s="83" t="s">
        <v>2418</v>
      </c>
      <c r="B1612" s="84" t="s">
        <v>1890</v>
      </c>
      <c r="C1612" s="138" t="s">
        <v>130</v>
      </c>
      <c r="D1612" s="139">
        <v>466.59000000000003</v>
      </c>
      <c r="E1612" s="139">
        <v>55</v>
      </c>
      <c r="F1612" s="140">
        <f>E1612*D1612</f>
        <v>25662.45</v>
      </c>
      <c r="G1612" s="97"/>
      <c r="H1612" s="92"/>
    </row>
    <row r="1613" spans="1:8" x14ac:dyDescent="0.2">
      <c r="A1613" s="79" t="s">
        <v>1635</v>
      </c>
      <c r="B1613" s="80" t="s">
        <v>1892</v>
      </c>
      <c r="C1613" s="132" t="s">
        <v>1759</v>
      </c>
      <c r="D1613" s="133">
        <v>0</v>
      </c>
      <c r="E1613" s="133">
        <v>0</v>
      </c>
      <c r="F1613" s="134">
        <f>F1614+F1619+F1625+F1622</f>
        <v>352677.77064720006</v>
      </c>
      <c r="G1613" s="95"/>
      <c r="H1613" s="90"/>
    </row>
    <row r="1614" spans="1:8" x14ac:dyDescent="0.2">
      <c r="A1614" s="81" t="s">
        <v>1636</v>
      </c>
      <c r="B1614" s="82" t="s">
        <v>1606</v>
      </c>
      <c r="C1614" s="135" t="s">
        <v>1759</v>
      </c>
      <c r="D1614" s="136">
        <v>0</v>
      </c>
      <c r="E1614" s="136">
        <v>0</v>
      </c>
      <c r="F1614" s="137">
        <f>SUM(F1615:F1618)</f>
        <v>46738.134483200003</v>
      </c>
      <c r="G1614" s="96"/>
      <c r="H1614" s="91"/>
    </row>
    <row r="1615" spans="1:8" ht="31.5" x14ac:dyDescent="0.2">
      <c r="A1615" s="83" t="s">
        <v>1637</v>
      </c>
      <c r="B1615" s="84" t="s">
        <v>1005</v>
      </c>
      <c r="C1615" s="138" t="s">
        <v>130</v>
      </c>
      <c r="D1615" s="139">
        <v>745.11</v>
      </c>
      <c r="E1615" s="139">
        <v>1.6027199999999999</v>
      </c>
      <c r="F1615" s="140">
        <f>E1615*D1615</f>
        <v>1194.2026991999999</v>
      </c>
      <c r="G1615" s="97" t="s">
        <v>1733</v>
      </c>
      <c r="H1615" s="92"/>
    </row>
    <row r="1616" spans="1:8" ht="31.5" x14ac:dyDescent="0.2">
      <c r="A1616" s="83" t="s">
        <v>1638</v>
      </c>
      <c r="B1616" s="84" t="s">
        <v>1609</v>
      </c>
      <c r="C1616" s="138" t="s">
        <v>130</v>
      </c>
      <c r="D1616" s="139">
        <v>1312.17</v>
      </c>
      <c r="E1616" s="139">
        <v>1.764</v>
      </c>
      <c r="F1616" s="140">
        <f>E1616*D1616</f>
        <v>2314.66788</v>
      </c>
      <c r="G1616" s="97"/>
      <c r="H1616" s="92"/>
    </row>
    <row r="1617" spans="1:8" x14ac:dyDescent="0.2">
      <c r="A1617" s="83" t="s">
        <v>1639</v>
      </c>
      <c r="B1617" s="84" t="s">
        <v>1611</v>
      </c>
      <c r="C1617" s="138" t="s">
        <v>130</v>
      </c>
      <c r="D1617" s="139">
        <v>2057.2800000000002</v>
      </c>
      <c r="E1617" s="139">
        <v>20.236800000000002</v>
      </c>
      <c r="F1617" s="140">
        <f>E1617*D1617</f>
        <v>41632.763904000007</v>
      </c>
      <c r="G1617" s="97"/>
      <c r="H1617" s="92"/>
    </row>
    <row r="1618" spans="1:8" x14ac:dyDescent="0.2">
      <c r="A1618" s="83" t="s">
        <v>1640</v>
      </c>
      <c r="B1618" s="84" t="s">
        <v>1613</v>
      </c>
      <c r="C1618" s="138" t="s">
        <v>109</v>
      </c>
      <c r="D1618" s="139">
        <v>515</v>
      </c>
      <c r="E1618" s="139">
        <v>3.1</v>
      </c>
      <c r="F1618" s="140">
        <f>E1618*D1618</f>
        <v>1596.5</v>
      </c>
      <c r="G1618" s="97"/>
      <c r="H1618" s="92"/>
    </row>
    <row r="1619" spans="1:8" x14ac:dyDescent="0.2">
      <c r="A1619" s="81" t="s">
        <v>1641</v>
      </c>
      <c r="B1619" s="82" t="s">
        <v>1615</v>
      </c>
      <c r="C1619" s="135" t="s">
        <v>1759</v>
      </c>
      <c r="D1619" s="136">
        <v>0</v>
      </c>
      <c r="E1619" s="136">
        <v>0</v>
      </c>
      <c r="F1619" s="137">
        <f>SUM(F1620:F1621)</f>
        <v>16226.347464</v>
      </c>
      <c r="G1619" s="96"/>
      <c r="H1619" s="91"/>
    </row>
    <row r="1620" spans="1:8" x14ac:dyDescent="0.2">
      <c r="A1620" s="83" t="s">
        <v>1642</v>
      </c>
      <c r="B1620" s="84" t="s">
        <v>1617</v>
      </c>
      <c r="C1620" s="138" t="s">
        <v>130</v>
      </c>
      <c r="D1620" s="139">
        <v>1906.47</v>
      </c>
      <c r="E1620" s="139">
        <v>1.5104</v>
      </c>
      <c r="F1620" s="140">
        <f>E1620*D1620</f>
        <v>2879.5322879999999</v>
      </c>
      <c r="G1620" s="97"/>
      <c r="H1620" s="92"/>
    </row>
    <row r="1621" spans="1:8" x14ac:dyDescent="0.2">
      <c r="A1621" s="83" t="s">
        <v>2419</v>
      </c>
      <c r="B1621" s="84" t="s">
        <v>2415</v>
      </c>
      <c r="C1621" s="138" t="s">
        <v>130</v>
      </c>
      <c r="D1621" s="139">
        <v>1906.47</v>
      </c>
      <c r="E1621" s="139">
        <v>7.0007999999999999</v>
      </c>
      <c r="F1621" s="140">
        <f>E1621*D1621</f>
        <v>13346.815176</v>
      </c>
      <c r="G1621" s="97"/>
      <c r="H1621" s="92"/>
    </row>
    <row r="1622" spans="1:8" x14ac:dyDescent="0.2">
      <c r="A1622" s="81" t="s">
        <v>2420</v>
      </c>
      <c r="B1622" s="82" t="s">
        <v>1895</v>
      </c>
      <c r="C1622" s="135" t="s">
        <v>1759</v>
      </c>
      <c r="D1622" s="136">
        <v>0</v>
      </c>
      <c r="E1622" s="136">
        <v>0</v>
      </c>
      <c r="F1622" s="137">
        <f>SUM(F1623:F1624)</f>
        <v>30844.400700000002</v>
      </c>
      <c r="G1622" s="96"/>
      <c r="H1622" s="91"/>
    </row>
    <row r="1623" spans="1:8" x14ac:dyDescent="0.2">
      <c r="A1623" s="83" t="s">
        <v>2421</v>
      </c>
      <c r="B1623" s="84" t="s">
        <v>1885</v>
      </c>
      <c r="C1623" s="138" t="s">
        <v>130</v>
      </c>
      <c r="D1623" s="139">
        <v>148.99</v>
      </c>
      <c r="E1623" s="139">
        <v>204.03</v>
      </c>
      <c r="F1623" s="140">
        <f>E1623*D1623</f>
        <v>30398.429700000001</v>
      </c>
      <c r="G1623" s="97"/>
      <c r="H1623" s="92"/>
    </row>
    <row r="1624" spans="1:8" x14ac:dyDescent="0.2">
      <c r="A1624" s="83" t="s">
        <v>2422</v>
      </c>
      <c r="B1624" s="84" t="s">
        <v>1887</v>
      </c>
      <c r="C1624" s="138" t="s">
        <v>130</v>
      </c>
      <c r="D1624" s="139">
        <v>1.83</v>
      </c>
      <c r="E1624" s="139">
        <v>243.70000000000002</v>
      </c>
      <c r="F1624" s="140">
        <f>E1624*D1624</f>
        <v>445.97100000000006</v>
      </c>
      <c r="G1624" s="97"/>
      <c r="H1624" s="92"/>
    </row>
    <row r="1625" spans="1:8" x14ac:dyDescent="0.2">
      <c r="A1625" s="81" t="s">
        <v>1643</v>
      </c>
      <c r="B1625" s="82" t="s">
        <v>295</v>
      </c>
      <c r="C1625" s="135" t="s">
        <v>1759</v>
      </c>
      <c r="D1625" s="136">
        <v>0</v>
      </c>
      <c r="E1625" s="136">
        <v>0</v>
      </c>
      <c r="F1625" s="137">
        <f>SUM(F1626:F1629)</f>
        <v>258868.88800000004</v>
      </c>
      <c r="G1625" s="96"/>
      <c r="H1625" s="91"/>
    </row>
    <row r="1626" spans="1:8" x14ac:dyDescent="0.2">
      <c r="A1626" s="83" t="s">
        <v>1644</v>
      </c>
      <c r="B1626" s="84" t="s">
        <v>1621</v>
      </c>
      <c r="C1626" s="138" t="s">
        <v>130</v>
      </c>
      <c r="D1626" s="139">
        <v>2057.2800000000002</v>
      </c>
      <c r="E1626" s="139">
        <v>80.100000000000009</v>
      </c>
      <c r="F1626" s="140">
        <f>E1626*D1626</f>
        <v>164788.12800000003</v>
      </c>
      <c r="G1626" s="97" t="s">
        <v>1896</v>
      </c>
      <c r="H1626" s="92"/>
    </row>
    <row r="1627" spans="1:8" x14ac:dyDescent="0.2">
      <c r="A1627" s="83" t="s">
        <v>1645</v>
      </c>
      <c r="B1627" s="84" t="s">
        <v>1890</v>
      </c>
      <c r="C1627" s="138" t="s">
        <v>130</v>
      </c>
      <c r="D1627" s="139">
        <v>148.99</v>
      </c>
      <c r="E1627" s="139">
        <v>55</v>
      </c>
      <c r="F1627" s="140">
        <f>E1627*D1627</f>
        <v>8194.4500000000007</v>
      </c>
      <c r="G1627" s="97"/>
      <c r="H1627" s="92"/>
    </row>
    <row r="1628" spans="1:8" x14ac:dyDescent="0.2">
      <c r="A1628" s="83" t="s">
        <v>1646</v>
      </c>
      <c r="B1628" s="84" t="s">
        <v>1623</v>
      </c>
      <c r="C1628" s="138" t="s">
        <v>130</v>
      </c>
      <c r="D1628" s="139">
        <v>1906.47</v>
      </c>
      <c r="E1628" s="139">
        <v>45</v>
      </c>
      <c r="F1628" s="140">
        <f>E1628*D1628</f>
        <v>85791.15</v>
      </c>
      <c r="G1628" s="97"/>
      <c r="H1628" s="92"/>
    </row>
    <row r="1629" spans="1:8" x14ac:dyDescent="0.2">
      <c r="A1629" s="83" t="s">
        <v>2423</v>
      </c>
      <c r="B1629" s="84" t="s">
        <v>1888</v>
      </c>
      <c r="C1629" s="138" t="s">
        <v>130</v>
      </c>
      <c r="D1629" s="139">
        <v>1.83</v>
      </c>
      <c r="E1629" s="139">
        <v>52</v>
      </c>
      <c r="F1629" s="140">
        <f>E1629*D1629</f>
        <v>95.16</v>
      </c>
      <c r="G1629" s="97"/>
      <c r="H1629" s="92"/>
    </row>
    <row r="1630" spans="1:8" x14ac:dyDescent="0.2">
      <c r="A1630" s="79" t="s">
        <v>1647</v>
      </c>
      <c r="B1630" s="80" t="s">
        <v>1893</v>
      </c>
      <c r="C1630" s="132" t="s">
        <v>1759</v>
      </c>
      <c r="D1630" s="133">
        <v>0</v>
      </c>
      <c r="E1630" s="133">
        <v>0</v>
      </c>
      <c r="F1630" s="134">
        <f>F1631+F1636+F1642+F1639</f>
        <v>145279.98980559999</v>
      </c>
      <c r="G1630" s="95"/>
      <c r="H1630" s="90"/>
    </row>
    <row r="1631" spans="1:8" x14ac:dyDescent="0.2">
      <c r="A1631" s="81" t="s">
        <v>1648</v>
      </c>
      <c r="B1631" s="82" t="s">
        <v>1606</v>
      </c>
      <c r="C1631" s="135" t="s">
        <v>1759</v>
      </c>
      <c r="D1631" s="136">
        <v>0</v>
      </c>
      <c r="E1631" s="136">
        <v>0</v>
      </c>
      <c r="F1631" s="137">
        <f>SUM(F1632:F1635)</f>
        <v>15019.180993600001</v>
      </c>
      <c r="G1631" s="96"/>
      <c r="H1631" s="91"/>
    </row>
    <row r="1632" spans="1:8" ht="31.5" x14ac:dyDescent="0.2">
      <c r="A1632" s="83" t="s">
        <v>1649</v>
      </c>
      <c r="B1632" s="84" t="s">
        <v>1005</v>
      </c>
      <c r="C1632" s="138" t="s">
        <v>130</v>
      </c>
      <c r="D1632" s="139">
        <v>340.33</v>
      </c>
      <c r="E1632" s="139">
        <v>1.6027199999999999</v>
      </c>
      <c r="F1632" s="140">
        <f>E1632*D1632</f>
        <v>545.45369759999994</v>
      </c>
      <c r="G1632" s="97" t="s">
        <v>1733</v>
      </c>
      <c r="H1632" s="92"/>
    </row>
    <row r="1633" spans="1:8" ht="31.5" x14ac:dyDescent="0.2">
      <c r="A1633" s="83" t="s">
        <v>1650</v>
      </c>
      <c r="B1633" s="84" t="s">
        <v>1609</v>
      </c>
      <c r="C1633" s="138" t="s">
        <v>130</v>
      </c>
      <c r="D1633" s="139">
        <v>321.44</v>
      </c>
      <c r="E1633" s="139">
        <v>1.764</v>
      </c>
      <c r="F1633" s="140">
        <f>E1633*D1633</f>
        <v>567.02016000000003</v>
      </c>
      <c r="G1633" s="97"/>
      <c r="H1633" s="92"/>
    </row>
    <row r="1634" spans="1:8" x14ac:dyDescent="0.2">
      <c r="A1634" s="83" t="s">
        <v>1651</v>
      </c>
      <c r="B1634" s="84" t="s">
        <v>1611</v>
      </c>
      <c r="C1634" s="138" t="s">
        <v>130</v>
      </c>
      <c r="D1634" s="139">
        <v>661.77</v>
      </c>
      <c r="E1634" s="139">
        <v>20.236800000000002</v>
      </c>
      <c r="F1634" s="140">
        <f>E1634*D1634</f>
        <v>13392.107136000001</v>
      </c>
      <c r="G1634" s="97"/>
      <c r="H1634" s="92"/>
    </row>
    <row r="1635" spans="1:8" x14ac:dyDescent="0.2">
      <c r="A1635" s="83" t="s">
        <v>1652</v>
      </c>
      <c r="B1635" s="84" t="s">
        <v>1613</v>
      </c>
      <c r="C1635" s="138" t="s">
        <v>109</v>
      </c>
      <c r="D1635" s="139">
        <v>166</v>
      </c>
      <c r="E1635" s="139">
        <v>3.1</v>
      </c>
      <c r="F1635" s="140">
        <f>E1635*D1635</f>
        <v>514.6</v>
      </c>
      <c r="G1635" s="97"/>
      <c r="H1635" s="92"/>
    </row>
    <row r="1636" spans="1:8" x14ac:dyDescent="0.2">
      <c r="A1636" s="81" t="s">
        <v>1653</v>
      </c>
      <c r="B1636" s="82" t="s">
        <v>1615</v>
      </c>
      <c r="C1636" s="135" t="s">
        <v>1759</v>
      </c>
      <c r="D1636" s="136">
        <v>0</v>
      </c>
      <c r="E1636" s="136">
        <v>0</v>
      </c>
      <c r="F1636" s="137">
        <f>SUM(F1637:F1638)</f>
        <v>3904.5981119999997</v>
      </c>
      <c r="G1636" s="96"/>
      <c r="H1636" s="91"/>
    </row>
    <row r="1637" spans="1:8" x14ac:dyDescent="0.2">
      <c r="A1637" s="83" t="s">
        <v>1654</v>
      </c>
      <c r="B1637" s="84" t="s">
        <v>1617</v>
      </c>
      <c r="C1637" s="138" t="s">
        <v>130</v>
      </c>
      <c r="D1637" s="139">
        <v>458.76</v>
      </c>
      <c r="E1637" s="139">
        <v>1.5104</v>
      </c>
      <c r="F1637" s="140">
        <f>E1637*D1637</f>
        <v>692.91110400000002</v>
      </c>
      <c r="G1637" s="97"/>
      <c r="H1637" s="92"/>
    </row>
    <row r="1638" spans="1:8" x14ac:dyDescent="0.2">
      <c r="A1638" s="83" t="s">
        <v>2424</v>
      </c>
      <c r="B1638" s="84" t="s">
        <v>2415</v>
      </c>
      <c r="C1638" s="138" t="s">
        <v>130</v>
      </c>
      <c r="D1638" s="139">
        <v>458.76</v>
      </c>
      <c r="E1638" s="139">
        <v>7.0007999999999999</v>
      </c>
      <c r="F1638" s="140">
        <f>E1638*D1638</f>
        <v>3211.6870079999999</v>
      </c>
      <c r="G1638" s="97"/>
      <c r="H1638" s="92"/>
    </row>
    <row r="1639" spans="1:8" x14ac:dyDescent="0.2">
      <c r="A1639" s="81" t="s">
        <v>2425</v>
      </c>
      <c r="B1639" s="82" t="s">
        <v>1895</v>
      </c>
      <c r="C1639" s="135" t="s">
        <v>1759</v>
      </c>
      <c r="D1639" s="136">
        <v>0</v>
      </c>
      <c r="E1639" s="136">
        <v>0</v>
      </c>
      <c r="F1639" s="137">
        <f>SUM(F1640:F1641)</f>
        <v>41556.763700000003</v>
      </c>
      <c r="G1639" s="96"/>
      <c r="H1639" s="91"/>
    </row>
    <row r="1640" spans="1:8" x14ac:dyDescent="0.2">
      <c r="A1640" s="83" t="s">
        <v>2426</v>
      </c>
      <c r="B1640" s="84" t="s">
        <v>1885</v>
      </c>
      <c r="C1640" s="138" t="s">
        <v>130</v>
      </c>
      <c r="D1640" s="139">
        <v>198.89000000000001</v>
      </c>
      <c r="E1640" s="139">
        <v>204.03</v>
      </c>
      <c r="F1640" s="140">
        <f>E1640*D1640</f>
        <v>40579.526700000002</v>
      </c>
      <c r="G1640" s="97"/>
      <c r="H1640" s="92"/>
    </row>
    <row r="1641" spans="1:8" x14ac:dyDescent="0.2">
      <c r="A1641" s="83" t="s">
        <v>2427</v>
      </c>
      <c r="B1641" s="84" t="s">
        <v>1887</v>
      </c>
      <c r="C1641" s="138" t="s">
        <v>130</v>
      </c>
      <c r="D1641" s="139">
        <v>4.01</v>
      </c>
      <c r="E1641" s="139">
        <v>243.70000000000002</v>
      </c>
      <c r="F1641" s="140">
        <f>E1641*D1641</f>
        <v>977.23699999999997</v>
      </c>
      <c r="G1641" s="97"/>
      <c r="H1641" s="92"/>
    </row>
    <row r="1642" spans="1:8" x14ac:dyDescent="0.2">
      <c r="A1642" s="81" t="s">
        <v>1655</v>
      </c>
      <c r="B1642" s="82" t="s">
        <v>295</v>
      </c>
      <c r="C1642" s="135" t="s">
        <v>1759</v>
      </c>
      <c r="D1642" s="136">
        <v>0</v>
      </c>
      <c r="E1642" s="136">
        <v>0</v>
      </c>
      <c r="F1642" s="137">
        <f>SUM(F1643:F1646)</f>
        <v>84799.447</v>
      </c>
      <c r="G1642" s="96"/>
      <c r="H1642" s="91"/>
    </row>
    <row r="1643" spans="1:8" x14ac:dyDescent="0.2">
      <c r="A1643" s="83" t="s">
        <v>1656</v>
      </c>
      <c r="B1643" s="84" t="s">
        <v>1621</v>
      </c>
      <c r="C1643" s="138" t="s">
        <v>130</v>
      </c>
      <c r="D1643" s="139">
        <v>661.77</v>
      </c>
      <c r="E1643" s="139">
        <v>80.100000000000009</v>
      </c>
      <c r="F1643" s="140">
        <f>E1643*D1643</f>
        <v>53007.777000000002</v>
      </c>
      <c r="G1643" s="97" t="s">
        <v>1896</v>
      </c>
      <c r="H1643" s="92"/>
    </row>
    <row r="1644" spans="1:8" x14ac:dyDescent="0.2">
      <c r="A1644" s="83" t="s">
        <v>1657</v>
      </c>
      <c r="B1644" s="84" t="s">
        <v>1623</v>
      </c>
      <c r="C1644" s="138" t="s">
        <v>130</v>
      </c>
      <c r="D1644" s="139">
        <v>458.76</v>
      </c>
      <c r="E1644" s="139">
        <v>45</v>
      </c>
      <c r="F1644" s="140">
        <f>E1644*D1644</f>
        <v>20644.2</v>
      </c>
      <c r="G1644" s="97"/>
      <c r="H1644" s="92"/>
    </row>
    <row r="1645" spans="1:8" ht="31.5" x14ac:dyDescent="0.2">
      <c r="A1645" s="83" t="s">
        <v>2428</v>
      </c>
      <c r="B1645" s="84" t="s">
        <v>1890</v>
      </c>
      <c r="C1645" s="138" t="s">
        <v>130</v>
      </c>
      <c r="D1645" s="139">
        <v>198.89000000000001</v>
      </c>
      <c r="E1645" s="139">
        <v>55</v>
      </c>
      <c r="F1645" s="140">
        <f>E1645*D1645</f>
        <v>10938.95</v>
      </c>
      <c r="G1645" s="97"/>
      <c r="H1645" s="92"/>
    </row>
    <row r="1646" spans="1:8" x14ac:dyDescent="0.2">
      <c r="A1646" s="83" t="s">
        <v>2429</v>
      </c>
      <c r="B1646" s="84" t="s">
        <v>1888</v>
      </c>
      <c r="C1646" s="138" t="s">
        <v>130</v>
      </c>
      <c r="D1646" s="139">
        <v>4.01</v>
      </c>
      <c r="E1646" s="139">
        <v>52</v>
      </c>
      <c r="F1646" s="140">
        <f>E1646*D1646</f>
        <v>208.51999999999998</v>
      </c>
      <c r="G1646" s="97"/>
      <c r="H1646" s="92"/>
    </row>
    <row r="1647" spans="1:8" x14ac:dyDescent="0.2">
      <c r="A1647" s="79" t="s">
        <v>1658</v>
      </c>
      <c r="B1647" s="80" t="s">
        <v>1894</v>
      </c>
      <c r="C1647" s="132" t="s">
        <v>1759</v>
      </c>
      <c r="D1647" s="133">
        <v>0</v>
      </c>
      <c r="E1647" s="133">
        <v>0</v>
      </c>
      <c r="F1647" s="134">
        <f>F1648+F1653+F1656</f>
        <v>140461.71788160002</v>
      </c>
      <c r="G1647" s="95"/>
      <c r="H1647" s="90"/>
    </row>
    <row r="1648" spans="1:8" x14ac:dyDescent="0.2">
      <c r="A1648" s="81" t="s">
        <v>1659</v>
      </c>
      <c r="B1648" s="82" t="s">
        <v>1606</v>
      </c>
      <c r="C1648" s="135" t="s">
        <v>1759</v>
      </c>
      <c r="D1648" s="136">
        <v>0</v>
      </c>
      <c r="E1648" s="136">
        <v>0</v>
      </c>
      <c r="F1648" s="137">
        <f>SUM(F1649:F1652)</f>
        <v>20404.038009600001</v>
      </c>
      <c r="G1648" s="96"/>
      <c r="H1648" s="91"/>
    </row>
    <row r="1649" spans="1:8" ht="31.5" x14ac:dyDescent="0.2">
      <c r="A1649" s="83" t="s">
        <v>1660</v>
      </c>
      <c r="B1649" s="84" t="s">
        <v>1005</v>
      </c>
      <c r="C1649" s="138" t="s">
        <v>130</v>
      </c>
      <c r="D1649" s="139">
        <v>387.53000000000003</v>
      </c>
      <c r="E1649" s="139">
        <v>1.6027199999999999</v>
      </c>
      <c r="F1649" s="140">
        <f>E1649*D1649</f>
        <v>621.10208160000002</v>
      </c>
      <c r="G1649" s="97" t="s">
        <v>1733</v>
      </c>
      <c r="H1649" s="92"/>
    </row>
    <row r="1650" spans="1:8" ht="31.5" x14ac:dyDescent="0.2">
      <c r="A1650" s="83" t="s">
        <v>1661</v>
      </c>
      <c r="B1650" s="84" t="s">
        <v>1609</v>
      </c>
      <c r="C1650" s="138" t="s">
        <v>130</v>
      </c>
      <c r="D1650" s="139">
        <v>511.03000000000003</v>
      </c>
      <c r="E1650" s="139">
        <v>1.764</v>
      </c>
      <c r="F1650" s="140">
        <f>E1650*D1650</f>
        <v>901.45692000000008</v>
      </c>
      <c r="G1650" s="97"/>
      <c r="H1650" s="92"/>
    </row>
    <row r="1651" spans="1:8" x14ac:dyDescent="0.2">
      <c r="A1651" s="83" t="s">
        <v>1662</v>
      </c>
      <c r="B1651" s="84" t="s">
        <v>1611</v>
      </c>
      <c r="C1651" s="138" t="s">
        <v>130</v>
      </c>
      <c r="D1651" s="139">
        <v>898.56000000000006</v>
      </c>
      <c r="E1651" s="139">
        <v>20.236800000000002</v>
      </c>
      <c r="F1651" s="140">
        <f>E1651*D1651</f>
        <v>18183.979008000002</v>
      </c>
      <c r="G1651" s="97"/>
      <c r="H1651" s="92"/>
    </row>
    <row r="1652" spans="1:8" x14ac:dyDescent="0.2">
      <c r="A1652" s="83" t="s">
        <v>1663</v>
      </c>
      <c r="B1652" s="84" t="s">
        <v>1613</v>
      </c>
      <c r="C1652" s="138" t="s">
        <v>109</v>
      </c>
      <c r="D1652" s="139">
        <v>225</v>
      </c>
      <c r="E1652" s="139">
        <v>3.1</v>
      </c>
      <c r="F1652" s="140">
        <f>E1652*D1652</f>
        <v>697.5</v>
      </c>
      <c r="G1652" s="97"/>
      <c r="H1652" s="92"/>
    </row>
    <row r="1653" spans="1:8" x14ac:dyDescent="0.2">
      <c r="A1653" s="81" t="s">
        <v>1664</v>
      </c>
      <c r="B1653" s="82" t="s">
        <v>1615</v>
      </c>
      <c r="C1653" s="135" t="s">
        <v>1759</v>
      </c>
      <c r="D1653" s="136">
        <v>0</v>
      </c>
      <c r="E1653" s="136">
        <v>0</v>
      </c>
      <c r="F1653" s="137">
        <f>SUM(F1654:F1655)</f>
        <v>7647.8238720000008</v>
      </c>
      <c r="G1653" s="96"/>
      <c r="H1653" s="91"/>
    </row>
    <row r="1654" spans="1:8" x14ac:dyDescent="0.2">
      <c r="A1654" s="83" t="s">
        <v>1665</v>
      </c>
      <c r="B1654" s="84" t="s">
        <v>1617</v>
      </c>
      <c r="C1654" s="138" t="s">
        <v>130</v>
      </c>
      <c r="D1654" s="139">
        <v>898.56000000000006</v>
      </c>
      <c r="E1654" s="139">
        <v>1.5104</v>
      </c>
      <c r="F1654" s="140">
        <f>E1654*D1654</f>
        <v>1357.1850240000001</v>
      </c>
      <c r="G1654" s="97"/>
      <c r="H1654" s="92"/>
    </row>
    <row r="1655" spans="1:8" x14ac:dyDescent="0.2">
      <c r="A1655" s="83" t="s">
        <v>2430</v>
      </c>
      <c r="B1655" s="84" t="s">
        <v>2415</v>
      </c>
      <c r="C1655" s="138" t="s">
        <v>130</v>
      </c>
      <c r="D1655" s="139">
        <v>898.56000000000006</v>
      </c>
      <c r="E1655" s="139">
        <v>7.0007999999999999</v>
      </c>
      <c r="F1655" s="140">
        <f>E1655*D1655</f>
        <v>6290.6388480000005</v>
      </c>
      <c r="G1655" s="97"/>
      <c r="H1655" s="92"/>
    </row>
    <row r="1656" spans="1:8" x14ac:dyDescent="0.2">
      <c r="A1656" s="81" t="s">
        <v>1666</v>
      </c>
      <c r="B1656" s="82" t="s">
        <v>295</v>
      </c>
      <c r="C1656" s="135" t="s">
        <v>1759</v>
      </c>
      <c r="D1656" s="136">
        <v>0</v>
      </c>
      <c r="E1656" s="136">
        <v>0</v>
      </c>
      <c r="F1656" s="137">
        <f>SUM(F1657:F1658)</f>
        <v>112409.85600000003</v>
      </c>
      <c r="G1656" s="96"/>
      <c r="H1656" s="91"/>
    </row>
    <row r="1657" spans="1:8" x14ac:dyDescent="0.2">
      <c r="A1657" s="83" t="s">
        <v>1667</v>
      </c>
      <c r="B1657" s="84" t="s">
        <v>1621</v>
      </c>
      <c r="C1657" s="138" t="s">
        <v>130</v>
      </c>
      <c r="D1657" s="139">
        <v>898.56000000000006</v>
      </c>
      <c r="E1657" s="139">
        <v>80.100000000000009</v>
      </c>
      <c r="F1657" s="140">
        <f>E1657*D1657</f>
        <v>71974.656000000017</v>
      </c>
      <c r="G1657" s="97" t="s">
        <v>1896</v>
      </c>
      <c r="H1657" s="92"/>
    </row>
    <row r="1658" spans="1:8" x14ac:dyDescent="0.2">
      <c r="A1658" s="83" t="s">
        <v>1668</v>
      </c>
      <c r="B1658" s="84" t="s">
        <v>1623</v>
      </c>
      <c r="C1658" s="138" t="s">
        <v>130</v>
      </c>
      <c r="D1658" s="139">
        <v>898.56000000000006</v>
      </c>
      <c r="E1658" s="139">
        <v>45</v>
      </c>
      <c r="F1658" s="140">
        <f>E1658*D1658</f>
        <v>40435.200000000004</v>
      </c>
      <c r="G1658" s="97"/>
      <c r="H1658" s="92"/>
    </row>
    <row r="1659" spans="1:8" x14ac:dyDescent="0.2">
      <c r="A1659" s="79" t="s">
        <v>1669</v>
      </c>
      <c r="B1659" s="80" t="s">
        <v>1670</v>
      </c>
      <c r="C1659" s="132" t="s">
        <v>1759</v>
      </c>
      <c r="D1659" s="133">
        <v>0</v>
      </c>
      <c r="E1659" s="133">
        <v>0</v>
      </c>
      <c r="F1659" s="134">
        <f>F1660+F1665+F1668</f>
        <v>77914.950385600008</v>
      </c>
      <c r="G1659" s="95"/>
      <c r="H1659" s="90"/>
    </row>
    <row r="1660" spans="1:8" x14ac:dyDescent="0.2">
      <c r="A1660" s="81" t="s">
        <v>1671</v>
      </c>
      <c r="B1660" s="82" t="s">
        <v>1606</v>
      </c>
      <c r="C1660" s="135" t="s">
        <v>1759</v>
      </c>
      <c r="D1660" s="136">
        <v>0</v>
      </c>
      <c r="E1660" s="136">
        <v>0</v>
      </c>
      <c r="F1660" s="137">
        <f>SUM(F1661:F1664)</f>
        <v>12154.392977600002</v>
      </c>
      <c r="G1660" s="96"/>
      <c r="H1660" s="91"/>
    </row>
    <row r="1661" spans="1:8" ht="31.5" x14ac:dyDescent="0.2">
      <c r="A1661" s="83" t="s">
        <v>1672</v>
      </c>
      <c r="B1661" s="84" t="s">
        <v>1005</v>
      </c>
      <c r="C1661" s="138" t="s">
        <v>130</v>
      </c>
      <c r="D1661" s="139">
        <v>138.97999999999999</v>
      </c>
      <c r="E1661" s="139">
        <v>1.6027199999999999</v>
      </c>
      <c r="F1661" s="140">
        <f>E1661*D1661</f>
        <v>222.74602559999997</v>
      </c>
      <c r="G1661" s="97" t="s">
        <v>1733</v>
      </c>
      <c r="H1661" s="92"/>
    </row>
    <row r="1662" spans="1:8" ht="31.5" x14ac:dyDescent="0.2">
      <c r="A1662" s="83" t="s">
        <v>1673</v>
      </c>
      <c r="B1662" s="84" t="s">
        <v>1609</v>
      </c>
      <c r="C1662" s="138" t="s">
        <v>130</v>
      </c>
      <c r="D1662" s="139">
        <v>395.61</v>
      </c>
      <c r="E1662" s="139">
        <v>1.764</v>
      </c>
      <c r="F1662" s="140">
        <f t="shared" ref="F1662:F1670" si="95">E1662*D1662</f>
        <v>697.85604000000001</v>
      </c>
      <c r="G1662" s="97"/>
      <c r="H1662" s="92"/>
    </row>
    <row r="1663" spans="1:8" x14ac:dyDescent="0.2">
      <c r="A1663" s="83" t="s">
        <v>1674</v>
      </c>
      <c r="B1663" s="84" t="s">
        <v>1611</v>
      </c>
      <c r="C1663" s="138" t="s">
        <v>130</v>
      </c>
      <c r="D1663" s="139">
        <v>534.59</v>
      </c>
      <c r="E1663" s="139">
        <v>20.236800000000002</v>
      </c>
      <c r="F1663" s="140">
        <f t="shared" si="95"/>
        <v>10818.390912000003</v>
      </c>
      <c r="G1663" s="97"/>
      <c r="H1663" s="92"/>
    </row>
    <row r="1664" spans="1:8" x14ac:dyDescent="0.2">
      <c r="A1664" s="83" t="s">
        <v>1675</v>
      </c>
      <c r="B1664" s="84" t="s">
        <v>1613</v>
      </c>
      <c r="C1664" s="138" t="s">
        <v>109</v>
      </c>
      <c r="D1664" s="139">
        <v>134</v>
      </c>
      <c r="E1664" s="139">
        <v>3.1</v>
      </c>
      <c r="F1664" s="140">
        <f t="shared" si="95"/>
        <v>415.40000000000003</v>
      </c>
      <c r="G1664" s="97"/>
      <c r="H1664" s="92"/>
    </row>
    <row r="1665" spans="1:8" x14ac:dyDescent="0.2">
      <c r="A1665" s="81" t="s">
        <v>1676</v>
      </c>
      <c r="B1665" s="82" t="s">
        <v>1615</v>
      </c>
      <c r="C1665" s="135" t="s">
        <v>1759</v>
      </c>
      <c r="D1665" s="136">
        <v>0</v>
      </c>
      <c r="E1665" s="136">
        <v>0</v>
      </c>
      <c r="F1665" s="137">
        <f>SUM(F1666:F1667)</f>
        <v>4550.0024080000003</v>
      </c>
      <c r="G1665" s="96"/>
      <c r="H1665" s="91"/>
    </row>
    <row r="1666" spans="1:8" x14ac:dyDescent="0.2">
      <c r="A1666" s="83" t="s">
        <v>1677</v>
      </c>
      <c r="B1666" s="84" t="s">
        <v>1617</v>
      </c>
      <c r="C1666" s="138" t="s">
        <v>130</v>
      </c>
      <c r="D1666" s="139">
        <v>534.59</v>
      </c>
      <c r="E1666" s="139">
        <v>1.5104</v>
      </c>
      <c r="F1666" s="140">
        <f t="shared" si="95"/>
        <v>807.44473600000003</v>
      </c>
      <c r="G1666" s="97"/>
      <c r="H1666" s="92"/>
    </row>
    <row r="1667" spans="1:8" ht="31.5" x14ac:dyDescent="0.2">
      <c r="A1667" s="83" t="s">
        <v>2431</v>
      </c>
      <c r="B1667" s="84" t="s">
        <v>2408</v>
      </c>
      <c r="C1667" s="138" t="s">
        <v>130</v>
      </c>
      <c r="D1667" s="139">
        <v>534.59</v>
      </c>
      <c r="E1667" s="139">
        <v>7.0007999999999999</v>
      </c>
      <c r="F1667" s="140">
        <f t="shared" si="95"/>
        <v>3742.5576720000004</v>
      </c>
      <c r="G1667" s="97"/>
      <c r="H1667" s="92"/>
    </row>
    <row r="1668" spans="1:8" x14ac:dyDescent="0.2">
      <c r="A1668" s="81" t="s">
        <v>1678</v>
      </c>
      <c r="B1668" s="82" t="s">
        <v>295</v>
      </c>
      <c r="C1668" s="135" t="s">
        <v>1759</v>
      </c>
      <c r="D1668" s="136">
        <v>0</v>
      </c>
      <c r="E1668" s="136">
        <v>0</v>
      </c>
      <c r="F1668" s="137">
        <f>SUM(F1669:F1670)</f>
        <v>61210.555000000008</v>
      </c>
      <c r="G1668" s="96"/>
      <c r="H1668" s="91"/>
    </row>
    <row r="1669" spans="1:8" x14ac:dyDescent="0.2">
      <c r="A1669" s="83" t="s">
        <v>1679</v>
      </c>
      <c r="B1669" s="84" t="s">
        <v>1621</v>
      </c>
      <c r="C1669" s="138" t="s">
        <v>130</v>
      </c>
      <c r="D1669" s="139">
        <v>534.59</v>
      </c>
      <c r="E1669" s="139">
        <v>69.5</v>
      </c>
      <c r="F1669" s="140">
        <f t="shared" si="95"/>
        <v>37154.005000000005</v>
      </c>
      <c r="G1669" s="97"/>
      <c r="H1669" s="92"/>
    </row>
    <row r="1670" spans="1:8" x14ac:dyDescent="0.2">
      <c r="A1670" s="83" t="s">
        <v>1680</v>
      </c>
      <c r="B1670" s="84" t="s">
        <v>1623</v>
      </c>
      <c r="C1670" s="138" t="s">
        <v>130</v>
      </c>
      <c r="D1670" s="139">
        <v>534.59</v>
      </c>
      <c r="E1670" s="139">
        <v>45</v>
      </c>
      <c r="F1670" s="140">
        <f t="shared" si="95"/>
        <v>24056.550000000003</v>
      </c>
      <c r="G1670" s="97"/>
      <c r="H1670" s="92"/>
    </row>
    <row r="1671" spans="1:8" x14ac:dyDescent="0.2">
      <c r="A1671" s="77" t="s">
        <v>1682</v>
      </c>
      <c r="B1671" s="78" t="s">
        <v>1683</v>
      </c>
      <c r="C1671" s="129" t="s">
        <v>1759</v>
      </c>
      <c r="D1671" s="130">
        <v>0</v>
      </c>
      <c r="E1671" s="130">
        <v>0</v>
      </c>
      <c r="F1671" s="131">
        <f>F1672</f>
        <v>1779121.3900000001</v>
      </c>
      <c r="G1671" s="98"/>
      <c r="H1671" s="89"/>
    </row>
    <row r="1672" spans="1:8" x14ac:dyDescent="0.2">
      <c r="A1672" s="79" t="s">
        <v>1684</v>
      </c>
      <c r="B1672" s="80" t="s">
        <v>1683</v>
      </c>
      <c r="C1672" s="132" t="s">
        <v>1759</v>
      </c>
      <c r="D1672" s="133">
        <v>0</v>
      </c>
      <c r="E1672" s="133">
        <v>0</v>
      </c>
      <c r="F1672" s="134">
        <f>F1673+F1677+F1683</f>
        <v>1779121.3900000001</v>
      </c>
      <c r="G1672" s="95"/>
      <c r="H1672" s="90"/>
    </row>
    <row r="1673" spans="1:8" x14ac:dyDescent="0.2">
      <c r="A1673" s="81" t="s">
        <v>1685</v>
      </c>
      <c r="B1673" s="82" t="s">
        <v>1686</v>
      </c>
      <c r="C1673" s="135" t="s">
        <v>1759</v>
      </c>
      <c r="D1673" s="136">
        <v>0</v>
      </c>
      <c r="E1673" s="136">
        <v>0</v>
      </c>
      <c r="F1673" s="137">
        <f>SUM(F1674:F1676)</f>
        <v>993394.18</v>
      </c>
      <c r="G1673" s="96"/>
      <c r="H1673" s="91"/>
    </row>
    <row r="1674" spans="1:8" x14ac:dyDescent="0.2">
      <c r="A1674" s="83" t="s">
        <v>1687</v>
      </c>
      <c r="B1674" s="84" t="s">
        <v>1688</v>
      </c>
      <c r="C1674" s="138" t="s">
        <v>92</v>
      </c>
      <c r="D1674" s="139">
        <v>1</v>
      </c>
      <c r="E1674" s="139">
        <v>14913.300000000001</v>
      </c>
      <c r="F1674" s="140">
        <f>E1674*D1674</f>
        <v>14913.300000000001</v>
      </c>
      <c r="G1674" s="97" t="s">
        <v>1729</v>
      </c>
      <c r="H1674" s="92"/>
    </row>
    <row r="1675" spans="1:8" x14ac:dyDescent="0.2">
      <c r="A1675" s="83" t="s">
        <v>1689</v>
      </c>
      <c r="B1675" s="84" t="s">
        <v>1690</v>
      </c>
      <c r="C1675" s="138" t="s">
        <v>109</v>
      </c>
      <c r="D1675" s="139">
        <v>2</v>
      </c>
      <c r="E1675" s="139">
        <v>486310.44</v>
      </c>
      <c r="F1675" s="140">
        <f>E1675*D1675</f>
        <v>972620.88</v>
      </c>
      <c r="G1675" s="97" t="s">
        <v>1729</v>
      </c>
      <c r="H1675" s="92"/>
    </row>
    <row r="1676" spans="1:8" x14ac:dyDescent="0.2">
      <c r="A1676" s="83" t="s">
        <v>1753</v>
      </c>
      <c r="B1676" s="84" t="s">
        <v>2432</v>
      </c>
      <c r="C1676" s="138" t="s">
        <v>92</v>
      </c>
      <c r="D1676" s="139">
        <v>1</v>
      </c>
      <c r="E1676" s="139">
        <v>5860</v>
      </c>
      <c r="F1676" s="140">
        <f>E1676*D1676</f>
        <v>5860</v>
      </c>
      <c r="G1676" s="97" t="s">
        <v>1729</v>
      </c>
      <c r="H1676" s="92"/>
    </row>
    <row r="1677" spans="1:8" x14ac:dyDescent="0.2">
      <c r="A1677" s="81" t="s">
        <v>1691</v>
      </c>
      <c r="B1677" s="82" t="s">
        <v>1692</v>
      </c>
      <c r="C1677" s="135" t="s">
        <v>1759</v>
      </c>
      <c r="D1677" s="136">
        <v>0</v>
      </c>
      <c r="E1677" s="136">
        <v>0</v>
      </c>
      <c r="F1677" s="137">
        <f>SUM(F1678:F1682)</f>
        <v>605327.21000000008</v>
      </c>
      <c r="G1677" s="96"/>
      <c r="H1677" s="91"/>
    </row>
    <row r="1678" spans="1:8" x14ac:dyDescent="0.2">
      <c r="A1678" s="83" t="s">
        <v>1693</v>
      </c>
      <c r="B1678" s="84" t="s">
        <v>1694</v>
      </c>
      <c r="C1678" s="138" t="s">
        <v>92</v>
      </c>
      <c r="D1678" s="139">
        <v>1</v>
      </c>
      <c r="E1678" s="139">
        <v>105587.94</v>
      </c>
      <c r="F1678" s="140">
        <f>E1678*D1678</f>
        <v>105587.94</v>
      </c>
      <c r="G1678" s="97" t="s">
        <v>1732</v>
      </c>
      <c r="H1678" s="92"/>
    </row>
    <row r="1679" spans="1:8" x14ac:dyDescent="0.2">
      <c r="A1679" s="83" t="s">
        <v>1695</v>
      </c>
      <c r="B1679" s="84" t="s">
        <v>1696</v>
      </c>
      <c r="C1679" s="138" t="s">
        <v>109</v>
      </c>
      <c r="D1679" s="139">
        <v>84</v>
      </c>
      <c r="E1679" s="139">
        <v>547.95000000000005</v>
      </c>
      <c r="F1679" s="140">
        <f>E1679*D1679</f>
        <v>46027.8</v>
      </c>
      <c r="G1679" s="97" t="s">
        <v>1731</v>
      </c>
      <c r="H1679" s="92"/>
    </row>
    <row r="1680" spans="1:8" x14ac:dyDescent="0.2">
      <c r="A1680" s="83" t="s">
        <v>1697</v>
      </c>
      <c r="B1680" s="84" t="s">
        <v>1698</v>
      </c>
      <c r="C1680" s="138" t="s">
        <v>92</v>
      </c>
      <c r="D1680" s="139">
        <v>1</v>
      </c>
      <c r="E1680" s="139">
        <v>399000</v>
      </c>
      <c r="F1680" s="140">
        <f>E1680*D1680</f>
        <v>399000</v>
      </c>
      <c r="G1680" s="97" t="s">
        <v>1729</v>
      </c>
      <c r="H1680" s="92"/>
    </row>
    <row r="1681" spans="1:8" x14ac:dyDescent="0.2">
      <c r="A1681" s="83" t="s">
        <v>1699</v>
      </c>
      <c r="B1681" s="84" t="s">
        <v>1700</v>
      </c>
      <c r="C1681" s="138" t="s">
        <v>92</v>
      </c>
      <c r="D1681" s="139">
        <v>1</v>
      </c>
      <c r="E1681" s="139">
        <v>51353.8</v>
      </c>
      <c r="F1681" s="140">
        <f>E1681*D1681</f>
        <v>51353.8</v>
      </c>
      <c r="G1681" s="97" t="s">
        <v>1730</v>
      </c>
      <c r="H1681" s="92"/>
    </row>
    <row r="1682" spans="1:8" x14ac:dyDescent="0.2">
      <c r="A1682" s="83" t="s">
        <v>1701</v>
      </c>
      <c r="B1682" s="84" t="s">
        <v>1702</v>
      </c>
      <c r="C1682" s="138" t="s">
        <v>92</v>
      </c>
      <c r="D1682" s="139">
        <v>1</v>
      </c>
      <c r="E1682" s="139">
        <v>3357.67</v>
      </c>
      <c r="F1682" s="140">
        <f>E1682*D1682</f>
        <v>3357.67</v>
      </c>
      <c r="G1682" s="97" t="s">
        <v>1752</v>
      </c>
      <c r="H1682" s="92"/>
    </row>
    <row r="1683" spans="1:8" x14ac:dyDescent="0.2">
      <c r="A1683" s="81" t="s">
        <v>1703</v>
      </c>
      <c r="B1683" s="82" t="s">
        <v>1704</v>
      </c>
      <c r="C1683" s="135" t="s">
        <v>1759</v>
      </c>
      <c r="D1683" s="136">
        <v>0</v>
      </c>
      <c r="E1683" s="136">
        <v>0</v>
      </c>
      <c r="F1683" s="137">
        <f>F1684</f>
        <v>180400</v>
      </c>
      <c r="G1683" s="96"/>
      <c r="H1683" s="91"/>
    </row>
    <row r="1684" spans="1:8" x14ac:dyDescent="0.2">
      <c r="A1684" s="83" t="s">
        <v>1705</v>
      </c>
      <c r="B1684" s="84" t="s">
        <v>1706</v>
      </c>
      <c r="C1684" s="138" t="s">
        <v>109</v>
      </c>
      <c r="D1684" s="139">
        <v>88</v>
      </c>
      <c r="E1684" s="139">
        <v>2050</v>
      </c>
      <c r="F1684" s="140">
        <f>E1684*D1684</f>
        <v>180400</v>
      </c>
      <c r="G1684" s="97"/>
      <c r="H1684" s="92"/>
    </row>
    <row r="1685" spans="1:8" x14ac:dyDescent="0.2">
      <c r="A1685" s="77" t="s">
        <v>1707</v>
      </c>
      <c r="B1685" s="78" t="s">
        <v>38</v>
      </c>
      <c r="C1685" s="129" t="s">
        <v>1759</v>
      </c>
      <c r="D1685" s="130">
        <v>0</v>
      </c>
      <c r="E1685" s="130">
        <v>0</v>
      </c>
      <c r="F1685" s="131">
        <f>F1686</f>
        <v>2876185.3186305957</v>
      </c>
      <c r="G1685" s="98"/>
      <c r="H1685" s="89"/>
    </row>
    <row r="1686" spans="1:8" x14ac:dyDescent="0.2">
      <c r="A1686" s="79" t="s">
        <v>1708</v>
      </c>
      <c r="B1686" s="80" t="s">
        <v>38</v>
      </c>
      <c r="C1686" s="132" t="s">
        <v>1759</v>
      </c>
      <c r="D1686" s="133">
        <v>0</v>
      </c>
      <c r="E1686" s="133">
        <v>0</v>
      </c>
      <c r="F1686" s="134">
        <f>F1687+F1689+F1691+F1693+F1696</f>
        <v>2876185.3186305957</v>
      </c>
      <c r="G1686" s="95"/>
      <c r="H1686" s="90"/>
    </row>
    <row r="1687" spans="1:8" x14ac:dyDescent="0.2">
      <c r="A1687" s="81" t="s">
        <v>1709</v>
      </c>
      <c r="B1687" s="82" t="s">
        <v>39</v>
      </c>
      <c r="C1687" s="135" t="s">
        <v>1759</v>
      </c>
      <c r="D1687" s="136">
        <v>0</v>
      </c>
      <c r="E1687" s="136">
        <v>0</v>
      </c>
      <c r="F1687" s="137">
        <f>F1688</f>
        <v>991476.45000000007</v>
      </c>
      <c r="G1687" s="96"/>
      <c r="H1687" s="91"/>
    </row>
    <row r="1688" spans="1:8" ht="31.5" x14ac:dyDescent="0.2">
      <c r="A1688" s="83" t="s">
        <v>1710</v>
      </c>
      <c r="B1688" s="84" t="s">
        <v>1711</v>
      </c>
      <c r="C1688" s="138" t="s">
        <v>92</v>
      </c>
      <c r="D1688" s="139">
        <v>1</v>
      </c>
      <c r="E1688" s="139">
        <v>991476.45000000007</v>
      </c>
      <c r="F1688" s="140">
        <f>E1688*D1688</f>
        <v>991476.45000000007</v>
      </c>
      <c r="G1688" s="97" t="s">
        <v>1727</v>
      </c>
      <c r="H1688" s="92"/>
    </row>
    <row r="1689" spans="1:8" x14ac:dyDescent="0.2">
      <c r="A1689" s="81" t="s">
        <v>1712</v>
      </c>
      <c r="B1689" s="82" t="s">
        <v>1713</v>
      </c>
      <c r="C1689" s="135" t="s">
        <v>1759</v>
      </c>
      <c r="D1689" s="136">
        <v>0</v>
      </c>
      <c r="E1689" s="136">
        <v>0</v>
      </c>
      <c r="F1689" s="137">
        <f>F1690</f>
        <v>187784.4</v>
      </c>
      <c r="G1689" s="96"/>
      <c r="H1689" s="91"/>
    </row>
    <row r="1690" spans="1:8" x14ac:dyDescent="0.2">
      <c r="A1690" s="83" t="s">
        <v>1714</v>
      </c>
      <c r="B1690" s="84" t="s">
        <v>1715</v>
      </c>
      <c r="C1690" s="138" t="s">
        <v>92</v>
      </c>
      <c r="D1690" s="139">
        <v>1</v>
      </c>
      <c r="E1690" s="139">
        <v>187784.4</v>
      </c>
      <c r="F1690" s="140">
        <f>E1690*D1690</f>
        <v>187784.4</v>
      </c>
      <c r="G1690" s="97" t="s">
        <v>52</v>
      </c>
      <c r="H1690" s="92"/>
    </row>
    <row r="1691" spans="1:8" x14ac:dyDescent="0.2">
      <c r="A1691" s="81" t="s">
        <v>1716</v>
      </c>
      <c r="B1691" s="82" t="s">
        <v>40</v>
      </c>
      <c r="C1691" s="135" t="s">
        <v>1759</v>
      </c>
      <c r="D1691" s="136">
        <v>0</v>
      </c>
      <c r="E1691" s="136">
        <v>0</v>
      </c>
      <c r="F1691" s="137">
        <f>F1692</f>
        <v>438163.60000000003</v>
      </c>
      <c r="G1691" s="96"/>
      <c r="H1691" s="91"/>
    </row>
    <row r="1692" spans="1:8" x14ac:dyDescent="0.2">
      <c r="A1692" s="83" t="s">
        <v>1717</v>
      </c>
      <c r="B1692" s="84" t="s">
        <v>40</v>
      </c>
      <c r="C1692" s="138" t="s">
        <v>92</v>
      </c>
      <c r="D1692" s="139">
        <v>1</v>
      </c>
      <c r="E1692" s="139">
        <v>438163.60000000003</v>
      </c>
      <c r="F1692" s="140">
        <f>E1692*D1692</f>
        <v>438163.60000000003</v>
      </c>
      <c r="G1692" s="97" t="s">
        <v>52</v>
      </c>
      <c r="H1692" s="92"/>
    </row>
    <row r="1693" spans="1:8" x14ac:dyDescent="0.2">
      <c r="A1693" s="81" t="s">
        <v>1718</v>
      </c>
      <c r="B1693" s="82" t="s">
        <v>1719</v>
      </c>
      <c r="C1693" s="135" t="s">
        <v>1759</v>
      </c>
      <c r="D1693" s="136">
        <v>0</v>
      </c>
      <c r="E1693" s="136">
        <v>0</v>
      </c>
      <c r="F1693" s="137">
        <f>F1694+F1695</f>
        <v>350530.88</v>
      </c>
      <c r="G1693" s="96"/>
      <c r="H1693" s="91"/>
    </row>
    <row r="1694" spans="1:8" x14ac:dyDescent="0.2">
      <c r="A1694" s="83" t="s">
        <v>1720</v>
      </c>
      <c r="B1694" s="84" t="s">
        <v>1721</v>
      </c>
      <c r="C1694" s="138" t="s">
        <v>92</v>
      </c>
      <c r="D1694" s="139">
        <v>1</v>
      </c>
      <c r="E1694" s="139">
        <v>225341.28</v>
      </c>
      <c r="F1694" s="140">
        <f>E1694*D1694</f>
        <v>225341.28</v>
      </c>
      <c r="G1694" s="97" t="s">
        <v>52</v>
      </c>
      <c r="H1694" s="92"/>
    </row>
    <row r="1695" spans="1:8" x14ac:dyDescent="0.2">
      <c r="A1695" s="83" t="s">
        <v>1722</v>
      </c>
      <c r="B1695" s="84" t="s">
        <v>1723</v>
      </c>
      <c r="C1695" s="138" t="s">
        <v>92</v>
      </c>
      <c r="D1695" s="139">
        <v>1</v>
      </c>
      <c r="E1695" s="139">
        <v>125189.6</v>
      </c>
      <c r="F1695" s="140">
        <f>E1695*D1695</f>
        <v>125189.6</v>
      </c>
      <c r="G1695" s="97" t="s">
        <v>52</v>
      </c>
      <c r="H1695" s="92"/>
    </row>
    <row r="1696" spans="1:8" x14ac:dyDescent="0.2">
      <c r="A1696" s="81" t="s">
        <v>1724</v>
      </c>
      <c r="B1696" s="82" t="s">
        <v>41</v>
      </c>
      <c r="C1696" s="135"/>
      <c r="D1696" s="136"/>
      <c r="E1696" s="136"/>
      <c r="F1696" s="137">
        <f>F1697</f>
        <v>908229.9886305955</v>
      </c>
      <c r="G1696" s="96"/>
      <c r="H1696" s="91"/>
    </row>
    <row r="1697" spans="1:8" x14ac:dyDescent="0.2">
      <c r="A1697" s="83" t="s">
        <v>1725</v>
      </c>
      <c r="B1697" s="84" t="s">
        <v>1726</v>
      </c>
      <c r="C1697" s="138" t="s">
        <v>92</v>
      </c>
      <c r="D1697" s="139">
        <v>1</v>
      </c>
      <c r="E1697" s="139">
        <v>908229.9886305955</v>
      </c>
      <c r="F1697" s="140">
        <f>E1697*D1697</f>
        <v>908229.9886305955</v>
      </c>
      <c r="G1697" s="97" t="s">
        <v>1728</v>
      </c>
      <c r="H1697" s="92"/>
    </row>
    <row r="1698" spans="1:8" ht="20.25" thickBot="1" x14ac:dyDescent="0.25">
      <c r="A1698" s="342" t="s">
        <v>42</v>
      </c>
      <c r="B1698" s="343"/>
      <c r="C1698" s="343"/>
      <c r="D1698" s="343"/>
      <c r="E1698" s="343"/>
      <c r="F1698" s="157">
        <f>F13+F109</f>
        <v>37237429.533854425</v>
      </c>
      <c r="G1698" s="335"/>
      <c r="H1698" s="336"/>
    </row>
    <row r="1699" spans="1:8" x14ac:dyDescent="0.2">
      <c r="A1699" s="461"/>
      <c r="B1699" s="462"/>
      <c r="C1699" s="460"/>
      <c r="D1699" s="460"/>
      <c r="E1699" s="459"/>
      <c r="F1699" s="459"/>
    </row>
    <row r="1700" spans="1:8" x14ac:dyDescent="0.2">
      <c r="F1700" s="1"/>
    </row>
    <row r="1701" spans="1:8" x14ac:dyDescent="0.2">
      <c r="F1701" s="1"/>
    </row>
    <row r="1702" spans="1:8" x14ac:dyDescent="0.2">
      <c r="F1702" s="1"/>
    </row>
    <row r="1703" spans="1:8" x14ac:dyDescent="0.2">
      <c r="F1703" s="1"/>
    </row>
    <row r="1704" spans="1:8" x14ac:dyDescent="0.2">
      <c r="F1704" s="1"/>
    </row>
    <row r="1705" spans="1:8" x14ac:dyDescent="0.2">
      <c r="F1705" s="1"/>
    </row>
    <row r="1706" spans="1:8" x14ac:dyDescent="0.2">
      <c r="F1706" s="1"/>
    </row>
    <row r="1707" spans="1:8" x14ac:dyDescent="0.2">
      <c r="F1707" s="1"/>
    </row>
    <row r="1708" spans="1:8" x14ac:dyDescent="0.2">
      <c r="F1708" s="1"/>
    </row>
    <row r="1709" spans="1:8" x14ac:dyDescent="0.2">
      <c r="F1709" s="1"/>
    </row>
    <row r="1710" spans="1:8" x14ac:dyDescent="0.2">
      <c r="F1710" s="1"/>
    </row>
    <row r="1711" spans="1:8" x14ac:dyDescent="0.2">
      <c r="F1711" s="1"/>
    </row>
    <row r="1712" spans="1:8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  <row r="2019" spans="6:6" x14ac:dyDescent="0.2">
      <c r="F2019" s="1"/>
    </row>
    <row r="2020" spans="6:6" x14ac:dyDescent="0.2">
      <c r="F2020" s="1"/>
    </row>
    <row r="2021" spans="6:6" x14ac:dyDescent="0.2">
      <c r="F2021" s="1"/>
    </row>
    <row r="2022" spans="6:6" x14ac:dyDescent="0.2">
      <c r="F2022" s="1"/>
    </row>
    <row r="2023" spans="6:6" x14ac:dyDescent="0.2">
      <c r="F2023" s="1"/>
    </row>
    <row r="2024" spans="6:6" x14ac:dyDescent="0.2">
      <c r="F2024" s="1"/>
    </row>
    <row r="2025" spans="6:6" x14ac:dyDescent="0.2">
      <c r="F2025" s="1"/>
    </row>
    <row r="2026" spans="6:6" x14ac:dyDescent="0.2">
      <c r="F2026" s="1"/>
    </row>
    <row r="2027" spans="6:6" x14ac:dyDescent="0.2">
      <c r="F2027" s="1"/>
    </row>
    <row r="2028" spans="6:6" x14ac:dyDescent="0.2">
      <c r="F2028" s="1"/>
    </row>
    <row r="2029" spans="6:6" x14ac:dyDescent="0.2">
      <c r="F2029" s="1"/>
    </row>
    <row r="2030" spans="6:6" x14ac:dyDescent="0.2">
      <c r="F2030" s="1"/>
    </row>
    <row r="2031" spans="6:6" x14ac:dyDescent="0.2">
      <c r="F2031" s="1"/>
    </row>
    <row r="2032" spans="6:6" x14ac:dyDescent="0.2">
      <c r="F2032" s="1"/>
    </row>
    <row r="2033" spans="6:6" x14ac:dyDescent="0.2">
      <c r="F2033" s="1"/>
    </row>
    <row r="2034" spans="6:6" x14ac:dyDescent="0.2">
      <c r="F2034" s="1"/>
    </row>
    <row r="2035" spans="6:6" x14ac:dyDescent="0.2">
      <c r="F2035" s="1"/>
    </row>
    <row r="2036" spans="6:6" x14ac:dyDescent="0.2">
      <c r="F2036" s="1"/>
    </row>
    <row r="2037" spans="6:6" x14ac:dyDescent="0.2">
      <c r="F2037" s="1"/>
    </row>
    <row r="2038" spans="6:6" x14ac:dyDescent="0.2">
      <c r="F2038" s="1"/>
    </row>
    <row r="2039" spans="6:6" x14ac:dyDescent="0.2">
      <c r="F2039" s="1"/>
    </row>
    <row r="2040" spans="6:6" x14ac:dyDescent="0.2">
      <c r="F2040" s="1"/>
    </row>
    <row r="2041" spans="6:6" x14ac:dyDescent="0.2">
      <c r="F2041" s="1"/>
    </row>
    <row r="2042" spans="6:6" x14ac:dyDescent="0.2">
      <c r="F2042" s="1"/>
    </row>
    <row r="2043" spans="6:6" x14ac:dyDescent="0.2">
      <c r="F2043" s="1"/>
    </row>
    <row r="2044" spans="6:6" x14ac:dyDescent="0.2">
      <c r="F2044" s="1"/>
    </row>
    <row r="2045" spans="6:6" x14ac:dyDescent="0.2">
      <c r="F2045" s="1"/>
    </row>
    <row r="2046" spans="6:6" x14ac:dyDescent="0.2">
      <c r="F2046" s="1"/>
    </row>
    <row r="2047" spans="6:6" x14ac:dyDescent="0.2">
      <c r="F2047" s="1"/>
    </row>
    <row r="2048" spans="6:6" x14ac:dyDescent="0.2">
      <c r="F2048" s="1"/>
    </row>
    <row r="2049" spans="6:6" x14ac:dyDescent="0.2">
      <c r="F2049" s="1"/>
    </row>
    <row r="2050" spans="6:6" x14ac:dyDescent="0.2">
      <c r="F2050" s="1"/>
    </row>
    <row r="2051" spans="6:6" x14ac:dyDescent="0.2">
      <c r="F2051" s="1"/>
    </row>
    <row r="2052" spans="6:6" x14ac:dyDescent="0.2">
      <c r="F2052" s="1"/>
    </row>
    <row r="2053" spans="6:6" x14ac:dyDescent="0.2">
      <c r="F2053" s="1"/>
    </row>
    <row r="2054" spans="6:6" x14ac:dyDescent="0.2">
      <c r="F2054" s="1"/>
    </row>
    <row r="2055" spans="6:6" x14ac:dyDescent="0.2">
      <c r="F2055" s="1"/>
    </row>
    <row r="2056" spans="6:6" x14ac:dyDescent="0.2">
      <c r="F2056" s="1"/>
    </row>
    <row r="2057" spans="6:6" x14ac:dyDescent="0.2">
      <c r="F2057" s="1"/>
    </row>
    <row r="2058" spans="6:6" x14ac:dyDescent="0.2">
      <c r="F2058" s="1"/>
    </row>
    <row r="2059" spans="6:6" x14ac:dyDescent="0.2">
      <c r="F2059" s="1"/>
    </row>
    <row r="2060" spans="6:6" x14ac:dyDescent="0.2">
      <c r="F2060" s="1"/>
    </row>
    <row r="2061" spans="6:6" x14ac:dyDescent="0.2">
      <c r="F2061" s="1"/>
    </row>
    <row r="2062" spans="6:6" x14ac:dyDescent="0.2">
      <c r="F2062" s="1"/>
    </row>
    <row r="2063" spans="6:6" x14ac:dyDescent="0.2">
      <c r="F2063" s="1"/>
    </row>
    <row r="2064" spans="6:6" x14ac:dyDescent="0.2">
      <c r="F2064" s="1"/>
    </row>
    <row r="2065" spans="6:6" x14ac:dyDescent="0.2">
      <c r="F2065" s="1"/>
    </row>
    <row r="2066" spans="6:6" x14ac:dyDescent="0.2">
      <c r="F2066" s="1"/>
    </row>
    <row r="2067" spans="6:6" x14ac:dyDescent="0.2">
      <c r="F2067" s="1"/>
    </row>
    <row r="2068" spans="6:6" x14ac:dyDescent="0.2">
      <c r="F2068" s="1"/>
    </row>
    <row r="2069" spans="6:6" x14ac:dyDescent="0.2">
      <c r="F2069" s="1"/>
    </row>
    <row r="2070" spans="6:6" x14ac:dyDescent="0.2">
      <c r="F2070" s="1"/>
    </row>
    <row r="2071" spans="6:6" x14ac:dyDescent="0.2">
      <c r="F2071" s="1"/>
    </row>
    <row r="2072" spans="6:6" x14ac:dyDescent="0.2">
      <c r="F2072" s="1"/>
    </row>
    <row r="2073" spans="6:6" x14ac:dyDescent="0.2">
      <c r="F2073" s="1"/>
    </row>
    <row r="2074" spans="6:6" x14ac:dyDescent="0.2">
      <c r="F2074" s="1"/>
    </row>
    <row r="2075" spans="6:6" x14ac:dyDescent="0.2">
      <c r="F2075" s="1"/>
    </row>
    <row r="2076" spans="6:6" x14ac:dyDescent="0.2">
      <c r="F2076" s="1"/>
    </row>
    <row r="2077" spans="6:6" x14ac:dyDescent="0.2">
      <c r="F2077" s="1"/>
    </row>
    <row r="2078" spans="6:6" x14ac:dyDescent="0.2">
      <c r="F2078" s="1"/>
    </row>
    <row r="2079" spans="6:6" x14ac:dyDescent="0.2">
      <c r="F2079" s="1"/>
    </row>
    <row r="2080" spans="6:6" x14ac:dyDescent="0.2">
      <c r="F2080" s="1"/>
    </row>
    <row r="2081" spans="6:6" x14ac:dyDescent="0.2">
      <c r="F2081" s="1"/>
    </row>
    <row r="2082" spans="6:6" x14ac:dyDescent="0.2">
      <c r="F2082" s="1"/>
    </row>
    <row r="2083" spans="6:6" x14ac:dyDescent="0.2">
      <c r="F2083" s="1"/>
    </row>
    <row r="2084" spans="6:6" x14ac:dyDescent="0.2">
      <c r="F2084" s="1"/>
    </row>
    <row r="2085" spans="6:6" x14ac:dyDescent="0.2">
      <c r="F2085" s="1"/>
    </row>
    <row r="2086" spans="6:6" x14ac:dyDescent="0.2">
      <c r="F2086" s="1"/>
    </row>
    <row r="2087" spans="6:6" x14ac:dyDescent="0.2">
      <c r="F2087" s="1"/>
    </row>
    <row r="2088" spans="6:6" x14ac:dyDescent="0.2">
      <c r="F2088" s="1"/>
    </row>
    <row r="2089" spans="6:6" x14ac:dyDescent="0.2">
      <c r="F2089" s="1"/>
    </row>
    <row r="2090" spans="6:6" x14ac:dyDescent="0.2">
      <c r="F2090" s="1"/>
    </row>
    <row r="2091" spans="6:6" x14ac:dyDescent="0.2">
      <c r="F2091" s="1"/>
    </row>
    <row r="2092" spans="6:6" x14ac:dyDescent="0.2">
      <c r="F2092" s="1"/>
    </row>
    <row r="2093" spans="6:6" x14ac:dyDescent="0.2">
      <c r="F2093" s="1"/>
    </row>
    <row r="2094" spans="6:6" x14ac:dyDescent="0.2">
      <c r="F2094" s="1"/>
    </row>
    <row r="2095" spans="6:6" x14ac:dyDescent="0.2">
      <c r="F2095" s="1"/>
    </row>
    <row r="2096" spans="6:6" x14ac:dyDescent="0.2">
      <c r="F2096" s="1"/>
    </row>
    <row r="2097" spans="6:6" x14ac:dyDescent="0.2">
      <c r="F2097" s="1"/>
    </row>
    <row r="2098" spans="6:6" x14ac:dyDescent="0.2">
      <c r="F2098" s="1"/>
    </row>
    <row r="2099" spans="6:6" x14ac:dyDescent="0.2">
      <c r="F2099" s="1"/>
    </row>
    <row r="2100" spans="6:6" x14ac:dyDescent="0.2">
      <c r="F2100" s="1"/>
    </row>
    <row r="2101" spans="6:6" x14ac:dyDescent="0.2">
      <c r="F2101" s="1"/>
    </row>
    <row r="2102" spans="6:6" x14ac:dyDescent="0.2">
      <c r="F2102" s="1"/>
    </row>
    <row r="2103" spans="6:6" x14ac:dyDescent="0.2">
      <c r="F2103" s="1"/>
    </row>
    <row r="2104" spans="6:6" x14ac:dyDescent="0.2">
      <c r="F2104" s="1"/>
    </row>
    <row r="2105" spans="6:6" x14ac:dyDescent="0.2">
      <c r="F2105" s="1"/>
    </row>
    <row r="2106" spans="6:6" x14ac:dyDescent="0.2">
      <c r="F2106" s="1"/>
    </row>
    <row r="2107" spans="6:6" x14ac:dyDescent="0.2">
      <c r="F2107" s="1"/>
    </row>
    <row r="2108" spans="6:6" x14ac:dyDescent="0.2">
      <c r="F2108" s="1"/>
    </row>
    <row r="2109" spans="6:6" x14ac:dyDescent="0.2">
      <c r="F2109" s="1"/>
    </row>
    <row r="2110" spans="6:6" x14ac:dyDescent="0.2">
      <c r="F2110" s="1"/>
    </row>
    <row r="2111" spans="6:6" x14ac:dyDescent="0.2">
      <c r="F2111" s="1"/>
    </row>
    <row r="2112" spans="6:6" x14ac:dyDescent="0.2">
      <c r="F2112" s="1"/>
    </row>
    <row r="2113" spans="6:6" x14ac:dyDescent="0.2">
      <c r="F2113" s="1"/>
    </row>
    <row r="2114" spans="6:6" x14ac:dyDescent="0.2">
      <c r="F2114" s="1"/>
    </row>
    <row r="2115" spans="6:6" x14ac:dyDescent="0.2">
      <c r="F2115" s="1"/>
    </row>
    <row r="2116" spans="6:6" x14ac:dyDescent="0.2">
      <c r="F2116" s="1"/>
    </row>
    <row r="2117" spans="6:6" x14ac:dyDescent="0.2">
      <c r="F2117" s="1"/>
    </row>
    <row r="2118" spans="6:6" x14ac:dyDescent="0.2">
      <c r="F2118" s="1"/>
    </row>
  </sheetData>
  <autoFilter ref="A12:H1701" xr:uid="{00000000-0009-0000-0000-000003000000}"/>
  <mergeCells count="12">
    <mergeCell ref="E1699:F1699"/>
    <mergeCell ref="C1699:D1699"/>
    <mergeCell ref="A1699:B1699"/>
    <mergeCell ref="A1:H6"/>
    <mergeCell ref="B7:H7"/>
    <mergeCell ref="B8:H8"/>
    <mergeCell ref="B9:H9"/>
    <mergeCell ref="B10:H10"/>
    <mergeCell ref="G1698:H1698"/>
    <mergeCell ref="G11:H11"/>
    <mergeCell ref="A11:F11"/>
    <mergeCell ref="A1698:E1698"/>
  </mergeCells>
  <phoneticPr fontId="13" type="noConversion"/>
  <pageMargins left="0.52999994886203072" right="0.52999994886203072" top="0.52999994886203072" bottom="0.68999998212799307" header="0" footer="0"/>
  <pageSetup paperSize="9" scale="46" orientation="landscape" r:id="rId1"/>
  <rowBreaks count="1" manualBreakCount="1">
    <brk id="5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E627-0974-46CF-A3EF-4D96289F0FA4}">
  <sheetPr>
    <pageSetUpPr fitToPage="1"/>
  </sheetPr>
  <dimension ref="B1:AC193"/>
  <sheetViews>
    <sheetView showGridLines="0" zoomScale="70" zoomScaleNormal="70" zoomScaleSheetLayoutView="80" workbookViewId="0">
      <selection activeCell="I30" sqref="I30"/>
    </sheetView>
  </sheetViews>
  <sheetFormatPr defaultColWidth="9.140625" defaultRowHeight="12.75" x14ac:dyDescent="0.2"/>
  <cols>
    <col min="1" max="1" width="4.28515625" style="367" customWidth="1"/>
    <col min="2" max="2" width="16.85546875" style="367" customWidth="1"/>
    <col min="3" max="3" width="12.85546875" style="367" customWidth="1"/>
    <col min="4" max="4" width="10.5703125" style="367" customWidth="1"/>
    <col min="5" max="5" width="69.7109375" style="367" customWidth="1"/>
    <col min="6" max="6" width="14" style="367" customWidth="1"/>
    <col min="7" max="7" width="14" style="458" customWidth="1"/>
    <col min="8" max="8" width="22.5703125" style="458" bestFit="1" customWidth="1"/>
    <col min="9" max="9" width="29.42578125" style="458" customWidth="1"/>
    <col min="10" max="10" width="20" style="367" customWidth="1"/>
    <col min="11" max="16384" width="9.140625" style="367"/>
  </cols>
  <sheetData>
    <row r="1" spans="2:29" s="370" customFormat="1" ht="19.5" thickBot="1" x14ac:dyDescent="0.35">
      <c r="B1" s="365"/>
      <c r="C1" s="366"/>
      <c r="D1" s="366"/>
      <c r="E1" s="367"/>
      <c r="F1" s="368"/>
      <c r="G1" s="369"/>
      <c r="H1" s="369"/>
      <c r="I1" s="367"/>
      <c r="J1" s="367"/>
      <c r="K1" s="367"/>
      <c r="L1" s="367"/>
      <c r="M1" s="367"/>
      <c r="N1" s="367"/>
      <c r="O1" s="367"/>
      <c r="P1" s="367"/>
      <c r="Q1" s="367"/>
    </row>
    <row r="2" spans="2:29" s="370" customFormat="1" ht="29.25" thickBot="1" x14ac:dyDescent="0.3">
      <c r="B2" s="371" t="s">
        <v>85</v>
      </c>
      <c r="C2" s="372"/>
      <c r="D2" s="372"/>
      <c r="E2" s="372"/>
      <c r="F2" s="372"/>
      <c r="G2" s="372"/>
      <c r="H2" s="373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</row>
    <row r="3" spans="2:29" s="370" customFormat="1" ht="19.5" thickBot="1" x14ac:dyDescent="0.35">
      <c r="B3" s="365"/>
      <c r="C3" s="365"/>
      <c r="D3" s="365"/>
      <c r="E3" s="365"/>
      <c r="F3" s="368"/>
      <c r="G3" s="369"/>
      <c r="H3" s="369"/>
      <c r="I3" s="365"/>
      <c r="J3" s="365"/>
      <c r="K3" s="365"/>
      <c r="L3" s="365"/>
      <c r="M3" s="365"/>
      <c r="N3" s="365"/>
      <c r="O3" s="365"/>
      <c r="P3" s="365"/>
      <c r="Q3" s="365"/>
    </row>
    <row r="4" spans="2:29" s="370" customFormat="1" ht="14.25" customHeight="1" x14ac:dyDescent="0.3">
      <c r="B4" s="375" t="s">
        <v>0</v>
      </c>
      <c r="C4" s="376" t="s">
        <v>2433</v>
      </c>
      <c r="D4" s="376"/>
      <c r="E4" s="376"/>
      <c r="F4" s="376"/>
      <c r="G4" s="377"/>
      <c r="H4" s="378"/>
      <c r="I4" s="365"/>
      <c r="J4" s="365"/>
      <c r="K4" s="365"/>
      <c r="L4" s="365"/>
      <c r="M4" s="365"/>
      <c r="N4" s="365"/>
      <c r="O4" s="365"/>
      <c r="P4" s="365"/>
      <c r="Q4" s="365"/>
    </row>
    <row r="5" spans="2:29" s="370" customFormat="1" ht="14.25" customHeight="1" x14ac:dyDescent="0.3">
      <c r="B5" s="379" t="s">
        <v>53</v>
      </c>
      <c r="C5" s="380" t="s">
        <v>2434</v>
      </c>
      <c r="D5" s="380"/>
      <c r="E5" s="380"/>
      <c r="F5" s="380"/>
      <c r="G5" s="381"/>
      <c r="H5" s="382"/>
      <c r="I5" s="365"/>
      <c r="J5" s="365"/>
      <c r="K5" s="365"/>
      <c r="L5" s="365"/>
      <c r="M5" s="365"/>
      <c r="N5" s="365"/>
      <c r="O5" s="365"/>
      <c r="P5" s="365"/>
      <c r="Q5" s="365"/>
    </row>
    <row r="6" spans="2:29" s="370" customFormat="1" ht="14.25" customHeight="1" x14ac:dyDescent="0.3">
      <c r="B6" s="379" t="s">
        <v>54</v>
      </c>
      <c r="C6" s="380" t="s">
        <v>47</v>
      </c>
      <c r="D6" s="380"/>
      <c r="E6" s="380"/>
      <c r="F6" s="380"/>
      <c r="G6" s="381"/>
      <c r="H6" s="382"/>
      <c r="I6" s="365"/>
      <c r="J6" s="365"/>
      <c r="K6" s="365"/>
      <c r="L6" s="365"/>
      <c r="M6" s="365"/>
      <c r="N6" s="365"/>
      <c r="O6" s="365"/>
      <c r="P6" s="365"/>
      <c r="Q6" s="365"/>
    </row>
    <row r="7" spans="2:29" s="370" customFormat="1" ht="14.25" customHeight="1" thickBot="1" x14ac:dyDescent="0.35">
      <c r="B7" s="383" t="s">
        <v>45</v>
      </c>
      <c r="C7" s="384">
        <v>45338</v>
      </c>
      <c r="D7" s="380"/>
      <c r="E7" s="380"/>
      <c r="F7" s="380"/>
      <c r="G7" s="381"/>
      <c r="H7" s="382"/>
      <c r="I7" s="365"/>
      <c r="J7" s="365"/>
      <c r="K7" s="365"/>
      <c r="L7" s="365"/>
      <c r="M7" s="365"/>
      <c r="N7" s="365"/>
      <c r="O7" s="365"/>
      <c r="P7" s="365"/>
      <c r="Q7" s="365"/>
    </row>
    <row r="8" spans="2:29" s="370" customFormat="1" ht="14.25" customHeight="1" thickBot="1" x14ac:dyDescent="0.35">
      <c r="B8" s="385" t="s">
        <v>2435</v>
      </c>
      <c r="C8" s="386"/>
      <c r="D8" s="386"/>
      <c r="E8" s="386"/>
      <c r="F8" s="386"/>
      <c r="G8" s="387"/>
      <c r="H8" s="388"/>
      <c r="I8" s="365"/>
      <c r="J8" s="365"/>
      <c r="K8" s="365"/>
      <c r="L8" s="365"/>
      <c r="M8" s="365"/>
      <c r="N8" s="365"/>
      <c r="O8" s="365"/>
      <c r="P8" s="365"/>
      <c r="Q8" s="365"/>
    </row>
    <row r="9" spans="2:29" ht="40.15" customHeight="1" thickBot="1" x14ac:dyDescent="0.35">
      <c r="B9" s="365"/>
      <c r="C9" s="389"/>
      <c r="D9" s="389"/>
      <c r="F9" s="368"/>
      <c r="G9" s="369"/>
      <c r="H9" s="369"/>
      <c r="I9" s="367"/>
    </row>
    <row r="10" spans="2:29" s="395" customFormat="1" ht="40.15" customHeight="1" x14ac:dyDescent="0.2">
      <c r="B10" s="390" t="s">
        <v>2436</v>
      </c>
      <c r="C10" s="391" t="s">
        <v>2437</v>
      </c>
      <c r="D10" s="391" t="s">
        <v>2438</v>
      </c>
      <c r="E10" s="392" t="s">
        <v>2</v>
      </c>
      <c r="F10" s="392" t="s">
        <v>2439</v>
      </c>
      <c r="G10" s="393" t="s">
        <v>2440</v>
      </c>
      <c r="H10" s="394" t="s">
        <v>2441</v>
      </c>
    </row>
    <row r="11" spans="2:29" x14ac:dyDescent="0.2">
      <c r="B11" s="396" t="s">
        <v>2442</v>
      </c>
      <c r="C11" s="397" t="s">
        <v>2443</v>
      </c>
      <c r="D11" s="397">
        <v>33.380000000000003</v>
      </c>
      <c r="E11" s="398" t="s">
        <v>2444</v>
      </c>
      <c r="F11" s="399">
        <v>3</v>
      </c>
      <c r="G11" s="400">
        <f>199+367.9</f>
        <v>566.9</v>
      </c>
      <c r="H11" s="401">
        <f t="shared" ref="H11:H18" si="0">F11*G11</f>
        <v>1700.6999999999998</v>
      </c>
      <c r="I11" s="367"/>
    </row>
    <row r="12" spans="2:29" x14ac:dyDescent="0.2">
      <c r="B12" s="396"/>
      <c r="C12" s="402"/>
      <c r="D12" s="402"/>
      <c r="E12" s="398" t="s">
        <v>2445</v>
      </c>
      <c r="F12" s="399">
        <v>2</v>
      </c>
      <c r="G12" s="400">
        <v>5899</v>
      </c>
      <c r="H12" s="401">
        <f t="shared" si="0"/>
        <v>11798</v>
      </c>
      <c r="I12" s="367"/>
    </row>
    <row r="13" spans="2:29" x14ac:dyDescent="0.2">
      <c r="B13" s="396"/>
      <c r="C13" s="402"/>
      <c r="D13" s="402"/>
      <c r="E13" s="398" t="s">
        <v>2446</v>
      </c>
      <c r="F13" s="399">
        <v>1</v>
      </c>
      <c r="G13" s="400">
        <v>2013</v>
      </c>
      <c r="H13" s="401">
        <f t="shared" si="0"/>
        <v>2013</v>
      </c>
      <c r="I13" s="367"/>
    </row>
    <row r="14" spans="2:29" x14ac:dyDescent="0.2">
      <c r="B14" s="396"/>
      <c r="C14" s="402"/>
      <c r="D14" s="402"/>
      <c r="E14" s="398" t="s">
        <v>2447</v>
      </c>
      <c r="F14" s="399">
        <v>6</v>
      </c>
      <c r="G14" s="400">
        <v>350</v>
      </c>
      <c r="H14" s="401">
        <f t="shared" si="0"/>
        <v>2100</v>
      </c>
      <c r="I14" s="367"/>
    </row>
    <row r="15" spans="2:29" x14ac:dyDescent="0.2">
      <c r="B15" s="396"/>
      <c r="C15" s="402"/>
      <c r="D15" s="402"/>
      <c r="E15" s="398" t="s">
        <v>2448</v>
      </c>
      <c r="F15" s="399">
        <v>4</v>
      </c>
      <c r="G15" s="400">
        <v>1359</v>
      </c>
      <c r="H15" s="401">
        <f t="shared" si="0"/>
        <v>5436</v>
      </c>
      <c r="I15" s="367"/>
    </row>
    <row r="16" spans="2:29" x14ac:dyDescent="0.2">
      <c r="B16" s="396"/>
      <c r="C16" s="402"/>
      <c r="D16" s="402"/>
      <c r="E16" s="398" t="s">
        <v>2449</v>
      </c>
      <c r="F16" s="399">
        <v>1</v>
      </c>
      <c r="G16" s="400">
        <v>4800</v>
      </c>
      <c r="H16" s="401">
        <f t="shared" si="0"/>
        <v>4800</v>
      </c>
      <c r="I16" s="367"/>
    </row>
    <row r="17" spans="2:9" ht="25.5" x14ac:dyDescent="0.2">
      <c r="B17" s="396"/>
      <c r="C17" s="402"/>
      <c r="D17" s="402"/>
      <c r="E17" s="398" t="s">
        <v>2450</v>
      </c>
      <c r="F17" s="399">
        <v>1</v>
      </c>
      <c r="G17" s="400">
        <v>179.8</v>
      </c>
      <c r="H17" s="401">
        <f t="shared" si="0"/>
        <v>179.8</v>
      </c>
      <c r="I17" s="367"/>
    </row>
    <row r="18" spans="2:9" x14ac:dyDescent="0.2">
      <c r="B18" s="396"/>
      <c r="C18" s="402"/>
      <c r="D18" s="402"/>
      <c r="E18" s="398" t="s">
        <v>2451</v>
      </c>
      <c r="F18" s="399">
        <v>3</v>
      </c>
      <c r="G18" s="400">
        <v>1217</v>
      </c>
      <c r="H18" s="401">
        <f t="shared" si="0"/>
        <v>3651</v>
      </c>
      <c r="I18" s="367"/>
    </row>
    <row r="19" spans="2:9" x14ac:dyDescent="0.2">
      <c r="B19" s="403"/>
      <c r="C19" s="404" t="s">
        <v>2452</v>
      </c>
      <c r="D19" s="405"/>
      <c r="E19" s="404"/>
      <c r="F19" s="406">
        <f>SUM(F11:F18)</f>
        <v>21</v>
      </c>
      <c r="G19" s="407"/>
      <c r="H19" s="408">
        <f>SUM(H11:H18)</f>
        <v>31678.5</v>
      </c>
      <c r="I19" s="367"/>
    </row>
    <row r="20" spans="2:9" x14ac:dyDescent="0.2">
      <c r="B20" s="409"/>
      <c r="C20" s="410" t="s">
        <v>2453</v>
      </c>
      <c r="D20" s="410"/>
      <c r="E20" s="410"/>
      <c r="F20" s="411">
        <f>F19</f>
        <v>21</v>
      </c>
      <c r="G20" s="412"/>
      <c r="H20" s="413">
        <f>H19</f>
        <v>31678.5</v>
      </c>
      <c r="I20" s="367"/>
    </row>
    <row r="21" spans="2:9" x14ac:dyDescent="0.2">
      <c r="B21" s="414" t="s">
        <v>2454</v>
      </c>
      <c r="C21" s="402" t="s">
        <v>2455</v>
      </c>
      <c r="D21" s="402">
        <v>38.270000000000003</v>
      </c>
      <c r="E21" s="415" t="s">
        <v>2456</v>
      </c>
      <c r="F21" s="416">
        <v>2</v>
      </c>
      <c r="G21" s="417">
        <v>9000</v>
      </c>
      <c r="H21" s="418">
        <f>F21*G21</f>
        <v>18000</v>
      </c>
      <c r="I21" s="367"/>
    </row>
    <row r="22" spans="2:9" x14ac:dyDescent="0.2">
      <c r="B22" s="396"/>
      <c r="C22" s="402"/>
      <c r="D22" s="402"/>
      <c r="E22" s="419" t="s">
        <v>2457</v>
      </c>
      <c r="F22" s="420">
        <v>1</v>
      </c>
      <c r="G22" s="421">
        <v>3245</v>
      </c>
      <c r="H22" s="401">
        <f t="shared" ref="H22:H36" si="1">F22*G22</f>
        <v>3245</v>
      </c>
      <c r="I22" s="367"/>
    </row>
    <row r="23" spans="2:9" x14ac:dyDescent="0.2">
      <c r="B23" s="396"/>
      <c r="C23" s="402"/>
      <c r="D23" s="402"/>
      <c r="E23" s="419" t="s">
        <v>2458</v>
      </c>
      <c r="F23" s="420">
        <v>1</v>
      </c>
      <c r="G23" s="421">
        <v>7440</v>
      </c>
      <c r="H23" s="401">
        <f t="shared" si="1"/>
        <v>7440</v>
      </c>
      <c r="I23" s="367"/>
    </row>
    <row r="24" spans="2:9" ht="25.5" x14ac:dyDescent="0.2">
      <c r="B24" s="396"/>
      <c r="C24" s="402"/>
      <c r="D24" s="402"/>
      <c r="E24" s="419" t="s">
        <v>2459</v>
      </c>
      <c r="F24" s="420">
        <v>1</v>
      </c>
      <c r="G24" s="421">
        <v>3250</v>
      </c>
      <c r="H24" s="401">
        <f t="shared" si="1"/>
        <v>3250</v>
      </c>
      <c r="I24" s="367"/>
    </row>
    <row r="25" spans="2:9" x14ac:dyDescent="0.2">
      <c r="B25" s="396"/>
      <c r="C25" s="402"/>
      <c r="D25" s="402"/>
      <c r="E25" s="419" t="s">
        <v>2460</v>
      </c>
      <c r="F25" s="420">
        <v>1</v>
      </c>
      <c r="G25" s="421">
        <v>859</v>
      </c>
      <c r="H25" s="401">
        <f t="shared" si="1"/>
        <v>859</v>
      </c>
      <c r="I25" s="367"/>
    </row>
    <row r="26" spans="2:9" x14ac:dyDescent="0.2">
      <c r="B26" s="396"/>
      <c r="C26" s="402"/>
      <c r="D26" s="402"/>
      <c r="E26" s="419" t="s">
        <v>2461</v>
      </c>
      <c r="F26" s="420">
        <v>1</v>
      </c>
      <c r="G26" s="421">
        <v>2650</v>
      </c>
      <c r="H26" s="401">
        <f t="shared" si="1"/>
        <v>2650</v>
      </c>
      <c r="I26" s="367"/>
    </row>
    <row r="27" spans="2:9" x14ac:dyDescent="0.2">
      <c r="B27" s="396"/>
      <c r="C27" s="402"/>
      <c r="D27" s="402"/>
      <c r="E27" s="419" t="s">
        <v>2462</v>
      </c>
      <c r="F27" s="420">
        <v>6</v>
      </c>
      <c r="G27" s="421">
        <v>150</v>
      </c>
      <c r="H27" s="401">
        <f>F27*G27</f>
        <v>900</v>
      </c>
      <c r="I27" s="367"/>
    </row>
    <row r="28" spans="2:9" x14ac:dyDescent="0.2">
      <c r="B28" s="396"/>
      <c r="C28" s="402"/>
      <c r="D28" s="402"/>
      <c r="E28" s="419" t="s">
        <v>2463</v>
      </c>
      <c r="F28" s="420">
        <v>1</v>
      </c>
      <c r="G28" s="421">
        <v>3500</v>
      </c>
      <c r="H28" s="401">
        <f t="shared" si="1"/>
        <v>3500</v>
      </c>
      <c r="I28" s="367"/>
    </row>
    <row r="29" spans="2:9" x14ac:dyDescent="0.2">
      <c r="B29" s="396"/>
      <c r="C29" s="402"/>
      <c r="D29" s="402"/>
      <c r="E29" s="398" t="s">
        <v>2464</v>
      </c>
      <c r="F29" s="399">
        <v>1</v>
      </c>
      <c r="G29" s="400">
        <v>8500</v>
      </c>
      <c r="H29" s="401">
        <f t="shared" si="1"/>
        <v>8500</v>
      </c>
      <c r="I29" s="367"/>
    </row>
    <row r="30" spans="2:9" ht="25.5" x14ac:dyDescent="0.2">
      <c r="B30" s="396"/>
      <c r="C30" s="402"/>
      <c r="D30" s="402"/>
      <c r="E30" s="419" t="s">
        <v>2465</v>
      </c>
      <c r="F30" s="420">
        <v>5</v>
      </c>
      <c r="G30" s="421">
        <v>316</v>
      </c>
      <c r="H30" s="401">
        <f t="shared" si="1"/>
        <v>1580</v>
      </c>
      <c r="I30" s="367"/>
    </row>
    <row r="31" spans="2:9" ht="25.5" x14ac:dyDescent="0.2">
      <c r="B31" s="396"/>
      <c r="C31" s="402"/>
      <c r="D31" s="402"/>
      <c r="E31" s="398" t="s">
        <v>2466</v>
      </c>
      <c r="F31" s="399">
        <v>1</v>
      </c>
      <c r="G31" s="400">
        <v>659</v>
      </c>
      <c r="H31" s="401">
        <f t="shared" si="1"/>
        <v>659</v>
      </c>
      <c r="I31" s="367"/>
    </row>
    <row r="32" spans="2:9" x14ac:dyDescent="0.2">
      <c r="B32" s="396"/>
      <c r="C32" s="402"/>
      <c r="D32" s="402"/>
      <c r="E32" s="419" t="s">
        <v>2467</v>
      </c>
      <c r="F32" s="420">
        <v>1</v>
      </c>
      <c r="G32" s="421">
        <v>1000</v>
      </c>
      <c r="H32" s="401">
        <f t="shared" si="1"/>
        <v>1000</v>
      </c>
      <c r="I32" s="367"/>
    </row>
    <row r="33" spans="2:9" x14ac:dyDescent="0.2">
      <c r="B33" s="396"/>
      <c r="C33" s="402"/>
      <c r="D33" s="402"/>
      <c r="E33" s="419" t="s">
        <v>2468</v>
      </c>
      <c r="F33" s="420">
        <v>4</v>
      </c>
      <c r="G33" s="421">
        <v>890</v>
      </c>
      <c r="H33" s="401">
        <f t="shared" si="1"/>
        <v>3560</v>
      </c>
      <c r="I33" s="367"/>
    </row>
    <row r="34" spans="2:9" x14ac:dyDescent="0.2">
      <c r="B34" s="396"/>
      <c r="C34" s="402"/>
      <c r="D34" s="402"/>
      <c r="E34" s="419" t="s">
        <v>2469</v>
      </c>
      <c r="F34" s="420">
        <v>2</v>
      </c>
      <c r="G34" s="421">
        <v>339.8</v>
      </c>
      <c r="H34" s="401">
        <f t="shared" si="1"/>
        <v>679.6</v>
      </c>
      <c r="I34" s="367"/>
    </row>
    <row r="35" spans="2:9" x14ac:dyDescent="0.2">
      <c r="B35" s="396"/>
      <c r="C35" s="402"/>
      <c r="D35" s="402"/>
      <c r="E35" s="419" t="s">
        <v>2470</v>
      </c>
      <c r="F35" s="420">
        <v>10</v>
      </c>
      <c r="G35" s="421">
        <v>319</v>
      </c>
      <c r="H35" s="401">
        <f t="shared" si="1"/>
        <v>3190</v>
      </c>
      <c r="I35" s="367"/>
    </row>
    <row r="36" spans="2:9" x14ac:dyDescent="0.2">
      <c r="B36" s="396"/>
      <c r="C36" s="402"/>
      <c r="D36" s="402"/>
      <c r="E36" s="419" t="s">
        <v>2471</v>
      </c>
      <c r="F36" s="420">
        <v>1</v>
      </c>
      <c r="G36" s="421">
        <v>298.94</v>
      </c>
      <c r="H36" s="401">
        <f t="shared" si="1"/>
        <v>298.94</v>
      </c>
      <c r="I36" s="367"/>
    </row>
    <row r="37" spans="2:9" x14ac:dyDescent="0.2">
      <c r="B37" s="403"/>
      <c r="C37" s="404" t="s">
        <v>2472</v>
      </c>
      <c r="D37" s="405"/>
      <c r="E37" s="404"/>
      <c r="F37" s="406">
        <f>SUM(F21:F36)</f>
        <v>39</v>
      </c>
      <c r="G37" s="407"/>
      <c r="H37" s="408">
        <f>SUM(H21:H36)</f>
        <v>59311.54</v>
      </c>
      <c r="I37" s="367"/>
    </row>
    <row r="38" spans="2:9" x14ac:dyDescent="0.2">
      <c r="B38" s="396"/>
      <c r="C38" s="422" t="s">
        <v>2473</v>
      </c>
      <c r="D38" s="422">
        <v>12.98</v>
      </c>
      <c r="E38" s="415" t="s">
        <v>2474</v>
      </c>
      <c r="F38" s="416">
        <v>1</v>
      </c>
      <c r="G38" s="417">
        <v>10990</v>
      </c>
      <c r="H38" s="418">
        <f>F38*G38</f>
        <v>10990</v>
      </c>
      <c r="I38" s="367"/>
    </row>
    <row r="39" spans="2:9" x14ac:dyDescent="0.2">
      <c r="B39" s="396"/>
      <c r="C39" s="422"/>
      <c r="D39" s="422"/>
      <c r="E39" s="419" t="s">
        <v>2475</v>
      </c>
      <c r="F39" s="420">
        <v>11</v>
      </c>
      <c r="G39" s="421">
        <v>2500</v>
      </c>
      <c r="H39" s="401">
        <f>F39*G39</f>
        <v>27500</v>
      </c>
      <c r="I39" s="367"/>
    </row>
    <row r="40" spans="2:9" x14ac:dyDescent="0.2">
      <c r="B40" s="396"/>
      <c r="C40" s="422"/>
      <c r="D40" s="422"/>
      <c r="E40" s="419" t="s">
        <v>2476</v>
      </c>
      <c r="F40" s="420">
        <v>13</v>
      </c>
      <c r="G40" s="421">
        <v>210.5</v>
      </c>
      <c r="H40" s="401">
        <f>F40*G40</f>
        <v>2736.5</v>
      </c>
      <c r="I40" s="367"/>
    </row>
    <row r="41" spans="2:9" x14ac:dyDescent="0.2">
      <c r="B41" s="396"/>
      <c r="C41" s="404" t="s">
        <v>2477</v>
      </c>
      <c r="D41" s="405"/>
      <c r="E41" s="404"/>
      <c r="F41" s="406">
        <f>SUM(F38:F40)</f>
        <v>25</v>
      </c>
      <c r="G41" s="407"/>
      <c r="H41" s="408">
        <f>SUM(H38:H40)</f>
        <v>41226.5</v>
      </c>
      <c r="I41" s="367"/>
    </row>
    <row r="42" spans="2:9" x14ac:dyDescent="0.2">
      <c r="B42" s="396"/>
      <c r="C42" s="422" t="s">
        <v>2478</v>
      </c>
      <c r="D42" s="422">
        <f>24.33+9.25+18.2</f>
        <v>51.78</v>
      </c>
      <c r="E42" s="415" t="s">
        <v>2479</v>
      </c>
      <c r="F42" s="416">
        <v>4</v>
      </c>
      <c r="G42" s="417">
        <v>3359</v>
      </c>
      <c r="H42" s="418">
        <f t="shared" ref="H42:H47" si="2">F42*G42</f>
        <v>13436</v>
      </c>
      <c r="I42" s="367"/>
    </row>
    <row r="43" spans="2:9" x14ac:dyDescent="0.2">
      <c r="B43" s="396"/>
      <c r="C43" s="422"/>
      <c r="D43" s="422"/>
      <c r="E43" s="419" t="s">
        <v>2480</v>
      </c>
      <c r="F43" s="420">
        <v>1</v>
      </c>
      <c r="G43" s="421">
        <v>5061.66</v>
      </c>
      <c r="H43" s="401">
        <f t="shared" si="2"/>
        <v>5061.66</v>
      </c>
      <c r="I43" s="367"/>
    </row>
    <row r="44" spans="2:9" ht="25.5" x14ac:dyDescent="0.2">
      <c r="B44" s="396"/>
      <c r="C44" s="422"/>
      <c r="D44" s="422"/>
      <c r="E44" s="419" t="s">
        <v>2481</v>
      </c>
      <c r="F44" s="420">
        <v>6</v>
      </c>
      <c r="G44" s="421">
        <v>578.67999999999995</v>
      </c>
      <c r="H44" s="401">
        <f t="shared" si="2"/>
        <v>3472.08</v>
      </c>
      <c r="I44" s="367"/>
    </row>
    <row r="45" spans="2:9" x14ac:dyDescent="0.2">
      <c r="B45" s="396"/>
      <c r="C45" s="422"/>
      <c r="D45" s="422"/>
      <c r="E45" s="398" t="s">
        <v>2482</v>
      </c>
      <c r="F45" s="399">
        <v>1</v>
      </c>
      <c r="G45" s="400">
        <v>1199</v>
      </c>
      <c r="H45" s="401">
        <f t="shared" si="2"/>
        <v>1199</v>
      </c>
      <c r="I45" s="367"/>
    </row>
    <row r="46" spans="2:9" x14ac:dyDescent="0.2">
      <c r="B46" s="396"/>
      <c r="C46" s="422"/>
      <c r="D46" s="422"/>
      <c r="E46" s="398" t="s">
        <v>2483</v>
      </c>
      <c r="F46" s="399">
        <v>1</v>
      </c>
      <c r="G46" s="400">
        <v>879</v>
      </c>
      <c r="H46" s="401">
        <f t="shared" si="2"/>
        <v>879</v>
      </c>
      <c r="I46" s="367"/>
    </row>
    <row r="47" spans="2:9" x14ac:dyDescent="0.2">
      <c r="B47" s="396"/>
      <c r="C47" s="422"/>
      <c r="D47" s="422"/>
      <c r="E47" s="419" t="s">
        <v>2484</v>
      </c>
      <c r="F47" s="420">
        <v>1</v>
      </c>
      <c r="G47" s="421">
        <v>6200</v>
      </c>
      <c r="H47" s="401">
        <f t="shared" si="2"/>
        <v>6200</v>
      </c>
      <c r="I47" s="367"/>
    </row>
    <row r="48" spans="2:9" x14ac:dyDescent="0.2">
      <c r="B48" s="396"/>
      <c r="C48" s="404" t="s">
        <v>2485</v>
      </c>
      <c r="D48" s="405"/>
      <c r="E48" s="404"/>
      <c r="F48" s="406">
        <f>SUM(F42:F47)</f>
        <v>14</v>
      </c>
      <c r="G48" s="407"/>
      <c r="H48" s="408">
        <f>SUM(H42:H47)</f>
        <v>30247.739999999998</v>
      </c>
      <c r="I48" s="367"/>
    </row>
    <row r="49" spans="2:9" x14ac:dyDescent="0.2">
      <c r="B49" s="396"/>
      <c r="C49" s="402" t="s">
        <v>2486</v>
      </c>
      <c r="D49" s="402">
        <v>33.53</v>
      </c>
      <c r="E49" s="415" t="s">
        <v>2487</v>
      </c>
      <c r="F49" s="416">
        <v>2</v>
      </c>
      <c r="G49" s="417">
        <v>412</v>
      </c>
      <c r="H49" s="418">
        <f t="shared" ref="H49:H64" si="3">F49*G49</f>
        <v>824</v>
      </c>
      <c r="I49" s="367"/>
    </row>
    <row r="50" spans="2:9" x14ac:dyDescent="0.2">
      <c r="B50" s="396"/>
      <c r="C50" s="402"/>
      <c r="D50" s="402"/>
      <c r="E50" s="419" t="s">
        <v>2488</v>
      </c>
      <c r="F50" s="420">
        <v>3</v>
      </c>
      <c r="G50" s="421">
        <v>158</v>
      </c>
      <c r="H50" s="401">
        <f t="shared" si="3"/>
        <v>474</v>
      </c>
      <c r="I50" s="367"/>
    </row>
    <row r="51" spans="2:9" x14ac:dyDescent="0.2">
      <c r="B51" s="396"/>
      <c r="C51" s="402"/>
      <c r="D51" s="402"/>
      <c r="E51" s="419" t="s">
        <v>2489</v>
      </c>
      <c r="F51" s="420">
        <v>2</v>
      </c>
      <c r="G51" s="421">
        <v>1000</v>
      </c>
      <c r="H51" s="401">
        <f t="shared" si="3"/>
        <v>2000</v>
      </c>
      <c r="I51" s="367"/>
    </row>
    <row r="52" spans="2:9" x14ac:dyDescent="0.2">
      <c r="B52" s="396"/>
      <c r="C52" s="402"/>
      <c r="D52" s="402"/>
      <c r="E52" s="419" t="s">
        <v>2490</v>
      </c>
      <c r="F52" s="420">
        <v>1</v>
      </c>
      <c r="G52" s="421">
        <v>200</v>
      </c>
      <c r="H52" s="401">
        <f t="shared" si="3"/>
        <v>200</v>
      </c>
      <c r="I52" s="367"/>
    </row>
    <row r="53" spans="2:9" x14ac:dyDescent="0.2">
      <c r="B53" s="396"/>
      <c r="C53" s="402"/>
      <c r="D53" s="402"/>
      <c r="E53" s="419" t="s">
        <v>2491</v>
      </c>
      <c r="F53" s="420">
        <v>4</v>
      </c>
      <c r="G53" s="421">
        <v>200</v>
      </c>
      <c r="H53" s="401">
        <f t="shared" si="3"/>
        <v>800</v>
      </c>
      <c r="I53" s="367"/>
    </row>
    <row r="54" spans="2:9" x14ac:dyDescent="0.2">
      <c r="B54" s="396"/>
      <c r="C54" s="402"/>
      <c r="D54" s="402"/>
      <c r="E54" s="419" t="s">
        <v>2492</v>
      </c>
      <c r="F54" s="420">
        <v>1</v>
      </c>
      <c r="G54" s="421">
        <v>358</v>
      </c>
      <c r="H54" s="401">
        <f t="shared" si="3"/>
        <v>358</v>
      </c>
      <c r="I54" s="367"/>
    </row>
    <row r="55" spans="2:9" ht="25.5" x14ac:dyDescent="0.2">
      <c r="B55" s="396"/>
      <c r="C55" s="402"/>
      <c r="D55" s="402"/>
      <c r="E55" s="419" t="s">
        <v>2493</v>
      </c>
      <c r="F55" s="420">
        <v>1</v>
      </c>
      <c r="G55" s="421">
        <v>3049</v>
      </c>
      <c r="H55" s="401">
        <f t="shared" si="3"/>
        <v>3049</v>
      </c>
      <c r="I55" s="367"/>
    </row>
    <row r="56" spans="2:9" x14ac:dyDescent="0.2">
      <c r="B56" s="396"/>
      <c r="C56" s="402"/>
      <c r="D56" s="402"/>
      <c r="E56" s="419" t="s">
        <v>2494</v>
      </c>
      <c r="F56" s="420">
        <v>8</v>
      </c>
      <c r="G56" s="421">
        <v>175</v>
      </c>
      <c r="H56" s="401">
        <f t="shared" si="3"/>
        <v>1400</v>
      </c>
      <c r="I56" s="367"/>
    </row>
    <row r="57" spans="2:9" x14ac:dyDescent="0.2">
      <c r="B57" s="396"/>
      <c r="C57" s="402"/>
      <c r="D57" s="402"/>
      <c r="E57" s="419" t="s">
        <v>2495</v>
      </c>
      <c r="F57" s="420">
        <v>2</v>
      </c>
      <c r="G57" s="421">
        <v>294</v>
      </c>
      <c r="H57" s="401">
        <f t="shared" si="3"/>
        <v>588</v>
      </c>
      <c r="I57" s="367"/>
    </row>
    <row r="58" spans="2:9" x14ac:dyDescent="0.2">
      <c r="B58" s="396"/>
      <c r="C58" s="402"/>
      <c r="D58" s="402"/>
      <c r="E58" s="419" t="s">
        <v>2496</v>
      </c>
      <c r="F58" s="420">
        <v>4</v>
      </c>
      <c r="G58" s="421">
        <v>2500</v>
      </c>
      <c r="H58" s="401">
        <f t="shared" si="3"/>
        <v>10000</v>
      </c>
      <c r="I58" s="367"/>
    </row>
    <row r="59" spans="2:9" x14ac:dyDescent="0.2">
      <c r="B59" s="396"/>
      <c r="C59" s="402"/>
      <c r="D59" s="402"/>
      <c r="E59" s="419" t="s">
        <v>2497</v>
      </c>
      <c r="F59" s="420">
        <v>1</v>
      </c>
      <c r="G59" s="421">
        <v>62000</v>
      </c>
      <c r="H59" s="401">
        <f t="shared" si="3"/>
        <v>62000</v>
      </c>
      <c r="I59" s="367"/>
    </row>
    <row r="60" spans="2:9" x14ac:dyDescent="0.2">
      <c r="B60" s="396"/>
      <c r="C60" s="402"/>
      <c r="D60" s="402"/>
      <c r="E60" s="419" t="s">
        <v>2498</v>
      </c>
      <c r="F60" s="420">
        <v>2</v>
      </c>
      <c r="G60" s="421">
        <v>450</v>
      </c>
      <c r="H60" s="401">
        <f t="shared" si="3"/>
        <v>900</v>
      </c>
      <c r="I60" s="367"/>
    </row>
    <row r="61" spans="2:9" x14ac:dyDescent="0.2">
      <c r="B61" s="396"/>
      <c r="C61" s="402"/>
      <c r="D61" s="402"/>
      <c r="E61" s="419" t="s">
        <v>2499</v>
      </c>
      <c r="F61" s="420">
        <v>8</v>
      </c>
      <c r="G61" s="421">
        <v>98</v>
      </c>
      <c r="H61" s="401">
        <f t="shared" si="3"/>
        <v>784</v>
      </c>
      <c r="I61" s="367"/>
    </row>
    <row r="62" spans="2:9" x14ac:dyDescent="0.2">
      <c r="B62" s="396"/>
      <c r="C62" s="402"/>
      <c r="D62" s="402"/>
      <c r="E62" s="419" t="s">
        <v>2500</v>
      </c>
      <c r="F62" s="420">
        <v>2</v>
      </c>
      <c r="G62" s="421">
        <v>890</v>
      </c>
      <c r="H62" s="401">
        <f t="shared" si="3"/>
        <v>1780</v>
      </c>
      <c r="I62" s="367"/>
    </row>
    <row r="63" spans="2:9" x14ac:dyDescent="0.2">
      <c r="B63" s="396"/>
      <c r="C63" s="402"/>
      <c r="D63" s="402"/>
      <c r="E63" s="419" t="s">
        <v>2501</v>
      </c>
      <c r="F63" s="420">
        <v>1</v>
      </c>
      <c r="G63" s="421">
        <v>5800</v>
      </c>
      <c r="H63" s="401">
        <f t="shared" si="3"/>
        <v>5800</v>
      </c>
      <c r="I63" s="367"/>
    </row>
    <row r="64" spans="2:9" x14ac:dyDescent="0.2">
      <c r="B64" s="396"/>
      <c r="C64" s="402"/>
      <c r="D64" s="402"/>
      <c r="E64" s="419" t="s">
        <v>2502</v>
      </c>
      <c r="F64" s="420">
        <v>3</v>
      </c>
      <c r="G64" s="421">
        <v>3200</v>
      </c>
      <c r="H64" s="401">
        <f t="shared" si="3"/>
        <v>9600</v>
      </c>
      <c r="I64" s="367"/>
    </row>
    <row r="65" spans="2:9" x14ac:dyDescent="0.2">
      <c r="B65" s="403"/>
      <c r="C65" s="423" t="s">
        <v>2503</v>
      </c>
      <c r="D65" s="424"/>
      <c r="E65" s="405"/>
      <c r="F65" s="406">
        <f>SUM(F49:F64)</f>
        <v>45</v>
      </c>
      <c r="G65" s="407"/>
      <c r="H65" s="408">
        <f>SUM(H49:H64)</f>
        <v>100557</v>
      </c>
      <c r="I65" s="367"/>
    </row>
    <row r="66" spans="2:9" ht="25.5" x14ac:dyDescent="0.2">
      <c r="B66" s="403"/>
      <c r="C66" s="425" t="s">
        <v>2504</v>
      </c>
      <c r="D66" s="425">
        <v>25.14</v>
      </c>
      <c r="E66" s="426" t="s">
        <v>2505</v>
      </c>
      <c r="F66" s="416">
        <v>1</v>
      </c>
      <c r="G66" s="417">
        <v>8311</v>
      </c>
      <c r="H66" s="418">
        <f>F66*G66</f>
        <v>8311</v>
      </c>
      <c r="I66" s="367"/>
    </row>
    <row r="67" spans="2:9" x14ac:dyDescent="0.2">
      <c r="B67" s="403"/>
      <c r="C67" s="427"/>
      <c r="D67" s="427"/>
      <c r="E67" s="428" t="s">
        <v>2506</v>
      </c>
      <c r="F67" s="420">
        <v>9</v>
      </c>
      <c r="G67" s="421">
        <v>647.99</v>
      </c>
      <c r="H67" s="401">
        <f>F67*G67</f>
        <v>5831.91</v>
      </c>
      <c r="I67" s="367"/>
    </row>
    <row r="68" spans="2:9" x14ac:dyDescent="0.2">
      <c r="B68" s="403"/>
      <c r="C68" s="427"/>
      <c r="D68" s="427"/>
      <c r="E68" s="428" t="s">
        <v>2507</v>
      </c>
      <c r="F68" s="420">
        <v>1</v>
      </c>
      <c r="G68" s="421">
        <v>550</v>
      </c>
      <c r="H68" s="401">
        <f>F68*G68</f>
        <v>550</v>
      </c>
      <c r="I68" s="367"/>
    </row>
    <row r="69" spans="2:9" x14ac:dyDescent="0.2">
      <c r="B69" s="403"/>
      <c r="C69" s="427"/>
      <c r="D69" s="427"/>
      <c r="E69" s="428" t="s">
        <v>2508</v>
      </c>
      <c r="F69" s="420">
        <v>1</v>
      </c>
      <c r="G69" s="421">
        <v>1500</v>
      </c>
      <c r="H69" s="401">
        <f t="shared" ref="H69:H81" si="4">F69*G69</f>
        <v>1500</v>
      </c>
      <c r="I69" s="367"/>
    </row>
    <row r="70" spans="2:9" x14ac:dyDescent="0.2">
      <c r="B70" s="403"/>
      <c r="C70" s="427"/>
      <c r="D70" s="427"/>
      <c r="E70" s="428" t="s">
        <v>2509</v>
      </c>
      <c r="F70" s="420">
        <v>1</v>
      </c>
      <c r="G70" s="421">
        <v>3098</v>
      </c>
      <c r="H70" s="401">
        <f t="shared" si="4"/>
        <v>3098</v>
      </c>
      <c r="I70" s="367"/>
    </row>
    <row r="71" spans="2:9" ht="25.5" x14ac:dyDescent="0.2">
      <c r="B71" s="403"/>
      <c r="C71" s="427"/>
      <c r="D71" s="427"/>
      <c r="E71" s="428" t="s">
        <v>2510</v>
      </c>
      <c r="F71" s="420">
        <v>1</v>
      </c>
      <c r="G71" s="421">
        <v>3650</v>
      </c>
      <c r="H71" s="401">
        <f t="shared" si="4"/>
        <v>3650</v>
      </c>
      <c r="I71" s="367"/>
    </row>
    <row r="72" spans="2:9" x14ac:dyDescent="0.2">
      <c r="B72" s="403"/>
      <c r="C72" s="427"/>
      <c r="D72" s="427"/>
      <c r="E72" s="428" t="s">
        <v>2464</v>
      </c>
      <c r="F72" s="420">
        <v>1</v>
      </c>
      <c r="G72" s="421">
        <v>35000</v>
      </c>
      <c r="H72" s="401">
        <f t="shared" si="4"/>
        <v>35000</v>
      </c>
      <c r="I72" s="367"/>
    </row>
    <row r="73" spans="2:9" x14ac:dyDescent="0.2">
      <c r="B73" s="403"/>
      <c r="C73" s="427"/>
      <c r="D73" s="427"/>
      <c r="E73" s="428" t="s">
        <v>2511</v>
      </c>
      <c r="F73" s="420">
        <v>2</v>
      </c>
      <c r="G73" s="421">
        <v>150</v>
      </c>
      <c r="H73" s="401">
        <f t="shared" si="4"/>
        <v>300</v>
      </c>
      <c r="I73" s="367"/>
    </row>
    <row r="74" spans="2:9" x14ac:dyDescent="0.2">
      <c r="B74" s="403"/>
      <c r="C74" s="427"/>
      <c r="D74" s="427"/>
      <c r="E74" s="428" t="s">
        <v>2512</v>
      </c>
      <c r="F74" s="420">
        <v>1</v>
      </c>
      <c r="G74" s="421">
        <v>1012.99</v>
      </c>
      <c r="H74" s="401">
        <f t="shared" si="4"/>
        <v>1012.99</v>
      </c>
      <c r="I74" s="367"/>
    </row>
    <row r="75" spans="2:9" x14ac:dyDescent="0.2">
      <c r="B75" s="403"/>
      <c r="C75" s="427"/>
      <c r="D75" s="427"/>
      <c r="E75" s="428" t="s">
        <v>2513</v>
      </c>
      <c r="F75" s="420">
        <v>1</v>
      </c>
      <c r="G75" s="421">
        <v>1672.28</v>
      </c>
      <c r="H75" s="401">
        <f t="shared" si="4"/>
        <v>1672.28</v>
      </c>
      <c r="I75" s="367"/>
    </row>
    <row r="76" spans="2:9" x14ac:dyDescent="0.2">
      <c r="B76" s="403"/>
      <c r="C76" s="427"/>
      <c r="D76" s="427"/>
      <c r="E76" s="428" t="s">
        <v>2514</v>
      </c>
      <c r="F76" s="420">
        <v>3</v>
      </c>
      <c r="G76" s="421">
        <v>830.42</v>
      </c>
      <c r="H76" s="401">
        <f t="shared" si="4"/>
        <v>2491.2599999999998</v>
      </c>
      <c r="I76" s="367"/>
    </row>
    <row r="77" spans="2:9" x14ac:dyDescent="0.2">
      <c r="B77" s="403"/>
      <c r="C77" s="427"/>
      <c r="D77" s="427"/>
      <c r="E77" s="398" t="s">
        <v>2447</v>
      </c>
      <c r="F77" s="399">
        <v>3</v>
      </c>
      <c r="G77" s="400">
        <v>350</v>
      </c>
      <c r="H77" s="401">
        <f t="shared" si="4"/>
        <v>1050</v>
      </c>
      <c r="I77" s="367"/>
    </row>
    <row r="78" spans="2:9" x14ac:dyDescent="0.2">
      <c r="B78" s="403"/>
      <c r="C78" s="427"/>
      <c r="D78" s="427"/>
      <c r="E78" s="419" t="s">
        <v>2496</v>
      </c>
      <c r="F78" s="420">
        <v>6</v>
      </c>
      <c r="G78" s="421">
        <v>2500</v>
      </c>
      <c r="H78" s="401">
        <f t="shared" si="4"/>
        <v>15000</v>
      </c>
      <c r="I78" s="367"/>
    </row>
    <row r="79" spans="2:9" x14ac:dyDescent="0.2">
      <c r="B79" s="403"/>
      <c r="C79" s="427"/>
      <c r="D79" s="427"/>
      <c r="E79" s="419" t="s">
        <v>2515</v>
      </c>
      <c r="F79" s="420">
        <v>4</v>
      </c>
      <c r="G79" s="421">
        <v>1430</v>
      </c>
      <c r="H79" s="401">
        <f t="shared" si="4"/>
        <v>5720</v>
      </c>
      <c r="I79" s="367"/>
    </row>
    <row r="80" spans="2:9" x14ac:dyDescent="0.2">
      <c r="B80" s="403"/>
      <c r="C80" s="427"/>
      <c r="D80" s="427"/>
      <c r="E80" s="419" t="s">
        <v>2516</v>
      </c>
      <c r="F80" s="420">
        <v>1</v>
      </c>
      <c r="G80" s="421">
        <v>400</v>
      </c>
      <c r="H80" s="401">
        <f t="shared" si="4"/>
        <v>400</v>
      </c>
      <c r="I80" s="367"/>
    </row>
    <row r="81" spans="2:9" x14ac:dyDescent="0.2">
      <c r="B81" s="403"/>
      <c r="C81" s="429"/>
      <c r="D81" s="429"/>
      <c r="E81" s="430" t="s">
        <v>2451</v>
      </c>
      <c r="F81" s="399">
        <v>2</v>
      </c>
      <c r="G81" s="400">
        <v>697</v>
      </c>
      <c r="H81" s="401">
        <f t="shared" si="4"/>
        <v>1394</v>
      </c>
      <c r="I81" s="367"/>
    </row>
    <row r="82" spans="2:9" x14ac:dyDescent="0.2">
      <c r="B82" s="403"/>
      <c r="C82" s="431" t="s">
        <v>2517</v>
      </c>
      <c r="D82" s="432"/>
      <c r="E82" s="431"/>
      <c r="F82" s="406">
        <f>SUM(F66:F81)</f>
        <v>38</v>
      </c>
      <c r="G82" s="407"/>
      <c r="H82" s="408">
        <f>SUM(H66:H81)</f>
        <v>86981.440000000002</v>
      </c>
      <c r="I82" s="367"/>
    </row>
    <row r="83" spans="2:9" x14ac:dyDescent="0.2">
      <c r="B83" s="403"/>
      <c r="C83" s="402" t="s">
        <v>2518</v>
      </c>
      <c r="D83" s="402">
        <v>5.01</v>
      </c>
      <c r="E83" s="419" t="s">
        <v>2519</v>
      </c>
      <c r="F83" s="420">
        <v>2</v>
      </c>
      <c r="G83" s="421">
        <f>7818/2</f>
        <v>3909</v>
      </c>
      <c r="H83" s="418">
        <f>F83*G83</f>
        <v>7818</v>
      </c>
      <c r="I83" s="367"/>
    </row>
    <row r="84" spans="2:9" x14ac:dyDescent="0.2">
      <c r="B84" s="403"/>
      <c r="C84" s="402"/>
      <c r="D84" s="402"/>
      <c r="E84" s="419" t="s">
        <v>2520</v>
      </c>
      <c r="F84" s="420">
        <v>2</v>
      </c>
      <c r="G84" s="421">
        <v>387</v>
      </c>
      <c r="H84" s="418">
        <f>F84*G84</f>
        <v>774</v>
      </c>
      <c r="I84" s="367"/>
    </row>
    <row r="85" spans="2:9" x14ac:dyDescent="0.2">
      <c r="B85" s="403"/>
      <c r="C85" s="423" t="s">
        <v>2521</v>
      </c>
      <c r="D85" s="424"/>
      <c r="E85" s="405"/>
      <c r="F85" s="406">
        <f>SUM(F83:F84)</f>
        <v>4</v>
      </c>
      <c r="G85" s="407"/>
      <c r="H85" s="408">
        <f>SUM(H83:H84)</f>
        <v>8592</v>
      </c>
      <c r="I85" s="367"/>
    </row>
    <row r="86" spans="2:9" x14ac:dyDescent="0.2">
      <c r="B86" s="396"/>
      <c r="C86" s="433" t="s">
        <v>2522</v>
      </c>
      <c r="D86" s="433">
        <v>1.64</v>
      </c>
      <c r="E86" s="415" t="s">
        <v>2464</v>
      </c>
      <c r="F86" s="416">
        <v>1</v>
      </c>
      <c r="G86" s="417">
        <v>5000</v>
      </c>
      <c r="H86" s="418">
        <f t="shared" ref="H86" si="5">F86*G86</f>
        <v>5000</v>
      </c>
      <c r="I86" s="367"/>
    </row>
    <row r="87" spans="2:9" x14ac:dyDescent="0.2">
      <c r="B87" s="403"/>
      <c r="C87" s="423" t="s">
        <v>2523</v>
      </c>
      <c r="D87" s="424"/>
      <c r="E87" s="405"/>
      <c r="F87" s="406">
        <f>SUM(F86:F86)</f>
        <v>1</v>
      </c>
      <c r="G87" s="407"/>
      <c r="H87" s="408">
        <f>SUM(H86:H86)</f>
        <v>5000</v>
      </c>
      <c r="I87" s="367"/>
    </row>
    <row r="88" spans="2:9" x14ac:dyDescent="0.2">
      <c r="B88" s="396"/>
      <c r="C88" s="402" t="s">
        <v>2524</v>
      </c>
      <c r="D88" s="402">
        <v>5.97</v>
      </c>
      <c r="E88" s="419" t="s">
        <v>2525</v>
      </c>
      <c r="F88" s="420">
        <v>1</v>
      </c>
      <c r="G88" s="421">
        <v>2696.89</v>
      </c>
      <c r="H88" s="418">
        <f t="shared" ref="H88:H93" si="6">F88*G88</f>
        <v>2696.89</v>
      </c>
      <c r="I88" s="367"/>
    </row>
    <row r="89" spans="2:9" x14ac:dyDescent="0.2">
      <c r="B89" s="396"/>
      <c r="C89" s="402"/>
      <c r="D89" s="402"/>
      <c r="E89" s="419" t="s">
        <v>2464</v>
      </c>
      <c r="F89" s="420">
        <v>1</v>
      </c>
      <c r="G89" s="421">
        <v>8900</v>
      </c>
      <c r="H89" s="418">
        <f t="shared" si="6"/>
        <v>8900</v>
      </c>
      <c r="I89" s="367"/>
    </row>
    <row r="90" spans="2:9" x14ac:dyDescent="0.2">
      <c r="B90" s="396"/>
      <c r="C90" s="402"/>
      <c r="D90" s="402"/>
      <c r="E90" s="419" t="s">
        <v>2526</v>
      </c>
      <c r="F90" s="420">
        <v>1</v>
      </c>
      <c r="G90" s="421">
        <v>2808.75</v>
      </c>
      <c r="H90" s="401">
        <f t="shared" si="6"/>
        <v>2808.75</v>
      </c>
      <c r="I90" s="367"/>
    </row>
    <row r="91" spans="2:9" x14ac:dyDescent="0.2">
      <c r="B91" s="396"/>
      <c r="C91" s="402"/>
      <c r="D91" s="402"/>
      <c r="E91" s="419" t="s">
        <v>2527</v>
      </c>
      <c r="F91" s="420">
        <v>1</v>
      </c>
      <c r="G91" s="421">
        <v>128.91</v>
      </c>
      <c r="H91" s="401">
        <f t="shared" si="6"/>
        <v>128.91</v>
      </c>
      <c r="I91" s="367"/>
    </row>
    <row r="92" spans="2:9" x14ac:dyDescent="0.2">
      <c r="B92" s="396"/>
      <c r="C92" s="402"/>
      <c r="D92" s="402"/>
      <c r="E92" s="398" t="s">
        <v>2528</v>
      </c>
      <c r="F92" s="399">
        <v>1</v>
      </c>
      <c r="G92" s="400">
        <v>1250</v>
      </c>
      <c r="H92" s="401">
        <f t="shared" si="6"/>
        <v>1250</v>
      </c>
      <c r="I92" s="367"/>
    </row>
    <row r="93" spans="2:9" x14ac:dyDescent="0.2">
      <c r="B93" s="396"/>
      <c r="C93" s="402"/>
      <c r="D93" s="402"/>
      <c r="E93" s="419" t="s">
        <v>2529</v>
      </c>
      <c r="F93" s="420">
        <v>1</v>
      </c>
      <c r="G93" s="421">
        <v>600</v>
      </c>
      <c r="H93" s="401">
        <f t="shared" si="6"/>
        <v>600</v>
      </c>
      <c r="I93" s="367"/>
    </row>
    <row r="94" spans="2:9" x14ac:dyDescent="0.2">
      <c r="B94" s="403"/>
      <c r="C94" s="423" t="s">
        <v>2530</v>
      </c>
      <c r="D94" s="424"/>
      <c r="E94" s="405"/>
      <c r="F94" s="406">
        <f>SUM(F88:F93)</f>
        <v>6</v>
      </c>
      <c r="G94" s="407"/>
      <c r="H94" s="408">
        <f>SUM(H88:H93)</f>
        <v>16384.55</v>
      </c>
      <c r="I94" s="367"/>
    </row>
    <row r="95" spans="2:9" ht="25.5" x14ac:dyDescent="0.2">
      <c r="B95" s="396"/>
      <c r="C95" s="402" t="s">
        <v>2531</v>
      </c>
      <c r="D95" s="402">
        <v>31.01</v>
      </c>
      <c r="E95" s="426" t="s">
        <v>2505</v>
      </c>
      <c r="F95" s="416">
        <v>1</v>
      </c>
      <c r="G95" s="417">
        <v>8311</v>
      </c>
      <c r="H95" s="418">
        <f>F95*G95</f>
        <v>8311</v>
      </c>
      <c r="I95" s="367"/>
    </row>
    <row r="96" spans="2:9" x14ac:dyDescent="0.2">
      <c r="B96" s="396"/>
      <c r="C96" s="402"/>
      <c r="D96" s="402"/>
      <c r="E96" s="428" t="s">
        <v>2506</v>
      </c>
      <c r="F96" s="420">
        <v>9</v>
      </c>
      <c r="G96" s="421">
        <v>647.99</v>
      </c>
      <c r="H96" s="401">
        <f>F96*G96</f>
        <v>5831.91</v>
      </c>
      <c r="I96" s="367"/>
    </row>
    <row r="97" spans="2:9" x14ac:dyDescent="0.2">
      <c r="B97" s="396"/>
      <c r="C97" s="402"/>
      <c r="D97" s="402"/>
      <c r="E97" s="428" t="s">
        <v>2507</v>
      </c>
      <c r="F97" s="420">
        <v>1</v>
      </c>
      <c r="G97" s="421">
        <v>550</v>
      </c>
      <c r="H97" s="401">
        <f>F97*G97</f>
        <v>550</v>
      </c>
      <c r="I97" s="367"/>
    </row>
    <row r="98" spans="2:9" x14ac:dyDescent="0.2">
      <c r="B98" s="396"/>
      <c r="C98" s="402"/>
      <c r="D98" s="402"/>
      <c r="E98" s="428" t="s">
        <v>2508</v>
      </c>
      <c r="F98" s="420">
        <v>1</v>
      </c>
      <c r="G98" s="421">
        <v>1500</v>
      </c>
      <c r="H98" s="401">
        <f t="shared" ref="H98:H112" si="7">F98*G98</f>
        <v>1500</v>
      </c>
      <c r="I98" s="367"/>
    </row>
    <row r="99" spans="2:9" x14ac:dyDescent="0.2">
      <c r="B99" s="396"/>
      <c r="C99" s="402"/>
      <c r="D99" s="402"/>
      <c r="E99" s="428" t="s">
        <v>2509</v>
      </c>
      <c r="F99" s="420">
        <v>2</v>
      </c>
      <c r="G99" s="421">
        <v>3098</v>
      </c>
      <c r="H99" s="401">
        <f t="shared" si="7"/>
        <v>6196</v>
      </c>
      <c r="I99" s="367"/>
    </row>
    <row r="100" spans="2:9" ht="25.5" x14ac:dyDescent="0.2">
      <c r="B100" s="396"/>
      <c r="C100" s="402"/>
      <c r="D100" s="402"/>
      <c r="E100" s="428" t="s">
        <v>2510</v>
      </c>
      <c r="F100" s="420">
        <v>1</v>
      </c>
      <c r="G100" s="421">
        <v>3650</v>
      </c>
      <c r="H100" s="401">
        <f t="shared" si="7"/>
        <v>3650</v>
      </c>
      <c r="I100" s="367"/>
    </row>
    <row r="101" spans="2:9" x14ac:dyDescent="0.2">
      <c r="B101" s="396"/>
      <c r="C101" s="402"/>
      <c r="D101" s="402"/>
      <c r="E101" s="428" t="s">
        <v>2464</v>
      </c>
      <c r="F101" s="420">
        <v>1</v>
      </c>
      <c r="G101" s="421">
        <v>31000</v>
      </c>
      <c r="H101" s="401">
        <f t="shared" si="7"/>
        <v>31000</v>
      </c>
      <c r="I101" s="367"/>
    </row>
    <row r="102" spans="2:9" x14ac:dyDescent="0.2">
      <c r="B102" s="396"/>
      <c r="C102" s="402"/>
      <c r="D102" s="402"/>
      <c r="E102" s="428" t="s">
        <v>2511</v>
      </c>
      <c r="F102" s="420">
        <v>2</v>
      </c>
      <c r="G102" s="421">
        <v>150</v>
      </c>
      <c r="H102" s="401">
        <f t="shared" si="7"/>
        <v>300</v>
      </c>
      <c r="I102" s="367"/>
    </row>
    <row r="103" spans="2:9" x14ac:dyDescent="0.2">
      <c r="B103" s="396"/>
      <c r="C103" s="402"/>
      <c r="D103" s="402"/>
      <c r="E103" s="428" t="s">
        <v>2512</v>
      </c>
      <c r="F103" s="420">
        <v>1</v>
      </c>
      <c r="G103" s="421">
        <v>1012.99</v>
      </c>
      <c r="H103" s="401">
        <f t="shared" si="7"/>
        <v>1012.99</v>
      </c>
      <c r="I103" s="367"/>
    </row>
    <row r="104" spans="2:9" x14ac:dyDescent="0.2">
      <c r="B104" s="396"/>
      <c r="C104" s="402"/>
      <c r="D104" s="402"/>
      <c r="E104" s="428" t="s">
        <v>2513</v>
      </c>
      <c r="F104" s="420">
        <v>1</v>
      </c>
      <c r="G104" s="421">
        <v>1672.28</v>
      </c>
      <c r="H104" s="401">
        <f t="shared" si="7"/>
        <v>1672.28</v>
      </c>
      <c r="I104" s="367"/>
    </row>
    <row r="105" spans="2:9" x14ac:dyDescent="0.2">
      <c r="B105" s="396"/>
      <c r="C105" s="402"/>
      <c r="D105" s="402"/>
      <c r="E105" s="428" t="s">
        <v>2514</v>
      </c>
      <c r="F105" s="420">
        <v>3</v>
      </c>
      <c r="G105" s="421">
        <v>830.42</v>
      </c>
      <c r="H105" s="401">
        <f t="shared" si="7"/>
        <v>2491.2599999999998</v>
      </c>
      <c r="I105" s="367"/>
    </row>
    <row r="106" spans="2:9" x14ac:dyDescent="0.2">
      <c r="B106" s="396"/>
      <c r="C106" s="402"/>
      <c r="D106" s="402"/>
      <c r="E106" s="398" t="s">
        <v>2447</v>
      </c>
      <c r="F106" s="399">
        <v>4</v>
      </c>
      <c r="G106" s="400">
        <v>350</v>
      </c>
      <c r="H106" s="401">
        <f t="shared" si="7"/>
        <v>1400</v>
      </c>
      <c r="I106" s="367"/>
    </row>
    <row r="107" spans="2:9" x14ac:dyDescent="0.2">
      <c r="B107" s="396"/>
      <c r="C107" s="402"/>
      <c r="D107" s="402"/>
      <c r="E107" s="428" t="s">
        <v>2532</v>
      </c>
      <c r="F107" s="420">
        <v>4</v>
      </c>
      <c r="G107" s="421">
        <v>2500</v>
      </c>
      <c r="H107" s="401">
        <f t="shared" si="7"/>
        <v>10000</v>
      </c>
      <c r="I107" s="367"/>
    </row>
    <row r="108" spans="2:9" x14ac:dyDescent="0.2">
      <c r="B108" s="396"/>
      <c r="C108" s="402"/>
      <c r="D108" s="402"/>
      <c r="E108" s="419" t="s">
        <v>2515</v>
      </c>
      <c r="F108" s="420">
        <v>4</v>
      </c>
      <c r="G108" s="421">
        <v>1430</v>
      </c>
      <c r="H108" s="401">
        <f t="shared" si="7"/>
        <v>5720</v>
      </c>
      <c r="I108" s="367"/>
    </row>
    <row r="109" spans="2:9" x14ac:dyDescent="0.2">
      <c r="B109" s="396"/>
      <c r="C109" s="402"/>
      <c r="D109" s="402"/>
      <c r="E109" s="419" t="s">
        <v>2516</v>
      </c>
      <c r="F109" s="420">
        <v>1</v>
      </c>
      <c r="G109" s="421">
        <v>400</v>
      </c>
      <c r="H109" s="401">
        <f t="shared" si="7"/>
        <v>400</v>
      </c>
      <c r="I109" s="367"/>
    </row>
    <row r="110" spans="2:9" x14ac:dyDescent="0.2">
      <c r="B110" s="396"/>
      <c r="C110" s="402"/>
      <c r="D110" s="402"/>
      <c r="E110" s="419" t="s">
        <v>2533</v>
      </c>
      <c r="F110" s="420">
        <v>1</v>
      </c>
      <c r="G110" s="421">
        <v>319</v>
      </c>
      <c r="H110" s="401">
        <f t="shared" si="7"/>
        <v>319</v>
      </c>
      <c r="I110" s="367"/>
    </row>
    <row r="111" spans="2:9" x14ac:dyDescent="0.2">
      <c r="B111" s="396"/>
      <c r="C111" s="402"/>
      <c r="D111" s="402"/>
      <c r="E111" s="419" t="s">
        <v>2534</v>
      </c>
      <c r="F111" s="420">
        <v>4</v>
      </c>
      <c r="G111" s="421">
        <v>450</v>
      </c>
      <c r="H111" s="401">
        <f t="shared" si="7"/>
        <v>1800</v>
      </c>
      <c r="I111" s="367"/>
    </row>
    <row r="112" spans="2:9" x14ac:dyDescent="0.2">
      <c r="B112" s="396"/>
      <c r="C112" s="402"/>
      <c r="D112" s="402"/>
      <c r="E112" s="430" t="s">
        <v>2451</v>
      </c>
      <c r="F112" s="399">
        <v>2</v>
      </c>
      <c r="G112" s="400">
        <v>697</v>
      </c>
      <c r="H112" s="401">
        <f t="shared" si="7"/>
        <v>1394</v>
      </c>
      <c r="I112" s="367"/>
    </row>
    <row r="113" spans="2:9" ht="13.15" customHeight="1" x14ac:dyDescent="0.2">
      <c r="B113" s="403"/>
      <c r="C113" s="431" t="s">
        <v>2535</v>
      </c>
      <c r="D113" s="432"/>
      <c r="E113" s="431"/>
      <c r="F113" s="406">
        <f>SUM(F95:F112)</f>
        <v>43</v>
      </c>
      <c r="G113" s="407"/>
      <c r="H113" s="408">
        <f>SUM(H95:H112)</f>
        <v>83548.44</v>
      </c>
      <c r="I113" s="367"/>
    </row>
    <row r="114" spans="2:9" x14ac:dyDescent="0.2">
      <c r="B114" s="403"/>
      <c r="C114" s="402" t="s">
        <v>2536</v>
      </c>
      <c r="D114" s="402">
        <v>12.69</v>
      </c>
      <c r="E114" s="419" t="s">
        <v>2537</v>
      </c>
      <c r="F114" s="420">
        <v>2</v>
      </c>
      <c r="G114" s="421">
        <v>1590</v>
      </c>
      <c r="H114" s="418">
        <f>F114*G114</f>
        <v>3180</v>
      </c>
      <c r="I114" s="367"/>
    </row>
    <row r="115" spans="2:9" x14ac:dyDescent="0.2">
      <c r="B115" s="403"/>
      <c r="C115" s="402"/>
      <c r="D115" s="402"/>
      <c r="E115" s="419" t="s">
        <v>2538</v>
      </c>
      <c r="F115" s="420">
        <v>2</v>
      </c>
      <c r="G115" s="421">
        <v>579.51</v>
      </c>
      <c r="H115" s="418">
        <f>F115*G115</f>
        <v>1159.02</v>
      </c>
      <c r="I115" s="367"/>
    </row>
    <row r="116" spans="2:9" x14ac:dyDescent="0.2">
      <c r="B116" s="403"/>
      <c r="C116" s="402"/>
      <c r="D116" s="402"/>
      <c r="E116" s="419" t="s">
        <v>2539</v>
      </c>
      <c r="F116" s="420">
        <v>4</v>
      </c>
      <c r="G116" s="421">
        <v>203.3</v>
      </c>
      <c r="H116" s="418">
        <f>F116*G116</f>
        <v>813.2</v>
      </c>
      <c r="I116" s="367"/>
    </row>
    <row r="117" spans="2:9" x14ac:dyDescent="0.2">
      <c r="B117" s="403"/>
      <c r="C117" s="402"/>
      <c r="D117" s="402"/>
      <c r="E117" s="419" t="s">
        <v>2520</v>
      </c>
      <c r="F117" s="420">
        <v>2</v>
      </c>
      <c r="G117" s="421">
        <v>387</v>
      </c>
      <c r="H117" s="418">
        <f>F117*G117</f>
        <v>774</v>
      </c>
      <c r="I117" s="367"/>
    </row>
    <row r="118" spans="2:9" x14ac:dyDescent="0.2">
      <c r="B118" s="403"/>
      <c r="C118" s="423" t="s">
        <v>2540</v>
      </c>
      <c r="D118" s="424"/>
      <c r="E118" s="405"/>
      <c r="F118" s="406">
        <f>SUM(F114:F117)</f>
        <v>10</v>
      </c>
      <c r="G118" s="407"/>
      <c r="H118" s="408">
        <f>SUM(H114:H117)</f>
        <v>5926.22</v>
      </c>
      <c r="I118" s="367"/>
    </row>
    <row r="119" spans="2:9" x14ac:dyDescent="0.2">
      <c r="B119" s="403"/>
      <c r="C119" s="402" t="s">
        <v>2541</v>
      </c>
      <c r="D119" s="402"/>
      <c r="E119" s="428" t="s">
        <v>2542</v>
      </c>
      <c r="F119" s="420">
        <v>153</v>
      </c>
      <c r="G119" s="421">
        <v>19.12</v>
      </c>
      <c r="H119" s="401">
        <f>F119*G119</f>
        <v>2925.36</v>
      </c>
      <c r="I119" s="367"/>
    </row>
    <row r="120" spans="2:9" x14ac:dyDescent="0.2">
      <c r="B120" s="403"/>
      <c r="C120" s="402"/>
      <c r="D120" s="402"/>
      <c r="E120" s="428" t="s">
        <v>2543</v>
      </c>
      <c r="F120" s="420">
        <v>1</v>
      </c>
      <c r="G120" s="421">
        <v>3999</v>
      </c>
      <c r="H120" s="401">
        <f>F120*G120</f>
        <v>3999</v>
      </c>
      <c r="I120" s="367"/>
    </row>
    <row r="121" spans="2:9" ht="25.5" x14ac:dyDescent="0.2">
      <c r="B121" s="403"/>
      <c r="C121" s="402"/>
      <c r="D121" s="402"/>
      <c r="E121" s="428" t="s">
        <v>2544</v>
      </c>
      <c r="F121" s="420">
        <v>1</v>
      </c>
      <c r="G121" s="421">
        <v>4214.8500000000004</v>
      </c>
      <c r="H121" s="401">
        <f t="shared" ref="H121:H123" si="8">F121*G121</f>
        <v>4214.8500000000004</v>
      </c>
      <c r="I121" s="367"/>
    </row>
    <row r="122" spans="2:9" x14ac:dyDescent="0.2">
      <c r="B122" s="403"/>
      <c r="C122" s="402"/>
      <c r="D122" s="402"/>
      <c r="E122" s="419" t="s">
        <v>2545</v>
      </c>
      <c r="F122" s="420">
        <v>6</v>
      </c>
      <c r="G122" s="400">
        <v>150</v>
      </c>
      <c r="H122" s="401">
        <f t="shared" si="8"/>
        <v>900</v>
      </c>
      <c r="I122" s="367"/>
    </row>
    <row r="123" spans="2:9" x14ac:dyDescent="0.2">
      <c r="B123" s="403"/>
      <c r="C123" s="402"/>
      <c r="D123" s="402"/>
      <c r="E123" s="419" t="s">
        <v>2489</v>
      </c>
      <c r="F123" s="420">
        <v>1</v>
      </c>
      <c r="G123" s="421">
        <v>2500</v>
      </c>
      <c r="H123" s="401">
        <f t="shared" si="8"/>
        <v>2500</v>
      </c>
      <c r="I123" s="367"/>
    </row>
    <row r="124" spans="2:9" x14ac:dyDescent="0.2">
      <c r="B124" s="403"/>
      <c r="C124" s="402"/>
      <c r="D124" s="402"/>
      <c r="E124" s="428" t="s">
        <v>2507</v>
      </c>
      <c r="F124" s="420">
        <v>3</v>
      </c>
      <c r="G124" s="421">
        <v>550</v>
      </c>
      <c r="H124" s="401">
        <f>F124*G124</f>
        <v>1650</v>
      </c>
      <c r="I124" s="367"/>
    </row>
    <row r="125" spans="2:9" x14ac:dyDescent="0.2">
      <c r="B125" s="403"/>
      <c r="C125" s="402"/>
      <c r="D125" s="402"/>
      <c r="E125" s="430" t="s">
        <v>2451</v>
      </c>
      <c r="F125" s="399">
        <v>2</v>
      </c>
      <c r="G125" s="400">
        <v>697</v>
      </c>
      <c r="H125" s="401">
        <f t="shared" ref="H125" si="9">F125*G125</f>
        <v>1394</v>
      </c>
      <c r="I125" s="367"/>
    </row>
    <row r="126" spans="2:9" x14ac:dyDescent="0.2">
      <c r="B126" s="403"/>
      <c r="C126" s="402"/>
      <c r="D126" s="402"/>
      <c r="E126" s="428" t="s">
        <v>2506</v>
      </c>
      <c r="F126" s="420">
        <v>7</v>
      </c>
      <c r="G126" s="421">
        <v>647.99</v>
      </c>
      <c r="H126" s="401">
        <f>F126*G126</f>
        <v>4535.93</v>
      </c>
      <c r="I126" s="367"/>
    </row>
    <row r="127" spans="2:9" x14ac:dyDescent="0.2">
      <c r="B127" s="403"/>
      <c r="C127" s="402"/>
      <c r="D127" s="402"/>
      <c r="E127" s="428" t="s">
        <v>2464</v>
      </c>
      <c r="F127" s="420">
        <v>1</v>
      </c>
      <c r="G127" s="421">
        <v>62000</v>
      </c>
      <c r="H127" s="401">
        <f t="shared" ref="H127:H141" si="10">F127*G127</f>
        <v>62000</v>
      </c>
      <c r="I127" s="367"/>
    </row>
    <row r="128" spans="2:9" x14ac:dyDescent="0.2">
      <c r="B128" s="403"/>
      <c r="C128" s="402"/>
      <c r="D128" s="402"/>
      <c r="E128" s="428" t="s">
        <v>2508</v>
      </c>
      <c r="F128" s="420">
        <v>1</v>
      </c>
      <c r="G128" s="421">
        <v>1500</v>
      </c>
      <c r="H128" s="401">
        <f t="shared" si="10"/>
        <v>1500</v>
      </c>
      <c r="I128" s="367"/>
    </row>
    <row r="129" spans="2:9" x14ac:dyDescent="0.2">
      <c r="B129" s="403"/>
      <c r="C129" s="402"/>
      <c r="D129" s="402"/>
      <c r="E129" s="428" t="s">
        <v>2509</v>
      </c>
      <c r="F129" s="420">
        <v>2</v>
      </c>
      <c r="G129" s="421">
        <v>3098</v>
      </c>
      <c r="H129" s="401">
        <f t="shared" si="10"/>
        <v>6196</v>
      </c>
      <c r="I129" s="367"/>
    </row>
    <row r="130" spans="2:9" ht="25.5" x14ac:dyDescent="0.2">
      <c r="B130" s="403"/>
      <c r="C130" s="402"/>
      <c r="D130" s="402"/>
      <c r="E130" s="428" t="s">
        <v>2546</v>
      </c>
      <c r="F130" s="420">
        <v>1</v>
      </c>
      <c r="G130" s="421">
        <v>7899</v>
      </c>
      <c r="H130" s="401">
        <f t="shared" si="10"/>
        <v>7899</v>
      </c>
      <c r="I130" s="367"/>
    </row>
    <row r="131" spans="2:9" x14ac:dyDescent="0.2">
      <c r="B131" s="403"/>
      <c r="C131" s="402"/>
      <c r="D131" s="402"/>
      <c r="E131" s="428" t="s">
        <v>2511</v>
      </c>
      <c r="F131" s="420">
        <v>2</v>
      </c>
      <c r="G131" s="421">
        <v>150</v>
      </c>
      <c r="H131" s="401">
        <f t="shared" si="10"/>
        <v>300</v>
      </c>
      <c r="I131" s="367"/>
    </row>
    <row r="132" spans="2:9" x14ac:dyDescent="0.2">
      <c r="B132" s="403"/>
      <c r="C132" s="402"/>
      <c r="D132" s="402"/>
      <c r="E132" s="428" t="s">
        <v>2512</v>
      </c>
      <c r="F132" s="420">
        <v>1</v>
      </c>
      <c r="G132" s="421">
        <v>1012.99</v>
      </c>
      <c r="H132" s="401">
        <f t="shared" si="10"/>
        <v>1012.99</v>
      </c>
      <c r="I132" s="367"/>
    </row>
    <row r="133" spans="2:9" x14ac:dyDescent="0.2">
      <c r="B133" s="403"/>
      <c r="C133" s="402"/>
      <c r="D133" s="402"/>
      <c r="E133" s="428" t="s">
        <v>2513</v>
      </c>
      <c r="F133" s="420">
        <v>1</v>
      </c>
      <c r="G133" s="421">
        <v>1672.28</v>
      </c>
      <c r="H133" s="401">
        <f t="shared" si="10"/>
        <v>1672.28</v>
      </c>
      <c r="I133" s="367"/>
    </row>
    <row r="134" spans="2:9" x14ac:dyDescent="0.2">
      <c r="B134" s="403"/>
      <c r="C134" s="402"/>
      <c r="D134" s="402"/>
      <c r="E134" s="428" t="s">
        <v>2514</v>
      </c>
      <c r="F134" s="420">
        <v>3</v>
      </c>
      <c r="G134" s="421">
        <v>830.42</v>
      </c>
      <c r="H134" s="401">
        <f t="shared" si="10"/>
        <v>2491.2599999999998</v>
      </c>
      <c r="I134" s="367"/>
    </row>
    <row r="135" spans="2:9" x14ac:dyDescent="0.2">
      <c r="B135" s="403"/>
      <c r="C135" s="402"/>
      <c r="D135" s="402"/>
      <c r="E135" s="428" t="s">
        <v>2532</v>
      </c>
      <c r="F135" s="420">
        <v>6</v>
      </c>
      <c r="G135" s="421">
        <v>2500</v>
      </c>
      <c r="H135" s="401">
        <f t="shared" si="10"/>
        <v>15000</v>
      </c>
      <c r="I135" s="367"/>
    </row>
    <row r="136" spans="2:9" x14ac:dyDescent="0.2">
      <c r="B136" s="403"/>
      <c r="C136" s="402"/>
      <c r="D136" s="402"/>
      <c r="E136" s="419" t="s">
        <v>2515</v>
      </c>
      <c r="F136" s="420">
        <v>18</v>
      </c>
      <c r="G136" s="421">
        <v>1430</v>
      </c>
      <c r="H136" s="401">
        <f t="shared" si="10"/>
        <v>25740</v>
      </c>
      <c r="I136" s="367"/>
    </row>
    <row r="137" spans="2:9" x14ac:dyDescent="0.2">
      <c r="B137" s="403"/>
      <c r="C137" s="402"/>
      <c r="D137" s="402"/>
      <c r="E137" s="419" t="s">
        <v>2516</v>
      </c>
      <c r="F137" s="420">
        <v>1</v>
      </c>
      <c r="G137" s="421">
        <v>400</v>
      </c>
      <c r="H137" s="401">
        <f t="shared" si="10"/>
        <v>400</v>
      </c>
      <c r="I137" s="367"/>
    </row>
    <row r="138" spans="2:9" x14ac:dyDescent="0.2">
      <c r="B138" s="403"/>
      <c r="C138" s="402"/>
      <c r="D138" s="402"/>
      <c r="E138" s="419" t="s">
        <v>2534</v>
      </c>
      <c r="F138" s="420">
        <v>4</v>
      </c>
      <c r="G138" s="421">
        <v>450</v>
      </c>
      <c r="H138" s="401">
        <f t="shared" si="10"/>
        <v>1800</v>
      </c>
      <c r="I138" s="367"/>
    </row>
    <row r="139" spans="2:9" ht="25.5" x14ac:dyDescent="0.2">
      <c r="B139" s="403"/>
      <c r="C139" s="402"/>
      <c r="D139" s="402"/>
      <c r="E139" s="430" t="s">
        <v>2547</v>
      </c>
      <c r="F139" s="399">
        <v>3</v>
      </c>
      <c r="G139" s="400">
        <v>976</v>
      </c>
      <c r="H139" s="401">
        <f t="shared" si="10"/>
        <v>2928</v>
      </c>
      <c r="I139" s="367"/>
    </row>
    <row r="140" spans="2:9" x14ac:dyDescent="0.2">
      <c r="B140" s="403"/>
      <c r="C140" s="402"/>
      <c r="D140" s="402"/>
      <c r="E140" s="430" t="s">
        <v>2548</v>
      </c>
      <c r="F140" s="399">
        <v>2</v>
      </c>
      <c r="G140" s="400">
        <v>2276.1</v>
      </c>
      <c r="H140" s="401">
        <f t="shared" si="10"/>
        <v>4552.2</v>
      </c>
      <c r="I140" s="367"/>
    </row>
    <row r="141" spans="2:9" x14ac:dyDescent="0.2">
      <c r="B141" s="403"/>
      <c r="C141" s="402"/>
      <c r="D141" s="402"/>
      <c r="E141" s="419" t="s">
        <v>2475</v>
      </c>
      <c r="F141" s="420">
        <v>12</v>
      </c>
      <c r="G141" s="421">
        <v>2500</v>
      </c>
      <c r="H141" s="401">
        <f t="shared" si="10"/>
        <v>30000</v>
      </c>
      <c r="I141" s="367"/>
    </row>
    <row r="142" spans="2:9" ht="13.15" customHeight="1" x14ac:dyDescent="0.2">
      <c r="B142" s="403"/>
      <c r="C142" s="431" t="s">
        <v>2535</v>
      </c>
      <c r="D142" s="432"/>
      <c r="E142" s="431"/>
      <c r="F142" s="406">
        <f>SUM(F119:F141)</f>
        <v>232</v>
      </c>
      <c r="G142" s="407"/>
      <c r="H142" s="408">
        <f>SUM(H119:H141)</f>
        <v>185610.87</v>
      </c>
      <c r="I142" s="367"/>
    </row>
    <row r="143" spans="2:9" x14ac:dyDescent="0.2">
      <c r="B143" s="403"/>
      <c r="C143" s="402" t="s">
        <v>2549</v>
      </c>
      <c r="D143" s="402">
        <v>7.14</v>
      </c>
      <c r="E143" s="419" t="s">
        <v>2538</v>
      </c>
      <c r="F143" s="420">
        <v>2</v>
      </c>
      <c r="G143" s="421">
        <v>579.51</v>
      </c>
      <c r="H143" s="418">
        <f>F143*G143</f>
        <v>1159.02</v>
      </c>
      <c r="I143" s="367"/>
    </row>
    <row r="144" spans="2:9" x14ac:dyDescent="0.2">
      <c r="B144" s="403"/>
      <c r="C144" s="402"/>
      <c r="D144" s="402"/>
      <c r="E144" s="419" t="s">
        <v>2550</v>
      </c>
      <c r="F144" s="420">
        <v>4</v>
      </c>
      <c r="G144" s="421">
        <v>203.3</v>
      </c>
      <c r="H144" s="418">
        <f>F144*G144</f>
        <v>813.2</v>
      </c>
      <c r="I144" s="367"/>
    </row>
    <row r="145" spans="2:9" x14ac:dyDescent="0.2">
      <c r="B145" s="403"/>
      <c r="C145" s="423" t="s">
        <v>2551</v>
      </c>
      <c r="D145" s="424"/>
      <c r="E145" s="405"/>
      <c r="F145" s="406">
        <f>SUM(F143:F144)</f>
        <v>6</v>
      </c>
      <c r="G145" s="407"/>
      <c r="H145" s="408">
        <f>SUM(H143:H144)</f>
        <v>1972.22</v>
      </c>
      <c r="I145" s="367"/>
    </row>
    <row r="146" spans="2:9" x14ac:dyDescent="0.2">
      <c r="B146" s="396"/>
      <c r="C146" s="427" t="s">
        <v>2552</v>
      </c>
      <c r="D146" s="427">
        <v>70.28</v>
      </c>
      <c r="E146" s="426" t="s">
        <v>2543</v>
      </c>
      <c r="F146" s="416">
        <v>1</v>
      </c>
      <c r="G146" s="417">
        <v>3999</v>
      </c>
      <c r="H146" s="418">
        <f t="shared" ref="H146:H173" si="11">F146*G146</f>
        <v>3999</v>
      </c>
      <c r="I146" s="367"/>
    </row>
    <row r="147" spans="2:9" x14ac:dyDescent="0.2">
      <c r="B147" s="396"/>
      <c r="C147" s="427"/>
      <c r="D147" s="427"/>
      <c r="E147" s="428" t="s">
        <v>2553</v>
      </c>
      <c r="F147" s="420">
        <v>1</v>
      </c>
      <c r="G147" s="421">
        <v>5192</v>
      </c>
      <c r="H147" s="401">
        <f t="shared" si="11"/>
        <v>5192</v>
      </c>
      <c r="I147" s="367"/>
    </row>
    <row r="148" spans="2:9" x14ac:dyDescent="0.2">
      <c r="B148" s="396"/>
      <c r="C148" s="427"/>
      <c r="D148" s="427"/>
      <c r="E148" s="428" t="s">
        <v>2554</v>
      </c>
      <c r="F148" s="420">
        <v>2</v>
      </c>
      <c r="G148" s="421">
        <v>1331.1</v>
      </c>
      <c r="H148" s="401">
        <f t="shared" si="11"/>
        <v>2662.2</v>
      </c>
      <c r="I148" s="367"/>
    </row>
    <row r="149" spans="2:9" x14ac:dyDescent="0.2">
      <c r="B149" s="396"/>
      <c r="C149" s="427"/>
      <c r="D149" s="427"/>
      <c r="E149" s="428" t="s">
        <v>2555</v>
      </c>
      <c r="F149" s="420">
        <v>1</v>
      </c>
      <c r="G149" s="421">
        <v>2100</v>
      </c>
      <c r="H149" s="401">
        <f t="shared" si="11"/>
        <v>2100</v>
      </c>
      <c r="I149" s="367"/>
    </row>
    <row r="150" spans="2:9" x14ac:dyDescent="0.2">
      <c r="B150" s="396"/>
      <c r="C150" s="427"/>
      <c r="D150" s="427"/>
      <c r="E150" s="428" t="s">
        <v>2464</v>
      </c>
      <c r="F150" s="420">
        <v>1</v>
      </c>
      <c r="G150" s="421">
        <f>5000+32000</f>
        <v>37000</v>
      </c>
      <c r="H150" s="401">
        <f t="shared" si="11"/>
        <v>37000</v>
      </c>
      <c r="I150" s="367"/>
    </row>
    <row r="151" spans="2:9" x14ac:dyDescent="0.2">
      <c r="B151" s="396"/>
      <c r="C151" s="427"/>
      <c r="D151" s="427"/>
      <c r="E151" s="428" t="s">
        <v>2556</v>
      </c>
      <c r="F151" s="420">
        <v>1</v>
      </c>
      <c r="G151" s="421">
        <v>2570</v>
      </c>
      <c r="H151" s="401">
        <f t="shared" si="11"/>
        <v>2570</v>
      </c>
      <c r="I151" s="367"/>
    </row>
    <row r="152" spans="2:9" x14ac:dyDescent="0.2">
      <c r="B152" s="396"/>
      <c r="C152" s="427"/>
      <c r="D152" s="427"/>
      <c r="E152" s="428" t="s">
        <v>2557</v>
      </c>
      <c r="F152" s="420">
        <v>1</v>
      </c>
      <c r="G152" s="421">
        <v>208</v>
      </c>
      <c r="H152" s="401">
        <f t="shared" si="11"/>
        <v>208</v>
      </c>
      <c r="I152" s="367"/>
    </row>
    <row r="153" spans="2:9" x14ac:dyDescent="0.2">
      <c r="B153" s="396"/>
      <c r="C153" s="427"/>
      <c r="D153" s="427"/>
      <c r="E153" s="419" t="s">
        <v>2529</v>
      </c>
      <c r="F153" s="420">
        <v>1</v>
      </c>
      <c r="G153" s="421">
        <v>600</v>
      </c>
      <c r="H153" s="401">
        <f t="shared" si="11"/>
        <v>600</v>
      </c>
      <c r="I153" s="367"/>
    </row>
    <row r="154" spans="2:9" x14ac:dyDescent="0.2">
      <c r="B154" s="396"/>
      <c r="C154" s="427"/>
      <c r="D154" s="427"/>
      <c r="E154" s="419" t="s">
        <v>2491</v>
      </c>
      <c r="F154" s="420">
        <v>7</v>
      </c>
      <c r="G154" s="421">
        <v>200</v>
      </c>
      <c r="H154" s="401">
        <f t="shared" si="11"/>
        <v>1400</v>
      </c>
      <c r="I154" s="367"/>
    </row>
    <row r="155" spans="2:9" x14ac:dyDescent="0.2">
      <c r="B155" s="396"/>
      <c r="C155" s="427"/>
      <c r="D155" s="427"/>
      <c r="E155" s="428" t="s">
        <v>2558</v>
      </c>
      <c r="F155" s="420">
        <v>1</v>
      </c>
      <c r="G155" s="421">
        <v>500</v>
      </c>
      <c r="H155" s="401">
        <f t="shared" si="11"/>
        <v>500</v>
      </c>
      <c r="I155" s="367"/>
    </row>
    <row r="156" spans="2:9" x14ac:dyDescent="0.2">
      <c r="B156" s="396"/>
      <c r="C156" s="427"/>
      <c r="D156" s="427"/>
      <c r="E156" s="428" t="s">
        <v>2559</v>
      </c>
      <c r="F156" s="420">
        <v>1</v>
      </c>
      <c r="G156" s="421">
        <v>1000</v>
      </c>
      <c r="H156" s="401">
        <f t="shared" si="11"/>
        <v>1000</v>
      </c>
      <c r="I156" s="367"/>
    </row>
    <row r="157" spans="2:9" x14ac:dyDescent="0.2">
      <c r="B157" s="396"/>
      <c r="C157" s="427"/>
      <c r="D157" s="427"/>
      <c r="E157" s="428" t="s">
        <v>2560</v>
      </c>
      <c r="F157" s="420">
        <v>1</v>
      </c>
      <c r="G157" s="421">
        <v>400</v>
      </c>
      <c r="H157" s="401">
        <f t="shared" si="11"/>
        <v>400</v>
      </c>
      <c r="I157" s="367"/>
    </row>
    <row r="158" spans="2:9" x14ac:dyDescent="0.2">
      <c r="B158" s="396"/>
      <c r="C158" s="427"/>
      <c r="D158" s="427"/>
      <c r="E158" s="428" t="s">
        <v>2532</v>
      </c>
      <c r="F158" s="420">
        <v>6</v>
      </c>
      <c r="G158" s="421">
        <v>2500</v>
      </c>
      <c r="H158" s="401">
        <f t="shared" si="11"/>
        <v>15000</v>
      </c>
      <c r="I158" s="367"/>
    </row>
    <row r="159" spans="2:9" x14ac:dyDescent="0.2">
      <c r="B159" s="396"/>
      <c r="C159" s="427"/>
      <c r="D159" s="427"/>
      <c r="E159" s="428" t="s">
        <v>2561</v>
      </c>
      <c r="F159" s="420">
        <v>2</v>
      </c>
      <c r="G159" s="421">
        <v>150</v>
      </c>
      <c r="H159" s="401">
        <f t="shared" si="11"/>
        <v>300</v>
      </c>
      <c r="I159" s="367"/>
    </row>
    <row r="160" spans="2:9" x14ac:dyDescent="0.2">
      <c r="B160" s="396"/>
      <c r="C160" s="427"/>
      <c r="D160" s="427"/>
      <c r="E160" s="428" t="s">
        <v>2562</v>
      </c>
      <c r="F160" s="420">
        <v>1</v>
      </c>
      <c r="G160" s="421">
        <v>18.899999999999999</v>
      </c>
      <c r="H160" s="401">
        <f t="shared" si="11"/>
        <v>18.899999999999999</v>
      </c>
      <c r="I160" s="367"/>
    </row>
    <row r="161" spans="2:9" x14ac:dyDescent="0.2">
      <c r="B161" s="396"/>
      <c r="C161" s="427"/>
      <c r="D161" s="427"/>
      <c r="E161" s="398" t="s">
        <v>2447</v>
      </c>
      <c r="F161" s="399">
        <v>2</v>
      </c>
      <c r="G161" s="400">
        <v>350</v>
      </c>
      <c r="H161" s="401">
        <f t="shared" si="11"/>
        <v>700</v>
      </c>
      <c r="I161" s="367"/>
    </row>
    <row r="162" spans="2:9" x14ac:dyDescent="0.2">
      <c r="B162" s="396"/>
      <c r="C162" s="427"/>
      <c r="D162" s="427"/>
      <c r="E162" s="430" t="s">
        <v>2563</v>
      </c>
      <c r="F162" s="399">
        <v>1</v>
      </c>
      <c r="G162" s="400">
        <v>180</v>
      </c>
      <c r="H162" s="401">
        <f t="shared" si="11"/>
        <v>180</v>
      </c>
      <c r="I162" s="367"/>
    </row>
    <row r="163" spans="2:9" x14ac:dyDescent="0.2">
      <c r="B163" s="396"/>
      <c r="C163" s="427"/>
      <c r="D163" s="427"/>
      <c r="E163" s="428" t="s">
        <v>2564</v>
      </c>
      <c r="F163" s="420">
        <v>1</v>
      </c>
      <c r="G163" s="421">
        <v>280</v>
      </c>
      <c r="H163" s="401">
        <f t="shared" si="11"/>
        <v>280</v>
      </c>
      <c r="I163" s="367"/>
    </row>
    <row r="164" spans="2:9" ht="25.5" x14ac:dyDescent="0.2">
      <c r="B164" s="396"/>
      <c r="C164" s="427"/>
      <c r="D164" s="427"/>
      <c r="E164" s="398" t="s">
        <v>2450</v>
      </c>
      <c r="F164" s="399">
        <v>6</v>
      </c>
      <c r="G164" s="400">
        <v>179.8</v>
      </c>
      <c r="H164" s="401">
        <f t="shared" si="11"/>
        <v>1078.8000000000002</v>
      </c>
      <c r="I164" s="367"/>
    </row>
    <row r="165" spans="2:9" x14ac:dyDescent="0.2">
      <c r="B165" s="396"/>
      <c r="C165" s="427"/>
      <c r="D165" s="427"/>
      <c r="E165" s="428" t="s">
        <v>2565</v>
      </c>
      <c r="F165" s="420">
        <v>1</v>
      </c>
      <c r="G165" s="421">
        <v>7604.1</v>
      </c>
      <c r="H165" s="401">
        <f t="shared" si="11"/>
        <v>7604.1</v>
      </c>
      <c r="I165" s="367"/>
    </row>
    <row r="166" spans="2:9" x14ac:dyDescent="0.2">
      <c r="B166" s="396"/>
      <c r="C166" s="427"/>
      <c r="D166" s="427"/>
      <c r="E166" s="428" t="s">
        <v>2499</v>
      </c>
      <c r="F166" s="420">
        <v>5</v>
      </c>
      <c r="G166" s="421">
        <v>150</v>
      </c>
      <c r="H166" s="401">
        <f t="shared" si="11"/>
        <v>750</v>
      </c>
      <c r="I166" s="367"/>
    </row>
    <row r="167" spans="2:9" x14ac:dyDescent="0.2">
      <c r="B167" s="396"/>
      <c r="C167" s="427"/>
      <c r="D167" s="427"/>
      <c r="E167" s="428" t="s">
        <v>2566</v>
      </c>
      <c r="F167" s="420">
        <v>1</v>
      </c>
      <c r="G167" s="421">
        <v>1500</v>
      </c>
      <c r="H167" s="401">
        <f t="shared" si="11"/>
        <v>1500</v>
      </c>
      <c r="I167" s="367"/>
    </row>
    <row r="168" spans="2:9" x14ac:dyDescent="0.2">
      <c r="B168" s="396"/>
      <c r="C168" s="427"/>
      <c r="D168" s="427"/>
      <c r="E168" s="428" t="s">
        <v>2567</v>
      </c>
      <c r="F168" s="420">
        <v>1</v>
      </c>
      <c r="G168" s="421">
        <v>950</v>
      </c>
      <c r="H168" s="401">
        <f t="shared" si="11"/>
        <v>950</v>
      </c>
      <c r="I168" s="367"/>
    </row>
    <row r="169" spans="2:9" x14ac:dyDescent="0.2">
      <c r="B169" s="396"/>
      <c r="C169" s="427"/>
      <c r="D169" s="427"/>
      <c r="E169" s="430" t="s">
        <v>2568</v>
      </c>
      <c r="F169" s="399">
        <v>1</v>
      </c>
      <c r="G169" s="400">
        <v>9897.2999999999993</v>
      </c>
      <c r="H169" s="401">
        <f t="shared" si="11"/>
        <v>9897.2999999999993</v>
      </c>
      <c r="I169" s="367"/>
    </row>
    <row r="170" spans="2:9" x14ac:dyDescent="0.2">
      <c r="B170" s="396"/>
      <c r="C170" s="427"/>
      <c r="D170" s="427"/>
      <c r="E170" s="428" t="s">
        <v>2569</v>
      </c>
      <c r="F170" s="420">
        <v>2</v>
      </c>
      <c r="G170" s="421">
        <v>980</v>
      </c>
      <c r="H170" s="401">
        <f t="shared" si="11"/>
        <v>1960</v>
      </c>
      <c r="I170" s="367"/>
    </row>
    <row r="171" spans="2:9" x14ac:dyDescent="0.2">
      <c r="B171" s="396"/>
      <c r="C171" s="427"/>
      <c r="D171" s="427"/>
      <c r="E171" s="428" t="s">
        <v>2467</v>
      </c>
      <c r="F171" s="420">
        <v>1</v>
      </c>
      <c r="G171" s="421">
        <v>1000</v>
      </c>
      <c r="H171" s="401">
        <f t="shared" si="11"/>
        <v>1000</v>
      </c>
      <c r="I171" s="367"/>
    </row>
    <row r="172" spans="2:9" x14ac:dyDescent="0.2">
      <c r="B172" s="396"/>
      <c r="C172" s="427"/>
      <c r="D172" s="427"/>
      <c r="E172" s="428" t="s">
        <v>2570</v>
      </c>
      <c r="F172" s="420">
        <v>1</v>
      </c>
      <c r="G172" s="421">
        <v>2800</v>
      </c>
      <c r="H172" s="401">
        <f t="shared" si="11"/>
        <v>2800</v>
      </c>
      <c r="I172" s="367"/>
    </row>
    <row r="173" spans="2:9" x14ac:dyDescent="0.2">
      <c r="B173" s="396"/>
      <c r="C173" s="427"/>
      <c r="D173" s="427"/>
      <c r="E173" s="428" t="s">
        <v>2571</v>
      </c>
      <c r="F173" s="420">
        <v>4</v>
      </c>
      <c r="G173" s="421">
        <v>782.21</v>
      </c>
      <c r="H173" s="401">
        <f t="shared" si="11"/>
        <v>3128.84</v>
      </c>
      <c r="I173" s="367"/>
    </row>
    <row r="174" spans="2:9" x14ac:dyDescent="0.2">
      <c r="B174" s="403"/>
      <c r="C174" s="431" t="s">
        <v>2572</v>
      </c>
      <c r="D174" s="432"/>
      <c r="E174" s="431"/>
      <c r="F174" s="406">
        <f>SUM(F160:F173)</f>
        <v>28</v>
      </c>
      <c r="G174" s="434"/>
      <c r="H174" s="408">
        <f>SUM(H146:H173)</f>
        <v>104779.14</v>
      </c>
      <c r="I174" s="367"/>
    </row>
    <row r="175" spans="2:9" x14ac:dyDescent="0.2">
      <c r="B175" s="403"/>
      <c r="C175" s="435" t="s">
        <v>2573</v>
      </c>
      <c r="D175" s="435">
        <v>28.98</v>
      </c>
      <c r="E175" s="436" t="s">
        <v>2451</v>
      </c>
      <c r="F175" s="437">
        <v>3</v>
      </c>
      <c r="G175" s="438">
        <v>697</v>
      </c>
      <c r="H175" s="439">
        <f>F175*G175</f>
        <v>2091</v>
      </c>
      <c r="I175" s="367"/>
    </row>
    <row r="176" spans="2:9" x14ac:dyDescent="0.2">
      <c r="B176" s="403"/>
      <c r="C176" s="431" t="s">
        <v>2574</v>
      </c>
      <c r="D176" s="432"/>
      <c r="E176" s="431"/>
      <c r="F176" s="406">
        <f>SUM(F175:F175)</f>
        <v>3</v>
      </c>
      <c r="G176" s="434"/>
      <c r="H176" s="408">
        <f>SUM(H175:H175)</f>
        <v>2091</v>
      </c>
      <c r="I176" s="367"/>
    </row>
    <row r="177" spans="2:9" ht="13.5" thickBot="1" x14ac:dyDescent="0.25">
      <c r="B177" s="403"/>
      <c r="C177" s="440" t="s">
        <v>2575</v>
      </c>
      <c r="D177" s="441"/>
      <c r="E177" s="440"/>
      <c r="F177" s="442">
        <f>F176+F174+F145+F142+F113+F94+F87+F65+F48+F41+F37+F118+F85+F82</f>
        <v>494</v>
      </c>
      <c r="G177" s="442">
        <f t="shared" ref="G177:H177" si="12">G176+G174+G145+G142+G113+G94+G87+G65+G48+G41+G37+G118+G85+G82</f>
        <v>0</v>
      </c>
      <c r="H177" s="442">
        <f t="shared" si="12"/>
        <v>732228.65999999992</v>
      </c>
      <c r="I177" s="367"/>
    </row>
    <row r="178" spans="2:9" x14ac:dyDescent="0.2">
      <c r="B178" s="443" t="s">
        <v>2576</v>
      </c>
      <c r="C178" s="432"/>
      <c r="D178" s="432"/>
      <c r="E178" s="431"/>
      <c r="F178" s="406"/>
      <c r="G178" s="434"/>
      <c r="H178" s="408"/>
      <c r="I178" s="367"/>
    </row>
    <row r="179" spans="2:9" ht="26.25" thickBot="1" x14ac:dyDescent="0.25">
      <c r="B179" s="444"/>
      <c r="C179" s="445" t="s">
        <v>2577</v>
      </c>
      <c r="D179" s="446">
        <f>14*28.98</f>
        <v>405.72</v>
      </c>
      <c r="E179" s="430" t="s">
        <v>2451</v>
      </c>
      <c r="F179" s="399">
        <f>3*14</f>
        <v>42</v>
      </c>
      <c r="G179" s="400">
        <v>697</v>
      </c>
      <c r="H179" s="418">
        <f>F179*G179</f>
        <v>29274</v>
      </c>
      <c r="I179" s="367"/>
    </row>
    <row r="180" spans="2:9" x14ac:dyDescent="0.2">
      <c r="B180" s="447"/>
      <c r="C180" s="431" t="s">
        <v>2578</v>
      </c>
      <c r="D180" s="432"/>
      <c r="E180" s="431"/>
      <c r="F180" s="406">
        <f>SUM(F179:F179)</f>
        <v>42</v>
      </c>
      <c r="G180" s="434"/>
      <c r="H180" s="408">
        <f>SUM(H179)</f>
        <v>29274</v>
      </c>
      <c r="I180" s="367"/>
    </row>
    <row r="181" spans="2:9" x14ac:dyDescent="0.2">
      <c r="B181" s="447"/>
      <c r="C181" s="440" t="s">
        <v>2579</v>
      </c>
      <c r="D181" s="441"/>
      <c r="E181" s="440"/>
      <c r="F181" s="442">
        <f>F180</f>
        <v>42</v>
      </c>
      <c r="G181" s="448"/>
      <c r="H181" s="449">
        <f>H180</f>
        <v>29274</v>
      </c>
      <c r="I181" s="367"/>
    </row>
    <row r="182" spans="2:9" ht="13.5" thickBot="1" x14ac:dyDescent="0.25">
      <c r="C182" s="450" t="s">
        <v>83</v>
      </c>
      <c r="D182" s="450"/>
      <c r="E182" s="450"/>
      <c r="F182" s="451"/>
      <c r="G182" s="452"/>
      <c r="H182" s="453">
        <f>H177+H20+H181</f>
        <v>793181.15999999992</v>
      </c>
      <c r="I182" s="367"/>
    </row>
    <row r="183" spans="2:9" x14ac:dyDescent="0.2">
      <c r="C183" s="440" t="s">
        <v>2580</v>
      </c>
      <c r="D183" s="441"/>
      <c r="E183" s="440"/>
      <c r="F183" s="442">
        <v>328.82000000000005</v>
      </c>
      <c r="G183" s="448">
        <v>350</v>
      </c>
      <c r="H183" s="449">
        <f>G183*F183</f>
        <v>115087.00000000001</v>
      </c>
      <c r="I183" s="367"/>
    </row>
    <row r="184" spans="2:9" ht="13.5" thickBot="1" x14ac:dyDescent="0.25">
      <c r="C184" s="454" t="s">
        <v>2581</v>
      </c>
      <c r="D184" s="454"/>
      <c r="E184" s="454"/>
      <c r="F184" s="455"/>
      <c r="G184" s="456"/>
      <c r="H184" s="457">
        <f>(H182+H183)*1.25</f>
        <v>1135335.2</v>
      </c>
      <c r="I184" s="367"/>
    </row>
    <row r="185" spans="2:9" ht="13.5" thickBot="1" x14ac:dyDescent="0.25">
      <c r="C185" s="454" t="s">
        <v>2582</v>
      </c>
      <c r="D185" s="454"/>
      <c r="E185" s="454"/>
      <c r="F185" s="455"/>
      <c r="G185" s="456"/>
      <c r="H185" s="457">
        <f>H184/D187</f>
        <v>3452.7559150903221</v>
      </c>
      <c r="I185" s="367"/>
    </row>
    <row r="186" spans="2:9" x14ac:dyDescent="0.2">
      <c r="I186" s="367"/>
    </row>
    <row r="187" spans="2:9" x14ac:dyDescent="0.2">
      <c r="D187" s="367">
        <f>SUM(D11:D173)</f>
        <v>328.82000000000005</v>
      </c>
      <c r="I187" s="367"/>
    </row>
    <row r="191" spans="2:9" x14ac:dyDescent="0.2">
      <c r="I191" s="367"/>
    </row>
    <row r="192" spans="2:9" x14ac:dyDescent="0.2">
      <c r="I192" s="367"/>
    </row>
    <row r="193" spans="9:9" x14ac:dyDescent="0.2">
      <c r="I193" s="367"/>
    </row>
  </sheetData>
  <autoFilter ref="E10:H184" xr:uid="{00000000-0009-0000-0000-000001000000}"/>
  <dataConsolidate/>
  <mergeCells count="54">
    <mergeCell ref="C184:E184"/>
    <mergeCell ref="C185:E185"/>
    <mergeCell ref="B178:B179"/>
    <mergeCell ref="C178:E178"/>
    <mergeCell ref="C180:E180"/>
    <mergeCell ref="C181:E181"/>
    <mergeCell ref="C182:E182"/>
    <mergeCell ref="C183:E183"/>
    <mergeCell ref="C145:E145"/>
    <mergeCell ref="C146:C173"/>
    <mergeCell ref="D146:D173"/>
    <mergeCell ref="C174:E174"/>
    <mergeCell ref="C176:E176"/>
    <mergeCell ref="C177:E177"/>
    <mergeCell ref="C118:E118"/>
    <mergeCell ref="C119:C141"/>
    <mergeCell ref="D119:D141"/>
    <mergeCell ref="C142:E142"/>
    <mergeCell ref="C143:C144"/>
    <mergeCell ref="D143:D144"/>
    <mergeCell ref="C94:E94"/>
    <mergeCell ref="C95:C112"/>
    <mergeCell ref="D95:D112"/>
    <mergeCell ref="C113:E113"/>
    <mergeCell ref="C114:C117"/>
    <mergeCell ref="D114:D117"/>
    <mergeCell ref="C83:C84"/>
    <mergeCell ref="D83:D84"/>
    <mergeCell ref="C85:E85"/>
    <mergeCell ref="C87:E87"/>
    <mergeCell ref="C88:C93"/>
    <mergeCell ref="D88:D93"/>
    <mergeCell ref="C49:C64"/>
    <mergeCell ref="D49:D64"/>
    <mergeCell ref="C65:E65"/>
    <mergeCell ref="C66:C81"/>
    <mergeCell ref="D66:D81"/>
    <mergeCell ref="C82:E82"/>
    <mergeCell ref="B21:B177"/>
    <mergeCell ref="C21:C36"/>
    <mergeCell ref="D21:D36"/>
    <mergeCell ref="C37:E37"/>
    <mergeCell ref="C38:C40"/>
    <mergeCell ref="D38:D40"/>
    <mergeCell ref="C41:E41"/>
    <mergeCell ref="C42:C47"/>
    <mergeCell ref="D42:D47"/>
    <mergeCell ref="C48:E48"/>
    <mergeCell ref="B2:H2"/>
    <mergeCell ref="B11:B19"/>
    <mergeCell ref="C11:C18"/>
    <mergeCell ref="D11:D18"/>
    <mergeCell ref="C19:E19"/>
    <mergeCell ref="C20:E20"/>
  </mergeCells>
  <pageMargins left="0.511811024" right="0.511811024" top="0.78740157499999996" bottom="0.78740157499999996" header="0.31496062000000002" footer="0.31496062000000002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8</vt:i4>
      </vt:variant>
    </vt:vector>
  </HeadingPairs>
  <TitlesOfParts>
    <vt:vector size="14" baseType="lpstr">
      <vt:lpstr>CAPA</vt:lpstr>
      <vt:lpstr>OBRA</vt:lpstr>
      <vt:lpstr>EPC's</vt:lpstr>
      <vt:lpstr>CANTEIRO</vt:lpstr>
      <vt:lpstr>ORÇAMENTO_EXECUTIVO</vt:lpstr>
      <vt:lpstr>MOBILIÁRIO R00</vt:lpstr>
      <vt:lpstr>CAPA!Area_de_impressao</vt:lpstr>
      <vt:lpstr>'EPC''s'!Area_de_impressao</vt:lpstr>
      <vt:lpstr>OBRA!Area_de_impressao</vt:lpstr>
      <vt:lpstr>ORÇAMENTO_EXECUTIVO!Area_de_impressao</vt:lpstr>
      <vt:lpstr>'MOBILIÁRIO R00'!Print_Area</vt:lpstr>
      <vt:lpstr>CAPA!Titulos_de_impressao</vt:lpstr>
      <vt:lpstr>'EPC''s'!Titulos_de_impressao</vt:lpstr>
      <vt:lpstr>OBRA!Titulos_de_impressao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Pilotti</dc:creator>
  <cp:keywords/>
  <dc:description/>
  <cp:lastModifiedBy>Patricia Bragatto</cp:lastModifiedBy>
  <cp:lastPrinted>2023-04-19T18:08:17Z</cp:lastPrinted>
  <dcterms:created xsi:type="dcterms:W3CDTF">2023-04-18T11:51:40Z</dcterms:created>
  <dcterms:modified xsi:type="dcterms:W3CDTF">2024-04-09T09:41:04Z</dcterms:modified>
  <cp:category/>
  <cp:contentStatus/>
</cp:coreProperties>
</file>